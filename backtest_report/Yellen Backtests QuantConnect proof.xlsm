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msa\OneDrive\Desktop\Reports\"/>
    </mc:Choice>
  </mc:AlternateContent>
  <xr:revisionPtr revIDLastSave="0" documentId="8_{3D6DD4B6-F7F9-466C-8373-BEEA076AF939}" xr6:coauthVersionLast="47" xr6:coauthVersionMax="47" xr10:uidLastSave="{00000000-0000-0000-0000-000000000000}"/>
  <bookViews>
    <workbookView xWindow="-19310" yWindow="-110" windowWidth="19420" windowHeight="11020" firstSheet="1" activeTab="1" xr2:uid="{56BDE154-2717-4892-9BC9-88D091210712}"/>
  </bookViews>
  <sheets>
    <sheet name="Control" sheetId="13" state="hidden" r:id="rId1"/>
    <sheet name="Backtest_result" sheetId="1" r:id="rId2"/>
    <sheet name="Data" sheetId="15" r:id="rId3"/>
    <sheet name="fix" sheetId="16" r:id="rId4"/>
    <sheet name="Raw Quant Connect Data" sheetId="2" state="hidden" r:id="rId5"/>
  </sheets>
  <definedNames>
    <definedName name="_xlnm._FilterDatabase" localSheetId="1" hidden="1">Backtest_result!$A$1:$AI$1208</definedName>
    <definedName name="_xlnm._FilterDatabase" localSheetId="2" hidden="1">Data!$A$1:$D$13047</definedName>
    <definedName name="Config">Control!$D$12</definedName>
    <definedName name="End">Control!$D$10</definedName>
    <definedName name="Hi">#REF!</definedName>
    <definedName name="Start">Control!$D$9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016" i="1" l="1"/>
  <c r="AH1016" i="1"/>
  <c r="AG1016" i="1"/>
  <c r="AF1016" i="1"/>
  <c r="AE1016" i="1"/>
  <c r="AD1016" i="1"/>
  <c r="AC1016" i="1"/>
  <c r="AB1016" i="1"/>
  <c r="AA1016" i="1"/>
  <c r="Z1016" i="1"/>
  <c r="Y1016" i="1"/>
  <c r="X1016" i="1"/>
  <c r="W1016" i="1"/>
  <c r="V1016" i="1"/>
  <c r="U1016" i="1"/>
  <c r="T1016" i="1"/>
  <c r="S1016" i="1"/>
  <c r="R1016" i="1"/>
  <c r="Q1016" i="1"/>
  <c r="P1016" i="1"/>
  <c r="O1016" i="1"/>
  <c r="AF1203" i="1"/>
  <c r="AA1208" i="1"/>
  <c r="O1202" i="1"/>
  <c r="AG1203" i="1"/>
  <c r="Y1203" i="1"/>
  <c r="R1203" i="1"/>
  <c r="Q1203" i="1"/>
  <c r="A13216" i="15"/>
  <c r="A13217" i="15"/>
  <c r="A13218" i="15"/>
  <c r="A13219" i="15"/>
  <c r="A13220" i="15"/>
  <c r="A13221" i="15"/>
  <c r="A13222" i="15"/>
  <c r="A13223" i="15"/>
  <c r="A13224" i="15"/>
  <c r="A13225" i="15"/>
  <c r="A13226" i="15"/>
  <c r="A13227" i="15"/>
  <c r="A13228" i="15"/>
  <c r="A13229" i="15"/>
  <c r="A13230" i="15"/>
  <c r="A13231" i="15"/>
  <c r="A13232" i="15"/>
  <c r="A13233" i="15"/>
  <c r="A13234" i="15"/>
  <c r="A13235" i="15"/>
  <c r="A13236" i="15"/>
  <c r="O1208" i="1"/>
  <c r="AB1208" i="1"/>
  <c r="U1208" i="1"/>
  <c r="T1208" i="1"/>
  <c r="A13195" i="15"/>
  <c r="A13196" i="15"/>
  <c r="A13197" i="15"/>
  <c r="A13198" i="15"/>
  <c r="A13199" i="15"/>
  <c r="A13200" i="15"/>
  <c r="A13201" i="15"/>
  <c r="A13202" i="15"/>
  <c r="A13203" i="15"/>
  <c r="A13204" i="15"/>
  <c r="A13205" i="15"/>
  <c r="A13206" i="15"/>
  <c r="A13207" i="15"/>
  <c r="A13208" i="15"/>
  <c r="A13209" i="15"/>
  <c r="A13210" i="15"/>
  <c r="A13211" i="15"/>
  <c r="A13212" i="15"/>
  <c r="A13213" i="15"/>
  <c r="A13214" i="15"/>
  <c r="A13215" i="15"/>
  <c r="A13174" i="15"/>
  <c r="A13175" i="15"/>
  <c r="A13176" i="15"/>
  <c r="A13177" i="15"/>
  <c r="A13178" i="15"/>
  <c r="A13179" i="15"/>
  <c r="A13180" i="15"/>
  <c r="AF1202" i="1" s="1"/>
  <c r="A13181" i="15"/>
  <c r="A13182" i="15"/>
  <c r="A13183" i="15"/>
  <c r="A13184" i="15"/>
  <c r="A13185" i="15"/>
  <c r="A13186" i="15"/>
  <c r="A13187" i="15"/>
  <c r="A13188" i="15"/>
  <c r="A13189" i="15"/>
  <c r="A13190" i="15"/>
  <c r="A13191" i="15"/>
  <c r="A13192" i="15"/>
  <c r="A13193" i="15"/>
  <c r="A13194" i="15"/>
  <c r="AH1202" i="1"/>
  <c r="AG1202" i="1"/>
  <c r="Q1202" i="1"/>
  <c r="P1202" i="1"/>
  <c r="A13154" i="15"/>
  <c r="A13155" i="15"/>
  <c r="A13156" i="15"/>
  <c r="A13157" i="15"/>
  <c r="A13158" i="15"/>
  <c r="A13159" i="15"/>
  <c r="A13160" i="15"/>
  <c r="A13161" i="15"/>
  <c r="A13162" i="15"/>
  <c r="A13163" i="15"/>
  <c r="A13164" i="15"/>
  <c r="A13165" i="15"/>
  <c r="A13166" i="15"/>
  <c r="A13167" i="15"/>
  <c r="A13168" i="15"/>
  <c r="A13169" i="15"/>
  <c r="A13170" i="15"/>
  <c r="A13171" i="15"/>
  <c r="A13172" i="15"/>
  <c r="A13173" i="15"/>
  <c r="A13153" i="15"/>
  <c r="A13132" i="15"/>
  <c r="A13133" i="15"/>
  <c r="A13134" i="15"/>
  <c r="A13135" i="15"/>
  <c r="A13136" i="15"/>
  <c r="A13137" i="15"/>
  <c r="A13138" i="15"/>
  <c r="A13139" i="15"/>
  <c r="A13140" i="15"/>
  <c r="A13141" i="15"/>
  <c r="A13142" i="15"/>
  <c r="A13143" i="15"/>
  <c r="A13144" i="15"/>
  <c r="A13145" i="15"/>
  <c r="A13146" i="15"/>
  <c r="A13147" i="15"/>
  <c r="A13148" i="15"/>
  <c r="A13149" i="15"/>
  <c r="A13150" i="15"/>
  <c r="A13151" i="15"/>
  <c r="A13152" i="15"/>
  <c r="A13111" i="15"/>
  <c r="A13112" i="15"/>
  <c r="A13113" i="15"/>
  <c r="A13114" i="15"/>
  <c r="A13115" i="15"/>
  <c r="A13116" i="15"/>
  <c r="A13117" i="15"/>
  <c r="A13118" i="15"/>
  <c r="A13119" i="15"/>
  <c r="A13120" i="15"/>
  <c r="A13121" i="15"/>
  <c r="A13122" i="15"/>
  <c r="A13123" i="15"/>
  <c r="A13124" i="15"/>
  <c r="A13125" i="15"/>
  <c r="A13126" i="15"/>
  <c r="A13127" i="15"/>
  <c r="A13128" i="15"/>
  <c r="A13129" i="15"/>
  <c r="A13130" i="15"/>
  <c r="A13131" i="15"/>
  <c r="P1005" i="1"/>
  <c r="A13090" i="15"/>
  <c r="A13091" i="15"/>
  <c r="A13092" i="15"/>
  <c r="A13093" i="15"/>
  <c r="A13094" i="15"/>
  <c r="A13095" i="15"/>
  <c r="A13096" i="15"/>
  <c r="A13097" i="15"/>
  <c r="A13098" i="15"/>
  <c r="A13099" i="15"/>
  <c r="A13100" i="15"/>
  <c r="A13101" i="15"/>
  <c r="A13102" i="15"/>
  <c r="A13103" i="15"/>
  <c r="A13104" i="15"/>
  <c r="A13105" i="15"/>
  <c r="A13106" i="15"/>
  <c r="A13107" i="15"/>
  <c r="A13108" i="15"/>
  <c r="A13109" i="15"/>
  <c r="A13110" i="15"/>
  <c r="A13089" i="15"/>
  <c r="A13069" i="15"/>
  <c r="A13070" i="15"/>
  <c r="A13071" i="15"/>
  <c r="A13072" i="15"/>
  <c r="A13073" i="15"/>
  <c r="A13074" i="15"/>
  <c r="A13075" i="15"/>
  <c r="A13076" i="15"/>
  <c r="A13077" i="15"/>
  <c r="A13078" i="15"/>
  <c r="A13079" i="15"/>
  <c r="A13080" i="15"/>
  <c r="A13081" i="15"/>
  <c r="A13082" i="15"/>
  <c r="A13083" i="15"/>
  <c r="A13084" i="15"/>
  <c r="A13085" i="15"/>
  <c r="A13086" i="15"/>
  <c r="A13087" i="15"/>
  <c r="A13088" i="15"/>
  <c r="A13048" i="15"/>
  <c r="A13049" i="15"/>
  <c r="A13050" i="15"/>
  <c r="A13051" i="15"/>
  <c r="A13052" i="15"/>
  <c r="A13053" i="15"/>
  <c r="A13054" i="15"/>
  <c r="A13055" i="15"/>
  <c r="A13056" i="15"/>
  <c r="A13057" i="15"/>
  <c r="A13058" i="15"/>
  <c r="A13059" i="15"/>
  <c r="A13060" i="15"/>
  <c r="A13061" i="15"/>
  <c r="A13062" i="15"/>
  <c r="A13063" i="15"/>
  <c r="A13064" i="15"/>
  <c r="A13065" i="15"/>
  <c r="A13066" i="15"/>
  <c r="A13067" i="15"/>
  <c r="A13068" i="15"/>
  <c r="A292" i="15"/>
  <c r="A13027" i="15"/>
  <c r="A13028" i="15"/>
  <c r="A13029" i="15"/>
  <c r="A13030" i="15"/>
  <c r="A13031" i="15"/>
  <c r="A13032" i="15"/>
  <c r="A13033" i="15"/>
  <c r="A13034" i="15"/>
  <c r="A13035" i="15"/>
  <c r="A13036" i="15"/>
  <c r="A13037" i="15"/>
  <c r="A13038" i="15"/>
  <c r="A13039" i="15"/>
  <c r="A13040" i="15"/>
  <c r="A13041" i="15"/>
  <c r="A13042" i="15"/>
  <c r="A13043" i="15"/>
  <c r="A13044" i="15"/>
  <c r="A13045" i="15"/>
  <c r="A13046" i="15"/>
  <c r="A13047" i="15"/>
  <c r="A13006" i="15"/>
  <c r="A13007" i="15"/>
  <c r="A13008" i="15"/>
  <c r="A13009" i="15"/>
  <c r="A13010" i="15"/>
  <c r="A13011" i="15"/>
  <c r="A13012" i="15"/>
  <c r="A13013" i="15"/>
  <c r="A13014" i="15"/>
  <c r="A13015" i="15"/>
  <c r="A13016" i="15"/>
  <c r="A13017" i="15"/>
  <c r="A13018" i="15"/>
  <c r="A13019" i="15"/>
  <c r="A13020" i="15"/>
  <c r="A13021" i="15"/>
  <c r="A13022" i="15"/>
  <c r="A13023" i="15"/>
  <c r="A13024" i="15"/>
  <c r="A13025" i="15"/>
  <c r="A13026" i="15"/>
  <c r="A13005" i="15"/>
  <c r="A12985" i="15"/>
  <c r="A12986" i="15"/>
  <c r="A12987" i="15"/>
  <c r="A12988" i="15"/>
  <c r="A12989" i="15"/>
  <c r="A12990" i="15"/>
  <c r="A12991" i="15"/>
  <c r="A12992" i="15"/>
  <c r="A12993" i="15"/>
  <c r="A12994" i="15"/>
  <c r="A12995" i="15"/>
  <c r="A12996" i="15"/>
  <c r="A12997" i="15"/>
  <c r="A12998" i="15"/>
  <c r="A12999" i="15"/>
  <c r="A13000" i="15"/>
  <c r="A13001" i="15"/>
  <c r="A13002" i="15"/>
  <c r="A13003" i="15"/>
  <c r="A13004" i="15"/>
  <c r="A12964" i="15"/>
  <c r="A12965" i="15"/>
  <c r="A12966" i="15"/>
  <c r="A12967" i="15"/>
  <c r="A12968" i="15"/>
  <c r="A12969" i="15"/>
  <c r="A12970" i="15"/>
  <c r="A12971" i="15"/>
  <c r="A12972" i="15"/>
  <c r="A12973" i="15"/>
  <c r="A12974" i="15"/>
  <c r="A12975" i="15"/>
  <c r="A12976" i="15"/>
  <c r="A12977" i="15"/>
  <c r="A12978" i="15"/>
  <c r="A12979" i="15"/>
  <c r="A12980" i="15"/>
  <c r="A12981" i="15"/>
  <c r="A12982" i="15"/>
  <c r="A12983" i="15"/>
  <c r="A12984" i="15"/>
  <c r="A12943" i="15"/>
  <c r="A12944" i="15"/>
  <c r="A12945" i="15"/>
  <c r="A12946" i="15"/>
  <c r="A12947" i="15"/>
  <c r="A12948" i="15"/>
  <c r="A12949" i="15"/>
  <c r="A12950" i="15"/>
  <c r="A12951" i="15"/>
  <c r="A12952" i="15"/>
  <c r="A12953" i="15"/>
  <c r="A12954" i="15"/>
  <c r="A12955" i="15"/>
  <c r="A12956" i="15"/>
  <c r="A12957" i="15"/>
  <c r="A12958" i="15"/>
  <c r="A12959" i="15"/>
  <c r="A12960" i="15"/>
  <c r="A12961" i="15"/>
  <c r="A12962" i="15"/>
  <c r="A12963" i="15"/>
  <c r="A12922" i="15"/>
  <c r="A12923" i="15"/>
  <c r="A12924" i="15"/>
  <c r="A12925" i="15"/>
  <c r="A12926" i="15"/>
  <c r="A12927" i="15"/>
  <c r="A12928" i="15"/>
  <c r="A12929" i="15"/>
  <c r="A12930" i="15"/>
  <c r="A12931" i="15"/>
  <c r="A12932" i="15"/>
  <c r="A12933" i="15"/>
  <c r="A12934" i="15"/>
  <c r="A12935" i="15"/>
  <c r="A12936" i="15"/>
  <c r="A12937" i="15"/>
  <c r="A12938" i="15"/>
  <c r="A12939" i="15"/>
  <c r="A12940" i="15"/>
  <c r="A12941" i="15"/>
  <c r="A12942" i="15"/>
  <c r="A12901" i="15"/>
  <c r="A12902" i="15"/>
  <c r="A12903" i="15"/>
  <c r="A12904" i="15"/>
  <c r="A12905" i="15"/>
  <c r="A12906" i="15"/>
  <c r="A12907" i="15"/>
  <c r="A12908" i="15"/>
  <c r="A12909" i="15"/>
  <c r="A12910" i="15"/>
  <c r="A12911" i="15"/>
  <c r="A12912" i="15"/>
  <c r="A12913" i="15"/>
  <c r="A12914" i="15"/>
  <c r="A12915" i="15"/>
  <c r="A12916" i="15"/>
  <c r="A12917" i="15"/>
  <c r="A12918" i="15"/>
  <c r="A12919" i="15"/>
  <c r="A12920" i="15"/>
  <c r="A12921" i="15"/>
  <c r="A12880" i="15"/>
  <c r="A12881" i="15"/>
  <c r="A12882" i="15"/>
  <c r="A12883" i="15"/>
  <c r="A12884" i="15"/>
  <c r="A12885" i="15"/>
  <c r="A12886" i="15"/>
  <c r="A12887" i="15"/>
  <c r="A12888" i="15"/>
  <c r="A12889" i="15"/>
  <c r="A12890" i="15"/>
  <c r="A12891" i="15"/>
  <c r="A12892" i="15"/>
  <c r="A12893" i="15"/>
  <c r="A12894" i="15"/>
  <c r="A12895" i="15"/>
  <c r="A12896" i="15"/>
  <c r="A12897" i="15"/>
  <c r="A12898" i="15"/>
  <c r="A12899" i="15"/>
  <c r="A12900" i="15"/>
  <c r="A12859" i="15"/>
  <c r="A12860" i="15"/>
  <c r="A12861" i="15"/>
  <c r="A12862" i="15"/>
  <c r="A12863" i="15"/>
  <c r="A12864" i="15"/>
  <c r="A12865" i="15"/>
  <c r="A12866" i="15"/>
  <c r="A12867" i="15"/>
  <c r="A12868" i="15"/>
  <c r="A12869" i="15"/>
  <c r="A12870" i="15"/>
  <c r="A12871" i="15"/>
  <c r="A12872" i="15"/>
  <c r="A12873" i="15"/>
  <c r="A12874" i="15"/>
  <c r="A12875" i="15"/>
  <c r="A12876" i="15"/>
  <c r="A12877" i="15"/>
  <c r="A12878" i="15"/>
  <c r="A12879" i="15"/>
  <c r="A12838" i="15"/>
  <c r="A12839" i="15"/>
  <c r="A12840" i="15"/>
  <c r="A12841" i="15"/>
  <c r="A12842" i="15"/>
  <c r="A12843" i="15"/>
  <c r="A12844" i="15"/>
  <c r="A12845" i="15"/>
  <c r="A12846" i="15"/>
  <c r="A12847" i="15"/>
  <c r="A12848" i="15"/>
  <c r="A12849" i="15"/>
  <c r="A12850" i="15"/>
  <c r="A12851" i="15"/>
  <c r="A12852" i="15"/>
  <c r="A12853" i="15"/>
  <c r="A12854" i="15"/>
  <c r="A12855" i="15"/>
  <c r="A12856" i="15"/>
  <c r="A12857" i="15"/>
  <c r="A12858" i="15"/>
  <c r="A12817" i="15"/>
  <c r="A12818" i="15"/>
  <c r="A12819" i="15"/>
  <c r="A12820" i="15"/>
  <c r="A12821" i="15"/>
  <c r="A12822" i="15"/>
  <c r="A12823" i="15"/>
  <c r="A12824" i="15"/>
  <c r="A12825" i="15"/>
  <c r="A12826" i="15"/>
  <c r="A12827" i="15"/>
  <c r="A12828" i="15"/>
  <c r="A12829" i="15"/>
  <c r="A12830" i="15"/>
  <c r="A12831" i="15"/>
  <c r="A12832" i="15"/>
  <c r="A12833" i="15"/>
  <c r="A12834" i="15"/>
  <c r="A12835" i="15"/>
  <c r="A12836" i="15"/>
  <c r="A12837" i="15"/>
  <c r="A12796" i="15"/>
  <c r="A12797" i="15"/>
  <c r="A12798" i="15"/>
  <c r="A12799" i="15"/>
  <c r="A12800" i="15"/>
  <c r="A12801" i="15"/>
  <c r="A12802" i="15"/>
  <c r="A12803" i="15"/>
  <c r="A12804" i="15"/>
  <c r="A12805" i="15"/>
  <c r="A12806" i="15"/>
  <c r="A12807" i="15"/>
  <c r="A12808" i="15"/>
  <c r="A12809" i="15"/>
  <c r="A12810" i="15"/>
  <c r="A12811" i="15"/>
  <c r="A12812" i="15"/>
  <c r="A12813" i="15"/>
  <c r="A12814" i="15"/>
  <c r="A12815" i="15"/>
  <c r="A12816" i="15"/>
  <c r="A12775" i="15"/>
  <c r="A12776" i="15"/>
  <c r="A12777" i="15"/>
  <c r="A12778" i="15"/>
  <c r="A12779" i="15"/>
  <c r="A12780" i="15"/>
  <c r="A12781" i="15"/>
  <c r="A12782" i="15"/>
  <c r="A12783" i="15"/>
  <c r="A12784" i="15"/>
  <c r="A12785" i="15"/>
  <c r="A12786" i="15"/>
  <c r="A12787" i="15"/>
  <c r="A12788" i="15"/>
  <c r="A12789" i="15"/>
  <c r="A12790" i="15"/>
  <c r="A12791" i="15"/>
  <c r="A12792" i="15"/>
  <c r="A12793" i="15"/>
  <c r="A12794" i="15"/>
  <c r="A12795" i="15"/>
  <c r="A12754" i="15"/>
  <c r="A12755" i="15"/>
  <c r="A12756" i="15"/>
  <c r="A12757" i="15"/>
  <c r="A12758" i="15"/>
  <c r="A12759" i="15"/>
  <c r="A12760" i="15"/>
  <c r="A12761" i="15"/>
  <c r="A12762" i="15"/>
  <c r="A12763" i="15"/>
  <c r="A12764" i="15"/>
  <c r="A12765" i="15"/>
  <c r="A12766" i="15"/>
  <c r="A12767" i="15"/>
  <c r="A12768" i="15"/>
  <c r="A12769" i="15"/>
  <c r="A12770" i="15"/>
  <c r="A12771" i="15"/>
  <c r="A12772" i="15"/>
  <c r="A12773" i="15"/>
  <c r="A12774" i="15"/>
  <c r="A12733" i="15"/>
  <c r="A12734" i="15"/>
  <c r="A12735" i="15"/>
  <c r="A12736" i="15"/>
  <c r="A12737" i="15"/>
  <c r="A12738" i="15"/>
  <c r="A12739" i="15"/>
  <c r="A12740" i="15"/>
  <c r="A12741" i="15"/>
  <c r="A12742" i="15"/>
  <c r="A12743" i="15"/>
  <c r="A12744" i="15"/>
  <c r="A12745" i="15"/>
  <c r="A12746" i="15"/>
  <c r="A12747" i="15"/>
  <c r="A12748" i="15"/>
  <c r="A12749" i="15"/>
  <c r="A12750" i="15"/>
  <c r="A12751" i="15"/>
  <c r="A12752" i="15"/>
  <c r="A12753" i="15"/>
  <c r="A12712" i="15"/>
  <c r="A12713" i="15"/>
  <c r="A12714" i="15"/>
  <c r="A12715" i="15"/>
  <c r="A12716" i="15"/>
  <c r="A12717" i="15"/>
  <c r="A12718" i="15"/>
  <c r="A12719" i="15"/>
  <c r="A12720" i="15"/>
  <c r="A12721" i="15"/>
  <c r="A12722" i="15"/>
  <c r="A12723" i="15"/>
  <c r="A12724" i="15"/>
  <c r="A12725" i="15"/>
  <c r="A12726" i="15"/>
  <c r="A12727" i="15"/>
  <c r="A12728" i="15"/>
  <c r="A12729" i="15"/>
  <c r="A12730" i="15"/>
  <c r="A12731" i="15"/>
  <c r="A12732" i="15"/>
  <c r="A12691" i="15"/>
  <c r="A12692" i="15"/>
  <c r="A12693" i="15"/>
  <c r="A12694" i="15"/>
  <c r="A12695" i="15"/>
  <c r="A12696" i="15"/>
  <c r="A12697" i="15"/>
  <c r="A12698" i="15"/>
  <c r="A12699" i="15"/>
  <c r="A12700" i="15"/>
  <c r="A12701" i="15"/>
  <c r="A12702" i="15"/>
  <c r="A12703" i="15"/>
  <c r="A12704" i="15"/>
  <c r="A12705" i="15"/>
  <c r="A12706" i="15"/>
  <c r="A12707" i="15"/>
  <c r="A12708" i="15"/>
  <c r="A12709" i="15"/>
  <c r="A12710" i="15"/>
  <c r="A12711" i="15"/>
  <c r="A12670" i="15"/>
  <c r="A12671" i="15"/>
  <c r="A12672" i="15"/>
  <c r="A12673" i="15"/>
  <c r="A12674" i="15"/>
  <c r="A12675" i="15"/>
  <c r="A12676" i="15"/>
  <c r="A12677" i="15"/>
  <c r="A12678" i="15"/>
  <c r="A12679" i="15"/>
  <c r="A12680" i="15"/>
  <c r="A12681" i="15"/>
  <c r="A12682" i="15"/>
  <c r="A12683" i="15"/>
  <c r="A12684" i="15"/>
  <c r="A12685" i="15"/>
  <c r="A12686" i="15"/>
  <c r="A12687" i="15"/>
  <c r="A12688" i="15"/>
  <c r="A12689" i="15"/>
  <c r="A12690" i="15"/>
  <c r="A12649" i="15"/>
  <c r="A12650" i="15"/>
  <c r="A12651" i="15"/>
  <c r="A12652" i="15"/>
  <c r="A12653" i="15"/>
  <c r="A12654" i="15"/>
  <c r="A12655" i="15"/>
  <c r="A12656" i="15"/>
  <c r="A12657" i="15"/>
  <c r="A12658" i="15"/>
  <c r="A12659" i="15"/>
  <c r="A12660" i="15"/>
  <c r="A12661" i="15"/>
  <c r="A12662" i="15"/>
  <c r="A12663" i="15"/>
  <c r="A12664" i="15"/>
  <c r="A12665" i="15"/>
  <c r="A12666" i="15"/>
  <c r="A12667" i="15"/>
  <c r="A12668" i="15"/>
  <c r="A12669" i="15"/>
  <c r="A12628" i="15"/>
  <c r="A12629" i="15"/>
  <c r="A12630" i="15"/>
  <c r="A12631" i="15"/>
  <c r="A12632" i="15"/>
  <c r="A12633" i="15"/>
  <c r="A12634" i="15"/>
  <c r="A12635" i="15"/>
  <c r="A12636" i="15"/>
  <c r="A12637" i="15"/>
  <c r="A12638" i="15"/>
  <c r="A12639" i="15"/>
  <c r="A12640" i="15"/>
  <c r="A12641" i="15"/>
  <c r="A12642" i="15"/>
  <c r="A12643" i="15"/>
  <c r="A12644" i="15"/>
  <c r="A12645" i="15"/>
  <c r="A12646" i="15"/>
  <c r="A12647" i="15"/>
  <c r="A12648" i="15"/>
  <c r="A12607" i="15"/>
  <c r="A12608" i="15"/>
  <c r="A12609" i="15"/>
  <c r="A12610" i="15"/>
  <c r="A12611" i="15"/>
  <c r="A12612" i="15"/>
  <c r="A12613" i="15"/>
  <c r="A12614" i="15"/>
  <c r="A12615" i="15"/>
  <c r="A12616" i="15"/>
  <c r="A12617" i="15"/>
  <c r="A12618" i="15"/>
  <c r="A12619" i="15"/>
  <c r="A12620" i="15"/>
  <c r="A12621" i="15"/>
  <c r="A12622" i="15"/>
  <c r="A12623" i="15"/>
  <c r="A12624" i="15"/>
  <c r="A12625" i="15"/>
  <c r="A12626" i="15"/>
  <c r="A12627" i="15"/>
  <c r="A12586" i="15"/>
  <c r="A12587" i="15"/>
  <c r="A12588" i="15"/>
  <c r="A12589" i="15"/>
  <c r="A12590" i="15"/>
  <c r="A12591" i="15"/>
  <c r="A12592" i="15"/>
  <c r="A12593" i="15"/>
  <c r="A12594" i="15"/>
  <c r="A12595" i="15"/>
  <c r="A12596" i="15"/>
  <c r="A12597" i="15"/>
  <c r="A12598" i="15"/>
  <c r="A12599" i="15"/>
  <c r="A12600" i="15"/>
  <c r="A12601" i="15"/>
  <c r="A12602" i="15"/>
  <c r="A12603" i="15"/>
  <c r="A12604" i="15"/>
  <c r="A12605" i="15"/>
  <c r="A12606" i="15"/>
  <c r="A12585" i="15"/>
  <c r="A12565" i="15"/>
  <c r="A12566" i="15"/>
  <c r="A12567" i="15"/>
  <c r="A12568" i="15"/>
  <c r="A12569" i="15"/>
  <c r="A12570" i="15"/>
  <c r="A12571" i="15"/>
  <c r="A12572" i="15"/>
  <c r="A12573" i="15"/>
  <c r="A12574" i="15"/>
  <c r="A12575" i="15"/>
  <c r="A12576" i="15"/>
  <c r="A12577" i="15"/>
  <c r="A12578" i="15"/>
  <c r="A12579" i="15"/>
  <c r="A12580" i="15"/>
  <c r="A12581" i="15"/>
  <c r="A12582" i="15"/>
  <c r="A12583" i="15"/>
  <c r="A12584" i="15"/>
  <c r="A12544" i="15"/>
  <c r="A12545" i="15"/>
  <c r="A12546" i="15"/>
  <c r="A12547" i="15"/>
  <c r="A12548" i="15"/>
  <c r="A12549" i="15"/>
  <c r="A12550" i="15"/>
  <c r="A12551" i="15"/>
  <c r="A12552" i="15"/>
  <c r="A12553" i="15"/>
  <c r="A12554" i="15"/>
  <c r="A12555" i="15"/>
  <c r="A12556" i="15"/>
  <c r="A12557" i="15"/>
  <c r="A12558" i="15"/>
  <c r="A12559" i="15"/>
  <c r="A12560" i="15"/>
  <c r="A12561" i="15"/>
  <c r="A12562" i="15"/>
  <c r="A12563" i="15"/>
  <c r="A12564" i="15"/>
  <c r="A12523" i="15"/>
  <c r="A12524" i="15"/>
  <c r="A12525" i="15"/>
  <c r="A12526" i="15"/>
  <c r="A12527" i="15"/>
  <c r="A12528" i="15"/>
  <c r="A12529" i="15"/>
  <c r="A12530" i="15"/>
  <c r="A12531" i="15"/>
  <c r="A12532" i="15"/>
  <c r="A12533" i="15"/>
  <c r="A12534" i="15"/>
  <c r="A12535" i="15"/>
  <c r="A12536" i="15"/>
  <c r="A12537" i="15"/>
  <c r="A12538" i="15"/>
  <c r="A12539" i="15"/>
  <c r="A12540" i="15"/>
  <c r="A12541" i="15"/>
  <c r="A12542" i="15"/>
  <c r="A12543" i="15"/>
  <c r="A12502" i="15"/>
  <c r="A12503" i="15"/>
  <c r="A12504" i="15"/>
  <c r="A12505" i="15"/>
  <c r="A12506" i="15"/>
  <c r="A12507" i="15"/>
  <c r="A12508" i="15"/>
  <c r="A12509" i="15"/>
  <c r="A12510" i="15"/>
  <c r="A12511" i="15"/>
  <c r="A12512" i="15"/>
  <c r="A12513" i="15"/>
  <c r="A12514" i="15"/>
  <c r="A12515" i="15"/>
  <c r="A12516" i="15"/>
  <c r="A12517" i="15"/>
  <c r="A12518" i="15"/>
  <c r="A12519" i="15"/>
  <c r="A12520" i="15"/>
  <c r="A12521" i="15"/>
  <c r="A12522" i="15"/>
  <c r="A12481" i="15"/>
  <c r="A12482" i="15"/>
  <c r="A12483" i="15"/>
  <c r="A12484" i="15"/>
  <c r="A12485" i="15"/>
  <c r="A12486" i="15"/>
  <c r="A12487" i="15"/>
  <c r="A12488" i="15"/>
  <c r="A12489" i="15"/>
  <c r="A12490" i="15"/>
  <c r="A12491" i="15"/>
  <c r="A12492" i="15"/>
  <c r="A12493" i="15"/>
  <c r="A12494" i="15"/>
  <c r="A12495" i="15"/>
  <c r="A12496" i="15"/>
  <c r="A12497" i="15"/>
  <c r="A12498" i="15"/>
  <c r="A12499" i="15"/>
  <c r="A12500" i="15"/>
  <c r="A12501" i="15"/>
  <c r="A12480" i="15"/>
  <c r="A12460" i="15"/>
  <c r="A12461" i="15"/>
  <c r="A12462" i="15"/>
  <c r="A12463" i="15"/>
  <c r="A12464" i="15"/>
  <c r="A12465" i="15"/>
  <c r="A12466" i="15"/>
  <c r="A12467" i="15"/>
  <c r="A12468" i="15"/>
  <c r="A12469" i="15"/>
  <c r="A12470" i="15"/>
  <c r="A12471" i="15"/>
  <c r="A12472" i="15"/>
  <c r="A12473" i="15"/>
  <c r="A12474" i="15"/>
  <c r="A12475" i="15"/>
  <c r="A12476" i="15"/>
  <c r="A12477" i="15"/>
  <c r="A12478" i="15"/>
  <c r="A12479" i="15"/>
  <c r="A12439" i="15"/>
  <c r="A12440" i="15"/>
  <c r="A12441" i="15"/>
  <c r="A12442" i="15"/>
  <c r="A12443" i="15"/>
  <c r="A12444" i="15"/>
  <c r="A12445" i="15"/>
  <c r="A12446" i="15"/>
  <c r="A12447" i="15"/>
  <c r="A12448" i="15"/>
  <c r="A12449" i="15"/>
  <c r="A12450" i="15"/>
  <c r="A12451" i="15"/>
  <c r="A12452" i="15"/>
  <c r="A12453" i="15"/>
  <c r="A12454" i="15"/>
  <c r="A12455" i="15"/>
  <c r="A12456" i="15"/>
  <c r="A12457" i="15"/>
  <c r="A12458" i="15"/>
  <c r="A12459" i="15"/>
  <c r="A12418" i="15"/>
  <c r="A12419" i="15"/>
  <c r="A12420" i="15"/>
  <c r="A12421" i="15"/>
  <c r="A12422" i="15"/>
  <c r="A12423" i="15"/>
  <c r="A12424" i="15"/>
  <c r="A12425" i="15"/>
  <c r="A12426" i="15"/>
  <c r="A12427" i="15"/>
  <c r="A12428" i="15"/>
  <c r="A12429" i="15"/>
  <c r="A12430" i="15"/>
  <c r="A12431" i="15"/>
  <c r="A12432" i="15"/>
  <c r="A12433" i="15"/>
  <c r="A12434" i="15"/>
  <c r="A12435" i="15"/>
  <c r="A12436" i="15"/>
  <c r="A12437" i="15"/>
  <c r="A12438" i="15"/>
  <c r="A12397" i="15"/>
  <c r="A12398" i="15"/>
  <c r="A12399" i="15"/>
  <c r="A12400" i="15"/>
  <c r="A12401" i="15"/>
  <c r="A12402" i="15"/>
  <c r="A12403" i="15"/>
  <c r="A12404" i="15"/>
  <c r="A12405" i="15"/>
  <c r="A12406" i="15"/>
  <c r="A12407" i="15"/>
  <c r="A12408" i="15"/>
  <c r="A12409" i="15"/>
  <c r="A12410" i="15"/>
  <c r="A12411" i="15"/>
  <c r="A12412" i="15"/>
  <c r="A12413" i="15"/>
  <c r="A12414" i="15"/>
  <c r="A12415" i="15"/>
  <c r="A12416" i="15"/>
  <c r="A12417" i="15"/>
  <c r="A12376" i="15"/>
  <c r="A12377" i="15"/>
  <c r="A12378" i="15"/>
  <c r="A12379" i="15"/>
  <c r="A12380" i="15"/>
  <c r="A12381" i="15"/>
  <c r="A12382" i="15"/>
  <c r="A12383" i="15"/>
  <c r="A12384" i="15"/>
  <c r="A12385" i="15"/>
  <c r="A12386" i="15"/>
  <c r="A12387" i="15"/>
  <c r="A12388" i="15"/>
  <c r="A12389" i="15"/>
  <c r="A12390" i="15"/>
  <c r="A12391" i="15"/>
  <c r="A12392" i="15"/>
  <c r="A12393" i="15"/>
  <c r="A12394" i="15"/>
  <c r="A12395" i="15"/>
  <c r="A12396" i="15"/>
  <c r="A12355" i="15"/>
  <c r="A12356" i="15"/>
  <c r="A12357" i="15"/>
  <c r="A12358" i="15"/>
  <c r="A12359" i="15"/>
  <c r="A12360" i="15"/>
  <c r="A12361" i="15"/>
  <c r="A12362" i="15"/>
  <c r="A12363" i="15"/>
  <c r="A12364" i="15"/>
  <c r="A12365" i="15"/>
  <c r="A12366" i="15"/>
  <c r="A12367" i="15"/>
  <c r="A12368" i="15"/>
  <c r="A12369" i="15"/>
  <c r="A12370" i="15"/>
  <c r="A12371" i="15"/>
  <c r="A12372" i="15"/>
  <c r="A12373" i="15"/>
  <c r="A12374" i="15"/>
  <c r="A12375" i="15"/>
  <c r="A12334" i="15"/>
  <c r="A12335" i="15"/>
  <c r="A12336" i="15"/>
  <c r="A12337" i="15"/>
  <c r="A12338" i="15"/>
  <c r="A12339" i="15"/>
  <c r="A12340" i="15"/>
  <c r="A12341" i="15"/>
  <c r="A12342" i="15"/>
  <c r="A12343" i="15"/>
  <c r="A12344" i="15"/>
  <c r="A12345" i="15"/>
  <c r="A12346" i="15"/>
  <c r="A12347" i="15"/>
  <c r="A12348" i="15"/>
  <c r="A12349" i="15"/>
  <c r="A12350" i="15"/>
  <c r="A12351" i="15"/>
  <c r="A12352" i="15"/>
  <c r="A12353" i="15"/>
  <c r="A12354" i="15"/>
  <c r="A12313" i="15"/>
  <c r="A12314" i="15"/>
  <c r="A12315" i="15"/>
  <c r="A12316" i="15"/>
  <c r="A12317" i="15"/>
  <c r="A12318" i="15"/>
  <c r="A12319" i="15"/>
  <c r="A12320" i="15"/>
  <c r="A12321" i="15"/>
  <c r="A12322" i="15"/>
  <c r="A12323" i="15"/>
  <c r="A12324" i="15"/>
  <c r="A12325" i="15"/>
  <c r="A12326" i="15"/>
  <c r="A12327" i="15"/>
  <c r="A12328" i="15"/>
  <c r="A12329" i="15"/>
  <c r="A12330" i="15"/>
  <c r="A12331" i="15"/>
  <c r="A12332" i="15"/>
  <c r="A12333" i="15"/>
  <c r="A12292" i="15"/>
  <c r="A12293" i="15"/>
  <c r="A12294" i="15"/>
  <c r="A12295" i="15"/>
  <c r="A12296" i="15"/>
  <c r="A12297" i="15"/>
  <c r="A12298" i="15"/>
  <c r="A12299" i="15"/>
  <c r="A12300" i="15"/>
  <c r="A12301" i="15"/>
  <c r="A12302" i="15"/>
  <c r="A12303" i="15"/>
  <c r="A12304" i="15"/>
  <c r="A12305" i="15"/>
  <c r="A12306" i="15"/>
  <c r="A12307" i="15"/>
  <c r="A12308" i="15"/>
  <c r="A12309" i="15"/>
  <c r="A12310" i="15"/>
  <c r="A12311" i="15"/>
  <c r="A12312" i="15"/>
  <c r="A12271" i="15"/>
  <c r="A12272" i="15"/>
  <c r="A12273" i="15"/>
  <c r="A12274" i="15"/>
  <c r="A12275" i="15"/>
  <c r="A12276" i="15"/>
  <c r="A12277" i="15"/>
  <c r="A12278" i="15"/>
  <c r="A12279" i="15"/>
  <c r="A12280" i="15"/>
  <c r="A12281" i="15"/>
  <c r="A12282" i="15"/>
  <c r="A12283" i="15"/>
  <c r="A12284" i="15"/>
  <c r="A12285" i="15"/>
  <c r="A12286" i="15"/>
  <c r="A12287" i="15"/>
  <c r="A12288" i="15"/>
  <c r="A12289" i="15"/>
  <c r="A12290" i="15"/>
  <c r="A12291" i="15"/>
  <c r="A12250" i="15"/>
  <c r="A12251" i="15"/>
  <c r="A12252" i="15"/>
  <c r="A12253" i="15"/>
  <c r="A12254" i="15"/>
  <c r="A12255" i="15"/>
  <c r="A12256" i="15"/>
  <c r="A12257" i="15"/>
  <c r="A12258" i="15"/>
  <c r="A12259" i="15"/>
  <c r="A12260" i="15"/>
  <c r="A12261" i="15"/>
  <c r="A12262" i="15"/>
  <c r="A12263" i="15"/>
  <c r="A12264" i="15"/>
  <c r="A12265" i="15"/>
  <c r="A12266" i="15"/>
  <c r="A12267" i="15"/>
  <c r="A12268" i="15"/>
  <c r="A12269" i="15"/>
  <c r="A12270" i="15"/>
  <c r="A12230" i="15"/>
  <c r="A12231" i="15"/>
  <c r="A12232" i="15"/>
  <c r="A12233" i="15"/>
  <c r="A12234" i="15"/>
  <c r="A12235" i="15"/>
  <c r="A12236" i="15"/>
  <c r="A12237" i="15"/>
  <c r="A12238" i="15"/>
  <c r="A12239" i="15"/>
  <c r="A12240" i="15"/>
  <c r="A12241" i="15"/>
  <c r="A12242" i="15"/>
  <c r="A12243" i="15"/>
  <c r="A12244" i="15"/>
  <c r="A12245" i="15"/>
  <c r="A12246" i="15"/>
  <c r="A12247" i="15"/>
  <c r="A12248" i="15"/>
  <c r="A12249" i="15"/>
  <c r="A12229" i="15"/>
  <c r="A12208" i="15"/>
  <c r="A12209" i="15"/>
  <c r="A12210" i="15"/>
  <c r="A12211" i="15"/>
  <c r="A12212" i="15"/>
  <c r="A12213" i="15"/>
  <c r="A12214" i="15"/>
  <c r="A12215" i="15"/>
  <c r="A12216" i="15"/>
  <c r="A12217" i="15"/>
  <c r="A12218" i="15"/>
  <c r="A12219" i="15"/>
  <c r="A12220" i="15"/>
  <c r="A12221" i="15"/>
  <c r="A12222" i="15"/>
  <c r="A12223" i="15"/>
  <c r="A12224" i="15"/>
  <c r="A12225" i="15"/>
  <c r="A12226" i="15"/>
  <c r="A12227" i="15"/>
  <c r="A12228" i="15"/>
  <c r="A12187" i="15"/>
  <c r="A12188" i="15"/>
  <c r="A12189" i="15"/>
  <c r="A12190" i="15"/>
  <c r="A12191" i="15"/>
  <c r="A12192" i="15"/>
  <c r="A12193" i="15"/>
  <c r="A12194" i="15"/>
  <c r="A12195" i="15"/>
  <c r="A12196" i="15"/>
  <c r="A12197" i="15"/>
  <c r="A12198" i="15"/>
  <c r="A12199" i="15"/>
  <c r="A12200" i="15"/>
  <c r="A12201" i="15"/>
  <c r="A12202" i="15"/>
  <c r="A12203" i="15"/>
  <c r="A12204" i="15"/>
  <c r="A12205" i="15"/>
  <c r="A12206" i="15"/>
  <c r="A12207" i="15"/>
  <c r="A12166" i="15"/>
  <c r="A12167" i="15"/>
  <c r="A12168" i="15"/>
  <c r="A12169" i="15"/>
  <c r="A12170" i="15"/>
  <c r="A12171" i="15"/>
  <c r="A12172" i="15"/>
  <c r="A12173" i="15"/>
  <c r="A12174" i="15"/>
  <c r="A12175" i="15"/>
  <c r="A12176" i="15"/>
  <c r="A12177" i="15"/>
  <c r="A12178" i="15"/>
  <c r="A12179" i="15"/>
  <c r="A12180" i="15"/>
  <c r="A12181" i="15"/>
  <c r="A12182" i="15"/>
  <c r="A12183" i="15"/>
  <c r="A12184" i="15"/>
  <c r="A12185" i="15"/>
  <c r="A12186" i="15"/>
  <c r="A12145" i="15"/>
  <c r="A12146" i="15"/>
  <c r="A12147" i="15"/>
  <c r="A12148" i="15"/>
  <c r="A12149" i="15"/>
  <c r="A12150" i="15"/>
  <c r="A12151" i="15"/>
  <c r="A12152" i="15"/>
  <c r="A12153" i="15"/>
  <c r="A12154" i="15"/>
  <c r="A12155" i="15"/>
  <c r="A12156" i="15"/>
  <c r="A12157" i="15"/>
  <c r="A12158" i="15"/>
  <c r="A12159" i="15"/>
  <c r="A12160" i="15"/>
  <c r="A12161" i="15"/>
  <c r="A12162" i="15"/>
  <c r="A12163" i="15"/>
  <c r="A12164" i="15"/>
  <c r="A12165" i="15"/>
  <c r="A12124" i="15"/>
  <c r="A12125" i="15"/>
  <c r="A12126" i="15"/>
  <c r="A12127" i="15"/>
  <c r="A12128" i="15"/>
  <c r="A12129" i="15"/>
  <c r="A12130" i="15"/>
  <c r="A12131" i="15"/>
  <c r="A12132" i="15"/>
  <c r="A12133" i="15"/>
  <c r="A12134" i="15"/>
  <c r="A12135" i="15"/>
  <c r="A12136" i="15"/>
  <c r="A12137" i="15"/>
  <c r="A12138" i="15"/>
  <c r="A12139" i="15"/>
  <c r="A12140" i="15"/>
  <c r="A12141" i="15"/>
  <c r="A12142" i="15"/>
  <c r="A12143" i="15"/>
  <c r="A12144" i="15"/>
  <c r="A12103" i="15"/>
  <c r="A12104" i="15"/>
  <c r="A12105" i="15"/>
  <c r="A12106" i="15"/>
  <c r="A12107" i="15"/>
  <c r="A12108" i="15"/>
  <c r="A12109" i="15"/>
  <c r="A12110" i="15"/>
  <c r="A12111" i="15"/>
  <c r="A12112" i="15"/>
  <c r="A12113" i="15"/>
  <c r="A12114" i="15"/>
  <c r="A12115" i="15"/>
  <c r="A12116" i="15"/>
  <c r="A12117" i="15"/>
  <c r="A12118" i="15"/>
  <c r="A12119" i="15"/>
  <c r="A12120" i="15"/>
  <c r="A12121" i="15"/>
  <c r="A12122" i="15"/>
  <c r="A12123" i="15"/>
  <c r="A12082" i="15"/>
  <c r="A12083" i="15"/>
  <c r="A12084" i="15"/>
  <c r="A12085" i="15"/>
  <c r="A12086" i="15"/>
  <c r="A12087" i="15"/>
  <c r="A12088" i="15"/>
  <c r="A12089" i="15"/>
  <c r="A12090" i="15"/>
  <c r="A12091" i="15"/>
  <c r="A12092" i="15"/>
  <c r="A12093" i="15"/>
  <c r="A12094" i="15"/>
  <c r="A12095" i="15"/>
  <c r="A12096" i="15"/>
  <c r="A12097" i="15"/>
  <c r="A12098" i="15"/>
  <c r="A12099" i="15"/>
  <c r="A12100" i="15"/>
  <c r="A12101" i="15"/>
  <c r="A12102" i="15"/>
  <c r="A12061" i="15"/>
  <c r="A12062" i="15"/>
  <c r="A12063" i="15"/>
  <c r="A12064" i="15"/>
  <c r="A12065" i="15"/>
  <c r="A12066" i="15"/>
  <c r="A12067" i="15"/>
  <c r="A12068" i="15"/>
  <c r="A12069" i="15"/>
  <c r="A12070" i="15"/>
  <c r="A12071" i="15"/>
  <c r="A12072" i="15"/>
  <c r="A12073" i="15"/>
  <c r="A12074" i="15"/>
  <c r="A12075" i="15"/>
  <c r="A12076" i="15"/>
  <c r="A12077" i="15"/>
  <c r="A12078" i="15"/>
  <c r="A12079" i="15"/>
  <c r="A12080" i="15"/>
  <c r="A12081" i="15"/>
  <c r="A12040" i="15"/>
  <c r="A12041" i="15"/>
  <c r="A12042" i="15"/>
  <c r="A12043" i="15"/>
  <c r="A12044" i="15"/>
  <c r="A12045" i="15"/>
  <c r="A12046" i="15"/>
  <c r="A12047" i="15"/>
  <c r="A12048" i="15"/>
  <c r="A12049" i="15"/>
  <c r="A12050" i="15"/>
  <c r="A12051" i="15"/>
  <c r="A12052" i="15"/>
  <c r="A12053" i="15"/>
  <c r="A12054" i="15"/>
  <c r="A12055" i="15"/>
  <c r="A12056" i="15"/>
  <c r="A12057" i="15"/>
  <c r="A12058" i="15"/>
  <c r="A12059" i="15"/>
  <c r="A12060" i="15"/>
  <c r="A12019" i="15"/>
  <c r="A12020" i="15"/>
  <c r="A12021" i="15"/>
  <c r="A12022" i="15"/>
  <c r="A12023" i="15"/>
  <c r="A12024" i="15"/>
  <c r="A12025" i="15"/>
  <c r="A12026" i="15"/>
  <c r="A12027" i="15"/>
  <c r="A12028" i="15"/>
  <c r="A12029" i="15"/>
  <c r="A12030" i="15"/>
  <c r="A12031" i="15"/>
  <c r="A12032" i="15"/>
  <c r="A12033" i="15"/>
  <c r="A12034" i="15"/>
  <c r="A12035" i="15"/>
  <c r="A12036" i="15"/>
  <c r="A12037" i="15"/>
  <c r="A12038" i="15"/>
  <c r="A12039" i="15"/>
  <c r="A11998" i="15"/>
  <c r="A11999" i="15"/>
  <c r="A12000" i="15"/>
  <c r="A12001" i="15"/>
  <c r="A12002" i="15"/>
  <c r="A12003" i="15"/>
  <c r="A12004" i="15"/>
  <c r="A12005" i="15"/>
  <c r="A12006" i="15"/>
  <c r="A12007" i="15"/>
  <c r="A12008" i="15"/>
  <c r="A12009" i="15"/>
  <c r="A12010" i="15"/>
  <c r="A12011" i="15"/>
  <c r="A12012" i="15"/>
  <c r="A12013" i="15"/>
  <c r="A12014" i="15"/>
  <c r="A12015" i="15"/>
  <c r="A12016" i="15"/>
  <c r="A12017" i="15"/>
  <c r="A12018" i="15"/>
  <c r="A11977" i="15"/>
  <c r="A11978" i="15"/>
  <c r="A11979" i="15"/>
  <c r="A11980" i="15"/>
  <c r="A11981" i="15"/>
  <c r="A11982" i="15"/>
  <c r="A11983" i="15"/>
  <c r="A11984" i="15"/>
  <c r="A11985" i="15"/>
  <c r="A11986" i="15"/>
  <c r="A11987" i="15"/>
  <c r="A11988" i="15"/>
  <c r="A11989" i="15"/>
  <c r="A11990" i="15"/>
  <c r="A11991" i="15"/>
  <c r="A11992" i="15"/>
  <c r="A11993" i="15"/>
  <c r="A11994" i="15"/>
  <c r="A11995" i="15"/>
  <c r="A11996" i="15"/>
  <c r="A11997" i="15"/>
  <c r="A11956" i="15"/>
  <c r="A11957" i="15"/>
  <c r="A11958" i="15"/>
  <c r="A11959" i="15"/>
  <c r="A11960" i="15"/>
  <c r="A11961" i="15"/>
  <c r="A11962" i="15"/>
  <c r="A11963" i="15"/>
  <c r="A11964" i="15"/>
  <c r="A11965" i="15"/>
  <c r="A11966" i="15"/>
  <c r="A11967" i="15"/>
  <c r="A11968" i="15"/>
  <c r="A11969" i="15"/>
  <c r="A11970" i="15"/>
  <c r="A11971" i="15"/>
  <c r="A11972" i="15"/>
  <c r="A11973" i="15"/>
  <c r="A11974" i="15"/>
  <c r="A11975" i="15"/>
  <c r="A11976" i="15"/>
  <c r="A11935" i="15"/>
  <c r="A11936" i="15"/>
  <c r="A11937" i="15"/>
  <c r="A11938" i="15"/>
  <c r="A11939" i="15"/>
  <c r="A11940" i="15"/>
  <c r="A11941" i="15"/>
  <c r="A11942" i="15"/>
  <c r="A11943" i="15"/>
  <c r="A11944" i="15"/>
  <c r="A11945" i="15"/>
  <c r="A11946" i="15"/>
  <c r="A11947" i="15"/>
  <c r="A11948" i="15"/>
  <c r="A11949" i="15"/>
  <c r="A11950" i="15"/>
  <c r="A11951" i="15"/>
  <c r="A11952" i="15"/>
  <c r="A11953" i="15"/>
  <c r="A11954" i="15"/>
  <c r="A11955" i="15"/>
  <c r="A11914" i="15"/>
  <c r="A11915" i="15"/>
  <c r="A11916" i="15"/>
  <c r="A11917" i="15"/>
  <c r="A11918" i="15"/>
  <c r="A11919" i="15"/>
  <c r="A11920" i="15"/>
  <c r="A11921" i="15"/>
  <c r="A11922" i="15"/>
  <c r="A11923" i="15"/>
  <c r="A11924" i="15"/>
  <c r="A11925" i="15"/>
  <c r="A11926" i="15"/>
  <c r="A11927" i="15"/>
  <c r="A11928" i="15"/>
  <c r="A11929" i="15"/>
  <c r="A11930" i="15"/>
  <c r="A11931" i="15"/>
  <c r="A11932" i="15"/>
  <c r="A11933" i="15"/>
  <c r="A11934" i="15"/>
  <c r="A11893" i="15"/>
  <c r="A11894" i="15"/>
  <c r="A11895" i="15"/>
  <c r="A11896" i="15"/>
  <c r="A11897" i="15"/>
  <c r="A11898" i="15"/>
  <c r="A11899" i="15"/>
  <c r="A11900" i="15"/>
  <c r="A11901" i="15"/>
  <c r="A11902" i="15"/>
  <c r="A11903" i="15"/>
  <c r="A11904" i="15"/>
  <c r="A11905" i="15"/>
  <c r="A11906" i="15"/>
  <c r="A11907" i="15"/>
  <c r="A11908" i="15"/>
  <c r="A11909" i="15"/>
  <c r="A11910" i="15"/>
  <c r="A11911" i="15"/>
  <c r="A11912" i="15"/>
  <c r="A11913" i="15"/>
  <c r="A11872" i="15"/>
  <c r="A11873" i="15"/>
  <c r="A11874" i="15"/>
  <c r="A11875" i="15"/>
  <c r="A11876" i="15"/>
  <c r="A11877" i="15"/>
  <c r="A11878" i="15"/>
  <c r="A11879" i="15"/>
  <c r="A11880" i="15"/>
  <c r="A11881" i="15"/>
  <c r="A11882" i="15"/>
  <c r="A11883" i="15"/>
  <c r="A11884" i="15"/>
  <c r="A11885" i="15"/>
  <c r="A11886" i="15"/>
  <c r="A11887" i="15"/>
  <c r="A11888" i="15"/>
  <c r="A11889" i="15"/>
  <c r="A11890" i="15"/>
  <c r="A11891" i="15"/>
  <c r="A11892" i="15"/>
  <c r="A11851" i="15"/>
  <c r="A11852" i="15"/>
  <c r="A11853" i="15"/>
  <c r="A11854" i="15"/>
  <c r="A11855" i="15"/>
  <c r="A11856" i="15"/>
  <c r="A11857" i="15"/>
  <c r="A11858" i="15"/>
  <c r="A11859" i="15"/>
  <c r="A11860" i="15"/>
  <c r="A11861" i="15"/>
  <c r="A11862" i="15"/>
  <c r="A11863" i="15"/>
  <c r="A11864" i="15"/>
  <c r="A11865" i="15"/>
  <c r="A11866" i="15"/>
  <c r="A11867" i="15"/>
  <c r="A11868" i="15"/>
  <c r="A11869" i="15"/>
  <c r="A11870" i="15"/>
  <c r="A11871" i="15"/>
  <c r="A11830" i="15"/>
  <c r="A11831" i="15"/>
  <c r="A11832" i="15"/>
  <c r="A11833" i="15"/>
  <c r="A11834" i="15"/>
  <c r="A11835" i="15"/>
  <c r="A11836" i="15"/>
  <c r="A11837" i="15"/>
  <c r="A11838" i="15"/>
  <c r="A11839" i="15"/>
  <c r="A11840" i="15"/>
  <c r="A11841" i="15"/>
  <c r="A11842" i="15"/>
  <c r="A11843" i="15"/>
  <c r="A11844" i="15"/>
  <c r="A11845" i="15"/>
  <c r="A11846" i="15"/>
  <c r="A11847" i="15"/>
  <c r="A11848" i="15"/>
  <c r="A11849" i="15"/>
  <c r="A11850" i="15"/>
  <c r="A11810" i="15"/>
  <c r="A11811" i="15"/>
  <c r="A11812" i="15"/>
  <c r="A11813" i="15"/>
  <c r="A11814" i="15"/>
  <c r="A11815" i="15"/>
  <c r="A11816" i="15"/>
  <c r="A11817" i="15"/>
  <c r="A11818" i="15"/>
  <c r="A11819" i="15"/>
  <c r="A11820" i="15"/>
  <c r="A11821" i="15"/>
  <c r="A11822" i="15"/>
  <c r="A11823" i="15"/>
  <c r="A11824" i="15"/>
  <c r="A11825" i="15"/>
  <c r="A11826" i="15"/>
  <c r="A11827" i="15"/>
  <c r="A11828" i="15"/>
  <c r="A11829" i="15"/>
  <c r="A11809" i="15"/>
  <c r="A11788" i="15"/>
  <c r="A11789" i="15"/>
  <c r="A11790" i="15"/>
  <c r="A11791" i="15"/>
  <c r="A11792" i="15"/>
  <c r="A11793" i="15"/>
  <c r="A11794" i="15"/>
  <c r="A11795" i="15"/>
  <c r="A11796" i="15"/>
  <c r="A11797" i="15"/>
  <c r="A11798" i="15"/>
  <c r="A11799" i="15"/>
  <c r="A11800" i="15"/>
  <c r="A11801" i="15"/>
  <c r="A11802" i="15"/>
  <c r="A11803" i="15"/>
  <c r="A11804" i="15"/>
  <c r="A11805" i="15"/>
  <c r="A11806" i="15"/>
  <c r="A11807" i="15"/>
  <c r="A11808" i="15"/>
  <c r="A11768" i="15"/>
  <c r="A11769" i="15"/>
  <c r="A11770" i="15"/>
  <c r="A11771" i="15"/>
  <c r="A11772" i="15"/>
  <c r="A11773" i="15"/>
  <c r="A11774" i="15"/>
  <c r="A11775" i="15"/>
  <c r="A11776" i="15"/>
  <c r="A11777" i="15"/>
  <c r="A11778" i="15"/>
  <c r="A11779" i="15"/>
  <c r="A11780" i="15"/>
  <c r="A11781" i="15"/>
  <c r="A11782" i="15"/>
  <c r="A11783" i="15"/>
  <c r="A11784" i="15"/>
  <c r="A11785" i="15"/>
  <c r="A11786" i="15"/>
  <c r="A11787" i="15"/>
  <c r="A11767" i="15"/>
  <c r="A11746" i="15"/>
  <c r="A11747" i="15"/>
  <c r="A11748" i="15"/>
  <c r="A11749" i="15"/>
  <c r="A11750" i="15"/>
  <c r="A11751" i="15"/>
  <c r="A11752" i="15"/>
  <c r="A11753" i="15"/>
  <c r="A11754" i="15"/>
  <c r="A11755" i="15"/>
  <c r="A11756" i="15"/>
  <c r="A11757" i="15"/>
  <c r="A11758" i="15"/>
  <c r="A11759" i="15"/>
  <c r="A11760" i="15"/>
  <c r="A11761" i="15"/>
  <c r="A11762" i="15"/>
  <c r="A11763" i="15"/>
  <c r="A11764" i="15"/>
  <c r="A11765" i="15"/>
  <c r="A11766" i="15"/>
  <c r="A11725" i="15"/>
  <c r="A11726" i="15"/>
  <c r="A11727" i="15"/>
  <c r="A11728" i="15"/>
  <c r="A11729" i="15"/>
  <c r="A11730" i="15"/>
  <c r="A11731" i="15"/>
  <c r="A11732" i="15"/>
  <c r="A11733" i="15"/>
  <c r="A11734" i="15"/>
  <c r="A11735" i="15"/>
  <c r="A11736" i="15"/>
  <c r="A11737" i="15"/>
  <c r="A11738" i="15"/>
  <c r="A11739" i="15"/>
  <c r="A11740" i="15"/>
  <c r="A11741" i="15"/>
  <c r="A11742" i="15"/>
  <c r="A11743" i="15"/>
  <c r="A11744" i="15"/>
  <c r="A11745" i="15"/>
  <c r="A11704" i="15"/>
  <c r="A11705" i="15"/>
  <c r="A11706" i="15"/>
  <c r="A11707" i="15"/>
  <c r="A11708" i="15"/>
  <c r="A11709" i="15"/>
  <c r="A11710" i="15"/>
  <c r="A11711" i="15"/>
  <c r="A11712" i="15"/>
  <c r="A11713" i="15"/>
  <c r="A11714" i="15"/>
  <c r="A11715" i="15"/>
  <c r="A11716" i="15"/>
  <c r="A11717" i="15"/>
  <c r="A11718" i="15"/>
  <c r="A11719" i="15"/>
  <c r="A11720" i="15"/>
  <c r="A11721" i="15"/>
  <c r="A11722" i="15"/>
  <c r="A11723" i="15"/>
  <c r="A11724" i="15"/>
  <c r="R1202" i="1" l="1"/>
  <c r="AD1208" i="1"/>
  <c r="AA1203" i="1"/>
  <c r="AI1203" i="1"/>
  <c r="AH1203" i="1"/>
  <c r="S1203" i="1"/>
  <c r="S1202" i="1"/>
  <c r="W1208" i="1"/>
  <c r="AE1208" i="1"/>
  <c r="T1203" i="1"/>
  <c r="AB1203" i="1"/>
  <c r="AC1208" i="1"/>
  <c r="Z1203" i="1"/>
  <c r="AI1201" i="1"/>
  <c r="T1202" i="1"/>
  <c r="P1208" i="1"/>
  <c r="X1208" i="1"/>
  <c r="AF1208" i="1"/>
  <c r="U1203" i="1"/>
  <c r="AC1203" i="1"/>
  <c r="V1208" i="1"/>
  <c r="AC1005" i="1"/>
  <c r="X1202" i="1"/>
  <c r="Q1208" i="1"/>
  <c r="Y1208" i="1"/>
  <c r="AG1208" i="1"/>
  <c r="V1203" i="1"/>
  <c r="AD1203" i="1"/>
  <c r="O1005" i="1"/>
  <c r="Y1202" i="1"/>
  <c r="R1208" i="1"/>
  <c r="Z1208" i="1"/>
  <c r="AH1208" i="1"/>
  <c r="O1203" i="1"/>
  <c r="W1203" i="1"/>
  <c r="AE1203" i="1"/>
  <c r="Z1202" i="1"/>
  <c r="S1208" i="1"/>
  <c r="AI1208" i="1"/>
  <c r="P1203" i="1"/>
  <c r="X1203" i="1"/>
  <c r="AA1202" i="1"/>
  <c r="AI1202" i="1"/>
  <c r="AB1202" i="1"/>
  <c r="U1202" i="1"/>
  <c r="AC1202" i="1"/>
  <c r="V1202" i="1"/>
  <c r="AD1202" i="1"/>
  <c r="W1202" i="1"/>
  <c r="AE1202" i="1"/>
  <c r="AF1005" i="1"/>
  <c r="R1005" i="1"/>
  <c r="S1005" i="1"/>
  <c r="T1005" i="1"/>
  <c r="W1005" i="1"/>
  <c r="X1005" i="1"/>
  <c r="Y1005" i="1"/>
  <c r="Q1005" i="1"/>
  <c r="Z1005" i="1"/>
  <c r="AH1005" i="1"/>
  <c r="T1179" i="1"/>
  <c r="T1201" i="1"/>
  <c r="AB1201" i="1"/>
  <c r="AA1005" i="1"/>
  <c r="AI1005" i="1"/>
  <c r="U1179" i="1"/>
  <c r="U1201" i="1"/>
  <c r="AC1201" i="1"/>
  <c r="AB1005" i="1"/>
  <c r="V1005" i="1"/>
  <c r="V1179" i="1"/>
  <c r="V1201" i="1"/>
  <c r="AD1201" i="1"/>
  <c r="O1179" i="1"/>
  <c r="AD1179" i="1"/>
  <c r="O1201" i="1"/>
  <c r="W1201" i="1"/>
  <c r="AE1201" i="1"/>
  <c r="U1005" i="1"/>
  <c r="AD1005" i="1"/>
  <c r="P1179" i="1"/>
  <c r="P1201" i="1"/>
  <c r="X1201" i="1"/>
  <c r="AF1201" i="1"/>
  <c r="AE1005" i="1"/>
  <c r="Q1179" i="1"/>
  <c r="Q1201" i="1"/>
  <c r="Y1201" i="1"/>
  <c r="AG1201" i="1"/>
  <c r="R1179" i="1"/>
  <c r="AC1179" i="1"/>
  <c r="R1201" i="1"/>
  <c r="Z1201" i="1"/>
  <c r="AH1201" i="1"/>
  <c r="AG1005" i="1"/>
  <c r="S1179" i="1"/>
  <c r="S1201" i="1"/>
  <c r="AA1201" i="1"/>
  <c r="W1179" i="1"/>
  <c r="AE1179" i="1"/>
  <c r="X1179" i="1"/>
  <c r="AF1179" i="1"/>
  <c r="Y1179" i="1"/>
  <c r="AG1179" i="1"/>
  <c r="Z1179" i="1"/>
  <c r="AH1179" i="1"/>
  <c r="AA1179" i="1"/>
  <c r="AI1179" i="1"/>
  <c r="AB1179" i="1"/>
  <c r="A11683" i="15"/>
  <c r="A11684" i="15"/>
  <c r="A11685" i="15"/>
  <c r="A11686" i="15"/>
  <c r="A11687" i="15"/>
  <c r="A11688" i="15"/>
  <c r="A11689" i="15"/>
  <c r="A11690" i="15"/>
  <c r="A11691" i="15"/>
  <c r="A11692" i="15"/>
  <c r="A11693" i="15"/>
  <c r="A11694" i="15"/>
  <c r="A11695" i="15"/>
  <c r="A11696" i="15"/>
  <c r="A11697" i="15"/>
  <c r="A11698" i="15"/>
  <c r="A11699" i="15"/>
  <c r="A11700" i="15"/>
  <c r="A11701" i="15"/>
  <c r="A11702" i="15"/>
  <c r="A11703" i="15"/>
  <c r="A11662" i="15"/>
  <c r="A11663" i="15"/>
  <c r="A11664" i="15"/>
  <c r="A11665" i="15"/>
  <c r="A11666" i="15"/>
  <c r="A11667" i="15"/>
  <c r="A11668" i="15"/>
  <c r="A11669" i="15"/>
  <c r="A11670" i="15"/>
  <c r="A11671" i="15"/>
  <c r="A11672" i="15"/>
  <c r="A11673" i="15"/>
  <c r="A11674" i="15"/>
  <c r="A11675" i="15"/>
  <c r="A11676" i="15"/>
  <c r="A11677" i="15"/>
  <c r="A11678" i="15"/>
  <c r="A11679" i="15"/>
  <c r="A11680" i="15"/>
  <c r="A11681" i="15"/>
  <c r="A11682" i="15"/>
  <c r="A11641" i="15"/>
  <c r="A11642" i="15"/>
  <c r="A11643" i="15"/>
  <c r="A11644" i="15"/>
  <c r="A11645" i="15"/>
  <c r="A11646" i="15"/>
  <c r="A11647" i="15"/>
  <c r="A11648" i="15"/>
  <c r="A11649" i="15"/>
  <c r="A11650" i="15"/>
  <c r="A11651" i="15"/>
  <c r="A11652" i="15"/>
  <c r="A11653" i="15"/>
  <c r="A11654" i="15"/>
  <c r="A11655" i="15"/>
  <c r="A11656" i="15"/>
  <c r="A11657" i="15"/>
  <c r="A11658" i="15"/>
  <c r="A11659" i="15"/>
  <c r="A11660" i="15"/>
  <c r="A11661" i="15"/>
  <c r="A11620" i="15"/>
  <c r="A11621" i="15"/>
  <c r="A11622" i="15"/>
  <c r="A11623" i="15"/>
  <c r="A11624" i="15"/>
  <c r="A11625" i="15"/>
  <c r="A11626" i="15"/>
  <c r="A11627" i="15"/>
  <c r="A11628" i="15"/>
  <c r="A11629" i="15"/>
  <c r="A11630" i="15"/>
  <c r="A11631" i="15"/>
  <c r="A11632" i="15"/>
  <c r="A11633" i="15"/>
  <c r="A11634" i="15"/>
  <c r="A11635" i="15"/>
  <c r="A11636" i="15"/>
  <c r="A11637" i="15"/>
  <c r="A11638" i="15"/>
  <c r="A11639" i="15"/>
  <c r="A11640" i="15"/>
  <c r="A11599" i="15"/>
  <c r="A11600" i="15"/>
  <c r="A11601" i="15"/>
  <c r="A11602" i="15"/>
  <c r="A11603" i="15"/>
  <c r="A11604" i="15"/>
  <c r="A11605" i="15"/>
  <c r="A11606" i="15"/>
  <c r="A11607" i="15"/>
  <c r="A11608" i="15"/>
  <c r="A11609" i="15"/>
  <c r="A11610" i="15"/>
  <c r="A11611" i="15"/>
  <c r="A11612" i="15"/>
  <c r="A11613" i="15"/>
  <c r="A11614" i="15"/>
  <c r="A11615" i="15"/>
  <c r="A11616" i="15"/>
  <c r="A11617" i="15"/>
  <c r="A11618" i="15"/>
  <c r="A11619" i="15"/>
  <c r="A11578" i="15"/>
  <c r="A11579" i="15"/>
  <c r="A11580" i="15"/>
  <c r="A11581" i="15"/>
  <c r="A11582" i="15"/>
  <c r="A11583" i="15"/>
  <c r="A11584" i="15"/>
  <c r="A11585" i="15"/>
  <c r="A11586" i="15"/>
  <c r="A11587" i="15"/>
  <c r="A11588" i="15"/>
  <c r="A11589" i="15"/>
  <c r="A11590" i="15"/>
  <c r="A11591" i="15"/>
  <c r="A11592" i="15"/>
  <c r="A11593" i="15"/>
  <c r="A11594" i="15"/>
  <c r="A11595" i="15"/>
  <c r="A11596" i="15"/>
  <c r="A11597" i="15"/>
  <c r="A11598" i="15"/>
  <c r="A11557" i="15"/>
  <c r="A11558" i="15"/>
  <c r="A11559" i="15"/>
  <c r="A11560" i="15"/>
  <c r="A11561" i="15"/>
  <c r="A11562" i="15"/>
  <c r="A11563" i="15"/>
  <c r="A11564" i="15"/>
  <c r="A11565" i="15"/>
  <c r="A11566" i="15"/>
  <c r="A11567" i="15"/>
  <c r="A11568" i="15"/>
  <c r="A11569" i="15"/>
  <c r="A11570" i="15"/>
  <c r="A11571" i="15"/>
  <c r="A11572" i="15"/>
  <c r="A11573" i="15"/>
  <c r="A11574" i="15"/>
  <c r="A11575" i="15"/>
  <c r="A11576" i="15"/>
  <c r="A11577" i="15"/>
  <c r="A11536" i="15"/>
  <c r="A11537" i="15"/>
  <c r="A11538" i="15"/>
  <c r="A11539" i="15"/>
  <c r="A11540" i="15"/>
  <c r="A11541" i="15"/>
  <c r="A11542" i="15"/>
  <c r="A11543" i="15"/>
  <c r="A11544" i="15"/>
  <c r="A11545" i="15"/>
  <c r="A11546" i="15"/>
  <c r="A11547" i="15"/>
  <c r="A11548" i="15"/>
  <c r="A11549" i="15"/>
  <c r="A11550" i="15"/>
  <c r="A11551" i="15"/>
  <c r="A11552" i="15"/>
  <c r="A11553" i="15"/>
  <c r="A11554" i="15"/>
  <c r="A11555" i="15"/>
  <c r="A11556" i="15"/>
  <c r="A11515" i="15"/>
  <c r="A11516" i="15"/>
  <c r="A11517" i="15"/>
  <c r="A11518" i="15"/>
  <c r="A11519" i="15"/>
  <c r="A11520" i="15"/>
  <c r="A11521" i="15"/>
  <c r="A11522" i="15"/>
  <c r="A11523" i="15"/>
  <c r="A11524" i="15"/>
  <c r="A11525" i="15"/>
  <c r="A11526" i="15"/>
  <c r="A11527" i="15"/>
  <c r="A11528" i="15"/>
  <c r="A11529" i="15"/>
  <c r="A11530" i="15"/>
  <c r="A11531" i="15"/>
  <c r="A11532" i="15"/>
  <c r="A11533" i="15"/>
  <c r="A11534" i="15"/>
  <c r="A11535" i="15"/>
  <c r="A11494" i="15"/>
  <c r="A11495" i="15"/>
  <c r="A11496" i="15"/>
  <c r="A11497" i="15"/>
  <c r="A11498" i="15"/>
  <c r="A11499" i="15"/>
  <c r="A11500" i="15"/>
  <c r="A11501" i="15"/>
  <c r="A11502" i="15"/>
  <c r="A11503" i="15"/>
  <c r="A11504" i="15"/>
  <c r="A11505" i="15"/>
  <c r="A11506" i="15"/>
  <c r="A11507" i="15"/>
  <c r="A11508" i="15"/>
  <c r="A11509" i="15"/>
  <c r="A11510" i="15"/>
  <c r="A11511" i="15"/>
  <c r="A11512" i="15"/>
  <c r="A11513" i="15"/>
  <c r="A11514" i="15"/>
  <c r="A11473" i="15"/>
  <c r="A11474" i="15"/>
  <c r="A11475" i="15"/>
  <c r="A11476" i="15"/>
  <c r="A11477" i="15"/>
  <c r="A11478" i="15"/>
  <c r="A11479" i="15"/>
  <c r="A11480" i="15"/>
  <c r="A11481" i="15"/>
  <c r="A11482" i="15"/>
  <c r="A11483" i="15"/>
  <c r="A11484" i="15"/>
  <c r="A11485" i="15"/>
  <c r="A11486" i="15"/>
  <c r="A11487" i="15"/>
  <c r="A11488" i="15"/>
  <c r="A11489" i="15"/>
  <c r="A11490" i="15"/>
  <c r="A11491" i="15"/>
  <c r="A11492" i="15"/>
  <c r="A11493" i="15"/>
  <c r="A11452" i="15"/>
  <c r="A11453" i="15"/>
  <c r="A11454" i="15"/>
  <c r="A11455" i="15"/>
  <c r="A11456" i="15"/>
  <c r="A11457" i="15"/>
  <c r="A11458" i="15"/>
  <c r="A11459" i="15"/>
  <c r="A11460" i="15"/>
  <c r="A11461" i="15"/>
  <c r="A11462" i="15"/>
  <c r="A11463" i="15"/>
  <c r="A11464" i="15"/>
  <c r="A11465" i="15"/>
  <c r="A11466" i="15"/>
  <c r="A11467" i="15"/>
  <c r="A11468" i="15"/>
  <c r="A11469" i="15"/>
  <c r="A11470" i="15"/>
  <c r="A11471" i="15"/>
  <c r="A11472" i="15"/>
  <c r="A11431" i="15"/>
  <c r="A11432" i="15"/>
  <c r="A11433" i="15"/>
  <c r="A11434" i="15"/>
  <c r="A11435" i="15"/>
  <c r="A11436" i="15"/>
  <c r="A11437" i="15"/>
  <c r="A11438" i="15"/>
  <c r="A11439" i="15"/>
  <c r="A11440" i="15"/>
  <c r="A11441" i="15"/>
  <c r="A11442" i="15"/>
  <c r="A11443" i="15"/>
  <c r="A11444" i="15"/>
  <c r="A11445" i="15"/>
  <c r="A11446" i="15"/>
  <c r="A11447" i="15"/>
  <c r="A11448" i="15"/>
  <c r="A11449" i="15"/>
  <c r="A11450" i="15"/>
  <c r="A11451" i="15"/>
  <c r="A11410" i="15"/>
  <c r="A11411" i="15"/>
  <c r="A11412" i="15"/>
  <c r="A11413" i="15"/>
  <c r="A11414" i="15"/>
  <c r="A11415" i="15"/>
  <c r="A11416" i="15"/>
  <c r="A11417" i="15"/>
  <c r="A11418" i="15"/>
  <c r="A11419" i="15"/>
  <c r="A11420" i="15"/>
  <c r="A11421" i="15"/>
  <c r="A11422" i="15"/>
  <c r="A11423" i="15"/>
  <c r="A11424" i="15"/>
  <c r="A11425" i="15"/>
  <c r="A11426" i="15"/>
  <c r="A11427" i="15"/>
  <c r="A11428" i="15"/>
  <c r="A11429" i="15"/>
  <c r="A11430" i="15"/>
  <c r="A11389" i="15"/>
  <c r="A11390" i="15"/>
  <c r="A11391" i="15"/>
  <c r="A11392" i="15"/>
  <c r="A11393" i="15"/>
  <c r="A11394" i="15"/>
  <c r="A11395" i="15"/>
  <c r="A11396" i="15"/>
  <c r="A11397" i="15"/>
  <c r="A11398" i="15"/>
  <c r="A11399" i="15"/>
  <c r="A11400" i="15"/>
  <c r="A11401" i="15"/>
  <c r="A11402" i="15"/>
  <c r="A11403" i="15"/>
  <c r="A11404" i="15"/>
  <c r="A11405" i="15"/>
  <c r="A11406" i="15"/>
  <c r="A11407" i="15"/>
  <c r="A11408" i="15"/>
  <c r="A11409" i="15"/>
  <c r="A11368" i="15"/>
  <c r="A11369" i="15"/>
  <c r="A11370" i="15"/>
  <c r="A11371" i="15"/>
  <c r="A11372" i="15"/>
  <c r="A11373" i="15"/>
  <c r="A11374" i="15"/>
  <c r="A11375" i="15"/>
  <c r="A11376" i="15"/>
  <c r="A11377" i="15"/>
  <c r="A11378" i="15"/>
  <c r="A11379" i="15"/>
  <c r="A11380" i="15"/>
  <c r="A11381" i="15"/>
  <c r="A11382" i="15"/>
  <c r="A11383" i="15"/>
  <c r="A11384" i="15"/>
  <c r="A11385" i="15"/>
  <c r="A11386" i="15"/>
  <c r="A11387" i="15"/>
  <c r="A11388" i="15"/>
  <c r="A11347" i="15"/>
  <c r="A11348" i="15"/>
  <c r="A11349" i="15"/>
  <c r="A11350" i="15"/>
  <c r="A11351" i="15"/>
  <c r="A11352" i="15"/>
  <c r="A11353" i="15"/>
  <c r="A11354" i="15"/>
  <c r="A11355" i="15"/>
  <c r="A11356" i="15"/>
  <c r="A11357" i="15"/>
  <c r="A11358" i="15"/>
  <c r="A11359" i="15"/>
  <c r="A11360" i="15"/>
  <c r="A11361" i="15"/>
  <c r="A11362" i="15"/>
  <c r="A11363" i="15"/>
  <c r="A11364" i="15"/>
  <c r="A11365" i="15"/>
  <c r="A11366" i="15"/>
  <c r="A11367" i="15"/>
  <c r="A11326" i="15"/>
  <c r="A11327" i="15"/>
  <c r="A11328" i="15"/>
  <c r="A11329" i="15"/>
  <c r="A11330" i="15"/>
  <c r="A11331" i="15"/>
  <c r="A11332" i="15"/>
  <c r="A11333" i="15"/>
  <c r="A11334" i="15"/>
  <c r="A11335" i="15"/>
  <c r="A11336" i="15"/>
  <c r="A11337" i="15"/>
  <c r="A11338" i="15"/>
  <c r="A11339" i="15"/>
  <c r="A11340" i="15"/>
  <c r="A11341" i="15"/>
  <c r="A11342" i="15"/>
  <c r="A11343" i="15"/>
  <c r="A11344" i="15"/>
  <c r="A11345" i="15"/>
  <c r="A11346" i="15"/>
  <c r="A11305" i="15"/>
  <c r="A11306" i="15"/>
  <c r="A11307" i="15"/>
  <c r="A11308" i="15"/>
  <c r="A11309" i="15"/>
  <c r="A11310" i="15"/>
  <c r="A11311" i="15"/>
  <c r="A11312" i="15"/>
  <c r="A11313" i="15"/>
  <c r="A11314" i="15"/>
  <c r="A11315" i="15"/>
  <c r="A11316" i="15"/>
  <c r="A11317" i="15"/>
  <c r="A11318" i="15"/>
  <c r="A11319" i="15"/>
  <c r="A11320" i="15"/>
  <c r="A11321" i="15"/>
  <c r="A11322" i="15"/>
  <c r="A11323" i="15"/>
  <c r="A11324" i="15"/>
  <c r="A11325" i="15"/>
  <c r="A11284" i="15"/>
  <c r="A11285" i="15"/>
  <c r="A11286" i="15"/>
  <c r="A11287" i="15"/>
  <c r="A11288" i="15"/>
  <c r="A11289" i="15"/>
  <c r="A11290" i="15"/>
  <c r="A11291" i="15"/>
  <c r="A11292" i="15"/>
  <c r="A11293" i="15"/>
  <c r="A11294" i="15"/>
  <c r="A11295" i="15"/>
  <c r="A11296" i="15"/>
  <c r="A11297" i="15"/>
  <c r="A11298" i="15"/>
  <c r="A11299" i="15"/>
  <c r="A11300" i="15"/>
  <c r="A11301" i="15"/>
  <c r="A11302" i="15"/>
  <c r="A11303" i="15"/>
  <c r="A11304" i="15"/>
  <c r="A11263" i="15"/>
  <c r="A11264" i="15"/>
  <c r="A11265" i="15"/>
  <c r="A11266" i="15"/>
  <c r="A11267" i="15"/>
  <c r="A11268" i="15"/>
  <c r="A11269" i="15"/>
  <c r="A11270" i="15"/>
  <c r="A11271" i="15"/>
  <c r="A11272" i="15"/>
  <c r="A11273" i="15"/>
  <c r="A11274" i="15"/>
  <c r="A11275" i="15"/>
  <c r="A11276" i="15"/>
  <c r="A11277" i="15"/>
  <c r="A11278" i="15"/>
  <c r="A11279" i="15"/>
  <c r="A11280" i="15"/>
  <c r="A11281" i="15"/>
  <c r="A11282" i="15"/>
  <c r="A11283" i="15"/>
  <c r="A11242" i="15"/>
  <c r="A11243" i="15"/>
  <c r="A11244" i="15"/>
  <c r="A11245" i="15"/>
  <c r="A11246" i="15"/>
  <c r="A11247" i="15"/>
  <c r="A11248" i="15"/>
  <c r="A11249" i="15"/>
  <c r="A11250" i="15"/>
  <c r="A11251" i="15"/>
  <c r="A11252" i="15"/>
  <c r="A11253" i="15"/>
  <c r="A11254" i="15"/>
  <c r="A11255" i="15"/>
  <c r="A11256" i="15"/>
  <c r="A11257" i="15"/>
  <c r="A11258" i="15"/>
  <c r="A11259" i="15"/>
  <c r="A11260" i="15"/>
  <c r="A11261" i="15"/>
  <c r="A11262" i="15"/>
  <c r="A11221" i="15"/>
  <c r="A11222" i="15"/>
  <c r="A11223" i="15"/>
  <c r="A11224" i="15"/>
  <c r="A11225" i="15"/>
  <c r="A11226" i="15"/>
  <c r="A11227" i="15"/>
  <c r="A11228" i="15"/>
  <c r="A11229" i="15"/>
  <c r="A11230" i="15"/>
  <c r="A11231" i="15"/>
  <c r="A11232" i="15"/>
  <c r="A11233" i="15"/>
  <c r="A11234" i="15"/>
  <c r="A11235" i="15"/>
  <c r="A11236" i="15"/>
  <c r="A11237" i="15"/>
  <c r="A11238" i="15"/>
  <c r="A11239" i="15"/>
  <c r="A11240" i="15"/>
  <c r="A11241" i="15"/>
  <c r="A11200" i="15"/>
  <c r="A11201" i="15"/>
  <c r="A11202" i="15"/>
  <c r="A11203" i="15"/>
  <c r="A11204" i="15"/>
  <c r="A11205" i="15"/>
  <c r="A11206" i="15"/>
  <c r="A11207" i="15"/>
  <c r="A11208" i="15"/>
  <c r="A11209" i="15"/>
  <c r="A11210" i="15"/>
  <c r="A11211" i="15"/>
  <c r="A11212" i="15"/>
  <c r="A11213" i="15"/>
  <c r="A11214" i="15"/>
  <c r="A11215" i="15"/>
  <c r="A11216" i="15"/>
  <c r="A11217" i="15"/>
  <c r="A11218" i="15"/>
  <c r="A11219" i="15"/>
  <c r="A11220" i="15"/>
  <c r="A11179" i="15"/>
  <c r="A11180" i="15"/>
  <c r="A11181" i="15"/>
  <c r="A11182" i="15"/>
  <c r="A11183" i="15"/>
  <c r="A11184" i="15"/>
  <c r="A11185" i="15"/>
  <c r="A11186" i="15"/>
  <c r="A11187" i="15"/>
  <c r="A11188" i="15"/>
  <c r="A11189" i="15"/>
  <c r="A11190" i="15"/>
  <c r="A11191" i="15"/>
  <c r="A11192" i="15"/>
  <c r="A11193" i="15"/>
  <c r="A11194" i="15"/>
  <c r="A11195" i="15"/>
  <c r="A11196" i="15"/>
  <c r="A11197" i="15"/>
  <c r="A11198" i="15"/>
  <c r="A11199" i="15"/>
  <c r="A11158" i="15"/>
  <c r="A11159" i="15"/>
  <c r="A11160" i="15"/>
  <c r="A11161" i="15"/>
  <c r="A11162" i="15"/>
  <c r="A11163" i="15"/>
  <c r="A11164" i="15"/>
  <c r="A11165" i="15"/>
  <c r="A11166" i="15"/>
  <c r="A11167" i="15"/>
  <c r="A11168" i="15"/>
  <c r="A11169" i="15"/>
  <c r="A11170" i="15"/>
  <c r="A11171" i="15"/>
  <c r="A11172" i="15"/>
  <c r="A11173" i="15"/>
  <c r="A11174" i="15"/>
  <c r="A11175" i="15"/>
  <c r="A11176" i="15"/>
  <c r="A11177" i="15"/>
  <c r="A11178" i="15"/>
  <c r="A11137" i="15"/>
  <c r="A11138" i="15"/>
  <c r="A11139" i="15"/>
  <c r="A11140" i="15"/>
  <c r="A11141" i="15"/>
  <c r="A11142" i="15"/>
  <c r="A11143" i="15"/>
  <c r="A11144" i="15"/>
  <c r="A11145" i="15"/>
  <c r="A11146" i="15"/>
  <c r="A11147" i="15"/>
  <c r="A11148" i="15"/>
  <c r="A11149" i="15"/>
  <c r="A11150" i="15"/>
  <c r="A11151" i="15"/>
  <c r="A11152" i="15"/>
  <c r="A11153" i="15"/>
  <c r="A11154" i="15"/>
  <c r="A11155" i="15"/>
  <c r="A11156" i="15"/>
  <c r="A11157" i="15"/>
  <c r="A11116" i="15"/>
  <c r="A11117" i="15"/>
  <c r="A11118" i="15"/>
  <c r="A11119" i="15"/>
  <c r="A11120" i="15"/>
  <c r="A11121" i="15"/>
  <c r="A11122" i="15"/>
  <c r="A11123" i="15"/>
  <c r="A11124" i="15"/>
  <c r="A11125" i="15"/>
  <c r="A11126" i="15"/>
  <c r="A11127" i="15"/>
  <c r="A11128" i="15"/>
  <c r="A11129" i="15"/>
  <c r="A11130" i="15"/>
  <c r="A11131" i="15"/>
  <c r="A11132" i="15"/>
  <c r="A11133" i="15"/>
  <c r="A11134" i="15"/>
  <c r="A11135" i="15"/>
  <c r="A11136" i="15"/>
  <c r="A11095" i="15"/>
  <c r="A11096" i="15"/>
  <c r="A11097" i="15"/>
  <c r="A11098" i="15"/>
  <c r="A11099" i="15"/>
  <c r="A11100" i="15"/>
  <c r="A11101" i="15"/>
  <c r="A11102" i="15"/>
  <c r="A11103" i="15"/>
  <c r="A11104" i="15"/>
  <c r="A11105" i="15"/>
  <c r="A11106" i="15"/>
  <c r="A11107" i="15"/>
  <c r="A11108" i="15"/>
  <c r="A11109" i="15"/>
  <c r="A11110" i="15"/>
  <c r="A11111" i="15"/>
  <c r="A11112" i="15"/>
  <c r="A11113" i="15"/>
  <c r="A11114" i="15"/>
  <c r="A11115" i="15"/>
  <c r="A11074" i="15"/>
  <c r="A11075" i="15"/>
  <c r="A11076" i="15"/>
  <c r="A11077" i="15"/>
  <c r="A11078" i="15"/>
  <c r="A11079" i="15"/>
  <c r="A11080" i="15"/>
  <c r="A11081" i="15"/>
  <c r="A11082" i="15"/>
  <c r="A11083" i="15"/>
  <c r="A11084" i="15"/>
  <c r="A11085" i="15"/>
  <c r="A11086" i="15"/>
  <c r="A11087" i="15"/>
  <c r="A11088" i="15"/>
  <c r="A11089" i="15"/>
  <c r="A11090" i="15"/>
  <c r="A11091" i="15"/>
  <c r="A11092" i="15"/>
  <c r="A11093" i="15"/>
  <c r="A11094" i="15"/>
  <c r="A11053" i="15"/>
  <c r="A11054" i="15"/>
  <c r="A11055" i="15"/>
  <c r="A11056" i="15"/>
  <c r="A11057" i="15"/>
  <c r="A11058" i="15"/>
  <c r="A11059" i="15"/>
  <c r="A11060" i="15"/>
  <c r="A11061" i="15"/>
  <c r="A11062" i="15"/>
  <c r="A11063" i="15"/>
  <c r="A11064" i="15"/>
  <c r="A11065" i="15"/>
  <c r="A11066" i="15"/>
  <c r="A11067" i="15"/>
  <c r="A11068" i="15"/>
  <c r="A11069" i="15"/>
  <c r="A11070" i="15"/>
  <c r="A11071" i="15"/>
  <c r="A11072" i="15"/>
  <c r="A11073" i="15"/>
  <c r="A11032" i="15"/>
  <c r="A11033" i="15"/>
  <c r="A11034" i="15"/>
  <c r="A11035" i="15"/>
  <c r="A11036" i="15"/>
  <c r="A11037" i="15"/>
  <c r="A11038" i="15"/>
  <c r="A11039" i="15"/>
  <c r="A11040" i="15"/>
  <c r="A11041" i="15"/>
  <c r="A11042" i="15"/>
  <c r="A11043" i="15"/>
  <c r="A11044" i="15"/>
  <c r="A11045" i="15"/>
  <c r="A11046" i="15"/>
  <c r="A11047" i="15"/>
  <c r="A11048" i="15"/>
  <c r="A11049" i="15"/>
  <c r="A11050" i="15"/>
  <c r="A11051" i="15"/>
  <c r="A11052" i="15"/>
  <c r="A11011" i="15"/>
  <c r="A11012" i="15"/>
  <c r="A11013" i="15"/>
  <c r="A11014" i="15"/>
  <c r="A11015" i="15"/>
  <c r="A11016" i="15"/>
  <c r="A11017" i="15"/>
  <c r="A11018" i="15"/>
  <c r="A11019" i="15"/>
  <c r="A11020" i="15"/>
  <c r="A11021" i="15"/>
  <c r="A11022" i="15"/>
  <c r="A11023" i="15"/>
  <c r="A11024" i="15"/>
  <c r="A11025" i="15"/>
  <c r="A11026" i="15"/>
  <c r="A11027" i="15"/>
  <c r="A11028" i="15"/>
  <c r="A11029" i="15"/>
  <c r="A11030" i="15"/>
  <c r="A11031" i="15"/>
  <c r="A10990" i="15"/>
  <c r="A10991" i="15"/>
  <c r="A10992" i="15"/>
  <c r="A10993" i="15"/>
  <c r="A10994" i="15"/>
  <c r="A10995" i="15"/>
  <c r="A10996" i="15"/>
  <c r="A10997" i="15"/>
  <c r="A10998" i="15"/>
  <c r="A10999" i="15"/>
  <c r="A11000" i="15"/>
  <c r="A11001" i="15"/>
  <c r="A11002" i="15"/>
  <c r="A11003" i="15"/>
  <c r="A11004" i="15"/>
  <c r="A11005" i="15"/>
  <c r="A11006" i="15"/>
  <c r="A11007" i="15"/>
  <c r="A11008" i="15"/>
  <c r="A11009" i="15"/>
  <c r="A11010" i="15"/>
  <c r="A10969" i="15"/>
  <c r="A10970" i="15"/>
  <c r="A10971" i="15"/>
  <c r="A10972" i="15"/>
  <c r="A10973" i="15"/>
  <c r="A10974" i="15"/>
  <c r="A10975" i="15"/>
  <c r="A10976" i="15"/>
  <c r="A10977" i="15"/>
  <c r="A10978" i="15"/>
  <c r="A10979" i="15"/>
  <c r="A10980" i="15"/>
  <c r="A10981" i="15"/>
  <c r="A10982" i="15"/>
  <c r="A10983" i="15"/>
  <c r="A10984" i="15"/>
  <c r="A10985" i="15"/>
  <c r="A10986" i="15"/>
  <c r="A10987" i="15"/>
  <c r="A10988" i="15"/>
  <c r="A10989" i="15"/>
  <c r="A10948" i="15"/>
  <c r="A10949" i="15"/>
  <c r="A10950" i="15"/>
  <c r="A10951" i="15"/>
  <c r="A10952" i="15"/>
  <c r="A10953" i="15"/>
  <c r="A10954" i="15"/>
  <c r="A10955" i="15"/>
  <c r="A10956" i="15"/>
  <c r="A10957" i="15"/>
  <c r="A10958" i="15"/>
  <c r="A10959" i="15"/>
  <c r="A10960" i="15"/>
  <c r="A10961" i="15"/>
  <c r="A10962" i="15"/>
  <c r="A10963" i="15"/>
  <c r="A10964" i="15"/>
  <c r="A10965" i="15"/>
  <c r="A10966" i="15"/>
  <c r="A10967" i="15"/>
  <c r="A10968" i="15"/>
  <c r="A10927" i="15"/>
  <c r="A10928" i="15"/>
  <c r="A10929" i="15"/>
  <c r="A10930" i="15"/>
  <c r="A10931" i="15"/>
  <c r="A10932" i="15"/>
  <c r="A10933" i="15"/>
  <c r="A10934" i="15"/>
  <c r="A10935" i="15"/>
  <c r="A10936" i="15"/>
  <c r="A10937" i="15"/>
  <c r="A10938" i="15"/>
  <c r="A10939" i="15"/>
  <c r="A10940" i="15"/>
  <c r="A10941" i="15"/>
  <c r="A10942" i="15"/>
  <c r="A10943" i="15"/>
  <c r="A10944" i="15"/>
  <c r="A10945" i="15"/>
  <c r="A10946" i="15"/>
  <c r="A10947" i="15"/>
  <c r="A10906" i="15"/>
  <c r="A10907" i="15"/>
  <c r="A10908" i="15"/>
  <c r="A10909" i="15"/>
  <c r="A10910" i="15"/>
  <c r="A10911" i="15"/>
  <c r="A10912" i="15"/>
  <c r="A10913" i="15"/>
  <c r="A10914" i="15"/>
  <c r="A10915" i="15"/>
  <c r="A10916" i="15"/>
  <c r="A10917" i="15"/>
  <c r="A10918" i="15"/>
  <c r="A10919" i="15"/>
  <c r="A10920" i="15"/>
  <c r="A10921" i="15"/>
  <c r="A10922" i="15"/>
  <c r="A10923" i="15"/>
  <c r="A10924" i="15"/>
  <c r="A10925" i="15"/>
  <c r="A10926" i="15"/>
  <c r="A10885" i="15"/>
  <c r="A10886" i="15"/>
  <c r="A10887" i="15"/>
  <c r="A10888" i="15"/>
  <c r="A10889" i="15"/>
  <c r="A10890" i="15"/>
  <c r="A10891" i="15"/>
  <c r="A10892" i="15"/>
  <c r="A10893" i="15"/>
  <c r="A10894" i="15"/>
  <c r="A10895" i="15"/>
  <c r="A10896" i="15"/>
  <c r="A10897" i="15"/>
  <c r="A10898" i="15"/>
  <c r="A10899" i="15"/>
  <c r="A10900" i="15"/>
  <c r="A10901" i="15"/>
  <c r="A10902" i="15"/>
  <c r="A10903" i="15"/>
  <c r="A10904" i="15"/>
  <c r="A10905" i="15"/>
  <c r="A10864" i="15"/>
  <c r="A10865" i="15"/>
  <c r="A10866" i="15"/>
  <c r="A10867" i="15"/>
  <c r="A10868" i="15"/>
  <c r="A10869" i="15"/>
  <c r="A10870" i="15"/>
  <c r="A10871" i="15"/>
  <c r="A10872" i="15"/>
  <c r="A10873" i="15"/>
  <c r="A10874" i="15"/>
  <c r="A10875" i="15"/>
  <c r="A10876" i="15"/>
  <c r="A10877" i="15"/>
  <c r="A10878" i="15"/>
  <c r="A10879" i="15"/>
  <c r="A10880" i="15"/>
  <c r="A10881" i="15"/>
  <c r="A10882" i="15"/>
  <c r="A10883" i="15"/>
  <c r="A10884" i="15"/>
  <c r="A10843" i="15"/>
  <c r="A10844" i="15"/>
  <c r="A10845" i="15"/>
  <c r="A10846" i="15"/>
  <c r="A10847" i="15"/>
  <c r="A10848" i="15"/>
  <c r="A10849" i="15"/>
  <c r="A10850" i="15"/>
  <c r="A10851" i="15"/>
  <c r="A10852" i="15"/>
  <c r="A10853" i="15"/>
  <c r="A10854" i="15"/>
  <c r="A10855" i="15"/>
  <c r="A10856" i="15"/>
  <c r="A10857" i="15"/>
  <c r="A10858" i="15"/>
  <c r="A10859" i="15"/>
  <c r="A10860" i="15"/>
  <c r="A10861" i="15"/>
  <c r="A10862" i="15"/>
  <c r="A10863" i="15"/>
  <c r="A10822" i="15"/>
  <c r="A10823" i="15"/>
  <c r="A10824" i="15"/>
  <c r="A10825" i="15"/>
  <c r="A10826" i="15"/>
  <c r="A10827" i="15"/>
  <c r="A10828" i="15"/>
  <c r="A10829" i="15"/>
  <c r="A10830" i="15"/>
  <c r="A10831" i="15"/>
  <c r="A10832" i="15"/>
  <c r="A10833" i="15"/>
  <c r="A10834" i="15"/>
  <c r="A10835" i="15"/>
  <c r="A10836" i="15"/>
  <c r="A10837" i="15"/>
  <c r="A10838" i="15"/>
  <c r="A10839" i="15"/>
  <c r="A10840" i="15"/>
  <c r="A10841" i="15"/>
  <c r="A10842" i="15"/>
  <c r="A10801" i="15"/>
  <c r="A10802" i="15"/>
  <c r="A10803" i="15"/>
  <c r="A10804" i="15"/>
  <c r="A10805" i="15"/>
  <c r="A10806" i="15"/>
  <c r="A10807" i="15"/>
  <c r="A10808" i="15"/>
  <c r="A10809" i="15"/>
  <c r="A10810" i="15"/>
  <c r="A10811" i="15"/>
  <c r="A10812" i="15"/>
  <c r="A10813" i="15"/>
  <c r="A10814" i="15"/>
  <c r="A10815" i="15"/>
  <c r="A10816" i="15"/>
  <c r="A10817" i="15"/>
  <c r="A10818" i="15"/>
  <c r="A10819" i="15"/>
  <c r="A10820" i="15"/>
  <c r="A10821" i="15"/>
  <c r="A10780" i="15"/>
  <c r="A10781" i="15"/>
  <c r="A10782" i="15"/>
  <c r="A10783" i="15"/>
  <c r="A10784" i="15"/>
  <c r="A10785" i="15"/>
  <c r="A10786" i="15"/>
  <c r="A10787" i="15"/>
  <c r="A10788" i="15"/>
  <c r="A10789" i="15"/>
  <c r="A10790" i="15"/>
  <c r="A10791" i="15"/>
  <c r="A10792" i="15"/>
  <c r="A10793" i="15"/>
  <c r="A10794" i="15"/>
  <c r="A10795" i="15"/>
  <c r="A10796" i="15"/>
  <c r="A10797" i="15"/>
  <c r="A10798" i="15"/>
  <c r="A10799" i="15"/>
  <c r="A10800" i="15"/>
  <c r="A10759" i="15"/>
  <c r="A10760" i="15"/>
  <c r="A10761" i="15"/>
  <c r="A10762" i="15"/>
  <c r="A10763" i="15"/>
  <c r="A10764" i="15"/>
  <c r="A10765" i="15"/>
  <c r="A10766" i="15"/>
  <c r="A10767" i="15"/>
  <c r="A10768" i="15"/>
  <c r="A10769" i="15"/>
  <c r="A10770" i="15"/>
  <c r="A10771" i="15"/>
  <c r="A10772" i="15"/>
  <c r="A10773" i="15"/>
  <c r="A10774" i="15"/>
  <c r="A10775" i="15"/>
  <c r="A10776" i="15"/>
  <c r="A10777" i="15"/>
  <c r="A10778" i="15"/>
  <c r="A10779" i="15"/>
  <c r="A10738" i="15"/>
  <c r="A10739" i="15"/>
  <c r="A10740" i="15"/>
  <c r="A10741" i="15"/>
  <c r="A10742" i="15"/>
  <c r="A10743" i="15"/>
  <c r="A10744" i="15"/>
  <c r="A10745" i="15"/>
  <c r="A10746" i="15"/>
  <c r="A10747" i="15"/>
  <c r="A10748" i="15"/>
  <c r="A10749" i="15"/>
  <c r="A10750" i="15"/>
  <c r="A10751" i="15"/>
  <c r="A10752" i="15"/>
  <c r="A10753" i="15"/>
  <c r="A10754" i="15"/>
  <c r="A10755" i="15"/>
  <c r="A10756" i="15"/>
  <c r="A10757" i="15"/>
  <c r="A10758" i="15"/>
  <c r="A10717" i="15"/>
  <c r="A10718" i="15"/>
  <c r="A10719" i="15"/>
  <c r="A10720" i="15"/>
  <c r="A10721" i="15"/>
  <c r="A10722" i="15"/>
  <c r="A10723" i="15"/>
  <c r="A10724" i="15"/>
  <c r="A10725" i="15"/>
  <c r="A10726" i="15"/>
  <c r="A10727" i="15"/>
  <c r="A10728" i="15"/>
  <c r="A10729" i="15"/>
  <c r="A10730" i="15"/>
  <c r="A10731" i="15"/>
  <c r="A10732" i="15"/>
  <c r="A10733" i="15"/>
  <c r="A10734" i="15"/>
  <c r="A10735" i="15"/>
  <c r="A10736" i="15"/>
  <c r="A10737" i="15"/>
  <c r="A10696" i="15"/>
  <c r="A10697" i="15"/>
  <c r="A10698" i="15"/>
  <c r="A10699" i="15"/>
  <c r="A10700" i="15"/>
  <c r="A10701" i="15"/>
  <c r="A10702" i="15"/>
  <c r="A10703" i="15"/>
  <c r="A10704" i="15"/>
  <c r="A10705" i="15"/>
  <c r="A10706" i="15"/>
  <c r="A10707" i="15"/>
  <c r="A10708" i="15"/>
  <c r="A10709" i="15"/>
  <c r="A10710" i="15"/>
  <c r="A10711" i="15"/>
  <c r="A10712" i="15"/>
  <c r="A10713" i="15"/>
  <c r="A10714" i="15"/>
  <c r="A10715" i="15"/>
  <c r="A10716" i="15"/>
  <c r="A10675" i="15"/>
  <c r="A10676" i="15"/>
  <c r="A10677" i="15"/>
  <c r="A10678" i="15"/>
  <c r="A10679" i="15"/>
  <c r="A10680" i="15"/>
  <c r="A10681" i="15"/>
  <c r="A10682" i="15"/>
  <c r="A10683" i="15"/>
  <c r="A10684" i="15"/>
  <c r="A10685" i="15"/>
  <c r="A10686" i="15"/>
  <c r="A10687" i="15"/>
  <c r="A10688" i="15"/>
  <c r="A10689" i="15"/>
  <c r="A10690" i="15"/>
  <c r="A10691" i="15"/>
  <c r="A10692" i="15"/>
  <c r="A10693" i="15"/>
  <c r="A10694" i="15"/>
  <c r="A10695" i="15"/>
  <c r="A10654" i="15"/>
  <c r="A10655" i="15"/>
  <c r="A10656" i="15"/>
  <c r="A10657" i="15"/>
  <c r="A10658" i="15"/>
  <c r="A10659" i="15"/>
  <c r="A10660" i="15"/>
  <c r="A10661" i="15"/>
  <c r="A10662" i="15"/>
  <c r="A10663" i="15"/>
  <c r="A10664" i="15"/>
  <c r="A10665" i="15"/>
  <c r="A10666" i="15"/>
  <c r="A10667" i="15"/>
  <c r="A10668" i="15"/>
  <c r="A10669" i="15"/>
  <c r="A10670" i="15"/>
  <c r="A10671" i="15"/>
  <c r="A10672" i="15"/>
  <c r="A10673" i="15"/>
  <c r="A10674" i="15"/>
  <c r="A10633" i="15"/>
  <c r="A10634" i="15"/>
  <c r="A10635" i="15"/>
  <c r="A10636" i="15"/>
  <c r="A10637" i="15"/>
  <c r="A10638" i="15"/>
  <c r="A10639" i="15"/>
  <c r="A10640" i="15"/>
  <c r="A10641" i="15"/>
  <c r="A10642" i="15"/>
  <c r="A10643" i="15"/>
  <c r="A10644" i="15"/>
  <c r="A10645" i="15"/>
  <c r="A10646" i="15"/>
  <c r="A10647" i="15"/>
  <c r="A10648" i="15"/>
  <c r="A10649" i="15"/>
  <c r="A10650" i="15"/>
  <c r="A10651" i="15"/>
  <c r="A10652" i="15"/>
  <c r="A10653" i="15"/>
  <c r="A10612" i="15"/>
  <c r="A10613" i="15"/>
  <c r="A10614" i="15"/>
  <c r="A10615" i="15"/>
  <c r="A10616" i="15"/>
  <c r="A10617" i="15"/>
  <c r="A10618" i="15"/>
  <c r="A10619" i="15"/>
  <c r="A10620" i="15"/>
  <c r="A10621" i="15"/>
  <c r="A10622" i="15"/>
  <c r="A10623" i="15"/>
  <c r="A10624" i="15"/>
  <c r="A10625" i="15"/>
  <c r="A10626" i="15"/>
  <c r="A10627" i="15"/>
  <c r="A10628" i="15"/>
  <c r="A10629" i="15"/>
  <c r="A10630" i="15"/>
  <c r="A10631" i="15"/>
  <c r="A10632" i="15"/>
  <c r="A10591" i="15"/>
  <c r="A10592" i="15"/>
  <c r="A10593" i="15"/>
  <c r="A10594" i="15"/>
  <c r="A10595" i="15"/>
  <c r="A10596" i="15"/>
  <c r="A10597" i="15"/>
  <c r="A10598" i="15"/>
  <c r="A10599" i="15"/>
  <c r="A10600" i="15"/>
  <c r="A10601" i="15"/>
  <c r="A10602" i="15"/>
  <c r="A10603" i="15"/>
  <c r="A10604" i="15"/>
  <c r="A10605" i="15"/>
  <c r="A10606" i="15"/>
  <c r="A10607" i="15"/>
  <c r="A10608" i="15"/>
  <c r="A10609" i="15"/>
  <c r="A10610" i="15"/>
  <c r="A10611" i="15"/>
  <c r="A10570" i="15"/>
  <c r="A10571" i="15"/>
  <c r="A10572" i="15"/>
  <c r="A10573" i="15"/>
  <c r="A10574" i="15"/>
  <c r="A10575" i="15"/>
  <c r="A10576" i="15"/>
  <c r="A10577" i="15"/>
  <c r="A10578" i="15"/>
  <c r="A10579" i="15"/>
  <c r="A10580" i="15"/>
  <c r="A10581" i="15"/>
  <c r="A10582" i="15"/>
  <c r="A10583" i="15"/>
  <c r="A10584" i="15"/>
  <c r="A10585" i="15"/>
  <c r="A10586" i="15"/>
  <c r="A10587" i="15"/>
  <c r="A10588" i="15"/>
  <c r="A10589" i="15"/>
  <c r="A10590" i="15"/>
  <c r="A10549" i="15"/>
  <c r="A10550" i="15"/>
  <c r="A10551" i="15"/>
  <c r="A10552" i="15"/>
  <c r="A10553" i="15"/>
  <c r="A10554" i="15"/>
  <c r="A10555" i="15"/>
  <c r="A10556" i="15"/>
  <c r="A10557" i="15"/>
  <c r="A10558" i="15"/>
  <c r="A10559" i="15"/>
  <c r="A10560" i="15"/>
  <c r="A10561" i="15"/>
  <c r="A10562" i="15"/>
  <c r="A10563" i="15"/>
  <c r="A10564" i="15"/>
  <c r="A10565" i="15"/>
  <c r="A10566" i="15"/>
  <c r="A10567" i="15"/>
  <c r="A10568" i="15"/>
  <c r="A10569" i="15"/>
  <c r="A10528" i="15"/>
  <c r="A10529" i="15"/>
  <c r="A10530" i="15"/>
  <c r="A10531" i="15"/>
  <c r="A10532" i="15"/>
  <c r="A10533" i="15"/>
  <c r="A10534" i="15"/>
  <c r="A10535" i="15"/>
  <c r="A10536" i="15"/>
  <c r="A10537" i="15"/>
  <c r="A10538" i="15"/>
  <c r="A10539" i="15"/>
  <c r="A10540" i="15"/>
  <c r="A10541" i="15"/>
  <c r="A10542" i="15"/>
  <c r="A10543" i="15"/>
  <c r="A10544" i="15"/>
  <c r="A10545" i="15"/>
  <c r="A10546" i="15"/>
  <c r="A10547" i="15"/>
  <c r="A10548" i="15"/>
  <c r="A10507" i="15"/>
  <c r="A10508" i="15"/>
  <c r="A10509" i="15"/>
  <c r="A10510" i="15"/>
  <c r="A10511" i="15"/>
  <c r="A10512" i="15"/>
  <c r="A10513" i="15"/>
  <c r="A10514" i="15"/>
  <c r="A10515" i="15"/>
  <c r="A10516" i="15"/>
  <c r="A10517" i="15"/>
  <c r="A10518" i="15"/>
  <c r="A10519" i="15"/>
  <c r="A10520" i="15"/>
  <c r="A10521" i="15"/>
  <c r="A10522" i="15"/>
  <c r="A10523" i="15"/>
  <c r="A10524" i="15"/>
  <c r="A10525" i="15"/>
  <c r="A10526" i="15"/>
  <c r="A10527" i="15"/>
  <c r="A10486" i="15"/>
  <c r="A10487" i="15"/>
  <c r="A10488" i="15"/>
  <c r="A10489" i="15"/>
  <c r="A10490" i="15"/>
  <c r="A10491" i="15"/>
  <c r="A10492" i="15"/>
  <c r="A10493" i="15"/>
  <c r="A10494" i="15"/>
  <c r="A10495" i="15"/>
  <c r="A10496" i="15"/>
  <c r="A10497" i="15"/>
  <c r="A10498" i="15"/>
  <c r="A10499" i="15"/>
  <c r="A10500" i="15"/>
  <c r="A10501" i="15"/>
  <c r="A10502" i="15"/>
  <c r="A10503" i="15"/>
  <c r="A10504" i="15"/>
  <c r="A10505" i="15"/>
  <c r="A10506" i="15"/>
  <c r="A10465" i="15"/>
  <c r="A10466" i="15"/>
  <c r="A10467" i="15"/>
  <c r="A10468" i="15"/>
  <c r="A10469" i="15"/>
  <c r="A10470" i="15"/>
  <c r="A10471" i="15"/>
  <c r="A10472" i="15"/>
  <c r="A10473" i="15"/>
  <c r="A10474" i="15"/>
  <c r="A10475" i="15"/>
  <c r="A10476" i="15"/>
  <c r="A10477" i="15"/>
  <c r="A10478" i="15"/>
  <c r="A10479" i="15"/>
  <c r="A10480" i="15"/>
  <c r="A10481" i="15"/>
  <c r="A10482" i="15"/>
  <c r="A10483" i="15"/>
  <c r="A10484" i="15"/>
  <c r="A10485" i="15"/>
  <c r="A10444" i="15"/>
  <c r="A10445" i="15"/>
  <c r="A10446" i="15"/>
  <c r="A10447" i="15"/>
  <c r="A10448" i="15"/>
  <c r="A10449" i="15"/>
  <c r="A10450" i="15"/>
  <c r="A10451" i="15"/>
  <c r="A10452" i="15"/>
  <c r="A10453" i="15"/>
  <c r="A10454" i="15"/>
  <c r="A10455" i="15"/>
  <c r="A10456" i="15"/>
  <c r="A10457" i="15"/>
  <c r="A10458" i="15"/>
  <c r="A10459" i="15"/>
  <c r="A10460" i="15"/>
  <c r="A10461" i="15"/>
  <c r="A10462" i="15"/>
  <c r="A10463" i="15"/>
  <c r="A10464" i="15"/>
  <c r="A10423" i="15"/>
  <c r="A10424" i="15"/>
  <c r="A10425" i="15"/>
  <c r="A10426" i="15"/>
  <c r="A10427" i="15"/>
  <c r="A10428" i="15"/>
  <c r="A10429" i="15"/>
  <c r="A10430" i="15"/>
  <c r="A10431" i="15"/>
  <c r="A10432" i="15"/>
  <c r="A10433" i="15"/>
  <c r="A10434" i="15"/>
  <c r="A10435" i="15"/>
  <c r="A10436" i="15"/>
  <c r="A10437" i="15"/>
  <c r="A10438" i="15"/>
  <c r="A10439" i="15"/>
  <c r="A10440" i="15"/>
  <c r="A10441" i="15"/>
  <c r="A10442" i="15"/>
  <c r="A10443" i="15"/>
  <c r="A10402" i="15"/>
  <c r="A10403" i="15"/>
  <c r="A10404" i="15"/>
  <c r="A10405" i="15"/>
  <c r="A10406" i="15"/>
  <c r="A10407" i="15"/>
  <c r="A10408" i="15"/>
  <c r="A10409" i="15"/>
  <c r="A10410" i="15"/>
  <c r="A10411" i="15"/>
  <c r="A10412" i="15"/>
  <c r="A10413" i="15"/>
  <c r="A10414" i="15"/>
  <c r="A10415" i="15"/>
  <c r="A10416" i="15"/>
  <c r="A10417" i="15"/>
  <c r="A10418" i="15"/>
  <c r="A10419" i="15"/>
  <c r="A10420" i="15"/>
  <c r="A10421" i="15"/>
  <c r="A10422" i="15"/>
  <c r="A10381" i="15"/>
  <c r="A10382" i="15"/>
  <c r="A10383" i="15"/>
  <c r="A10384" i="15"/>
  <c r="A10385" i="15"/>
  <c r="A10386" i="15"/>
  <c r="A10387" i="15"/>
  <c r="A10388" i="15"/>
  <c r="A10389" i="15"/>
  <c r="A10390" i="15"/>
  <c r="A10391" i="15"/>
  <c r="A10392" i="15"/>
  <c r="A10393" i="15"/>
  <c r="A10394" i="15"/>
  <c r="A10395" i="15"/>
  <c r="A10396" i="15"/>
  <c r="A10397" i="15"/>
  <c r="A10398" i="15"/>
  <c r="A10399" i="15"/>
  <c r="A10400" i="15"/>
  <c r="A10401" i="15"/>
  <c r="A10360" i="15"/>
  <c r="A10361" i="15"/>
  <c r="A10362" i="15"/>
  <c r="A10363" i="15"/>
  <c r="A10364" i="15"/>
  <c r="A10365" i="15"/>
  <c r="A10366" i="15"/>
  <c r="A10367" i="15"/>
  <c r="A10368" i="15"/>
  <c r="A10369" i="15"/>
  <c r="A10370" i="15"/>
  <c r="A10371" i="15"/>
  <c r="A10372" i="15"/>
  <c r="A10373" i="15"/>
  <c r="A10374" i="15"/>
  <c r="A10375" i="15"/>
  <c r="A10376" i="15"/>
  <c r="A10377" i="15"/>
  <c r="A10378" i="15"/>
  <c r="A10379" i="15"/>
  <c r="A10380" i="15"/>
  <c r="A10339" i="15"/>
  <c r="A10340" i="15"/>
  <c r="A10341" i="15"/>
  <c r="A10342" i="15"/>
  <c r="A10343" i="15"/>
  <c r="A10344" i="15"/>
  <c r="A10345" i="15"/>
  <c r="A10346" i="15"/>
  <c r="A10347" i="15"/>
  <c r="A10348" i="15"/>
  <c r="A10349" i="15"/>
  <c r="A10350" i="15"/>
  <c r="A10351" i="15"/>
  <c r="A10352" i="15"/>
  <c r="A10353" i="15"/>
  <c r="A10354" i="15"/>
  <c r="A10355" i="15"/>
  <c r="A10356" i="15"/>
  <c r="A10357" i="15"/>
  <c r="A10358" i="15"/>
  <c r="A10359" i="15"/>
  <c r="A10318" i="15"/>
  <c r="A10319" i="15"/>
  <c r="A10320" i="15"/>
  <c r="A10321" i="15"/>
  <c r="A10322" i="15"/>
  <c r="A10323" i="15"/>
  <c r="A10324" i="15"/>
  <c r="A10325" i="15"/>
  <c r="A10326" i="15"/>
  <c r="A10327" i="15"/>
  <c r="A10328" i="15"/>
  <c r="A10329" i="15"/>
  <c r="A10330" i="15"/>
  <c r="A10331" i="15"/>
  <c r="A10332" i="15"/>
  <c r="A10333" i="15"/>
  <c r="A10334" i="15"/>
  <c r="A10335" i="15"/>
  <c r="A10336" i="15"/>
  <c r="A10337" i="15"/>
  <c r="A10338" i="15"/>
  <c r="A10297" i="15"/>
  <c r="A10298" i="15"/>
  <c r="A10299" i="15"/>
  <c r="A10300" i="15"/>
  <c r="A10301" i="15"/>
  <c r="A10302" i="15"/>
  <c r="A10303" i="15"/>
  <c r="A10304" i="15"/>
  <c r="A10305" i="15"/>
  <c r="A10306" i="15"/>
  <c r="A10307" i="15"/>
  <c r="A10308" i="15"/>
  <c r="A10309" i="15"/>
  <c r="A10310" i="15"/>
  <c r="A10311" i="15"/>
  <c r="A10312" i="15"/>
  <c r="A10313" i="15"/>
  <c r="A10314" i="15"/>
  <c r="A10315" i="15"/>
  <c r="A10316" i="15"/>
  <c r="A10317" i="15"/>
  <c r="A10276" i="15"/>
  <c r="A10277" i="15"/>
  <c r="A10278" i="15"/>
  <c r="A10279" i="15"/>
  <c r="A10280" i="15"/>
  <c r="A10281" i="15"/>
  <c r="A10282" i="15"/>
  <c r="A10283" i="15"/>
  <c r="A10284" i="15"/>
  <c r="A10285" i="15"/>
  <c r="A10286" i="15"/>
  <c r="A10287" i="15"/>
  <c r="A10288" i="15"/>
  <c r="A10289" i="15"/>
  <c r="A10290" i="15"/>
  <c r="A10291" i="15"/>
  <c r="A10292" i="15"/>
  <c r="A10293" i="15"/>
  <c r="A10294" i="15"/>
  <c r="A10295" i="15"/>
  <c r="A10296" i="15"/>
  <c r="A10255" i="15"/>
  <c r="A10256" i="15"/>
  <c r="A10257" i="15"/>
  <c r="A10258" i="15"/>
  <c r="A10259" i="15"/>
  <c r="A10260" i="15"/>
  <c r="A10261" i="15"/>
  <c r="A10262" i="15"/>
  <c r="A10263" i="15"/>
  <c r="A10264" i="15"/>
  <c r="A10265" i="15"/>
  <c r="A10266" i="15"/>
  <c r="A10267" i="15"/>
  <c r="A10268" i="15"/>
  <c r="A10269" i="15"/>
  <c r="A10270" i="15"/>
  <c r="A10271" i="15"/>
  <c r="A10272" i="15"/>
  <c r="A10273" i="15"/>
  <c r="A10274" i="15"/>
  <c r="A10275" i="15"/>
  <c r="A10234" i="15"/>
  <c r="A10235" i="15"/>
  <c r="A10236" i="15"/>
  <c r="A10237" i="15"/>
  <c r="A10238" i="15"/>
  <c r="A10239" i="15"/>
  <c r="A10240" i="15"/>
  <c r="A10241" i="15"/>
  <c r="A10242" i="15"/>
  <c r="A10243" i="15"/>
  <c r="A10244" i="15"/>
  <c r="A10245" i="15"/>
  <c r="A10246" i="15"/>
  <c r="A10247" i="15"/>
  <c r="A10248" i="15"/>
  <c r="A10249" i="15"/>
  <c r="A10250" i="15"/>
  <c r="A10251" i="15"/>
  <c r="A10252" i="15"/>
  <c r="A10253" i="15"/>
  <c r="A10254" i="15"/>
  <c r="A10213" i="15"/>
  <c r="A10214" i="15"/>
  <c r="A10215" i="15"/>
  <c r="A10216" i="15"/>
  <c r="A10217" i="15"/>
  <c r="A10218" i="15"/>
  <c r="A10219" i="15"/>
  <c r="A10220" i="15"/>
  <c r="A10221" i="15"/>
  <c r="A10222" i="15"/>
  <c r="A10223" i="15"/>
  <c r="A10224" i="15"/>
  <c r="A10225" i="15"/>
  <c r="A10226" i="15"/>
  <c r="A10227" i="15"/>
  <c r="A10228" i="15"/>
  <c r="A10229" i="15"/>
  <c r="A10230" i="15"/>
  <c r="A10231" i="15"/>
  <c r="A10232" i="15"/>
  <c r="A10233" i="15"/>
  <c r="A10192" i="15"/>
  <c r="A10193" i="15"/>
  <c r="A10194" i="15"/>
  <c r="A10195" i="15"/>
  <c r="A10196" i="15"/>
  <c r="A10197" i="15"/>
  <c r="A10198" i="15"/>
  <c r="A10199" i="15"/>
  <c r="A10200" i="15"/>
  <c r="A10201" i="15"/>
  <c r="A10202" i="15"/>
  <c r="A10203" i="15"/>
  <c r="A10204" i="15"/>
  <c r="A10205" i="15"/>
  <c r="A10206" i="15"/>
  <c r="A10207" i="15"/>
  <c r="A10208" i="15"/>
  <c r="A10209" i="15"/>
  <c r="A10210" i="15"/>
  <c r="A10211" i="15"/>
  <c r="A10212" i="15"/>
  <c r="A10171" i="15"/>
  <c r="A10172" i="15"/>
  <c r="A10173" i="15"/>
  <c r="A10174" i="15"/>
  <c r="A10175" i="15"/>
  <c r="A10176" i="15"/>
  <c r="A10177" i="15"/>
  <c r="A10178" i="15"/>
  <c r="A10179" i="15"/>
  <c r="A10180" i="15"/>
  <c r="A10181" i="15"/>
  <c r="A10182" i="15"/>
  <c r="A10183" i="15"/>
  <c r="A10184" i="15"/>
  <c r="A10185" i="15"/>
  <c r="A10186" i="15"/>
  <c r="A10187" i="15"/>
  <c r="A10188" i="15"/>
  <c r="A10189" i="15"/>
  <c r="A10190" i="15"/>
  <c r="A10191" i="15"/>
  <c r="A10150" i="15"/>
  <c r="A10151" i="15"/>
  <c r="A10152" i="15"/>
  <c r="A10153" i="15"/>
  <c r="A10154" i="15"/>
  <c r="A10155" i="15"/>
  <c r="A10156" i="15"/>
  <c r="A10157" i="15"/>
  <c r="A10158" i="15"/>
  <c r="A10159" i="15"/>
  <c r="A10160" i="15"/>
  <c r="A10161" i="15"/>
  <c r="A10162" i="15"/>
  <c r="A10163" i="15"/>
  <c r="A10164" i="15"/>
  <c r="A10165" i="15"/>
  <c r="A10166" i="15"/>
  <c r="A10167" i="15"/>
  <c r="A10168" i="15"/>
  <c r="A10169" i="15"/>
  <c r="A10170" i="15"/>
  <c r="A10129" i="15"/>
  <c r="A10130" i="15"/>
  <c r="A10131" i="15"/>
  <c r="A10132" i="15"/>
  <c r="A10133" i="15"/>
  <c r="A10134" i="15"/>
  <c r="A10135" i="15"/>
  <c r="A10136" i="15"/>
  <c r="A10137" i="15"/>
  <c r="A10138" i="15"/>
  <c r="A10139" i="15"/>
  <c r="A10140" i="15"/>
  <c r="A10141" i="15"/>
  <c r="A10142" i="15"/>
  <c r="A10143" i="15"/>
  <c r="A10144" i="15"/>
  <c r="A10145" i="15"/>
  <c r="A10146" i="15"/>
  <c r="A10147" i="15"/>
  <c r="A10148" i="15"/>
  <c r="A10149" i="15"/>
  <c r="A10108" i="15"/>
  <c r="A10109" i="15"/>
  <c r="A10110" i="15"/>
  <c r="A10111" i="15"/>
  <c r="A10112" i="15"/>
  <c r="A10113" i="15"/>
  <c r="A10114" i="15"/>
  <c r="A10115" i="15"/>
  <c r="A10116" i="15"/>
  <c r="A10117" i="15"/>
  <c r="A10118" i="15"/>
  <c r="A10119" i="15"/>
  <c r="A10120" i="15"/>
  <c r="A10121" i="15"/>
  <c r="A10122" i="15"/>
  <c r="A10123" i="15"/>
  <c r="A10124" i="15"/>
  <c r="A10125" i="15"/>
  <c r="A10126" i="15"/>
  <c r="A10127" i="15"/>
  <c r="A10128" i="15"/>
  <c r="A10087" i="15"/>
  <c r="A10088" i="15"/>
  <c r="A10089" i="15"/>
  <c r="A10090" i="15"/>
  <c r="A10091" i="15"/>
  <c r="A10092" i="15"/>
  <c r="A10093" i="15"/>
  <c r="A10094" i="15"/>
  <c r="A10095" i="15"/>
  <c r="A10096" i="15"/>
  <c r="A10097" i="15"/>
  <c r="A10098" i="15"/>
  <c r="A10099" i="15"/>
  <c r="A10100" i="15"/>
  <c r="A10101" i="15"/>
  <c r="A10102" i="15"/>
  <c r="A10103" i="15"/>
  <c r="A10104" i="15"/>
  <c r="A10105" i="15"/>
  <c r="A10106" i="15"/>
  <c r="A10107" i="15"/>
  <c r="A10066" i="15"/>
  <c r="A10067" i="15"/>
  <c r="A10068" i="15"/>
  <c r="A10069" i="15"/>
  <c r="A10070" i="15"/>
  <c r="A10071" i="15"/>
  <c r="A10072" i="15"/>
  <c r="A10073" i="15"/>
  <c r="A10074" i="15"/>
  <c r="A10075" i="15"/>
  <c r="A10076" i="15"/>
  <c r="A10077" i="15"/>
  <c r="A10078" i="15"/>
  <c r="A10079" i="15"/>
  <c r="A10080" i="15"/>
  <c r="A10081" i="15"/>
  <c r="A10082" i="15"/>
  <c r="A10083" i="15"/>
  <c r="A10084" i="15"/>
  <c r="A10085" i="15"/>
  <c r="A10086" i="15"/>
  <c r="A10065" i="15"/>
  <c r="A10045" i="15"/>
  <c r="A10046" i="15"/>
  <c r="A10047" i="15"/>
  <c r="A10048" i="15"/>
  <c r="A10049" i="15"/>
  <c r="A10050" i="15"/>
  <c r="A10051" i="15"/>
  <c r="A10052" i="15"/>
  <c r="A10053" i="15"/>
  <c r="A10054" i="15"/>
  <c r="A10055" i="15"/>
  <c r="A10056" i="15"/>
  <c r="A10057" i="15"/>
  <c r="A10058" i="15"/>
  <c r="A10059" i="15"/>
  <c r="A10060" i="15"/>
  <c r="A10061" i="15"/>
  <c r="A10062" i="15"/>
  <c r="A10063" i="15"/>
  <c r="A10064" i="15"/>
  <c r="A10024" i="15"/>
  <c r="A10025" i="15"/>
  <c r="A10026" i="15"/>
  <c r="A10027" i="15"/>
  <c r="A10028" i="15"/>
  <c r="A10029" i="15"/>
  <c r="A10030" i="15"/>
  <c r="A10031" i="15"/>
  <c r="A10032" i="15"/>
  <c r="A10033" i="15"/>
  <c r="A10034" i="15"/>
  <c r="A10035" i="15"/>
  <c r="A10036" i="15"/>
  <c r="A10037" i="15"/>
  <c r="A10038" i="15"/>
  <c r="A10039" i="15"/>
  <c r="A10040" i="15"/>
  <c r="A10041" i="15"/>
  <c r="A10042" i="15"/>
  <c r="A10043" i="15"/>
  <c r="A10044" i="15"/>
  <c r="A10003" i="15"/>
  <c r="A10004" i="15"/>
  <c r="A10005" i="15"/>
  <c r="A10006" i="15"/>
  <c r="A10007" i="15"/>
  <c r="A10008" i="15"/>
  <c r="A10009" i="15"/>
  <c r="A10010" i="15"/>
  <c r="A10011" i="15"/>
  <c r="A10012" i="15"/>
  <c r="A10013" i="15"/>
  <c r="A10014" i="15"/>
  <c r="A10015" i="15"/>
  <c r="A10016" i="15"/>
  <c r="A10017" i="15"/>
  <c r="A10018" i="15"/>
  <c r="A10019" i="15"/>
  <c r="A10020" i="15"/>
  <c r="A10021" i="15"/>
  <c r="A10022" i="15"/>
  <c r="A10023" i="15"/>
  <c r="A9982" i="15"/>
  <c r="A9983" i="15"/>
  <c r="A9984" i="15"/>
  <c r="A9985" i="15"/>
  <c r="A9986" i="15"/>
  <c r="A9987" i="15"/>
  <c r="A9988" i="15"/>
  <c r="A9989" i="15"/>
  <c r="A9990" i="15"/>
  <c r="A9991" i="15"/>
  <c r="A9992" i="15"/>
  <c r="A9993" i="15"/>
  <c r="A9994" i="15"/>
  <c r="A9995" i="15"/>
  <c r="A9996" i="15"/>
  <c r="A9997" i="15"/>
  <c r="A9998" i="15"/>
  <c r="A9999" i="15"/>
  <c r="A10000" i="15"/>
  <c r="A10001" i="15"/>
  <c r="A10002" i="15"/>
  <c r="A9961" i="15"/>
  <c r="A9962" i="15"/>
  <c r="A9963" i="15"/>
  <c r="A9964" i="15"/>
  <c r="A9965" i="15"/>
  <c r="A9966" i="15"/>
  <c r="A9967" i="15"/>
  <c r="A9968" i="15"/>
  <c r="A9969" i="15"/>
  <c r="A9970" i="15"/>
  <c r="A9971" i="15"/>
  <c r="A9972" i="15"/>
  <c r="A9973" i="15"/>
  <c r="A9974" i="15"/>
  <c r="A9975" i="15"/>
  <c r="A9976" i="15"/>
  <c r="A9977" i="15"/>
  <c r="A9978" i="15"/>
  <c r="A9979" i="15"/>
  <c r="A9980" i="15"/>
  <c r="A9981" i="15"/>
  <c r="A9940" i="15"/>
  <c r="A9941" i="15"/>
  <c r="A9942" i="15"/>
  <c r="A9943" i="15"/>
  <c r="A9944" i="15"/>
  <c r="A9945" i="15"/>
  <c r="A9946" i="15"/>
  <c r="A9947" i="15"/>
  <c r="A9948" i="15"/>
  <c r="A9949" i="15"/>
  <c r="A9950" i="15"/>
  <c r="A9951" i="15"/>
  <c r="A9952" i="15"/>
  <c r="A9953" i="15"/>
  <c r="A9954" i="15"/>
  <c r="A9955" i="15"/>
  <c r="A9956" i="15"/>
  <c r="A9957" i="15"/>
  <c r="A9958" i="15"/>
  <c r="A9959" i="15"/>
  <c r="A9960" i="15"/>
  <c r="A9919" i="15"/>
  <c r="A9920" i="15"/>
  <c r="A9921" i="15"/>
  <c r="A9922" i="15"/>
  <c r="A9923" i="15"/>
  <c r="A9924" i="15"/>
  <c r="A9925" i="15"/>
  <c r="A9926" i="15"/>
  <c r="A9927" i="15"/>
  <c r="A9928" i="15"/>
  <c r="A9929" i="15"/>
  <c r="A9930" i="15"/>
  <c r="A9931" i="15"/>
  <c r="A9932" i="15"/>
  <c r="A9933" i="15"/>
  <c r="A9934" i="15"/>
  <c r="A9935" i="15"/>
  <c r="A9936" i="15"/>
  <c r="A9937" i="15"/>
  <c r="A9938" i="15"/>
  <c r="A9939" i="15"/>
  <c r="A9898" i="15"/>
  <c r="A9899" i="15"/>
  <c r="A9900" i="15"/>
  <c r="A9901" i="15"/>
  <c r="A9902" i="15"/>
  <c r="A9903" i="15"/>
  <c r="A9904" i="15"/>
  <c r="A9905" i="15"/>
  <c r="A9906" i="15"/>
  <c r="A9907" i="15"/>
  <c r="A9908" i="15"/>
  <c r="A9909" i="15"/>
  <c r="A9910" i="15"/>
  <c r="A9911" i="15"/>
  <c r="A9912" i="15"/>
  <c r="A9913" i="15"/>
  <c r="A9914" i="15"/>
  <c r="A9915" i="15"/>
  <c r="A9916" i="15"/>
  <c r="A9917" i="15"/>
  <c r="A9918" i="15"/>
  <c r="A9877" i="15"/>
  <c r="A9878" i="15"/>
  <c r="A9879" i="15"/>
  <c r="A9880" i="15"/>
  <c r="A9881" i="15"/>
  <c r="A9882" i="15"/>
  <c r="A9883" i="15"/>
  <c r="A9884" i="15"/>
  <c r="A9885" i="15"/>
  <c r="A9886" i="15"/>
  <c r="A9887" i="15"/>
  <c r="A9888" i="15"/>
  <c r="A9889" i="15"/>
  <c r="A9890" i="15"/>
  <c r="A9891" i="15"/>
  <c r="A9892" i="15"/>
  <c r="A9893" i="15"/>
  <c r="A9894" i="15"/>
  <c r="A9895" i="15"/>
  <c r="A9896" i="15"/>
  <c r="A9897" i="15"/>
  <c r="A9856" i="15"/>
  <c r="A9857" i="15"/>
  <c r="A9858" i="15"/>
  <c r="A9859" i="15"/>
  <c r="A9860" i="15"/>
  <c r="A9861" i="15"/>
  <c r="A9862" i="15"/>
  <c r="A9863" i="15"/>
  <c r="A9864" i="15"/>
  <c r="A9865" i="15"/>
  <c r="A9866" i="15"/>
  <c r="A9867" i="15"/>
  <c r="A9868" i="15"/>
  <c r="A9869" i="15"/>
  <c r="A9870" i="15"/>
  <c r="A9871" i="15"/>
  <c r="A9872" i="15"/>
  <c r="A9873" i="15"/>
  <c r="A9874" i="15"/>
  <c r="A9875" i="15"/>
  <c r="A9876" i="15"/>
  <c r="A9835" i="15"/>
  <c r="A9836" i="15"/>
  <c r="A9837" i="15"/>
  <c r="A9838" i="15"/>
  <c r="A9839" i="15"/>
  <c r="A9840" i="15"/>
  <c r="A9841" i="15"/>
  <c r="A9842" i="15"/>
  <c r="A9843" i="15"/>
  <c r="A9844" i="15"/>
  <c r="A9845" i="15"/>
  <c r="A9846" i="15"/>
  <c r="A9847" i="15"/>
  <c r="A9848" i="15"/>
  <c r="A9849" i="15"/>
  <c r="A9850" i="15"/>
  <c r="A9851" i="15"/>
  <c r="A9852" i="15"/>
  <c r="A9853" i="15"/>
  <c r="A9854" i="15"/>
  <c r="A9855" i="15"/>
  <c r="A9814" i="15"/>
  <c r="A9815" i="15"/>
  <c r="A9816" i="15"/>
  <c r="A9817" i="15"/>
  <c r="A9818" i="15"/>
  <c r="A9819" i="15"/>
  <c r="A9820" i="15"/>
  <c r="A9821" i="15"/>
  <c r="A9822" i="15"/>
  <c r="A9823" i="15"/>
  <c r="A9824" i="15"/>
  <c r="A9825" i="15"/>
  <c r="A9826" i="15"/>
  <c r="A9827" i="15"/>
  <c r="A9828" i="15"/>
  <c r="A9829" i="15"/>
  <c r="A9830" i="15"/>
  <c r="A9831" i="15"/>
  <c r="A9832" i="15"/>
  <c r="A9833" i="15"/>
  <c r="A9834" i="15"/>
  <c r="A9793" i="15"/>
  <c r="A9794" i="15"/>
  <c r="A9795" i="15"/>
  <c r="A9796" i="15"/>
  <c r="A9797" i="15"/>
  <c r="A9798" i="15"/>
  <c r="A9799" i="15"/>
  <c r="A9800" i="15"/>
  <c r="A9801" i="15"/>
  <c r="A9802" i="15"/>
  <c r="A9803" i="15"/>
  <c r="A9804" i="15"/>
  <c r="A9805" i="15"/>
  <c r="A9806" i="15"/>
  <c r="A9807" i="15"/>
  <c r="A9808" i="15"/>
  <c r="A9809" i="15"/>
  <c r="A9810" i="15"/>
  <c r="A9811" i="15"/>
  <c r="A9812" i="15"/>
  <c r="A9813" i="15"/>
  <c r="A9772" i="15"/>
  <c r="A9773" i="15"/>
  <c r="A9774" i="15"/>
  <c r="A9775" i="15"/>
  <c r="A9776" i="15"/>
  <c r="A9777" i="15"/>
  <c r="A9778" i="15"/>
  <c r="A9779" i="15"/>
  <c r="A9780" i="15"/>
  <c r="A9781" i="15"/>
  <c r="A9782" i="15"/>
  <c r="A9783" i="15"/>
  <c r="A9784" i="15"/>
  <c r="A9785" i="15"/>
  <c r="A9786" i="15"/>
  <c r="A9787" i="15"/>
  <c r="A9788" i="15"/>
  <c r="A9789" i="15"/>
  <c r="A9790" i="15"/>
  <c r="A9791" i="15"/>
  <c r="A9792" i="15"/>
  <c r="A9751" i="15"/>
  <c r="A9752" i="15"/>
  <c r="A9753" i="15"/>
  <c r="A9754" i="15"/>
  <c r="A9755" i="15"/>
  <c r="A9756" i="15"/>
  <c r="A9757" i="15"/>
  <c r="A9758" i="15"/>
  <c r="A9759" i="15"/>
  <c r="A9760" i="15"/>
  <c r="A9761" i="15"/>
  <c r="A9762" i="15"/>
  <c r="A9763" i="15"/>
  <c r="A9764" i="15"/>
  <c r="A9765" i="15"/>
  <c r="A9766" i="15"/>
  <c r="A9767" i="15"/>
  <c r="A9768" i="15"/>
  <c r="A9769" i="15"/>
  <c r="A9770" i="15"/>
  <c r="A9771" i="15"/>
  <c r="A9730" i="15"/>
  <c r="A9731" i="15"/>
  <c r="A9732" i="15"/>
  <c r="A9733" i="15"/>
  <c r="A9734" i="15"/>
  <c r="A9735" i="15"/>
  <c r="A9736" i="15"/>
  <c r="A9737" i="15"/>
  <c r="A9738" i="15"/>
  <c r="A9739" i="15"/>
  <c r="A9740" i="15"/>
  <c r="A9741" i="15"/>
  <c r="A9742" i="15"/>
  <c r="A9743" i="15"/>
  <c r="A9744" i="15"/>
  <c r="A9745" i="15"/>
  <c r="A9746" i="15"/>
  <c r="A9747" i="15"/>
  <c r="A9748" i="15"/>
  <c r="A9749" i="15"/>
  <c r="A9750" i="15"/>
  <c r="A9709" i="15"/>
  <c r="A9710" i="15"/>
  <c r="A9711" i="15"/>
  <c r="A9712" i="15"/>
  <c r="A9713" i="15"/>
  <c r="A9714" i="15"/>
  <c r="A9715" i="15"/>
  <c r="A9716" i="15"/>
  <c r="A9717" i="15"/>
  <c r="A9718" i="15"/>
  <c r="A9719" i="15"/>
  <c r="A9720" i="15"/>
  <c r="A9721" i="15"/>
  <c r="A9722" i="15"/>
  <c r="A9723" i="15"/>
  <c r="A9724" i="15"/>
  <c r="A9725" i="15"/>
  <c r="A9726" i="15"/>
  <c r="A9727" i="15"/>
  <c r="A9728" i="15"/>
  <c r="A9729" i="15"/>
  <c r="A9688" i="15"/>
  <c r="A9689" i="15"/>
  <c r="A9690" i="15"/>
  <c r="A9691" i="15"/>
  <c r="A9692" i="15"/>
  <c r="A9693" i="15"/>
  <c r="A9694" i="15"/>
  <c r="A9695" i="15"/>
  <c r="A9696" i="15"/>
  <c r="A9697" i="15"/>
  <c r="A9698" i="15"/>
  <c r="A9699" i="15"/>
  <c r="A9700" i="15"/>
  <c r="A9701" i="15"/>
  <c r="A9702" i="15"/>
  <c r="A9703" i="15"/>
  <c r="A9704" i="15"/>
  <c r="A9705" i="15"/>
  <c r="A9706" i="15"/>
  <c r="A9707" i="15"/>
  <c r="A9708" i="15"/>
  <c r="A9667" i="15"/>
  <c r="A9668" i="15"/>
  <c r="A9669" i="15"/>
  <c r="A9670" i="15"/>
  <c r="A9671" i="15"/>
  <c r="A9672" i="15"/>
  <c r="A9673" i="15"/>
  <c r="A9674" i="15"/>
  <c r="A9675" i="15"/>
  <c r="A9676" i="15"/>
  <c r="A9677" i="15"/>
  <c r="A9678" i="15"/>
  <c r="A9679" i="15"/>
  <c r="A9680" i="15"/>
  <c r="A9681" i="15"/>
  <c r="A9682" i="15"/>
  <c r="A9683" i="15"/>
  <c r="A9684" i="15"/>
  <c r="A9685" i="15"/>
  <c r="A9686" i="15"/>
  <c r="A9687" i="15"/>
  <c r="A9666" i="15"/>
  <c r="A9646" i="15"/>
  <c r="A9647" i="15"/>
  <c r="A9648" i="15"/>
  <c r="A9649" i="15"/>
  <c r="A9650" i="15"/>
  <c r="A9651" i="15"/>
  <c r="A9652" i="15"/>
  <c r="A9653" i="15"/>
  <c r="A9654" i="15"/>
  <c r="A9655" i="15"/>
  <c r="A9656" i="15"/>
  <c r="A9657" i="15"/>
  <c r="A9658" i="15"/>
  <c r="A9659" i="15"/>
  <c r="A9660" i="15"/>
  <c r="A9661" i="15"/>
  <c r="A9662" i="15"/>
  <c r="A9663" i="15"/>
  <c r="A9664" i="15"/>
  <c r="A9665" i="15"/>
  <c r="A9625" i="15"/>
  <c r="A9626" i="15"/>
  <c r="A9627" i="15"/>
  <c r="A9628" i="15"/>
  <c r="A9629" i="15"/>
  <c r="A9630" i="15"/>
  <c r="A9631" i="15"/>
  <c r="A9632" i="15"/>
  <c r="A9633" i="15"/>
  <c r="A9634" i="15"/>
  <c r="A9635" i="15"/>
  <c r="A9636" i="15"/>
  <c r="A9637" i="15"/>
  <c r="A9638" i="15"/>
  <c r="A9639" i="15"/>
  <c r="A9640" i="15"/>
  <c r="A9641" i="15"/>
  <c r="A9642" i="15"/>
  <c r="A9643" i="15"/>
  <c r="A9644" i="15"/>
  <c r="A9645" i="15"/>
  <c r="A9604" i="15"/>
  <c r="A9605" i="15"/>
  <c r="A9606" i="15"/>
  <c r="A9607" i="15"/>
  <c r="A9608" i="15"/>
  <c r="A9609" i="15"/>
  <c r="A9610" i="15"/>
  <c r="A9611" i="15"/>
  <c r="A9612" i="15"/>
  <c r="A9613" i="15"/>
  <c r="A9614" i="15"/>
  <c r="A9615" i="15"/>
  <c r="A9616" i="15"/>
  <c r="A9617" i="15"/>
  <c r="A9618" i="15"/>
  <c r="A9619" i="15"/>
  <c r="A9620" i="15"/>
  <c r="A9621" i="15"/>
  <c r="A9622" i="15"/>
  <c r="A9623" i="15"/>
  <c r="A9624" i="15"/>
  <c r="A9583" i="15"/>
  <c r="A9584" i="15"/>
  <c r="A9585" i="15"/>
  <c r="A9586" i="15"/>
  <c r="A9587" i="15"/>
  <c r="A9588" i="15"/>
  <c r="A9589" i="15"/>
  <c r="A9590" i="15"/>
  <c r="A9591" i="15"/>
  <c r="A9592" i="15"/>
  <c r="A9593" i="15"/>
  <c r="A9594" i="15"/>
  <c r="A9595" i="15"/>
  <c r="A9596" i="15"/>
  <c r="A9597" i="15"/>
  <c r="A9598" i="15"/>
  <c r="A9599" i="15"/>
  <c r="A9600" i="15"/>
  <c r="A9601" i="15"/>
  <c r="A9602" i="15"/>
  <c r="A9603" i="15"/>
  <c r="A9562" i="15"/>
  <c r="A9563" i="15"/>
  <c r="A9564" i="15"/>
  <c r="A9565" i="15"/>
  <c r="A9566" i="15"/>
  <c r="A9567" i="15"/>
  <c r="A9568" i="15"/>
  <c r="A9569" i="15"/>
  <c r="A9570" i="15"/>
  <c r="A9571" i="15"/>
  <c r="A9572" i="15"/>
  <c r="A9573" i="15"/>
  <c r="A9574" i="15"/>
  <c r="A9575" i="15"/>
  <c r="A9576" i="15"/>
  <c r="A9577" i="15"/>
  <c r="A9578" i="15"/>
  <c r="A9579" i="15"/>
  <c r="A9580" i="15"/>
  <c r="A9581" i="15"/>
  <c r="A9582" i="15"/>
  <c r="A9541" i="15"/>
  <c r="A9542" i="15"/>
  <c r="A9543" i="15"/>
  <c r="A9544" i="15"/>
  <c r="A9545" i="15"/>
  <c r="A9546" i="15"/>
  <c r="A9547" i="15"/>
  <c r="A9548" i="15"/>
  <c r="A9549" i="15"/>
  <c r="A9550" i="15"/>
  <c r="A9551" i="15"/>
  <c r="A9552" i="15"/>
  <c r="A9553" i="15"/>
  <c r="A9554" i="15"/>
  <c r="A9555" i="15"/>
  <c r="A9556" i="15"/>
  <c r="A9557" i="15"/>
  <c r="A9558" i="15"/>
  <c r="A9559" i="15"/>
  <c r="A9560" i="15"/>
  <c r="A9561" i="15"/>
  <c r="A9520" i="15"/>
  <c r="A9521" i="15"/>
  <c r="A9522" i="15"/>
  <c r="A9523" i="15"/>
  <c r="A9524" i="15"/>
  <c r="A9525" i="15"/>
  <c r="A9526" i="15"/>
  <c r="A9527" i="15"/>
  <c r="A9528" i="15"/>
  <c r="A9529" i="15"/>
  <c r="A9530" i="15"/>
  <c r="A9531" i="15"/>
  <c r="A9532" i="15"/>
  <c r="A9533" i="15"/>
  <c r="A9534" i="15"/>
  <c r="A9535" i="15"/>
  <c r="A9536" i="15"/>
  <c r="A9537" i="15"/>
  <c r="A9538" i="15"/>
  <c r="A9539" i="15"/>
  <c r="A9540" i="15"/>
  <c r="A9499" i="15"/>
  <c r="A9500" i="15"/>
  <c r="A9501" i="15"/>
  <c r="A9502" i="15"/>
  <c r="A9503" i="15"/>
  <c r="A9504" i="15"/>
  <c r="A9505" i="15"/>
  <c r="A9506" i="15"/>
  <c r="A9507" i="15"/>
  <c r="A9508" i="15"/>
  <c r="A9509" i="15"/>
  <c r="A9510" i="15"/>
  <c r="A9511" i="15"/>
  <c r="A9512" i="15"/>
  <c r="A9513" i="15"/>
  <c r="A9514" i="15"/>
  <c r="A9515" i="15"/>
  <c r="A9516" i="15"/>
  <c r="A9517" i="15"/>
  <c r="A9518" i="15"/>
  <c r="A9519" i="15"/>
  <c r="A9478" i="15"/>
  <c r="A9479" i="15"/>
  <c r="A9480" i="15"/>
  <c r="A9481" i="15"/>
  <c r="A9482" i="15"/>
  <c r="A9483" i="15"/>
  <c r="A9484" i="15"/>
  <c r="A9485" i="15"/>
  <c r="A9486" i="15"/>
  <c r="A9487" i="15"/>
  <c r="A9488" i="15"/>
  <c r="A9489" i="15"/>
  <c r="A9490" i="15"/>
  <c r="A9491" i="15"/>
  <c r="A9492" i="15"/>
  <c r="A9493" i="15"/>
  <c r="A9494" i="15"/>
  <c r="A9495" i="15"/>
  <c r="A9496" i="15"/>
  <c r="A9497" i="15"/>
  <c r="A9498" i="15"/>
  <c r="A9457" i="15"/>
  <c r="A9458" i="15"/>
  <c r="A9459" i="15"/>
  <c r="A9460" i="15"/>
  <c r="A9461" i="15"/>
  <c r="A9462" i="15"/>
  <c r="A9463" i="15"/>
  <c r="A9464" i="15"/>
  <c r="A9465" i="15"/>
  <c r="A9466" i="15"/>
  <c r="A9467" i="15"/>
  <c r="A9468" i="15"/>
  <c r="A9469" i="15"/>
  <c r="A9470" i="15"/>
  <c r="A9471" i="15"/>
  <c r="A9472" i="15"/>
  <c r="A9473" i="15"/>
  <c r="A9474" i="15"/>
  <c r="A9475" i="15"/>
  <c r="A9476" i="15"/>
  <c r="A9477" i="15"/>
  <c r="A9436" i="15"/>
  <c r="A9437" i="15"/>
  <c r="A9438" i="15"/>
  <c r="A9439" i="15"/>
  <c r="A9440" i="15"/>
  <c r="A9441" i="15"/>
  <c r="A9442" i="15"/>
  <c r="A9443" i="15"/>
  <c r="A9444" i="15"/>
  <c r="A9445" i="15"/>
  <c r="A9446" i="15"/>
  <c r="A9447" i="15"/>
  <c r="A9448" i="15"/>
  <c r="A9449" i="15"/>
  <c r="A9450" i="15"/>
  <c r="A9451" i="15"/>
  <c r="A9452" i="15"/>
  <c r="A9453" i="15"/>
  <c r="A9454" i="15"/>
  <c r="A9455" i="15"/>
  <c r="A9456" i="15"/>
  <c r="A9415" i="15"/>
  <c r="A9416" i="15"/>
  <c r="A9417" i="15"/>
  <c r="A9418" i="15"/>
  <c r="A9419" i="15"/>
  <c r="A9420" i="15"/>
  <c r="A9421" i="15"/>
  <c r="A9422" i="15"/>
  <c r="A9423" i="15"/>
  <c r="A9424" i="15"/>
  <c r="A9425" i="15"/>
  <c r="A9426" i="15"/>
  <c r="A9427" i="15"/>
  <c r="A9428" i="15"/>
  <c r="A9429" i="15"/>
  <c r="A9430" i="15"/>
  <c r="A9431" i="15"/>
  <c r="A9432" i="15"/>
  <c r="A9433" i="15"/>
  <c r="A9434" i="15"/>
  <c r="A9435" i="15"/>
  <c r="A9394" i="15"/>
  <c r="A9395" i="15"/>
  <c r="A9396" i="15"/>
  <c r="A9397" i="15"/>
  <c r="A9398" i="15"/>
  <c r="A9399" i="15"/>
  <c r="A9400" i="15"/>
  <c r="A9401" i="15"/>
  <c r="A9402" i="15"/>
  <c r="A9403" i="15"/>
  <c r="A9404" i="15"/>
  <c r="A9405" i="15"/>
  <c r="A9406" i="15"/>
  <c r="A9407" i="15"/>
  <c r="A9408" i="15"/>
  <c r="A9409" i="15"/>
  <c r="A9410" i="15"/>
  <c r="A9411" i="15"/>
  <c r="A9412" i="15"/>
  <c r="A9413" i="15"/>
  <c r="A9414" i="15"/>
  <c r="A9373" i="15"/>
  <c r="A9374" i="15"/>
  <c r="A9375" i="15"/>
  <c r="A9376" i="15"/>
  <c r="A9377" i="15"/>
  <c r="A9378" i="15"/>
  <c r="A9379" i="15"/>
  <c r="A9380" i="15"/>
  <c r="A9381" i="15"/>
  <c r="A9382" i="15"/>
  <c r="A9383" i="15"/>
  <c r="A9384" i="15"/>
  <c r="A9385" i="15"/>
  <c r="A9386" i="15"/>
  <c r="A9387" i="15"/>
  <c r="A9388" i="15"/>
  <c r="A9389" i="15"/>
  <c r="A9390" i="15"/>
  <c r="A9391" i="15"/>
  <c r="A9392" i="15"/>
  <c r="A9393" i="15"/>
  <c r="A9352" i="15"/>
  <c r="A9353" i="15"/>
  <c r="A9354" i="15"/>
  <c r="A9355" i="15"/>
  <c r="A9356" i="15"/>
  <c r="A9357" i="15"/>
  <c r="A9358" i="15"/>
  <c r="A9359" i="15"/>
  <c r="A9360" i="15"/>
  <c r="A9361" i="15"/>
  <c r="A9362" i="15"/>
  <c r="A9363" i="15"/>
  <c r="A9364" i="15"/>
  <c r="A9365" i="15"/>
  <c r="A9366" i="15"/>
  <c r="A9367" i="15"/>
  <c r="A9368" i="15"/>
  <c r="A9369" i="15"/>
  <c r="A9370" i="15"/>
  <c r="A9371" i="15"/>
  <c r="A9372" i="15"/>
  <c r="A9331" i="15"/>
  <c r="A9332" i="15"/>
  <c r="A9333" i="15"/>
  <c r="A9334" i="15"/>
  <c r="A9335" i="15"/>
  <c r="A9336" i="15"/>
  <c r="A9337" i="15"/>
  <c r="A9338" i="15"/>
  <c r="A9339" i="15"/>
  <c r="A9340" i="15"/>
  <c r="A9341" i="15"/>
  <c r="A9342" i="15"/>
  <c r="A9343" i="15"/>
  <c r="A9344" i="15"/>
  <c r="A9345" i="15"/>
  <c r="A9346" i="15"/>
  <c r="A9347" i="15"/>
  <c r="A9348" i="15"/>
  <c r="A9349" i="15"/>
  <c r="A9350" i="15"/>
  <c r="A9351" i="15"/>
  <c r="A9310" i="15"/>
  <c r="A9311" i="15"/>
  <c r="A9312" i="15"/>
  <c r="A9313" i="15"/>
  <c r="A9314" i="15"/>
  <c r="A9315" i="15"/>
  <c r="A9316" i="15"/>
  <c r="A9317" i="15"/>
  <c r="A9318" i="15"/>
  <c r="A9319" i="15"/>
  <c r="A9320" i="15"/>
  <c r="A9321" i="15"/>
  <c r="A9322" i="15"/>
  <c r="A9323" i="15"/>
  <c r="A9324" i="15"/>
  <c r="A9325" i="15"/>
  <c r="A9326" i="15"/>
  <c r="A9327" i="15"/>
  <c r="A9328" i="15"/>
  <c r="A9329" i="15"/>
  <c r="A9330" i="15"/>
  <c r="A9289" i="15"/>
  <c r="A9290" i="15"/>
  <c r="A9291" i="15"/>
  <c r="A9292" i="15"/>
  <c r="A9293" i="15"/>
  <c r="A9294" i="15"/>
  <c r="A9295" i="15"/>
  <c r="A9296" i="15"/>
  <c r="A9297" i="15"/>
  <c r="A9298" i="15"/>
  <c r="A9299" i="15"/>
  <c r="A9300" i="15"/>
  <c r="A9301" i="15"/>
  <c r="A9302" i="15"/>
  <c r="A9303" i="15"/>
  <c r="A9304" i="15"/>
  <c r="A9305" i="15"/>
  <c r="A9306" i="15"/>
  <c r="A9307" i="15"/>
  <c r="A9308" i="15"/>
  <c r="A9309" i="15"/>
  <c r="A9268" i="15"/>
  <c r="A9269" i="15"/>
  <c r="A9270" i="15"/>
  <c r="A9271" i="15"/>
  <c r="A9272" i="15"/>
  <c r="A9273" i="15"/>
  <c r="A9274" i="15"/>
  <c r="A9275" i="15"/>
  <c r="A9276" i="15"/>
  <c r="A9277" i="15"/>
  <c r="A9278" i="15"/>
  <c r="A9279" i="15"/>
  <c r="A9280" i="15"/>
  <c r="A9281" i="15"/>
  <c r="A9282" i="15"/>
  <c r="A9283" i="15"/>
  <c r="A9284" i="15"/>
  <c r="A9285" i="15"/>
  <c r="A9286" i="15"/>
  <c r="A9287" i="15"/>
  <c r="A9288" i="15"/>
  <c r="A9247" i="15"/>
  <c r="A9248" i="15"/>
  <c r="A9249" i="15"/>
  <c r="A9250" i="15"/>
  <c r="A9251" i="15"/>
  <c r="A9252" i="15"/>
  <c r="A9253" i="15"/>
  <c r="A9254" i="15"/>
  <c r="A9255" i="15"/>
  <c r="A9256" i="15"/>
  <c r="A9257" i="15"/>
  <c r="A9258" i="15"/>
  <c r="A9259" i="15"/>
  <c r="A9260" i="15"/>
  <c r="A9261" i="15"/>
  <c r="A9262" i="15"/>
  <c r="A9263" i="15"/>
  <c r="A9264" i="15"/>
  <c r="A9265" i="15"/>
  <c r="A9266" i="15"/>
  <c r="A9267" i="15"/>
  <c r="A9226" i="15"/>
  <c r="A9227" i="15"/>
  <c r="A9228" i="15"/>
  <c r="A9229" i="15"/>
  <c r="A9230" i="15"/>
  <c r="A9231" i="15"/>
  <c r="A9232" i="15"/>
  <c r="A9233" i="15"/>
  <c r="A9234" i="15"/>
  <c r="A9235" i="15"/>
  <c r="A9236" i="15"/>
  <c r="A9237" i="15"/>
  <c r="A9238" i="15"/>
  <c r="A9239" i="15"/>
  <c r="A9240" i="15"/>
  <c r="A9241" i="15"/>
  <c r="A9242" i="15"/>
  <c r="A9243" i="15"/>
  <c r="A9244" i="15"/>
  <c r="A9245" i="15"/>
  <c r="A9246" i="15"/>
  <c r="A9205" i="15"/>
  <c r="A9206" i="15"/>
  <c r="A9207" i="15"/>
  <c r="A9208" i="15"/>
  <c r="A9209" i="15"/>
  <c r="A9210" i="15"/>
  <c r="A9211" i="15"/>
  <c r="A9212" i="15"/>
  <c r="A9213" i="15"/>
  <c r="A9214" i="15"/>
  <c r="A9215" i="15"/>
  <c r="A9216" i="15"/>
  <c r="A9217" i="15"/>
  <c r="A9218" i="15"/>
  <c r="A9219" i="15"/>
  <c r="A9220" i="15"/>
  <c r="A9221" i="15"/>
  <c r="A9222" i="15"/>
  <c r="A9223" i="15"/>
  <c r="A9224" i="15"/>
  <c r="A9225" i="15"/>
  <c r="A9184" i="15"/>
  <c r="A9185" i="15"/>
  <c r="A9186" i="15"/>
  <c r="A9187" i="15"/>
  <c r="A9188" i="15"/>
  <c r="A9189" i="15"/>
  <c r="A9190" i="15"/>
  <c r="A9191" i="15"/>
  <c r="A9192" i="15"/>
  <c r="A9193" i="15"/>
  <c r="A9194" i="15"/>
  <c r="A9195" i="15"/>
  <c r="A9196" i="15"/>
  <c r="A9197" i="15"/>
  <c r="A9198" i="15"/>
  <c r="A9199" i="15"/>
  <c r="A9200" i="15"/>
  <c r="A9201" i="15"/>
  <c r="A9202" i="15"/>
  <c r="A9203" i="15"/>
  <c r="A9204" i="15"/>
  <c r="A9163" i="15"/>
  <c r="A9164" i="15"/>
  <c r="A9165" i="15"/>
  <c r="A9166" i="15"/>
  <c r="A9167" i="15"/>
  <c r="A9168" i="15"/>
  <c r="A9169" i="15"/>
  <c r="A9170" i="15"/>
  <c r="A9171" i="15"/>
  <c r="A9172" i="15"/>
  <c r="A9173" i="15"/>
  <c r="A9174" i="15"/>
  <c r="A9175" i="15"/>
  <c r="A9176" i="15"/>
  <c r="A9177" i="15"/>
  <c r="A9178" i="15"/>
  <c r="A9179" i="15"/>
  <c r="A9180" i="15"/>
  <c r="A9181" i="15"/>
  <c r="A9182" i="15"/>
  <c r="A9183" i="15"/>
  <c r="A9142" i="15"/>
  <c r="A9143" i="15"/>
  <c r="A9144" i="15"/>
  <c r="A9145" i="15"/>
  <c r="A9146" i="15"/>
  <c r="A9147" i="15"/>
  <c r="A9148" i="15"/>
  <c r="A9149" i="15"/>
  <c r="A9150" i="15"/>
  <c r="A9151" i="15"/>
  <c r="A9152" i="15"/>
  <c r="A9153" i="15"/>
  <c r="A9154" i="15"/>
  <c r="A9155" i="15"/>
  <c r="A9156" i="15"/>
  <c r="A9157" i="15"/>
  <c r="A9158" i="15"/>
  <c r="A9159" i="15"/>
  <c r="A9160" i="15"/>
  <c r="A9161" i="15"/>
  <c r="A9162" i="15"/>
  <c r="A9121" i="15"/>
  <c r="A9122" i="15"/>
  <c r="A9123" i="15"/>
  <c r="A9124" i="15"/>
  <c r="A9125" i="15"/>
  <c r="A9126" i="15"/>
  <c r="A9127" i="15"/>
  <c r="A9128" i="15"/>
  <c r="A9129" i="15"/>
  <c r="A9130" i="15"/>
  <c r="A9131" i="15"/>
  <c r="A9132" i="15"/>
  <c r="A9133" i="15"/>
  <c r="A9134" i="15"/>
  <c r="A9135" i="15"/>
  <c r="A9136" i="15"/>
  <c r="A9137" i="15"/>
  <c r="A9138" i="15"/>
  <c r="A9139" i="15"/>
  <c r="A9140" i="15"/>
  <c r="A9141" i="15"/>
  <c r="A9100" i="15"/>
  <c r="A9101" i="15"/>
  <c r="A9102" i="15"/>
  <c r="A9103" i="15"/>
  <c r="A9104" i="15"/>
  <c r="A9105" i="15"/>
  <c r="A9106" i="15"/>
  <c r="A9107" i="15"/>
  <c r="A9108" i="15"/>
  <c r="A9109" i="15"/>
  <c r="A9110" i="15"/>
  <c r="A9111" i="15"/>
  <c r="A9112" i="15"/>
  <c r="A9113" i="15"/>
  <c r="A9114" i="15"/>
  <c r="A9115" i="15"/>
  <c r="A9116" i="15"/>
  <c r="A9117" i="15"/>
  <c r="A9118" i="15"/>
  <c r="A9119" i="15"/>
  <c r="A9120" i="15"/>
  <c r="A9079" i="15"/>
  <c r="A9080" i="15"/>
  <c r="A9081" i="15"/>
  <c r="A9082" i="15"/>
  <c r="A9083" i="15"/>
  <c r="A9084" i="15"/>
  <c r="A9085" i="15"/>
  <c r="A9086" i="15"/>
  <c r="A9087" i="15"/>
  <c r="A9088" i="15"/>
  <c r="A9089" i="15"/>
  <c r="A9090" i="15"/>
  <c r="A9091" i="15"/>
  <c r="A9092" i="15"/>
  <c r="A9093" i="15"/>
  <c r="A9094" i="15"/>
  <c r="A9095" i="15"/>
  <c r="A9096" i="15"/>
  <c r="A9097" i="15"/>
  <c r="A9098" i="15"/>
  <c r="A9099" i="15"/>
  <c r="A9058" i="15"/>
  <c r="A9059" i="15"/>
  <c r="A9060" i="15"/>
  <c r="A8954" i="15"/>
  <c r="A8955" i="15"/>
  <c r="A8956" i="15"/>
  <c r="A8957" i="15"/>
  <c r="A8958" i="15"/>
  <c r="A8959" i="15"/>
  <c r="A8960" i="15"/>
  <c r="A8961" i="15"/>
  <c r="A8962" i="15"/>
  <c r="A8963" i="15"/>
  <c r="A8964" i="15"/>
  <c r="A8965" i="15"/>
  <c r="A8966" i="15"/>
  <c r="A8967" i="15"/>
  <c r="A8968" i="15"/>
  <c r="A8969" i="15"/>
  <c r="A8970" i="15"/>
  <c r="A8971" i="15"/>
  <c r="A8972" i="15"/>
  <c r="A8973" i="15"/>
  <c r="A8974" i="15"/>
  <c r="A8975" i="15"/>
  <c r="A8976" i="15"/>
  <c r="A8977" i="15"/>
  <c r="A8978" i="15"/>
  <c r="A8979" i="15"/>
  <c r="A8980" i="15"/>
  <c r="A8981" i="15"/>
  <c r="A8982" i="15"/>
  <c r="A8983" i="15"/>
  <c r="A8984" i="15"/>
  <c r="A8985" i="15"/>
  <c r="A8986" i="15"/>
  <c r="A8987" i="15"/>
  <c r="A8988" i="15"/>
  <c r="A8989" i="15"/>
  <c r="A8990" i="15"/>
  <c r="A8991" i="15"/>
  <c r="A8992" i="15"/>
  <c r="A8993" i="15"/>
  <c r="A8994" i="15"/>
  <c r="A8995" i="15"/>
  <c r="A8996" i="15"/>
  <c r="A8997" i="15"/>
  <c r="A8998" i="15"/>
  <c r="A8999" i="15"/>
  <c r="A9000" i="15"/>
  <c r="A9001" i="15"/>
  <c r="A9002" i="15"/>
  <c r="A9003" i="15"/>
  <c r="A9004" i="15"/>
  <c r="A9005" i="15"/>
  <c r="A9006" i="15"/>
  <c r="A9007" i="15"/>
  <c r="A9008" i="15"/>
  <c r="A9009" i="15"/>
  <c r="A9010" i="15"/>
  <c r="A9011" i="15"/>
  <c r="A9012" i="15"/>
  <c r="A9013" i="15"/>
  <c r="A9014" i="15"/>
  <c r="A9015" i="15"/>
  <c r="A9016" i="15"/>
  <c r="A9017" i="15"/>
  <c r="A9018" i="15"/>
  <c r="A9019" i="15"/>
  <c r="A9020" i="15"/>
  <c r="A9021" i="15"/>
  <c r="A9022" i="15"/>
  <c r="A9023" i="15"/>
  <c r="A9024" i="15"/>
  <c r="A9025" i="15"/>
  <c r="A9026" i="15"/>
  <c r="A9027" i="15"/>
  <c r="A9028" i="15"/>
  <c r="A9029" i="15"/>
  <c r="A9030" i="15"/>
  <c r="A9031" i="15"/>
  <c r="A9032" i="15"/>
  <c r="A9033" i="15"/>
  <c r="A9034" i="15"/>
  <c r="A9035" i="15"/>
  <c r="A9036" i="15"/>
  <c r="A9037" i="15"/>
  <c r="A9038" i="15"/>
  <c r="A9039" i="15"/>
  <c r="A9040" i="15"/>
  <c r="A9041" i="15"/>
  <c r="A9042" i="15"/>
  <c r="A9043" i="15"/>
  <c r="A9044" i="15"/>
  <c r="A9045" i="15"/>
  <c r="A9046" i="15"/>
  <c r="A9047" i="15"/>
  <c r="A9048" i="15"/>
  <c r="A9049" i="15"/>
  <c r="A9050" i="15"/>
  <c r="A9051" i="15"/>
  <c r="A9052" i="15"/>
  <c r="A9053" i="15"/>
  <c r="A9054" i="15"/>
  <c r="A9055" i="15"/>
  <c r="A9056" i="15"/>
  <c r="A9057" i="15"/>
  <c r="A9061" i="15"/>
  <c r="A9062" i="15"/>
  <c r="A9063" i="15"/>
  <c r="A9064" i="15"/>
  <c r="A9065" i="15"/>
  <c r="A9066" i="15"/>
  <c r="A9067" i="15"/>
  <c r="A9068" i="15"/>
  <c r="A9069" i="15"/>
  <c r="A9070" i="15"/>
  <c r="A9071" i="15"/>
  <c r="A9072" i="15"/>
  <c r="A9073" i="15"/>
  <c r="A9074" i="15"/>
  <c r="A9075" i="15"/>
  <c r="A9076" i="15"/>
  <c r="A9077" i="15"/>
  <c r="A9078" i="15"/>
  <c r="A8933" i="15"/>
  <c r="A8934" i="15"/>
  <c r="A8935" i="15"/>
  <c r="A8936" i="15"/>
  <c r="A8937" i="15"/>
  <c r="A8938" i="15"/>
  <c r="A8939" i="15"/>
  <c r="A8940" i="15"/>
  <c r="A8941" i="15"/>
  <c r="A8942" i="15"/>
  <c r="A8943" i="15"/>
  <c r="A8944" i="15"/>
  <c r="A8945" i="15"/>
  <c r="A8946" i="15"/>
  <c r="A8947" i="15"/>
  <c r="A8948" i="15"/>
  <c r="A8949" i="15"/>
  <c r="A8950" i="15"/>
  <c r="A8951" i="15"/>
  <c r="A8952" i="15"/>
  <c r="A8953" i="15"/>
  <c r="A8932" i="15"/>
  <c r="A8911" i="15"/>
  <c r="A8912" i="15"/>
  <c r="A8913" i="15"/>
  <c r="A8914" i="15"/>
  <c r="A8915" i="15"/>
  <c r="A8916" i="15"/>
  <c r="A8917" i="15"/>
  <c r="A8918" i="15"/>
  <c r="A8919" i="15"/>
  <c r="A8920" i="15"/>
  <c r="A8921" i="15"/>
  <c r="A8922" i="15"/>
  <c r="A8923" i="15"/>
  <c r="A8924" i="15"/>
  <c r="A8925" i="15"/>
  <c r="A8926" i="15"/>
  <c r="A8927" i="15"/>
  <c r="A8928" i="15"/>
  <c r="A8929" i="15"/>
  <c r="A8930" i="15"/>
  <c r="A8931" i="15"/>
  <c r="A8890" i="15"/>
  <c r="A8891" i="15"/>
  <c r="A8892" i="15"/>
  <c r="A8893" i="15"/>
  <c r="A8894" i="15"/>
  <c r="A8895" i="15"/>
  <c r="A8896" i="15"/>
  <c r="A8897" i="15"/>
  <c r="A8898" i="15"/>
  <c r="A8899" i="15"/>
  <c r="A8900" i="15"/>
  <c r="A8901" i="15"/>
  <c r="A8902" i="15"/>
  <c r="A8903" i="15"/>
  <c r="A8904" i="15"/>
  <c r="A8905" i="15"/>
  <c r="A8906" i="15"/>
  <c r="A8907" i="15"/>
  <c r="A8908" i="15"/>
  <c r="A8909" i="15"/>
  <c r="A8910" i="15"/>
  <c r="A8869" i="15"/>
  <c r="A8870" i="15"/>
  <c r="A8871" i="15"/>
  <c r="A8872" i="15"/>
  <c r="A8873" i="15"/>
  <c r="A8874" i="15"/>
  <c r="A8875" i="15"/>
  <c r="A8876" i="15"/>
  <c r="A8877" i="15"/>
  <c r="A8878" i="15"/>
  <c r="A8879" i="15"/>
  <c r="A8880" i="15"/>
  <c r="A8881" i="15"/>
  <c r="A8882" i="15"/>
  <c r="A8883" i="15"/>
  <c r="A8884" i="15"/>
  <c r="A8885" i="15"/>
  <c r="A8886" i="15"/>
  <c r="A8887" i="15"/>
  <c r="A8888" i="15"/>
  <c r="A8889" i="15"/>
  <c r="A8848" i="15"/>
  <c r="A8849" i="15"/>
  <c r="A8850" i="15"/>
  <c r="A8851" i="15"/>
  <c r="A8852" i="15"/>
  <c r="A8853" i="15"/>
  <c r="A8854" i="15"/>
  <c r="A8855" i="15"/>
  <c r="A8856" i="15"/>
  <c r="A8857" i="15"/>
  <c r="A8858" i="15"/>
  <c r="A8859" i="15"/>
  <c r="A8860" i="15"/>
  <c r="A8861" i="15"/>
  <c r="A8862" i="15"/>
  <c r="A8863" i="15"/>
  <c r="A8864" i="15"/>
  <c r="A8865" i="15"/>
  <c r="A8866" i="15"/>
  <c r="A8867" i="15"/>
  <c r="A8868" i="15"/>
  <c r="A8827" i="15"/>
  <c r="A8828" i="15"/>
  <c r="A8829" i="15"/>
  <c r="A8830" i="15"/>
  <c r="A8831" i="15"/>
  <c r="A8832" i="15"/>
  <c r="A8833" i="15"/>
  <c r="A8834" i="15"/>
  <c r="A8835" i="15"/>
  <c r="A8836" i="15"/>
  <c r="A8837" i="15"/>
  <c r="A8838" i="15"/>
  <c r="A8839" i="15"/>
  <c r="A8840" i="15"/>
  <c r="A8841" i="15"/>
  <c r="A8842" i="15"/>
  <c r="A8843" i="15"/>
  <c r="A8844" i="15"/>
  <c r="A8845" i="15"/>
  <c r="A8846" i="15"/>
  <c r="A8847" i="15"/>
  <c r="A8806" i="15"/>
  <c r="A8807" i="15"/>
  <c r="A8808" i="15"/>
  <c r="A8809" i="15"/>
  <c r="A8810" i="15"/>
  <c r="A8811" i="15"/>
  <c r="A8812" i="15"/>
  <c r="A8813" i="15"/>
  <c r="A8814" i="15"/>
  <c r="A8815" i="15"/>
  <c r="A8816" i="15"/>
  <c r="A8817" i="15"/>
  <c r="A8818" i="15"/>
  <c r="A8819" i="15"/>
  <c r="A8820" i="15"/>
  <c r="A8821" i="15"/>
  <c r="A8822" i="15"/>
  <c r="A8823" i="15"/>
  <c r="A8824" i="15"/>
  <c r="A8825" i="15"/>
  <c r="A8826" i="15"/>
  <c r="A8785" i="15"/>
  <c r="A8786" i="15"/>
  <c r="A8787" i="15"/>
  <c r="A8788" i="15"/>
  <c r="A8789" i="15"/>
  <c r="A8790" i="15"/>
  <c r="A8791" i="15"/>
  <c r="A8792" i="15"/>
  <c r="A8793" i="15"/>
  <c r="A8794" i="15"/>
  <c r="A8795" i="15"/>
  <c r="A8796" i="15"/>
  <c r="A8797" i="15"/>
  <c r="A8798" i="15"/>
  <c r="A8799" i="15"/>
  <c r="A8800" i="15"/>
  <c r="A8801" i="15"/>
  <c r="A8802" i="15"/>
  <c r="A8803" i="15"/>
  <c r="A8804" i="15"/>
  <c r="A8805" i="15"/>
  <c r="A8764" i="15"/>
  <c r="A8765" i="15"/>
  <c r="A8766" i="15"/>
  <c r="A8767" i="15"/>
  <c r="A8768" i="15"/>
  <c r="A8769" i="15"/>
  <c r="A8770" i="15"/>
  <c r="A8771" i="15"/>
  <c r="A8772" i="15"/>
  <c r="A8773" i="15"/>
  <c r="A8774" i="15"/>
  <c r="A8775" i="15"/>
  <c r="A8776" i="15"/>
  <c r="A8777" i="15"/>
  <c r="A8778" i="15"/>
  <c r="A8779" i="15"/>
  <c r="A8780" i="15"/>
  <c r="A8781" i="15"/>
  <c r="A8782" i="15"/>
  <c r="A8783" i="15"/>
  <c r="A8784" i="15"/>
  <c r="A8743" i="15"/>
  <c r="A8744" i="15"/>
  <c r="A8745" i="15"/>
  <c r="A8746" i="15"/>
  <c r="A8747" i="15"/>
  <c r="A8748" i="15"/>
  <c r="A8749" i="15"/>
  <c r="A8750" i="15"/>
  <c r="A8751" i="15"/>
  <c r="A8752" i="15"/>
  <c r="A8753" i="15"/>
  <c r="A8754" i="15"/>
  <c r="A8755" i="15"/>
  <c r="A8756" i="15"/>
  <c r="A8757" i="15"/>
  <c r="A8758" i="15"/>
  <c r="A8759" i="15"/>
  <c r="A8760" i="15"/>
  <c r="A8761" i="15"/>
  <c r="A8762" i="15"/>
  <c r="A8763" i="15"/>
  <c r="A8722" i="15"/>
  <c r="A8723" i="15"/>
  <c r="A8724" i="15"/>
  <c r="A8725" i="15"/>
  <c r="A8726" i="15"/>
  <c r="A8727" i="15"/>
  <c r="A8728" i="15"/>
  <c r="A8729" i="15"/>
  <c r="A8730" i="15"/>
  <c r="A8731" i="15"/>
  <c r="A8732" i="15"/>
  <c r="A8733" i="15"/>
  <c r="A8734" i="15"/>
  <c r="A8735" i="15"/>
  <c r="A8736" i="15"/>
  <c r="A8737" i="15"/>
  <c r="A8738" i="15"/>
  <c r="A8739" i="15"/>
  <c r="A8740" i="15"/>
  <c r="A8741" i="15"/>
  <c r="A8742" i="15"/>
  <c r="A8701" i="15"/>
  <c r="A8702" i="15"/>
  <c r="A8703" i="15"/>
  <c r="A8704" i="15"/>
  <c r="A8705" i="15"/>
  <c r="A8706" i="15"/>
  <c r="A8707" i="15"/>
  <c r="A8708" i="15"/>
  <c r="A8709" i="15"/>
  <c r="A8710" i="15"/>
  <c r="A8711" i="15"/>
  <c r="A8712" i="15"/>
  <c r="A8713" i="15"/>
  <c r="A8714" i="15"/>
  <c r="A8715" i="15"/>
  <c r="A8716" i="15"/>
  <c r="A8717" i="15"/>
  <c r="A8718" i="15"/>
  <c r="A8719" i="15"/>
  <c r="A8720" i="15"/>
  <c r="A8721" i="15"/>
  <c r="A8680" i="15"/>
  <c r="A8681" i="15"/>
  <c r="A8682" i="15"/>
  <c r="A8683" i="15"/>
  <c r="A8684" i="15"/>
  <c r="A8685" i="15"/>
  <c r="A8686" i="15"/>
  <c r="A8687" i="15"/>
  <c r="A8688" i="15"/>
  <c r="A8689" i="15"/>
  <c r="A8690" i="15"/>
  <c r="A8691" i="15"/>
  <c r="A8692" i="15"/>
  <c r="A8693" i="15"/>
  <c r="A8694" i="15"/>
  <c r="A8695" i="15"/>
  <c r="A8696" i="15"/>
  <c r="A8697" i="15"/>
  <c r="A8698" i="15"/>
  <c r="A8699" i="15"/>
  <c r="A8700" i="15"/>
  <c r="A8659" i="15"/>
  <c r="A8660" i="15"/>
  <c r="A8661" i="15"/>
  <c r="A8662" i="15"/>
  <c r="A8663" i="15"/>
  <c r="A8664" i="15"/>
  <c r="A8665" i="15"/>
  <c r="A8666" i="15"/>
  <c r="A8667" i="15"/>
  <c r="A8668" i="15"/>
  <c r="A8669" i="15"/>
  <c r="A8670" i="15"/>
  <c r="A8671" i="15"/>
  <c r="A8672" i="15"/>
  <c r="A8673" i="15"/>
  <c r="A8674" i="15"/>
  <c r="A8675" i="15"/>
  <c r="A8676" i="15"/>
  <c r="A8677" i="15"/>
  <c r="A8678" i="15"/>
  <c r="A8679" i="15"/>
  <c r="A8638" i="15"/>
  <c r="A8639" i="15"/>
  <c r="A8640" i="15"/>
  <c r="A8641" i="15"/>
  <c r="A8642" i="15"/>
  <c r="A8643" i="15"/>
  <c r="A8644" i="15"/>
  <c r="A8645" i="15"/>
  <c r="A8646" i="15"/>
  <c r="A8647" i="15"/>
  <c r="A8648" i="15"/>
  <c r="A8649" i="15"/>
  <c r="A8650" i="15"/>
  <c r="A8651" i="15"/>
  <c r="A8652" i="15"/>
  <c r="A8653" i="15"/>
  <c r="A8654" i="15"/>
  <c r="A8655" i="15"/>
  <c r="A8656" i="15"/>
  <c r="A8657" i="15"/>
  <c r="A8658" i="15"/>
  <c r="A8617" i="15"/>
  <c r="A8618" i="15"/>
  <c r="A8619" i="15"/>
  <c r="A8620" i="15"/>
  <c r="A8621" i="15"/>
  <c r="A8622" i="15"/>
  <c r="A8623" i="15"/>
  <c r="A8624" i="15"/>
  <c r="A8625" i="15"/>
  <c r="A8626" i="15"/>
  <c r="A8627" i="15"/>
  <c r="A8628" i="15"/>
  <c r="A8629" i="15"/>
  <c r="A8630" i="15"/>
  <c r="A8631" i="15"/>
  <c r="A8632" i="15"/>
  <c r="A8633" i="15"/>
  <c r="A8634" i="15"/>
  <c r="A8635" i="15"/>
  <c r="A8636" i="15"/>
  <c r="A8637" i="15"/>
  <c r="A8596" i="15"/>
  <c r="A8597" i="15"/>
  <c r="A8598" i="15"/>
  <c r="A8599" i="15"/>
  <c r="A8600" i="15"/>
  <c r="A8601" i="15"/>
  <c r="A8602" i="15"/>
  <c r="A8603" i="15"/>
  <c r="A8604" i="15"/>
  <c r="A8605" i="15"/>
  <c r="A8606" i="15"/>
  <c r="A8607" i="15"/>
  <c r="A8608" i="15"/>
  <c r="A8609" i="15"/>
  <c r="A8610" i="15"/>
  <c r="A8611" i="15"/>
  <c r="A8612" i="15"/>
  <c r="A8613" i="15"/>
  <c r="A8614" i="15"/>
  <c r="A8615" i="15"/>
  <c r="A8616" i="15"/>
  <c r="A8575" i="15"/>
  <c r="A8576" i="15"/>
  <c r="A8577" i="15"/>
  <c r="A8578" i="15"/>
  <c r="A8579" i="15"/>
  <c r="A8580" i="15"/>
  <c r="A8581" i="15"/>
  <c r="A8582" i="15"/>
  <c r="A8583" i="15"/>
  <c r="A8584" i="15"/>
  <c r="A8585" i="15"/>
  <c r="A8586" i="15"/>
  <c r="A8587" i="15"/>
  <c r="A8588" i="15"/>
  <c r="A8589" i="15"/>
  <c r="A8590" i="15"/>
  <c r="A8591" i="15"/>
  <c r="A8592" i="15"/>
  <c r="A8593" i="15"/>
  <c r="A8594" i="15"/>
  <c r="A8595" i="15"/>
  <c r="A8554" i="15"/>
  <c r="A8555" i="15"/>
  <c r="A8556" i="15"/>
  <c r="A8557" i="15"/>
  <c r="A8558" i="15"/>
  <c r="A8559" i="15"/>
  <c r="A8560" i="15"/>
  <c r="A8561" i="15"/>
  <c r="A8562" i="15"/>
  <c r="A8563" i="15"/>
  <c r="A8564" i="15"/>
  <c r="A8565" i="15"/>
  <c r="A8566" i="15"/>
  <c r="A8567" i="15"/>
  <c r="A8568" i="15"/>
  <c r="A8569" i="15"/>
  <c r="A8570" i="15"/>
  <c r="A8571" i="15"/>
  <c r="A8572" i="15"/>
  <c r="A8573" i="15"/>
  <c r="A8574" i="15"/>
  <c r="A8533" i="15"/>
  <c r="A8534" i="15"/>
  <c r="A8535" i="15"/>
  <c r="A8536" i="15"/>
  <c r="A8537" i="15"/>
  <c r="A8538" i="15"/>
  <c r="A8539" i="15"/>
  <c r="A8540" i="15"/>
  <c r="A8541" i="15"/>
  <c r="A8542" i="15"/>
  <c r="A8543" i="15"/>
  <c r="A8544" i="15"/>
  <c r="A8545" i="15"/>
  <c r="A8546" i="15"/>
  <c r="A8547" i="15"/>
  <c r="A8548" i="15"/>
  <c r="A8549" i="15"/>
  <c r="A8550" i="15"/>
  <c r="A8551" i="15"/>
  <c r="A8552" i="15"/>
  <c r="A8553" i="15"/>
  <c r="A8512" i="15"/>
  <c r="A8513" i="15"/>
  <c r="A8514" i="15"/>
  <c r="A8515" i="15"/>
  <c r="A8516" i="15"/>
  <c r="A8517" i="15"/>
  <c r="A8518" i="15"/>
  <c r="A8519" i="15"/>
  <c r="A8520" i="15"/>
  <c r="A8521" i="15"/>
  <c r="A8522" i="15"/>
  <c r="A8523" i="15"/>
  <c r="A8524" i="15"/>
  <c r="A8525" i="15"/>
  <c r="A8526" i="15"/>
  <c r="A8527" i="15"/>
  <c r="A8528" i="15"/>
  <c r="A8529" i="15"/>
  <c r="A8530" i="15"/>
  <c r="A8531" i="15"/>
  <c r="A8532" i="15"/>
  <c r="A8491" i="15"/>
  <c r="A8492" i="15"/>
  <c r="A8493" i="15"/>
  <c r="A8494" i="15"/>
  <c r="A8495" i="15"/>
  <c r="A8496" i="15"/>
  <c r="A8497" i="15"/>
  <c r="A8498" i="15"/>
  <c r="A8499" i="15"/>
  <c r="A8500" i="15"/>
  <c r="A8501" i="15"/>
  <c r="A8502" i="15"/>
  <c r="A8503" i="15"/>
  <c r="A8504" i="15"/>
  <c r="A8505" i="15"/>
  <c r="A8506" i="15"/>
  <c r="A8507" i="15"/>
  <c r="A8508" i="15"/>
  <c r="A8509" i="15"/>
  <c r="A8510" i="15"/>
  <c r="A8511" i="15"/>
  <c r="A8470" i="15"/>
  <c r="A8471" i="15"/>
  <c r="A8472" i="15"/>
  <c r="A8473" i="15"/>
  <c r="A8474" i="15"/>
  <c r="A8475" i="15"/>
  <c r="A8476" i="15"/>
  <c r="A8477" i="15"/>
  <c r="A8478" i="15"/>
  <c r="A8479" i="15"/>
  <c r="A8480" i="15"/>
  <c r="A8481" i="15"/>
  <c r="A8482" i="15"/>
  <c r="A8483" i="15"/>
  <c r="A8484" i="15"/>
  <c r="A8485" i="15"/>
  <c r="A8486" i="15"/>
  <c r="A8487" i="15"/>
  <c r="A8488" i="15"/>
  <c r="A8489" i="15"/>
  <c r="A8490" i="15"/>
  <c r="A8449" i="15"/>
  <c r="A8450" i="15"/>
  <c r="A8451" i="15"/>
  <c r="A8452" i="15"/>
  <c r="A8453" i="15"/>
  <c r="A8454" i="15"/>
  <c r="A8455" i="15"/>
  <c r="A8456" i="15"/>
  <c r="A8457" i="15"/>
  <c r="A8458" i="15"/>
  <c r="A8459" i="15"/>
  <c r="A8460" i="15"/>
  <c r="A8461" i="15"/>
  <c r="A8462" i="15"/>
  <c r="A8463" i="15"/>
  <c r="A8464" i="15"/>
  <c r="A8465" i="15"/>
  <c r="A8466" i="15"/>
  <c r="A8467" i="15"/>
  <c r="A8468" i="15"/>
  <c r="A8469" i="15"/>
  <c r="A8428" i="15"/>
  <c r="A8429" i="15"/>
  <c r="A8430" i="15"/>
  <c r="A8431" i="15"/>
  <c r="A8432" i="15"/>
  <c r="A8433" i="15"/>
  <c r="A8434" i="15"/>
  <c r="A8435" i="15"/>
  <c r="A8436" i="15"/>
  <c r="A8437" i="15"/>
  <c r="A8438" i="15"/>
  <c r="A8439" i="15"/>
  <c r="A8440" i="15"/>
  <c r="A8441" i="15"/>
  <c r="A8442" i="15"/>
  <c r="A8443" i="15"/>
  <c r="A8444" i="15"/>
  <c r="A8445" i="15"/>
  <c r="A8446" i="15"/>
  <c r="A8447" i="15"/>
  <c r="A8448" i="15"/>
  <c r="A8407" i="15"/>
  <c r="A8408" i="15"/>
  <c r="A8409" i="15"/>
  <c r="A8410" i="15"/>
  <c r="A8411" i="15"/>
  <c r="A8412" i="15"/>
  <c r="A8413" i="15"/>
  <c r="A8414" i="15"/>
  <c r="A8415" i="15"/>
  <c r="A8416" i="15"/>
  <c r="A8417" i="15"/>
  <c r="A8418" i="15"/>
  <c r="A8419" i="15"/>
  <c r="A8420" i="15"/>
  <c r="A8421" i="15"/>
  <c r="A8422" i="15"/>
  <c r="A8423" i="15"/>
  <c r="A8424" i="15"/>
  <c r="A8425" i="15"/>
  <c r="A8426" i="15"/>
  <c r="A8427" i="15"/>
  <c r="A8386" i="15"/>
  <c r="A8387" i="15"/>
  <c r="A8388" i="15"/>
  <c r="A8389" i="15"/>
  <c r="A8390" i="15"/>
  <c r="A8391" i="15"/>
  <c r="A8392" i="15"/>
  <c r="A8393" i="15"/>
  <c r="A8394" i="15"/>
  <c r="A8395" i="15"/>
  <c r="A8396" i="15"/>
  <c r="A8397" i="15"/>
  <c r="A8398" i="15"/>
  <c r="A8399" i="15"/>
  <c r="A8400" i="15"/>
  <c r="A8401" i="15"/>
  <c r="A8402" i="15"/>
  <c r="A8403" i="15"/>
  <c r="A8404" i="15"/>
  <c r="A8405" i="15"/>
  <c r="A8406" i="15"/>
  <c r="A8365" i="15"/>
  <c r="A8366" i="15"/>
  <c r="A8367" i="15"/>
  <c r="A8368" i="15"/>
  <c r="A8369" i="15"/>
  <c r="A8370" i="15"/>
  <c r="A8371" i="15"/>
  <c r="A8372" i="15"/>
  <c r="A8373" i="15"/>
  <c r="A8374" i="15"/>
  <c r="A8375" i="15"/>
  <c r="A8376" i="15"/>
  <c r="A8377" i="15"/>
  <c r="A8378" i="15"/>
  <c r="A8379" i="15"/>
  <c r="A8380" i="15"/>
  <c r="A8381" i="15"/>
  <c r="A8382" i="15"/>
  <c r="A8383" i="15"/>
  <c r="A8384" i="15"/>
  <c r="A8385" i="15"/>
  <c r="A8344" i="15"/>
  <c r="A8345" i="15"/>
  <c r="A8346" i="15"/>
  <c r="A8347" i="15"/>
  <c r="A8348" i="15"/>
  <c r="A8349" i="15"/>
  <c r="A8350" i="15"/>
  <c r="A8351" i="15"/>
  <c r="A8352" i="15"/>
  <c r="A8353" i="15"/>
  <c r="A8354" i="15"/>
  <c r="A8355" i="15"/>
  <c r="A8356" i="15"/>
  <c r="A8357" i="15"/>
  <c r="A8358" i="15"/>
  <c r="A8359" i="15"/>
  <c r="A8360" i="15"/>
  <c r="A8361" i="15"/>
  <c r="A8362" i="15"/>
  <c r="A8363" i="15"/>
  <c r="A8364" i="15"/>
  <c r="A8323" i="15"/>
  <c r="A8324" i="15"/>
  <c r="A8325" i="15"/>
  <c r="A8326" i="15"/>
  <c r="A8327" i="15"/>
  <c r="A8328" i="15"/>
  <c r="A8329" i="15"/>
  <c r="A8330" i="15"/>
  <c r="A8331" i="15"/>
  <c r="A8332" i="15"/>
  <c r="A8333" i="15"/>
  <c r="A8334" i="15"/>
  <c r="A8335" i="15"/>
  <c r="A8336" i="15"/>
  <c r="A8337" i="15"/>
  <c r="A8338" i="15"/>
  <c r="A8339" i="15"/>
  <c r="A8340" i="15"/>
  <c r="A8341" i="15"/>
  <c r="A8342" i="15"/>
  <c r="A8343" i="15"/>
  <c r="A8302" i="15"/>
  <c r="A8303" i="15"/>
  <c r="A8304" i="15"/>
  <c r="A8305" i="15"/>
  <c r="A8306" i="15"/>
  <c r="A8307" i="15"/>
  <c r="A8308" i="15"/>
  <c r="A8309" i="15"/>
  <c r="A8310" i="15"/>
  <c r="A8311" i="15"/>
  <c r="A8312" i="15"/>
  <c r="A8313" i="15"/>
  <c r="A8314" i="15"/>
  <c r="A8315" i="15"/>
  <c r="A8316" i="15"/>
  <c r="A8317" i="15"/>
  <c r="A8318" i="15"/>
  <c r="A8319" i="15"/>
  <c r="A8320" i="15"/>
  <c r="A8321" i="15"/>
  <c r="A8322" i="15"/>
  <c r="A8281" i="15"/>
  <c r="A8282" i="15"/>
  <c r="A8283" i="15"/>
  <c r="A8284" i="15"/>
  <c r="A8285" i="15"/>
  <c r="A8286" i="15"/>
  <c r="A8287" i="15"/>
  <c r="A8288" i="15"/>
  <c r="A8289" i="15"/>
  <c r="A8290" i="15"/>
  <c r="A8291" i="15"/>
  <c r="A8292" i="15"/>
  <c r="A8293" i="15"/>
  <c r="A8294" i="15"/>
  <c r="A8295" i="15"/>
  <c r="A8296" i="15"/>
  <c r="A8297" i="15"/>
  <c r="A8298" i="15"/>
  <c r="A8299" i="15"/>
  <c r="A8300" i="15"/>
  <c r="A8301" i="15"/>
  <c r="A8260" i="15"/>
  <c r="A8261" i="15"/>
  <c r="A8262" i="15"/>
  <c r="A8263" i="15"/>
  <c r="A8264" i="15"/>
  <c r="A8265" i="15"/>
  <c r="A8266" i="15"/>
  <c r="A8267" i="15"/>
  <c r="A8268" i="15"/>
  <c r="A8269" i="15"/>
  <c r="A8270" i="15"/>
  <c r="A8271" i="15"/>
  <c r="A8272" i="15"/>
  <c r="A8273" i="15"/>
  <c r="A8274" i="15"/>
  <c r="A8275" i="15"/>
  <c r="A8276" i="15"/>
  <c r="A8277" i="15"/>
  <c r="A8278" i="15"/>
  <c r="A8279" i="15"/>
  <c r="A8280" i="15"/>
  <c r="A8239" i="15"/>
  <c r="A8240" i="15"/>
  <c r="A8241" i="15"/>
  <c r="A8242" i="15"/>
  <c r="A8243" i="15"/>
  <c r="A8244" i="15"/>
  <c r="A8245" i="15"/>
  <c r="A8246" i="15"/>
  <c r="A8247" i="15"/>
  <c r="A8248" i="15"/>
  <c r="A8249" i="15"/>
  <c r="A8250" i="15"/>
  <c r="A8251" i="15"/>
  <c r="A8252" i="15"/>
  <c r="A8253" i="15"/>
  <c r="A8254" i="15"/>
  <c r="A8255" i="15"/>
  <c r="A8256" i="15"/>
  <c r="A8257" i="15"/>
  <c r="A8258" i="15"/>
  <c r="A8259" i="15"/>
  <c r="A8218" i="15"/>
  <c r="A8219" i="15"/>
  <c r="A8220" i="15"/>
  <c r="A8221" i="15"/>
  <c r="A8222" i="15"/>
  <c r="A8223" i="15"/>
  <c r="A8224" i="15"/>
  <c r="A8225" i="15"/>
  <c r="A8226" i="15"/>
  <c r="A8227" i="15"/>
  <c r="A8228" i="15"/>
  <c r="A8229" i="15"/>
  <c r="A8230" i="15"/>
  <c r="A8231" i="15"/>
  <c r="A8232" i="15"/>
  <c r="A8233" i="15"/>
  <c r="A8234" i="15"/>
  <c r="A8235" i="15"/>
  <c r="A8236" i="15"/>
  <c r="A8237" i="15"/>
  <c r="A8238" i="15"/>
  <c r="A8197" i="15"/>
  <c r="A8198" i="15"/>
  <c r="A8199" i="15"/>
  <c r="A8200" i="15"/>
  <c r="A8201" i="15"/>
  <c r="A8202" i="15"/>
  <c r="A8203" i="15"/>
  <c r="A8204" i="15"/>
  <c r="A8205" i="15"/>
  <c r="A8206" i="15"/>
  <c r="A8207" i="15"/>
  <c r="A8208" i="15"/>
  <c r="A8209" i="15"/>
  <c r="A8210" i="15"/>
  <c r="A8211" i="15"/>
  <c r="A8212" i="15"/>
  <c r="A8213" i="15"/>
  <c r="A8214" i="15"/>
  <c r="A8215" i="15"/>
  <c r="A8216" i="15"/>
  <c r="A8217" i="15"/>
  <c r="A8176" i="15"/>
  <c r="A8177" i="15"/>
  <c r="A8178" i="15"/>
  <c r="A8179" i="15"/>
  <c r="A8180" i="15"/>
  <c r="A8181" i="15"/>
  <c r="A8182" i="15"/>
  <c r="A8183" i="15"/>
  <c r="A8184" i="15"/>
  <c r="A8185" i="15"/>
  <c r="A8186" i="15"/>
  <c r="A8187" i="15"/>
  <c r="A8188" i="15"/>
  <c r="A8189" i="15"/>
  <c r="A8190" i="15"/>
  <c r="A8191" i="15"/>
  <c r="A8192" i="15"/>
  <c r="A8193" i="15"/>
  <c r="A8194" i="15"/>
  <c r="A8195" i="15"/>
  <c r="A8196" i="15"/>
  <c r="A8155" i="15"/>
  <c r="A8156" i="15"/>
  <c r="A8157" i="15"/>
  <c r="A8158" i="15"/>
  <c r="A8159" i="15"/>
  <c r="A8160" i="15"/>
  <c r="A8161" i="15"/>
  <c r="A8162" i="15"/>
  <c r="A8163" i="15"/>
  <c r="A8164" i="15"/>
  <c r="A8165" i="15"/>
  <c r="A8166" i="15"/>
  <c r="A8167" i="15"/>
  <c r="A8168" i="15"/>
  <c r="A8169" i="15"/>
  <c r="A8170" i="15"/>
  <c r="A8171" i="15"/>
  <c r="A8172" i="15"/>
  <c r="A8173" i="15"/>
  <c r="A8174" i="15"/>
  <c r="A8175" i="15"/>
  <c r="A8134" i="15"/>
  <c r="A8135" i="15"/>
  <c r="A8136" i="15"/>
  <c r="A8137" i="15"/>
  <c r="A8138" i="15"/>
  <c r="A8139" i="15"/>
  <c r="A8140" i="15"/>
  <c r="A8141" i="15"/>
  <c r="A8142" i="15"/>
  <c r="A8143" i="15"/>
  <c r="A8144" i="15"/>
  <c r="A8145" i="15"/>
  <c r="A8146" i="15"/>
  <c r="A8147" i="15"/>
  <c r="A8148" i="15"/>
  <c r="A8149" i="15"/>
  <c r="A8150" i="15"/>
  <c r="A8151" i="15"/>
  <c r="A8152" i="15"/>
  <c r="A8153" i="15"/>
  <c r="A8154" i="15"/>
  <c r="A8113" i="15"/>
  <c r="A8114" i="15"/>
  <c r="A8115" i="15"/>
  <c r="A8116" i="15"/>
  <c r="A8117" i="15"/>
  <c r="A8118" i="15"/>
  <c r="A8119" i="15"/>
  <c r="A8120" i="15"/>
  <c r="A8121" i="15"/>
  <c r="A8122" i="15"/>
  <c r="A8123" i="15"/>
  <c r="A8124" i="15"/>
  <c r="A8125" i="15"/>
  <c r="A8126" i="15"/>
  <c r="A8127" i="15"/>
  <c r="A8128" i="15"/>
  <c r="A8129" i="15"/>
  <c r="A8130" i="15"/>
  <c r="A8131" i="15"/>
  <c r="A8132" i="15"/>
  <c r="A8133" i="15"/>
  <c r="A8092" i="15"/>
  <c r="A8093" i="15"/>
  <c r="A8094" i="15"/>
  <c r="A8095" i="15"/>
  <c r="A8096" i="15"/>
  <c r="A8097" i="15"/>
  <c r="A8098" i="15"/>
  <c r="A8099" i="15"/>
  <c r="A8100" i="15"/>
  <c r="A8101" i="15"/>
  <c r="A8102" i="15"/>
  <c r="A8103" i="15"/>
  <c r="A8104" i="15"/>
  <c r="A8105" i="15"/>
  <c r="A8106" i="15"/>
  <c r="A8107" i="15"/>
  <c r="A8108" i="15"/>
  <c r="A8109" i="15"/>
  <c r="A8110" i="15"/>
  <c r="A8111" i="15"/>
  <c r="A8112" i="15"/>
  <c r="A8071" i="15"/>
  <c r="A8072" i="15"/>
  <c r="A8073" i="15"/>
  <c r="A8074" i="15"/>
  <c r="A8075" i="15"/>
  <c r="A8076" i="15"/>
  <c r="A8077" i="15"/>
  <c r="A8078" i="15"/>
  <c r="A8079" i="15"/>
  <c r="A8080" i="15"/>
  <c r="A8081" i="15"/>
  <c r="A8082" i="15"/>
  <c r="A8083" i="15"/>
  <c r="A8084" i="15"/>
  <c r="A8085" i="15"/>
  <c r="A8086" i="15"/>
  <c r="A8087" i="15"/>
  <c r="A8088" i="15"/>
  <c r="A8089" i="15"/>
  <c r="A8090" i="15"/>
  <c r="A8091" i="15"/>
  <c r="A8050" i="15"/>
  <c r="A8051" i="15"/>
  <c r="A8052" i="15"/>
  <c r="A8053" i="15"/>
  <c r="A8054" i="15"/>
  <c r="A8055" i="15"/>
  <c r="A8056" i="15"/>
  <c r="A8057" i="15"/>
  <c r="A8058" i="15"/>
  <c r="A8059" i="15"/>
  <c r="A8060" i="15"/>
  <c r="A8061" i="15"/>
  <c r="A8062" i="15"/>
  <c r="A8063" i="15"/>
  <c r="A8064" i="15"/>
  <c r="A8065" i="15"/>
  <c r="A8066" i="15"/>
  <c r="A8067" i="15"/>
  <c r="A8068" i="15"/>
  <c r="A8069" i="15"/>
  <c r="A8070" i="15"/>
  <c r="A8029" i="15"/>
  <c r="A8030" i="15"/>
  <c r="A8031" i="15"/>
  <c r="A8032" i="15"/>
  <c r="A8033" i="15"/>
  <c r="A8034" i="15"/>
  <c r="A8035" i="15"/>
  <c r="A8036" i="15"/>
  <c r="A8037" i="15"/>
  <c r="A8038" i="15"/>
  <c r="A8039" i="15"/>
  <c r="A8040" i="15"/>
  <c r="A8041" i="15"/>
  <c r="A8042" i="15"/>
  <c r="A8043" i="15"/>
  <c r="A8044" i="15"/>
  <c r="A8045" i="15"/>
  <c r="A8046" i="15"/>
  <c r="A8047" i="15"/>
  <c r="A8048" i="15"/>
  <c r="A8049" i="15"/>
  <c r="A8008" i="15"/>
  <c r="A8009" i="15"/>
  <c r="A8010" i="15"/>
  <c r="A8011" i="15"/>
  <c r="A8012" i="15"/>
  <c r="A8013" i="15"/>
  <c r="A8014" i="15"/>
  <c r="A8015" i="15"/>
  <c r="A8016" i="15"/>
  <c r="A8017" i="15"/>
  <c r="A8018" i="15"/>
  <c r="A8019" i="15"/>
  <c r="A8020" i="15"/>
  <c r="A8021" i="15"/>
  <c r="A8022" i="15"/>
  <c r="A8023" i="15"/>
  <c r="A8024" i="15"/>
  <c r="A8025" i="15"/>
  <c r="A8026" i="15"/>
  <c r="A8027" i="15"/>
  <c r="A8028" i="15"/>
  <c r="A7987" i="15"/>
  <c r="A7988" i="15"/>
  <c r="A7989" i="15"/>
  <c r="A7990" i="15"/>
  <c r="A7991" i="15"/>
  <c r="A7992" i="15"/>
  <c r="A7993" i="15"/>
  <c r="A7994" i="15"/>
  <c r="A7995" i="15"/>
  <c r="A7996" i="15"/>
  <c r="A7997" i="15"/>
  <c r="A7998" i="15"/>
  <c r="A7999" i="15"/>
  <c r="A8000" i="15"/>
  <c r="A8001" i="15"/>
  <c r="A8002" i="15"/>
  <c r="A8003" i="15"/>
  <c r="A8004" i="15"/>
  <c r="A8005" i="15"/>
  <c r="A8006" i="15"/>
  <c r="A8007" i="15"/>
  <c r="A7966" i="15"/>
  <c r="A7967" i="15"/>
  <c r="A7968" i="15"/>
  <c r="A7969" i="15"/>
  <c r="A7970" i="15"/>
  <c r="A7971" i="15"/>
  <c r="A7972" i="15"/>
  <c r="A7973" i="15"/>
  <c r="A7974" i="15"/>
  <c r="A7975" i="15"/>
  <c r="A7976" i="15"/>
  <c r="A7977" i="15"/>
  <c r="A7978" i="15"/>
  <c r="A7979" i="15"/>
  <c r="A7980" i="15"/>
  <c r="A7981" i="15"/>
  <c r="A7982" i="15"/>
  <c r="A7983" i="15"/>
  <c r="A7984" i="15"/>
  <c r="A7985" i="15"/>
  <c r="A7986" i="15"/>
  <c r="A7945" i="15"/>
  <c r="A7946" i="15"/>
  <c r="A7947" i="15"/>
  <c r="A7948" i="15"/>
  <c r="A7949" i="15"/>
  <c r="A7950" i="15"/>
  <c r="A7951" i="15"/>
  <c r="A7952" i="15"/>
  <c r="A7953" i="15"/>
  <c r="A7954" i="15"/>
  <c r="A7955" i="15"/>
  <c r="A7956" i="15"/>
  <c r="A7957" i="15"/>
  <c r="A7958" i="15"/>
  <c r="A7959" i="15"/>
  <c r="A7960" i="15"/>
  <c r="A7961" i="15"/>
  <c r="A7962" i="15"/>
  <c r="A7963" i="15"/>
  <c r="A7964" i="15"/>
  <c r="A7965" i="15"/>
  <c r="A7924" i="15"/>
  <c r="A7925" i="15"/>
  <c r="A7926" i="15"/>
  <c r="A7927" i="15"/>
  <c r="A7928" i="15"/>
  <c r="A7929" i="15"/>
  <c r="A7930" i="15"/>
  <c r="A7931" i="15"/>
  <c r="A7932" i="15"/>
  <c r="A7933" i="15"/>
  <c r="A7934" i="15"/>
  <c r="A7935" i="15"/>
  <c r="A7936" i="15"/>
  <c r="A7937" i="15"/>
  <c r="A7938" i="15"/>
  <c r="A7939" i="15"/>
  <c r="A7940" i="15"/>
  <c r="A7941" i="15"/>
  <c r="A7942" i="15"/>
  <c r="A7943" i="15"/>
  <c r="A7944" i="15"/>
  <c r="A7903" i="15"/>
  <c r="A7904" i="15"/>
  <c r="A7905" i="15"/>
  <c r="A7906" i="15"/>
  <c r="A7907" i="15"/>
  <c r="A7908" i="15"/>
  <c r="A7909" i="15"/>
  <c r="A7910" i="15"/>
  <c r="A7911" i="15"/>
  <c r="A7912" i="15"/>
  <c r="A7913" i="15"/>
  <c r="A7914" i="15"/>
  <c r="A7915" i="15"/>
  <c r="A7916" i="15"/>
  <c r="A7917" i="15"/>
  <c r="A7918" i="15"/>
  <c r="A7919" i="15"/>
  <c r="A7920" i="15"/>
  <c r="A7921" i="15"/>
  <c r="A7922" i="15"/>
  <c r="A7923" i="15"/>
  <c r="A7882" i="15"/>
  <c r="A7883" i="15"/>
  <c r="A7884" i="15"/>
  <c r="A7885" i="15"/>
  <c r="A7886" i="15"/>
  <c r="A7887" i="15"/>
  <c r="A7888" i="15"/>
  <c r="A7889" i="15"/>
  <c r="A7890" i="15"/>
  <c r="A7891" i="15"/>
  <c r="A7892" i="15"/>
  <c r="A7893" i="15"/>
  <c r="A7894" i="15"/>
  <c r="A7895" i="15"/>
  <c r="A7896" i="15"/>
  <c r="A7897" i="15"/>
  <c r="A7898" i="15"/>
  <c r="A7899" i="15"/>
  <c r="A7900" i="15"/>
  <c r="A7901" i="15"/>
  <c r="A7902" i="15"/>
  <c r="A7861" i="15"/>
  <c r="A7862" i="15"/>
  <c r="A7863" i="15"/>
  <c r="A7864" i="15"/>
  <c r="A7865" i="15"/>
  <c r="A7866" i="15"/>
  <c r="A7867" i="15"/>
  <c r="A7868" i="15"/>
  <c r="A7869" i="15"/>
  <c r="A7870" i="15"/>
  <c r="A7871" i="15"/>
  <c r="A7872" i="15"/>
  <c r="A7873" i="15"/>
  <c r="A7874" i="15"/>
  <c r="A7875" i="15"/>
  <c r="A7876" i="15"/>
  <c r="A7877" i="15"/>
  <c r="A7878" i="15"/>
  <c r="A7879" i="15"/>
  <c r="A7880" i="15"/>
  <c r="A7881" i="15"/>
  <c r="A7840" i="15"/>
  <c r="A7841" i="15"/>
  <c r="A7842" i="15"/>
  <c r="A7843" i="15"/>
  <c r="A7844" i="15"/>
  <c r="A7845" i="15"/>
  <c r="A7846" i="15"/>
  <c r="A7847" i="15"/>
  <c r="A7848" i="15"/>
  <c r="A7849" i="15"/>
  <c r="A7850" i="15"/>
  <c r="A7851" i="15"/>
  <c r="A7852" i="15"/>
  <c r="A7853" i="15"/>
  <c r="A7854" i="15"/>
  <c r="A7855" i="15"/>
  <c r="A7856" i="15"/>
  <c r="A7857" i="15"/>
  <c r="A7858" i="15"/>
  <c r="A7859" i="15"/>
  <c r="A7860" i="15"/>
  <c r="A7819" i="15"/>
  <c r="A7820" i="15"/>
  <c r="A7821" i="15"/>
  <c r="A7822" i="15"/>
  <c r="A7823" i="15"/>
  <c r="A7824" i="15"/>
  <c r="A7825" i="15"/>
  <c r="A7826" i="15"/>
  <c r="A7827" i="15"/>
  <c r="A7828" i="15"/>
  <c r="A7829" i="15"/>
  <c r="A7830" i="15"/>
  <c r="A7831" i="15"/>
  <c r="A7832" i="15"/>
  <c r="A7833" i="15"/>
  <c r="A7834" i="15"/>
  <c r="A7835" i="15"/>
  <c r="A7836" i="15"/>
  <c r="A7837" i="15"/>
  <c r="A7838" i="15"/>
  <c r="A7839" i="15"/>
  <c r="A7798" i="15"/>
  <c r="A7799" i="15"/>
  <c r="A7800" i="15"/>
  <c r="A7801" i="15"/>
  <c r="A7802" i="15"/>
  <c r="A7803" i="15"/>
  <c r="A7804" i="15"/>
  <c r="A7805" i="15"/>
  <c r="A7806" i="15"/>
  <c r="A7807" i="15"/>
  <c r="A7808" i="15"/>
  <c r="A7809" i="15"/>
  <c r="A7810" i="15"/>
  <c r="A7811" i="15"/>
  <c r="A7812" i="15"/>
  <c r="A7813" i="15"/>
  <c r="A7814" i="15"/>
  <c r="A7815" i="15"/>
  <c r="A7816" i="15"/>
  <c r="A7817" i="15"/>
  <c r="A7818" i="15"/>
  <c r="A7777" i="15"/>
  <c r="A7778" i="15"/>
  <c r="A7779" i="15"/>
  <c r="A7780" i="15"/>
  <c r="A7781" i="15"/>
  <c r="A7782" i="15"/>
  <c r="A7783" i="15"/>
  <c r="A7784" i="15"/>
  <c r="A7785" i="15"/>
  <c r="A7786" i="15"/>
  <c r="A7787" i="15"/>
  <c r="A7788" i="15"/>
  <c r="A7789" i="15"/>
  <c r="A7790" i="15"/>
  <c r="A7791" i="15"/>
  <c r="A7792" i="15"/>
  <c r="A7793" i="15"/>
  <c r="A7794" i="15"/>
  <c r="A7795" i="15"/>
  <c r="A7796" i="15"/>
  <c r="A7797" i="15"/>
  <c r="A7736" i="15"/>
  <c r="A7737" i="15"/>
  <c r="A7738" i="15"/>
  <c r="A7739" i="15"/>
  <c r="A7740" i="15"/>
  <c r="A7741" i="15"/>
  <c r="A7742" i="15"/>
  <c r="A7743" i="15"/>
  <c r="A7744" i="15"/>
  <c r="A7745" i="15"/>
  <c r="A7746" i="15"/>
  <c r="A7747" i="15"/>
  <c r="A7748" i="15"/>
  <c r="A7749" i="15"/>
  <c r="A7750" i="15"/>
  <c r="A7751" i="15"/>
  <c r="A7752" i="15"/>
  <c r="A7753" i="15"/>
  <c r="A7754" i="15"/>
  <c r="A7755" i="15"/>
  <c r="A7756" i="15"/>
  <c r="A7757" i="15"/>
  <c r="A7758" i="15"/>
  <c r="A7759" i="15"/>
  <c r="A7760" i="15"/>
  <c r="A7761" i="15"/>
  <c r="A7762" i="15"/>
  <c r="A7763" i="15"/>
  <c r="A7764" i="15"/>
  <c r="A7765" i="15"/>
  <c r="A7766" i="15"/>
  <c r="A7767" i="15"/>
  <c r="A7768" i="15"/>
  <c r="A7769" i="15"/>
  <c r="A7770" i="15"/>
  <c r="A7771" i="15"/>
  <c r="A7772" i="15"/>
  <c r="A7773" i="15"/>
  <c r="A7774" i="15"/>
  <c r="A7775" i="15"/>
  <c r="A7776" i="15"/>
  <c r="A5091" i="15"/>
  <c r="A5092" i="15"/>
  <c r="A5093" i="15"/>
  <c r="A5094" i="15"/>
  <c r="A5095" i="15"/>
  <c r="A5096" i="15"/>
  <c r="A5097" i="15"/>
  <c r="A5098" i="15"/>
  <c r="A5099" i="15"/>
  <c r="A5100" i="15"/>
  <c r="A5101" i="15"/>
  <c r="A5102" i="15"/>
  <c r="A5103" i="15"/>
  <c r="A5104" i="15"/>
  <c r="A5105" i="15"/>
  <c r="A5106" i="15"/>
  <c r="A5107" i="15"/>
  <c r="A5108" i="15"/>
  <c r="A5109" i="15"/>
  <c r="A5110" i="15"/>
  <c r="A5111" i="15"/>
  <c r="A5112" i="15"/>
  <c r="A5113" i="15"/>
  <c r="A5114" i="15"/>
  <c r="A5115" i="15"/>
  <c r="A5116" i="15"/>
  <c r="A5117" i="15"/>
  <c r="A5118" i="15"/>
  <c r="A5119" i="15"/>
  <c r="A5120" i="15"/>
  <c r="A5121" i="15"/>
  <c r="A5122" i="15"/>
  <c r="A5123" i="15"/>
  <c r="A5124" i="15"/>
  <c r="A5125" i="15"/>
  <c r="A5126" i="15"/>
  <c r="A5127" i="15"/>
  <c r="A5128" i="15"/>
  <c r="A5129" i="15"/>
  <c r="A5130" i="15"/>
  <c r="A5131" i="15"/>
  <c r="A5132" i="15"/>
  <c r="A5133" i="15"/>
  <c r="A5134" i="15"/>
  <c r="A5135" i="15"/>
  <c r="A5136" i="15"/>
  <c r="A5137" i="15"/>
  <c r="A5138" i="15"/>
  <c r="A5139" i="15"/>
  <c r="A5140" i="15"/>
  <c r="A5141" i="15"/>
  <c r="A5142" i="15"/>
  <c r="A5143" i="15"/>
  <c r="A5144" i="15"/>
  <c r="A5145" i="15"/>
  <c r="A5146" i="15"/>
  <c r="A5147" i="15"/>
  <c r="A5148" i="15"/>
  <c r="A5149" i="15"/>
  <c r="A5150" i="15"/>
  <c r="A5151" i="15"/>
  <c r="A5152" i="15"/>
  <c r="A5153" i="15"/>
  <c r="A5154" i="15"/>
  <c r="A5155" i="15"/>
  <c r="A5156" i="15"/>
  <c r="A5157" i="15"/>
  <c r="A5158" i="15"/>
  <c r="A5159" i="15"/>
  <c r="A5160" i="15"/>
  <c r="A5161" i="15"/>
  <c r="A5162" i="15"/>
  <c r="A5163" i="15"/>
  <c r="A5164" i="15"/>
  <c r="A5165" i="15"/>
  <c r="A5166" i="15"/>
  <c r="A5167" i="15"/>
  <c r="A5168" i="15"/>
  <c r="A5169" i="15"/>
  <c r="A5170" i="15"/>
  <c r="A5171" i="15"/>
  <c r="A5172" i="15"/>
  <c r="A5173" i="15"/>
  <c r="A5174" i="15"/>
  <c r="A5175" i="15"/>
  <c r="A5176" i="15"/>
  <c r="A5177" i="15"/>
  <c r="A5178" i="15"/>
  <c r="A5179" i="15"/>
  <c r="A5180" i="15"/>
  <c r="A5181" i="15"/>
  <c r="A5182" i="15"/>
  <c r="A5183" i="15"/>
  <c r="A5184" i="15"/>
  <c r="A5185" i="15"/>
  <c r="A5186" i="15"/>
  <c r="A5187" i="15"/>
  <c r="A5188" i="15"/>
  <c r="A5189" i="15"/>
  <c r="A5190" i="15"/>
  <c r="A5191" i="15"/>
  <c r="A5192" i="15"/>
  <c r="A5193" i="15"/>
  <c r="A5194" i="15"/>
  <c r="A5195" i="15"/>
  <c r="A5196" i="15"/>
  <c r="A5197" i="15"/>
  <c r="A5198" i="15"/>
  <c r="A5199" i="15"/>
  <c r="A5200" i="15"/>
  <c r="A5201" i="15"/>
  <c r="A5202" i="15"/>
  <c r="A5203" i="15"/>
  <c r="A5204" i="15"/>
  <c r="A5205" i="15"/>
  <c r="A5206" i="15"/>
  <c r="A5207" i="15"/>
  <c r="A5208" i="15"/>
  <c r="A5209" i="15"/>
  <c r="A5210" i="15"/>
  <c r="A5211" i="15"/>
  <c r="A5212" i="15"/>
  <c r="A5213" i="15"/>
  <c r="A5214" i="15"/>
  <c r="A5215" i="15"/>
  <c r="A5216" i="15"/>
  <c r="A5217" i="15"/>
  <c r="A5218" i="15"/>
  <c r="A5219" i="15"/>
  <c r="A5220" i="15"/>
  <c r="A5221" i="15"/>
  <c r="A5222" i="15"/>
  <c r="A5223" i="15"/>
  <c r="A5224" i="15"/>
  <c r="A5225" i="15"/>
  <c r="A5226" i="15"/>
  <c r="A5227" i="15"/>
  <c r="A5228" i="15"/>
  <c r="A5229" i="15"/>
  <c r="A5230" i="15"/>
  <c r="A5231" i="15"/>
  <c r="A5232" i="15"/>
  <c r="A5233" i="15"/>
  <c r="A5234" i="15"/>
  <c r="A5235" i="15"/>
  <c r="A5236" i="15"/>
  <c r="A5237" i="15"/>
  <c r="A5238" i="15"/>
  <c r="A5239" i="15"/>
  <c r="A5240" i="15"/>
  <c r="A5241" i="15"/>
  <c r="A5242" i="15"/>
  <c r="A5243" i="15"/>
  <c r="A5244" i="15"/>
  <c r="A5245" i="15"/>
  <c r="A5246" i="15"/>
  <c r="A5247" i="15"/>
  <c r="A5248" i="15"/>
  <c r="A5249" i="15"/>
  <c r="A5250" i="15"/>
  <c r="A5251" i="15"/>
  <c r="A5252" i="15"/>
  <c r="A5253" i="15"/>
  <c r="A5254" i="15"/>
  <c r="A5255" i="15"/>
  <c r="A5256" i="15"/>
  <c r="A5257" i="15"/>
  <c r="A5258" i="15"/>
  <c r="A5259" i="15"/>
  <c r="A5260" i="15"/>
  <c r="A5261" i="15"/>
  <c r="A5262" i="15"/>
  <c r="A5263" i="15"/>
  <c r="A5264" i="15"/>
  <c r="A5265" i="15"/>
  <c r="A5266" i="15"/>
  <c r="A5267" i="15"/>
  <c r="A5268" i="15"/>
  <c r="A5269" i="15"/>
  <c r="A5270" i="15"/>
  <c r="A5271" i="15"/>
  <c r="A5272" i="15"/>
  <c r="A5273" i="15"/>
  <c r="A5274" i="15"/>
  <c r="A5275" i="15"/>
  <c r="A5276" i="15"/>
  <c r="A5277" i="15"/>
  <c r="A5278" i="15"/>
  <c r="A5279" i="15"/>
  <c r="A5280" i="15"/>
  <c r="A5281" i="15"/>
  <c r="A5282" i="15"/>
  <c r="A5283" i="15"/>
  <c r="A5284" i="15"/>
  <c r="A5285" i="15"/>
  <c r="A5286" i="15"/>
  <c r="A5287" i="15"/>
  <c r="A5288" i="15"/>
  <c r="A5289" i="15"/>
  <c r="A5290" i="15"/>
  <c r="A5291" i="15"/>
  <c r="A5292" i="15"/>
  <c r="A5293" i="15"/>
  <c r="A5294" i="15"/>
  <c r="A5295" i="15"/>
  <c r="A5296" i="15"/>
  <c r="A5297" i="15"/>
  <c r="A5298" i="15"/>
  <c r="A5299" i="15"/>
  <c r="A5300" i="15"/>
  <c r="A5301" i="15"/>
  <c r="A5302" i="15"/>
  <c r="A5303" i="15"/>
  <c r="A5304" i="15"/>
  <c r="A5305" i="15"/>
  <c r="A5306" i="15"/>
  <c r="A5307" i="15"/>
  <c r="A5308" i="15"/>
  <c r="A5309" i="15"/>
  <c r="A5310" i="15"/>
  <c r="A5311" i="15"/>
  <c r="A5312" i="15"/>
  <c r="A5313" i="15"/>
  <c r="A5314" i="15"/>
  <c r="A5315" i="15"/>
  <c r="A5316" i="15"/>
  <c r="A5317" i="15"/>
  <c r="A5318" i="15"/>
  <c r="A5319" i="15"/>
  <c r="A5320" i="15"/>
  <c r="A5321" i="15"/>
  <c r="A5322" i="15"/>
  <c r="A5323" i="15"/>
  <c r="A5324" i="15"/>
  <c r="A5325" i="15"/>
  <c r="A5326" i="15"/>
  <c r="A5327" i="15"/>
  <c r="A5328" i="15"/>
  <c r="A5329" i="15"/>
  <c r="A5330" i="15"/>
  <c r="A5331" i="15"/>
  <c r="A5332" i="15"/>
  <c r="A5333" i="15"/>
  <c r="A5334" i="15"/>
  <c r="A5335" i="15"/>
  <c r="A5336" i="15"/>
  <c r="A5337" i="15"/>
  <c r="A5338" i="15"/>
  <c r="A5339" i="15"/>
  <c r="A5340" i="15"/>
  <c r="A5341" i="15"/>
  <c r="A5342" i="15"/>
  <c r="A5343" i="15"/>
  <c r="A5344" i="15"/>
  <c r="A5345" i="15"/>
  <c r="A5346" i="15"/>
  <c r="A5347" i="15"/>
  <c r="A5348" i="15"/>
  <c r="A5349" i="15"/>
  <c r="A5350" i="15"/>
  <c r="A5351" i="15"/>
  <c r="A5352" i="15"/>
  <c r="A5353" i="15"/>
  <c r="A5354" i="15"/>
  <c r="A5355" i="15"/>
  <c r="A5356" i="15"/>
  <c r="A5357" i="15"/>
  <c r="A5358" i="15"/>
  <c r="A5359" i="15"/>
  <c r="A5360" i="15"/>
  <c r="A5361" i="15"/>
  <c r="A5362" i="15"/>
  <c r="A5363" i="15"/>
  <c r="A5364" i="15"/>
  <c r="A5365" i="15"/>
  <c r="A5366" i="15"/>
  <c r="A5367" i="15"/>
  <c r="A5368" i="15"/>
  <c r="A5369" i="15"/>
  <c r="A5370" i="15"/>
  <c r="A5371" i="15"/>
  <c r="A5372" i="15"/>
  <c r="A5373" i="15"/>
  <c r="A5374" i="15"/>
  <c r="A5375" i="15"/>
  <c r="A5376" i="15"/>
  <c r="A5377" i="15"/>
  <c r="A5378" i="15"/>
  <c r="A5379" i="15"/>
  <c r="A5380" i="15"/>
  <c r="A5381" i="15"/>
  <c r="A5382" i="15"/>
  <c r="A5383" i="15"/>
  <c r="A5384" i="15"/>
  <c r="A5385" i="15"/>
  <c r="A5386" i="15"/>
  <c r="A5387" i="15"/>
  <c r="A5388" i="15"/>
  <c r="A5389" i="15"/>
  <c r="A5390" i="15"/>
  <c r="A5391" i="15"/>
  <c r="A5392" i="15"/>
  <c r="A5393" i="15"/>
  <c r="A5394" i="15"/>
  <c r="A5395" i="15"/>
  <c r="A5396" i="15"/>
  <c r="A5397" i="15"/>
  <c r="A5398" i="15"/>
  <c r="A5399" i="15"/>
  <c r="A5400" i="15"/>
  <c r="A5401" i="15"/>
  <c r="A5402" i="15"/>
  <c r="A5403" i="15"/>
  <c r="A5404" i="15"/>
  <c r="A5405" i="15"/>
  <c r="A5406" i="15"/>
  <c r="A5407" i="15"/>
  <c r="A5408" i="15"/>
  <c r="A5409" i="15"/>
  <c r="A5410" i="15"/>
  <c r="A5411" i="15"/>
  <c r="A5412" i="15"/>
  <c r="A5413" i="15"/>
  <c r="A5414" i="15"/>
  <c r="A5415" i="15"/>
  <c r="A5416" i="15"/>
  <c r="A5417" i="15"/>
  <c r="A5418" i="15"/>
  <c r="A5419" i="15"/>
  <c r="A5420" i="15"/>
  <c r="A5421" i="15"/>
  <c r="A5422" i="15"/>
  <c r="A5423" i="15"/>
  <c r="A5424" i="15"/>
  <c r="A5425" i="15"/>
  <c r="A5426" i="15"/>
  <c r="A5427" i="15"/>
  <c r="A5428" i="15"/>
  <c r="A5429" i="15"/>
  <c r="A5430" i="15"/>
  <c r="A5431" i="15"/>
  <c r="A5432" i="15"/>
  <c r="A5433" i="15"/>
  <c r="A5434" i="15"/>
  <c r="A5435" i="15"/>
  <c r="A5436" i="15"/>
  <c r="A5437" i="15"/>
  <c r="A5438" i="15"/>
  <c r="A5439" i="15"/>
  <c r="A5440" i="15"/>
  <c r="A5441" i="15"/>
  <c r="A5442" i="15"/>
  <c r="A5443" i="15"/>
  <c r="A5444" i="15"/>
  <c r="A5445" i="15"/>
  <c r="A5446" i="15"/>
  <c r="A5447" i="15"/>
  <c r="A5448" i="15"/>
  <c r="A5449" i="15"/>
  <c r="A5450" i="15"/>
  <c r="A5451" i="15"/>
  <c r="A5452" i="15"/>
  <c r="A5453" i="15"/>
  <c r="A5454" i="15"/>
  <c r="A5455" i="15"/>
  <c r="A5456" i="15"/>
  <c r="A5457" i="15"/>
  <c r="A5458" i="15"/>
  <c r="A5459" i="15"/>
  <c r="A5460" i="15"/>
  <c r="A5461" i="15"/>
  <c r="A5462" i="15"/>
  <c r="A5463" i="15"/>
  <c r="A5464" i="15"/>
  <c r="A5465" i="15"/>
  <c r="A5466" i="15"/>
  <c r="A5467" i="15"/>
  <c r="A5468" i="15"/>
  <c r="A5469" i="15"/>
  <c r="A5470" i="15"/>
  <c r="A5471" i="15"/>
  <c r="A5472" i="15"/>
  <c r="A5473" i="15"/>
  <c r="A5474" i="15"/>
  <c r="A5475" i="15"/>
  <c r="A5476" i="15"/>
  <c r="A5477" i="15"/>
  <c r="A5478" i="15"/>
  <c r="A5479" i="15"/>
  <c r="A5480" i="15"/>
  <c r="A5481" i="15"/>
  <c r="A5482" i="15"/>
  <c r="A5483" i="15"/>
  <c r="A5484" i="15"/>
  <c r="A5485" i="15"/>
  <c r="A5486" i="15"/>
  <c r="A5487" i="15"/>
  <c r="A5488" i="15"/>
  <c r="A5489" i="15"/>
  <c r="A5490" i="15"/>
  <c r="A5491" i="15"/>
  <c r="A5492" i="15"/>
  <c r="A5493" i="15"/>
  <c r="A5494" i="15"/>
  <c r="A5495" i="15"/>
  <c r="A5496" i="15"/>
  <c r="A5497" i="15"/>
  <c r="A5498" i="15"/>
  <c r="A5499" i="15"/>
  <c r="A5500" i="15"/>
  <c r="A5501" i="15"/>
  <c r="A5502" i="15"/>
  <c r="A5503" i="15"/>
  <c r="A5504" i="15"/>
  <c r="A5505" i="15"/>
  <c r="A5506" i="15"/>
  <c r="A5507" i="15"/>
  <c r="A5508" i="15"/>
  <c r="A5509" i="15"/>
  <c r="A5510" i="15"/>
  <c r="A5511" i="15"/>
  <c r="A5512" i="15"/>
  <c r="A5513" i="15"/>
  <c r="A5514" i="15"/>
  <c r="A5515" i="15"/>
  <c r="A5516" i="15"/>
  <c r="A5517" i="15"/>
  <c r="A5518" i="15"/>
  <c r="A5519" i="15"/>
  <c r="A5520" i="15"/>
  <c r="A5521" i="15"/>
  <c r="A5522" i="15"/>
  <c r="A5523" i="15"/>
  <c r="A5524" i="15"/>
  <c r="A5525" i="15"/>
  <c r="A5526" i="15"/>
  <c r="A5527" i="15"/>
  <c r="A5528" i="15"/>
  <c r="A5529" i="15"/>
  <c r="A5530" i="15"/>
  <c r="A5531" i="15"/>
  <c r="A5532" i="15"/>
  <c r="A5533" i="15"/>
  <c r="A5534" i="15"/>
  <c r="A5535" i="15"/>
  <c r="A5536" i="15"/>
  <c r="A5537" i="15"/>
  <c r="A5538" i="15"/>
  <c r="A5539" i="15"/>
  <c r="A5540" i="15"/>
  <c r="A5541" i="15"/>
  <c r="A5542" i="15"/>
  <c r="A5543" i="15"/>
  <c r="A5544" i="15"/>
  <c r="A5545" i="15"/>
  <c r="A5546" i="15"/>
  <c r="A5547" i="15"/>
  <c r="A5548" i="15"/>
  <c r="A5549" i="15"/>
  <c r="A5550" i="15"/>
  <c r="A5551" i="15"/>
  <c r="A5552" i="15"/>
  <c r="A5553" i="15"/>
  <c r="A5554" i="15"/>
  <c r="A5555" i="15"/>
  <c r="A5556" i="15"/>
  <c r="A5557" i="15"/>
  <c r="A5558" i="15"/>
  <c r="A5559" i="15"/>
  <c r="A5560" i="15"/>
  <c r="A5561" i="15"/>
  <c r="A5562" i="15"/>
  <c r="A5563" i="15"/>
  <c r="A5564" i="15"/>
  <c r="A5565" i="15"/>
  <c r="A5566" i="15"/>
  <c r="A5567" i="15"/>
  <c r="A5568" i="15"/>
  <c r="A5569" i="15"/>
  <c r="A5570" i="15"/>
  <c r="A5571" i="15"/>
  <c r="A5572" i="15"/>
  <c r="A5573" i="15"/>
  <c r="A5574" i="15"/>
  <c r="A5575" i="15"/>
  <c r="A5576" i="15"/>
  <c r="A5577" i="15"/>
  <c r="A5578" i="15"/>
  <c r="A5579" i="15"/>
  <c r="A5580" i="15"/>
  <c r="A5581" i="15"/>
  <c r="A5582" i="15"/>
  <c r="A5583" i="15"/>
  <c r="A5584" i="15"/>
  <c r="A5585" i="15"/>
  <c r="A5586" i="15"/>
  <c r="A5587" i="15"/>
  <c r="A5588" i="15"/>
  <c r="A5589" i="15"/>
  <c r="A5590" i="15"/>
  <c r="A5591" i="15"/>
  <c r="A5592" i="15"/>
  <c r="A5593" i="15"/>
  <c r="A5594" i="15"/>
  <c r="A5595" i="15"/>
  <c r="A5596" i="15"/>
  <c r="A5597" i="15"/>
  <c r="A5598" i="15"/>
  <c r="A5599" i="15"/>
  <c r="A5600" i="15"/>
  <c r="A5601" i="15"/>
  <c r="A5602" i="15"/>
  <c r="A5603" i="15"/>
  <c r="A5604" i="15"/>
  <c r="A5605" i="15"/>
  <c r="A5606" i="15"/>
  <c r="A5607" i="15"/>
  <c r="A5608" i="15"/>
  <c r="A5609" i="15"/>
  <c r="A5610" i="15"/>
  <c r="A5611" i="15"/>
  <c r="A5612" i="15"/>
  <c r="A5613" i="15"/>
  <c r="A5614" i="15"/>
  <c r="A5615" i="15"/>
  <c r="A5616" i="15"/>
  <c r="A5617" i="15"/>
  <c r="A5618" i="15"/>
  <c r="A5619" i="15"/>
  <c r="A5620" i="15"/>
  <c r="A5621" i="15"/>
  <c r="A5622" i="15"/>
  <c r="A5623" i="15"/>
  <c r="A5624" i="15"/>
  <c r="A5625" i="15"/>
  <c r="A5626" i="15"/>
  <c r="A5627" i="15"/>
  <c r="A5628" i="15"/>
  <c r="A5629" i="15"/>
  <c r="A5630" i="15"/>
  <c r="A5631" i="15"/>
  <c r="A5632" i="15"/>
  <c r="A5633" i="15"/>
  <c r="A5634" i="15"/>
  <c r="A5635" i="15"/>
  <c r="A5636" i="15"/>
  <c r="A5637" i="15"/>
  <c r="A5638" i="15"/>
  <c r="A5639" i="15"/>
  <c r="A5640" i="15"/>
  <c r="A5641" i="15"/>
  <c r="A5642" i="15"/>
  <c r="A5643" i="15"/>
  <c r="A5644" i="15"/>
  <c r="A5645" i="15"/>
  <c r="A5646" i="15"/>
  <c r="A5647" i="15"/>
  <c r="A5648" i="15"/>
  <c r="A5649" i="15"/>
  <c r="A5650" i="15"/>
  <c r="A5651" i="15"/>
  <c r="A5652" i="15"/>
  <c r="A5653" i="15"/>
  <c r="A5654" i="15"/>
  <c r="A5655" i="15"/>
  <c r="A5656" i="15"/>
  <c r="A5657" i="15"/>
  <c r="A5658" i="15"/>
  <c r="A5659" i="15"/>
  <c r="A5660" i="15"/>
  <c r="A5661" i="15"/>
  <c r="A5662" i="15"/>
  <c r="A5663" i="15"/>
  <c r="A5664" i="15"/>
  <c r="A5665" i="15"/>
  <c r="A5666" i="15"/>
  <c r="A5667" i="15"/>
  <c r="A5668" i="15"/>
  <c r="A5669" i="15"/>
  <c r="A5670" i="15"/>
  <c r="A5671" i="15"/>
  <c r="A5672" i="15"/>
  <c r="A5673" i="15"/>
  <c r="A5674" i="15"/>
  <c r="A5675" i="15"/>
  <c r="A5676" i="15"/>
  <c r="A5677" i="15"/>
  <c r="A5678" i="15"/>
  <c r="A5679" i="15"/>
  <c r="A5680" i="15"/>
  <c r="A5681" i="15"/>
  <c r="A5682" i="15"/>
  <c r="A5683" i="15"/>
  <c r="A5684" i="15"/>
  <c r="A5685" i="15"/>
  <c r="A5686" i="15"/>
  <c r="A5687" i="15"/>
  <c r="A5688" i="15"/>
  <c r="A5689" i="15"/>
  <c r="A5690" i="15"/>
  <c r="A5691" i="15"/>
  <c r="A5692" i="15"/>
  <c r="A5693" i="15"/>
  <c r="A5694" i="15"/>
  <c r="A5695" i="15"/>
  <c r="A5696" i="15"/>
  <c r="A5697" i="15"/>
  <c r="A5698" i="15"/>
  <c r="A5699" i="15"/>
  <c r="A5700" i="15"/>
  <c r="A5701" i="15"/>
  <c r="A5702" i="15"/>
  <c r="A5703" i="15"/>
  <c r="A5704" i="15"/>
  <c r="A5705" i="15"/>
  <c r="A5706" i="15"/>
  <c r="A5707" i="15"/>
  <c r="A5708" i="15"/>
  <c r="A5709" i="15"/>
  <c r="A5710" i="15"/>
  <c r="A5711" i="15"/>
  <c r="A5712" i="15"/>
  <c r="A5713" i="15"/>
  <c r="A5714" i="15"/>
  <c r="A5715" i="15"/>
  <c r="A5716" i="15"/>
  <c r="A5717" i="15"/>
  <c r="A5718" i="15"/>
  <c r="A5719" i="15"/>
  <c r="A5720" i="15"/>
  <c r="A5721" i="15"/>
  <c r="A5722" i="15"/>
  <c r="A5723" i="15"/>
  <c r="A5724" i="15"/>
  <c r="A5725" i="15"/>
  <c r="A5726" i="15"/>
  <c r="A5727" i="15"/>
  <c r="A5728" i="15"/>
  <c r="A5729" i="15"/>
  <c r="A5730" i="15"/>
  <c r="A5731" i="15"/>
  <c r="A5732" i="15"/>
  <c r="A5733" i="15"/>
  <c r="A5734" i="15"/>
  <c r="A5735" i="15"/>
  <c r="A5736" i="15"/>
  <c r="A5737" i="15"/>
  <c r="A5738" i="15"/>
  <c r="A5739" i="15"/>
  <c r="A5740" i="15"/>
  <c r="A5741" i="15"/>
  <c r="A5742" i="15"/>
  <c r="A5743" i="15"/>
  <c r="A5744" i="15"/>
  <c r="A5745" i="15"/>
  <c r="A5746" i="15"/>
  <c r="A5747" i="15"/>
  <c r="A5748" i="15"/>
  <c r="A5749" i="15"/>
  <c r="A5750" i="15"/>
  <c r="A5751" i="15"/>
  <c r="A5752" i="15"/>
  <c r="A5753" i="15"/>
  <c r="A5754" i="15"/>
  <c r="A5755" i="15"/>
  <c r="A5756" i="15"/>
  <c r="A5757" i="15"/>
  <c r="A5758" i="15"/>
  <c r="A5759" i="15"/>
  <c r="A5760" i="15"/>
  <c r="A5761" i="15"/>
  <c r="A5762" i="15"/>
  <c r="A5763" i="15"/>
  <c r="A5764" i="15"/>
  <c r="A5765" i="15"/>
  <c r="A5766" i="15"/>
  <c r="A5767" i="15"/>
  <c r="A5768" i="15"/>
  <c r="A5769" i="15"/>
  <c r="A5770" i="15"/>
  <c r="A5771" i="15"/>
  <c r="A5772" i="15"/>
  <c r="A5773" i="15"/>
  <c r="A5774" i="15"/>
  <c r="A5775" i="15"/>
  <c r="A5776" i="15"/>
  <c r="A5777" i="15"/>
  <c r="A5778" i="15"/>
  <c r="A5779" i="15"/>
  <c r="A5780" i="15"/>
  <c r="A5781" i="15"/>
  <c r="A5782" i="15"/>
  <c r="A5783" i="15"/>
  <c r="A5784" i="15"/>
  <c r="A5785" i="15"/>
  <c r="A5786" i="15"/>
  <c r="A5787" i="15"/>
  <c r="A5788" i="15"/>
  <c r="A5789" i="15"/>
  <c r="A5790" i="15"/>
  <c r="A5791" i="15"/>
  <c r="A5792" i="15"/>
  <c r="A5793" i="15"/>
  <c r="A5794" i="15"/>
  <c r="A5795" i="15"/>
  <c r="A5796" i="15"/>
  <c r="A5797" i="15"/>
  <c r="A5798" i="15"/>
  <c r="A5799" i="15"/>
  <c r="A5800" i="15"/>
  <c r="A5801" i="15"/>
  <c r="A5802" i="15"/>
  <c r="A5803" i="15"/>
  <c r="A5804" i="15"/>
  <c r="A5805" i="15"/>
  <c r="A5806" i="15"/>
  <c r="A5807" i="15"/>
  <c r="A5808" i="15"/>
  <c r="A5809" i="15"/>
  <c r="A5810" i="15"/>
  <c r="A5811" i="15"/>
  <c r="A5812" i="15"/>
  <c r="A5813" i="15"/>
  <c r="A5814" i="15"/>
  <c r="A5815" i="15"/>
  <c r="A5816" i="15"/>
  <c r="A5817" i="15"/>
  <c r="A5818" i="15"/>
  <c r="A5819" i="15"/>
  <c r="A5820" i="15"/>
  <c r="A5821" i="15"/>
  <c r="A5822" i="15"/>
  <c r="A5823" i="15"/>
  <c r="A5824" i="15"/>
  <c r="A5825" i="15"/>
  <c r="A5826" i="15"/>
  <c r="A5827" i="15"/>
  <c r="A5828" i="15"/>
  <c r="A5829" i="15"/>
  <c r="A5830" i="15"/>
  <c r="A5831" i="15"/>
  <c r="A5832" i="15"/>
  <c r="A5833" i="15"/>
  <c r="A5834" i="15"/>
  <c r="A5835" i="15"/>
  <c r="A5836" i="15"/>
  <c r="A5837" i="15"/>
  <c r="A5838" i="15"/>
  <c r="A5839" i="15"/>
  <c r="A5840" i="15"/>
  <c r="A5841" i="15"/>
  <c r="A5842" i="15"/>
  <c r="A5843" i="15"/>
  <c r="A5844" i="15"/>
  <c r="A5845" i="15"/>
  <c r="A5846" i="15"/>
  <c r="A5847" i="15"/>
  <c r="A5848" i="15"/>
  <c r="A5849" i="15"/>
  <c r="A5850" i="15"/>
  <c r="A5851" i="15"/>
  <c r="A5852" i="15"/>
  <c r="A5853" i="15"/>
  <c r="A5854" i="15"/>
  <c r="A5855" i="15"/>
  <c r="A5856" i="15"/>
  <c r="A5857" i="15"/>
  <c r="A5858" i="15"/>
  <c r="A5859" i="15"/>
  <c r="A5860" i="15"/>
  <c r="A5861" i="15"/>
  <c r="A5862" i="15"/>
  <c r="A5863" i="15"/>
  <c r="A5864" i="15"/>
  <c r="A5865" i="15"/>
  <c r="A5866" i="15"/>
  <c r="A5867" i="15"/>
  <c r="A5868" i="15"/>
  <c r="A5869" i="15"/>
  <c r="A5870" i="15"/>
  <c r="A5871" i="15"/>
  <c r="A5872" i="15"/>
  <c r="A5873" i="15"/>
  <c r="A5874" i="15"/>
  <c r="A5875" i="15"/>
  <c r="A5876" i="15"/>
  <c r="A5877" i="15"/>
  <c r="A5878" i="15"/>
  <c r="A5879" i="15"/>
  <c r="A5880" i="15"/>
  <c r="A5881" i="15"/>
  <c r="A5882" i="15"/>
  <c r="A5883" i="15"/>
  <c r="A5884" i="15"/>
  <c r="A5885" i="15"/>
  <c r="A5886" i="15"/>
  <c r="A5887" i="15"/>
  <c r="A5888" i="15"/>
  <c r="A5889" i="15"/>
  <c r="A5890" i="15"/>
  <c r="A5891" i="15"/>
  <c r="A5892" i="15"/>
  <c r="A5893" i="15"/>
  <c r="A5894" i="15"/>
  <c r="A5895" i="15"/>
  <c r="A5896" i="15"/>
  <c r="A5897" i="15"/>
  <c r="A5898" i="15"/>
  <c r="A5899" i="15"/>
  <c r="A5900" i="15"/>
  <c r="A5901" i="15"/>
  <c r="A5902" i="15"/>
  <c r="A5903" i="15"/>
  <c r="A5904" i="15"/>
  <c r="A5905" i="15"/>
  <c r="A5906" i="15"/>
  <c r="A5907" i="15"/>
  <c r="A5908" i="15"/>
  <c r="A5909" i="15"/>
  <c r="A5910" i="15"/>
  <c r="A5911" i="15"/>
  <c r="A5912" i="15"/>
  <c r="A5913" i="15"/>
  <c r="A5914" i="15"/>
  <c r="A5915" i="15"/>
  <c r="A5916" i="15"/>
  <c r="A5917" i="15"/>
  <c r="A5918" i="15"/>
  <c r="A5919" i="15"/>
  <c r="A5920" i="15"/>
  <c r="A5921" i="15"/>
  <c r="A5922" i="15"/>
  <c r="A5923" i="15"/>
  <c r="A5924" i="15"/>
  <c r="A5925" i="15"/>
  <c r="A5926" i="15"/>
  <c r="A5927" i="15"/>
  <c r="A5928" i="15"/>
  <c r="A5929" i="15"/>
  <c r="A5930" i="15"/>
  <c r="A5931" i="15"/>
  <c r="A5932" i="15"/>
  <c r="A5933" i="15"/>
  <c r="A5934" i="15"/>
  <c r="A5935" i="15"/>
  <c r="A5936" i="15"/>
  <c r="A5937" i="15"/>
  <c r="A5938" i="15"/>
  <c r="A5939" i="15"/>
  <c r="A5940" i="15"/>
  <c r="A5941" i="15"/>
  <c r="A5942" i="15"/>
  <c r="A5943" i="15"/>
  <c r="A5944" i="15"/>
  <c r="A5945" i="15"/>
  <c r="A5946" i="15"/>
  <c r="A5947" i="15"/>
  <c r="A5948" i="15"/>
  <c r="A5949" i="15"/>
  <c r="A5950" i="15"/>
  <c r="A5951" i="15"/>
  <c r="A5952" i="15"/>
  <c r="A5953" i="15"/>
  <c r="A5954" i="15"/>
  <c r="A5955" i="15"/>
  <c r="A5956" i="15"/>
  <c r="A5957" i="15"/>
  <c r="A5958" i="15"/>
  <c r="A5959" i="15"/>
  <c r="A5960" i="15"/>
  <c r="A5961" i="15"/>
  <c r="A5962" i="15"/>
  <c r="A5963" i="15"/>
  <c r="A5964" i="15"/>
  <c r="A5965" i="15"/>
  <c r="A5966" i="15"/>
  <c r="A5967" i="15"/>
  <c r="A5968" i="15"/>
  <c r="A5969" i="15"/>
  <c r="A5970" i="15"/>
  <c r="A5971" i="15"/>
  <c r="A5972" i="15"/>
  <c r="A5973" i="15"/>
  <c r="A5974" i="15"/>
  <c r="A5975" i="15"/>
  <c r="A5976" i="15"/>
  <c r="A5977" i="15"/>
  <c r="A5978" i="15"/>
  <c r="A5979" i="15"/>
  <c r="A5980" i="15"/>
  <c r="A5981" i="15"/>
  <c r="A5982" i="15"/>
  <c r="A5983" i="15"/>
  <c r="A5984" i="15"/>
  <c r="A5985" i="15"/>
  <c r="A5986" i="15"/>
  <c r="A5987" i="15"/>
  <c r="A5988" i="15"/>
  <c r="A5989" i="15"/>
  <c r="A5990" i="15"/>
  <c r="A5991" i="15"/>
  <c r="A5992" i="15"/>
  <c r="A5993" i="15"/>
  <c r="A5994" i="15"/>
  <c r="A5995" i="15"/>
  <c r="A5996" i="15"/>
  <c r="A5997" i="15"/>
  <c r="A5998" i="15"/>
  <c r="A5999" i="15"/>
  <c r="A6000" i="15"/>
  <c r="A6001" i="15"/>
  <c r="A6002" i="15"/>
  <c r="A6003" i="15"/>
  <c r="A6004" i="15"/>
  <c r="A6005" i="15"/>
  <c r="A6006" i="15"/>
  <c r="A6007" i="15"/>
  <c r="A6008" i="15"/>
  <c r="A6009" i="15"/>
  <c r="A6010" i="15"/>
  <c r="A6011" i="15"/>
  <c r="A6012" i="15"/>
  <c r="A6013" i="15"/>
  <c r="A6014" i="15"/>
  <c r="A6015" i="15"/>
  <c r="A6016" i="15"/>
  <c r="A6017" i="15"/>
  <c r="A6018" i="15"/>
  <c r="A6019" i="15"/>
  <c r="A6020" i="15"/>
  <c r="A6021" i="15"/>
  <c r="A6022" i="15"/>
  <c r="A6023" i="15"/>
  <c r="A6024" i="15"/>
  <c r="A6025" i="15"/>
  <c r="A6026" i="15"/>
  <c r="A6027" i="15"/>
  <c r="A6028" i="15"/>
  <c r="A6029" i="15"/>
  <c r="A6030" i="15"/>
  <c r="A6031" i="15"/>
  <c r="A6032" i="15"/>
  <c r="A6033" i="15"/>
  <c r="A6034" i="15"/>
  <c r="A6035" i="15"/>
  <c r="A6036" i="15"/>
  <c r="A6037" i="15"/>
  <c r="A6038" i="15"/>
  <c r="A6039" i="15"/>
  <c r="A6040" i="15"/>
  <c r="A6041" i="15"/>
  <c r="A6042" i="15"/>
  <c r="A6043" i="15"/>
  <c r="A6044" i="15"/>
  <c r="A6045" i="15"/>
  <c r="A6046" i="15"/>
  <c r="A6047" i="15"/>
  <c r="A6048" i="15"/>
  <c r="A6049" i="15"/>
  <c r="A6050" i="15"/>
  <c r="A6051" i="15"/>
  <c r="A6052" i="15"/>
  <c r="A6053" i="15"/>
  <c r="A6054" i="15"/>
  <c r="A6055" i="15"/>
  <c r="A6056" i="15"/>
  <c r="A6057" i="15"/>
  <c r="A6058" i="15"/>
  <c r="A6059" i="15"/>
  <c r="A6060" i="15"/>
  <c r="A6061" i="15"/>
  <c r="A6062" i="15"/>
  <c r="A6063" i="15"/>
  <c r="A6064" i="15"/>
  <c r="A6065" i="15"/>
  <c r="A6066" i="15"/>
  <c r="A6067" i="15"/>
  <c r="A6068" i="15"/>
  <c r="A6069" i="15"/>
  <c r="A6070" i="15"/>
  <c r="A6071" i="15"/>
  <c r="A6072" i="15"/>
  <c r="A6073" i="15"/>
  <c r="A6074" i="15"/>
  <c r="A6075" i="15"/>
  <c r="A6076" i="15"/>
  <c r="A6077" i="15"/>
  <c r="A6078" i="15"/>
  <c r="A6079" i="15"/>
  <c r="A6080" i="15"/>
  <c r="A6081" i="15"/>
  <c r="A6082" i="15"/>
  <c r="A6083" i="15"/>
  <c r="A6084" i="15"/>
  <c r="A6085" i="15"/>
  <c r="A6086" i="15"/>
  <c r="A6087" i="15"/>
  <c r="A6088" i="15"/>
  <c r="A6089" i="15"/>
  <c r="A6090" i="15"/>
  <c r="A6091" i="15"/>
  <c r="A6092" i="15"/>
  <c r="A6093" i="15"/>
  <c r="A6094" i="15"/>
  <c r="A6095" i="15"/>
  <c r="A6096" i="15"/>
  <c r="A6097" i="15"/>
  <c r="A6098" i="15"/>
  <c r="A6099" i="15"/>
  <c r="A6100" i="15"/>
  <c r="A6101" i="15"/>
  <c r="A6102" i="15"/>
  <c r="A6103" i="15"/>
  <c r="A6104" i="15"/>
  <c r="A6105" i="15"/>
  <c r="A6106" i="15"/>
  <c r="A6107" i="15"/>
  <c r="A6108" i="15"/>
  <c r="A6109" i="15"/>
  <c r="A6110" i="15"/>
  <c r="A6111" i="15"/>
  <c r="A6112" i="15"/>
  <c r="A6113" i="15"/>
  <c r="A6114" i="15"/>
  <c r="A6115" i="15"/>
  <c r="A6116" i="15"/>
  <c r="A6117" i="15"/>
  <c r="A6118" i="15"/>
  <c r="A6119" i="15"/>
  <c r="A6120" i="15"/>
  <c r="A6121" i="15"/>
  <c r="A6122" i="15"/>
  <c r="A6123" i="15"/>
  <c r="A6124" i="15"/>
  <c r="A6125" i="15"/>
  <c r="A6126" i="15"/>
  <c r="A6127" i="15"/>
  <c r="A6128" i="15"/>
  <c r="A6129" i="15"/>
  <c r="A6130" i="15"/>
  <c r="A6131" i="15"/>
  <c r="A6132" i="15"/>
  <c r="A6133" i="15"/>
  <c r="A6134" i="15"/>
  <c r="A6135" i="15"/>
  <c r="A6136" i="15"/>
  <c r="A6137" i="15"/>
  <c r="A6138" i="15"/>
  <c r="A6139" i="15"/>
  <c r="A6140" i="15"/>
  <c r="A6141" i="15"/>
  <c r="A6142" i="15"/>
  <c r="A6143" i="15"/>
  <c r="A6144" i="15"/>
  <c r="A6145" i="15"/>
  <c r="A6146" i="15"/>
  <c r="A6147" i="15"/>
  <c r="A6148" i="15"/>
  <c r="A6149" i="15"/>
  <c r="A6150" i="15"/>
  <c r="A6151" i="15"/>
  <c r="A6152" i="15"/>
  <c r="A6153" i="15"/>
  <c r="A6154" i="15"/>
  <c r="A6155" i="15"/>
  <c r="A6156" i="15"/>
  <c r="A6157" i="15"/>
  <c r="A6158" i="15"/>
  <c r="A6159" i="15"/>
  <c r="A6160" i="15"/>
  <c r="A6161" i="15"/>
  <c r="A6162" i="15"/>
  <c r="A6163" i="15"/>
  <c r="A6164" i="15"/>
  <c r="A6165" i="15"/>
  <c r="A6166" i="15"/>
  <c r="A6167" i="15"/>
  <c r="A6168" i="15"/>
  <c r="A6169" i="15"/>
  <c r="A6170" i="15"/>
  <c r="A6171" i="15"/>
  <c r="A6172" i="15"/>
  <c r="A6173" i="15"/>
  <c r="A6174" i="15"/>
  <c r="A6175" i="15"/>
  <c r="A6176" i="15"/>
  <c r="A6177" i="15"/>
  <c r="A6178" i="15"/>
  <c r="A6179" i="15"/>
  <c r="A6180" i="15"/>
  <c r="A6181" i="15"/>
  <c r="A6182" i="15"/>
  <c r="A6183" i="15"/>
  <c r="A6184" i="15"/>
  <c r="A6185" i="15"/>
  <c r="A6186" i="15"/>
  <c r="A6187" i="15"/>
  <c r="A6188" i="15"/>
  <c r="A6189" i="15"/>
  <c r="A6190" i="15"/>
  <c r="A6191" i="15"/>
  <c r="A6192" i="15"/>
  <c r="A6193" i="15"/>
  <c r="A6194" i="15"/>
  <c r="A6195" i="15"/>
  <c r="A6196" i="15"/>
  <c r="A6197" i="15"/>
  <c r="A6198" i="15"/>
  <c r="A6199" i="15"/>
  <c r="A6200" i="15"/>
  <c r="A6201" i="15"/>
  <c r="A6202" i="15"/>
  <c r="A6203" i="15"/>
  <c r="A6204" i="15"/>
  <c r="A6205" i="15"/>
  <c r="A6206" i="15"/>
  <c r="A6207" i="15"/>
  <c r="A6208" i="15"/>
  <c r="A6209" i="15"/>
  <c r="A6210" i="15"/>
  <c r="A6211" i="15"/>
  <c r="A6212" i="15"/>
  <c r="A6213" i="15"/>
  <c r="A6214" i="15"/>
  <c r="A6215" i="15"/>
  <c r="A6216" i="15"/>
  <c r="A6217" i="15"/>
  <c r="A6218" i="15"/>
  <c r="A6219" i="15"/>
  <c r="A6220" i="15"/>
  <c r="A6221" i="15"/>
  <c r="A6222" i="15"/>
  <c r="A6223" i="15"/>
  <c r="A6224" i="15"/>
  <c r="A6225" i="15"/>
  <c r="A6226" i="15"/>
  <c r="A6227" i="15"/>
  <c r="A6228" i="15"/>
  <c r="A6229" i="15"/>
  <c r="A6230" i="15"/>
  <c r="A6231" i="15"/>
  <c r="A6232" i="15"/>
  <c r="A6233" i="15"/>
  <c r="A6234" i="15"/>
  <c r="A6235" i="15"/>
  <c r="A6236" i="15"/>
  <c r="A6237" i="15"/>
  <c r="A6238" i="15"/>
  <c r="A6239" i="15"/>
  <c r="A6240" i="15"/>
  <c r="A6241" i="15"/>
  <c r="A6242" i="15"/>
  <c r="A6243" i="15"/>
  <c r="A6244" i="15"/>
  <c r="A6245" i="15"/>
  <c r="A6246" i="15"/>
  <c r="A6247" i="15"/>
  <c r="A6248" i="15"/>
  <c r="A6249" i="15"/>
  <c r="A6250" i="15"/>
  <c r="A6251" i="15"/>
  <c r="A6252" i="15"/>
  <c r="A6253" i="15"/>
  <c r="A6254" i="15"/>
  <c r="A6255" i="15"/>
  <c r="A6256" i="15"/>
  <c r="A6257" i="15"/>
  <c r="A6258" i="15"/>
  <c r="A6259" i="15"/>
  <c r="A6260" i="15"/>
  <c r="A6261" i="15"/>
  <c r="A6262" i="15"/>
  <c r="A6263" i="15"/>
  <c r="A6264" i="15"/>
  <c r="A6265" i="15"/>
  <c r="A6266" i="15"/>
  <c r="A6267" i="15"/>
  <c r="A6268" i="15"/>
  <c r="A6269" i="15"/>
  <c r="A6270" i="15"/>
  <c r="A6271" i="15"/>
  <c r="A6272" i="15"/>
  <c r="A6273" i="15"/>
  <c r="A6274" i="15"/>
  <c r="A6275" i="15"/>
  <c r="A6276" i="15"/>
  <c r="A6277" i="15"/>
  <c r="A6278" i="15"/>
  <c r="A6279" i="15"/>
  <c r="A6280" i="15"/>
  <c r="A6281" i="15"/>
  <c r="A6282" i="15"/>
  <c r="A6283" i="15"/>
  <c r="A6284" i="15"/>
  <c r="A6285" i="15"/>
  <c r="A6286" i="15"/>
  <c r="A6287" i="15"/>
  <c r="A6288" i="15"/>
  <c r="A6289" i="15"/>
  <c r="A6290" i="15"/>
  <c r="A6291" i="15"/>
  <c r="A6292" i="15"/>
  <c r="A6293" i="15"/>
  <c r="A6294" i="15"/>
  <c r="A6295" i="15"/>
  <c r="A6296" i="15"/>
  <c r="A6297" i="15"/>
  <c r="A6298" i="15"/>
  <c r="A6299" i="15"/>
  <c r="A6300" i="15"/>
  <c r="A6301" i="15"/>
  <c r="A6302" i="15"/>
  <c r="A6303" i="15"/>
  <c r="A6304" i="15"/>
  <c r="A6305" i="15"/>
  <c r="A6306" i="15"/>
  <c r="A6307" i="15"/>
  <c r="A6308" i="15"/>
  <c r="A6309" i="15"/>
  <c r="A6310" i="15"/>
  <c r="A6311" i="15"/>
  <c r="A6312" i="15"/>
  <c r="A6313" i="15"/>
  <c r="A6314" i="15"/>
  <c r="A6315" i="15"/>
  <c r="A6316" i="15"/>
  <c r="A6317" i="15"/>
  <c r="A6318" i="15"/>
  <c r="A6319" i="15"/>
  <c r="A6320" i="15"/>
  <c r="A6321" i="15"/>
  <c r="A6322" i="15"/>
  <c r="A6323" i="15"/>
  <c r="A6324" i="15"/>
  <c r="A6325" i="15"/>
  <c r="A6326" i="15"/>
  <c r="A6327" i="15"/>
  <c r="A6328" i="15"/>
  <c r="A6329" i="15"/>
  <c r="A6330" i="15"/>
  <c r="A6331" i="15"/>
  <c r="A6332" i="15"/>
  <c r="A6333" i="15"/>
  <c r="A6334" i="15"/>
  <c r="A6335" i="15"/>
  <c r="A6336" i="15"/>
  <c r="A6337" i="15"/>
  <c r="A6338" i="15"/>
  <c r="A6339" i="15"/>
  <c r="A6340" i="15"/>
  <c r="A6341" i="15"/>
  <c r="A6342" i="15"/>
  <c r="A6343" i="15"/>
  <c r="A6344" i="15"/>
  <c r="A6345" i="15"/>
  <c r="A6346" i="15"/>
  <c r="A6347" i="15"/>
  <c r="A6348" i="15"/>
  <c r="A6349" i="15"/>
  <c r="A6350" i="15"/>
  <c r="A6351" i="15"/>
  <c r="A6352" i="15"/>
  <c r="A6353" i="15"/>
  <c r="A6354" i="15"/>
  <c r="A6355" i="15"/>
  <c r="A6356" i="15"/>
  <c r="A6357" i="15"/>
  <c r="A6358" i="15"/>
  <c r="A6359" i="15"/>
  <c r="A6360" i="15"/>
  <c r="A6361" i="15"/>
  <c r="A6362" i="15"/>
  <c r="A6363" i="15"/>
  <c r="A6364" i="15"/>
  <c r="A6365" i="15"/>
  <c r="A6366" i="15"/>
  <c r="A6367" i="15"/>
  <c r="A6368" i="15"/>
  <c r="A6369" i="15"/>
  <c r="A6370" i="15"/>
  <c r="A6371" i="15"/>
  <c r="A6372" i="15"/>
  <c r="A6373" i="15"/>
  <c r="A6374" i="15"/>
  <c r="A6375" i="15"/>
  <c r="A6376" i="15"/>
  <c r="A6377" i="15"/>
  <c r="A6378" i="15"/>
  <c r="A6379" i="15"/>
  <c r="A6380" i="15"/>
  <c r="A6381" i="15"/>
  <c r="A6382" i="15"/>
  <c r="A6383" i="15"/>
  <c r="A6384" i="15"/>
  <c r="A6385" i="15"/>
  <c r="A6386" i="15"/>
  <c r="A6387" i="15"/>
  <c r="A6388" i="15"/>
  <c r="A6389" i="15"/>
  <c r="A6390" i="15"/>
  <c r="A6391" i="15"/>
  <c r="A6392" i="15"/>
  <c r="A6393" i="15"/>
  <c r="A6394" i="15"/>
  <c r="A6395" i="15"/>
  <c r="A6396" i="15"/>
  <c r="A6397" i="15"/>
  <c r="A6398" i="15"/>
  <c r="A6399" i="15"/>
  <c r="A6400" i="15"/>
  <c r="A6401" i="15"/>
  <c r="A6402" i="15"/>
  <c r="A6403" i="15"/>
  <c r="A6404" i="15"/>
  <c r="A6405" i="15"/>
  <c r="A6406" i="15"/>
  <c r="A6407" i="15"/>
  <c r="A6408" i="15"/>
  <c r="A6409" i="15"/>
  <c r="A6410" i="15"/>
  <c r="A6411" i="15"/>
  <c r="A6412" i="15"/>
  <c r="A6413" i="15"/>
  <c r="A6414" i="15"/>
  <c r="A6415" i="15"/>
  <c r="A6416" i="15"/>
  <c r="A6417" i="15"/>
  <c r="A6418" i="15"/>
  <c r="A6419" i="15"/>
  <c r="A6420" i="15"/>
  <c r="A6421" i="15"/>
  <c r="A6422" i="15"/>
  <c r="A6423" i="15"/>
  <c r="A6424" i="15"/>
  <c r="A6425" i="15"/>
  <c r="A6426" i="15"/>
  <c r="A6427" i="15"/>
  <c r="A6428" i="15"/>
  <c r="A6429" i="15"/>
  <c r="A6430" i="15"/>
  <c r="A6431" i="15"/>
  <c r="A6432" i="15"/>
  <c r="A6433" i="15"/>
  <c r="A6434" i="15"/>
  <c r="A6435" i="15"/>
  <c r="A6436" i="15"/>
  <c r="A6437" i="15"/>
  <c r="A6438" i="15"/>
  <c r="A6439" i="15"/>
  <c r="A6440" i="15"/>
  <c r="A6441" i="15"/>
  <c r="A6442" i="15"/>
  <c r="A6443" i="15"/>
  <c r="A6444" i="15"/>
  <c r="A6445" i="15"/>
  <c r="A6446" i="15"/>
  <c r="A6447" i="15"/>
  <c r="A6448" i="15"/>
  <c r="A6449" i="15"/>
  <c r="A6450" i="15"/>
  <c r="A6451" i="15"/>
  <c r="A6452" i="15"/>
  <c r="A6453" i="15"/>
  <c r="A6454" i="15"/>
  <c r="A6455" i="15"/>
  <c r="A6456" i="15"/>
  <c r="A6457" i="15"/>
  <c r="A6458" i="15"/>
  <c r="A6459" i="15"/>
  <c r="A6460" i="15"/>
  <c r="A6461" i="15"/>
  <c r="A6462" i="15"/>
  <c r="A6463" i="15"/>
  <c r="A6464" i="15"/>
  <c r="A6465" i="15"/>
  <c r="A6466" i="15"/>
  <c r="A6467" i="15"/>
  <c r="A6468" i="15"/>
  <c r="A6469" i="15"/>
  <c r="A6470" i="15"/>
  <c r="A6471" i="15"/>
  <c r="A6472" i="15"/>
  <c r="A6473" i="15"/>
  <c r="A6474" i="15"/>
  <c r="A6475" i="15"/>
  <c r="A6476" i="15"/>
  <c r="A6477" i="15"/>
  <c r="A6478" i="15"/>
  <c r="A6479" i="15"/>
  <c r="A6480" i="15"/>
  <c r="A6481" i="15"/>
  <c r="A6482" i="15"/>
  <c r="A6483" i="15"/>
  <c r="A6484" i="15"/>
  <c r="A6485" i="15"/>
  <c r="A6486" i="15"/>
  <c r="A6487" i="15"/>
  <c r="A6488" i="15"/>
  <c r="A6489" i="15"/>
  <c r="A6490" i="15"/>
  <c r="A6491" i="15"/>
  <c r="A6492" i="15"/>
  <c r="A6493" i="15"/>
  <c r="A6494" i="15"/>
  <c r="A6495" i="15"/>
  <c r="A6496" i="15"/>
  <c r="A6497" i="15"/>
  <c r="A6498" i="15"/>
  <c r="A6499" i="15"/>
  <c r="A6500" i="15"/>
  <c r="A6501" i="15"/>
  <c r="A6502" i="15"/>
  <c r="A6503" i="15"/>
  <c r="A6504" i="15"/>
  <c r="A6505" i="15"/>
  <c r="A6506" i="15"/>
  <c r="A6507" i="15"/>
  <c r="A6508" i="15"/>
  <c r="A6509" i="15"/>
  <c r="A6510" i="15"/>
  <c r="A6511" i="15"/>
  <c r="A6512" i="15"/>
  <c r="A6513" i="15"/>
  <c r="A6514" i="15"/>
  <c r="A6515" i="15"/>
  <c r="A6516" i="15"/>
  <c r="A6517" i="15"/>
  <c r="A6518" i="15"/>
  <c r="A6519" i="15"/>
  <c r="A6520" i="15"/>
  <c r="A6521" i="15"/>
  <c r="A6522" i="15"/>
  <c r="A6523" i="15"/>
  <c r="A6524" i="15"/>
  <c r="A6525" i="15"/>
  <c r="A6526" i="15"/>
  <c r="A6527" i="15"/>
  <c r="A6528" i="15"/>
  <c r="A6529" i="15"/>
  <c r="A6530" i="15"/>
  <c r="A6531" i="15"/>
  <c r="A6532" i="15"/>
  <c r="A6533" i="15"/>
  <c r="A6534" i="15"/>
  <c r="A6535" i="15"/>
  <c r="A6536" i="15"/>
  <c r="A6537" i="15"/>
  <c r="A6538" i="15"/>
  <c r="A6539" i="15"/>
  <c r="A6540" i="15"/>
  <c r="A6541" i="15"/>
  <c r="A6542" i="15"/>
  <c r="A6543" i="15"/>
  <c r="A6544" i="15"/>
  <c r="A6545" i="15"/>
  <c r="A6546" i="15"/>
  <c r="A6547" i="15"/>
  <c r="A6548" i="15"/>
  <c r="A6549" i="15"/>
  <c r="A6550" i="15"/>
  <c r="A6551" i="15"/>
  <c r="A6552" i="15"/>
  <c r="A6553" i="15"/>
  <c r="A6554" i="15"/>
  <c r="A6555" i="15"/>
  <c r="A6556" i="15"/>
  <c r="A6557" i="15"/>
  <c r="A6558" i="15"/>
  <c r="A6559" i="15"/>
  <c r="A6560" i="15"/>
  <c r="A6561" i="15"/>
  <c r="A6562" i="15"/>
  <c r="A6563" i="15"/>
  <c r="A6564" i="15"/>
  <c r="A6565" i="15"/>
  <c r="A6566" i="15"/>
  <c r="A6567" i="15"/>
  <c r="A6568" i="15"/>
  <c r="A6569" i="15"/>
  <c r="A6570" i="15"/>
  <c r="A6571" i="15"/>
  <c r="A6572" i="15"/>
  <c r="A6573" i="15"/>
  <c r="A6574" i="15"/>
  <c r="A6575" i="15"/>
  <c r="A6576" i="15"/>
  <c r="A6577" i="15"/>
  <c r="A6578" i="15"/>
  <c r="A6579" i="15"/>
  <c r="A6580" i="15"/>
  <c r="A6581" i="15"/>
  <c r="A6582" i="15"/>
  <c r="A6583" i="15"/>
  <c r="A6584" i="15"/>
  <c r="A6585" i="15"/>
  <c r="A6586" i="15"/>
  <c r="A6587" i="15"/>
  <c r="A6588" i="15"/>
  <c r="A6589" i="15"/>
  <c r="A6590" i="15"/>
  <c r="A6591" i="15"/>
  <c r="A6592" i="15"/>
  <c r="A6593" i="15"/>
  <c r="A6594" i="15"/>
  <c r="A6595" i="15"/>
  <c r="A6596" i="15"/>
  <c r="A6597" i="15"/>
  <c r="A6598" i="15"/>
  <c r="A6599" i="15"/>
  <c r="A6600" i="15"/>
  <c r="A6601" i="15"/>
  <c r="A6602" i="15"/>
  <c r="A6603" i="15"/>
  <c r="A6604" i="15"/>
  <c r="A6605" i="15"/>
  <c r="A6606" i="15"/>
  <c r="A6607" i="15"/>
  <c r="A6608" i="15"/>
  <c r="A6609" i="15"/>
  <c r="A6610" i="15"/>
  <c r="A6611" i="15"/>
  <c r="A6612" i="15"/>
  <c r="A6613" i="15"/>
  <c r="A6614" i="15"/>
  <c r="A6615" i="15"/>
  <c r="A6616" i="15"/>
  <c r="A6617" i="15"/>
  <c r="A6618" i="15"/>
  <c r="A6619" i="15"/>
  <c r="A6620" i="15"/>
  <c r="A6621" i="15"/>
  <c r="A6622" i="15"/>
  <c r="A6623" i="15"/>
  <c r="A6624" i="15"/>
  <c r="A6625" i="15"/>
  <c r="A6626" i="15"/>
  <c r="A6627" i="15"/>
  <c r="A6628" i="15"/>
  <c r="A6629" i="15"/>
  <c r="A6630" i="15"/>
  <c r="A6631" i="15"/>
  <c r="A6632" i="15"/>
  <c r="A6633" i="15"/>
  <c r="A6634" i="15"/>
  <c r="A6635" i="15"/>
  <c r="A6636" i="15"/>
  <c r="A6637" i="15"/>
  <c r="A6638" i="15"/>
  <c r="A6639" i="15"/>
  <c r="A6640" i="15"/>
  <c r="A6641" i="15"/>
  <c r="A6642" i="15"/>
  <c r="A6643" i="15"/>
  <c r="A6644" i="15"/>
  <c r="A6645" i="15"/>
  <c r="A6646" i="15"/>
  <c r="A6647" i="15"/>
  <c r="A6648" i="15"/>
  <c r="A6649" i="15"/>
  <c r="A6650" i="15"/>
  <c r="A6651" i="15"/>
  <c r="A6652" i="15"/>
  <c r="A6653" i="15"/>
  <c r="A6654" i="15"/>
  <c r="A6655" i="15"/>
  <c r="A6656" i="15"/>
  <c r="A6657" i="15"/>
  <c r="A6658" i="15"/>
  <c r="A6659" i="15"/>
  <c r="A6660" i="15"/>
  <c r="A6661" i="15"/>
  <c r="A6662" i="15"/>
  <c r="A6663" i="15"/>
  <c r="A6664" i="15"/>
  <c r="A6665" i="15"/>
  <c r="A6666" i="15"/>
  <c r="A6667" i="15"/>
  <c r="A6668" i="15"/>
  <c r="A6669" i="15"/>
  <c r="A6670" i="15"/>
  <c r="A6671" i="15"/>
  <c r="A6672" i="15"/>
  <c r="A6673" i="15"/>
  <c r="A6674" i="15"/>
  <c r="A6675" i="15"/>
  <c r="A6676" i="15"/>
  <c r="A6677" i="15"/>
  <c r="A6678" i="15"/>
  <c r="A6679" i="15"/>
  <c r="A6680" i="15"/>
  <c r="A6681" i="15"/>
  <c r="A6682" i="15"/>
  <c r="A6683" i="15"/>
  <c r="A6684" i="15"/>
  <c r="A6685" i="15"/>
  <c r="A6686" i="15"/>
  <c r="A6687" i="15"/>
  <c r="A6688" i="15"/>
  <c r="A6689" i="15"/>
  <c r="A6690" i="15"/>
  <c r="A6691" i="15"/>
  <c r="A6692" i="15"/>
  <c r="A6693" i="15"/>
  <c r="A6694" i="15"/>
  <c r="A6695" i="15"/>
  <c r="A6696" i="15"/>
  <c r="A6697" i="15"/>
  <c r="A6698" i="15"/>
  <c r="A6699" i="15"/>
  <c r="A6700" i="15"/>
  <c r="A6701" i="15"/>
  <c r="A6702" i="15"/>
  <c r="A6703" i="15"/>
  <c r="A6704" i="15"/>
  <c r="A6705" i="15"/>
  <c r="A6706" i="15"/>
  <c r="A6707" i="15"/>
  <c r="A6708" i="15"/>
  <c r="A6709" i="15"/>
  <c r="A6710" i="15"/>
  <c r="A6711" i="15"/>
  <c r="A6712" i="15"/>
  <c r="A6713" i="15"/>
  <c r="A6714" i="15"/>
  <c r="A6715" i="15"/>
  <c r="A6716" i="15"/>
  <c r="A6717" i="15"/>
  <c r="A6718" i="15"/>
  <c r="A6719" i="15"/>
  <c r="A6720" i="15"/>
  <c r="A6721" i="15"/>
  <c r="A6722" i="15"/>
  <c r="A6723" i="15"/>
  <c r="A6724" i="15"/>
  <c r="A6725" i="15"/>
  <c r="A6726" i="15"/>
  <c r="A6727" i="15"/>
  <c r="A6728" i="15"/>
  <c r="A6729" i="15"/>
  <c r="A6730" i="15"/>
  <c r="A6731" i="15"/>
  <c r="A6732" i="15"/>
  <c r="A6733" i="15"/>
  <c r="A6734" i="15"/>
  <c r="A6735" i="15"/>
  <c r="A6736" i="15"/>
  <c r="A6737" i="15"/>
  <c r="A6738" i="15"/>
  <c r="A6739" i="15"/>
  <c r="A6740" i="15"/>
  <c r="A6741" i="15"/>
  <c r="A6742" i="15"/>
  <c r="A6743" i="15"/>
  <c r="A6744" i="15"/>
  <c r="A6745" i="15"/>
  <c r="A6746" i="15"/>
  <c r="A6747" i="15"/>
  <c r="A6748" i="15"/>
  <c r="A6749" i="15"/>
  <c r="A6750" i="15"/>
  <c r="A6751" i="15"/>
  <c r="A6752" i="15"/>
  <c r="A6753" i="15"/>
  <c r="A6754" i="15"/>
  <c r="A6755" i="15"/>
  <c r="A6756" i="15"/>
  <c r="A6757" i="15"/>
  <c r="A6758" i="15"/>
  <c r="A6759" i="15"/>
  <c r="A6760" i="15"/>
  <c r="A6761" i="15"/>
  <c r="A6762" i="15"/>
  <c r="A6763" i="15"/>
  <c r="A6764" i="15"/>
  <c r="A6765" i="15"/>
  <c r="A6766" i="15"/>
  <c r="A6767" i="15"/>
  <c r="A6768" i="15"/>
  <c r="A6769" i="15"/>
  <c r="A6770" i="15"/>
  <c r="A6771" i="15"/>
  <c r="A6772" i="15"/>
  <c r="A6773" i="15"/>
  <c r="A6774" i="15"/>
  <c r="A6775" i="15"/>
  <c r="A6776" i="15"/>
  <c r="A6777" i="15"/>
  <c r="A6778" i="15"/>
  <c r="A6779" i="15"/>
  <c r="A6780" i="15"/>
  <c r="A6781" i="15"/>
  <c r="A6782" i="15"/>
  <c r="A6783" i="15"/>
  <c r="A6784" i="15"/>
  <c r="A6785" i="15"/>
  <c r="A6786" i="15"/>
  <c r="A6787" i="15"/>
  <c r="A6788" i="15"/>
  <c r="A6789" i="15"/>
  <c r="A6790" i="15"/>
  <c r="A6791" i="15"/>
  <c r="A6792" i="15"/>
  <c r="A6793" i="15"/>
  <c r="A6794" i="15"/>
  <c r="A6795" i="15"/>
  <c r="A6796" i="15"/>
  <c r="A6797" i="15"/>
  <c r="A6798" i="15"/>
  <c r="A6799" i="15"/>
  <c r="A6800" i="15"/>
  <c r="A6801" i="15"/>
  <c r="A6802" i="15"/>
  <c r="A6803" i="15"/>
  <c r="A6804" i="15"/>
  <c r="A6805" i="15"/>
  <c r="A6806" i="15"/>
  <c r="A6807" i="15"/>
  <c r="A6808" i="15"/>
  <c r="A6809" i="15"/>
  <c r="A6810" i="15"/>
  <c r="A6811" i="15"/>
  <c r="A6812" i="15"/>
  <c r="A6813" i="15"/>
  <c r="A6814" i="15"/>
  <c r="A6815" i="15"/>
  <c r="A6816" i="15"/>
  <c r="A6817" i="15"/>
  <c r="A6818" i="15"/>
  <c r="A6819" i="15"/>
  <c r="A6820" i="15"/>
  <c r="A6821" i="15"/>
  <c r="A6822" i="15"/>
  <c r="A6823" i="15"/>
  <c r="A6824" i="15"/>
  <c r="A6825" i="15"/>
  <c r="A6826" i="15"/>
  <c r="A6827" i="15"/>
  <c r="A6828" i="15"/>
  <c r="A6829" i="15"/>
  <c r="A6830" i="15"/>
  <c r="A6831" i="15"/>
  <c r="A6832" i="15"/>
  <c r="A6833" i="15"/>
  <c r="A6834" i="15"/>
  <c r="A6835" i="15"/>
  <c r="A6836" i="15"/>
  <c r="A6837" i="15"/>
  <c r="A6838" i="15"/>
  <c r="A6839" i="15"/>
  <c r="A6840" i="15"/>
  <c r="A6841" i="15"/>
  <c r="A6842" i="15"/>
  <c r="A6843" i="15"/>
  <c r="A6844" i="15"/>
  <c r="A6845" i="15"/>
  <c r="A6846" i="15"/>
  <c r="A6847" i="15"/>
  <c r="A6848" i="15"/>
  <c r="A6849" i="15"/>
  <c r="A6850" i="15"/>
  <c r="A6851" i="15"/>
  <c r="A6852" i="15"/>
  <c r="A6853" i="15"/>
  <c r="A6854" i="15"/>
  <c r="A6855" i="15"/>
  <c r="A6856" i="15"/>
  <c r="A6857" i="15"/>
  <c r="A6858" i="15"/>
  <c r="A6859" i="15"/>
  <c r="A6860" i="15"/>
  <c r="A6861" i="15"/>
  <c r="A6862" i="15"/>
  <c r="A6863" i="15"/>
  <c r="A6864" i="15"/>
  <c r="A6865" i="15"/>
  <c r="A6866" i="15"/>
  <c r="A6867" i="15"/>
  <c r="A6868" i="15"/>
  <c r="A6869" i="15"/>
  <c r="A6870" i="15"/>
  <c r="A6871" i="15"/>
  <c r="A6872" i="15"/>
  <c r="A6873" i="15"/>
  <c r="A6874" i="15"/>
  <c r="A6875" i="15"/>
  <c r="A6876" i="15"/>
  <c r="A6877" i="15"/>
  <c r="A6878" i="15"/>
  <c r="A6879" i="15"/>
  <c r="A6880" i="15"/>
  <c r="A6881" i="15"/>
  <c r="A6882" i="15"/>
  <c r="A6883" i="15"/>
  <c r="A6884" i="15"/>
  <c r="A6885" i="15"/>
  <c r="A6886" i="15"/>
  <c r="A6887" i="15"/>
  <c r="A6888" i="15"/>
  <c r="A6889" i="15"/>
  <c r="A6890" i="15"/>
  <c r="A6891" i="15"/>
  <c r="A6892" i="15"/>
  <c r="A6893" i="15"/>
  <c r="A6894" i="15"/>
  <c r="A6895" i="15"/>
  <c r="A6896" i="15"/>
  <c r="A6897" i="15"/>
  <c r="A6898" i="15"/>
  <c r="A6899" i="15"/>
  <c r="A6900" i="15"/>
  <c r="A6901" i="15"/>
  <c r="A6902" i="15"/>
  <c r="A6903" i="15"/>
  <c r="A6904" i="15"/>
  <c r="A6905" i="15"/>
  <c r="A6906" i="15"/>
  <c r="A6907" i="15"/>
  <c r="A6908" i="15"/>
  <c r="A6909" i="15"/>
  <c r="A6910" i="15"/>
  <c r="A6911" i="15"/>
  <c r="A6912" i="15"/>
  <c r="A6913" i="15"/>
  <c r="A6914" i="15"/>
  <c r="A6915" i="15"/>
  <c r="A6916" i="15"/>
  <c r="A6917" i="15"/>
  <c r="A6918" i="15"/>
  <c r="A6919" i="15"/>
  <c r="A6920" i="15"/>
  <c r="A6921" i="15"/>
  <c r="A6922" i="15"/>
  <c r="A6923" i="15"/>
  <c r="A6924" i="15"/>
  <c r="A6925" i="15"/>
  <c r="A6926" i="15"/>
  <c r="A6927" i="15"/>
  <c r="A6928" i="15"/>
  <c r="A6929" i="15"/>
  <c r="A6930" i="15"/>
  <c r="A6931" i="15"/>
  <c r="A6932" i="15"/>
  <c r="A6933" i="15"/>
  <c r="A6934" i="15"/>
  <c r="A6935" i="15"/>
  <c r="A6936" i="15"/>
  <c r="A6937" i="15"/>
  <c r="A6938" i="15"/>
  <c r="A6939" i="15"/>
  <c r="A6940" i="15"/>
  <c r="A6941" i="15"/>
  <c r="A6942" i="15"/>
  <c r="A6943" i="15"/>
  <c r="A6944" i="15"/>
  <c r="A6945" i="15"/>
  <c r="A6946" i="15"/>
  <c r="A6947" i="15"/>
  <c r="A6948" i="15"/>
  <c r="A6949" i="15"/>
  <c r="A6950" i="15"/>
  <c r="A6951" i="15"/>
  <c r="A6952" i="15"/>
  <c r="A6953" i="15"/>
  <c r="A6954" i="15"/>
  <c r="A6955" i="15"/>
  <c r="A6956" i="15"/>
  <c r="A6957" i="15"/>
  <c r="A6958" i="15"/>
  <c r="A6959" i="15"/>
  <c r="A6960" i="15"/>
  <c r="A6961" i="15"/>
  <c r="A6962" i="15"/>
  <c r="A6963" i="15"/>
  <c r="A6964" i="15"/>
  <c r="A6965" i="15"/>
  <c r="A6966" i="15"/>
  <c r="A6967" i="15"/>
  <c r="A6968" i="15"/>
  <c r="A6969" i="15"/>
  <c r="A6970" i="15"/>
  <c r="A6971" i="15"/>
  <c r="A6972" i="15"/>
  <c r="A6973" i="15"/>
  <c r="A6974" i="15"/>
  <c r="A6975" i="15"/>
  <c r="A6976" i="15"/>
  <c r="A6977" i="15"/>
  <c r="A6978" i="15"/>
  <c r="A6979" i="15"/>
  <c r="A6980" i="15"/>
  <c r="A6981" i="15"/>
  <c r="A6982" i="15"/>
  <c r="A6983" i="15"/>
  <c r="A6984" i="15"/>
  <c r="A6985" i="15"/>
  <c r="A6986" i="15"/>
  <c r="A6987" i="15"/>
  <c r="A6988" i="15"/>
  <c r="A6989" i="15"/>
  <c r="A6990" i="15"/>
  <c r="A6991" i="15"/>
  <c r="A6992" i="15"/>
  <c r="A6993" i="15"/>
  <c r="A6994" i="15"/>
  <c r="A6995" i="15"/>
  <c r="A6996" i="15"/>
  <c r="A6997" i="15"/>
  <c r="A6998" i="15"/>
  <c r="A6999" i="15"/>
  <c r="A7000" i="15"/>
  <c r="A7001" i="15"/>
  <c r="A7002" i="15"/>
  <c r="A7003" i="15"/>
  <c r="A7004" i="15"/>
  <c r="A7005" i="15"/>
  <c r="A7006" i="15"/>
  <c r="A7007" i="15"/>
  <c r="A7008" i="15"/>
  <c r="A7009" i="15"/>
  <c r="A7010" i="15"/>
  <c r="A7011" i="15"/>
  <c r="A7012" i="15"/>
  <c r="A7013" i="15"/>
  <c r="A7014" i="15"/>
  <c r="A7015" i="15"/>
  <c r="A7016" i="15"/>
  <c r="A7017" i="15"/>
  <c r="A7018" i="15"/>
  <c r="A7019" i="15"/>
  <c r="A7020" i="15"/>
  <c r="A7021" i="15"/>
  <c r="A7022" i="15"/>
  <c r="A7023" i="15"/>
  <c r="A7024" i="15"/>
  <c r="A7025" i="15"/>
  <c r="A7026" i="15"/>
  <c r="A7027" i="15"/>
  <c r="A7028" i="15"/>
  <c r="A7029" i="15"/>
  <c r="A7030" i="15"/>
  <c r="A7031" i="15"/>
  <c r="A7032" i="15"/>
  <c r="A7033" i="15"/>
  <c r="A7034" i="15"/>
  <c r="A7035" i="15"/>
  <c r="A7036" i="15"/>
  <c r="A7037" i="15"/>
  <c r="A7038" i="15"/>
  <c r="A7039" i="15"/>
  <c r="A7040" i="15"/>
  <c r="A7041" i="15"/>
  <c r="A7042" i="15"/>
  <c r="A7043" i="15"/>
  <c r="A7044" i="15"/>
  <c r="A7045" i="15"/>
  <c r="A7046" i="15"/>
  <c r="A7047" i="15"/>
  <c r="A7048" i="15"/>
  <c r="A7049" i="15"/>
  <c r="A7050" i="15"/>
  <c r="A7051" i="15"/>
  <c r="A7052" i="15"/>
  <c r="A7053" i="15"/>
  <c r="A7054" i="15"/>
  <c r="A7055" i="15"/>
  <c r="A7056" i="15"/>
  <c r="A7057" i="15"/>
  <c r="A7058" i="15"/>
  <c r="A7059" i="15"/>
  <c r="A7060" i="15"/>
  <c r="A7061" i="15"/>
  <c r="A7062" i="15"/>
  <c r="A7063" i="15"/>
  <c r="A7064" i="15"/>
  <c r="A7065" i="15"/>
  <c r="A7066" i="15"/>
  <c r="A7067" i="15"/>
  <c r="A7068" i="15"/>
  <c r="A7069" i="15"/>
  <c r="A7070" i="15"/>
  <c r="A7071" i="15"/>
  <c r="A7072" i="15"/>
  <c r="A7073" i="15"/>
  <c r="A7074" i="15"/>
  <c r="A7075" i="15"/>
  <c r="A7076" i="15"/>
  <c r="A7077" i="15"/>
  <c r="A7078" i="15"/>
  <c r="A7079" i="15"/>
  <c r="A7080" i="15"/>
  <c r="A7081" i="15"/>
  <c r="A7082" i="15"/>
  <c r="A7083" i="15"/>
  <c r="A7084" i="15"/>
  <c r="A7085" i="15"/>
  <c r="A7086" i="15"/>
  <c r="A7087" i="15"/>
  <c r="A7088" i="15"/>
  <c r="A7089" i="15"/>
  <c r="A7090" i="15"/>
  <c r="A7091" i="15"/>
  <c r="A7092" i="15"/>
  <c r="A7093" i="15"/>
  <c r="A7094" i="15"/>
  <c r="A7095" i="15"/>
  <c r="A7096" i="15"/>
  <c r="A7097" i="15"/>
  <c r="A7098" i="15"/>
  <c r="A7099" i="15"/>
  <c r="A7100" i="15"/>
  <c r="A7101" i="15"/>
  <c r="A7102" i="15"/>
  <c r="A7103" i="15"/>
  <c r="A7104" i="15"/>
  <c r="A7105" i="15"/>
  <c r="A7106" i="15"/>
  <c r="A7107" i="15"/>
  <c r="A7108" i="15"/>
  <c r="A7109" i="15"/>
  <c r="A7110" i="15"/>
  <c r="A7111" i="15"/>
  <c r="A7112" i="15"/>
  <c r="A7113" i="15"/>
  <c r="A7114" i="15"/>
  <c r="A7115" i="15"/>
  <c r="A7116" i="15"/>
  <c r="A7117" i="15"/>
  <c r="A7118" i="15"/>
  <c r="A7119" i="15"/>
  <c r="A7120" i="15"/>
  <c r="A7121" i="15"/>
  <c r="A7122" i="15"/>
  <c r="A7123" i="15"/>
  <c r="A7124" i="15"/>
  <c r="A7125" i="15"/>
  <c r="A7126" i="15"/>
  <c r="A7127" i="15"/>
  <c r="A7128" i="15"/>
  <c r="A7129" i="15"/>
  <c r="A7130" i="15"/>
  <c r="A7131" i="15"/>
  <c r="A7132" i="15"/>
  <c r="A7133" i="15"/>
  <c r="A7134" i="15"/>
  <c r="A7135" i="15"/>
  <c r="A7136" i="15"/>
  <c r="A7137" i="15"/>
  <c r="A7138" i="15"/>
  <c r="A7139" i="15"/>
  <c r="A7140" i="15"/>
  <c r="A7141" i="15"/>
  <c r="A7142" i="15"/>
  <c r="A7143" i="15"/>
  <c r="A7144" i="15"/>
  <c r="A7145" i="15"/>
  <c r="A7146" i="15"/>
  <c r="A7147" i="15"/>
  <c r="A7148" i="15"/>
  <c r="A7149" i="15"/>
  <c r="A7150" i="15"/>
  <c r="A7151" i="15"/>
  <c r="A7152" i="15"/>
  <c r="A7153" i="15"/>
  <c r="A7154" i="15"/>
  <c r="A7155" i="15"/>
  <c r="A7156" i="15"/>
  <c r="A7157" i="15"/>
  <c r="A7158" i="15"/>
  <c r="A7159" i="15"/>
  <c r="A7160" i="15"/>
  <c r="A7161" i="15"/>
  <c r="A7162" i="15"/>
  <c r="A7163" i="15"/>
  <c r="A7164" i="15"/>
  <c r="A7165" i="15"/>
  <c r="A7166" i="15"/>
  <c r="A7167" i="15"/>
  <c r="A7168" i="15"/>
  <c r="A7169" i="15"/>
  <c r="A7170" i="15"/>
  <c r="A7171" i="15"/>
  <c r="A7172" i="15"/>
  <c r="A7173" i="15"/>
  <c r="A7174" i="15"/>
  <c r="A7175" i="15"/>
  <c r="A7176" i="15"/>
  <c r="A7177" i="15"/>
  <c r="A7178" i="15"/>
  <c r="A7179" i="15"/>
  <c r="A7180" i="15"/>
  <c r="A7181" i="15"/>
  <c r="A7182" i="15"/>
  <c r="A7183" i="15"/>
  <c r="A7184" i="15"/>
  <c r="A7185" i="15"/>
  <c r="A7186" i="15"/>
  <c r="A7187" i="15"/>
  <c r="A7188" i="15"/>
  <c r="A7189" i="15"/>
  <c r="A7190" i="15"/>
  <c r="A7191" i="15"/>
  <c r="A7192" i="15"/>
  <c r="A7193" i="15"/>
  <c r="A7194" i="15"/>
  <c r="A7195" i="15"/>
  <c r="A7196" i="15"/>
  <c r="A7197" i="15"/>
  <c r="A7198" i="15"/>
  <c r="A7199" i="15"/>
  <c r="A7200" i="15"/>
  <c r="A7201" i="15"/>
  <c r="A7202" i="15"/>
  <c r="A7203" i="15"/>
  <c r="A7204" i="15"/>
  <c r="A7205" i="15"/>
  <c r="A7206" i="15"/>
  <c r="A7207" i="15"/>
  <c r="A7208" i="15"/>
  <c r="A7209" i="15"/>
  <c r="A7210" i="15"/>
  <c r="A7211" i="15"/>
  <c r="A7212" i="15"/>
  <c r="A7213" i="15"/>
  <c r="A7214" i="15"/>
  <c r="A7215" i="15"/>
  <c r="A7216" i="15"/>
  <c r="A7217" i="15"/>
  <c r="A7218" i="15"/>
  <c r="A7219" i="15"/>
  <c r="A7220" i="15"/>
  <c r="A7221" i="15"/>
  <c r="A7222" i="15"/>
  <c r="A7223" i="15"/>
  <c r="A7224" i="15"/>
  <c r="A7225" i="15"/>
  <c r="A7226" i="15"/>
  <c r="A7227" i="15"/>
  <c r="A7228" i="15"/>
  <c r="A7229" i="15"/>
  <c r="A7230" i="15"/>
  <c r="A7231" i="15"/>
  <c r="A7232" i="15"/>
  <c r="A7233" i="15"/>
  <c r="A7234" i="15"/>
  <c r="A7235" i="15"/>
  <c r="A7236" i="15"/>
  <c r="A7237" i="15"/>
  <c r="A7238" i="15"/>
  <c r="A7239" i="15"/>
  <c r="A7240" i="15"/>
  <c r="A7241" i="15"/>
  <c r="A7242" i="15"/>
  <c r="A7243" i="15"/>
  <c r="A7244" i="15"/>
  <c r="A7245" i="15"/>
  <c r="A7246" i="15"/>
  <c r="A7247" i="15"/>
  <c r="A7248" i="15"/>
  <c r="A7249" i="15"/>
  <c r="A7250" i="15"/>
  <c r="A7251" i="15"/>
  <c r="A7252" i="15"/>
  <c r="A7253" i="15"/>
  <c r="A7254" i="15"/>
  <c r="A7255" i="15"/>
  <c r="A7256" i="15"/>
  <c r="A7257" i="15"/>
  <c r="A7258" i="15"/>
  <c r="A7259" i="15"/>
  <c r="A7260" i="15"/>
  <c r="A7261" i="15"/>
  <c r="A7262" i="15"/>
  <c r="A7263" i="15"/>
  <c r="A7264" i="15"/>
  <c r="A7265" i="15"/>
  <c r="A7266" i="15"/>
  <c r="A7267" i="15"/>
  <c r="A7268" i="15"/>
  <c r="A7269" i="15"/>
  <c r="A7270" i="15"/>
  <c r="A7271" i="15"/>
  <c r="A7272" i="15"/>
  <c r="A7273" i="15"/>
  <c r="A7274" i="15"/>
  <c r="A7275" i="15"/>
  <c r="A7276" i="15"/>
  <c r="A7277" i="15"/>
  <c r="A7278" i="15"/>
  <c r="A7279" i="15"/>
  <c r="A7280" i="15"/>
  <c r="A7281" i="15"/>
  <c r="A7282" i="15"/>
  <c r="A7283" i="15"/>
  <c r="A7284" i="15"/>
  <c r="A7285" i="15"/>
  <c r="A7286" i="15"/>
  <c r="A7287" i="15"/>
  <c r="A7288" i="15"/>
  <c r="A7289" i="15"/>
  <c r="A7290" i="15"/>
  <c r="A7291" i="15"/>
  <c r="A7292" i="15"/>
  <c r="A7293" i="15"/>
  <c r="A7294" i="15"/>
  <c r="A7295" i="15"/>
  <c r="A7296" i="15"/>
  <c r="A7297" i="15"/>
  <c r="A7298" i="15"/>
  <c r="A7299" i="15"/>
  <c r="A7300" i="15"/>
  <c r="A7301" i="15"/>
  <c r="A7302" i="15"/>
  <c r="A7303" i="15"/>
  <c r="A7304" i="15"/>
  <c r="A7305" i="15"/>
  <c r="A7306" i="15"/>
  <c r="A7307" i="15"/>
  <c r="A7308" i="15"/>
  <c r="A7309" i="15"/>
  <c r="A7310" i="15"/>
  <c r="A7311" i="15"/>
  <c r="A7312" i="15"/>
  <c r="A7313" i="15"/>
  <c r="A7314" i="15"/>
  <c r="A7315" i="15"/>
  <c r="A7316" i="15"/>
  <c r="A7317" i="15"/>
  <c r="A7318" i="15"/>
  <c r="A7319" i="15"/>
  <c r="A7320" i="15"/>
  <c r="A7321" i="15"/>
  <c r="A7322" i="15"/>
  <c r="A7323" i="15"/>
  <c r="A7324" i="15"/>
  <c r="A7325" i="15"/>
  <c r="A7326" i="15"/>
  <c r="A7327" i="15"/>
  <c r="A7328" i="15"/>
  <c r="A7329" i="15"/>
  <c r="A7330" i="15"/>
  <c r="A7331" i="15"/>
  <c r="A7332" i="15"/>
  <c r="A7333" i="15"/>
  <c r="A7334" i="15"/>
  <c r="A7335" i="15"/>
  <c r="A7336" i="15"/>
  <c r="A7337" i="15"/>
  <c r="A7338" i="15"/>
  <c r="A7339" i="15"/>
  <c r="A7340" i="15"/>
  <c r="A7341" i="15"/>
  <c r="A7342" i="15"/>
  <c r="A7343" i="15"/>
  <c r="A7344" i="15"/>
  <c r="A7345" i="15"/>
  <c r="A7346" i="15"/>
  <c r="A7347" i="15"/>
  <c r="A7348" i="15"/>
  <c r="A7349" i="15"/>
  <c r="A7350" i="15"/>
  <c r="A7351" i="15"/>
  <c r="A7352" i="15"/>
  <c r="A7353" i="15"/>
  <c r="A7354" i="15"/>
  <c r="A7355" i="15"/>
  <c r="A7356" i="15"/>
  <c r="A7357" i="15"/>
  <c r="A7358" i="15"/>
  <c r="A7359" i="15"/>
  <c r="A7360" i="15"/>
  <c r="A7361" i="15"/>
  <c r="A7362" i="15"/>
  <c r="A7363" i="15"/>
  <c r="A7364" i="15"/>
  <c r="A7365" i="15"/>
  <c r="A7366" i="15"/>
  <c r="A7367" i="15"/>
  <c r="A7368" i="15"/>
  <c r="A7369" i="15"/>
  <c r="A7370" i="15"/>
  <c r="A7371" i="15"/>
  <c r="A7372" i="15"/>
  <c r="A7373" i="15"/>
  <c r="A7374" i="15"/>
  <c r="A7375" i="15"/>
  <c r="A7376" i="15"/>
  <c r="A7377" i="15"/>
  <c r="A7378" i="15"/>
  <c r="A7379" i="15"/>
  <c r="A7380" i="15"/>
  <c r="A7381" i="15"/>
  <c r="A7382" i="15"/>
  <c r="A7383" i="15"/>
  <c r="A7384" i="15"/>
  <c r="A7385" i="15"/>
  <c r="A7386" i="15"/>
  <c r="A7387" i="15"/>
  <c r="A7388" i="15"/>
  <c r="A7389" i="15"/>
  <c r="A7390" i="15"/>
  <c r="A7391" i="15"/>
  <c r="A7392" i="15"/>
  <c r="A7393" i="15"/>
  <c r="A7394" i="15"/>
  <c r="A7395" i="15"/>
  <c r="A7396" i="15"/>
  <c r="A7397" i="15"/>
  <c r="A7398" i="15"/>
  <c r="A7399" i="15"/>
  <c r="A7400" i="15"/>
  <c r="A7401" i="15"/>
  <c r="A7402" i="15"/>
  <c r="A7403" i="15"/>
  <c r="A7404" i="15"/>
  <c r="A7405" i="15"/>
  <c r="A7406" i="15"/>
  <c r="A7407" i="15"/>
  <c r="A7408" i="15"/>
  <c r="A7409" i="15"/>
  <c r="A7410" i="15"/>
  <c r="A7411" i="15"/>
  <c r="A7412" i="15"/>
  <c r="A7413" i="15"/>
  <c r="A7414" i="15"/>
  <c r="A7415" i="15"/>
  <c r="A7416" i="15"/>
  <c r="A7417" i="15"/>
  <c r="A7418" i="15"/>
  <c r="A7419" i="15"/>
  <c r="A7420" i="15"/>
  <c r="A7421" i="15"/>
  <c r="A7422" i="15"/>
  <c r="A7423" i="15"/>
  <c r="A7424" i="15"/>
  <c r="A7425" i="15"/>
  <c r="A7426" i="15"/>
  <c r="A7427" i="15"/>
  <c r="A7428" i="15"/>
  <c r="A7429" i="15"/>
  <c r="A7430" i="15"/>
  <c r="A7431" i="15"/>
  <c r="A7432" i="15"/>
  <c r="A7433" i="15"/>
  <c r="A7434" i="15"/>
  <c r="A7435" i="15"/>
  <c r="A7436" i="15"/>
  <c r="A7437" i="15"/>
  <c r="A7438" i="15"/>
  <c r="A7439" i="15"/>
  <c r="A7440" i="15"/>
  <c r="A7441" i="15"/>
  <c r="A7442" i="15"/>
  <c r="A7443" i="15"/>
  <c r="A7444" i="15"/>
  <c r="A7445" i="15"/>
  <c r="A7446" i="15"/>
  <c r="A7447" i="15"/>
  <c r="A7448" i="15"/>
  <c r="A7449" i="15"/>
  <c r="A7450" i="15"/>
  <c r="A7451" i="15"/>
  <c r="A7452" i="15"/>
  <c r="A7453" i="15"/>
  <c r="A7454" i="15"/>
  <c r="A7455" i="15"/>
  <c r="A7456" i="15"/>
  <c r="A7457" i="15"/>
  <c r="A7458" i="15"/>
  <c r="A7459" i="15"/>
  <c r="A7460" i="15"/>
  <c r="A7461" i="15"/>
  <c r="A7462" i="15"/>
  <c r="A7463" i="15"/>
  <c r="A7464" i="15"/>
  <c r="A7465" i="15"/>
  <c r="A7466" i="15"/>
  <c r="A7467" i="15"/>
  <c r="A7468" i="15"/>
  <c r="A7469" i="15"/>
  <c r="A7470" i="15"/>
  <c r="A7471" i="15"/>
  <c r="A7472" i="15"/>
  <c r="A7473" i="15"/>
  <c r="A7474" i="15"/>
  <c r="A7475" i="15"/>
  <c r="A7476" i="15"/>
  <c r="A7477" i="15"/>
  <c r="A7478" i="15"/>
  <c r="A7479" i="15"/>
  <c r="A7480" i="15"/>
  <c r="A7481" i="15"/>
  <c r="A7482" i="15"/>
  <c r="A7483" i="15"/>
  <c r="A7484" i="15"/>
  <c r="A7485" i="15"/>
  <c r="A7486" i="15"/>
  <c r="A7487" i="15"/>
  <c r="A7488" i="15"/>
  <c r="A7489" i="15"/>
  <c r="A7490" i="15"/>
  <c r="A7491" i="15"/>
  <c r="A7492" i="15"/>
  <c r="A7493" i="15"/>
  <c r="A7494" i="15"/>
  <c r="A7495" i="15"/>
  <c r="A7496" i="15"/>
  <c r="A7497" i="15"/>
  <c r="A7498" i="15"/>
  <c r="A7499" i="15"/>
  <c r="A7500" i="15"/>
  <c r="A7501" i="15"/>
  <c r="A7502" i="15"/>
  <c r="A7503" i="15"/>
  <c r="A7504" i="15"/>
  <c r="A7505" i="15"/>
  <c r="A7506" i="15"/>
  <c r="A7507" i="15"/>
  <c r="A7508" i="15"/>
  <c r="A7509" i="15"/>
  <c r="A7510" i="15"/>
  <c r="A7511" i="15"/>
  <c r="A7512" i="15"/>
  <c r="A7513" i="15"/>
  <c r="A7514" i="15"/>
  <c r="A7515" i="15"/>
  <c r="A7516" i="15"/>
  <c r="A7517" i="15"/>
  <c r="A7518" i="15"/>
  <c r="A7519" i="15"/>
  <c r="A7520" i="15"/>
  <c r="A7521" i="15"/>
  <c r="A7522" i="15"/>
  <c r="A7523" i="15"/>
  <c r="A7524" i="15"/>
  <c r="A7525" i="15"/>
  <c r="A7526" i="15"/>
  <c r="A7527" i="15"/>
  <c r="A7528" i="15"/>
  <c r="A7529" i="15"/>
  <c r="A7530" i="15"/>
  <c r="A7531" i="15"/>
  <c r="A7532" i="15"/>
  <c r="A7533" i="15"/>
  <c r="A7534" i="15"/>
  <c r="A7535" i="15"/>
  <c r="A7536" i="15"/>
  <c r="A7537" i="15"/>
  <c r="A7538" i="15"/>
  <c r="A7539" i="15"/>
  <c r="A7540" i="15"/>
  <c r="A7541" i="15"/>
  <c r="A7542" i="15"/>
  <c r="A7543" i="15"/>
  <c r="A7544" i="15"/>
  <c r="A7545" i="15"/>
  <c r="A7546" i="15"/>
  <c r="A7547" i="15"/>
  <c r="A7548" i="15"/>
  <c r="A7549" i="15"/>
  <c r="A7550" i="15"/>
  <c r="A7551" i="15"/>
  <c r="A7552" i="15"/>
  <c r="A7553" i="15"/>
  <c r="A7554" i="15"/>
  <c r="A7555" i="15"/>
  <c r="A7556" i="15"/>
  <c r="A7557" i="15"/>
  <c r="A7558" i="15"/>
  <c r="A7559" i="15"/>
  <c r="A7560" i="15"/>
  <c r="A7561" i="15"/>
  <c r="A7562" i="15"/>
  <c r="A7563" i="15"/>
  <c r="A7564" i="15"/>
  <c r="A7565" i="15"/>
  <c r="A7566" i="15"/>
  <c r="A7567" i="15"/>
  <c r="A7568" i="15"/>
  <c r="A7569" i="15"/>
  <c r="A7570" i="15"/>
  <c r="A7571" i="15"/>
  <c r="A7572" i="15"/>
  <c r="A7573" i="15"/>
  <c r="A7574" i="15"/>
  <c r="A7575" i="15"/>
  <c r="A7576" i="15"/>
  <c r="A7577" i="15"/>
  <c r="A7578" i="15"/>
  <c r="A7579" i="15"/>
  <c r="A7580" i="15"/>
  <c r="A7581" i="15"/>
  <c r="A7582" i="15"/>
  <c r="A7583" i="15"/>
  <c r="A7584" i="15"/>
  <c r="A7585" i="15"/>
  <c r="A7586" i="15"/>
  <c r="A7587" i="15"/>
  <c r="A7588" i="15"/>
  <c r="A7589" i="15"/>
  <c r="A7590" i="15"/>
  <c r="A7591" i="15"/>
  <c r="A7592" i="15"/>
  <c r="A7593" i="15"/>
  <c r="A7594" i="15"/>
  <c r="A7595" i="15"/>
  <c r="A7596" i="15"/>
  <c r="A7597" i="15"/>
  <c r="A7598" i="15"/>
  <c r="A7599" i="15"/>
  <c r="A7600" i="15"/>
  <c r="A7601" i="15"/>
  <c r="A7602" i="15"/>
  <c r="A7603" i="15"/>
  <c r="A7604" i="15"/>
  <c r="A7605" i="15"/>
  <c r="A7606" i="15"/>
  <c r="A7607" i="15"/>
  <c r="A7608" i="15"/>
  <c r="A7609" i="15"/>
  <c r="A7610" i="15"/>
  <c r="A7611" i="15"/>
  <c r="A7612" i="15"/>
  <c r="A7613" i="15"/>
  <c r="A7614" i="15"/>
  <c r="A7615" i="15"/>
  <c r="A7616" i="15"/>
  <c r="A7617" i="15"/>
  <c r="A7618" i="15"/>
  <c r="A7619" i="15"/>
  <c r="A7620" i="15"/>
  <c r="A7621" i="15"/>
  <c r="A7622" i="15"/>
  <c r="A7623" i="15"/>
  <c r="A7624" i="15"/>
  <c r="A7625" i="15"/>
  <c r="A7626" i="15"/>
  <c r="A7627" i="15"/>
  <c r="A7628" i="15"/>
  <c r="A7629" i="15"/>
  <c r="A7630" i="15"/>
  <c r="A7631" i="15"/>
  <c r="A7632" i="15"/>
  <c r="A7633" i="15"/>
  <c r="A7634" i="15"/>
  <c r="A7635" i="15"/>
  <c r="A7636" i="15"/>
  <c r="A7637" i="15"/>
  <c r="A7638" i="15"/>
  <c r="A7639" i="15"/>
  <c r="A7640" i="15"/>
  <c r="A7641" i="15"/>
  <c r="A7642" i="15"/>
  <c r="A7643" i="15"/>
  <c r="A7644" i="15"/>
  <c r="A7645" i="15"/>
  <c r="A7646" i="15"/>
  <c r="A7647" i="15"/>
  <c r="A7648" i="15"/>
  <c r="A7649" i="15"/>
  <c r="A7650" i="15"/>
  <c r="A7651" i="15"/>
  <c r="A7652" i="15"/>
  <c r="A7653" i="15"/>
  <c r="A7654" i="15"/>
  <c r="A7655" i="15"/>
  <c r="A7656" i="15"/>
  <c r="A7657" i="15"/>
  <c r="A7658" i="15"/>
  <c r="A7659" i="15"/>
  <c r="A7660" i="15"/>
  <c r="A7661" i="15"/>
  <c r="A7662" i="15"/>
  <c r="A7663" i="15"/>
  <c r="A7664" i="15"/>
  <c r="A7665" i="15"/>
  <c r="A7666" i="15"/>
  <c r="A7667" i="15"/>
  <c r="A7668" i="15"/>
  <c r="A7669" i="15"/>
  <c r="A7670" i="15"/>
  <c r="A7671" i="15"/>
  <c r="A7672" i="15"/>
  <c r="A7673" i="15"/>
  <c r="A7674" i="15"/>
  <c r="A7675" i="15"/>
  <c r="A7676" i="15"/>
  <c r="A7677" i="15"/>
  <c r="A7678" i="15"/>
  <c r="A7679" i="15"/>
  <c r="A7680" i="15"/>
  <c r="A7681" i="15"/>
  <c r="A7682" i="15"/>
  <c r="A7683" i="15"/>
  <c r="A7684" i="15"/>
  <c r="A7685" i="15"/>
  <c r="A7686" i="15"/>
  <c r="A7687" i="15"/>
  <c r="A7688" i="15"/>
  <c r="A7689" i="15"/>
  <c r="A7690" i="15"/>
  <c r="A7691" i="15"/>
  <c r="A7692" i="15"/>
  <c r="A7693" i="15"/>
  <c r="A7694" i="15"/>
  <c r="A7695" i="15"/>
  <c r="A7696" i="15"/>
  <c r="A7697" i="15"/>
  <c r="A7698" i="15"/>
  <c r="A7699" i="15"/>
  <c r="A7700" i="15"/>
  <c r="A7701" i="15"/>
  <c r="A7702" i="15"/>
  <c r="A7703" i="15"/>
  <c r="A7704" i="15"/>
  <c r="A7705" i="15"/>
  <c r="A7706" i="15"/>
  <c r="A7707" i="15"/>
  <c r="A7708" i="15"/>
  <c r="A7709" i="15"/>
  <c r="A7710" i="15"/>
  <c r="A7711" i="15"/>
  <c r="A7712" i="15"/>
  <c r="A7713" i="15"/>
  <c r="A7714" i="15"/>
  <c r="A7715" i="15"/>
  <c r="A7716" i="15"/>
  <c r="A7717" i="15"/>
  <c r="A7718" i="15"/>
  <c r="A7719" i="15"/>
  <c r="A7720" i="15"/>
  <c r="A7721" i="15"/>
  <c r="A7722" i="15"/>
  <c r="A7723" i="15"/>
  <c r="A7724" i="15"/>
  <c r="A7725" i="15"/>
  <c r="A7726" i="15"/>
  <c r="A7727" i="15"/>
  <c r="A7728" i="15"/>
  <c r="A7729" i="15"/>
  <c r="A7730" i="15"/>
  <c r="A7731" i="15"/>
  <c r="A7732" i="15"/>
  <c r="A7733" i="15"/>
  <c r="A7734" i="15"/>
  <c r="A7735" i="15"/>
  <c r="A5090" i="15"/>
  <c r="A64" i="15"/>
  <c r="A5069" i="15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27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3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12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27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585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43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480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291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018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3997" i="15"/>
  <c r="A3996" i="15"/>
  <c r="A3995" i="15"/>
  <c r="A3994" i="15"/>
  <c r="A3993" i="15"/>
  <c r="A3992" i="15"/>
  <c r="A3991" i="15"/>
  <c r="A3990" i="15"/>
  <c r="A3989" i="15"/>
  <c r="A3988" i="15"/>
  <c r="A3987" i="15"/>
  <c r="A3986" i="15"/>
  <c r="A3985" i="15"/>
  <c r="A3984" i="15"/>
  <c r="A3983" i="15"/>
  <c r="A3982" i="15"/>
  <c r="A3981" i="15"/>
  <c r="A3980" i="15"/>
  <c r="A3979" i="15"/>
  <c r="A3978" i="15"/>
  <c r="A3977" i="15"/>
  <c r="A3976" i="15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55" i="15"/>
  <c r="A3954" i="15"/>
  <c r="A3953" i="15"/>
  <c r="A3952" i="15"/>
  <c r="A3951" i="15"/>
  <c r="A3950" i="15"/>
  <c r="A3949" i="15"/>
  <c r="A3948" i="15"/>
  <c r="A3947" i="15"/>
  <c r="A3946" i="15"/>
  <c r="A3945" i="15"/>
  <c r="A3944" i="15"/>
  <c r="A3943" i="15"/>
  <c r="A3942" i="15"/>
  <c r="A3941" i="15"/>
  <c r="A3940" i="15"/>
  <c r="A3939" i="15"/>
  <c r="A3938" i="15"/>
  <c r="A3937" i="15"/>
  <c r="A3936" i="15"/>
  <c r="A3935" i="15"/>
  <c r="A3934" i="15"/>
  <c r="A3933" i="15"/>
  <c r="A3932" i="15"/>
  <c r="A3931" i="15"/>
  <c r="A3930" i="15"/>
  <c r="A3929" i="15"/>
  <c r="A3928" i="15"/>
  <c r="A3927" i="15"/>
  <c r="A3926" i="15"/>
  <c r="A3925" i="15"/>
  <c r="A3924" i="15"/>
  <c r="A3923" i="15"/>
  <c r="A3922" i="15"/>
  <c r="A3921" i="15"/>
  <c r="A3920" i="15"/>
  <c r="A3919" i="15"/>
  <c r="A3918" i="15"/>
  <c r="A3917" i="15"/>
  <c r="A3916" i="15"/>
  <c r="A3915" i="15"/>
  <c r="A3914" i="15"/>
  <c r="A3913" i="15"/>
  <c r="A3912" i="15"/>
  <c r="A3911" i="15"/>
  <c r="A3910" i="15"/>
  <c r="A3909" i="15"/>
  <c r="A3908" i="15"/>
  <c r="A3907" i="15"/>
  <c r="A3906" i="15"/>
  <c r="A3905" i="15"/>
  <c r="A3904" i="15"/>
  <c r="A3903" i="15"/>
  <c r="A3902" i="15"/>
  <c r="A3901" i="15"/>
  <c r="A3900" i="15"/>
  <c r="A3899" i="15"/>
  <c r="A3898" i="15"/>
  <c r="A3897" i="15"/>
  <c r="A3896" i="15"/>
  <c r="A3895" i="15"/>
  <c r="A3894" i="15"/>
  <c r="A3893" i="15"/>
  <c r="A3892" i="15"/>
  <c r="A3891" i="15"/>
  <c r="A3890" i="15"/>
  <c r="A3889" i="15"/>
  <c r="A3888" i="15"/>
  <c r="A3887" i="15"/>
  <c r="A3886" i="15"/>
  <c r="A3885" i="15"/>
  <c r="A3884" i="15"/>
  <c r="A3883" i="15"/>
  <c r="A3882" i="15"/>
  <c r="A3881" i="15"/>
  <c r="A3880" i="15"/>
  <c r="A3879" i="15"/>
  <c r="A3878" i="15"/>
  <c r="A3877" i="15"/>
  <c r="A3876" i="15"/>
  <c r="A3875" i="15"/>
  <c r="A3874" i="15"/>
  <c r="A3873" i="15"/>
  <c r="A3872" i="15"/>
  <c r="A3871" i="15"/>
  <c r="A3870" i="15"/>
  <c r="A3869" i="15"/>
  <c r="A3868" i="15"/>
  <c r="A3867" i="15"/>
  <c r="A3866" i="15"/>
  <c r="A3865" i="15"/>
  <c r="A3864" i="15"/>
  <c r="A3863" i="15"/>
  <c r="A3862" i="15"/>
  <c r="A3861" i="15"/>
  <c r="A3860" i="15"/>
  <c r="A3859" i="15"/>
  <c r="A3858" i="15"/>
  <c r="A3857" i="15"/>
  <c r="A3856" i="15"/>
  <c r="A3855" i="15"/>
  <c r="A3854" i="15"/>
  <c r="A3853" i="15"/>
  <c r="A3852" i="15"/>
  <c r="A3851" i="15"/>
  <c r="A3850" i="15"/>
  <c r="A3849" i="15"/>
  <c r="A3848" i="15"/>
  <c r="A3847" i="15"/>
  <c r="A3846" i="15"/>
  <c r="A3845" i="15"/>
  <c r="A3844" i="15"/>
  <c r="A3843" i="15"/>
  <c r="A3842" i="15"/>
  <c r="A3841" i="15"/>
  <c r="A3840" i="15"/>
  <c r="A3839" i="15"/>
  <c r="A3838" i="15"/>
  <c r="A3837" i="15"/>
  <c r="A3836" i="15"/>
  <c r="A3835" i="15"/>
  <c r="A3834" i="15"/>
  <c r="A3833" i="15"/>
  <c r="A3832" i="15"/>
  <c r="A3831" i="15"/>
  <c r="A3830" i="15"/>
  <c r="A3829" i="15"/>
  <c r="A3828" i="15"/>
  <c r="A3827" i="15"/>
  <c r="A3826" i="15"/>
  <c r="A3825" i="15"/>
  <c r="A3824" i="15"/>
  <c r="A3823" i="15"/>
  <c r="A3822" i="15"/>
  <c r="A3821" i="15"/>
  <c r="A3820" i="15"/>
  <c r="A3819" i="15"/>
  <c r="A3818" i="15"/>
  <c r="A3817" i="15"/>
  <c r="A3816" i="15"/>
  <c r="A3815" i="15"/>
  <c r="A3814" i="15"/>
  <c r="A3813" i="15"/>
  <c r="A3812" i="15"/>
  <c r="A3811" i="15"/>
  <c r="A3810" i="15"/>
  <c r="A3809" i="15"/>
  <c r="A3808" i="15"/>
  <c r="A3807" i="15"/>
  <c r="A3806" i="15"/>
  <c r="A3805" i="15"/>
  <c r="A3804" i="15"/>
  <c r="A3803" i="15"/>
  <c r="A3802" i="15"/>
  <c r="A3801" i="15"/>
  <c r="A3800" i="15"/>
  <c r="A3799" i="15"/>
  <c r="A3798" i="15"/>
  <c r="A3797" i="15"/>
  <c r="A3796" i="15"/>
  <c r="A3795" i="15"/>
  <c r="A3794" i="15"/>
  <c r="A3793" i="15"/>
  <c r="A3792" i="15"/>
  <c r="A3791" i="15"/>
  <c r="A3790" i="15"/>
  <c r="A3789" i="15"/>
  <c r="A3788" i="15"/>
  <c r="A3787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66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45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24" i="15"/>
  <c r="A45" i="15"/>
  <c r="A44" i="15" s="1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B1159" i="1" s="1"/>
  <c r="A2476" i="15"/>
  <c r="A2477" i="15"/>
  <c r="A2478" i="15"/>
  <c r="A2479" i="15"/>
  <c r="A2480" i="15"/>
  <c r="A2481" i="15"/>
  <c r="A2482" i="15"/>
  <c r="A2483" i="15"/>
  <c r="AF1159" i="1" s="1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R828" i="1" l="1"/>
  <c r="W828" i="1"/>
  <c r="AG828" i="1"/>
  <c r="AD828" i="1"/>
  <c r="O828" i="1"/>
  <c r="Y828" i="1"/>
  <c r="V828" i="1"/>
  <c r="AE1159" i="1"/>
  <c r="T828" i="1"/>
  <c r="Q828" i="1"/>
  <c r="AC828" i="1"/>
  <c r="S828" i="1"/>
  <c r="AI828" i="1"/>
  <c r="AF828" i="1"/>
  <c r="U828" i="1"/>
  <c r="AC1159" i="1"/>
  <c r="R1159" i="1"/>
  <c r="AA1159" i="1"/>
  <c r="Q1159" i="1"/>
  <c r="Y1159" i="1"/>
  <c r="P1159" i="1"/>
  <c r="X1159" i="1"/>
  <c r="O1159" i="1"/>
  <c r="W1159" i="1"/>
  <c r="V1159" i="1"/>
  <c r="U1159" i="1"/>
  <c r="AD1159" i="1"/>
  <c r="S1159" i="1"/>
  <c r="AA828" i="1"/>
  <c r="X828" i="1"/>
  <c r="AB828" i="1"/>
  <c r="T1159" i="1"/>
  <c r="AH828" i="1"/>
  <c r="P828" i="1"/>
  <c r="Z1159" i="1"/>
  <c r="AI1159" i="1"/>
  <c r="Z828" i="1"/>
  <c r="AE828" i="1"/>
  <c r="AG1159" i="1"/>
  <c r="AH1159" i="1"/>
  <c r="A43" i="15"/>
  <c r="A42" i="15" l="1"/>
  <c r="A41" i="15" l="1"/>
  <c r="A40" i="15" l="1"/>
  <c r="A38" i="15" l="1"/>
  <c r="A37" i="15" l="1"/>
  <c r="A36" i="15" l="1"/>
  <c r="A35" i="15" l="1"/>
  <c r="A34" i="15" l="1"/>
  <c r="A33" i="15" l="1"/>
  <c r="A32" i="15" l="1"/>
  <c r="A31" i="15" l="1"/>
  <c r="A30" i="15" l="1"/>
  <c r="A29" i="15" l="1"/>
  <c r="A28" i="15" l="1"/>
  <c r="A27" i="15" l="1"/>
  <c r="A26" i="15" l="1"/>
  <c r="A25" i="15" l="1"/>
  <c r="A24" i="15" l="1"/>
  <c r="A23" i="15" l="1"/>
  <c r="A22" i="15" l="1"/>
  <c r="A21" i="15" l="1"/>
  <c r="A20" i="15" l="1"/>
  <c r="A19" i="15" l="1"/>
  <c r="A18" i="15" l="1"/>
  <c r="A17" i="15" l="1"/>
  <c r="A16" i="15" l="1"/>
  <c r="A15" i="15" l="1"/>
  <c r="A14" i="15" l="1"/>
  <c r="A13" i="15" l="1"/>
  <c r="A12" i="15" l="1"/>
  <c r="A11" i="15" l="1"/>
  <c r="A10" i="15" l="1"/>
  <c r="A9" i="15" l="1"/>
  <c r="A8" i="15" l="1"/>
  <c r="A7" i="15" l="1"/>
  <c r="A6" i="15" l="1"/>
  <c r="A5" i="15" l="1"/>
  <c r="A4" i="15" l="1"/>
  <c r="A3" i="15" l="1"/>
  <c r="A2" i="15" l="1"/>
  <c r="A39" i="15" l="1"/>
  <c r="AI43" i="1" l="1"/>
  <c r="AF1207" i="1"/>
  <c r="S1188" i="1"/>
  <c r="R1185" i="1"/>
  <c r="Q1182" i="1"/>
  <c r="T1189" i="1"/>
  <c r="S1186" i="1"/>
  <c r="R1183" i="1"/>
  <c r="Q1180" i="1"/>
  <c r="P1177" i="1"/>
  <c r="O1174" i="1"/>
  <c r="AI1170" i="1"/>
  <c r="AH1167" i="1"/>
  <c r="AG1164" i="1"/>
  <c r="AF1161" i="1"/>
  <c r="AE1158" i="1"/>
  <c r="P1188" i="1"/>
  <c r="O1185" i="1"/>
  <c r="AI1181" i="1"/>
  <c r="AH1178" i="1"/>
  <c r="AG1175" i="1"/>
  <c r="AF1172" i="1"/>
  <c r="AE1169" i="1"/>
  <c r="AD1166" i="1"/>
  <c r="AC1163" i="1"/>
  <c r="AB1160" i="1"/>
  <c r="AH1189" i="1"/>
  <c r="AG1186" i="1"/>
  <c r="AF1183" i="1"/>
  <c r="AE1180" i="1"/>
  <c r="P1189" i="1"/>
  <c r="O1186" i="1"/>
  <c r="AI1182" i="1"/>
  <c r="AH1206" i="1"/>
  <c r="AG1176" i="1"/>
  <c r="AF1173" i="1"/>
  <c r="AE1170" i="1"/>
  <c r="AD1167" i="1"/>
  <c r="AC1164" i="1"/>
  <c r="AB1161" i="1"/>
  <c r="W1189" i="1"/>
  <c r="V1186" i="1"/>
  <c r="U1183" i="1"/>
  <c r="T1180" i="1"/>
  <c r="S1177" i="1"/>
  <c r="R1174" i="1"/>
  <c r="Q1171" i="1"/>
  <c r="P1168" i="1"/>
  <c r="O1165" i="1"/>
  <c r="AI1161" i="1"/>
  <c r="O1207" i="1"/>
  <c r="AF1206" i="1"/>
  <c r="AD1173" i="1"/>
  <c r="AB1167" i="1"/>
  <c r="Z1161" i="1"/>
  <c r="V1157" i="1"/>
  <c r="U1154" i="1"/>
  <c r="T1151" i="1"/>
  <c r="T1148" i="1"/>
  <c r="AD1184" i="1"/>
  <c r="AD1176" i="1"/>
  <c r="AB1170" i="1"/>
  <c r="P1186" i="1"/>
  <c r="V1177" i="1"/>
  <c r="T1171" i="1"/>
  <c r="R1165" i="1"/>
  <c r="W1205" i="1"/>
  <c r="Q1156" i="1"/>
  <c r="P1153" i="1"/>
  <c r="P1150" i="1"/>
  <c r="O1147" i="1"/>
  <c r="AA1141" i="1"/>
  <c r="W1187" i="1"/>
  <c r="P1178" i="1"/>
  <c r="AI1171" i="1"/>
  <c r="AG1165" i="1"/>
  <c r="AI1205" i="1"/>
  <c r="X1156" i="1"/>
  <c r="W1153" i="1"/>
  <c r="W1150" i="1"/>
  <c r="V1147" i="1"/>
  <c r="U1144" i="1"/>
  <c r="AB1138" i="1"/>
  <c r="P1148" i="1"/>
  <c r="R1184" i="1"/>
  <c r="W1176" i="1"/>
  <c r="X1207" i="1"/>
  <c r="AF1187" i="1"/>
  <c r="AE1184" i="1"/>
  <c r="AD1181" i="1"/>
  <c r="AG1188" i="1"/>
  <c r="AF1185" i="1"/>
  <c r="AE1182" i="1"/>
  <c r="AD1206" i="1"/>
  <c r="AC1176" i="1"/>
  <c r="AB1173" i="1"/>
  <c r="AA1170" i="1"/>
  <c r="Z1167" i="1"/>
  <c r="Y1164" i="1"/>
  <c r="X1161" i="1"/>
  <c r="AC1207" i="1"/>
  <c r="AC1187" i="1"/>
  <c r="AB1184" i="1"/>
  <c r="AA1181" i="1"/>
  <c r="Z1178" i="1"/>
  <c r="Y1175" i="1"/>
  <c r="X1172" i="1"/>
  <c r="W1169" i="1"/>
  <c r="V1166" i="1"/>
  <c r="U1163" i="1"/>
  <c r="T1160" i="1"/>
  <c r="Z1189" i="1"/>
  <c r="Y1186" i="1"/>
  <c r="X1183" i="1"/>
  <c r="AI1207" i="1"/>
  <c r="AC1188" i="1"/>
  <c r="AB1185" i="1"/>
  <c r="AA1182" i="1"/>
  <c r="Z1206" i="1"/>
  <c r="Y1176" i="1"/>
  <c r="X1173" i="1"/>
  <c r="W1170" i="1"/>
  <c r="V1167" i="1"/>
  <c r="U1164" i="1"/>
  <c r="T1161" i="1"/>
  <c r="O1189" i="1"/>
  <c r="AI1185" i="1"/>
  <c r="AH1182" i="1"/>
  <c r="AG1206" i="1"/>
  <c r="AF1176" i="1"/>
  <c r="AE1173" i="1"/>
  <c r="AD1170" i="1"/>
  <c r="AC1167" i="1"/>
  <c r="AB1164" i="1"/>
  <c r="AA1161" i="1"/>
  <c r="Y1189" i="1"/>
  <c r="P1206" i="1"/>
  <c r="AI1172" i="1"/>
  <c r="AG1166" i="1"/>
  <c r="AE1160" i="1"/>
  <c r="AI1156" i="1"/>
  <c r="AH1153" i="1"/>
  <c r="AH1150" i="1"/>
  <c r="AG1147" i="1"/>
  <c r="S1183" i="1"/>
  <c r="AI1175" i="1"/>
  <c r="AG1169" i="1"/>
  <c r="Z1184" i="1"/>
  <c r="AA1176" i="1"/>
  <c r="Y1170" i="1"/>
  <c r="W1164" i="1"/>
  <c r="AG1158" i="1"/>
  <c r="AD1155" i="1"/>
  <c r="AC1152" i="1"/>
  <c r="AC1149" i="1"/>
  <c r="AB1146" i="1"/>
  <c r="AI1140" i="1"/>
  <c r="AG1185" i="1"/>
  <c r="U1177" i="1"/>
  <c r="S1171" i="1"/>
  <c r="Q1165" i="1"/>
  <c r="V1205" i="1"/>
  <c r="P1156" i="1"/>
  <c r="O1153" i="1"/>
  <c r="O1150" i="1"/>
  <c r="AI1146" i="1"/>
  <c r="U1141" i="1"/>
  <c r="T1138" i="1"/>
  <c r="AH1146" i="1"/>
  <c r="AB1182" i="1"/>
  <c r="AB1175" i="1"/>
  <c r="P1207" i="1"/>
  <c r="X1187" i="1"/>
  <c r="W1184" i="1"/>
  <c r="V1181" i="1"/>
  <c r="Y1188" i="1"/>
  <c r="X1185" i="1"/>
  <c r="W1182" i="1"/>
  <c r="V1206" i="1"/>
  <c r="U1176" i="1"/>
  <c r="T1173" i="1"/>
  <c r="S1170" i="1"/>
  <c r="R1167" i="1"/>
  <c r="Q1164" i="1"/>
  <c r="P1161" i="1"/>
  <c r="U1207" i="1"/>
  <c r="U1187" i="1"/>
  <c r="T1184" i="1"/>
  <c r="S1181" i="1"/>
  <c r="R1178" i="1"/>
  <c r="Q1175" i="1"/>
  <c r="P1172" i="1"/>
  <c r="O1169" i="1"/>
  <c r="AI1165" i="1"/>
  <c r="AH1162" i="1"/>
  <c r="AG1205" i="1"/>
  <c r="R1189" i="1"/>
  <c r="Q1186" i="1"/>
  <c r="P1183" i="1"/>
  <c r="AH1207" i="1"/>
  <c r="U1188" i="1"/>
  <c r="T1185" i="1"/>
  <c r="S1182" i="1"/>
  <c r="R1206" i="1"/>
  <c r="Q1176" i="1"/>
  <c r="P1173" i="1"/>
  <c r="O1170" i="1"/>
  <c r="AI1166" i="1"/>
  <c r="AH1163" i="1"/>
  <c r="AG1160" i="1"/>
  <c r="AB1188" i="1"/>
  <c r="AA1185" i="1"/>
  <c r="Z1182" i="1"/>
  <c r="Y1206" i="1"/>
  <c r="X1176" i="1"/>
  <c r="W1173" i="1"/>
  <c r="V1170" i="1"/>
  <c r="U1167" i="1"/>
  <c r="T1164" i="1"/>
  <c r="S1161" i="1"/>
  <c r="AI1187" i="1"/>
  <c r="U1178" i="1"/>
  <c r="S1172" i="1"/>
  <c r="Q1166" i="1"/>
  <c r="R1160" i="1"/>
  <c r="AA1156" i="1"/>
  <c r="Z1153" i="1"/>
  <c r="Z1150" i="1"/>
  <c r="Y1147" i="1"/>
  <c r="AC1181" i="1"/>
  <c r="S1175" i="1"/>
  <c r="Q1169" i="1"/>
  <c r="O1183" i="1"/>
  <c r="AF1175" i="1"/>
  <c r="AD1169" i="1"/>
  <c r="AB1163" i="1"/>
  <c r="W1158" i="1"/>
  <c r="V1155" i="1"/>
  <c r="U1152" i="1"/>
  <c r="U1149" i="1"/>
  <c r="T1146" i="1"/>
  <c r="AA1140" i="1"/>
  <c r="V1184" i="1"/>
  <c r="Z1176" i="1"/>
  <c r="X1170" i="1"/>
  <c r="V1164" i="1"/>
  <c r="AF1158" i="1"/>
  <c r="AC1155" i="1"/>
  <c r="AB1152" i="1"/>
  <c r="AB1149" i="1"/>
  <c r="AA1146" i="1"/>
  <c r="AH1140" i="1"/>
  <c r="AG1137" i="1"/>
  <c r="R1146" i="1"/>
  <c r="Q1181" i="1"/>
  <c r="AG1174" i="1"/>
  <c r="Q1190" i="1"/>
  <c r="P1187" i="1"/>
  <c r="O1184" i="1"/>
  <c r="AE1207" i="1"/>
  <c r="Q1188" i="1"/>
  <c r="P1185" i="1"/>
  <c r="O1182" i="1"/>
  <c r="AI1178" i="1"/>
  <c r="AH1175" i="1"/>
  <c r="AG1172" i="1"/>
  <c r="AF1169" i="1"/>
  <c r="AE1166" i="1"/>
  <c r="AD1163" i="1"/>
  <c r="AC1160" i="1"/>
  <c r="AI1189" i="1"/>
  <c r="AH1186" i="1"/>
  <c r="AG1183" i="1"/>
  <c r="AF1180" i="1"/>
  <c r="AE1177" i="1"/>
  <c r="AD1174" i="1"/>
  <c r="AC1171" i="1"/>
  <c r="AB1168" i="1"/>
  <c r="AA1165" i="1"/>
  <c r="Z1162" i="1"/>
  <c r="Y1205" i="1"/>
  <c r="AE1188" i="1"/>
  <c r="AD1185" i="1"/>
  <c r="AC1182" i="1"/>
  <c r="Z1207" i="1"/>
  <c r="AH1187" i="1"/>
  <c r="AG1184" i="1"/>
  <c r="AF1181" i="1"/>
  <c r="AE1178" i="1"/>
  <c r="AD1175" i="1"/>
  <c r="AC1172" i="1"/>
  <c r="AB1169" i="1"/>
  <c r="AA1166" i="1"/>
  <c r="Z1163" i="1"/>
  <c r="AG1207" i="1"/>
  <c r="T1188" i="1"/>
  <c r="S1185" i="1"/>
  <c r="R1182" i="1"/>
  <c r="Q1206" i="1"/>
  <c r="P1176" i="1"/>
  <c r="O1173" i="1"/>
  <c r="AI1169" i="1"/>
  <c r="AH1166" i="1"/>
  <c r="AG1163" i="1"/>
  <c r="AF1160" i="1"/>
  <c r="X1186" i="1"/>
  <c r="Z1177" i="1"/>
  <c r="X1171" i="1"/>
  <c r="V1165" i="1"/>
  <c r="AA1205" i="1"/>
  <c r="S1156" i="1"/>
  <c r="R1153" i="1"/>
  <c r="R1150" i="1"/>
  <c r="Q1147" i="1"/>
  <c r="Z1180" i="1"/>
  <c r="X1174" i="1"/>
  <c r="V1168" i="1"/>
  <c r="Y1181" i="1"/>
  <c r="P1175" i="1"/>
  <c r="AI1168" i="1"/>
  <c r="AG1162" i="1"/>
  <c r="O1158" i="1"/>
  <c r="AI1154" i="1"/>
  <c r="AH1151" i="1"/>
  <c r="AH1148" i="1"/>
  <c r="AG1145" i="1"/>
  <c r="S1140" i="1"/>
  <c r="AF1182" i="1"/>
  <c r="AE1175" i="1"/>
  <c r="AC1169" i="1"/>
  <c r="AA1163" i="1"/>
  <c r="V1158" i="1"/>
  <c r="U1155" i="1"/>
  <c r="T1152" i="1"/>
  <c r="T1149" i="1"/>
  <c r="S1146" i="1"/>
  <c r="Z1140" i="1"/>
  <c r="Y1137" i="1"/>
  <c r="W1145" i="1"/>
  <c r="S1180" i="1"/>
  <c r="Q1174" i="1"/>
  <c r="AD1189" i="1"/>
  <c r="AC1186" i="1"/>
  <c r="AB1183" i="1"/>
  <c r="AD1207" i="1"/>
  <c r="AD1187" i="1"/>
  <c r="AC1184" i="1"/>
  <c r="AB1181" i="1"/>
  <c r="AA1178" i="1"/>
  <c r="Z1175" i="1"/>
  <c r="Y1172" i="1"/>
  <c r="X1169" i="1"/>
  <c r="W1166" i="1"/>
  <c r="V1163" i="1"/>
  <c r="U1160" i="1"/>
  <c r="AA1189" i="1"/>
  <c r="Z1186" i="1"/>
  <c r="Y1183" i="1"/>
  <c r="X1180" i="1"/>
  <c r="W1177" i="1"/>
  <c r="V1174" i="1"/>
  <c r="U1171" i="1"/>
  <c r="T1168" i="1"/>
  <c r="S1165" i="1"/>
  <c r="R1162" i="1"/>
  <c r="Q1205" i="1"/>
  <c r="W1188" i="1"/>
  <c r="V1185" i="1"/>
  <c r="U1182" i="1"/>
  <c r="R1207" i="1"/>
  <c r="Z1187" i="1"/>
  <c r="Y1184" i="1"/>
  <c r="X1181" i="1"/>
  <c r="W1178" i="1"/>
  <c r="V1175" i="1"/>
  <c r="U1172" i="1"/>
  <c r="T1169" i="1"/>
  <c r="S1166" i="1"/>
  <c r="R1163" i="1"/>
  <c r="Y1207" i="1"/>
  <c r="AG1187" i="1"/>
  <c r="AF1184" i="1"/>
  <c r="AE1181" i="1"/>
  <c r="AD1178" i="1"/>
  <c r="AC1175" i="1"/>
  <c r="AB1172" i="1"/>
  <c r="AA1169" i="1"/>
  <c r="Z1166" i="1"/>
  <c r="Y1163" i="1"/>
  <c r="X1160" i="1"/>
  <c r="AH1184" i="1"/>
  <c r="AE1176" i="1"/>
  <c r="AC1170" i="1"/>
  <c r="AA1164" i="1"/>
  <c r="AI1158" i="1"/>
  <c r="AF1155" i="1"/>
  <c r="AE1152" i="1"/>
  <c r="AE1149" i="1"/>
  <c r="AD1146" i="1"/>
  <c r="AE1206" i="1"/>
  <c r="AC1173" i="1"/>
  <c r="AA1167" i="1"/>
  <c r="W1180" i="1"/>
  <c r="U1174" i="1"/>
  <c r="S1168" i="1"/>
  <c r="Q1162" i="1"/>
  <c r="AB1157" i="1"/>
  <c r="AA1154" i="1"/>
  <c r="Z1151" i="1"/>
  <c r="Z1148" i="1"/>
  <c r="Y1145" i="1"/>
  <c r="AF1139" i="1"/>
  <c r="U1181" i="1"/>
  <c r="O1175" i="1"/>
  <c r="AH1168" i="1"/>
  <c r="AF1162" i="1"/>
  <c r="AI1157" i="1"/>
  <c r="AH1154" i="1"/>
  <c r="AG1151" i="1"/>
  <c r="AG1148" i="1"/>
  <c r="AF1145" i="1"/>
  <c r="R1140" i="1"/>
  <c r="Q1137" i="1"/>
  <c r="X1190" i="1"/>
  <c r="X1206" i="1"/>
  <c r="V1173" i="1"/>
  <c r="V1189" i="1"/>
  <c r="U1186" i="1"/>
  <c r="T1183" i="1"/>
  <c r="V1207" i="1"/>
  <c r="V1187" i="1"/>
  <c r="U1184" i="1"/>
  <c r="T1181" i="1"/>
  <c r="S1178" i="1"/>
  <c r="R1175" i="1"/>
  <c r="Q1172" i="1"/>
  <c r="P1169" i="1"/>
  <c r="O1166" i="1"/>
  <c r="AI1162" i="1"/>
  <c r="AH1205" i="1"/>
  <c r="S1189" i="1"/>
  <c r="R1186" i="1"/>
  <c r="Q1183" i="1"/>
  <c r="P1180" i="1"/>
  <c r="O1177" i="1"/>
  <c r="AI1173" i="1"/>
  <c r="AH1170" i="1"/>
  <c r="AG1167" i="1"/>
  <c r="AF1164" i="1"/>
  <c r="AE1161" i="1"/>
  <c r="AD1158" i="1"/>
  <c r="O1188" i="1"/>
  <c r="AI1184" i="1"/>
  <c r="AH1181" i="1"/>
  <c r="S1190" i="1"/>
  <c r="R1187" i="1"/>
  <c r="Q1184" i="1"/>
  <c r="P1181" i="1"/>
  <c r="O1178" i="1"/>
  <c r="AI1174" i="1"/>
  <c r="AH1171" i="1"/>
  <c r="AG1168" i="1"/>
  <c r="AF1165" i="1"/>
  <c r="AE1162" i="1"/>
  <c r="Q1207" i="1"/>
  <c r="Y1187" i="1"/>
  <c r="X1184" i="1"/>
  <c r="W1181" i="1"/>
  <c r="V1178" i="1"/>
  <c r="U1175" i="1"/>
  <c r="T1172" i="1"/>
  <c r="S1169" i="1"/>
  <c r="R1166" i="1"/>
  <c r="Q1163" i="1"/>
  <c r="P1160" i="1"/>
  <c r="W1183" i="1"/>
  <c r="O1176" i="1"/>
  <c r="AH1169" i="1"/>
  <c r="AF1163" i="1"/>
  <c r="Y1158" i="1"/>
  <c r="X1155" i="1"/>
  <c r="W1152" i="1"/>
  <c r="W1149" i="1"/>
  <c r="U1189" i="1"/>
  <c r="O1206" i="1"/>
  <c r="AH1172" i="1"/>
  <c r="AF1166" i="1"/>
  <c r="AB1206" i="1"/>
  <c r="Z1173" i="1"/>
  <c r="X1167" i="1"/>
  <c r="V1161" i="1"/>
  <c r="T1157" i="1"/>
  <c r="S1154" i="1"/>
  <c r="R1151" i="1"/>
  <c r="R1148" i="1"/>
  <c r="Q1145" i="1"/>
  <c r="X1139" i="1"/>
  <c r="V1180" i="1"/>
  <c r="T1174" i="1"/>
  <c r="R1168" i="1"/>
  <c r="P1162" i="1"/>
  <c r="AA1157" i="1"/>
  <c r="Z1154" i="1"/>
  <c r="Y1151" i="1"/>
  <c r="Y1148" i="1"/>
  <c r="X1145" i="1"/>
  <c r="AE1139" i="1"/>
  <c r="X1151" i="1"/>
  <c r="AD1188" i="1"/>
  <c r="AC1178" i="1"/>
  <c r="AA1172" i="1"/>
  <c r="AI1188" i="1"/>
  <c r="AH1185" i="1"/>
  <c r="AG1182" i="1"/>
  <c r="O1190" i="1"/>
  <c r="AI1186" i="1"/>
  <c r="AH1183" i="1"/>
  <c r="AG1180" i="1"/>
  <c r="AF1177" i="1"/>
  <c r="AE1174" i="1"/>
  <c r="AD1171" i="1"/>
  <c r="AC1168" i="1"/>
  <c r="AB1165" i="1"/>
  <c r="AA1162" i="1"/>
  <c r="Z1205" i="1"/>
  <c r="AF1188" i="1"/>
  <c r="AE1185" i="1"/>
  <c r="AD1182" i="1"/>
  <c r="AC1206" i="1"/>
  <c r="AB1176" i="1"/>
  <c r="AA1173" i="1"/>
  <c r="Z1170" i="1"/>
  <c r="Y1167" i="1"/>
  <c r="X1164" i="1"/>
  <c r="W1161" i="1"/>
  <c r="AB1207" i="1"/>
  <c r="AB1187" i="1"/>
  <c r="AA1184" i="1"/>
  <c r="Z1181" i="1"/>
  <c r="AF1189" i="1"/>
  <c r="AE1186" i="1"/>
  <c r="AD1183" i="1"/>
  <c r="AC1180" i="1"/>
  <c r="AB1177" i="1"/>
  <c r="AA1174" i="1"/>
  <c r="Z1171" i="1"/>
  <c r="Y1168" i="1"/>
  <c r="X1165" i="1"/>
  <c r="W1162" i="1"/>
  <c r="R1190" i="1"/>
  <c r="Q1187" i="1"/>
  <c r="P1184" i="1"/>
  <c r="O1181" i="1"/>
  <c r="AI1177" i="1"/>
  <c r="AH1174" i="1"/>
  <c r="AG1171" i="1"/>
  <c r="AF1168" i="1"/>
  <c r="AE1165" i="1"/>
  <c r="AD1162" i="1"/>
  <c r="AC1205" i="1"/>
  <c r="AG1181" i="1"/>
  <c r="T1175" i="1"/>
  <c r="R1169" i="1"/>
  <c r="P1163" i="1"/>
  <c r="Q1158" i="1"/>
  <c r="P1155" i="1"/>
  <c r="O1152" i="1"/>
  <c r="O1149" i="1"/>
  <c r="AE1187" i="1"/>
  <c r="T1178" i="1"/>
  <c r="R1172" i="1"/>
  <c r="Q1189" i="1"/>
  <c r="AG1178" i="1"/>
  <c r="AE1172" i="1"/>
  <c r="AC1166" i="1"/>
  <c r="AA1160" i="1"/>
  <c r="AG1156" i="1"/>
  <c r="AF1153" i="1"/>
  <c r="AF1150" i="1"/>
  <c r="AE1147" i="1"/>
  <c r="AD1144" i="1"/>
  <c r="P1139" i="1"/>
  <c r="AA1206" i="1"/>
  <c r="Y1173" i="1"/>
  <c r="W1167" i="1"/>
  <c r="U1161" i="1"/>
  <c r="S1157" i="1"/>
  <c r="R1154" i="1"/>
  <c r="Q1151" i="1"/>
  <c r="Q1148" i="1"/>
  <c r="P1145" i="1"/>
  <c r="W1139" i="1"/>
  <c r="AI1149" i="1"/>
  <c r="S1187" i="1"/>
  <c r="AH1177" i="1"/>
  <c r="AF1171" i="1"/>
  <c r="AA1188" i="1"/>
  <c r="Z1185" i="1"/>
  <c r="Y1182" i="1"/>
  <c r="AB1189" i="1"/>
  <c r="AA1186" i="1"/>
  <c r="Z1183" i="1"/>
  <c r="Y1180" i="1"/>
  <c r="X1177" i="1"/>
  <c r="W1174" i="1"/>
  <c r="V1171" i="1"/>
  <c r="U1168" i="1"/>
  <c r="T1165" i="1"/>
  <c r="S1162" i="1"/>
  <c r="R1205" i="1"/>
  <c r="X1188" i="1"/>
  <c r="W1185" i="1"/>
  <c r="V1182" i="1"/>
  <c r="U1206" i="1"/>
  <c r="T1176" i="1"/>
  <c r="S1173" i="1"/>
  <c r="R1170" i="1"/>
  <c r="Q1167" i="1"/>
  <c r="P1164" i="1"/>
  <c r="O1161" i="1"/>
  <c r="T1207" i="1"/>
  <c r="T1187" i="1"/>
  <c r="S1184" i="1"/>
  <c r="R1181" i="1"/>
  <c r="X1189" i="1"/>
  <c r="W1186" i="1"/>
  <c r="V1183" i="1"/>
  <c r="U1180" i="1"/>
  <c r="T1177" i="1"/>
  <c r="S1174" i="1"/>
  <c r="R1171" i="1"/>
  <c r="Q1168" i="1"/>
  <c r="P1165" i="1"/>
  <c r="O1162" i="1"/>
  <c r="AE1189" i="1"/>
  <c r="AD1186" i="1"/>
  <c r="AC1183" i="1"/>
  <c r="AB1180" i="1"/>
  <c r="AA1177" i="1"/>
  <c r="Z1174" i="1"/>
  <c r="Y1171" i="1"/>
  <c r="X1168" i="1"/>
  <c r="W1165" i="1"/>
  <c r="V1162" i="1"/>
  <c r="U1205" i="1"/>
  <c r="AA1180" i="1"/>
  <c r="Y1174" i="1"/>
  <c r="W1168" i="1"/>
  <c r="U1162" i="1"/>
  <c r="AD1157" i="1"/>
  <c r="AC1154" i="1"/>
  <c r="AB1151" i="1"/>
  <c r="AB1148" i="1"/>
  <c r="T1186" i="1"/>
  <c r="Y1177" i="1"/>
  <c r="W1171" i="1"/>
  <c r="AA1187" i="1"/>
  <c r="Q1178" i="1"/>
  <c r="O1172" i="1"/>
  <c r="AH1165" i="1"/>
  <c r="O1160" i="1"/>
  <c r="Y1156" i="1"/>
  <c r="X1153" i="1"/>
  <c r="X1150" i="1"/>
  <c r="W1147" i="1"/>
  <c r="V1144" i="1"/>
  <c r="AH1188" i="1"/>
  <c r="AF1178" i="1"/>
  <c r="AD1172" i="1"/>
  <c r="AB1166" i="1"/>
  <c r="Z1160" i="1"/>
  <c r="AF1156" i="1"/>
  <c r="AE1153" i="1"/>
  <c r="AE1150" i="1"/>
  <c r="AD1147" i="1"/>
  <c r="AC1144" i="1"/>
  <c r="O1139" i="1"/>
  <c r="AF1148" i="1"/>
  <c r="AC1185" i="1"/>
  <c r="R1177" i="1"/>
  <c r="P1171" i="1"/>
  <c r="U1170" i="1"/>
  <c r="S1164" i="1"/>
  <c r="AC1158" i="1"/>
  <c r="AB1155" i="1"/>
  <c r="AA1152" i="1"/>
  <c r="X1148" i="1"/>
  <c r="Z1188" i="1"/>
  <c r="AH1180" i="1"/>
  <c r="AC1174" i="1"/>
  <c r="AA1168" i="1"/>
  <c r="Y1162" i="1"/>
  <c r="AF1157" i="1"/>
  <c r="AE1154" i="1"/>
  <c r="AD1151" i="1"/>
  <c r="V1148" i="1"/>
  <c r="U1145" i="1"/>
  <c r="O1140" i="1"/>
  <c r="AB1186" i="1"/>
  <c r="AC1177" i="1"/>
  <c r="AA1171" i="1"/>
  <c r="Y1165" i="1"/>
  <c r="AB1205" i="1"/>
  <c r="T1156" i="1"/>
  <c r="S1153" i="1"/>
  <c r="S1150" i="1"/>
  <c r="R1147" i="1"/>
  <c r="Q1144" i="1"/>
  <c r="AF1138" i="1"/>
  <c r="S1145" i="1"/>
  <c r="Y1185" i="1"/>
  <c r="AF1154" i="1"/>
  <c r="Y1143" i="1"/>
  <c r="AH1138" i="1"/>
  <c r="S1144" i="1"/>
  <c r="AI1151" i="1"/>
  <c r="X1205" i="1"/>
  <c r="T1147" i="1"/>
  <c r="AG1146" i="1"/>
  <c r="W1138" i="1"/>
  <c r="AI1155" i="1"/>
  <c r="T1144" i="1"/>
  <c r="AI1180" i="1"/>
  <c r="AB1137" i="1"/>
  <c r="R1180" i="1"/>
  <c r="P1154" i="1"/>
  <c r="O1141" i="1"/>
  <c r="AB1178" i="1"/>
  <c r="X1137" i="1"/>
  <c r="AE1163" i="1"/>
  <c r="O1148" i="1"/>
  <c r="O1137" i="1"/>
  <c r="Y1153" i="1"/>
  <c r="AB1198" i="1"/>
  <c r="AI1194" i="1"/>
  <c r="AI1193" i="1"/>
  <c r="AC1143" i="1"/>
  <c r="W1191" i="1"/>
  <c r="V1195" i="1"/>
  <c r="V1194" i="1"/>
  <c r="X1141" i="1"/>
  <c r="AH1192" i="1"/>
  <c r="AD1195" i="1"/>
  <c r="AD1194" i="1"/>
  <c r="AF1141" i="1"/>
  <c r="AI1195" i="1"/>
  <c r="Q1196" i="1"/>
  <c r="Q1195" i="1"/>
  <c r="S1142" i="1"/>
  <c r="O1199" i="1"/>
  <c r="Y1196" i="1"/>
  <c r="Y1195" i="1"/>
  <c r="AA1142" i="1"/>
  <c r="X1191" i="1"/>
  <c r="AG1196" i="1"/>
  <c r="AG1195" i="1"/>
  <c r="AI1142" i="1"/>
  <c r="AA1192" i="1"/>
  <c r="AI1191" i="1"/>
  <c r="U1199" i="1"/>
  <c r="AE1143" i="1"/>
  <c r="O1196" i="1"/>
  <c r="W1195" i="1"/>
  <c r="W1194" i="1"/>
  <c r="Z1169" i="1"/>
  <c r="X1163" i="1"/>
  <c r="U1158" i="1"/>
  <c r="T1155" i="1"/>
  <c r="S1152" i="1"/>
  <c r="AC1147" i="1"/>
  <c r="W1207" i="1"/>
  <c r="O1180" i="1"/>
  <c r="AH1173" i="1"/>
  <c r="AF1167" i="1"/>
  <c r="AD1161" i="1"/>
  <c r="X1157" i="1"/>
  <c r="W1154" i="1"/>
  <c r="V1151" i="1"/>
  <c r="AI1147" i="1"/>
  <c r="AH1144" i="1"/>
  <c r="AB1139" i="1"/>
  <c r="Q1185" i="1"/>
  <c r="AH1176" i="1"/>
  <c r="AF1170" i="1"/>
  <c r="AD1164" i="1"/>
  <c r="O1205" i="1"/>
  <c r="AG1155" i="1"/>
  <c r="AF1152" i="1"/>
  <c r="AF1149" i="1"/>
  <c r="AE1146" i="1"/>
  <c r="AD1142" i="1"/>
  <c r="X1138" i="1"/>
  <c r="AF1144" i="1"/>
  <c r="Q1177" i="1"/>
  <c r="U1153" i="1"/>
  <c r="Y1140" i="1"/>
  <c r="AE1137" i="1"/>
  <c r="Y1139" i="1"/>
  <c r="AG1143" i="1"/>
  <c r="AC1157" i="1"/>
  <c r="AD1145" i="1"/>
  <c r="S1141" i="1"/>
  <c r="X1182" i="1"/>
  <c r="X1154" i="1"/>
  <c r="T1141" i="1"/>
  <c r="Z1164" i="1"/>
  <c r="AF1147" i="1"/>
  <c r="P1174" i="1"/>
  <c r="Z1152" i="1"/>
  <c r="Q1140" i="1"/>
  <c r="X1166" i="1"/>
  <c r="O1187" i="1"/>
  <c r="AD1160" i="1"/>
  <c r="Y1146" i="1"/>
  <c r="Z1172" i="1"/>
  <c r="AB1144" i="1"/>
  <c r="W1199" i="1"/>
  <c r="O1198" i="1"/>
  <c r="O1197" i="1"/>
  <c r="Y1141" i="1"/>
  <c r="Y1191" i="1"/>
  <c r="W1198" i="1"/>
  <c r="W1197" i="1"/>
  <c r="AG1141" i="1"/>
  <c r="AC1193" i="1"/>
  <c r="AE1198" i="1"/>
  <c r="AE1197" i="1"/>
  <c r="T1142" i="1"/>
  <c r="AD1196" i="1"/>
  <c r="R1199" i="1"/>
  <c r="R1198" i="1"/>
  <c r="AB1142" i="1"/>
  <c r="AF1191" i="1"/>
  <c r="Z1199" i="1"/>
  <c r="Z1198" i="1"/>
  <c r="O1143" i="1"/>
  <c r="S1192" i="1"/>
  <c r="AH1199" i="1"/>
  <c r="AH1198" i="1"/>
  <c r="W1143" i="1"/>
  <c r="AB1195" i="1"/>
  <c r="O1195" i="1"/>
  <c r="O1194" i="1"/>
  <c r="Z1190" i="1"/>
  <c r="P1199" i="1"/>
  <c r="X1198" i="1"/>
  <c r="X1197" i="1"/>
  <c r="AE1168" i="1"/>
  <c r="AC1162" i="1"/>
  <c r="AH1157" i="1"/>
  <c r="AG1154" i="1"/>
  <c r="AF1151" i="1"/>
  <c r="U1147" i="1"/>
  <c r="AG1189" i="1"/>
  <c r="T1206" i="1"/>
  <c r="R1173" i="1"/>
  <c r="P1167" i="1"/>
  <c r="AI1160" i="1"/>
  <c r="P1157" i="1"/>
  <c r="O1154" i="1"/>
  <c r="AB1150" i="1"/>
  <c r="AA1147" i="1"/>
  <c r="Z1144" i="1"/>
  <c r="T1139" i="1"/>
  <c r="AA1183" i="1"/>
  <c r="R1176" i="1"/>
  <c r="P1170" i="1"/>
  <c r="AI1163" i="1"/>
  <c r="Z1158" i="1"/>
  <c r="Y1155" i="1"/>
  <c r="X1152" i="1"/>
  <c r="X1149" i="1"/>
  <c r="W1146" i="1"/>
  <c r="Q1141" i="1"/>
  <c r="P1138" i="1"/>
  <c r="X1144" i="1"/>
  <c r="O1171" i="1"/>
  <c r="AE1151" i="1"/>
  <c r="AD1139" i="1"/>
  <c r="AF1174" i="1"/>
  <c r="AD1138" i="1"/>
  <c r="Q1139" i="1"/>
  <c r="R1156" i="1"/>
  <c r="W1144" i="1"/>
  <c r="R1138" i="1"/>
  <c r="AA1175" i="1"/>
  <c r="AH1152" i="1"/>
  <c r="U1140" i="1"/>
  <c r="U1157" i="1"/>
  <c r="R1139" i="1"/>
  <c r="AI1167" i="1"/>
  <c r="O1151" i="1"/>
  <c r="V1139" i="1"/>
  <c r="W1160" i="1"/>
  <c r="P1158" i="1"/>
  <c r="X1158" i="1"/>
  <c r="AI1144" i="1"/>
  <c r="W1163" i="1"/>
  <c r="AH1137" i="1"/>
  <c r="V1193" i="1"/>
  <c r="AD1192" i="1"/>
  <c r="AD1191" i="1"/>
  <c r="AH1141" i="1"/>
  <c r="AD1193" i="1"/>
  <c r="Q1193" i="1"/>
  <c r="Q1192" i="1"/>
  <c r="U1142" i="1"/>
  <c r="Q1194" i="1"/>
  <c r="Y1193" i="1"/>
  <c r="Y1192" i="1"/>
  <c r="AC1142" i="1"/>
  <c r="Y1194" i="1"/>
  <c r="AG1193" i="1"/>
  <c r="AG1192" i="1"/>
  <c r="P1143" i="1"/>
  <c r="AG1194" i="1"/>
  <c r="T1194" i="1"/>
  <c r="T1193" i="1"/>
  <c r="X1143" i="1"/>
  <c r="T1195" i="1"/>
  <c r="AB1194" i="1"/>
  <c r="AB1193" i="1"/>
  <c r="Y1190" i="1"/>
  <c r="AC1198" i="1"/>
  <c r="P1198" i="1"/>
  <c r="P1197" i="1"/>
  <c r="O1191" i="1"/>
  <c r="AE1193" i="1"/>
  <c r="AE1192" i="1"/>
  <c r="W1142" i="1"/>
  <c r="O1168" i="1"/>
  <c r="AH1161" i="1"/>
  <c r="Z1157" i="1"/>
  <c r="Y1154" i="1"/>
  <c r="P1151" i="1"/>
  <c r="Z1146" i="1"/>
  <c r="V1188" i="1"/>
  <c r="Y1178" i="1"/>
  <c r="W1172" i="1"/>
  <c r="U1166" i="1"/>
  <c r="V1160" i="1"/>
  <c r="AC1156" i="1"/>
  <c r="AB1153" i="1"/>
  <c r="T1150" i="1"/>
  <c r="S1147" i="1"/>
  <c r="R1144" i="1"/>
  <c r="AG1138" i="1"/>
  <c r="P1182" i="1"/>
  <c r="W1175" i="1"/>
  <c r="U1169" i="1"/>
  <c r="S1163" i="1"/>
  <c r="R1158" i="1"/>
  <c r="Q1155" i="1"/>
  <c r="P1152" i="1"/>
  <c r="P1149" i="1"/>
  <c r="O1146" i="1"/>
  <c r="AD1140" i="1"/>
  <c r="AC1137" i="1"/>
  <c r="P1144" i="1"/>
  <c r="AC1165" i="1"/>
  <c r="Y1150" i="1"/>
  <c r="AI1138" i="1"/>
  <c r="Y1161" i="1"/>
  <c r="R1137" i="1"/>
  <c r="AI1183" i="1"/>
  <c r="AB1154" i="1"/>
  <c r="AI1141" i="1"/>
  <c r="U1146" i="1"/>
  <c r="Y1169" i="1"/>
  <c r="W1151" i="1"/>
  <c r="Z1139" i="1"/>
  <c r="T1154" i="1"/>
  <c r="AG1177" i="1"/>
  <c r="R1164" i="1"/>
  <c r="AD1149" i="1"/>
  <c r="AC1138" i="1"/>
  <c r="AD1156" i="1"/>
  <c r="Q1146" i="1"/>
  <c r="AH1156" i="1"/>
  <c r="AG1140" i="1"/>
  <c r="T1158" i="1"/>
  <c r="AF1143" i="1"/>
  <c r="W1196" i="1"/>
  <c r="AE1195" i="1"/>
  <c r="AE1194" i="1"/>
  <c r="AC1190" i="1"/>
  <c r="AE1196" i="1"/>
  <c r="R1196" i="1"/>
  <c r="R1195" i="1"/>
  <c r="V1190" i="1"/>
  <c r="R1197" i="1"/>
  <c r="Z1196" i="1"/>
  <c r="Z1195" i="1"/>
  <c r="AE1190" i="1"/>
  <c r="Z1197" i="1"/>
  <c r="AH1196" i="1"/>
  <c r="AH1195" i="1"/>
  <c r="W1190" i="1"/>
  <c r="AH1197" i="1"/>
  <c r="U1197" i="1"/>
  <c r="U1196" i="1"/>
  <c r="AG1190" i="1"/>
  <c r="U1198" i="1"/>
  <c r="AC1197" i="1"/>
  <c r="AC1196" i="1"/>
  <c r="AI1190" i="1"/>
  <c r="W1193" i="1"/>
  <c r="W1192" i="1"/>
  <c r="O1142" i="1"/>
  <c r="U1191" i="1"/>
  <c r="AF1196" i="1"/>
  <c r="AF1195" i="1"/>
  <c r="AF1142" i="1"/>
  <c r="T1167" i="1"/>
  <c r="R1161" i="1"/>
  <c r="R1157" i="1"/>
  <c r="Q1154" i="1"/>
  <c r="AD1150" i="1"/>
  <c r="AE1145" i="1"/>
  <c r="AF1186" i="1"/>
  <c r="AD1177" i="1"/>
  <c r="AB1171" i="1"/>
  <c r="Z1165" i="1"/>
  <c r="AD1205" i="1"/>
  <c r="U1156" i="1"/>
  <c r="T1153" i="1"/>
  <c r="AG1149" i="1"/>
  <c r="AF1146" i="1"/>
  <c r="Q1143" i="1"/>
  <c r="Y1138" i="1"/>
  <c r="AD1180" i="1"/>
  <c r="AB1174" i="1"/>
  <c r="Z1168" i="1"/>
  <c r="X1162" i="1"/>
  <c r="AE1157" i="1"/>
  <c r="AD1154" i="1"/>
  <c r="AC1151" i="1"/>
  <c r="AC1148" i="1"/>
  <c r="AB1145" i="1"/>
  <c r="V1140" i="1"/>
  <c r="U1137" i="1"/>
  <c r="V1142" i="1"/>
  <c r="AB1162" i="1"/>
  <c r="AI1148" i="1"/>
  <c r="V1138" i="1"/>
  <c r="AH1158" i="1"/>
  <c r="AE1144" i="1"/>
  <c r="V1176" i="1"/>
  <c r="Q1153" i="1"/>
  <c r="AC1139" i="1"/>
  <c r="AI1137" i="1"/>
  <c r="AH1164" i="1"/>
  <c r="Q1150" i="1"/>
  <c r="AE1138" i="1"/>
  <c r="AD1152" i="1"/>
  <c r="Z1156" i="1"/>
  <c r="Q1161" i="1"/>
  <c r="S1148" i="1"/>
  <c r="Q1138" i="1"/>
  <c r="S1155" i="1"/>
  <c r="AG1139" i="1"/>
  <c r="W1155" i="1"/>
  <c r="P1140" i="1"/>
  <c r="AC1153" i="1"/>
  <c r="AA1190" i="1"/>
  <c r="X1199" i="1"/>
  <c r="AF1198" i="1"/>
  <c r="AF1197" i="1"/>
  <c r="AF1190" i="1"/>
  <c r="AF1199" i="1"/>
  <c r="S1199" i="1"/>
  <c r="S1198" i="1"/>
  <c r="T1190" i="1"/>
  <c r="AG1191" i="1"/>
  <c r="AA1199" i="1"/>
  <c r="AA1198" i="1"/>
  <c r="AB1190" i="1"/>
  <c r="T1192" i="1"/>
  <c r="AI1199" i="1"/>
  <c r="AI1198" i="1"/>
  <c r="U1190" i="1"/>
  <c r="AB1192" i="1"/>
  <c r="AB1191" i="1"/>
  <c r="V1199" i="1"/>
  <c r="AH1190" i="1"/>
  <c r="O1193" i="1"/>
  <c r="O1192" i="1"/>
  <c r="AB1141" i="1"/>
  <c r="R1191" i="1"/>
  <c r="X1196" i="1"/>
  <c r="X1195" i="1"/>
  <c r="X1142" i="1"/>
  <c r="AF1194" i="1"/>
  <c r="AG1199" i="1"/>
  <c r="AG1198" i="1"/>
  <c r="AG1142" i="1"/>
  <c r="Y1166" i="1"/>
  <c r="Y1160" i="1"/>
  <c r="AE1156" i="1"/>
  <c r="AD1153" i="1"/>
  <c r="V1150" i="1"/>
  <c r="O1145" i="1"/>
  <c r="U1185" i="1"/>
  <c r="AI1176" i="1"/>
  <c r="AG1170" i="1"/>
  <c r="AE1164" i="1"/>
  <c r="P1205" i="1"/>
  <c r="AH1155" i="1"/>
  <c r="AG1152" i="1"/>
  <c r="Y1149" i="1"/>
  <c r="X1146" i="1"/>
  <c r="R1141" i="1"/>
  <c r="S1207" i="1"/>
  <c r="AI1206" i="1"/>
  <c r="AG1173" i="1"/>
  <c r="AE1167" i="1"/>
  <c r="AC1161" i="1"/>
  <c r="W1157" i="1"/>
  <c r="V1154" i="1"/>
  <c r="U1151" i="1"/>
  <c r="U1148" i="1"/>
  <c r="T1145" i="1"/>
  <c r="AI1139" i="1"/>
  <c r="V1146" i="1"/>
  <c r="P1141" i="1"/>
  <c r="AE1205" i="1"/>
  <c r="X1147" i="1"/>
  <c r="AF1137" i="1"/>
  <c r="AE1155" i="1"/>
  <c r="Z1138" i="1"/>
  <c r="T1170" i="1"/>
  <c r="AA1151" i="1"/>
  <c r="U1138" i="1"/>
  <c r="O1163" i="1"/>
  <c r="AG1161" i="1"/>
  <c r="AA1148" i="1"/>
  <c r="S1138" i="1"/>
  <c r="AH1149" i="1"/>
  <c r="AB1147" i="1"/>
  <c r="AB1158" i="1"/>
  <c r="AC1146" i="1"/>
  <c r="AA1137" i="1"/>
  <c r="R1152" i="1"/>
  <c r="W1206" i="1"/>
  <c r="AG1153" i="1"/>
  <c r="U1139" i="1"/>
  <c r="V1149" i="1"/>
  <c r="P1191" i="1"/>
  <c r="R1194" i="1"/>
  <c r="R1193" i="1"/>
  <c r="AE1142" i="1"/>
  <c r="AD1190" i="1"/>
  <c r="Z1194" i="1"/>
  <c r="Z1193" i="1"/>
  <c r="R1143" i="1"/>
  <c r="P1194" i="1"/>
  <c r="AH1194" i="1"/>
  <c r="AH1193" i="1"/>
  <c r="Z1143" i="1"/>
  <c r="Q1197" i="1"/>
  <c r="U1195" i="1"/>
  <c r="U1194" i="1"/>
  <c r="AH1143" i="1"/>
  <c r="AE1199" i="1"/>
  <c r="AC1195" i="1"/>
  <c r="AC1194" i="1"/>
  <c r="AC1141" i="1"/>
  <c r="Q1191" i="1"/>
  <c r="P1196" i="1"/>
  <c r="P1195" i="1"/>
  <c r="P1142" i="1"/>
  <c r="AE1191" i="1"/>
  <c r="Y1199" i="1"/>
  <c r="Y1198" i="1"/>
  <c r="Y1142" i="1"/>
  <c r="AA1195" i="1"/>
  <c r="AA1194" i="1"/>
  <c r="AA1193" i="1"/>
  <c r="U1143" i="1"/>
  <c r="AD1165" i="1"/>
  <c r="AF1205" i="1"/>
  <c r="W1156" i="1"/>
  <c r="V1153" i="1"/>
  <c r="AA1149" i="1"/>
  <c r="AA1207" i="1"/>
  <c r="AE1183" i="1"/>
  <c r="S1176" i="1"/>
  <c r="Q1170" i="1"/>
  <c r="O1164" i="1"/>
  <c r="AA1158" i="1"/>
  <c r="Z1155" i="1"/>
  <c r="Y1152" i="1"/>
  <c r="Q1149" i="1"/>
  <c r="P1146" i="1"/>
  <c r="AE1140" i="1"/>
  <c r="AC1189" i="1"/>
  <c r="S1206" i="1"/>
  <c r="Q1173" i="1"/>
  <c r="O1167" i="1"/>
  <c r="AH1160" i="1"/>
  <c r="O1157" i="1"/>
  <c r="AI1153" i="1"/>
  <c r="AI1150" i="1"/>
  <c r="AH1147" i="1"/>
  <c r="AG1144" i="1"/>
  <c r="AA1139" i="1"/>
  <c r="AI1145" i="1"/>
  <c r="AC1140" i="1"/>
  <c r="AG1157" i="1"/>
  <c r="AH1145" i="1"/>
  <c r="V1137" i="1"/>
  <c r="S1151" i="1"/>
  <c r="AE1171" i="1"/>
  <c r="U1165" i="1"/>
  <c r="U1150" i="1"/>
  <c r="T1137" i="1"/>
  <c r="O1155" i="1"/>
  <c r="S1205" i="1"/>
  <c r="P1147" i="1"/>
  <c r="AD1137" i="1"/>
  <c r="V1145" i="1"/>
  <c r="AB1140" i="1"/>
  <c r="Q1157" i="1"/>
  <c r="R1145" i="1"/>
  <c r="P1137" i="1"/>
  <c r="AG1150" i="1"/>
  <c r="U1173" i="1"/>
  <c r="V1152" i="1"/>
  <c r="AA1138" i="1"/>
  <c r="AF1140" i="1"/>
  <c r="Z1191" i="1"/>
  <c r="S1197" i="1"/>
  <c r="S1196" i="1"/>
  <c r="S1143" i="1"/>
  <c r="S1191" i="1"/>
  <c r="AA1197" i="1"/>
  <c r="AA1196" i="1"/>
  <c r="AA1143" i="1"/>
  <c r="AA1191" i="1"/>
  <c r="AI1197" i="1"/>
  <c r="AI1196" i="1"/>
  <c r="AI1143" i="1"/>
  <c r="X1194" i="1"/>
  <c r="V1198" i="1"/>
  <c r="V1197" i="1"/>
  <c r="V1141" i="1"/>
  <c r="Y1197" i="1"/>
  <c r="AD1198" i="1"/>
  <c r="AD1197" i="1"/>
  <c r="AD1141" i="1"/>
  <c r="T1191" i="1"/>
  <c r="Q1199" i="1"/>
  <c r="Q1198" i="1"/>
  <c r="Q1142" i="1"/>
  <c r="Z1192" i="1"/>
  <c r="S1194" i="1"/>
  <c r="S1193" i="1"/>
  <c r="AH1142" i="1"/>
  <c r="V1196" i="1"/>
  <c r="AB1197" i="1"/>
  <c r="AB1196" i="1"/>
  <c r="AD1143" i="1"/>
  <c r="AI1164" i="1"/>
  <c r="T1205" i="1"/>
  <c r="O1156" i="1"/>
  <c r="AI1152" i="1"/>
  <c r="S1149" i="1"/>
  <c r="P1190" i="1"/>
  <c r="T1182" i="1"/>
  <c r="X1175" i="1"/>
  <c r="V1169" i="1"/>
  <c r="T1163" i="1"/>
  <c r="S1158" i="1"/>
  <c r="R1155" i="1"/>
  <c r="Q1152" i="1"/>
  <c r="AD1148" i="1"/>
  <c r="AC1145" i="1"/>
  <c r="W1140" i="1"/>
  <c r="R1188" i="1"/>
  <c r="X1178" i="1"/>
  <c r="V1172" i="1"/>
  <c r="T1166" i="1"/>
  <c r="S1160" i="1"/>
  <c r="AB1156" i="1"/>
  <c r="AA1153" i="1"/>
  <c r="AA1150" i="1"/>
  <c r="Z1147" i="1"/>
  <c r="Y1144" i="1"/>
  <c r="S1139" i="1"/>
  <c r="AA1145" i="1"/>
  <c r="AC1150" i="1"/>
  <c r="V1156" i="1"/>
  <c r="AA1144" i="1"/>
  <c r="X1140" i="1"/>
  <c r="W1148" i="1"/>
  <c r="Q1160" i="1"/>
  <c r="T1162" i="1"/>
  <c r="AE1148" i="1"/>
  <c r="AD1168" i="1"/>
  <c r="R1149" i="1"/>
  <c r="Y1157" i="1"/>
  <c r="Z1145" i="1"/>
  <c r="S1137" i="1"/>
  <c r="T1140" i="1"/>
  <c r="W1137" i="1"/>
  <c r="AA1155" i="1"/>
  <c r="O1144" i="1"/>
  <c r="Z1137" i="1"/>
  <c r="AH1139" i="1"/>
  <c r="S1167" i="1"/>
  <c r="Z1149" i="1"/>
  <c r="O1138" i="1"/>
  <c r="P1166" i="1"/>
  <c r="AG1197" i="1"/>
  <c r="AH1191" i="1"/>
  <c r="T1199" i="1"/>
  <c r="T1143" i="1"/>
  <c r="R1192" i="1"/>
  <c r="U1192" i="1"/>
  <c r="AB1199" i="1"/>
  <c r="AB1143" i="1"/>
  <c r="S1195" i="1"/>
  <c r="AC1192" i="1"/>
  <c r="AC1191" i="1"/>
  <c r="W1141" i="1"/>
  <c r="T1198" i="1"/>
  <c r="P1193" i="1"/>
  <c r="P1192" i="1"/>
  <c r="AE1141" i="1"/>
  <c r="AD1199" i="1"/>
  <c r="X1193" i="1"/>
  <c r="X1192" i="1"/>
  <c r="R1142" i="1"/>
  <c r="V1191" i="1"/>
  <c r="AF1193" i="1"/>
  <c r="AF1192" i="1"/>
  <c r="Z1142" i="1"/>
  <c r="U1193" i="1"/>
  <c r="T1197" i="1"/>
  <c r="T1196" i="1"/>
  <c r="V1143" i="1"/>
  <c r="AI1192" i="1"/>
  <c r="V1192" i="1"/>
  <c r="AC1199" i="1"/>
  <c r="Z1141" i="1"/>
  <c r="X8" i="1"/>
  <c r="AI10" i="1"/>
  <c r="AG12" i="1"/>
  <c r="O15" i="1"/>
  <c r="Z17" i="1"/>
  <c r="AF21" i="1"/>
  <c r="S20" i="1"/>
  <c r="V26" i="1"/>
  <c r="AH29" i="1"/>
  <c r="S32" i="1"/>
  <c r="Z15" i="1"/>
  <c r="V21" i="1"/>
  <c r="V8" i="1"/>
  <c r="V6" i="1"/>
  <c r="AD4" i="1"/>
  <c r="AE8" i="1"/>
  <c r="AF16" i="1"/>
  <c r="AC24" i="1"/>
  <c r="AA4" i="1"/>
  <c r="AB17" i="1"/>
  <c r="R16" i="1"/>
  <c r="AB16" i="1"/>
  <c r="AI13" i="1"/>
  <c r="T20" i="1"/>
  <c r="T8" i="1"/>
  <c r="AC9" i="1"/>
  <c r="AC26" i="1"/>
  <c r="R29" i="1"/>
  <c r="T32" i="1"/>
  <c r="W12" i="1"/>
  <c r="AI22" i="1"/>
  <c r="T2" i="1"/>
  <c r="Q20" i="1"/>
  <c r="AG8" i="1"/>
  <c r="U10" i="1"/>
  <c r="Y14" i="1"/>
  <c r="AH24" i="1"/>
  <c r="V27" i="1"/>
  <c r="AH30" i="1"/>
  <c r="V10" i="1"/>
  <c r="U15" i="1"/>
  <c r="AI12" i="1"/>
  <c r="Y13" i="1"/>
  <c r="AI21" i="1"/>
  <c r="R4" i="1"/>
  <c r="R2" i="1"/>
  <c r="AE20" i="1"/>
  <c r="AB26" i="1"/>
  <c r="O29" i="1"/>
  <c r="Q32" i="1"/>
  <c r="T23" i="1"/>
  <c r="AF2" i="1"/>
  <c r="AC7" i="1"/>
  <c r="X12" i="1"/>
  <c r="O11" i="1"/>
  <c r="AC14" i="1"/>
  <c r="S15" i="1"/>
  <c r="Q25" i="1"/>
  <c r="U28" i="1"/>
  <c r="Q31" i="1"/>
  <c r="O19" i="1"/>
  <c r="Z12" i="1"/>
  <c r="W19" i="1"/>
  <c r="AG19" i="1"/>
  <c r="Y22" i="1"/>
  <c r="AH7" i="1"/>
  <c r="AH5" i="1"/>
  <c r="AC4" i="1"/>
  <c r="U26" i="1"/>
  <c r="AF29" i="1"/>
  <c r="Y32" i="1"/>
  <c r="AF9" i="1"/>
  <c r="AG20" i="1"/>
  <c r="Y5" i="1"/>
  <c r="T4" i="1"/>
  <c r="T19" i="1"/>
  <c r="AA14" i="1"/>
  <c r="Q15" i="1"/>
  <c r="AH25" i="1"/>
  <c r="W28" i="1"/>
  <c r="X31" i="1"/>
  <c r="X27" i="1"/>
  <c r="AI36" i="1"/>
  <c r="T39" i="1"/>
  <c r="T42" i="1"/>
  <c r="X45" i="1"/>
  <c r="O48" i="1"/>
  <c r="X51" i="1"/>
  <c r="AB54" i="1"/>
  <c r="O57" i="1"/>
  <c r="AD60" i="1"/>
  <c r="AI63" i="1"/>
  <c r="Y34" i="1"/>
  <c r="U37" i="1"/>
  <c r="O40" i="1"/>
  <c r="X827" i="1"/>
  <c r="AC827" i="1"/>
  <c r="AH827" i="1"/>
  <c r="AC826" i="1"/>
  <c r="W826" i="1"/>
  <c r="AG825" i="1"/>
  <c r="AH825" i="1"/>
  <c r="AI825" i="1"/>
  <c r="AA824" i="1"/>
  <c r="X824" i="1"/>
  <c r="AH823" i="1"/>
  <c r="P823" i="1"/>
  <c r="X823" i="1"/>
  <c r="AD822" i="1"/>
  <c r="AC822" i="1"/>
  <c r="P822" i="1"/>
  <c r="S821" i="1"/>
  <c r="AI821" i="1"/>
  <c r="Z820" i="1"/>
  <c r="Q820" i="1"/>
  <c r="AD820" i="1"/>
  <c r="X819" i="1"/>
  <c r="S819" i="1"/>
  <c r="AH819" i="1"/>
  <c r="AC818" i="1"/>
  <c r="W818" i="1"/>
  <c r="AG817" i="1"/>
  <c r="P817" i="1"/>
  <c r="S817" i="1"/>
  <c r="S816" i="1"/>
  <c r="Z816" i="1"/>
  <c r="AH815" i="1"/>
  <c r="AF815" i="1"/>
  <c r="Q815" i="1"/>
  <c r="T814" i="1"/>
  <c r="AC814" i="1"/>
  <c r="P814" i="1"/>
  <c r="S813" i="1"/>
  <c r="AG827" i="1"/>
  <c r="Y827" i="1"/>
  <c r="AI826" i="1"/>
  <c r="Y826" i="1"/>
  <c r="X826" i="1"/>
  <c r="W825" i="1"/>
  <c r="S825" i="1"/>
  <c r="AF825" i="1"/>
  <c r="T824" i="1"/>
  <c r="U824" i="1"/>
  <c r="S823" i="1"/>
  <c r="AE823" i="1"/>
  <c r="W823" i="1"/>
  <c r="Y822" i="1"/>
  <c r="T822" i="1"/>
  <c r="AI822" i="1"/>
  <c r="AD821" i="1"/>
  <c r="X821" i="1"/>
  <c r="AH820" i="1"/>
  <c r="AI820" i="1"/>
  <c r="O820" i="1"/>
  <c r="T819" i="1"/>
  <c r="AA819" i="1"/>
  <c r="AI818" i="1"/>
  <c r="Y818" i="1"/>
  <c r="Q818" i="1"/>
  <c r="AA817" i="1"/>
  <c r="AH817" i="1"/>
  <c r="AF817" i="1"/>
  <c r="T816" i="1"/>
  <c r="U816" i="1"/>
  <c r="S815" i="1"/>
  <c r="U815" i="1"/>
  <c r="AG815" i="1"/>
  <c r="Y814" i="1"/>
  <c r="Z814" i="1"/>
  <c r="AI814" i="1"/>
  <c r="AD813" i="1"/>
  <c r="AI827" i="1"/>
  <c r="AD827" i="1"/>
  <c r="T826" i="1"/>
  <c r="AF826" i="1"/>
  <c r="AH826" i="1"/>
  <c r="R825" i="1"/>
  <c r="U825" i="1"/>
  <c r="AB825" i="1"/>
  <c r="AE824" i="1"/>
  <c r="Y824" i="1"/>
  <c r="AA823" i="1"/>
  <c r="AG823" i="1"/>
  <c r="U823" i="1"/>
  <c r="U822" i="1"/>
  <c r="AB822" i="1"/>
  <c r="AB821" i="1"/>
  <c r="AE821" i="1"/>
  <c r="R821" i="1"/>
  <c r="X820" i="1"/>
  <c r="AE820" i="1"/>
  <c r="AG820" i="1"/>
  <c r="AC819" i="1"/>
  <c r="AD819" i="1"/>
  <c r="T818" i="1"/>
  <c r="AH818" i="1"/>
  <c r="X818" i="1"/>
  <c r="R817" i="1"/>
  <c r="W817" i="1"/>
  <c r="AB817" i="1"/>
  <c r="AE816" i="1"/>
  <c r="Y816" i="1"/>
  <c r="AA815" i="1"/>
  <c r="AB815" i="1"/>
  <c r="AC815" i="1"/>
  <c r="V814" i="1"/>
  <c r="AH814" i="1"/>
  <c r="AB813" i="1"/>
  <c r="AG813" i="1"/>
  <c r="AF827" i="1"/>
  <c r="Z827" i="1"/>
  <c r="AB826" i="1"/>
  <c r="O826" i="1"/>
  <c r="V826" i="1"/>
  <c r="V825" i="1"/>
  <c r="AC825" i="1"/>
  <c r="V824" i="1"/>
  <c r="AI824" i="1"/>
  <c r="S824" i="1"/>
  <c r="Q823" i="1"/>
  <c r="AB823" i="1"/>
  <c r="Z823" i="1"/>
  <c r="O822" i="1"/>
  <c r="AE822" i="1"/>
  <c r="U821" i="1"/>
  <c r="AG821" i="1"/>
  <c r="Q821" i="1"/>
  <c r="S820" i="1"/>
  <c r="AB820" i="1"/>
  <c r="AC820" i="1"/>
  <c r="AF819" i="1"/>
  <c r="Z819" i="1"/>
  <c r="AB818" i="1"/>
  <c r="O818" i="1"/>
  <c r="AD818" i="1"/>
  <c r="O817" i="1"/>
  <c r="AI817" i="1"/>
  <c r="V816" i="1"/>
  <c r="AH816" i="1"/>
  <c r="AI816" i="1"/>
  <c r="AE815" i="1"/>
  <c r="P815" i="1"/>
  <c r="Z815" i="1"/>
  <c r="O814" i="1"/>
  <c r="AE814" i="1"/>
  <c r="U813" i="1"/>
  <c r="W827" i="1"/>
  <c r="T827" i="1"/>
  <c r="Q827" i="1"/>
  <c r="R826" i="1"/>
  <c r="AG826" i="1"/>
  <c r="AA826" i="1"/>
  <c r="AE825" i="1"/>
  <c r="X825" i="1"/>
  <c r="AD824" i="1"/>
  <c r="AB824" i="1"/>
  <c r="R824" i="1"/>
  <c r="AI823" i="1"/>
  <c r="AC823" i="1"/>
  <c r="AD823" i="1"/>
  <c r="AG822" i="1"/>
  <c r="AA822" i="1"/>
  <c r="AC821" i="1"/>
  <c r="AA821" i="1"/>
  <c r="Y821" i="1"/>
  <c r="W820" i="1"/>
  <c r="T820" i="1"/>
  <c r="W819" i="1"/>
  <c r="Q819" i="1"/>
  <c r="AI819" i="1"/>
  <c r="R818" i="1"/>
  <c r="P818" i="1"/>
  <c r="AA818" i="1"/>
  <c r="AE817" i="1"/>
  <c r="X817" i="1"/>
  <c r="AD816" i="1"/>
  <c r="X816" i="1"/>
  <c r="AB816" i="1"/>
  <c r="AI815" i="1"/>
  <c r="O815" i="1"/>
  <c r="AD815" i="1"/>
  <c r="AG814" i="1"/>
  <c r="AA814" i="1"/>
  <c r="AC813" i="1"/>
  <c r="AA813" i="1"/>
  <c r="AE827" i="1"/>
  <c r="V827" i="1"/>
  <c r="S827" i="1"/>
  <c r="U826" i="1"/>
  <c r="AD826" i="1"/>
  <c r="AE826" i="1"/>
  <c r="Z825" i="1"/>
  <c r="T825" i="1"/>
  <c r="O824" i="1"/>
  <c r="Q824" i="1"/>
  <c r="Z824" i="1"/>
  <c r="AF823" i="1"/>
  <c r="O823" i="1"/>
  <c r="X822" i="1"/>
  <c r="V822" i="1"/>
  <c r="R822" i="1"/>
  <c r="AH821" i="1"/>
  <c r="P821" i="1"/>
  <c r="T821" i="1"/>
  <c r="AF820" i="1"/>
  <c r="Y820" i="1"/>
  <c r="AE819" i="1"/>
  <c r="V819" i="1"/>
  <c r="Y819" i="1"/>
  <c r="U818" i="1"/>
  <c r="V818" i="1"/>
  <c r="AE818" i="1"/>
  <c r="Z817" i="1"/>
  <c r="T817" i="1"/>
  <c r="O816" i="1"/>
  <c r="Q816" i="1"/>
  <c r="AF816" i="1"/>
  <c r="X815" i="1"/>
  <c r="W815" i="1"/>
  <c r="X814" i="1"/>
  <c r="U814" i="1"/>
  <c r="AD814" i="1"/>
  <c r="O813" i="1"/>
  <c r="P813" i="1"/>
  <c r="P827" i="1"/>
  <c r="R827" i="1"/>
  <c r="AA827" i="1"/>
  <c r="Q826" i="1"/>
  <c r="P826" i="1"/>
  <c r="Q825" i="1"/>
  <c r="AD825" i="1"/>
  <c r="O825" i="1"/>
  <c r="AH824" i="1"/>
  <c r="AF824" i="1"/>
  <c r="AC824" i="1"/>
  <c r="Y823" i="1"/>
  <c r="R823" i="1"/>
  <c r="AF822" i="1"/>
  <c r="Z822" i="1"/>
  <c r="W822" i="1"/>
  <c r="V821" i="1"/>
  <c r="O821" i="1"/>
  <c r="AF821" i="1"/>
  <c r="AA820" i="1"/>
  <c r="U820" i="1"/>
  <c r="P819" i="1"/>
  <c r="R819" i="1"/>
  <c r="AG819" i="1"/>
  <c r="AG818" i="1"/>
  <c r="AF818" i="1"/>
  <c r="Q817" i="1"/>
  <c r="AD817" i="1"/>
  <c r="V817" i="1"/>
  <c r="P816" i="1"/>
  <c r="AA816" i="1"/>
  <c r="AC816" i="1"/>
  <c r="Y815" i="1"/>
  <c r="R815" i="1"/>
  <c r="AF814" i="1"/>
  <c r="AB814" i="1"/>
  <c r="W814" i="1"/>
  <c r="V813" i="1"/>
  <c r="AH813" i="1"/>
  <c r="U827" i="1"/>
  <c r="AB827" i="1"/>
  <c r="O827" i="1"/>
  <c r="Z826" i="1"/>
  <c r="S826" i="1"/>
  <c r="Y825" i="1"/>
  <c r="P825" i="1"/>
  <c r="AA825" i="1"/>
  <c r="W824" i="1"/>
  <c r="P824" i="1"/>
  <c r="AG824" i="1"/>
  <c r="T823" i="1"/>
  <c r="V823" i="1"/>
  <c r="Q822" i="1"/>
  <c r="S822" i="1"/>
  <c r="AH822" i="1"/>
  <c r="Z821" i="1"/>
  <c r="W821" i="1"/>
  <c r="R820" i="1"/>
  <c r="P820" i="1"/>
  <c r="V820" i="1"/>
  <c r="U819" i="1"/>
  <c r="AB819" i="1"/>
  <c r="O819" i="1"/>
  <c r="Z818" i="1"/>
  <c r="S818" i="1"/>
  <c r="Y817" i="1"/>
  <c r="AC817" i="1"/>
  <c r="U817" i="1"/>
  <c r="W816" i="1"/>
  <c r="R816" i="1"/>
  <c r="AG816" i="1"/>
  <c r="T815" i="1"/>
  <c r="V815" i="1"/>
  <c r="Q814" i="1"/>
  <c r="S814" i="1"/>
  <c r="R814" i="1"/>
  <c r="R813" i="1"/>
  <c r="T813" i="1"/>
  <c r="AF812" i="1"/>
  <c r="Y812" i="1"/>
  <c r="AE811" i="1"/>
  <c r="AG811" i="1"/>
  <c r="V811" i="1"/>
  <c r="U810" i="1"/>
  <c r="X810" i="1"/>
  <c r="AE810" i="1"/>
  <c r="Z809" i="1"/>
  <c r="T809" i="1"/>
  <c r="O808" i="1"/>
  <c r="Q808" i="1"/>
  <c r="AH808" i="1"/>
  <c r="P807" i="1"/>
  <c r="AC807" i="1"/>
  <c r="X806" i="1"/>
  <c r="AB806" i="1"/>
  <c r="V806" i="1"/>
  <c r="AH805" i="1"/>
  <c r="Z805" i="1"/>
  <c r="T805" i="1"/>
  <c r="P804" i="1"/>
  <c r="AD804" i="1"/>
  <c r="AE803" i="1"/>
  <c r="AI803" i="1"/>
  <c r="V803" i="1"/>
  <c r="U802" i="1"/>
  <c r="X802" i="1"/>
  <c r="AE802" i="1"/>
  <c r="Z801" i="1"/>
  <c r="T801" i="1"/>
  <c r="O800" i="1"/>
  <c r="Q800" i="1"/>
  <c r="Z800" i="1"/>
  <c r="X799" i="1"/>
  <c r="AC799" i="1"/>
  <c r="X798" i="1"/>
  <c r="V798" i="1"/>
  <c r="AD798" i="1"/>
  <c r="AC797" i="1"/>
  <c r="P797" i="1"/>
  <c r="T797" i="1"/>
  <c r="V796" i="1"/>
  <c r="Y796" i="1"/>
  <c r="AE795" i="1"/>
  <c r="V795" i="1"/>
  <c r="S795" i="1"/>
  <c r="U794" i="1"/>
  <c r="AF794" i="1"/>
  <c r="AE794" i="1"/>
  <c r="Q793" i="1"/>
  <c r="X793" i="1"/>
  <c r="Q792" i="1"/>
  <c r="R792" i="1"/>
  <c r="AC792" i="1"/>
  <c r="Z791" i="1"/>
  <c r="AG791" i="1"/>
  <c r="Z790" i="1"/>
  <c r="X790" i="1"/>
  <c r="V790" i="1"/>
  <c r="X789" i="1"/>
  <c r="AD789" i="1"/>
  <c r="W789" i="1"/>
  <c r="P788" i="1"/>
  <c r="S788" i="1"/>
  <c r="R787" i="1"/>
  <c r="V787" i="1"/>
  <c r="AF787" i="1"/>
  <c r="W786" i="1"/>
  <c r="R786" i="1"/>
  <c r="AF786" i="1"/>
  <c r="AB785" i="1"/>
  <c r="U785" i="1"/>
  <c r="Q784" i="1"/>
  <c r="R784" i="1"/>
  <c r="AC784" i="1"/>
  <c r="Z783" i="1"/>
  <c r="AF783" i="1"/>
  <c r="Z782" i="1"/>
  <c r="X782" i="1"/>
  <c r="AC782" i="1"/>
  <c r="P781" i="1"/>
  <c r="U781" i="1"/>
  <c r="O781" i="1"/>
  <c r="Z780" i="1"/>
  <c r="S780" i="1"/>
  <c r="R779" i="1"/>
  <c r="V779" i="1"/>
  <c r="Q779" i="1"/>
  <c r="W778" i="1"/>
  <c r="R778" i="1"/>
  <c r="AF778" i="1"/>
  <c r="T777" i="1"/>
  <c r="U777" i="1"/>
  <c r="X776" i="1"/>
  <c r="Y776" i="1"/>
  <c r="T776" i="1"/>
  <c r="AE775" i="1"/>
  <c r="Y775" i="1"/>
  <c r="S774" i="1"/>
  <c r="AF774" i="1"/>
  <c r="Q774" i="1"/>
  <c r="AA773" i="1"/>
  <c r="S773" i="1"/>
  <c r="U773" i="1"/>
  <c r="X772" i="1"/>
  <c r="T772" i="1"/>
  <c r="Z771" i="1"/>
  <c r="U771" i="1"/>
  <c r="Q771" i="1"/>
  <c r="X770" i="1"/>
  <c r="Y770" i="1"/>
  <c r="W770" i="1"/>
  <c r="AC769" i="1"/>
  <c r="AD769" i="1"/>
  <c r="Z768" i="1"/>
  <c r="AA768" i="1"/>
  <c r="V768" i="1"/>
  <c r="AE767" i="1"/>
  <c r="Y767" i="1"/>
  <c r="AD766" i="1"/>
  <c r="AH766" i="1"/>
  <c r="AI766" i="1"/>
  <c r="Q765" i="1"/>
  <c r="P765" i="1"/>
  <c r="AD765" i="1"/>
  <c r="AH764" i="1"/>
  <c r="AC764" i="1"/>
  <c r="S763" i="1"/>
  <c r="V763" i="1"/>
  <c r="AC763" i="1"/>
  <c r="Y762" i="1"/>
  <c r="T762" i="1"/>
  <c r="AB762" i="1"/>
  <c r="U761" i="1"/>
  <c r="O761" i="1"/>
  <c r="AF760" i="1"/>
  <c r="AG760" i="1"/>
  <c r="S760" i="1"/>
  <c r="AB759" i="1"/>
  <c r="AE759" i="1"/>
  <c r="AA758" i="1"/>
  <c r="Z758" i="1"/>
  <c r="O758" i="1"/>
  <c r="AH677" i="1"/>
  <c r="AB677" i="1"/>
  <c r="AG568" i="1"/>
  <c r="V568" i="1"/>
  <c r="T568" i="1"/>
  <c r="AC567" i="1"/>
  <c r="AE567" i="1"/>
  <c r="W567" i="1"/>
  <c r="V566" i="1"/>
  <c r="AG566" i="1"/>
  <c r="P565" i="1"/>
  <c r="R565" i="1"/>
  <c r="AA565" i="1"/>
  <c r="S564" i="1"/>
  <c r="R564" i="1"/>
  <c r="AD564" i="1"/>
  <c r="X563" i="1"/>
  <c r="AI563" i="1"/>
  <c r="AD562" i="1"/>
  <c r="AI562" i="1"/>
  <c r="Q562" i="1"/>
  <c r="V561" i="1"/>
  <c r="R561" i="1"/>
  <c r="AG560" i="1"/>
  <c r="V560" i="1"/>
  <c r="AA560" i="1"/>
  <c r="O559" i="1"/>
  <c r="U559" i="1"/>
  <c r="S559" i="1"/>
  <c r="T558" i="1"/>
  <c r="AG558" i="1"/>
  <c r="P557" i="1"/>
  <c r="AA557" i="1"/>
  <c r="Y557" i="1"/>
  <c r="S556" i="1"/>
  <c r="X556" i="1"/>
  <c r="AD556" i="1"/>
  <c r="AD555" i="1"/>
  <c r="AI555" i="1"/>
  <c r="AC554" i="1"/>
  <c r="S554" i="1"/>
  <c r="T554" i="1"/>
  <c r="AB553" i="1"/>
  <c r="Z553" i="1"/>
  <c r="AC552" i="1"/>
  <c r="W552" i="1"/>
  <c r="T552" i="1"/>
  <c r="U551" i="1"/>
  <c r="V551" i="1"/>
  <c r="S551" i="1"/>
  <c r="AH541" i="1"/>
  <c r="U541" i="1"/>
  <c r="S540" i="1"/>
  <c r="AD540" i="1"/>
  <c r="Y540" i="1"/>
  <c r="AG539" i="1"/>
  <c r="V539" i="1"/>
  <c r="AI539" i="1"/>
  <c r="Y538" i="1"/>
  <c r="Q538" i="1"/>
  <c r="AF537" i="1"/>
  <c r="V537" i="1"/>
  <c r="T537" i="1"/>
  <c r="AF536" i="1"/>
  <c r="R536" i="1"/>
  <c r="X535" i="1"/>
  <c r="AH535" i="1"/>
  <c r="Q535" i="1"/>
  <c r="T534" i="1"/>
  <c r="Z534" i="1"/>
  <c r="X534" i="1"/>
  <c r="T533" i="1"/>
  <c r="AD533" i="1"/>
  <c r="AC532" i="1"/>
  <c r="U532" i="1"/>
  <c r="T532" i="1"/>
  <c r="AD531" i="1"/>
  <c r="P531" i="1"/>
  <c r="AI531" i="1"/>
  <c r="Y530" i="1"/>
  <c r="O530" i="1"/>
  <c r="AD529" i="1"/>
  <c r="AH529" i="1"/>
  <c r="P529" i="1"/>
  <c r="AD528" i="1"/>
  <c r="P528" i="1"/>
  <c r="V527" i="1"/>
  <c r="AA527" i="1"/>
  <c r="S527" i="1"/>
  <c r="S526" i="1"/>
  <c r="U526" i="1"/>
  <c r="R526" i="1"/>
  <c r="T525" i="1"/>
  <c r="AF525" i="1"/>
  <c r="Q524" i="1"/>
  <c r="Y524" i="1"/>
  <c r="AB524" i="1"/>
  <c r="AD514" i="1"/>
  <c r="S514" i="1"/>
  <c r="AG514" i="1"/>
  <c r="Y513" i="1"/>
  <c r="O513" i="1"/>
  <c r="Z512" i="1"/>
  <c r="AH512" i="1"/>
  <c r="P512" i="1"/>
  <c r="AD511" i="1"/>
  <c r="P511" i="1"/>
  <c r="Q510" i="1"/>
  <c r="S510" i="1"/>
  <c r="AB510" i="1"/>
  <c r="AC509" i="1"/>
  <c r="X509" i="1"/>
  <c r="Q509" i="1"/>
  <c r="AC508" i="1"/>
  <c r="S508" i="1"/>
  <c r="Z507" i="1"/>
  <c r="AI507" i="1"/>
  <c r="R507" i="1"/>
  <c r="Z506" i="1"/>
  <c r="AH506" i="1"/>
  <c r="AG506" i="1"/>
  <c r="AA505" i="1"/>
  <c r="Q505" i="1"/>
  <c r="AF504" i="1"/>
  <c r="T504" i="1"/>
  <c r="R504" i="1"/>
  <c r="AB503" i="1"/>
  <c r="AD503" i="1"/>
  <c r="X502" i="1"/>
  <c r="AA502" i="1"/>
  <c r="V502" i="1"/>
  <c r="AE501" i="1"/>
  <c r="T501" i="1"/>
  <c r="AD501" i="1"/>
  <c r="P500" i="1"/>
  <c r="AD500" i="1"/>
  <c r="Y499" i="1"/>
  <c r="AB499" i="1"/>
  <c r="U499" i="1"/>
  <c r="Y498" i="1"/>
  <c r="AE498" i="1"/>
  <c r="AI498" i="1"/>
  <c r="O497" i="1"/>
  <c r="V497" i="1"/>
  <c r="O487" i="1"/>
  <c r="T487" i="1"/>
  <c r="V487" i="1"/>
  <c r="O486" i="1"/>
  <c r="U486" i="1"/>
  <c r="X485" i="1"/>
  <c r="Z485" i="1"/>
  <c r="Y485" i="1"/>
  <c r="P484" i="1"/>
  <c r="Z484" i="1"/>
  <c r="X484" i="1"/>
  <c r="AC483" i="1"/>
  <c r="AD483" i="1"/>
  <c r="S482" i="1"/>
  <c r="P482" i="1"/>
  <c r="AG482" i="1"/>
  <c r="AF481" i="1"/>
  <c r="AD481" i="1"/>
  <c r="AI481" i="1"/>
  <c r="AB480" i="1"/>
  <c r="Q480" i="1"/>
  <c r="AF479" i="1"/>
  <c r="T479" i="1"/>
  <c r="R479" i="1"/>
  <c r="AC478" i="1"/>
  <c r="U478" i="1"/>
  <c r="S477" i="1"/>
  <c r="Z477" i="1"/>
  <c r="AG477" i="1"/>
  <c r="P476" i="1"/>
  <c r="AC476" i="1"/>
  <c r="S476" i="1"/>
  <c r="AC475" i="1"/>
  <c r="AH475" i="1"/>
  <c r="AB474" i="1"/>
  <c r="AH474" i="1"/>
  <c r="AE474" i="1"/>
  <c r="AF473" i="1"/>
  <c r="AB473" i="1"/>
  <c r="AI473" i="1"/>
  <c r="AB472" i="1"/>
  <c r="Q472" i="1"/>
  <c r="AC471" i="1"/>
  <c r="Y471" i="1"/>
  <c r="V471" i="1"/>
  <c r="AC470" i="1"/>
  <c r="U470" i="1"/>
  <c r="S460" i="1"/>
  <c r="W460" i="1"/>
  <c r="O460" i="1"/>
  <c r="AB459" i="1"/>
  <c r="Y459" i="1"/>
  <c r="Q813" i="1"/>
  <c r="AF813" i="1"/>
  <c r="AA812" i="1"/>
  <c r="U812" i="1"/>
  <c r="P811" i="1"/>
  <c r="R811" i="1"/>
  <c r="S811" i="1"/>
  <c r="Q810" i="1"/>
  <c r="AD810" i="1"/>
  <c r="Q809" i="1"/>
  <c r="AI809" i="1"/>
  <c r="V809" i="1"/>
  <c r="AI808" i="1"/>
  <c r="S808" i="1"/>
  <c r="AC808" i="1"/>
  <c r="Y807" i="1"/>
  <c r="R807" i="1"/>
  <c r="AF806" i="1"/>
  <c r="W806" i="1"/>
  <c r="R806" i="1"/>
  <c r="V805" i="1"/>
  <c r="Y805" i="1"/>
  <c r="AF805" i="1"/>
  <c r="AF804" i="1"/>
  <c r="Y804" i="1"/>
  <c r="P803" i="1"/>
  <c r="R803" i="1"/>
  <c r="S803" i="1"/>
  <c r="Y802" i="1"/>
  <c r="AF802" i="1"/>
  <c r="Q801" i="1"/>
  <c r="S801" i="1"/>
  <c r="O801" i="1"/>
  <c r="AI800" i="1"/>
  <c r="S800" i="1"/>
  <c r="AC800" i="1"/>
  <c r="Y799" i="1"/>
  <c r="R799" i="1"/>
  <c r="AF798" i="1"/>
  <c r="Z798" i="1"/>
  <c r="W798" i="1"/>
  <c r="AH797" i="1"/>
  <c r="AE797" i="1"/>
  <c r="AF797" i="1"/>
  <c r="AA796" i="1"/>
  <c r="U796" i="1"/>
  <c r="P795" i="1"/>
  <c r="R795" i="1"/>
  <c r="AA795" i="1"/>
  <c r="Y794" i="1"/>
  <c r="P794" i="1"/>
  <c r="S793" i="1"/>
  <c r="AE793" i="1"/>
  <c r="Y793" i="1"/>
  <c r="T792" i="1"/>
  <c r="AA792" i="1"/>
  <c r="P792" i="1"/>
  <c r="AA791" i="1"/>
  <c r="T791" i="1"/>
  <c r="AH790" i="1"/>
  <c r="Y790" i="1"/>
  <c r="U790" i="1"/>
  <c r="AH789" i="1"/>
  <c r="Q789" i="1"/>
  <c r="AG789" i="1"/>
  <c r="U788" i="1"/>
  <c r="V788" i="1"/>
  <c r="Z787" i="1"/>
  <c r="S787" i="1"/>
  <c r="O787" i="1"/>
  <c r="AI786" i="1"/>
  <c r="AH786" i="1"/>
  <c r="S785" i="1"/>
  <c r="O785" i="1"/>
  <c r="Y785" i="1"/>
  <c r="AA784" i="1"/>
  <c r="S784" i="1"/>
  <c r="X784" i="1"/>
  <c r="AI783" i="1"/>
  <c r="T783" i="1"/>
  <c r="AH782" i="1"/>
  <c r="Y782" i="1"/>
  <c r="AD782" i="1"/>
  <c r="AC781" i="1"/>
  <c r="AI781" i="1"/>
  <c r="AG781" i="1"/>
  <c r="AC780" i="1"/>
  <c r="V780" i="1"/>
  <c r="Z779" i="1"/>
  <c r="S779" i="1"/>
  <c r="O779" i="1"/>
  <c r="S778" i="1"/>
  <c r="AH778" i="1"/>
  <c r="AD777" i="1"/>
  <c r="V777" i="1"/>
  <c r="AF777" i="1"/>
  <c r="AC776" i="1"/>
  <c r="R776" i="1"/>
  <c r="W776" i="1"/>
  <c r="AA775" i="1"/>
  <c r="Z775" i="1"/>
  <c r="AA774" i="1"/>
  <c r="O774" i="1"/>
  <c r="W774" i="1"/>
  <c r="AG773" i="1"/>
  <c r="AI773" i="1"/>
  <c r="X773" i="1"/>
  <c r="O772" i="1"/>
  <c r="AE772" i="1"/>
  <c r="AH771" i="1"/>
  <c r="AD771" i="1"/>
  <c r="O771" i="1"/>
  <c r="AC770" i="1"/>
  <c r="AH770" i="1"/>
  <c r="AI769" i="1"/>
  <c r="AG769" i="1"/>
  <c r="Y769" i="1"/>
  <c r="AE768" i="1"/>
  <c r="T768" i="1"/>
  <c r="AD768" i="1"/>
  <c r="S767" i="1"/>
  <c r="Z767" i="1"/>
  <c r="W766" i="1"/>
  <c r="Q766" i="1"/>
  <c r="AB766" i="1"/>
  <c r="AI765" i="1"/>
  <c r="AE765" i="1"/>
  <c r="Z765" i="1"/>
  <c r="X764" i="1"/>
  <c r="O764" i="1"/>
  <c r="AA763" i="1"/>
  <c r="AB763" i="1"/>
  <c r="P763" i="1"/>
  <c r="AD762" i="1"/>
  <c r="AG762" i="1"/>
  <c r="AA761" i="1"/>
  <c r="V761" i="1"/>
  <c r="AG761" i="1"/>
  <c r="Z760" i="1"/>
  <c r="AI760" i="1"/>
  <c r="AA760" i="1"/>
  <c r="P759" i="1"/>
  <c r="X759" i="1"/>
  <c r="P758" i="1"/>
  <c r="V758" i="1"/>
  <c r="R758" i="1"/>
  <c r="Y677" i="1"/>
  <c r="W677" i="1"/>
  <c r="AC568" i="1"/>
  <c r="O568" i="1"/>
  <c r="AB568" i="1"/>
  <c r="Z567" i="1"/>
  <c r="V567" i="1"/>
  <c r="X567" i="1"/>
  <c r="Z566" i="1"/>
  <c r="P566" i="1"/>
  <c r="AB565" i="1"/>
  <c r="AG565" i="1"/>
  <c r="AH565" i="1"/>
  <c r="AI564" i="1"/>
  <c r="AB564" i="1"/>
  <c r="Y563" i="1"/>
  <c r="AB563" i="1"/>
  <c r="R563" i="1"/>
  <c r="AF562" i="1"/>
  <c r="V562" i="1"/>
  <c r="AB562" i="1"/>
  <c r="AD561" i="1"/>
  <c r="AE561" i="1"/>
  <c r="AC560" i="1"/>
  <c r="Q560" i="1"/>
  <c r="T560" i="1"/>
  <c r="AG559" i="1"/>
  <c r="AA559" i="1"/>
  <c r="AD559" i="1"/>
  <c r="AB558" i="1"/>
  <c r="P558" i="1"/>
  <c r="AH557" i="1"/>
  <c r="Q557" i="1"/>
  <c r="O557" i="1"/>
  <c r="Z556" i="1"/>
  <c r="AB556" i="1"/>
  <c r="Y555" i="1"/>
  <c r="AB555" i="1"/>
  <c r="R555" i="1"/>
  <c r="Y554" i="1"/>
  <c r="X554" i="1"/>
  <c r="AI554" i="1"/>
  <c r="T553" i="1"/>
  <c r="AE553" i="1"/>
  <c r="AH552" i="1"/>
  <c r="X552" i="1"/>
  <c r="U552" i="1"/>
  <c r="AA551" i="1"/>
  <c r="AD551" i="1"/>
  <c r="P551" i="1"/>
  <c r="AA541" i="1"/>
  <c r="Q541" i="1"/>
  <c r="AE540" i="1"/>
  <c r="P540" i="1"/>
  <c r="AB540" i="1"/>
  <c r="AF539" i="1"/>
  <c r="Z539" i="1"/>
  <c r="S538" i="1"/>
  <c r="Z538" i="1"/>
  <c r="AG538" i="1"/>
  <c r="AG537" i="1"/>
  <c r="Z537" i="1"/>
  <c r="X537" i="1"/>
  <c r="Z536" i="1"/>
  <c r="U536" i="1"/>
  <c r="S535" i="1"/>
  <c r="AA535" i="1"/>
  <c r="T535" i="1"/>
  <c r="AF534" i="1"/>
  <c r="P534" i="1"/>
  <c r="AI534" i="1"/>
  <c r="AA533" i="1"/>
  <c r="Q533" i="1"/>
  <c r="Z532" i="1"/>
  <c r="V532" i="1"/>
  <c r="AB532" i="1"/>
  <c r="Q531" i="1"/>
  <c r="AF531" i="1"/>
  <c r="Q530" i="1"/>
  <c r="AE530" i="1"/>
  <c r="AA530" i="1"/>
  <c r="AE529" i="1"/>
  <c r="AA529" i="1"/>
  <c r="V529" i="1"/>
  <c r="X528" i="1"/>
  <c r="R528" i="1"/>
  <c r="Q527" i="1"/>
  <c r="AC527" i="1"/>
  <c r="AI527" i="1"/>
  <c r="AD526" i="1"/>
  <c r="W526" i="1"/>
  <c r="AG526" i="1"/>
  <c r="Y525" i="1"/>
  <c r="O525" i="1"/>
  <c r="S524" i="1"/>
  <c r="AE524" i="1"/>
  <c r="T524" i="1"/>
  <c r="AB514" i="1"/>
  <c r="AI514" i="1"/>
  <c r="Q513" i="1"/>
  <c r="AA513" i="1"/>
  <c r="AE513" i="1"/>
  <c r="X512" i="1"/>
  <c r="AB512" i="1"/>
  <c r="R512" i="1"/>
  <c r="AC511" i="1"/>
  <c r="W511" i="1"/>
  <c r="Z510" i="1"/>
  <c r="AA510" i="1"/>
  <c r="AI510" i="1"/>
  <c r="AD509" i="1"/>
  <c r="T509" i="1"/>
  <c r="AG509" i="1"/>
  <c r="Y508" i="1"/>
  <c r="O508" i="1"/>
  <c r="AD507" i="1"/>
  <c r="AH507" i="1"/>
  <c r="AB507" i="1"/>
  <c r="AC506" i="1"/>
  <c r="AA506" i="1"/>
  <c r="S505" i="1"/>
  <c r="AG505" i="1"/>
  <c r="AC505" i="1"/>
  <c r="AB504" i="1"/>
  <c r="AC504" i="1"/>
  <c r="X504" i="1"/>
  <c r="W503" i="1"/>
  <c r="AH503" i="1"/>
  <c r="S502" i="1"/>
  <c r="Z502" i="1"/>
  <c r="AH502" i="1"/>
  <c r="W501" i="1"/>
  <c r="Z501" i="1"/>
  <c r="AI501" i="1"/>
  <c r="AA500" i="1"/>
  <c r="Q500" i="1"/>
  <c r="AE499" i="1"/>
  <c r="T499" i="1"/>
  <c r="V499" i="1"/>
  <c r="AF498" i="1"/>
  <c r="R498" i="1"/>
  <c r="AC497" i="1"/>
  <c r="AH497" i="1"/>
  <c r="Q497" i="1"/>
  <c r="P487" i="1"/>
  <c r="AG487" i="1"/>
  <c r="X487" i="1"/>
  <c r="P486" i="1"/>
  <c r="AD486" i="1"/>
  <c r="S485" i="1"/>
  <c r="V485" i="1"/>
  <c r="P485" i="1"/>
  <c r="AA484" i="1"/>
  <c r="O484" i="1"/>
  <c r="AI484" i="1"/>
  <c r="P483" i="1"/>
  <c r="Q483" i="1"/>
  <c r="AD482" i="1"/>
  <c r="T482" i="1"/>
  <c r="U482" i="1"/>
  <c r="AC481" i="1"/>
  <c r="R481" i="1"/>
  <c r="S480" i="1"/>
  <c r="AD480" i="1"/>
  <c r="Z480" i="1"/>
  <c r="W479" i="1"/>
  <c r="V479" i="1"/>
  <c r="X479" i="1"/>
  <c r="P478" i="1"/>
  <c r="AD478" i="1"/>
  <c r="Y477" i="1"/>
  <c r="U477" i="1"/>
  <c r="AB477" i="1"/>
  <c r="AF476" i="1"/>
  <c r="O476" i="1"/>
  <c r="AI476" i="1"/>
  <c r="W475" i="1"/>
  <c r="Q475" i="1"/>
  <c r="O474" i="1"/>
  <c r="T474" i="1"/>
  <c r="R474" i="1"/>
  <c r="R473" i="1"/>
  <c r="AD473" i="1"/>
  <c r="Y472" i="1"/>
  <c r="AD472" i="1"/>
  <c r="AG472" i="1"/>
  <c r="AF471" i="1"/>
  <c r="T471" i="1"/>
  <c r="X471" i="1"/>
  <c r="P470" i="1"/>
  <c r="AB470" i="1"/>
  <c r="AE460" i="1"/>
  <c r="R460" i="1"/>
  <c r="AB460" i="1"/>
  <c r="AF459" i="1"/>
  <c r="AG459" i="1"/>
  <c r="Y813" i="1"/>
  <c r="R812" i="1"/>
  <c r="P812" i="1"/>
  <c r="AD812" i="1"/>
  <c r="Y811" i="1"/>
  <c r="Q811" i="1"/>
  <c r="O811" i="1"/>
  <c r="Z810" i="1"/>
  <c r="S810" i="1"/>
  <c r="Y809" i="1"/>
  <c r="P809" i="1"/>
  <c r="AC809" i="1"/>
  <c r="W808" i="1"/>
  <c r="Z808" i="1"/>
  <c r="AG808" i="1"/>
  <c r="T807" i="1"/>
  <c r="V807" i="1"/>
  <c r="Q806" i="1"/>
  <c r="S806" i="1"/>
  <c r="Z806" i="1"/>
  <c r="R805" i="1"/>
  <c r="AE805" i="1"/>
  <c r="R804" i="1"/>
  <c r="AA804" i="1"/>
  <c r="U804" i="1"/>
  <c r="AG803" i="1"/>
  <c r="T803" i="1"/>
  <c r="O803" i="1"/>
  <c r="Z802" i="1"/>
  <c r="S802" i="1"/>
  <c r="Y801" i="1"/>
  <c r="P801" i="1"/>
  <c r="AA801" i="1"/>
  <c r="W800" i="1"/>
  <c r="AH800" i="1"/>
  <c r="AG800" i="1"/>
  <c r="T799" i="1"/>
  <c r="V799" i="1"/>
  <c r="Q798" i="1"/>
  <c r="S798" i="1"/>
  <c r="AH798" i="1"/>
  <c r="V797" i="1"/>
  <c r="O797" i="1"/>
  <c r="R796" i="1"/>
  <c r="X796" i="1"/>
  <c r="P796" i="1"/>
  <c r="U795" i="1"/>
  <c r="T795" i="1"/>
  <c r="O795" i="1"/>
  <c r="Z794" i="1"/>
  <c r="S794" i="1"/>
  <c r="AA793" i="1"/>
  <c r="AD793" i="1"/>
  <c r="R793" i="1"/>
  <c r="Y792" i="1"/>
  <c r="AB792" i="1"/>
  <c r="AH792" i="1"/>
  <c r="AF791" i="1"/>
  <c r="W791" i="1"/>
  <c r="S790" i="1"/>
  <c r="AC790" i="1"/>
  <c r="W790" i="1"/>
  <c r="AF789" i="1"/>
  <c r="S789" i="1"/>
  <c r="AI788" i="1"/>
  <c r="AE788" i="1"/>
  <c r="R788" i="1"/>
  <c r="U787" i="1"/>
  <c r="AE787" i="1"/>
  <c r="Y787" i="1"/>
  <c r="T786" i="1"/>
  <c r="U786" i="1"/>
  <c r="AA785" i="1"/>
  <c r="R785" i="1"/>
  <c r="AE785" i="1"/>
  <c r="Y784" i="1"/>
  <c r="T784" i="1"/>
  <c r="AH784" i="1"/>
  <c r="X783" i="1"/>
  <c r="W783" i="1"/>
  <c r="U782" i="1"/>
  <c r="AI782" i="1"/>
  <c r="W782" i="1"/>
  <c r="X781" i="1"/>
  <c r="Z781" i="1"/>
  <c r="AI780" i="1"/>
  <c r="W780" i="1"/>
  <c r="Y780" i="1"/>
  <c r="X779" i="1"/>
  <c r="W779" i="1"/>
  <c r="AG779" i="1"/>
  <c r="AB778" i="1"/>
  <c r="U778" i="1"/>
  <c r="S777" i="1"/>
  <c r="AE777" i="1"/>
  <c r="W777" i="1"/>
  <c r="AF776" i="1"/>
  <c r="S776" i="1"/>
  <c r="P776" i="1"/>
  <c r="AB775" i="1"/>
  <c r="AC775" i="1"/>
  <c r="AI774" i="1"/>
  <c r="U774" i="1"/>
  <c r="AE774" i="1"/>
  <c r="V773" i="1"/>
  <c r="AB773" i="1"/>
  <c r="U772" i="1"/>
  <c r="AH772" i="1"/>
  <c r="AF772" i="1"/>
  <c r="S771" i="1"/>
  <c r="T771" i="1"/>
  <c r="W771" i="1"/>
  <c r="AF770" i="1"/>
  <c r="AA770" i="1"/>
  <c r="T769" i="1"/>
  <c r="P769" i="1"/>
  <c r="W769" i="1"/>
  <c r="AH768" i="1"/>
  <c r="X768" i="1"/>
  <c r="Y768" i="1"/>
  <c r="AB767" i="1"/>
  <c r="AC767" i="1"/>
  <c r="AE766" i="1"/>
  <c r="AF766" i="1"/>
  <c r="Y766" i="1"/>
  <c r="X765" i="1"/>
  <c r="AG765" i="1"/>
  <c r="AD764" i="1"/>
  <c r="T764" i="1"/>
  <c r="AG764" i="1"/>
  <c r="Y763" i="1"/>
  <c r="X763" i="1"/>
  <c r="AF763" i="1"/>
  <c r="R762" i="1"/>
  <c r="AF762" i="1"/>
  <c r="AI761" i="1"/>
  <c r="R761" i="1"/>
  <c r="AF761" i="1"/>
  <c r="Q760" i="1"/>
  <c r="AB760" i="1"/>
  <c r="AE760" i="1"/>
  <c r="W759" i="1"/>
  <c r="O759" i="1"/>
  <c r="X758" i="1"/>
  <c r="Y758" i="1"/>
  <c r="W758" i="1"/>
  <c r="Z677" i="1"/>
  <c r="AI677" i="1"/>
  <c r="AI568" i="1"/>
  <c r="AH568" i="1"/>
  <c r="AF568" i="1"/>
  <c r="AG567" i="1"/>
  <c r="P567" i="1"/>
  <c r="W566" i="1"/>
  <c r="AF566" i="1"/>
  <c r="T566" i="1"/>
  <c r="AD565" i="1"/>
  <c r="Q565" i="1"/>
  <c r="Z565" i="1"/>
  <c r="X564" i="1"/>
  <c r="U564" i="1"/>
  <c r="T563" i="1"/>
  <c r="AE563" i="1"/>
  <c r="Z563" i="1"/>
  <c r="AE562" i="1"/>
  <c r="Y562" i="1"/>
  <c r="AH562" i="1"/>
  <c r="X561" i="1"/>
  <c r="AC561" i="1"/>
  <c r="AH560" i="1"/>
  <c r="Y560" i="1"/>
  <c r="AB560" i="1"/>
  <c r="X559" i="1"/>
  <c r="Q559" i="1"/>
  <c r="W558" i="1"/>
  <c r="Z558" i="1"/>
  <c r="AA558" i="1"/>
  <c r="W557" i="1"/>
  <c r="Z557" i="1"/>
  <c r="AG557" i="1"/>
  <c r="AE556" i="1"/>
  <c r="U556" i="1"/>
  <c r="T555" i="1"/>
  <c r="AC555" i="1"/>
  <c r="AA555" i="1"/>
  <c r="AE554" i="1"/>
  <c r="AA554" i="1"/>
  <c r="AH554" i="1"/>
  <c r="X553" i="1"/>
  <c r="AC553" i="1"/>
  <c r="S552" i="1"/>
  <c r="P552" i="1"/>
  <c r="R552" i="1"/>
  <c r="AG551" i="1"/>
  <c r="AH551" i="1"/>
  <c r="S541" i="1"/>
  <c r="AG541" i="1"/>
  <c r="Z541" i="1"/>
  <c r="AC540" i="1"/>
  <c r="V540" i="1"/>
  <c r="U540" i="1"/>
  <c r="O539" i="1"/>
  <c r="W539" i="1"/>
  <c r="AC538" i="1"/>
  <c r="W538" i="1"/>
  <c r="AD538" i="1"/>
  <c r="AA537" i="1"/>
  <c r="P537" i="1"/>
  <c r="AI537" i="1"/>
  <c r="AH536" i="1"/>
  <c r="Q536" i="1"/>
  <c r="O535" i="1"/>
  <c r="AG535" i="1"/>
  <c r="AB535" i="1"/>
  <c r="AE534" i="1"/>
  <c r="Y534" i="1"/>
  <c r="X533" i="1"/>
  <c r="Z533" i="1"/>
  <c r="Y533" i="1"/>
  <c r="AF532" i="1"/>
  <c r="O532" i="1"/>
  <c r="S532" i="1"/>
  <c r="Y531" i="1"/>
  <c r="AB531" i="1"/>
  <c r="W530" i="1"/>
  <c r="S530" i="1"/>
  <c r="AI530" i="1"/>
  <c r="Y529" i="1"/>
  <c r="AC529" i="1"/>
  <c r="AG529" i="1"/>
  <c r="AF528" i="1"/>
  <c r="O528" i="1"/>
  <c r="Z527" i="1"/>
  <c r="AH527" i="1"/>
  <c r="AB527" i="1"/>
  <c r="X526" i="1"/>
  <c r="P526" i="1"/>
  <c r="V525" i="1"/>
  <c r="S525" i="1"/>
  <c r="AA525" i="1"/>
  <c r="X524" i="1"/>
  <c r="AF524" i="1"/>
  <c r="V524" i="1"/>
  <c r="AE514" i="1"/>
  <c r="AF514" i="1"/>
  <c r="W513" i="1"/>
  <c r="AF513" i="1"/>
  <c r="AI513" i="1"/>
  <c r="AD512" i="1"/>
  <c r="AE512" i="1"/>
  <c r="AG512" i="1"/>
  <c r="Y511" i="1"/>
  <c r="O511" i="1"/>
  <c r="U510" i="1"/>
  <c r="W510" i="1"/>
  <c r="T510" i="1"/>
  <c r="U509" i="1"/>
  <c r="P509" i="1"/>
  <c r="V508" i="1"/>
  <c r="W508" i="1"/>
  <c r="U508" i="1"/>
  <c r="AE507" i="1"/>
  <c r="AA507" i="1"/>
  <c r="Q507" i="1"/>
  <c r="AD506" i="1"/>
  <c r="P506" i="1"/>
  <c r="AB505" i="1"/>
  <c r="AH505" i="1"/>
  <c r="U505" i="1"/>
  <c r="AA504" i="1"/>
  <c r="AG504" i="1"/>
  <c r="AI504" i="1"/>
  <c r="AA503" i="1"/>
  <c r="Q503" i="1"/>
  <c r="O502" i="1"/>
  <c r="W502" i="1"/>
  <c r="R502" i="1"/>
  <c r="AF501" i="1"/>
  <c r="U501" i="1"/>
  <c r="S500" i="1"/>
  <c r="AG500" i="1"/>
  <c r="AB500" i="1"/>
  <c r="P499" i="1"/>
  <c r="AC499" i="1"/>
  <c r="X499" i="1"/>
  <c r="AC498" i="1"/>
  <c r="AH498" i="1"/>
  <c r="S497" i="1"/>
  <c r="AB497" i="1"/>
  <c r="AD497" i="1"/>
  <c r="AF487" i="1"/>
  <c r="AD487" i="1"/>
  <c r="AI487" i="1"/>
  <c r="AA486" i="1"/>
  <c r="Q486" i="1"/>
  <c r="AE485" i="1"/>
  <c r="T485" i="1"/>
  <c r="R485" i="1"/>
  <c r="AC484" i="1"/>
  <c r="R484" i="1"/>
  <c r="S483" i="1"/>
  <c r="AA483" i="1"/>
  <c r="Z483" i="1"/>
  <c r="AC482" i="1"/>
  <c r="O482" i="1"/>
  <c r="W482" i="1"/>
  <c r="P481" i="1"/>
  <c r="AB481" i="1"/>
  <c r="V480" i="1"/>
  <c r="AH480" i="1"/>
  <c r="U480" i="1"/>
  <c r="AA479" i="1"/>
  <c r="AB479" i="1"/>
  <c r="AI479" i="1"/>
  <c r="Y478" i="1"/>
  <c r="Q478" i="1"/>
  <c r="AE477" i="1"/>
  <c r="T477" i="1"/>
  <c r="O477" i="1"/>
  <c r="Z476" i="1"/>
  <c r="R476" i="1"/>
  <c r="X475" i="1"/>
  <c r="AA475" i="1"/>
  <c r="Y475" i="1"/>
  <c r="AD474" i="1"/>
  <c r="AC474" i="1"/>
  <c r="X474" i="1"/>
  <c r="O473" i="1"/>
  <c r="AH473" i="1"/>
  <c r="V472" i="1"/>
  <c r="O472" i="1"/>
  <c r="U472" i="1"/>
  <c r="P471" i="1"/>
  <c r="AD471" i="1"/>
  <c r="AI471" i="1"/>
  <c r="AA470" i="1"/>
  <c r="Q470" i="1"/>
  <c r="AF460" i="1"/>
  <c r="T460" i="1"/>
  <c r="AC460" i="1"/>
  <c r="AC459" i="1"/>
  <c r="U459" i="1"/>
  <c r="AI813" i="1"/>
  <c r="Z812" i="1"/>
  <c r="V812" i="1"/>
  <c r="Q812" i="1"/>
  <c r="X811" i="1"/>
  <c r="AA811" i="1"/>
  <c r="AH811" i="1"/>
  <c r="AC810" i="1"/>
  <c r="W810" i="1"/>
  <c r="AG809" i="1"/>
  <c r="AH809" i="1"/>
  <c r="AA809" i="1"/>
  <c r="AA808" i="1"/>
  <c r="R808" i="1"/>
  <c r="AH807" i="1"/>
  <c r="X807" i="1"/>
  <c r="O807" i="1"/>
  <c r="AD806" i="1"/>
  <c r="U806" i="1"/>
  <c r="P806" i="1"/>
  <c r="S805" i="1"/>
  <c r="AI805" i="1"/>
  <c r="Z804" i="1"/>
  <c r="AE804" i="1"/>
  <c r="V804" i="1"/>
  <c r="X803" i="1"/>
  <c r="AC803" i="1"/>
  <c r="AH803" i="1"/>
  <c r="AC802" i="1"/>
  <c r="W802" i="1"/>
  <c r="AG801" i="1"/>
  <c r="AH801" i="1"/>
  <c r="AI801" i="1"/>
  <c r="X800" i="1"/>
  <c r="R800" i="1"/>
  <c r="AH799" i="1"/>
  <c r="P799" i="1"/>
  <c r="U799" i="1"/>
  <c r="R798" i="1"/>
  <c r="U798" i="1"/>
  <c r="P798" i="1"/>
  <c r="R797" i="1"/>
  <c r="AI797" i="1"/>
  <c r="Z796" i="1"/>
  <c r="Q796" i="1"/>
  <c r="AB796" i="1"/>
  <c r="X795" i="1"/>
  <c r="AI795" i="1"/>
  <c r="AH795" i="1"/>
  <c r="AC794" i="1"/>
  <c r="W794" i="1"/>
  <c r="AI793" i="1"/>
  <c r="AF793" i="1"/>
  <c r="P793" i="1"/>
  <c r="V792" i="1"/>
  <c r="U792" i="1"/>
  <c r="U791" i="1"/>
  <c r="P791" i="1"/>
  <c r="S791" i="1"/>
  <c r="AF790" i="1"/>
  <c r="AE790" i="1"/>
  <c r="R790" i="1"/>
  <c r="AC789" i="1"/>
  <c r="T789" i="1"/>
  <c r="T788" i="1"/>
  <c r="X788" i="1"/>
  <c r="AH788" i="1"/>
  <c r="AH787" i="1"/>
  <c r="AC787" i="1"/>
  <c r="AI787" i="1"/>
  <c r="AE786" i="1"/>
  <c r="X786" i="1"/>
  <c r="AI785" i="1"/>
  <c r="AD785" i="1"/>
  <c r="X785" i="1"/>
  <c r="V784" i="1"/>
  <c r="U784" i="1"/>
  <c r="U783" i="1"/>
  <c r="Q783" i="1"/>
  <c r="AH783" i="1"/>
  <c r="AF782" i="1"/>
  <c r="AE782" i="1"/>
  <c r="R782" i="1"/>
  <c r="AH781" i="1"/>
  <c r="AD781" i="1"/>
  <c r="T780" i="1"/>
  <c r="AH780" i="1"/>
  <c r="X780" i="1"/>
  <c r="AH779" i="1"/>
  <c r="AC779" i="1"/>
  <c r="AI779" i="1"/>
  <c r="AE778" i="1"/>
  <c r="X778" i="1"/>
  <c r="AA777" i="1"/>
  <c r="R777" i="1"/>
  <c r="X777" i="1"/>
  <c r="AB776" i="1"/>
  <c r="AI776" i="1"/>
  <c r="AD775" i="1"/>
  <c r="P775" i="1"/>
  <c r="AF775" i="1"/>
  <c r="AD774" i="1"/>
  <c r="V774" i="1"/>
  <c r="P774" i="1"/>
  <c r="W773" i="1"/>
  <c r="P773" i="1"/>
  <c r="AC772" i="1"/>
  <c r="Q772" i="1"/>
  <c r="AA772" i="1"/>
  <c r="AC771" i="1"/>
  <c r="AF771" i="1"/>
  <c r="R771" i="1"/>
  <c r="R770" i="1"/>
  <c r="O770" i="1"/>
  <c r="AB769" i="1"/>
  <c r="V769" i="1"/>
  <c r="X769" i="1"/>
  <c r="O768" i="1"/>
  <c r="AF768" i="1"/>
  <c r="AD767" i="1"/>
  <c r="P767" i="1"/>
  <c r="AF767" i="1"/>
  <c r="S766" i="1"/>
  <c r="Z766" i="1"/>
  <c r="AG766" i="1"/>
  <c r="Y765" i="1"/>
  <c r="R765" i="1"/>
  <c r="W764" i="1"/>
  <c r="Z764" i="1"/>
  <c r="AA764" i="1"/>
  <c r="AI763" i="1"/>
  <c r="AE763" i="1"/>
  <c r="Z763" i="1"/>
  <c r="P762" i="1"/>
  <c r="Q762" i="1"/>
  <c r="T761" i="1"/>
  <c r="AC761" i="1"/>
  <c r="W761" i="1"/>
  <c r="U760" i="1"/>
  <c r="AD760" i="1"/>
  <c r="AA759" i="1"/>
  <c r="U759" i="1"/>
  <c r="AF759" i="1"/>
  <c r="U758" i="1"/>
  <c r="AH758" i="1"/>
  <c r="S758" i="1"/>
  <c r="AF677" i="1"/>
  <c r="Q677" i="1"/>
  <c r="Z568" i="1"/>
  <c r="AE568" i="1"/>
  <c r="X568" i="1"/>
  <c r="O567" i="1"/>
  <c r="AI567" i="1"/>
  <c r="R566" i="1"/>
  <c r="O566" i="1"/>
  <c r="U566" i="1"/>
  <c r="U565" i="1"/>
  <c r="Y565" i="1"/>
  <c r="AF565" i="1"/>
  <c r="V564" i="1"/>
  <c r="AA564" i="1"/>
  <c r="V563" i="1"/>
  <c r="AH563" i="1"/>
  <c r="Q563" i="1"/>
  <c r="X562" i="1"/>
  <c r="O562" i="1"/>
  <c r="AI561" i="1"/>
  <c r="Q561" i="1"/>
  <c r="Y561" i="1"/>
  <c r="AF560" i="1"/>
  <c r="O560" i="1"/>
  <c r="AE560" i="1"/>
  <c r="AH559" i="1"/>
  <c r="AI559" i="1"/>
  <c r="R558" i="1"/>
  <c r="Y558" i="1"/>
  <c r="V558" i="1"/>
  <c r="U557" i="1"/>
  <c r="AD557" i="1"/>
  <c r="AF557" i="1"/>
  <c r="V556" i="1"/>
  <c r="AA556" i="1"/>
  <c r="Z555" i="1"/>
  <c r="X555" i="1"/>
  <c r="S555" i="1"/>
  <c r="AB554" i="1"/>
  <c r="Q554" i="1"/>
  <c r="AI553" i="1"/>
  <c r="O553" i="1"/>
  <c r="S553" i="1"/>
  <c r="AF552" i="1"/>
  <c r="AE552" i="1"/>
  <c r="AG552" i="1"/>
  <c r="Z551" i="1"/>
  <c r="W551" i="1"/>
  <c r="AD541" i="1"/>
  <c r="Y541" i="1"/>
  <c r="T541" i="1"/>
  <c r="AG540" i="1"/>
  <c r="Z540" i="1"/>
  <c r="AI540" i="1"/>
  <c r="P539" i="1"/>
  <c r="U539" i="1"/>
  <c r="AF538" i="1"/>
  <c r="V538" i="1"/>
  <c r="AB538" i="1"/>
  <c r="AE537" i="1"/>
  <c r="R537" i="1"/>
  <c r="S536" i="1"/>
  <c r="AA536" i="1"/>
  <c r="AG536" i="1"/>
  <c r="AC535" i="1"/>
  <c r="AD535" i="1"/>
  <c r="U535" i="1"/>
  <c r="AB534" i="1"/>
  <c r="U534" i="1"/>
  <c r="S533" i="1"/>
  <c r="W533" i="1"/>
  <c r="AH533" i="1"/>
  <c r="P532" i="1"/>
  <c r="W532" i="1"/>
  <c r="AI532" i="1"/>
  <c r="AG531" i="1"/>
  <c r="AA531" i="1"/>
  <c r="Z530" i="1"/>
  <c r="AH530" i="1"/>
  <c r="AB530" i="1"/>
  <c r="X529" i="1"/>
  <c r="W529" i="1"/>
  <c r="Q528" i="1"/>
  <c r="Y528" i="1"/>
  <c r="AC528" i="1"/>
  <c r="AE527" i="1"/>
  <c r="U527" i="1"/>
  <c r="R527" i="1"/>
  <c r="AB526" i="1"/>
  <c r="AF526" i="1"/>
  <c r="Q525" i="1"/>
  <c r="AC525" i="1"/>
  <c r="AI525" i="1"/>
  <c r="Z524" i="1"/>
  <c r="AH524" i="1"/>
  <c r="AG524" i="1"/>
  <c r="Y514" i="1"/>
  <c r="O514" i="1"/>
  <c r="Z513" i="1"/>
  <c r="AH513" i="1"/>
  <c r="S513" i="1"/>
  <c r="S512" i="1"/>
  <c r="AI512" i="1"/>
  <c r="V511" i="1"/>
  <c r="AA511" i="1"/>
  <c r="X511" i="1"/>
  <c r="AD510" i="1"/>
  <c r="AH510" i="1"/>
  <c r="V510" i="1"/>
  <c r="AF509" i="1"/>
  <c r="V509" i="1"/>
  <c r="Q508" i="1"/>
  <c r="AF508" i="1"/>
  <c r="AB508" i="1"/>
  <c r="Y507" i="1"/>
  <c r="AC507" i="1"/>
  <c r="AG507" i="1"/>
  <c r="AB506" i="1"/>
  <c r="V506" i="1"/>
  <c r="W505" i="1"/>
  <c r="T505" i="1"/>
  <c r="Y505" i="1"/>
  <c r="W504" i="1"/>
  <c r="U504" i="1"/>
  <c r="X503" i="1"/>
  <c r="AC503" i="1"/>
  <c r="V503" i="1"/>
  <c r="AE502" i="1"/>
  <c r="T502" i="1"/>
  <c r="AD502" i="1"/>
  <c r="Y501" i="1"/>
  <c r="R501" i="1"/>
  <c r="Y500" i="1"/>
  <c r="AH500" i="1"/>
  <c r="U500" i="1"/>
  <c r="AF499" i="1"/>
  <c r="O499" i="1"/>
  <c r="AI499" i="1"/>
  <c r="V498" i="1"/>
  <c r="Q498" i="1"/>
  <c r="W497" i="1"/>
  <c r="P497" i="1"/>
  <c r="AE497" i="1"/>
  <c r="Z487" i="1"/>
  <c r="R487" i="1"/>
  <c r="S486" i="1"/>
  <c r="Z486" i="1"/>
  <c r="AC486" i="1"/>
  <c r="AB485" i="1"/>
  <c r="O485" i="1"/>
  <c r="AD485" i="1"/>
  <c r="AH484" i="1"/>
  <c r="AD484" i="1"/>
  <c r="Y483" i="1"/>
  <c r="AG483" i="1"/>
  <c r="O483" i="1"/>
  <c r="AF482" i="1"/>
  <c r="AB482" i="1"/>
  <c r="AI482" i="1"/>
  <c r="AA481" i="1"/>
  <c r="Q481" i="1"/>
  <c r="W480" i="1"/>
  <c r="T480" i="1"/>
  <c r="Y480" i="1"/>
  <c r="AC479" i="1"/>
  <c r="U479" i="1"/>
  <c r="S478" i="1"/>
  <c r="Z478" i="1"/>
  <c r="AG478" i="1"/>
  <c r="P477" i="1"/>
  <c r="W477" i="1"/>
  <c r="X477" i="1"/>
  <c r="AH476" i="1"/>
  <c r="X476" i="1"/>
  <c r="S475" i="1"/>
  <c r="AG475" i="1"/>
  <c r="O475" i="1"/>
  <c r="V474" i="1"/>
  <c r="P474" i="1"/>
  <c r="AI474" i="1"/>
  <c r="AA473" i="1"/>
  <c r="Q473" i="1"/>
  <c r="AF472" i="1"/>
  <c r="T472" i="1"/>
  <c r="W472" i="1"/>
  <c r="AA471" i="1"/>
  <c r="R471" i="1"/>
  <c r="X470" i="1"/>
  <c r="Z470" i="1"/>
  <c r="Y470" i="1"/>
  <c r="AG460" i="1"/>
  <c r="Z460" i="1"/>
  <c r="X460" i="1"/>
  <c r="W459" i="1"/>
  <c r="X813" i="1"/>
  <c r="AH812" i="1"/>
  <c r="AI812" i="1"/>
  <c r="O812" i="1"/>
  <c r="T811" i="1"/>
  <c r="AI811" i="1"/>
  <c r="AI810" i="1"/>
  <c r="Y810" i="1"/>
  <c r="R810" i="1"/>
  <c r="W809" i="1"/>
  <c r="AD809" i="1"/>
  <c r="AF809" i="1"/>
  <c r="T808" i="1"/>
  <c r="U808" i="1"/>
  <c r="S807" i="1"/>
  <c r="W807" i="1"/>
  <c r="AG807" i="1"/>
  <c r="Y806" i="1"/>
  <c r="AH806" i="1"/>
  <c r="AI806" i="1"/>
  <c r="AD805" i="1"/>
  <c r="X805" i="1"/>
  <c r="W804" i="1"/>
  <c r="AB804" i="1"/>
  <c r="O804" i="1"/>
  <c r="Y803" i="1"/>
  <c r="Q803" i="1"/>
  <c r="AI802" i="1"/>
  <c r="Q802" i="1"/>
  <c r="R802" i="1"/>
  <c r="W801" i="1"/>
  <c r="AD801" i="1"/>
  <c r="AF801" i="1"/>
  <c r="T800" i="1"/>
  <c r="U800" i="1"/>
  <c r="S799" i="1"/>
  <c r="W799" i="1"/>
  <c r="AG799" i="1"/>
  <c r="Y798" i="1"/>
  <c r="T798" i="1"/>
  <c r="AI798" i="1"/>
  <c r="S797" i="1"/>
  <c r="X797" i="1"/>
  <c r="AH796" i="1"/>
  <c r="AI796" i="1"/>
  <c r="O796" i="1"/>
  <c r="AG795" i="1"/>
  <c r="Y795" i="1"/>
  <c r="AI794" i="1"/>
  <c r="Q794" i="1"/>
  <c r="R794" i="1"/>
  <c r="O793" i="1"/>
  <c r="AG793" i="1"/>
  <c r="AH793" i="1"/>
  <c r="O792" i="1"/>
  <c r="AE792" i="1"/>
  <c r="AC791" i="1"/>
  <c r="Y791" i="1"/>
  <c r="AI791" i="1"/>
  <c r="AA790" i="1"/>
  <c r="AD790" i="1"/>
  <c r="AB790" i="1"/>
  <c r="V789" i="1"/>
  <c r="O789" i="1"/>
  <c r="AB788" i="1"/>
  <c r="AC788" i="1"/>
  <c r="W788" i="1"/>
  <c r="W787" i="1"/>
  <c r="AD787" i="1"/>
  <c r="V786" i="1"/>
  <c r="AA786" i="1"/>
  <c r="Y786" i="1"/>
  <c r="AG785" i="1"/>
  <c r="Q785" i="1"/>
  <c r="AH785" i="1"/>
  <c r="W784" i="1"/>
  <c r="P784" i="1"/>
  <c r="AC783" i="1"/>
  <c r="P783" i="1"/>
  <c r="Y783" i="1"/>
  <c r="S782" i="1"/>
  <c r="V782" i="1"/>
  <c r="AB782" i="1"/>
  <c r="R781" i="1"/>
  <c r="Y781" i="1"/>
  <c r="AB780" i="1"/>
  <c r="AE780" i="1"/>
  <c r="Q780" i="1"/>
  <c r="AE779" i="1"/>
  <c r="AD779" i="1"/>
  <c r="V778" i="1"/>
  <c r="AA778" i="1"/>
  <c r="Q778" i="1"/>
  <c r="Y777" i="1"/>
  <c r="AB777" i="1"/>
  <c r="AH777" i="1"/>
  <c r="AH776" i="1"/>
  <c r="AD776" i="1"/>
  <c r="O775" i="1"/>
  <c r="AI775" i="1"/>
  <c r="T775" i="1"/>
  <c r="T774" i="1"/>
  <c r="AG774" i="1"/>
  <c r="AH774" i="1"/>
  <c r="R773" i="1"/>
  <c r="AH773" i="1"/>
  <c r="V772" i="1"/>
  <c r="W772" i="1"/>
  <c r="Y772" i="1"/>
  <c r="AA771" i="1"/>
  <c r="Y771" i="1"/>
  <c r="T770" i="1"/>
  <c r="V770" i="1"/>
  <c r="AG770" i="1"/>
  <c r="O769" i="1"/>
  <c r="Q769" i="1"/>
  <c r="AF769" i="1"/>
  <c r="U768" i="1"/>
  <c r="Q768" i="1"/>
  <c r="O767" i="1"/>
  <c r="AA767" i="1"/>
  <c r="AI767" i="1"/>
  <c r="P766" i="1"/>
  <c r="T766" i="1"/>
  <c r="V766" i="1"/>
  <c r="T765" i="1"/>
  <c r="O765" i="1"/>
  <c r="AE764" i="1"/>
  <c r="U764" i="1"/>
  <c r="Q764" i="1"/>
  <c r="U763" i="1"/>
  <c r="AG763" i="1"/>
  <c r="Z762" i="1"/>
  <c r="W762" i="1"/>
  <c r="O762" i="1"/>
  <c r="AD761" i="1"/>
  <c r="Q761" i="1"/>
  <c r="AE761" i="1"/>
  <c r="AH760" i="1"/>
  <c r="W760" i="1"/>
  <c r="AI759" i="1"/>
  <c r="V759" i="1"/>
  <c r="Z759" i="1"/>
  <c r="AF758" i="1"/>
  <c r="AD758" i="1"/>
  <c r="AE758" i="1"/>
  <c r="V677" i="1"/>
  <c r="AA677" i="1"/>
  <c r="Q568" i="1"/>
  <c r="P568" i="1"/>
  <c r="AD568" i="1"/>
  <c r="AB567" i="1"/>
  <c r="R567" i="1"/>
  <c r="AB566" i="1"/>
  <c r="AD566" i="1"/>
  <c r="AI566" i="1"/>
  <c r="V565" i="1"/>
  <c r="O565" i="1"/>
  <c r="AG564" i="1"/>
  <c r="Q564" i="1"/>
  <c r="AH564" i="1"/>
  <c r="AD563" i="1"/>
  <c r="AF563" i="1"/>
  <c r="W563" i="1"/>
  <c r="T562" i="1"/>
  <c r="AG562" i="1"/>
  <c r="P561" i="1"/>
  <c r="T561" i="1"/>
  <c r="AA561" i="1"/>
  <c r="P560" i="1"/>
  <c r="X560" i="1"/>
  <c r="AD560" i="1"/>
  <c r="AB559" i="1"/>
  <c r="R559" i="1"/>
  <c r="X558" i="1"/>
  <c r="U558" i="1"/>
  <c r="S558" i="1"/>
  <c r="V557" i="1"/>
  <c r="T557" i="1"/>
  <c r="AG556" i="1"/>
  <c r="AI556" i="1"/>
  <c r="Q556" i="1"/>
  <c r="P555" i="1"/>
  <c r="Q555" i="1"/>
  <c r="V555" i="1"/>
  <c r="AD554" i="1"/>
  <c r="AG554" i="1"/>
  <c r="P553" i="1"/>
  <c r="W553" i="1"/>
  <c r="AD553" i="1"/>
  <c r="V552" i="1"/>
  <c r="Z552" i="1"/>
  <c r="AD552" i="1"/>
  <c r="AF551" i="1"/>
  <c r="AI551" i="1"/>
  <c r="AC541" i="1"/>
  <c r="V541" i="1"/>
  <c r="AB541" i="1"/>
  <c r="AF540" i="1"/>
  <c r="W540" i="1"/>
  <c r="S539" i="1"/>
  <c r="AA539" i="1"/>
  <c r="Q539" i="1"/>
  <c r="P538" i="1"/>
  <c r="O538" i="1"/>
  <c r="X538" i="1"/>
  <c r="AH537" i="1"/>
  <c r="U537" i="1"/>
  <c r="AD536" i="1"/>
  <c r="O536" i="1"/>
  <c r="W536" i="1"/>
  <c r="AE535" i="1"/>
  <c r="V535" i="1"/>
  <c r="AI535" i="1"/>
  <c r="AA534" i="1"/>
  <c r="Q534" i="1"/>
  <c r="AC533" i="1"/>
  <c r="V533" i="1"/>
  <c r="AB533" i="1"/>
  <c r="AA532" i="1"/>
  <c r="R532" i="1"/>
  <c r="Z531" i="1"/>
  <c r="AH531" i="1"/>
  <c r="R531" i="1"/>
  <c r="AC530" i="1"/>
  <c r="X530" i="1"/>
  <c r="V530" i="1"/>
  <c r="AF529" i="1"/>
  <c r="R529" i="1"/>
  <c r="W528" i="1"/>
  <c r="AA528" i="1"/>
  <c r="S528" i="1"/>
  <c r="AD527" i="1"/>
  <c r="W527" i="1"/>
  <c r="AG527" i="1"/>
  <c r="Y526" i="1"/>
  <c r="O526" i="1"/>
  <c r="Z525" i="1"/>
  <c r="AH525" i="1"/>
  <c r="AB525" i="1"/>
  <c r="W524" i="1"/>
  <c r="AI524" i="1"/>
  <c r="V514" i="1"/>
  <c r="W514" i="1"/>
  <c r="X514" i="1"/>
  <c r="T513" i="1"/>
  <c r="U513" i="1"/>
  <c r="V513" i="1"/>
  <c r="AC512" i="1"/>
  <c r="W512" i="1"/>
  <c r="Q511" i="1"/>
  <c r="AF511" i="1"/>
  <c r="AI511" i="1"/>
  <c r="AE510" i="1"/>
  <c r="AC510" i="1"/>
  <c r="AG510" i="1"/>
  <c r="Y509" i="1"/>
  <c r="O509" i="1"/>
  <c r="Z508" i="1"/>
  <c r="AH508" i="1"/>
  <c r="T508" i="1"/>
  <c r="X507" i="1"/>
  <c r="P507" i="1"/>
  <c r="U506" i="1"/>
  <c r="AF506" i="1"/>
  <c r="O506" i="1"/>
  <c r="O505" i="1"/>
  <c r="Z505" i="1"/>
  <c r="X505" i="1"/>
  <c r="P504" i="1"/>
  <c r="O504" i="1"/>
  <c r="S503" i="1"/>
  <c r="P503" i="1"/>
  <c r="AG503" i="1"/>
  <c r="AB502" i="1"/>
  <c r="AG502" i="1"/>
  <c r="AI502" i="1"/>
  <c r="P501" i="1"/>
  <c r="AB501" i="1"/>
  <c r="AE500" i="1"/>
  <c r="T500" i="1"/>
  <c r="V500" i="1"/>
  <c r="Z499" i="1"/>
  <c r="R499" i="1"/>
  <c r="X498" i="1"/>
  <c r="AA498" i="1"/>
  <c r="AB498" i="1"/>
  <c r="Z497" i="1"/>
  <c r="Y497" i="1"/>
  <c r="X497" i="1"/>
  <c r="AH487" i="1"/>
  <c r="AE487" i="1"/>
  <c r="Y486" i="1"/>
  <c r="AH486" i="1"/>
  <c r="AG486" i="1"/>
  <c r="AF485" i="1"/>
  <c r="AG485" i="1"/>
  <c r="AI485" i="1"/>
  <c r="AB484" i="1"/>
  <c r="Q484" i="1"/>
  <c r="V483" i="1"/>
  <c r="AH483" i="1"/>
  <c r="R483" i="1"/>
  <c r="R482" i="1"/>
  <c r="AE482" i="1"/>
  <c r="X481" i="1"/>
  <c r="Z481" i="1"/>
  <c r="AG481" i="1"/>
  <c r="AF480" i="1"/>
  <c r="AC480" i="1"/>
  <c r="X480" i="1"/>
  <c r="P479" i="1"/>
  <c r="AE479" i="1"/>
  <c r="AE478" i="1"/>
  <c r="W478" i="1"/>
  <c r="AH478" i="1"/>
  <c r="AF477" i="1"/>
  <c r="V477" i="1"/>
  <c r="AI477" i="1"/>
  <c r="AA476" i="1"/>
  <c r="Q476" i="1"/>
  <c r="V475" i="1"/>
  <c r="P475" i="1"/>
  <c r="R475" i="1"/>
  <c r="AF474" i="1"/>
  <c r="U474" i="1"/>
  <c r="X473" i="1"/>
  <c r="AG473" i="1"/>
  <c r="Z473" i="1"/>
  <c r="P472" i="1"/>
  <c r="AC472" i="1"/>
  <c r="S472" i="1"/>
  <c r="Z471" i="1"/>
  <c r="AE471" i="1"/>
  <c r="S470" i="1"/>
  <c r="AH470" i="1"/>
  <c r="W470" i="1"/>
  <c r="AA460" i="1"/>
  <c r="P460" i="1"/>
  <c r="AI460" i="1"/>
  <c r="AA459" i="1"/>
  <c r="Z813" i="1"/>
  <c r="X812" i="1"/>
  <c r="W812" i="1"/>
  <c r="AG812" i="1"/>
  <c r="AC811" i="1"/>
  <c r="AD811" i="1"/>
  <c r="T810" i="1"/>
  <c r="V810" i="1"/>
  <c r="AH810" i="1"/>
  <c r="R809" i="1"/>
  <c r="S809" i="1"/>
  <c r="AB809" i="1"/>
  <c r="AE808" i="1"/>
  <c r="Y808" i="1"/>
  <c r="AA807" i="1"/>
  <c r="AB807" i="1"/>
  <c r="AE807" i="1"/>
  <c r="AC806" i="1"/>
  <c r="T806" i="1"/>
  <c r="AB805" i="1"/>
  <c r="O805" i="1"/>
  <c r="W805" i="1"/>
  <c r="AH804" i="1"/>
  <c r="Q804" i="1"/>
  <c r="AG804" i="1"/>
  <c r="AA803" i="1"/>
  <c r="AD803" i="1"/>
  <c r="T802" i="1"/>
  <c r="AD802" i="1"/>
  <c r="AH802" i="1"/>
  <c r="R801" i="1"/>
  <c r="AE801" i="1"/>
  <c r="AB801" i="1"/>
  <c r="AE800" i="1"/>
  <c r="Y800" i="1"/>
  <c r="AA799" i="1"/>
  <c r="AB799" i="1"/>
  <c r="AE799" i="1"/>
  <c r="AC798" i="1"/>
  <c r="AB798" i="1"/>
  <c r="AB797" i="1"/>
  <c r="AD797" i="1"/>
  <c r="Y797" i="1"/>
  <c r="T796" i="1"/>
  <c r="AE796" i="1"/>
  <c r="AG796" i="1"/>
  <c r="AC795" i="1"/>
  <c r="AD795" i="1"/>
  <c r="T794" i="1"/>
  <c r="X794" i="1"/>
  <c r="AH794" i="1"/>
  <c r="T793" i="1"/>
  <c r="V793" i="1"/>
  <c r="AC793" i="1"/>
  <c r="AG792" i="1"/>
  <c r="Z792" i="1"/>
  <c r="V791" i="1"/>
  <c r="O791" i="1"/>
  <c r="R791" i="1"/>
  <c r="P790" i="1"/>
  <c r="O790" i="1"/>
  <c r="R789" i="1"/>
  <c r="Z789" i="1"/>
  <c r="Y789" i="1"/>
  <c r="Y788" i="1"/>
  <c r="AG788" i="1"/>
  <c r="AA788" i="1"/>
  <c r="X787" i="1"/>
  <c r="Q787" i="1"/>
  <c r="AD786" i="1"/>
  <c r="Z786" i="1"/>
  <c r="AB786" i="1"/>
  <c r="T785" i="1"/>
  <c r="W785" i="1"/>
  <c r="AC785" i="1"/>
  <c r="AG784" i="1"/>
  <c r="Z784" i="1"/>
  <c r="V783" i="1"/>
  <c r="O783" i="1"/>
  <c r="R783" i="1"/>
  <c r="P782" i="1"/>
  <c r="O782" i="1"/>
  <c r="W781" i="1"/>
  <c r="AF781" i="1"/>
  <c r="S781" i="1"/>
  <c r="R780" i="1"/>
  <c r="AG780" i="1"/>
  <c r="AA780" i="1"/>
  <c r="AF779" i="1"/>
  <c r="Y779" i="1"/>
  <c r="AD778" i="1"/>
  <c r="Z778" i="1"/>
  <c r="Y778" i="1"/>
  <c r="AI777" i="1"/>
  <c r="O777" i="1"/>
  <c r="AC777" i="1"/>
  <c r="Q776" i="1"/>
  <c r="AG776" i="1"/>
  <c r="S775" i="1"/>
  <c r="R775" i="1"/>
  <c r="U775" i="1"/>
  <c r="X774" i="1"/>
  <c r="R774" i="1"/>
  <c r="AF773" i="1"/>
  <c r="AD773" i="1"/>
  <c r="AC773" i="1"/>
  <c r="P772" i="1"/>
  <c r="Z772" i="1"/>
  <c r="AG772" i="1"/>
  <c r="P771" i="1"/>
  <c r="AG771" i="1"/>
  <c r="AE770" i="1"/>
  <c r="Q770" i="1"/>
  <c r="Z770" i="1"/>
  <c r="U769" i="1"/>
  <c r="R769" i="1"/>
  <c r="AA769" i="1"/>
  <c r="S768" i="1"/>
  <c r="AI768" i="1"/>
  <c r="Q767" i="1"/>
  <c r="AG767" i="1"/>
  <c r="R767" i="1"/>
  <c r="R766" i="1"/>
  <c r="U766" i="1"/>
  <c r="AH765" i="1"/>
  <c r="W765" i="1"/>
  <c r="AF765" i="1"/>
  <c r="AB764" i="1"/>
  <c r="AF764" i="1"/>
  <c r="S764" i="1"/>
  <c r="AD763" i="1"/>
  <c r="R763" i="1"/>
  <c r="AH762" i="1"/>
  <c r="AC762" i="1"/>
  <c r="X762" i="1"/>
  <c r="AB761" i="1"/>
  <c r="X761" i="1"/>
  <c r="S761" i="1"/>
  <c r="Y760" i="1"/>
  <c r="O760" i="1"/>
  <c r="AG759" i="1"/>
  <c r="AH759" i="1"/>
  <c r="Q759" i="1"/>
  <c r="AI758" i="1"/>
  <c r="AG758" i="1"/>
  <c r="X677" i="1"/>
  <c r="AG677" i="1"/>
  <c r="AC677" i="1"/>
  <c r="S568" i="1"/>
  <c r="Y568" i="1"/>
  <c r="Y567" i="1"/>
  <c r="AF567" i="1"/>
  <c r="S567" i="1"/>
  <c r="Y566" i="1"/>
  <c r="X566" i="1"/>
  <c r="AA566" i="1"/>
  <c r="W565" i="1"/>
  <c r="AE565" i="1"/>
  <c r="AC564" i="1"/>
  <c r="Y564" i="1"/>
  <c r="P564" i="1"/>
  <c r="AA563" i="1"/>
  <c r="P563" i="1"/>
  <c r="AC563" i="1"/>
  <c r="Z562" i="1"/>
  <c r="P562" i="1"/>
  <c r="AG561" i="1"/>
  <c r="AH561" i="1"/>
  <c r="O561" i="1"/>
  <c r="S560" i="1"/>
  <c r="W560" i="1"/>
  <c r="Y559" i="1"/>
  <c r="Z559" i="1"/>
  <c r="AE559" i="1"/>
  <c r="AI558" i="1"/>
  <c r="O558" i="1"/>
  <c r="AD558" i="1"/>
  <c r="AB557" i="1"/>
  <c r="AE557" i="1"/>
  <c r="AC556" i="1"/>
  <c r="W556" i="1"/>
  <c r="Y556" i="1"/>
  <c r="AH555" i="1"/>
  <c r="U555" i="1"/>
  <c r="AF555" i="1"/>
  <c r="Z554" i="1"/>
  <c r="P554" i="1"/>
  <c r="Q553" i="1"/>
  <c r="AA553" i="1"/>
  <c r="Y553" i="1"/>
  <c r="Q552" i="1"/>
  <c r="AB552" i="1"/>
  <c r="Y551" i="1"/>
  <c r="AB551" i="1"/>
  <c r="R551" i="1"/>
  <c r="P541" i="1"/>
  <c r="O541" i="1"/>
  <c r="X541" i="1"/>
  <c r="O540" i="1"/>
  <c r="R540" i="1"/>
  <c r="AD539" i="1"/>
  <c r="AE539" i="1"/>
  <c r="AB539" i="1"/>
  <c r="AA538" i="1"/>
  <c r="AH538" i="1"/>
  <c r="AI538" i="1"/>
  <c r="AD537" i="1"/>
  <c r="Q537" i="1"/>
  <c r="AE536" i="1"/>
  <c r="Y536" i="1"/>
  <c r="T536" i="1"/>
  <c r="P535" i="1"/>
  <c r="W535" i="1"/>
  <c r="S534" i="1"/>
  <c r="O534" i="1"/>
  <c r="AG534" i="1"/>
  <c r="AG533" i="1"/>
  <c r="O533" i="1"/>
  <c r="U533" i="1"/>
  <c r="AH532" i="1"/>
  <c r="X532" i="1"/>
  <c r="U531" i="1"/>
  <c r="V531" i="1"/>
  <c r="O531" i="1"/>
  <c r="AD530" i="1"/>
  <c r="AF530" i="1"/>
  <c r="AG530" i="1"/>
  <c r="S529" i="1"/>
  <c r="O529" i="1"/>
  <c r="U528" i="1"/>
  <c r="AI528" i="1"/>
  <c r="T528" i="1"/>
  <c r="X527" i="1"/>
  <c r="P527" i="1"/>
  <c r="V526" i="1"/>
  <c r="AA526" i="1"/>
  <c r="AE526" i="1"/>
  <c r="AE525" i="1"/>
  <c r="U525" i="1"/>
  <c r="R525" i="1"/>
  <c r="AD524" i="1"/>
  <c r="P524" i="1"/>
  <c r="Q514" i="1"/>
  <c r="T514" i="1"/>
  <c r="AC514" i="1"/>
  <c r="AD513" i="1"/>
  <c r="AB513" i="1"/>
  <c r="AG513" i="1"/>
  <c r="Y512" i="1"/>
  <c r="O512" i="1"/>
  <c r="U511" i="1"/>
  <c r="AH511" i="1"/>
  <c r="AB511" i="1"/>
  <c r="Y510" i="1"/>
  <c r="P510" i="1"/>
  <c r="S509" i="1"/>
  <c r="AA509" i="1"/>
  <c r="AE509" i="1"/>
  <c r="AE508" i="1"/>
  <c r="AA508" i="1"/>
  <c r="R508" i="1"/>
  <c r="AF507" i="1"/>
  <c r="V507" i="1"/>
  <c r="S506" i="1"/>
  <c r="Y506" i="1"/>
  <c r="AE506" i="1"/>
  <c r="AF505" i="1"/>
  <c r="P505" i="1"/>
  <c r="AI505" i="1"/>
  <c r="Y504" i="1"/>
  <c r="Q504" i="1"/>
  <c r="O503" i="1"/>
  <c r="T503" i="1"/>
  <c r="U503" i="1"/>
  <c r="AF502" i="1"/>
  <c r="U502" i="1"/>
  <c r="X501" i="1"/>
  <c r="AA501" i="1"/>
  <c r="Q501" i="1"/>
  <c r="W500" i="1"/>
  <c r="AC500" i="1"/>
  <c r="X500" i="1"/>
  <c r="AH499" i="1"/>
  <c r="AD499" i="1"/>
  <c r="S498" i="1"/>
  <c r="AG498" i="1"/>
  <c r="U498" i="1"/>
  <c r="AF497" i="1"/>
  <c r="T497" i="1"/>
  <c r="AI497" i="1"/>
  <c r="AA487" i="1"/>
  <c r="Q487" i="1"/>
  <c r="AE486" i="1"/>
  <c r="T486" i="1"/>
  <c r="R486" i="1"/>
  <c r="AC485" i="1"/>
  <c r="U485" i="1"/>
  <c r="S484" i="1"/>
  <c r="W484" i="1"/>
  <c r="AG484" i="1"/>
  <c r="AE483" i="1"/>
  <c r="T483" i="1"/>
  <c r="X483" i="1"/>
  <c r="V482" i="1"/>
  <c r="AH482" i="1"/>
  <c r="S481" i="1"/>
  <c r="U481" i="1"/>
  <c r="AH481" i="1"/>
  <c r="AG480" i="1"/>
  <c r="P480" i="1"/>
  <c r="AI480" i="1"/>
  <c r="Y479" i="1"/>
  <c r="Q479" i="1"/>
  <c r="AF478" i="1"/>
  <c r="T478" i="1"/>
  <c r="R478" i="1"/>
  <c r="AC477" i="1"/>
  <c r="R477" i="1"/>
  <c r="AB476" i="1"/>
  <c r="W476" i="1"/>
  <c r="AG476" i="1"/>
  <c r="AE475" i="1"/>
  <c r="T475" i="1"/>
  <c r="AD475" i="1"/>
  <c r="AG474" i="1"/>
  <c r="W474" i="1"/>
  <c r="S473" i="1"/>
  <c r="P473" i="1"/>
  <c r="Y473" i="1"/>
  <c r="AA472" i="1"/>
  <c r="AE472" i="1"/>
  <c r="AI472" i="1"/>
  <c r="AH471" i="1"/>
  <c r="Q471" i="1"/>
  <c r="AE470" i="1"/>
  <c r="T470" i="1"/>
  <c r="R470" i="1"/>
  <c r="Y460" i="1"/>
  <c r="V460" i="1"/>
  <c r="X459" i="1"/>
  <c r="V459" i="1"/>
  <c r="W813" i="1"/>
  <c r="S812" i="1"/>
  <c r="T812" i="1"/>
  <c r="AC812" i="1"/>
  <c r="AF811" i="1"/>
  <c r="Z811" i="1"/>
  <c r="AB810" i="1"/>
  <c r="O810" i="1"/>
  <c r="AF810" i="1"/>
  <c r="O809" i="1"/>
  <c r="U809" i="1"/>
  <c r="V808" i="1"/>
  <c r="X808" i="1"/>
  <c r="P808" i="1"/>
  <c r="Q807" i="1"/>
  <c r="AF807" i="1"/>
  <c r="Z807" i="1"/>
  <c r="O806" i="1"/>
  <c r="AE806" i="1"/>
  <c r="U805" i="1"/>
  <c r="Q805" i="1"/>
  <c r="AA805" i="1"/>
  <c r="X804" i="1"/>
  <c r="AI804" i="1"/>
  <c r="AC804" i="1"/>
  <c r="AF803" i="1"/>
  <c r="Z803" i="1"/>
  <c r="AB802" i="1"/>
  <c r="O802" i="1"/>
  <c r="P802" i="1"/>
  <c r="V801" i="1"/>
  <c r="AC801" i="1"/>
  <c r="V800" i="1"/>
  <c r="AA800" i="1"/>
  <c r="AF800" i="1"/>
  <c r="Q799" i="1"/>
  <c r="AF799" i="1"/>
  <c r="Z799" i="1"/>
  <c r="O798" i="1"/>
  <c r="AE798" i="1"/>
  <c r="U797" i="1"/>
  <c r="Z797" i="1"/>
  <c r="AA797" i="1"/>
  <c r="S796" i="1"/>
  <c r="AF796" i="1"/>
  <c r="AC796" i="1"/>
  <c r="AF795" i="1"/>
  <c r="Z795" i="1"/>
  <c r="AB794" i="1"/>
  <c r="O794" i="1"/>
  <c r="V794" i="1"/>
  <c r="W793" i="1"/>
  <c r="Z793" i="1"/>
  <c r="X792" i="1"/>
  <c r="AD792" i="1"/>
  <c r="AI792" i="1"/>
  <c r="X791" i="1"/>
  <c r="AH791" i="1"/>
  <c r="AB791" i="1"/>
  <c r="Q790" i="1"/>
  <c r="AG790" i="1"/>
  <c r="AE789" i="1"/>
  <c r="U789" i="1"/>
  <c r="AA789" i="1"/>
  <c r="O788" i="1"/>
  <c r="Z788" i="1"/>
  <c r="AD788" i="1"/>
  <c r="AB787" i="1"/>
  <c r="AA787" i="1"/>
  <c r="O786" i="1"/>
  <c r="P786" i="1"/>
  <c r="Q786" i="1"/>
  <c r="AF785" i="1"/>
  <c r="P785" i="1"/>
  <c r="AF784" i="1"/>
  <c r="AD784" i="1"/>
  <c r="O784" i="1"/>
  <c r="AA783" i="1"/>
  <c r="S783" i="1"/>
  <c r="AB783" i="1"/>
  <c r="Q782" i="1"/>
  <c r="AG782" i="1"/>
  <c r="AE781" i="1"/>
  <c r="AA781" i="1"/>
  <c r="V781" i="1"/>
  <c r="U780" i="1"/>
  <c r="P780" i="1"/>
  <c r="AD780" i="1"/>
  <c r="T779" i="1"/>
  <c r="AA779" i="1"/>
  <c r="O778" i="1"/>
  <c r="P778" i="1"/>
  <c r="AG778" i="1"/>
  <c r="Q777" i="1"/>
  <c r="P777" i="1"/>
  <c r="AE776" i="1"/>
  <c r="Z776" i="1"/>
  <c r="U776" i="1"/>
  <c r="W775" i="1"/>
  <c r="X775" i="1"/>
  <c r="AH775" i="1"/>
  <c r="Y774" i="1"/>
  <c r="Z774" i="1"/>
  <c r="Q773" i="1"/>
  <c r="T773" i="1"/>
  <c r="O773" i="1"/>
  <c r="AD772" i="1"/>
  <c r="S772" i="1"/>
  <c r="AB772" i="1"/>
  <c r="V771" i="1"/>
  <c r="AB771" i="1"/>
  <c r="P770" i="1"/>
  <c r="U770" i="1"/>
  <c r="AD770" i="1"/>
  <c r="AE769" i="1"/>
  <c r="AH769" i="1"/>
  <c r="AG768" i="1"/>
  <c r="W768" i="1"/>
  <c r="AB768" i="1"/>
  <c r="W767" i="1"/>
  <c r="U767" i="1"/>
  <c r="AH767" i="1"/>
  <c r="AA766" i="1"/>
  <c r="AC766" i="1"/>
  <c r="S765" i="1"/>
  <c r="AC765" i="1"/>
  <c r="U765" i="1"/>
  <c r="P764" i="1"/>
  <c r="Y764" i="1"/>
  <c r="V764" i="1"/>
  <c r="T763" i="1"/>
  <c r="O763" i="1"/>
  <c r="AI762" i="1"/>
  <c r="S762" i="1"/>
  <c r="AA762" i="1"/>
  <c r="Y761" i="1"/>
  <c r="Z761" i="1"/>
  <c r="P760" i="1"/>
  <c r="AC760" i="1"/>
  <c r="R760" i="1"/>
  <c r="T759" i="1"/>
  <c r="AC759" i="1"/>
  <c r="Y759" i="1"/>
  <c r="AC758" i="1"/>
  <c r="T758" i="1"/>
  <c r="T677" i="1"/>
  <c r="R677" i="1"/>
  <c r="S677" i="1"/>
  <c r="R568" i="1"/>
  <c r="U568" i="1"/>
  <c r="T567" i="1"/>
  <c r="AH567" i="1"/>
  <c r="AA567" i="1"/>
  <c r="AE566" i="1"/>
  <c r="S566" i="1"/>
  <c r="AH566" i="1"/>
  <c r="X565" i="1"/>
  <c r="AC565" i="1"/>
  <c r="AE564" i="1"/>
  <c r="AF564" i="1"/>
  <c r="O564" i="1"/>
  <c r="AG563" i="1"/>
  <c r="O563" i="1"/>
  <c r="W562" i="1"/>
  <c r="AC562" i="1"/>
  <c r="S562" i="1"/>
  <c r="W561" i="1"/>
  <c r="S561" i="1"/>
  <c r="AB561" i="1"/>
  <c r="AI560" i="1"/>
  <c r="R560" i="1"/>
  <c r="T559" i="1"/>
  <c r="AC559" i="1"/>
  <c r="V559" i="1"/>
  <c r="AC558" i="1"/>
  <c r="AF558" i="1"/>
  <c r="AH558" i="1"/>
  <c r="X557" i="1"/>
  <c r="AC557" i="1"/>
  <c r="O556" i="1"/>
  <c r="AH556" i="1"/>
  <c r="P556" i="1"/>
  <c r="AG555" i="1"/>
  <c r="AE555" i="1"/>
  <c r="W554" i="1"/>
  <c r="V554" i="1"/>
  <c r="AF554" i="1"/>
  <c r="V553" i="1"/>
  <c r="R553" i="1"/>
  <c r="AH553" i="1"/>
  <c r="Y552" i="1"/>
  <c r="O552" i="1"/>
  <c r="T551" i="1"/>
  <c r="AE551" i="1"/>
  <c r="O551" i="1"/>
  <c r="AF541" i="1"/>
  <c r="W541" i="1"/>
  <c r="AI541" i="1"/>
  <c r="T540" i="1"/>
  <c r="AH540" i="1"/>
  <c r="T539" i="1"/>
  <c r="Y539" i="1"/>
  <c r="R539" i="1"/>
  <c r="AE538" i="1"/>
  <c r="R538" i="1"/>
  <c r="S537" i="1"/>
  <c r="AB537" i="1"/>
  <c r="O537" i="1"/>
  <c r="AC536" i="1"/>
  <c r="V536" i="1"/>
  <c r="X536" i="1"/>
  <c r="AF535" i="1"/>
  <c r="R535" i="1"/>
  <c r="AD534" i="1"/>
  <c r="AH534" i="1"/>
  <c r="W534" i="1"/>
  <c r="AF533" i="1"/>
  <c r="P533" i="1"/>
  <c r="AI533" i="1"/>
  <c r="AD532" i="1"/>
  <c r="Q532" i="1"/>
  <c r="W531" i="1"/>
  <c r="AC531" i="1"/>
  <c r="T531" i="1"/>
  <c r="U530" i="1"/>
  <c r="P530" i="1"/>
  <c r="Q529" i="1"/>
  <c r="T529" i="1"/>
  <c r="U529" i="1"/>
  <c r="Z528" i="1"/>
  <c r="AH528" i="1"/>
  <c r="V528" i="1"/>
  <c r="T527" i="1"/>
  <c r="AF527" i="1"/>
  <c r="Q526" i="1"/>
  <c r="AI526" i="1"/>
  <c r="AC526" i="1"/>
  <c r="AD525" i="1"/>
  <c r="W525" i="1"/>
  <c r="AG525" i="1"/>
  <c r="AA524" i="1"/>
  <c r="R524" i="1"/>
  <c r="Z514" i="1"/>
  <c r="AH514" i="1"/>
  <c r="P514" i="1"/>
  <c r="X513" i="1"/>
  <c r="P513" i="1"/>
  <c r="V512" i="1"/>
  <c r="U512" i="1"/>
  <c r="AA512" i="1"/>
  <c r="Z511" i="1"/>
  <c r="S511" i="1"/>
  <c r="R511" i="1"/>
  <c r="X510" i="1"/>
  <c r="R510" i="1"/>
  <c r="W509" i="1"/>
  <c r="AI509" i="1"/>
  <c r="R509" i="1"/>
  <c r="AD508" i="1"/>
  <c r="AI508" i="1"/>
  <c r="AG508" i="1"/>
  <c r="S507" i="1"/>
  <c r="O507" i="1"/>
  <c r="W506" i="1"/>
  <c r="R506" i="1"/>
  <c r="T506" i="1"/>
  <c r="AE505" i="1"/>
  <c r="R505" i="1"/>
  <c r="S504" i="1"/>
  <c r="AD504" i="1"/>
  <c r="Z504" i="1"/>
  <c r="Y503" i="1"/>
  <c r="R503" i="1"/>
  <c r="AE503" i="1"/>
  <c r="AC502" i="1"/>
  <c r="Y502" i="1"/>
  <c r="S501" i="1"/>
  <c r="AG501" i="1"/>
  <c r="V501" i="1"/>
  <c r="AF500" i="1"/>
  <c r="O500" i="1"/>
  <c r="AI500" i="1"/>
  <c r="AA499" i="1"/>
  <c r="Q499" i="1"/>
  <c r="Z498" i="1"/>
  <c r="P498" i="1"/>
  <c r="O498" i="1"/>
  <c r="AG497" i="1"/>
  <c r="U497" i="1"/>
  <c r="S487" i="1"/>
  <c r="W487" i="1"/>
  <c r="AC487" i="1"/>
  <c r="V486" i="1"/>
  <c r="AB486" i="1"/>
  <c r="X486" i="1"/>
  <c r="W485" i="1"/>
  <c r="AH485" i="1"/>
  <c r="AE484" i="1"/>
  <c r="Y484" i="1"/>
  <c r="U484" i="1"/>
  <c r="W483" i="1"/>
  <c r="AB483" i="1"/>
  <c r="AI483" i="1"/>
  <c r="AA482" i="1"/>
  <c r="Q482" i="1"/>
  <c r="W481" i="1"/>
  <c r="T481" i="1"/>
  <c r="AE481" i="1"/>
  <c r="AA480" i="1"/>
  <c r="R480" i="1"/>
  <c r="S479" i="1"/>
  <c r="Z479" i="1"/>
  <c r="AG479" i="1"/>
  <c r="V478" i="1"/>
  <c r="O478" i="1"/>
  <c r="X478" i="1"/>
  <c r="AH477" i="1"/>
  <c r="AD477" i="1"/>
  <c r="Y476" i="1"/>
  <c r="U476" i="1"/>
  <c r="AD476" i="1"/>
  <c r="Z475" i="1"/>
  <c r="AB475" i="1"/>
  <c r="AI475" i="1"/>
  <c r="AA474" i="1"/>
  <c r="Q474" i="1"/>
  <c r="W473" i="1"/>
  <c r="T473" i="1"/>
  <c r="U473" i="1"/>
  <c r="Z472" i="1"/>
  <c r="R472" i="1"/>
  <c r="S471" i="1"/>
  <c r="AB471" i="1"/>
  <c r="W471" i="1"/>
  <c r="V470" i="1"/>
  <c r="O470" i="1"/>
  <c r="AD470" i="1"/>
  <c r="U460" i="1"/>
  <c r="AD460" i="1"/>
  <c r="S459" i="1"/>
  <c r="O459" i="1"/>
  <c r="AE813" i="1"/>
  <c r="AE812" i="1"/>
  <c r="AB812" i="1"/>
  <c r="W811" i="1"/>
  <c r="AB811" i="1"/>
  <c r="U811" i="1"/>
  <c r="P810" i="1"/>
  <c r="AG810" i="1"/>
  <c r="AA810" i="1"/>
  <c r="AE809" i="1"/>
  <c r="X809" i="1"/>
  <c r="AD808" i="1"/>
  <c r="AB808" i="1"/>
  <c r="AF808" i="1"/>
  <c r="AI807" i="1"/>
  <c r="U807" i="1"/>
  <c r="AD807" i="1"/>
  <c r="AG806" i="1"/>
  <c r="AA806" i="1"/>
  <c r="AC805" i="1"/>
  <c r="P805" i="1"/>
  <c r="AG805" i="1"/>
  <c r="S804" i="1"/>
  <c r="T804" i="1"/>
  <c r="W803" i="1"/>
  <c r="AB803" i="1"/>
  <c r="U803" i="1"/>
  <c r="V802" i="1"/>
  <c r="AG802" i="1"/>
  <c r="AA802" i="1"/>
  <c r="U801" i="1"/>
  <c r="X801" i="1"/>
  <c r="AD800" i="1"/>
  <c r="AB800" i="1"/>
  <c r="P800" i="1"/>
  <c r="AI799" i="1"/>
  <c r="O799" i="1"/>
  <c r="AD799" i="1"/>
  <c r="AG798" i="1"/>
  <c r="AA798" i="1"/>
  <c r="W797" i="1"/>
  <c r="AG797" i="1"/>
  <c r="Q797" i="1"/>
  <c r="W796" i="1"/>
  <c r="AD796" i="1"/>
  <c r="W795" i="1"/>
  <c r="Q795" i="1"/>
  <c r="AB795" i="1"/>
  <c r="AD794" i="1"/>
  <c r="AG794" i="1"/>
  <c r="AA794" i="1"/>
  <c r="AB793" i="1"/>
  <c r="U793" i="1"/>
  <c r="AF792" i="1"/>
  <c r="S792" i="1"/>
  <c r="W792" i="1"/>
  <c r="AD791" i="1"/>
  <c r="Q791" i="1"/>
  <c r="AE791" i="1"/>
  <c r="AI790" i="1"/>
  <c r="T790" i="1"/>
  <c r="P789" i="1"/>
  <c r="AI789" i="1"/>
  <c r="AB789" i="1"/>
  <c r="Q788" i="1"/>
  <c r="AF788" i="1"/>
  <c r="AG787" i="1"/>
  <c r="T787" i="1"/>
  <c r="P787" i="1"/>
  <c r="AG786" i="1"/>
  <c r="S786" i="1"/>
  <c r="AC786" i="1"/>
  <c r="V785" i="1"/>
  <c r="Z785" i="1"/>
  <c r="AI784" i="1"/>
  <c r="AB784" i="1"/>
  <c r="AE784" i="1"/>
  <c r="AD783" i="1"/>
  <c r="AG783" i="1"/>
  <c r="AE783" i="1"/>
  <c r="AA782" i="1"/>
  <c r="T782" i="1"/>
  <c r="AB781" i="1"/>
  <c r="Q781" i="1"/>
  <c r="T781" i="1"/>
  <c r="O780" i="1"/>
  <c r="AF780" i="1"/>
  <c r="AB779" i="1"/>
  <c r="P779" i="1"/>
  <c r="U779" i="1"/>
  <c r="T778" i="1"/>
  <c r="AI778" i="1"/>
  <c r="AC778" i="1"/>
  <c r="AG777" i="1"/>
  <c r="Z777" i="1"/>
  <c r="O776" i="1"/>
  <c r="V776" i="1"/>
  <c r="AA776" i="1"/>
  <c r="AG775" i="1"/>
  <c r="Q775" i="1"/>
  <c r="V775" i="1"/>
  <c r="AB774" i="1"/>
  <c r="AC774" i="1"/>
  <c r="Y773" i="1"/>
  <c r="Z773" i="1"/>
  <c r="AE773" i="1"/>
  <c r="R772" i="1"/>
  <c r="AI772" i="1"/>
  <c r="AE771" i="1"/>
  <c r="AI771" i="1"/>
  <c r="X771" i="1"/>
  <c r="AB770" i="1"/>
  <c r="S770" i="1"/>
  <c r="AI770" i="1"/>
  <c r="Z769" i="1"/>
  <c r="S769" i="1"/>
  <c r="R768" i="1"/>
  <c r="P768" i="1"/>
  <c r="AC768" i="1"/>
  <c r="T767" i="1"/>
  <c r="X767" i="1"/>
  <c r="V767" i="1"/>
  <c r="X766" i="1"/>
  <c r="O766" i="1"/>
  <c r="AA765" i="1"/>
  <c r="AB765" i="1"/>
  <c r="V765" i="1"/>
  <c r="R764" i="1"/>
  <c r="AI764" i="1"/>
  <c r="AH763" i="1"/>
  <c r="Q763" i="1"/>
  <c r="W763" i="1"/>
  <c r="V762" i="1"/>
  <c r="AE762" i="1"/>
  <c r="U762" i="1"/>
  <c r="P761" i="1"/>
  <c r="AH761" i="1"/>
  <c r="X760" i="1"/>
  <c r="T760" i="1"/>
  <c r="V760" i="1"/>
  <c r="R759" i="1"/>
  <c r="AD759" i="1"/>
  <c r="S759" i="1"/>
  <c r="Q758" i="1"/>
  <c r="AB758" i="1"/>
  <c r="U677" i="1"/>
  <c r="AE677" i="1"/>
  <c r="AD677" i="1"/>
  <c r="W568" i="1"/>
  <c r="AA568" i="1"/>
  <c r="U567" i="1"/>
  <c r="AD567" i="1"/>
  <c r="Q567" i="1"/>
  <c r="AC566" i="1"/>
  <c r="Q566" i="1"/>
  <c r="AI565" i="1"/>
  <c r="T565" i="1"/>
  <c r="S565" i="1"/>
  <c r="T564" i="1"/>
  <c r="W564" i="1"/>
  <c r="Z564" i="1"/>
  <c r="S563" i="1"/>
  <c r="U563" i="1"/>
  <c r="R562" i="1"/>
  <c r="U562" i="1"/>
  <c r="AA562" i="1"/>
  <c r="U561" i="1"/>
  <c r="Z561" i="1"/>
  <c r="AF561" i="1"/>
  <c r="Z560" i="1"/>
  <c r="U560" i="1"/>
  <c r="AF559" i="1"/>
  <c r="P559" i="1"/>
  <c r="W559" i="1"/>
  <c r="AE558" i="1"/>
  <c r="Q558" i="1"/>
  <c r="AI557" i="1"/>
  <c r="S557" i="1"/>
  <c r="R557" i="1"/>
  <c r="T556" i="1"/>
  <c r="R556" i="1"/>
  <c r="AF556" i="1"/>
  <c r="O555" i="1"/>
  <c r="W555" i="1"/>
  <c r="R554" i="1"/>
  <c r="O554" i="1"/>
  <c r="U554" i="1"/>
  <c r="U553" i="1"/>
  <c r="AG553" i="1"/>
  <c r="AF553" i="1"/>
  <c r="AI552" i="1"/>
  <c r="AA552" i="1"/>
  <c r="X551" i="1"/>
  <c r="AC551" i="1"/>
  <c r="Q551" i="1"/>
  <c r="AE541" i="1"/>
  <c r="R541" i="1"/>
  <c r="X540" i="1"/>
  <c r="AA540" i="1"/>
  <c r="Q540" i="1"/>
  <c r="AC539" i="1"/>
  <c r="AH539" i="1"/>
  <c r="X539" i="1"/>
  <c r="T538" i="1"/>
  <c r="U538" i="1"/>
  <c r="AC537" i="1"/>
  <c r="Y537" i="1"/>
  <c r="W537" i="1"/>
  <c r="P536" i="1"/>
  <c r="AB536" i="1"/>
  <c r="AI536" i="1"/>
  <c r="Z535" i="1"/>
  <c r="Y535" i="1"/>
  <c r="AC534" i="1"/>
  <c r="V534" i="1"/>
  <c r="R534" i="1"/>
  <c r="AE533" i="1"/>
  <c r="R533" i="1"/>
  <c r="Y532" i="1"/>
  <c r="AG532" i="1"/>
  <c r="AE532" i="1"/>
  <c r="S531" i="1"/>
  <c r="AE531" i="1"/>
  <c r="X531" i="1"/>
  <c r="T530" i="1"/>
  <c r="R530" i="1"/>
  <c r="Z529" i="1"/>
  <c r="AI529" i="1"/>
  <c r="AB529" i="1"/>
  <c r="AE528" i="1"/>
  <c r="AB528" i="1"/>
  <c r="AG528" i="1"/>
  <c r="Y527" i="1"/>
  <c r="O527" i="1"/>
  <c r="Z526" i="1"/>
  <c r="AH526" i="1"/>
  <c r="T526" i="1"/>
  <c r="X525" i="1"/>
  <c r="P525" i="1"/>
  <c r="U524" i="1"/>
  <c r="AC524" i="1"/>
  <c r="O524" i="1"/>
  <c r="AA514" i="1"/>
  <c r="U514" i="1"/>
  <c r="R514" i="1"/>
  <c r="AC513" i="1"/>
  <c r="R513" i="1"/>
  <c r="Q512" i="1"/>
  <c r="T512" i="1"/>
  <c r="AF512" i="1"/>
  <c r="AE511" i="1"/>
  <c r="T511" i="1"/>
  <c r="AG511" i="1"/>
  <c r="AF510" i="1"/>
  <c r="O510" i="1"/>
  <c r="Z509" i="1"/>
  <c r="AH509" i="1"/>
  <c r="AB509" i="1"/>
  <c r="X508" i="1"/>
  <c r="P508" i="1"/>
  <c r="W507" i="1"/>
  <c r="U507" i="1"/>
  <c r="T507" i="1"/>
  <c r="X506" i="1"/>
  <c r="AI506" i="1"/>
  <c r="Q506" i="1"/>
  <c r="AD505" i="1"/>
  <c r="V505" i="1"/>
  <c r="V504" i="1"/>
  <c r="AH504" i="1"/>
  <c r="AE504" i="1"/>
  <c r="AF503" i="1"/>
  <c r="Z503" i="1"/>
  <c r="AI503" i="1"/>
  <c r="P502" i="1"/>
  <c r="Q502" i="1"/>
  <c r="AC501" i="1"/>
  <c r="AH501" i="1"/>
  <c r="O501" i="1"/>
  <c r="Z500" i="1"/>
  <c r="R500" i="1"/>
  <c r="S499" i="1"/>
  <c r="W499" i="1"/>
  <c r="AG499" i="1"/>
  <c r="AD498" i="1"/>
  <c r="T498" i="1"/>
  <c r="W498" i="1"/>
  <c r="AA497" i="1"/>
  <c r="R497" i="1"/>
  <c r="Y487" i="1"/>
  <c r="AB487" i="1"/>
  <c r="U487" i="1"/>
  <c r="AF486" i="1"/>
  <c r="W486" i="1"/>
  <c r="AI486" i="1"/>
  <c r="AA485" i="1"/>
  <c r="Q485" i="1"/>
  <c r="AF484" i="1"/>
  <c r="T484" i="1"/>
  <c r="V484" i="1"/>
  <c r="AF483" i="1"/>
  <c r="U483" i="1"/>
  <c r="X482" i="1"/>
  <c r="Z482" i="1"/>
  <c r="Y482" i="1"/>
  <c r="O481" i="1"/>
  <c r="Y481" i="1"/>
  <c r="V481" i="1"/>
  <c r="AE480" i="1"/>
  <c r="O480" i="1"/>
  <c r="O479" i="1"/>
  <c r="AH479" i="1"/>
  <c r="AD479" i="1"/>
  <c r="AA478" i="1"/>
  <c r="AB478" i="1"/>
  <c r="AI478" i="1"/>
  <c r="AA477" i="1"/>
  <c r="Q477" i="1"/>
  <c r="AE476" i="1"/>
  <c r="T476" i="1"/>
  <c r="V476" i="1"/>
  <c r="AF475" i="1"/>
  <c r="U475" i="1"/>
  <c r="S474" i="1"/>
  <c r="Y474" i="1"/>
  <c r="Z474" i="1"/>
  <c r="AC473" i="1"/>
  <c r="AE473" i="1"/>
  <c r="V473" i="1"/>
  <c r="AH472" i="1"/>
  <c r="X472" i="1"/>
  <c r="O471" i="1"/>
  <c r="AG471" i="1"/>
  <c r="U471" i="1"/>
  <c r="AF470" i="1"/>
  <c r="AG470" i="1"/>
  <c r="AI470" i="1"/>
  <c r="AH460" i="1"/>
  <c r="Q460" i="1"/>
  <c r="AE459" i="1"/>
  <c r="T459" i="1"/>
  <c r="AE458" i="1"/>
  <c r="AB458" i="1"/>
  <c r="Y458" i="1"/>
  <c r="Y457" i="1"/>
  <c r="AB457" i="1"/>
  <c r="W457" i="1"/>
  <c r="W456" i="1"/>
  <c r="S456" i="1"/>
  <c r="O455" i="1"/>
  <c r="AH455" i="1"/>
  <c r="W455" i="1"/>
  <c r="AA454" i="1"/>
  <c r="U454" i="1"/>
  <c r="AI454" i="1"/>
  <c r="AB453" i="1"/>
  <c r="X453" i="1"/>
  <c r="AD452" i="1"/>
  <c r="AH452" i="1"/>
  <c r="AF452" i="1"/>
  <c r="S451" i="1"/>
  <c r="Q451" i="1"/>
  <c r="V450" i="1"/>
  <c r="Y450" i="1"/>
  <c r="AH450" i="1"/>
  <c r="AD449" i="1"/>
  <c r="R449" i="1"/>
  <c r="U449" i="1"/>
  <c r="AI448" i="1"/>
  <c r="AC448" i="1"/>
  <c r="AD447" i="1"/>
  <c r="AC447" i="1"/>
  <c r="U447" i="1"/>
  <c r="S446" i="1"/>
  <c r="T446" i="1"/>
  <c r="AG446" i="1"/>
  <c r="W445" i="1"/>
  <c r="O445" i="1"/>
  <c r="AA444" i="1"/>
  <c r="AI444" i="1"/>
  <c r="AB444" i="1"/>
  <c r="AH443" i="1"/>
  <c r="P443" i="1"/>
  <c r="V433" i="1"/>
  <c r="Y433" i="1"/>
  <c r="O433" i="1"/>
  <c r="X432" i="1"/>
  <c r="U432" i="1"/>
  <c r="AC432" i="1"/>
  <c r="AB431" i="1"/>
  <c r="AF431" i="1"/>
  <c r="Q430" i="1"/>
  <c r="U430" i="1"/>
  <c r="AE430" i="1"/>
  <c r="AD429" i="1"/>
  <c r="AH429" i="1"/>
  <c r="AG429" i="1"/>
  <c r="AC428" i="1"/>
  <c r="AF428" i="1"/>
  <c r="AA427" i="1"/>
  <c r="R427" i="1"/>
  <c r="S427" i="1"/>
  <c r="P426" i="1"/>
  <c r="T426" i="1"/>
  <c r="P425" i="1"/>
  <c r="Y425" i="1"/>
  <c r="O425" i="1"/>
  <c r="W424" i="1"/>
  <c r="AC424" i="1"/>
  <c r="U424" i="1"/>
  <c r="AH423" i="1"/>
  <c r="AF423" i="1"/>
  <c r="Q422" i="1"/>
  <c r="AE422" i="1"/>
  <c r="AC422" i="1"/>
  <c r="AD421" i="1"/>
  <c r="AH421" i="1"/>
  <c r="AG421" i="1"/>
  <c r="Y420" i="1"/>
  <c r="O420" i="1"/>
  <c r="P419" i="1"/>
  <c r="U419" i="1"/>
  <c r="S419" i="1"/>
  <c r="Z418" i="1"/>
  <c r="AC418" i="1"/>
  <c r="V417" i="1"/>
  <c r="AA417" i="1"/>
  <c r="P417" i="1"/>
  <c r="AA416" i="1"/>
  <c r="U416" i="1"/>
  <c r="AC416" i="1"/>
  <c r="P406" i="1"/>
  <c r="AI406" i="1"/>
  <c r="P405" i="1"/>
  <c r="AA405" i="1"/>
  <c r="V405" i="1"/>
  <c r="U404" i="1"/>
  <c r="AA404" i="1"/>
  <c r="AF404" i="1"/>
  <c r="X403" i="1"/>
  <c r="AC403" i="1"/>
  <c r="R402" i="1"/>
  <c r="AD402" i="1"/>
  <c r="AI402" i="1"/>
  <c r="R401" i="1"/>
  <c r="Q401" i="1"/>
  <c r="O400" i="1"/>
  <c r="T400" i="1"/>
  <c r="V400" i="1"/>
  <c r="W399" i="1"/>
  <c r="T399" i="1"/>
  <c r="Z399" i="1"/>
  <c r="AA398" i="1"/>
  <c r="AE398" i="1"/>
  <c r="P397" i="1"/>
  <c r="AB397" i="1"/>
  <c r="AA397" i="1"/>
  <c r="U396" i="1"/>
  <c r="AA396" i="1"/>
  <c r="AF396" i="1"/>
  <c r="R395" i="1"/>
  <c r="AC395" i="1"/>
  <c r="Y394" i="1"/>
  <c r="Z394" i="1"/>
  <c r="AI394" i="1"/>
  <c r="AG393" i="1"/>
  <c r="Z393" i="1"/>
  <c r="O392" i="1"/>
  <c r="V392" i="1"/>
  <c r="AG392" i="1"/>
  <c r="W391" i="1"/>
  <c r="Y391" i="1"/>
  <c r="AH391" i="1"/>
  <c r="S390" i="1"/>
  <c r="W390" i="1"/>
  <c r="P389" i="1"/>
  <c r="AG389" i="1"/>
  <c r="T389" i="1"/>
  <c r="AE361" i="1"/>
  <c r="AI360" i="1"/>
  <c r="AC360" i="1"/>
  <c r="AH359" i="1"/>
  <c r="AE358" i="1"/>
  <c r="AH358" i="1"/>
  <c r="AE357" i="1"/>
  <c r="AA356" i="1"/>
  <c r="Z356" i="1"/>
  <c r="AC355" i="1"/>
  <c r="Z354" i="1"/>
  <c r="AE354" i="1"/>
  <c r="AI353" i="1"/>
  <c r="AC334" i="1"/>
  <c r="AD334" i="1"/>
  <c r="AA333" i="1"/>
  <c r="Z332" i="1"/>
  <c r="AC332" i="1"/>
  <c r="Z331" i="1"/>
  <c r="AI330" i="1"/>
  <c r="X330" i="1"/>
  <c r="AB329" i="1"/>
  <c r="AC329" i="1"/>
  <c r="AE328" i="1"/>
  <c r="AA327" i="1"/>
  <c r="AE327" i="1"/>
  <c r="AG326" i="1"/>
  <c r="X326" i="1"/>
  <c r="AC307" i="1"/>
  <c r="AA307" i="1"/>
  <c r="AE306" i="1"/>
  <c r="V306" i="1"/>
  <c r="P305" i="1"/>
  <c r="AG305" i="1"/>
  <c r="W305" i="1"/>
  <c r="AC304" i="1"/>
  <c r="Q304" i="1"/>
  <c r="U304" i="1"/>
  <c r="O303" i="1"/>
  <c r="Y303" i="1"/>
  <c r="S302" i="1"/>
  <c r="W302" i="1"/>
  <c r="Z302" i="1"/>
  <c r="AB301" i="1"/>
  <c r="R301" i="1"/>
  <c r="AB300" i="1"/>
  <c r="AI300" i="1"/>
  <c r="V300" i="1"/>
  <c r="AE299" i="1"/>
  <c r="X299" i="1"/>
  <c r="AC299" i="1"/>
  <c r="AG280" i="1"/>
  <c r="T280" i="1"/>
  <c r="R279" i="1"/>
  <c r="AC279" i="1"/>
  <c r="AI279" i="1"/>
  <c r="U278" i="1"/>
  <c r="R278" i="1"/>
  <c r="AC277" i="1"/>
  <c r="AG277" i="1"/>
  <c r="V277" i="1"/>
  <c r="R276" i="1"/>
  <c r="Q276" i="1"/>
  <c r="O276" i="1"/>
  <c r="T275" i="1"/>
  <c r="U275" i="1"/>
  <c r="Z274" i="1"/>
  <c r="X274" i="1"/>
  <c r="T274" i="1"/>
  <c r="AD273" i="1"/>
  <c r="X273" i="1"/>
  <c r="W273" i="1"/>
  <c r="AF272" i="1"/>
  <c r="Y272" i="1"/>
  <c r="T253" i="1"/>
  <c r="U253" i="1"/>
  <c r="P253" i="1"/>
  <c r="T252" i="1"/>
  <c r="AC252" i="1"/>
  <c r="S251" i="1"/>
  <c r="U251" i="1"/>
  <c r="AF251" i="1"/>
  <c r="Z250" i="1"/>
  <c r="AA250" i="1"/>
  <c r="R250" i="1"/>
  <c r="X249" i="1"/>
  <c r="AF249" i="1"/>
  <c r="O248" i="1"/>
  <c r="AC248" i="1"/>
  <c r="U248" i="1"/>
  <c r="O247" i="1"/>
  <c r="Z247" i="1"/>
  <c r="R247" i="1"/>
  <c r="R246" i="1"/>
  <c r="X246" i="1"/>
  <c r="AB245" i="1"/>
  <c r="AD245" i="1"/>
  <c r="T245" i="1"/>
  <c r="Z226" i="1"/>
  <c r="R226" i="1"/>
  <c r="AG225" i="1"/>
  <c r="T225" i="1"/>
  <c r="AE225" i="1"/>
  <c r="AD224" i="1"/>
  <c r="V224" i="1"/>
  <c r="P224" i="1"/>
  <c r="W223" i="1"/>
  <c r="U223" i="1"/>
  <c r="O222" i="1"/>
  <c r="U222" i="1"/>
  <c r="AC222" i="1"/>
  <c r="AC221" i="1"/>
  <c r="Z221" i="1"/>
  <c r="O221" i="1"/>
  <c r="O220" i="1"/>
  <c r="X220" i="1"/>
  <c r="AB219" i="1"/>
  <c r="Q219" i="1"/>
  <c r="O219" i="1"/>
  <c r="Z218" i="1"/>
  <c r="T218" i="1"/>
  <c r="AG199" i="1"/>
  <c r="W199" i="1"/>
  <c r="Y199" i="1"/>
  <c r="AD198" i="1"/>
  <c r="O198" i="1"/>
  <c r="V198" i="1"/>
  <c r="AI197" i="1"/>
  <c r="X197" i="1"/>
  <c r="AD196" i="1"/>
  <c r="S196" i="1"/>
  <c r="AI196" i="1"/>
  <c r="AB195" i="1"/>
  <c r="T195" i="1"/>
  <c r="Q195" i="1"/>
  <c r="AH194" i="1"/>
  <c r="AI194" i="1"/>
  <c r="Y193" i="1"/>
  <c r="AD193" i="1"/>
  <c r="AA193" i="1"/>
  <c r="AD192" i="1"/>
  <c r="P192" i="1"/>
  <c r="V190" i="1"/>
  <c r="S191" i="1"/>
  <c r="Z190" i="1"/>
  <c r="AG190" i="1"/>
  <c r="V191" i="1"/>
  <c r="Y191" i="1"/>
  <c r="AA189" i="1"/>
  <c r="T189" i="1"/>
  <c r="AF188" i="1"/>
  <c r="O188" i="1"/>
  <c r="Q188" i="1"/>
  <c r="R187" i="1"/>
  <c r="AC187" i="1"/>
  <c r="P187" i="1"/>
  <c r="AD186" i="1"/>
  <c r="X186" i="1"/>
  <c r="Y185" i="1"/>
  <c r="AA185" i="1"/>
  <c r="X185" i="1"/>
  <c r="AI184" i="1"/>
  <c r="R184" i="1"/>
  <c r="V183" i="1"/>
  <c r="P183" i="1"/>
  <c r="Z183" i="1"/>
  <c r="AH182" i="1"/>
  <c r="AE182" i="1"/>
  <c r="P182" i="1"/>
  <c r="AI181" i="1"/>
  <c r="AE181" i="1"/>
  <c r="U180" i="1"/>
  <c r="S180" i="1"/>
  <c r="AD180" i="1"/>
  <c r="Y179" i="1"/>
  <c r="V179" i="1"/>
  <c r="W179" i="1"/>
  <c r="U178" i="1"/>
  <c r="AE178" i="1"/>
  <c r="Q177" i="1"/>
  <c r="AI177" i="1"/>
  <c r="S177" i="1"/>
  <c r="W176" i="1"/>
  <c r="O176" i="1"/>
  <c r="R175" i="1"/>
  <c r="AE175" i="1"/>
  <c r="AA175" i="1"/>
  <c r="O174" i="1"/>
  <c r="AI174" i="1"/>
  <c r="Y174" i="1"/>
  <c r="V173" i="1"/>
  <c r="U173" i="1"/>
  <c r="R172" i="1"/>
  <c r="X172" i="1"/>
  <c r="T172" i="1"/>
  <c r="Z171" i="1"/>
  <c r="AC171" i="1"/>
  <c r="AF171" i="1"/>
  <c r="AF170" i="1"/>
  <c r="O170" i="1"/>
  <c r="X169" i="1"/>
  <c r="AA169" i="1"/>
  <c r="T169" i="1"/>
  <c r="AB168" i="1"/>
  <c r="AD168" i="1"/>
  <c r="AD167" i="1"/>
  <c r="U167" i="1"/>
  <c r="AB167" i="1"/>
  <c r="AF166" i="1"/>
  <c r="AC166" i="1"/>
  <c r="Y166" i="1"/>
  <c r="X165" i="1"/>
  <c r="AF165" i="1"/>
  <c r="AE164" i="1"/>
  <c r="AD164" i="1"/>
  <c r="R164" i="1"/>
  <c r="Z163" i="1"/>
  <c r="T163" i="1"/>
  <c r="AF163" i="1"/>
  <c r="U162" i="1"/>
  <c r="O162" i="1"/>
  <c r="AI161" i="1"/>
  <c r="AB161" i="1"/>
  <c r="V161" i="1"/>
  <c r="S160" i="1"/>
  <c r="AC160" i="1"/>
  <c r="AH159" i="1"/>
  <c r="AI159" i="1"/>
  <c r="AB159" i="1"/>
  <c r="O158" i="1"/>
  <c r="AC158" i="1"/>
  <c r="AF158" i="1"/>
  <c r="AI157" i="1"/>
  <c r="S157" i="1"/>
  <c r="AA156" i="1"/>
  <c r="AC156" i="1"/>
  <c r="X156" i="1"/>
  <c r="V155" i="1"/>
  <c r="AH155" i="1"/>
  <c r="W155" i="1"/>
  <c r="Z154" i="1"/>
  <c r="AG154" i="1"/>
  <c r="Y153" i="1"/>
  <c r="AA153" i="1"/>
  <c r="AC153" i="1"/>
  <c r="AA152" i="1"/>
  <c r="AI152" i="1"/>
  <c r="Q151" i="1"/>
  <c r="U151" i="1"/>
  <c r="AF151" i="1"/>
  <c r="AA150" i="1"/>
  <c r="AE150" i="1"/>
  <c r="AI150" i="1"/>
  <c r="Y149" i="1"/>
  <c r="T149" i="1"/>
  <c r="Z148" i="1"/>
  <c r="Y148" i="1"/>
  <c r="AD148" i="1"/>
  <c r="AF147" i="1"/>
  <c r="T147" i="1"/>
  <c r="P147" i="1"/>
  <c r="V146" i="1"/>
  <c r="AD146" i="1"/>
  <c r="W145" i="1"/>
  <c r="AI145" i="1"/>
  <c r="AE145" i="1"/>
  <c r="Q144" i="1"/>
  <c r="AD144" i="1"/>
  <c r="S143" i="1"/>
  <c r="Q143" i="1"/>
  <c r="P143" i="1"/>
  <c r="AF142" i="1"/>
  <c r="Z142" i="1"/>
  <c r="U142" i="1"/>
  <c r="AH141" i="1"/>
  <c r="S141" i="1"/>
  <c r="S140" i="1"/>
  <c r="W140" i="1"/>
  <c r="AC140" i="1"/>
  <c r="U139" i="1"/>
  <c r="AC139" i="1"/>
  <c r="Q139" i="1"/>
  <c r="Z138" i="1"/>
  <c r="P138" i="1"/>
  <c r="AG137" i="1"/>
  <c r="AA137" i="1"/>
  <c r="T137" i="1"/>
  <c r="AD136" i="1"/>
  <c r="S136" i="1"/>
  <c r="AI135" i="1"/>
  <c r="AB135" i="1"/>
  <c r="AC135" i="1"/>
  <c r="AE134" i="1"/>
  <c r="AB134" i="1"/>
  <c r="AC134" i="1"/>
  <c r="R133" i="1"/>
  <c r="AH133" i="1"/>
  <c r="AD132" i="1"/>
  <c r="W132" i="1"/>
  <c r="AF132" i="1"/>
  <c r="U131" i="1"/>
  <c r="Y131" i="1"/>
  <c r="O131" i="1"/>
  <c r="Z130" i="1"/>
  <c r="AH130" i="1"/>
  <c r="R129" i="1"/>
  <c r="S129" i="1"/>
  <c r="Y129" i="1"/>
  <c r="AE128" i="1"/>
  <c r="Q128" i="1"/>
  <c r="X127" i="1"/>
  <c r="AB127" i="1"/>
  <c r="AD127" i="1"/>
  <c r="AC126" i="1"/>
  <c r="W126" i="1"/>
  <c r="X126" i="1"/>
  <c r="AC125" i="1"/>
  <c r="AI125" i="1"/>
  <c r="X124" i="1"/>
  <c r="AI124" i="1"/>
  <c r="Q124" i="1"/>
  <c r="AB123" i="1"/>
  <c r="P123" i="1"/>
  <c r="AH123" i="1"/>
  <c r="Q122" i="1"/>
  <c r="AA122" i="1"/>
  <c r="AF121" i="1"/>
  <c r="AE121" i="1"/>
  <c r="AB121" i="1"/>
  <c r="P120" i="1"/>
  <c r="V120" i="1"/>
  <c r="AH119" i="1"/>
  <c r="Y119" i="1"/>
  <c r="AE119" i="1"/>
  <c r="AE118" i="1"/>
  <c r="AD118" i="1"/>
  <c r="AG118" i="1"/>
  <c r="U117" i="1"/>
  <c r="T117" i="1"/>
  <c r="U116" i="1"/>
  <c r="V116" i="1"/>
  <c r="R116" i="1"/>
  <c r="S115" i="1"/>
  <c r="Y115" i="1"/>
  <c r="V115" i="1"/>
  <c r="AH114" i="1"/>
  <c r="AE114" i="1"/>
  <c r="T113" i="1"/>
  <c r="O113" i="1"/>
  <c r="Q113" i="1"/>
  <c r="Y112" i="1"/>
  <c r="P112" i="1"/>
  <c r="Y111" i="1"/>
  <c r="AC111" i="1"/>
  <c r="S111" i="1"/>
  <c r="V110" i="1"/>
  <c r="R110" i="1"/>
  <c r="AH110" i="1"/>
  <c r="O109" i="1"/>
  <c r="T109" i="1"/>
  <c r="Y108" i="1"/>
  <c r="P108" i="1"/>
  <c r="W108" i="1"/>
  <c r="AE107" i="1"/>
  <c r="Y107" i="1"/>
  <c r="S107" i="1"/>
  <c r="AI106" i="1"/>
  <c r="AC106" i="1"/>
  <c r="X105" i="1"/>
  <c r="Z105" i="1"/>
  <c r="R105" i="1"/>
  <c r="S104" i="1"/>
  <c r="U104" i="1"/>
  <c r="Y103" i="1"/>
  <c r="P103" i="1"/>
  <c r="AD103" i="1"/>
  <c r="W102" i="1"/>
  <c r="X102" i="1"/>
  <c r="Z102" i="1"/>
  <c r="X101" i="1"/>
  <c r="AI101" i="1"/>
  <c r="Y100" i="1"/>
  <c r="Q100" i="1"/>
  <c r="AC100" i="1"/>
  <c r="R99" i="1"/>
  <c r="W99" i="1"/>
  <c r="X99" i="1"/>
  <c r="T98" i="1"/>
  <c r="U98" i="1"/>
  <c r="R97" i="1"/>
  <c r="Q97" i="1"/>
  <c r="S97" i="1"/>
  <c r="S96" i="1"/>
  <c r="AA96" i="1"/>
  <c r="AG95" i="1"/>
  <c r="U95" i="1"/>
  <c r="AD95" i="1"/>
  <c r="R94" i="1"/>
  <c r="AI94" i="1"/>
  <c r="Z94" i="1"/>
  <c r="O93" i="1"/>
  <c r="S93" i="1"/>
  <c r="AI92" i="1"/>
  <c r="O92" i="1"/>
  <c r="AD92" i="1"/>
  <c r="AD91" i="1"/>
  <c r="AC91" i="1"/>
  <c r="P91" i="1"/>
  <c r="AF90" i="1"/>
  <c r="T90" i="1"/>
  <c r="U89" i="1"/>
  <c r="AE89" i="1"/>
  <c r="Z89" i="1"/>
  <c r="Z88" i="1"/>
  <c r="AD88" i="1"/>
  <c r="W87" i="1"/>
  <c r="T87" i="1"/>
  <c r="AI87" i="1"/>
  <c r="V86" i="1"/>
  <c r="AC86" i="1"/>
  <c r="AB86" i="1"/>
  <c r="W85" i="1"/>
  <c r="AC85" i="1"/>
  <c r="AF84" i="1"/>
  <c r="Y84" i="1"/>
  <c r="T84" i="1"/>
  <c r="V83" i="1"/>
  <c r="Q83" i="1"/>
  <c r="AD83" i="1"/>
  <c r="W82" i="1"/>
  <c r="S82" i="1"/>
  <c r="P81" i="1"/>
  <c r="AG81" i="1"/>
  <c r="R81" i="1"/>
  <c r="AC80" i="1"/>
  <c r="O80" i="1"/>
  <c r="Y79" i="1"/>
  <c r="W79" i="1"/>
  <c r="O79" i="1"/>
  <c r="U78" i="1"/>
  <c r="S78" i="1"/>
  <c r="R78" i="1"/>
  <c r="X77" i="1"/>
  <c r="W77" i="1"/>
  <c r="Q76" i="1"/>
  <c r="AB76" i="1"/>
  <c r="X76" i="1"/>
  <c r="T75" i="1"/>
  <c r="AA75" i="1"/>
  <c r="AD75" i="1"/>
  <c r="Y74" i="1"/>
  <c r="AI74" i="1"/>
  <c r="W73" i="1"/>
  <c r="S73" i="1"/>
  <c r="T73" i="1"/>
  <c r="V72" i="1"/>
  <c r="AD72" i="1"/>
  <c r="AE71" i="1"/>
  <c r="AB71" i="1"/>
  <c r="V71" i="1"/>
  <c r="W70" i="1"/>
  <c r="X70" i="1"/>
  <c r="T70" i="1"/>
  <c r="O69" i="1"/>
  <c r="S69" i="1"/>
  <c r="Y68" i="1"/>
  <c r="W68" i="1"/>
  <c r="V68" i="1"/>
  <c r="Q67" i="1"/>
  <c r="S67" i="1"/>
  <c r="T67" i="1"/>
  <c r="X66" i="1"/>
  <c r="AI66" i="1"/>
  <c r="O63" i="1"/>
  <c r="U64" i="1"/>
  <c r="AF59" i="1"/>
  <c r="S63" i="1"/>
  <c r="V60" i="1"/>
  <c r="AB61" i="1"/>
  <c r="W63" i="1"/>
  <c r="AH60" i="1"/>
  <c r="Y57" i="1"/>
  <c r="AC54" i="1"/>
  <c r="AI51" i="1"/>
  <c r="Q48" i="1"/>
  <c r="Z44" i="1"/>
  <c r="AD41" i="1"/>
  <c r="AG38" i="1"/>
  <c r="Z35" i="1"/>
  <c r="R65" i="1"/>
  <c r="Q62" i="1"/>
  <c r="P59" i="1"/>
  <c r="P55" i="1"/>
  <c r="AH52" i="1"/>
  <c r="AA49" i="1"/>
  <c r="U46" i="1"/>
  <c r="Q43" i="1"/>
  <c r="AD40" i="1"/>
  <c r="AB37" i="1"/>
  <c r="X34" i="1"/>
  <c r="AE63" i="1"/>
  <c r="AC60" i="1"/>
  <c r="U57" i="1"/>
  <c r="AD54" i="1"/>
  <c r="AA51" i="1"/>
  <c r="U48" i="1"/>
  <c r="AE45" i="1"/>
  <c r="U42" i="1"/>
  <c r="AA39" i="1"/>
  <c r="S36" i="1"/>
  <c r="S29" i="1"/>
  <c r="AG55" i="1"/>
  <c r="Q52" i="1"/>
  <c r="AE49" i="1"/>
  <c r="AF46" i="1"/>
  <c r="O43" i="1"/>
  <c r="AC40" i="1"/>
  <c r="Y37" i="1"/>
  <c r="R34" i="1"/>
  <c r="AB63" i="1"/>
  <c r="U60" i="1"/>
  <c r="AA57" i="1"/>
  <c r="AA54" i="1"/>
  <c r="U51" i="1"/>
  <c r="T48" i="1"/>
  <c r="AF45" i="1"/>
  <c r="AI42" i="1"/>
  <c r="AF39" i="1"/>
  <c r="AA36" i="1"/>
  <c r="P65" i="1"/>
  <c r="AA62" i="1"/>
  <c r="AG59" i="1"/>
  <c r="W56" i="1"/>
  <c r="O53" i="1"/>
  <c r="P50" i="1"/>
  <c r="V47" i="1"/>
  <c r="P43" i="1"/>
  <c r="Z40" i="1"/>
  <c r="W37" i="1"/>
  <c r="T34" i="1"/>
  <c r="AA58" i="1"/>
  <c r="X54" i="1"/>
  <c r="AF51" i="1"/>
  <c r="AI48" i="1"/>
  <c r="AH459" i="1"/>
  <c r="R458" i="1"/>
  <c r="AG458" i="1"/>
  <c r="W458" i="1"/>
  <c r="U457" i="1"/>
  <c r="AG457" i="1"/>
  <c r="AI457" i="1"/>
  <c r="AA456" i="1"/>
  <c r="Q456" i="1"/>
  <c r="AF455" i="1"/>
  <c r="T455" i="1"/>
  <c r="U455" i="1"/>
  <c r="V454" i="1"/>
  <c r="AC454" i="1"/>
  <c r="Q453" i="1"/>
  <c r="AA453" i="1"/>
  <c r="R453" i="1"/>
  <c r="R452" i="1"/>
  <c r="S452" i="1"/>
  <c r="T452" i="1"/>
  <c r="AB451" i="1"/>
  <c r="T451" i="1"/>
  <c r="Q450" i="1"/>
  <c r="X450" i="1"/>
  <c r="T450" i="1"/>
  <c r="W449" i="1"/>
  <c r="X449" i="1"/>
  <c r="AG449" i="1"/>
  <c r="Y448" i="1"/>
  <c r="O448" i="1"/>
  <c r="Y447" i="1"/>
  <c r="R447" i="1"/>
  <c r="X447" i="1"/>
  <c r="AF446" i="1"/>
  <c r="X446" i="1"/>
  <c r="Q445" i="1"/>
  <c r="Z445" i="1"/>
  <c r="X445" i="1"/>
  <c r="AD444" i="1"/>
  <c r="R444" i="1"/>
  <c r="V444" i="1"/>
  <c r="AB443" i="1"/>
  <c r="AF443" i="1"/>
  <c r="Q433" i="1"/>
  <c r="Z433" i="1"/>
  <c r="X433" i="1"/>
  <c r="AD432" i="1"/>
  <c r="AH432" i="1"/>
  <c r="AG432" i="1"/>
  <c r="Y431" i="1"/>
  <c r="O431" i="1"/>
  <c r="AC430" i="1"/>
  <c r="R430" i="1"/>
  <c r="S430" i="1"/>
  <c r="AA429" i="1"/>
  <c r="AC429" i="1"/>
  <c r="V428" i="1"/>
  <c r="Y428" i="1"/>
  <c r="O428" i="1"/>
  <c r="X427" i="1"/>
  <c r="U427" i="1"/>
  <c r="AC427" i="1"/>
  <c r="AB426" i="1"/>
  <c r="AF426" i="1"/>
  <c r="V425" i="1"/>
  <c r="Z425" i="1"/>
  <c r="AH425" i="1"/>
  <c r="AD424" i="1"/>
  <c r="X424" i="1"/>
  <c r="AG424" i="1"/>
  <c r="Y423" i="1"/>
  <c r="O423" i="1"/>
  <c r="P422" i="1"/>
  <c r="R422" i="1"/>
  <c r="AB422" i="1"/>
  <c r="P421" i="1"/>
  <c r="T421" i="1"/>
  <c r="V420" i="1"/>
  <c r="Z420" i="1"/>
  <c r="W420" i="1"/>
  <c r="AC419" i="1"/>
  <c r="R419" i="1"/>
  <c r="AB419" i="1"/>
  <c r="T418" i="1"/>
  <c r="AF418" i="1"/>
  <c r="Q417" i="1"/>
  <c r="AE417" i="1"/>
  <c r="X417" i="1"/>
  <c r="X416" i="1"/>
  <c r="AH416" i="1"/>
  <c r="AG416" i="1"/>
  <c r="R406" i="1"/>
  <c r="AC406" i="1"/>
  <c r="Y405" i="1"/>
  <c r="AB405" i="1"/>
  <c r="AI405" i="1"/>
  <c r="Y404" i="1"/>
  <c r="R404" i="1"/>
  <c r="O403" i="1"/>
  <c r="S403" i="1"/>
  <c r="V403" i="1"/>
  <c r="AG402" i="1"/>
  <c r="AH402" i="1"/>
  <c r="Z402" i="1"/>
  <c r="Y401" i="1"/>
  <c r="AE401" i="1"/>
  <c r="P400" i="1"/>
  <c r="AD400" i="1"/>
  <c r="AB400" i="1"/>
  <c r="U399" i="1"/>
  <c r="AD399" i="1"/>
  <c r="AF399" i="1"/>
  <c r="X398" i="1"/>
  <c r="AC398" i="1"/>
  <c r="Y397" i="1"/>
  <c r="Z397" i="1"/>
  <c r="AI397" i="1"/>
  <c r="S396" i="1"/>
  <c r="AH396" i="1"/>
  <c r="O395" i="1"/>
  <c r="X395" i="1"/>
  <c r="V395" i="1"/>
  <c r="V394" i="1"/>
  <c r="S394" i="1"/>
  <c r="R394" i="1"/>
  <c r="AA393" i="1"/>
  <c r="AE393" i="1"/>
  <c r="P392" i="1"/>
  <c r="AB392" i="1"/>
  <c r="AA392" i="1"/>
  <c r="U391" i="1"/>
  <c r="AA391" i="1"/>
  <c r="AF391" i="1"/>
  <c r="X390" i="1"/>
  <c r="Z390" i="1"/>
  <c r="W389" i="1"/>
  <c r="U389" i="1"/>
  <c r="AB389" i="1"/>
  <c r="AI361" i="1"/>
  <c r="Y360" i="1"/>
  <c r="AF360" i="1"/>
  <c r="AB359" i="1"/>
  <c r="Y358" i="1"/>
  <c r="AB358" i="1"/>
  <c r="AA357" i="1"/>
  <c r="AB356" i="1"/>
  <c r="AD356" i="1"/>
  <c r="Y355" i="1"/>
  <c r="AI354" i="1"/>
  <c r="AF354" i="1"/>
  <c r="AG353" i="1"/>
  <c r="AG334" i="1"/>
  <c r="AI334" i="1"/>
  <c r="AI333" i="1"/>
  <c r="AI332" i="1"/>
  <c r="X332" i="1"/>
  <c r="AG331" i="1"/>
  <c r="Y330" i="1"/>
  <c r="AC330" i="1"/>
  <c r="AF329" i="1"/>
  <c r="Y329" i="1"/>
  <c r="AH328" i="1"/>
  <c r="AH327" i="1"/>
  <c r="P327" i="1"/>
  <c r="O326" i="1"/>
  <c r="AA326" i="1"/>
  <c r="AH307" i="1"/>
  <c r="AD307" i="1"/>
  <c r="P306" i="1"/>
  <c r="Z306" i="1"/>
  <c r="O305" i="1"/>
  <c r="AA305" i="1"/>
  <c r="U305" i="1"/>
  <c r="R304" i="1"/>
  <c r="AI304" i="1"/>
  <c r="T303" i="1"/>
  <c r="W303" i="1"/>
  <c r="AF303" i="1"/>
  <c r="U302" i="1"/>
  <c r="AH302" i="1"/>
  <c r="Q302" i="1"/>
  <c r="P301" i="1"/>
  <c r="AD301" i="1"/>
  <c r="S300" i="1"/>
  <c r="AC300" i="1"/>
  <c r="AF300" i="1"/>
  <c r="W299" i="1"/>
  <c r="AF299" i="1"/>
  <c r="W280" i="1"/>
  <c r="AE280" i="1"/>
  <c r="V280" i="1"/>
  <c r="P279" i="1"/>
  <c r="Z279" i="1"/>
  <c r="AD279" i="1"/>
  <c r="V278" i="1"/>
  <c r="Y278" i="1"/>
  <c r="T277" i="1"/>
  <c r="O277" i="1"/>
  <c r="AH277" i="1"/>
  <c r="V276" i="1"/>
  <c r="X276" i="1"/>
  <c r="AG276" i="1"/>
  <c r="AE275" i="1"/>
  <c r="AF275" i="1"/>
  <c r="S274" i="1"/>
  <c r="AD274" i="1"/>
  <c r="Y274" i="1"/>
  <c r="AG273" i="1"/>
  <c r="R273" i="1"/>
  <c r="Q272" i="1"/>
  <c r="AA272" i="1"/>
  <c r="AB272" i="1"/>
  <c r="AD253" i="1"/>
  <c r="X253" i="1"/>
  <c r="Y253" i="1"/>
  <c r="AD252" i="1"/>
  <c r="O252" i="1"/>
  <c r="AC251" i="1"/>
  <c r="AA251" i="1"/>
  <c r="AG251" i="1"/>
  <c r="AC250" i="1"/>
  <c r="O250" i="1"/>
  <c r="Y250" i="1"/>
  <c r="V249" i="1"/>
  <c r="AE249" i="1"/>
  <c r="W248" i="1"/>
  <c r="AA248" i="1"/>
  <c r="P248" i="1"/>
  <c r="AC247" i="1"/>
  <c r="AH247" i="1"/>
  <c r="T246" i="1"/>
  <c r="O246" i="1"/>
  <c r="AI246" i="1"/>
  <c r="Z245" i="1"/>
  <c r="O245" i="1"/>
  <c r="AG245" i="1"/>
  <c r="O226" i="1"/>
  <c r="T226" i="1"/>
  <c r="R225" i="1"/>
  <c r="AH225" i="1"/>
  <c r="Z225" i="1"/>
  <c r="Z224" i="1"/>
  <c r="W224" i="1"/>
  <c r="AF224" i="1"/>
  <c r="AI223" i="1"/>
  <c r="X223" i="1"/>
  <c r="W222" i="1"/>
  <c r="AA222" i="1"/>
  <c r="AD222" i="1"/>
  <c r="S221" i="1"/>
  <c r="AA221" i="1"/>
  <c r="Y220" i="1"/>
  <c r="AH220" i="1"/>
  <c r="AI220" i="1"/>
  <c r="AH219" i="1"/>
  <c r="AD219" i="1"/>
  <c r="S219" i="1"/>
  <c r="AE218" i="1"/>
  <c r="AC218" i="1"/>
  <c r="R199" i="1"/>
  <c r="AH199" i="1"/>
  <c r="P199" i="1"/>
  <c r="Z198" i="1"/>
  <c r="Q198" i="1"/>
  <c r="AF198" i="1"/>
  <c r="V197" i="1"/>
  <c r="AE197" i="1"/>
  <c r="AG196" i="1"/>
  <c r="U196" i="1"/>
  <c r="AE196" i="1"/>
  <c r="S195" i="1"/>
  <c r="U195" i="1"/>
  <c r="AF194" i="1"/>
  <c r="T194" i="1"/>
  <c r="AD194" i="1"/>
  <c r="Q193" i="1"/>
  <c r="T193" i="1"/>
  <c r="AF193" i="1"/>
  <c r="W192" i="1"/>
  <c r="Q192" i="1"/>
  <c r="AH190" i="1"/>
  <c r="W191" i="1"/>
  <c r="W190" i="1"/>
  <c r="AI191" i="1"/>
  <c r="AA191" i="1"/>
  <c r="Q191" i="1"/>
  <c r="AF189" i="1"/>
  <c r="U189" i="1"/>
  <c r="Z188" i="1"/>
  <c r="AB188" i="1"/>
  <c r="P188" i="1"/>
  <c r="AI187" i="1"/>
  <c r="Y187" i="1"/>
  <c r="W186" i="1"/>
  <c r="Y186" i="1"/>
  <c r="AG186" i="1"/>
  <c r="AF185" i="1"/>
  <c r="AC185" i="1"/>
  <c r="P185" i="1"/>
  <c r="T184" i="1"/>
  <c r="U184" i="1"/>
  <c r="Y183" i="1"/>
  <c r="AG183" i="1"/>
  <c r="AA183" i="1"/>
  <c r="AF182" i="1"/>
  <c r="AC182" i="1"/>
  <c r="S182" i="1"/>
  <c r="AG181" i="1"/>
  <c r="AC181" i="1"/>
  <c r="X180" i="1"/>
  <c r="AB180" i="1"/>
  <c r="AE180" i="1"/>
  <c r="AA179" i="1"/>
  <c r="U179" i="1"/>
  <c r="P178" i="1"/>
  <c r="W178" i="1"/>
  <c r="AG178" i="1"/>
  <c r="V177" i="1"/>
  <c r="AD177" i="1"/>
  <c r="AC177" i="1"/>
  <c r="AF176" i="1"/>
  <c r="Z176" i="1"/>
  <c r="W175" i="1"/>
  <c r="AG175" i="1"/>
  <c r="U175" i="1"/>
  <c r="P174" i="1"/>
  <c r="W174" i="1"/>
  <c r="T174" i="1"/>
  <c r="AG173" i="1"/>
  <c r="P173" i="1"/>
  <c r="V172" i="1"/>
  <c r="O172" i="1"/>
  <c r="Q172" i="1"/>
  <c r="Q171" i="1"/>
  <c r="X171" i="1"/>
  <c r="AE170" i="1"/>
  <c r="AI170" i="1"/>
  <c r="W170" i="1"/>
  <c r="AD169" i="1"/>
  <c r="AB169" i="1"/>
  <c r="W169" i="1"/>
  <c r="V168" i="1"/>
  <c r="W168" i="1"/>
  <c r="AG167" i="1"/>
  <c r="T167" i="1"/>
  <c r="X167" i="1"/>
  <c r="AB166" i="1"/>
  <c r="Z166" i="1"/>
  <c r="AH166" i="1"/>
  <c r="AA165" i="1"/>
  <c r="P165" i="1"/>
  <c r="V164" i="1"/>
  <c r="AH164" i="1"/>
  <c r="U164" i="1"/>
  <c r="Q163" i="1"/>
  <c r="S163" i="1"/>
  <c r="AH162" i="1"/>
  <c r="AA162" i="1"/>
  <c r="P162" i="1"/>
  <c r="O161" i="1"/>
  <c r="AC161" i="1"/>
  <c r="W161" i="1"/>
  <c r="AB160" i="1"/>
  <c r="P160" i="1"/>
  <c r="AD159" i="1"/>
  <c r="W159" i="1"/>
  <c r="O159" i="1"/>
  <c r="AD158" i="1"/>
  <c r="T158" i="1"/>
  <c r="Z158" i="1"/>
  <c r="V157" i="1"/>
  <c r="O157" i="1"/>
  <c r="AE156" i="1"/>
  <c r="AH156" i="1"/>
  <c r="W156" i="1"/>
  <c r="AE155" i="1"/>
  <c r="R155" i="1"/>
  <c r="AC154" i="1"/>
  <c r="AA154" i="1"/>
  <c r="Q154" i="1"/>
  <c r="X153" i="1"/>
  <c r="AF153" i="1"/>
  <c r="AB153" i="1"/>
  <c r="T152" i="1"/>
  <c r="V152" i="1"/>
  <c r="AA151" i="1"/>
  <c r="AH151" i="1"/>
  <c r="Z151" i="1"/>
  <c r="AG150" i="1"/>
  <c r="W150" i="1"/>
  <c r="Q150" i="1"/>
  <c r="R149" i="1"/>
  <c r="AI149" i="1"/>
  <c r="S148" i="1"/>
  <c r="AA148" i="1"/>
  <c r="U148" i="1"/>
  <c r="V147" i="1"/>
  <c r="AI147" i="1"/>
  <c r="R146" i="1"/>
  <c r="Y146" i="1"/>
  <c r="T146" i="1"/>
  <c r="V145" i="1"/>
  <c r="Q145" i="1"/>
  <c r="T145" i="1"/>
  <c r="U144" i="1"/>
  <c r="S144" i="1"/>
  <c r="U143" i="1"/>
  <c r="X143" i="1"/>
  <c r="AH143" i="1"/>
  <c r="AA142" i="1"/>
  <c r="W142" i="1"/>
  <c r="X142" i="1"/>
  <c r="O141" i="1"/>
  <c r="AE141" i="1"/>
  <c r="AI140" i="1"/>
  <c r="AH140" i="1"/>
  <c r="Y140" i="1"/>
  <c r="T139" i="1"/>
  <c r="AH139" i="1"/>
  <c r="AI138" i="1"/>
  <c r="AC138" i="1"/>
  <c r="AD138" i="1"/>
  <c r="AC137" i="1"/>
  <c r="U137" i="1"/>
  <c r="Y137" i="1"/>
  <c r="Y136" i="1"/>
  <c r="U136" i="1"/>
  <c r="R135" i="1"/>
  <c r="AF135" i="1"/>
  <c r="W135" i="1"/>
  <c r="V134" i="1"/>
  <c r="X134" i="1"/>
  <c r="R134" i="1"/>
  <c r="AC133" i="1"/>
  <c r="O133" i="1"/>
  <c r="P132" i="1"/>
  <c r="AB132" i="1"/>
  <c r="Y132" i="1"/>
  <c r="T131" i="1"/>
  <c r="AI131" i="1"/>
  <c r="AG130" i="1"/>
  <c r="AC130" i="1"/>
  <c r="AB130" i="1"/>
  <c r="AE129" i="1"/>
  <c r="AA129" i="1"/>
  <c r="W129" i="1"/>
  <c r="V128" i="1"/>
  <c r="AI128" i="1"/>
  <c r="Y127" i="1"/>
  <c r="S127" i="1"/>
  <c r="R127" i="1"/>
  <c r="AF126" i="1"/>
  <c r="R126" i="1"/>
  <c r="O126" i="1"/>
  <c r="R125" i="1"/>
  <c r="AB125" i="1"/>
  <c r="AG124" i="1"/>
  <c r="AF124" i="1"/>
  <c r="T124" i="1"/>
  <c r="AI123" i="1"/>
  <c r="Y123" i="1"/>
  <c r="Z122" i="1"/>
  <c r="AD122" i="1"/>
  <c r="V122" i="1"/>
  <c r="Q121" i="1"/>
  <c r="AA121" i="1"/>
  <c r="S121" i="1"/>
  <c r="U120" i="1"/>
  <c r="S120" i="1"/>
  <c r="V119" i="1"/>
  <c r="AC119" i="1"/>
  <c r="W119" i="1"/>
  <c r="AF118" i="1"/>
  <c r="Y118" i="1"/>
  <c r="W118" i="1"/>
  <c r="AI117" i="1"/>
  <c r="AF117" i="1"/>
  <c r="S116" i="1"/>
  <c r="T116" i="1"/>
  <c r="AH116" i="1"/>
  <c r="AH115" i="1"/>
  <c r="AG115" i="1"/>
  <c r="Z114" i="1"/>
  <c r="V114" i="1"/>
  <c r="AF114" i="1"/>
  <c r="Z113" i="1"/>
  <c r="Y113" i="1"/>
  <c r="R113" i="1"/>
  <c r="AE112" i="1"/>
  <c r="U112" i="1"/>
  <c r="AH111" i="1"/>
  <c r="AA111" i="1"/>
  <c r="AI111" i="1"/>
  <c r="AD110" i="1"/>
  <c r="O110" i="1"/>
  <c r="U110" i="1"/>
  <c r="Y109" i="1"/>
  <c r="AI109" i="1"/>
  <c r="S108" i="1"/>
  <c r="R108" i="1"/>
  <c r="Z108" i="1"/>
  <c r="Q107" i="1"/>
  <c r="AB107" i="1"/>
  <c r="R106" i="1"/>
  <c r="X106" i="1"/>
  <c r="AD106" i="1"/>
  <c r="AA105" i="1"/>
  <c r="Y105" i="1"/>
  <c r="S105" i="1"/>
  <c r="AF104" i="1"/>
  <c r="R104" i="1"/>
  <c r="Z103" i="1"/>
  <c r="R103" i="1"/>
  <c r="V103" i="1"/>
  <c r="AI102" i="1"/>
  <c r="AC102" i="1"/>
  <c r="O102" i="1"/>
  <c r="AB101" i="1"/>
  <c r="AD101" i="1"/>
  <c r="AG100" i="1"/>
  <c r="AH100" i="1"/>
  <c r="AB100" i="1"/>
  <c r="AF99" i="1"/>
  <c r="T99" i="1"/>
  <c r="AI98" i="1"/>
  <c r="V98" i="1"/>
  <c r="AD98" i="1"/>
  <c r="AE97" i="1"/>
  <c r="T97" i="1"/>
  <c r="W97" i="1"/>
  <c r="AG96" i="1"/>
  <c r="Y96" i="1"/>
  <c r="O95" i="1"/>
  <c r="AF95" i="1"/>
  <c r="S95" i="1"/>
  <c r="X94" i="1"/>
  <c r="V94" i="1"/>
  <c r="O94" i="1"/>
  <c r="AB93" i="1"/>
  <c r="AD93" i="1"/>
  <c r="Y92" i="1"/>
  <c r="AA92" i="1"/>
  <c r="W92" i="1"/>
  <c r="T91" i="1"/>
  <c r="AE91" i="1"/>
  <c r="X90" i="1"/>
  <c r="AG90" i="1"/>
  <c r="AE90" i="1"/>
  <c r="S89" i="1"/>
  <c r="T89" i="1"/>
  <c r="V89" i="1"/>
  <c r="V88" i="1"/>
  <c r="Q88" i="1"/>
  <c r="Y87" i="1"/>
  <c r="Z87" i="1"/>
  <c r="V87" i="1"/>
  <c r="W86" i="1"/>
  <c r="X86" i="1"/>
  <c r="AD86" i="1"/>
  <c r="U85" i="1"/>
  <c r="R85" i="1"/>
  <c r="AG84" i="1"/>
  <c r="AE84" i="1"/>
  <c r="AB84" i="1"/>
  <c r="R83" i="1"/>
  <c r="W83" i="1"/>
  <c r="AH82" i="1"/>
  <c r="AI82" i="1"/>
  <c r="AE82" i="1"/>
  <c r="S81" i="1"/>
  <c r="W81" i="1"/>
  <c r="U81" i="1"/>
  <c r="U80" i="1"/>
  <c r="AG80" i="1"/>
  <c r="R79" i="1"/>
  <c r="T79" i="1"/>
  <c r="AE79" i="1"/>
  <c r="Y78" i="1"/>
  <c r="AH78" i="1"/>
  <c r="AG78" i="1"/>
  <c r="Z77" i="1"/>
  <c r="AD77" i="1"/>
  <c r="T76" i="1"/>
  <c r="O76" i="1"/>
  <c r="U76" i="1"/>
  <c r="V75" i="1"/>
  <c r="Z75" i="1"/>
  <c r="Z74" i="1"/>
  <c r="S74" i="1"/>
  <c r="AF74" i="1"/>
  <c r="AH73" i="1"/>
  <c r="Y73" i="1"/>
  <c r="O73" i="1"/>
  <c r="W72" i="1"/>
  <c r="P72" i="1"/>
  <c r="AI71" i="1"/>
  <c r="W71" i="1"/>
  <c r="AC71" i="1"/>
  <c r="Z70" i="1"/>
  <c r="AB70" i="1"/>
  <c r="AF70" i="1"/>
  <c r="Z69" i="1"/>
  <c r="AC69" i="1"/>
  <c r="AD68" i="1"/>
  <c r="AB68" i="1"/>
  <c r="O68" i="1"/>
  <c r="AE67" i="1"/>
  <c r="AC67" i="1"/>
  <c r="R66" i="1"/>
  <c r="S66" i="1"/>
  <c r="O66" i="1"/>
  <c r="AI61" i="1"/>
  <c r="R62" i="1"/>
  <c r="AB65" i="1"/>
  <c r="AG62" i="1"/>
  <c r="X58" i="1"/>
  <c r="AG60" i="1"/>
  <c r="AH62" i="1"/>
  <c r="X59" i="1"/>
  <c r="AC56" i="1"/>
  <c r="T53" i="1"/>
  <c r="AF50" i="1"/>
  <c r="AE47" i="1"/>
  <c r="AA44" i="1"/>
  <c r="V41" i="1"/>
  <c r="Z38" i="1"/>
  <c r="AE35" i="1"/>
  <c r="W64" i="1"/>
  <c r="X61" i="1"/>
  <c r="Y58" i="1"/>
  <c r="Y55" i="1"/>
  <c r="AD52" i="1"/>
  <c r="O49" i="1"/>
  <c r="T46" i="1"/>
  <c r="AG43" i="1"/>
  <c r="T40" i="1"/>
  <c r="X37" i="1"/>
  <c r="V34" i="1"/>
  <c r="AD63" i="1"/>
  <c r="Y60" i="1"/>
  <c r="V57" i="1"/>
  <c r="U54" i="1"/>
  <c r="Y51" i="1"/>
  <c r="AB48" i="1"/>
  <c r="Z45" i="1"/>
  <c r="Y42" i="1"/>
  <c r="AG39" i="1"/>
  <c r="R36" i="1"/>
  <c r="U58" i="1"/>
  <c r="U55" i="1"/>
  <c r="P52" i="1"/>
  <c r="W49" i="1"/>
  <c r="W45" i="1"/>
  <c r="AA42" i="1"/>
  <c r="AH39" i="1"/>
  <c r="W36" i="1"/>
  <c r="AE32" i="1"/>
  <c r="U63" i="1"/>
  <c r="Q60" i="1"/>
  <c r="T56" i="1"/>
  <c r="U53" i="1"/>
  <c r="AB50" i="1"/>
  <c r="O47" i="1"/>
  <c r="AF44" i="1"/>
  <c r="U41" i="1"/>
  <c r="Y38" i="1"/>
  <c r="P35" i="1"/>
  <c r="Z64" i="1"/>
  <c r="AG61" i="1"/>
  <c r="S58" i="1"/>
  <c r="V55" i="1"/>
  <c r="S52" i="1"/>
  <c r="S49" i="1"/>
  <c r="Z46" i="1"/>
  <c r="AB43" i="1"/>
  <c r="Y40" i="1"/>
  <c r="AG37" i="1"/>
  <c r="AC34" i="1"/>
  <c r="X57" i="1"/>
  <c r="W54" i="1"/>
  <c r="W51" i="1"/>
  <c r="Z48" i="1"/>
  <c r="Q459" i="1"/>
  <c r="AD458" i="1"/>
  <c r="T458" i="1"/>
  <c r="AC458" i="1"/>
  <c r="AH457" i="1"/>
  <c r="AC457" i="1"/>
  <c r="U456" i="1"/>
  <c r="AB456" i="1"/>
  <c r="AG456" i="1"/>
  <c r="Y455" i="1"/>
  <c r="V455" i="1"/>
  <c r="X455" i="1"/>
  <c r="Y454" i="1"/>
  <c r="X454" i="1"/>
  <c r="AG453" i="1"/>
  <c r="Z453" i="1"/>
  <c r="U453" i="1"/>
  <c r="Y452" i="1"/>
  <c r="V452" i="1"/>
  <c r="AG452" i="1"/>
  <c r="V451" i="1"/>
  <c r="O451" i="1"/>
  <c r="AB450" i="1"/>
  <c r="AC450" i="1"/>
  <c r="P450" i="1"/>
  <c r="Y449" i="1"/>
  <c r="AC449" i="1"/>
  <c r="Q448" i="1"/>
  <c r="AA448" i="1"/>
  <c r="T448" i="1"/>
  <c r="W447" i="1"/>
  <c r="Z447" i="1"/>
  <c r="Q447" i="1"/>
  <c r="Q446" i="1"/>
  <c r="W446" i="1"/>
  <c r="AB445" i="1"/>
  <c r="AE445" i="1"/>
  <c r="AF445" i="1"/>
  <c r="AE444" i="1"/>
  <c r="AC444" i="1"/>
  <c r="AG444" i="1"/>
  <c r="Y443" i="1"/>
  <c r="O443" i="1"/>
  <c r="P433" i="1"/>
  <c r="AE433" i="1"/>
  <c r="AI433" i="1"/>
  <c r="P432" i="1"/>
  <c r="T432" i="1"/>
  <c r="V431" i="1"/>
  <c r="U431" i="1"/>
  <c r="W431" i="1"/>
  <c r="AA430" i="1"/>
  <c r="T430" i="1"/>
  <c r="AB430" i="1"/>
  <c r="T429" i="1"/>
  <c r="AF429" i="1"/>
  <c r="Q428" i="1"/>
  <c r="AB428" i="1"/>
  <c r="W428" i="1"/>
  <c r="AD427" i="1"/>
  <c r="AH427" i="1"/>
  <c r="AG427" i="1"/>
  <c r="Y426" i="1"/>
  <c r="O426" i="1"/>
  <c r="Q425" i="1"/>
  <c r="AE425" i="1"/>
  <c r="S425" i="1"/>
  <c r="Z424" i="1"/>
  <c r="AI424" i="1"/>
  <c r="V423" i="1"/>
  <c r="Z423" i="1"/>
  <c r="AA423" i="1"/>
  <c r="T422" i="1"/>
  <c r="U422" i="1"/>
  <c r="S422" i="1"/>
  <c r="AB421" i="1"/>
  <c r="AF421" i="1"/>
  <c r="Q420" i="1"/>
  <c r="AE420" i="1"/>
  <c r="AI420" i="1"/>
  <c r="X419" i="1"/>
  <c r="W419" i="1"/>
  <c r="AG419" i="1"/>
  <c r="Y418" i="1"/>
  <c r="O418" i="1"/>
  <c r="T417" i="1"/>
  <c r="R417" i="1"/>
  <c r="U417" i="1"/>
  <c r="AD416" i="1"/>
  <c r="T416" i="1"/>
  <c r="U406" i="1"/>
  <c r="Q406" i="1"/>
  <c r="Z406" i="1"/>
  <c r="AH405" i="1"/>
  <c r="Q405" i="1"/>
  <c r="AG405" i="1"/>
  <c r="Z404" i="1"/>
  <c r="AE404" i="1"/>
  <c r="P403" i="1"/>
  <c r="AD403" i="1"/>
  <c r="AB403" i="1"/>
  <c r="W402" i="1"/>
  <c r="AA402" i="1"/>
  <c r="AF402" i="1"/>
  <c r="X401" i="1"/>
  <c r="AC401" i="1"/>
  <c r="AG400" i="1"/>
  <c r="AH400" i="1"/>
  <c r="AI400" i="1"/>
  <c r="S399" i="1"/>
  <c r="Q399" i="1"/>
  <c r="O398" i="1"/>
  <c r="T398" i="1"/>
  <c r="V398" i="1"/>
  <c r="W397" i="1"/>
  <c r="V397" i="1"/>
  <c r="R397" i="1"/>
  <c r="R396" i="1"/>
  <c r="AE396" i="1"/>
  <c r="P395" i="1"/>
  <c r="T395" i="1"/>
  <c r="AB395" i="1"/>
  <c r="U394" i="1"/>
  <c r="Q394" i="1"/>
  <c r="AF394" i="1"/>
  <c r="X393" i="1"/>
  <c r="AC393" i="1"/>
  <c r="Q392" i="1"/>
  <c r="R392" i="1"/>
  <c r="AI392" i="1"/>
  <c r="S391" i="1"/>
  <c r="Z391" i="1"/>
  <c r="Y390" i="1"/>
  <c r="V390" i="1"/>
  <c r="AC390" i="1"/>
  <c r="S389" i="1"/>
  <c r="AA389" i="1"/>
  <c r="Y389" i="1"/>
  <c r="Y361" i="1"/>
  <c r="AH360" i="1"/>
  <c r="AB360" i="1"/>
  <c r="AE359" i="1"/>
  <c r="AG358" i="1"/>
  <c r="AI358" i="1"/>
  <c r="AG357" i="1"/>
  <c r="AI356" i="1"/>
  <c r="X356" i="1"/>
  <c r="AB355" i="1"/>
  <c r="Y354" i="1"/>
  <c r="AB354" i="1"/>
  <c r="X353" i="1"/>
  <c r="X334" i="1"/>
  <c r="Y334" i="1"/>
  <c r="Z333" i="1"/>
  <c r="AE332" i="1"/>
  <c r="AA332" i="1"/>
  <c r="X331" i="1"/>
  <c r="AH330" i="1"/>
  <c r="AA330" i="1"/>
  <c r="X329" i="1"/>
  <c r="AF328" i="1"/>
  <c r="AD328" i="1"/>
  <c r="AI327" i="1"/>
  <c r="Y327" i="1"/>
  <c r="AC326" i="1"/>
  <c r="Z326" i="1"/>
  <c r="AB307" i="1"/>
  <c r="U306" i="1"/>
  <c r="W306" i="1"/>
  <c r="AB306" i="1"/>
  <c r="T305" i="1"/>
  <c r="X305" i="1"/>
  <c r="AI305" i="1"/>
  <c r="W304" i="1"/>
  <c r="V304" i="1"/>
  <c r="P303" i="1"/>
  <c r="AI303" i="1"/>
  <c r="S303" i="1"/>
  <c r="AB302" i="1"/>
  <c r="V302" i="1"/>
  <c r="AD302" i="1"/>
  <c r="AH301" i="1"/>
  <c r="U301" i="1"/>
  <c r="O300" i="1"/>
  <c r="W300" i="1"/>
  <c r="R300" i="1"/>
  <c r="AG299" i="1"/>
  <c r="Q299" i="1"/>
  <c r="AF280" i="1"/>
  <c r="O280" i="1"/>
  <c r="Q280" i="1"/>
  <c r="S279" i="1"/>
  <c r="V279" i="1"/>
  <c r="O279" i="1"/>
  <c r="AA278" i="1"/>
  <c r="AB278" i="1"/>
  <c r="Z277" i="1"/>
  <c r="X277" i="1"/>
  <c r="P277" i="1"/>
  <c r="AE276" i="1"/>
  <c r="T276" i="1"/>
  <c r="V275" i="1"/>
  <c r="S275" i="1"/>
  <c r="AG275" i="1"/>
  <c r="AH274" i="1"/>
  <c r="AI274" i="1"/>
  <c r="Q274" i="1"/>
  <c r="Q273" i="1"/>
  <c r="S273" i="1"/>
  <c r="Z272" i="1"/>
  <c r="W272" i="1"/>
  <c r="X272" i="1"/>
  <c r="O253" i="1"/>
  <c r="Z253" i="1"/>
  <c r="Q253" i="1"/>
  <c r="AF252" i="1"/>
  <c r="Y252" i="1"/>
  <c r="Z251" i="1"/>
  <c r="W251" i="1"/>
  <c r="AH251" i="1"/>
  <c r="AH250" i="1"/>
  <c r="X250" i="1"/>
  <c r="Y249" i="1"/>
  <c r="R249" i="1"/>
  <c r="AI249" i="1"/>
  <c r="V248" i="1"/>
  <c r="AE248" i="1"/>
  <c r="AD248" i="1"/>
  <c r="X247" i="1"/>
  <c r="AI247" i="1"/>
  <c r="Y246" i="1"/>
  <c r="AH246" i="1"/>
  <c r="P246" i="1"/>
  <c r="AC245" i="1"/>
  <c r="Q245" i="1"/>
  <c r="X245" i="1"/>
  <c r="W226" i="1"/>
  <c r="X226" i="1"/>
  <c r="Q225" i="1"/>
  <c r="AF225" i="1"/>
  <c r="O225" i="1"/>
  <c r="Q224" i="1"/>
  <c r="S224" i="1"/>
  <c r="Y223" i="1"/>
  <c r="V223" i="1"/>
  <c r="AE223" i="1"/>
  <c r="S222" i="1"/>
  <c r="AB222" i="1"/>
  <c r="T222" i="1"/>
  <c r="R221" i="1"/>
  <c r="AF221" i="1"/>
  <c r="AG220" i="1"/>
  <c r="AB220" i="1"/>
  <c r="AC220" i="1"/>
  <c r="U219" i="1"/>
  <c r="W219" i="1"/>
  <c r="V219" i="1"/>
  <c r="U218" i="1"/>
  <c r="X218" i="1"/>
  <c r="AB199" i="1"/>
  <c r="AD199" i="1"/>
  <c r="Q199" i="1"/>
  <c r="P198" i="1"/>
  <c r="W198" i="1"/>
  <c r="Y197" i="1"/>
  <c r="AH197" i="1"/>
  <c r="Q197" i="1"/>
  <c r="O196" i="1"/>
  <c r="AH196" i="1"/>
  <c r="T196" i="1"/>
  <c r="P195" i="1"/>
  <c r="AF195" i="1"/>
  <c r="Y194" i="1"/>
  <c r="AB194" i="1"/>
  <c r="AE194" i="1"/>
  <c r="AB193" i="1"/>
  <c r="AH193" i="1"/>
  <c r="W193" i="1"/>
  <c r="AH192" i="1"/>
  <c r="AI192" i="1"/>
  <c r="U191" i="1"/>
  <c r="AG191" i="1"/>
  <c r="AD190" i="1"/>
  <c r="P191" i="1"/>
  <c r="AE191" i="1"/>
  <c r="AB189" i="1"/>
  <c r="AI189" i="1"/>
  <c r="AC189" i="1"/>
  <c r="AC188" i="1"/>
  <c r="AE188" i="1"/>
  <c r="AG188" i="1"/>
  <c r="W187" i="1"/>
  <c r="T187" i="1"/>
  <c r="Z186" i="1"/>
  <c r="AF186" i="1"/>
  <c r="U186" i="1"/>
  <c r="AG185" i="1"/>
  <c r="AD185" i="1"/>
  <c r="T185" i="1"/>
  <c r="AG184" i="1"/>
  <c r="P184" i="1"/>
  <c r="S183" i="1"/>
  <c r="O183" i="1"/>
  <c r="AI183" i="1"/>
  <c r="Y182" i="1"/>
  <c r="Q182" i="1"/>
  <c r="T181" i="1"/>
  <c r="X181" i="1"/>
  <c r="AH181" i="1"/>
  <c r="Z180" i="1"/>
  <c r="Q180" i="1"/>
  <c r="AF180" i="1"/>
  <c r="X179" i="1"/>
  <c r="AC179" i="1"/>
  <c r="S178" i="1"/>
  <c r="O178" i="1"/>
  <c r="AI178" i="1"/>
  <c r="AB177" i="1"/>
  <c r="AE177" i="1"/>
  <c r="AH177" i="1"/>
  <c r="X176" i="1"/>
  <c r="AE176" i="1"/>
  <c r="X175" i="1"/>
  <c r="P175" i="1"/>
  <c r="AB175" i="1"/>
  <c r="R174" i="1"/>
  <c r="X174" i="1"/>
  <c r="AI173" i="1"/>
  <c r="R173" i="1"/>
  <c r="Z173" i="1"/>
  <c r="AA172" i="1"/>
  <c r="Y172" i="1"/>
  <c r="U172" i="1"/>
  <c r="P171" i="1"/>
  <c r="AI171" i="1"/>
  <c r="AH170" i="1"/>
  <c r="U170" i="1"/>
  <c r="AA170" i="1"/>
  <c r="R169" i="1"/>
  <c r="O169" i="1"/>
  <c r="AI169" i="1"/>
  <c r="X168" i="1"/>
  <c r="R168" i="1"/>
  <c r="O167" i="1"/>
  <c r="Z167" i="1"/>
  <c r="W167" i="1"/>
  <c r="AD166" i="1"/>
  <c r="P166" i="1"/>
  <c r="AC165" i="1"/>
  <c r="V165" i="1"/>
  <c r="AH165" i="1"/>
  <c r="Y164" i="1"/>
  <c r="AF164" i="1"/>
  <c r="O164" i="1"/>
  <c r="AB163" i="1"/>
  <c r="X163" i="1"/>
  <c r="AB162" i="1"/>
  <c r="AI162" i="1"/>
  <c r="W162" i="1"/>
  <c r="AF161" i="1"/>
  <c r="Z161" i="1"/>
  <c r="AA161" i="1"/>
  <c r="Y160" i="1"/>
  <c r="U160" i="1"/>
  <c r="AG159" i="1"/>
  <c r="X159" i="1"/>
  <c r="AF159" i="1"/>
  <c r="U158" i="1"/>
  <c r="X158" i="1"/>
  <c r="AA157" i="1"/>
  <c r="X157" i="1"/>
  <c r="Y157" i="1"/>
  <c r="P156" i="1"/>
  <c r="T156" i="1"/>
  <c r="AG156" i="1"/>
  <c r="AA155" i="1"/>
  <c r="T155" i="1"/>
  <c r="R154" i="1"/>
  <c r="X154" i="1"/>
  <c r="AF154" i="1"/>
  <c r="AH153" i="1"/>
  <c r="V153" i="1"/>
  <c r="Q153" i="1"/>
  <c r="AB152" i="1"/>
  <c r="X152" i="1"/>
  <c r="T151" i="1"/>
  <c r="AE151" i="1"/>
  <c r="O151" i="1"/>
  <c r="U150" i="1"/>
  <c r="S150" i="1"/>
  <c r="U149" i="1"/>
  <c r="W149" i="1"/>
  <c r="AD149" i="1"/>
  <c r="AI148" i="1"/>
  <c r="AE148" i="1"/>
  <c r="W148" i="1"/>
  <c r="AH147" i="1"/>
  <c r="AB147" i="1"/>
  <c r="AC146" i="1"/>
  <c r="AE146" i="1"/>
  <c r="W146" i="1"/>
  <c r="AG145" i="1"/>
  <c r="AB145" i="1"/>
  <c r="AA145" i="1"/>
  <c r="P144" i="1"/>
  <c r="AF144" i="1"/>
  <c r="AC143" i="1"/>
  <c r="AI143" i="1"/>
  <c r="R143" i="1"/>
  <c r="R142" i="1"/>
  <c r="AB142" i="1"/>
  <c r="AA141" i="1"/>
  <c r="T141" i="1"/>
  <c r="Y141" i="1"/>
  <c r="Z140" i="1"/>
  <c r="O140" i="1"/>
  <c r="R140" i="1"/>
  <c r="AI139" i="1"/>
  <c r="P139" i="1"/>
  <c r="AE138" i="1"/>
  <c r="Q138" i="1"/>
  <c r="S138" i="1"/>
  <c r="AE137" i="1"/>
  <c r="AB137" i="1"/>
  <c r="R137" i="1"/>
  <c r="P136" i="1"/>
  <c r="W136" i="1"/>
  <c r="X135" i="1"/>
  <c r="V135" i="1"/>
  <c r="Y135" i="1"/>
  <c r="P134" i="1"/>
  <c r="O134" i="1"/>
  <c r="AE133" i="1"/>
  <c r="AI133" i="1"/>
  <c r="T133" i="1"/>
  <c r="O132" i="1"/>
  <c r="X132" i="1"/>
  <c r="AE132" i="1"/>
  <c r="AA131" i="1"/>
  <c r="AD131" i="1"/>
  <c r="U130" i="1"/>
  <c r="S130" i="1"/>
  <c r="R130" i="1"/>
  <c r="AC129" i="1"/>
  <c r="P129" i="1"/>
  <c r="V129" i="1"/>
  <c r="S128" i="1"/>
  <c r="AC128" i="1"/>
  <c r="AH127" i="1"/>
  <c r="AG127" i="1"/>
  <c r="U127" i="1"/>
  <c r="AD126" i="1"/>
  <c r="S126" i="1"/>
  <c r="Z125" i="1"/>
  <c r="AE125" i="1"/>
  <c r="AH125" i="1"/>
  <c r="Z124" i="1"/>
  <c r="S124" i="1"/>
  <c r="U124" i="1"/>
  <c r="AG123" i="1"/>
  <c r="T123" i="1"/>
  <c r="W122" i="1"/>
  <c r="O122" i="1"/>
  <c r="AI122" i="1"/>
  <c r="U121" i="1"/>
  <c r="AI121" i="1"/>
  <c r="X121" i="1"/>
  <c r="AI120" i="1"/>
  <c r="AG120" i="1"/>
  <c r="AD119" i="1"/>
  <c r="Q119" i="1"/>
  <c r="S119" i="1"/>
  <c r="T118" i="1"/>
  <c r="AI118" i="1"/>
  <c r="Z117" i="1"/>
  <c r="AE117" i="1"/>
  <c r="AC117" i="1"/>
  <c r="AC116" i="1"/>
  <c r="P116" i="1"/>
  <c r="AB116" i="1"/>
  <c r="Q115" i="1"/>
  <c r="R115" i="1"/>
  <c r="AI114" i="1"/>
  <c r="R114" i="1"/>
  <c r="AB114" i="1"/>
  <c r="AB113" i="1"/>
  <c r="AI113" i="1"/>
  <c r="V113" i="1"/>
  <c r="AB112" i="1"/>
  <c r="AI112" i="1"/>
  <c r="W111" i="1"/>
  <c r="V111" i="1"/>
  <c r="P111" i="1"/>
  <c r="S110" i="1"/>
  <c r="Q110" i="1"/>
  <c r="S109" i="1"/>
  <c r="V109" i="1"/>
  <c r="X109" i="1"/>
  <c r="AE108" i="1"/>
  <c r="U108" i="1"/>
  <c r="AD108" i="1"/>
  <c r="W107" i="1"/>
  <c r="V107" i="1"/>
  <c r="Z106" i="1"/>
  <c r="AF106" i="1"/>
  <c r="AH106" i="1"/>
  <c r="AG105" i="1"/>
  <c r="AI105" i="1"/>
  <c r="AB105" i="1"/>
  <c r="AE104" i="1"/>
  <c r="O104" i="1"/>
  <c r="S103" i="1"/>
  <c r="AB103" i="1"/>
  <c r="AF103" i="1"/>
  <c r="P102" i="1"/>
  <c r="T102" i="1"/>
  <c r="AC101" i="1"/>
  <c r="P101" i="1"/>
  <c r="AF101" i="1"/>
  <c r="AF100" i="1"/>
  <c r="X100" i="1"/>
  <c r="V100" i="1"/>
  <c r="AA99" i="1"/>
  <c r="AI99" i="1"/>
  <c r="P98" i="1"/>
  <c r="R98" i="1"/>
  <c r="AE98" i="1"/>
  <c r="AF97" i="1"/>
  <c r="AG97" i="1"/>
  <c r="O97" i="1"/>
  <c r="O96" i="1"/>
  <c r="W96" i="1"/>
  <c r="W95" i="1"/>
  <c r="AA95" i="1"/>
  <c r="P95" i="1"/>
  <c r="AA94" i="1"/>
  <c r="S94" i="1"/>
  <c r="AI93" i="1"/>
  <c r="Q93" i="1"/>
  <c r="P93" i="1"/>
  <c r="T92" i="1"/>
  <c r="U92" i="1"/>
  <c r="X92" i="1"/>
  <c r="W91" i="1"/>
  <c r="AB91" i="1"/>
  <c r="AB90" i="1"/>
  <c r="S90" i="1"/>
  <c r="V90" i="1"/>
  <c r="X89" i="1"/>
  <c r="P89" i="1"/>
  <c r="Y89" i="1"/>
  <c r="P88" i="1"/>
  <c r="AE88" i="1"/>
  <c r="AH87" i="1"/>
  <c r="P87" i="1"/>
  <c r="AC87" i="1"/>
  <c r="AF86" i="1"/>
  <c r="AH86" i="1"/>
  <c r="O85" i="1"/>
  <c r="AA85" i="1"/>
  <c r="AE85" i="1"/>
  <c r="AH84" i="1"/>
  <c r="AD84" i="1"/>
  <c r="R84" i="1"/>
  <c r="P83" i="1"/>
  <c r="AC83" i="1"/>
  <c r="Y82" i="1"/>
  <c r="U82" i="1"/>
  <c r="AF82" i="1"/>
  <c r="Y81" i="1"/>
  <c r="T81" i="1"/>
  <c r="Q81" i="1"/>
  <c r="P80" i="1"/>
  <c r="W80" i="1"/>
  <c r="Z79" i="1"/>
  <c r="U79" i="1"/>
  <c r="Q79" i="1"/>
  <c r="AC78" i="1"/>
  <c r="AE78" i="1"/>
  <c r="AI77" i="1"/>
  <c r="AC77" i="1"/>
  <c r="R77" i="1"/>
  <c r="Y76" i="1"/>
  <c r="Z76" i="1"/>
  <c r="AC76" i="1"/>
  <c r="S75" i="1"/>
  <c r="AE75" i="1"/>
  <c r="AH74" i="1"/>
  <c r="V74" i="1"/>
  <c r="AD74" i="1"/>
  <c r="AB73" i="1"/>
  <c r="AF73" i="1"/>
  <c r="AG73" i="1"/>
  <c r="S72" i="1"/>
  <c r="AE72" i="1"/>
  <c r="AF71" i="1"/>
  <c r="AD71" i="1"/>
  <c r="Y71" i="1"/>
  <c r="P70" i="1"/>
  <c r="AI70" i="1"/>
  <c r="X69" i="1"/>
  <c r="U69" i="1"/>
  <c r="AE69" i="1"/>
  <c r="Q68" i="1"/>
  <c r="S68" i="1"/>
  <c r="P68" i="1"/>
  <c r="R67" i="1"/>
  <c r="AD67" i="1"/>
  <c r="Q66" i="1"/>
  <c r="AF66" i="1"/>
  <c r="AA66" i="1"/>
  <c r="S60" i="1"/>
  <c r="T61" i="1"/>
  <c r="AA64" i="1"/>
  <c r="AE60" i="1"/>
  <c r="AA65" i="1"/>
  <c r="W58" i="1"/>
  <c r="S62" i="1"/>
  <c r="W59" i="1"/>
  <c r="Z56" i="1"/>
  <c r="AH53" i="1"/>
  <c r="O50" i="1"/>
  <c r="AA47" i="1"/>
  <c r="AH44" i="1"/>
  <c r="AA41" i="1"/>
  <c r="AD38" i="1"/>
  <c r="AD35" i="1"/>
  <c r="Q64" i="1"/>
  <c r="S61" i="1"/>
  <c r="AG58" i="1"/>
  <c r="AA55" i="1"/>
  <c r="AF52" i="1"/>
  <c r="U49" i="1"/>
  <c r="S46" i="1"/>
  <c r="Z43" i="1"/>
  <c r="AB39" i="1"/>
  <c r="X36" i="1"/>
  <c r="P32" i="1"/>
  <c r="Q63" i="1"/>
  <c r="O60" i="1"/>
  <c r="T57" i="1"/>
  <c r="V54" i="1"/>
  <c r="S50" i="1"/>
  <c r="W47" i="1"/>
  <c r="O44" i="1"/>
  <c r="W41" i="1"/>
  <c r="T38" i="1"/>
  <c r="AC35" i="1"/>
  <c r="Q57" i="1"/>
  <c r="AG54" i="1"/>
  <c r="P51" i="1"/>
  <c r="Y48" i="1"/>
  <c r="AI45" i="1"/>
  <c r="X42" i="1"/>
  <c r="AI39" i="1"/>
  <c r="AD36" i="1"/>
  <c r="T29" i="1"/>
  <c r="W62" i="1"/>
  <c r="T59" i="1"/>
  <c r="O56" i="1"/>
  <c r="S53" i="1"/>
  <c r="T50" i="1"/>
  <c r="R47" i="1"/>
  <c r="AI44" i="1"/>
  <c r="Q41" i="1"/>
  <c r="P38" i="1"/>
  <c r="R35" i="1"/>
  <c r="AH64" i="1"/>
  <c r="AA61" i="1"/>
  <c r="R58" i="1"/>
  <c r="T55" i="1"/>
  <c r="Z52" i="1"/>
  <c r="Z49" i="1"/>
  <c r="AE46" i="1"/>
  <c r="T43" i="1"/>
  <c r="Q40" i="1"/>
  <c r="T37" i="1"/>
  <c r="W33" i="1"/>
  <c r="R57" i="1"/>
  <c r="R54" i="1"/>
  <c r="T51" i="1"/>
  <c r="S48" i="1"/>
  <c r="Z459" i="1"/>
  <c r="V458" i="1"/>
  <c r="U458" i="1"/>
  <c r="S458" i="1"/>
  <c r="S457" i="1"/>
  <c r="Z457" i="1"/>
  <c r="R456" i="1"/>
  <c r="X456" i="1"/>
  <c r="AC456" i="1"/>
  <c r="AA455" i="1"/>
  <c r="AG455" i="1"/>
  <c r="AI455" i="1"/>
  <c r="R454" i="1"/>
  <c r="Q454" i="1"/>
  <c r="V453" i="1"/>
  <c r="O453" i="1"/>
  <c r="P453" i="1"/>
  <c r="W452" i="1"/>
  <c r="AC452" i="1"/>
  <c r="Z451" i="1"/>
  <c r="W451" i="1"/>
  <c r="AI451" i="1"/>
  <c r="R450" i="1"/>
  <c r="Z450" i="1"/>
  <c r="U450" i="1"/>
  <c r="AA449" i="1"/>
  <c r="Q449" i="1"/>
  <c r="W448" i="1"/>
  <c r="U448" i="1"/>
  <c r="AE448" i="1"/>
  <c r="T447" i="1"/>
  <c r="AE447" i="1"/>
  <c r="AG447" i="1"/>
  <c r="P446" i="1"/>
  <c r="O446" i="1"/>
  <c r="AD445" i="1"/>
  <c r="R445" i="1"/>
  <c r="P445" i="1"/>
  <c r="Y444" i="1"/>
  <c r="AF444" i="1"/>
  <c r="V443" i="1"/>
  <c r="AE443" i="1"/>
  <c r="U443" i="1"/>
  <c r="T433" i="1"/>
  <c r="R433" i="1"/>
  <c r="S433" i="1"/>
  <c r="AB432" i="1"/>
  <c r="AF432" i="1"/>
  <c r="Q431" i="1"/>
  <c r="AI431" i="1"/>
  <c r="AE431" i="1"/>
  <c r="AD430" i="1"/>
  <c r="AH430" i="1"/>
  <c r="AG430" i="1"/>
  <c r="Y429" i="1"/>
  <c r="O429" i="1"/>
  <c r="P428" i="1"/>
  <c r="AH428" i="1"/>
  <c r="U428" i="1"/>
  <c r="P427" i="1"/>
  <c r="T427" i="1"/>
  <c r="V426" i="1"/>
  <c r="W426" i="1"/>
  <c r="Z426" i="1"/>
  <c r="AA425" i="1"/>
  <c r="AI425" i="1"/>
  <c r="AC425" i="1"/>
  <c r="T424" i="1"/>
  <c r="AF424" i="1"/>
  <c r="Q423" i="1"/>
  <c r="AE423" i="1"/>
  <c r="AI423" i="1"/>
  <c r="Z422" i="1"/>
  <c r="X422" i="1"/>
  <c r="AG422" i="1"/>
  <c r="Y421" i="1"/>
  <c r="O421" i="1"/>
  <c r="AA420" i="1"/>
  <c r="R420" i="1"/>
  <c r="S420" i="1"/>
  <c r="AD419" i="1"/>
  <c r="AE419" i="1"/>
  <c r="V418" i="1"/>
  <c r="W418" i="1"/>
  <c r="AA418" i="1"/>
  <c r="W417" i="1"/>
  <c r="AB417" i="1"/>
  <c r="S417" i="1"/>
  <c r="AB416" i="1"/>
  <c r="AF416" i="1"/>
  <c r="X406" i="1"/>
  <c r="AD406" i="1"/>
  <c r="AA406" i="1"/>
  <c r="W405" i="1"/>
  <c r="S405" i="1"/>
  <c r="AF405" i="1"/>
  <c r="X404" i="1"/>
  <c r="AC404" i="1"/>
  <c r="AG403" i="1"/>
  <c r="AH403" i="1"/>
  <c r="AI403" i="1"/>
  <c r="U402" i="1"/>
  <c r="Q402" i="1"/>
  <c r="O401" i="1"/>
  <c r="T401" i="1"/>
  <c r="V401" i="1"/>
  <c r="W400" i="1"/>
  <c r="S400" i="1"/>
  <c r="Z400" i="1"/>
  <c r="Y399" i="1"/>
  <c r="AE399" i="1"/>
  <c r="P398" i="1"/>
  <c r="AB398" i="1"/>
  <c r="AD398" i="1"/>
  <c r="U397" i="1"/>
  <c r="AD397" i="1"/>
  <c r="AF397" i="1"/>
  <c r="X396" i="1"/>
  <c r="AC396" i="1"/>
  <c r="Q395" i="1"/>
  <c r="AD395" i="1"/>
  <c r="AI395" i="1"/>
  <c r="AG394" i="1"/>
  <c r="AH394" i="1"/>
  <c r="O393" i="1"/>
  <c r="S393" i="1"/>
  <c r="V393" i="1"/>
  <c r="W392" i="1"/>
  <c r="T392" i="1"/>
  <c r="Y392" i="1"/>
  <c r="AG391" i="1"/>
  <c r="AE391" i="1"/>
  <c r="AE390" i="1"/>
  <c r="O390" i="1"/>
  <c r="U390" i="1"/>
  <c r="AE389" i="1"/>
  <c r="O389" i="1"/>
  <c r="AF389" i="1"/>
  <c r="AG361" i="1"/>
  <c r="AG360" i="1"/>
  <c r="Z360" i="1"/>
  <c r="AG359" i="1"/>
  <c r="AD358" i="1"/>
  <c r="AC358" i="1"/>
  <c r="AF357" i="1"/>
  <c r="AE356" i="1"/>
  <c r="AF356" i="1"/>
  <c r="Z355" i="1"/>
  <c r="AH354" i="1"/>
  <c r="AC354" i="1"/>
  <c r="AF353" i="1"/>
  <c r="AF334" i="1"/>
  <c r="AH334" i="1"/>
  <c r="AD333" i="1"/>
  <c r="Y332" i="1"/>
  <c r="AB332" i="1"/>
  <c r="AH331" i="1"/>
  <c r="AG330" i="1"/>
  <c r="Z330" i="1"/>
  <c r="AA329" i="1"/>
  <c r="AA328" i="1"/>
  <c r="P328" i="1"/>
  <c r="AC327" i="1"/>
  <c r="X327" i="1"/>
  <c r="AD326" i="1"/>
  <c r="AI326" i="1"/>
  <c r="X307" i="1"/>
  <c r="Q306" i="1"/>
  <c r="AG306" i="1"/>
  <c r="AH306" i="1"/>
  <c r="AF305" i="1"/>
  <c r="V305" i="1"/>
  <c r="AE305" i="1"/>
  <c r="AG304" i="1"/>
  <c r="X304" i="1"/>
  <c r="AE303" i="1"/>
  <c r="X303" i="1"/>
  <c r="R303" i="1"/>
  <c r="Y302" i="1"/>
  <c r="T302" i="1"/>
  <c r="X301" i="1"/>
  <c r="AF301" i="1"/>
  <c r="W301" i="1"/>
  <c r="Z300" i="1"/>
  <c r="U300" i="1"/>
  <c r="Q300" i="1"/>
  <c r="AD299" i="1"/>
  <c r="AB299" i="1"/>
  <c r="Z280" i="1"/>
  <c r="U280" i="1"/>
  <c r="AH280" i="1"/>
  <c r="U279" i="1"/>
  <c r="AH279" i="1"/>
  <c r="S278" i="1"/>
  <c r="Q278" i="1"/>
  <c r="O278" i="1"/>
  <c r="AD277" i="1"/>
  <c r="Q277" i="1"/>
  <c r="AI277" i="1"/>
  <c r="W276" i="1"/>
  <c r="Y276" i="1"/>
  <c r="AD275" i="1"/>
  <c r="P275" i="1"/>
  <c r="AH275" i="1"/>
  <c r="AF274" i="1"/>
  <c r="R274" i="1"/>
  <c r="O274" i="1"/>
  <c r="AI273" i="1"/>
  <c r="O273" i="1"/>
  <c r="T272" i="1"/>
  <c r="AC272" i="1"/>
  <c r="P272" i="1"/>
  <c r="S253" i="1"/>
  <c r="AI253" i="1"/>
  <c r="S252" i="1"/>
  <c r="AA252" i="1"/>
  <c r="AB252" i="1"/>
  <c r="T251" i="1"/>
  <c r="AE251" i="1"/>
  <c r="V251" i="1"/>
  <c r="AD250" i="1"/>
  <c r="AF250" i="1"/>
  <c r="T249" i="1"/>
  <c r="AA249" i="1"/>
  <c r="P249" i="1"/>
  <c r="Z248" i="1"/>
  <c r="S248" i="1"/>
  <c r="Y248" i="1"/>
  <c r="AA247" i="1"/>
  <c r="AF247" i="1"/>
  <c r="AG246" i="1"/>
  <c r="AD246" i="1"/>
  <c r="AE246" i="1"/>
  <c r="S245" i="1"/>
  <c r="AI245" i="1"/>
  <c r="Y226" i="1"/>
  <c r="AH226" i="1"/>
  <c r="AI226" i="1"/>
  <c r="AB225" i="1"/>
  <c r="AD225" i="1"/>
  <c r="Y225" i="1"/>
  <c r="AC224" i="1"/>
  <c r="X224" i="1"/>
  <c r="T223" i="1"/>
  <c r="AH223" i="1"/>
  <c r="AF223" i="1"/>
  <c r="Z222" i="1"/>
  <c r="Q222" i="1"/>
  <c r="Y222" i="1"/>
  <c r="P221" i="1"/>
  <c r="AE221" i="1"/>
  <c r="U220" i="1"/>
  <c r="R220" i="1"/>
  <c r="W220" i="1"/>
  <c r="AC219" i="1"/>
  <c r="AA219" i="1"/>
  <c r="Y218" i="1"/>
  <c r="AH218" i="1"/>
  <c r="AI218" i="1"/>
  <c r="X199" i="1"/>
  <c r="O199" i="1"/>
  <c r="AI199" i="1"/>
  <c r="T198" i="1"/>
  <c r="X198" i="1"/>
  <c r="T197" i="1"/>
  <c r="R197" i="1"/>
  <c r="S197" i="1"/>
  <c r="V196" i="1"/>
  <c r="AC196" i="1"/>
  <c r="Y196" i="1"/>
  <c r="AC195" i="1"/>
  <c r="AE195" i="1"/>
  <c r="AG194" i="1"/>
  <c r="AA194" i="1"/>
  <c r="R194" i="1"/>
  <c r="S193" i="1"/>
  <c r="AI193" i="1"/>
  <c r="AF192" i="1"/>
  <c r="T192" i="1"/>
  <c r="O192" i="1"/>
  <c r="AF191" i="1"/>
  <c r="AF190" i="1"/>
  <c r="T191" i="1"/>
  <c r="AD191" i="1"/>
  <c r="AI190" i="1"/>
  <c r="V189" i="1"/>
  <c r="S189" i="1"/>
  <c r="Q189" i="1"/>
  <c r="AH188" i="1"/>
  <c r="W188" i="1"/>
  <c r="U188" i="1"/>
  <c r="AG187" i="1"/>
  <c r="V187" i="1"/>
  <c r="T186" i="1"/>
  <c r="P186" i="1"/>
  <c r="AC186" i="1"/>
  <c r="AB185" i="1"/>
  <c r="O185" i="1"/>
  <c r="Z184" i="1"/>
  <c r="X184" i="1"/>
  <c r="AA184" i="1"/>
  <c r="T183" i="1"/>
  <c r="R183" i="1"/>
  <c r="AF183" i="1"/>
  <c r="AA182" i="1"/>
  <c r="V182" i="1"/>
  <c r="Y181" i="1"/>
  <c r="AD181" i="1"/>
  <c r="U181" i="1"/>
  <c r="R180" i="1"/>
  <c r="AH180" i="1"/>
  <c r="P180" i="1"/>
  <c r="AI179" i="1"/>
  <c r="R179" i="1"/>
  <c r="X178" i="1"/>
  <c r="AF178" i="1"/>
  <c r="AH178" i="1"/>
  <c r="AG177" i="1"/>
  <c r="Z177" i="1"/>
  <c r="V176" i="1"/>
  <c r="T176" i="1"/>
  <c r="S176" i="1"/>
  <c r="Z175" i="1"/>
  <c r="AI175" i="1"/>
  <c r="Q175" i="1"/>
  <c r="AC174" i="1"/>
  <c r="AE174" i="1"/>
  <c r="AC173" i="1"/>
  <c r="AH173" i="1"/>
  <c r="S173" i="1"/>
  <c r="AD172" i="1"/>
  <c r="P172" i="1"/>
  <c r="AE172" i="1"/>
  <c r="Y171" i="1"/>
  <c r="S171" i="1"/>
  <c r="AB170" i="1"/>
  <c r="AC170" i="1"/>
  <c r="P170" i="1"/>
  <c r="AF169" i="1"/>
  <c r="S169" i="1"/>
  <c r="AE168" i="1"/>
  <c r="S168" i="1"/>
  <c r="O168" i="1"/>
  <c r="AA167" i="1"/>
  <c r="AE167" i="1"/>
  <c r="AH167" i="1"/>
  <c r="AE166" i="1"/>
  <c r="U166" i="1"/>
  <c r="O165" i="1"/>
  <c r="AG165" i="1"/>
  <c r="S165" i="1"/>
  <c r="P164" i="1"/>
  <c r="AC164" i="1"/>
  <c r="Q164" i="1"/>
  <c r="Y163" i="1"/>
  <c r="AG163" i="1"/>
  <c r="Q162" i="1"/>
  <c r="AC162" i="1"/>
  <c r="AF162" i="1"/>
  <c r="AE161" i="1"/>
  <c r="T161" i="1"/>
  <c r="W160" i="1"/>
  <c r="V160" i="1"/>
  <c r="Z160" i="1"/>
  <c r="AA159" i="1"/>
  <c r="V159" i="1"/>
  <c r="Z159" i="1"/>
  <c r="S158" i="1"/>
  <c r="Q158" i="1"/>
  <c r="Z157" i="1"/>
  <c r="AF157" i="1"/>
  <c r="Q157" i="1"/>
  <c r="V156" i="1"/>
  <c r="O156" i="1"/>
  <c r="S156" i="1"/>
  <c r="AD155" i="1"/>
  <c r="AG155" i="1"/>
  <c r="AB154" i="1"/>
  <c r="AD154" i="1"/>
  <c r="S154" i="1"/>
  <c r="T153" i="1"/>
  <c r="AG153" i="1"/>
  <c r="AE152" i="1"/>
  <c r="U152" i="1"/>
  <c r="AH152" i="1"/>
  <c r="Y151" i="1"/>
  <c r="AC151" i="1"/>
  <c r="R151" i="1"/>
  <c r="AB150" i="1"/>
  <c r="T150" i="1"/>
  <c r="AE149" i="1"/>
  <c r="S149" i="1"/>
  <c r="X149" i="1"/>
  <c r="V148" i="1"/>
  <c r="AF148" i="1"/>
  <c r="O148" i="1"/>
  <c r="Q147" i="1"/>
  <c r="AG147" i="1"/>
  <c r="U146" i="1"/>
  <c r="AH146" i="1"/>
  <c r="Q146" i="1"/>
  <c r="AC145" i="1"/>
  <c r="X145" i="1"/>
  <c r="O144" i="1"/>
  <c r="Z144" i="1"/>
  <c r="Y144" i="1"/>
  <c r="Z143" i="1"/>
  <c r="W143" i="1"/>
  <c r="AD143" i="1"/>
  <c r="AE142" i="1"/>
  <c r="AI142" i="1"/>
  <c r="V141" i="1"/>
  <c r="AF141" i="1"/>
  <c r="P141" i="1"/>
  <c r="AB140" i="1"/>
  <c r="Q140" i="1"/>
  <c r="AE140" i="1"/>
  <c r="AE139" i="1"/>
  <c r="AB139" i="1"/>
  <c r="R138" i="1"/>
  <c r="O138" i="1"/>
  <c r="AA138" i="1"/>
  <c r="AF137" i="1"/>
  <c r="AD137" i="1"/>
  <c r="V136" i="1"/>
  <c r="X136" i="1"/>
  <c r="AA136" i="1"/>
  <c r="T135" i="1"/>
  <c r="U135" i="1"/>
  <c r="Z135" i="1"/>
  <c r="W134" i="1"/>
  <c r="U134" i="1"/>
  <c r="U133" i="1"/>
  <c r="Y133" i="1"/>
  <c r="P133" i="1"/>
  <c r="T132" i="1"/>
  <c r="AH132" i="1"/>
  <c r="AA132" i="1"/>
  <c r="AE131" i="1"/>
  <c r="AG131" i="1"/>
  <c r="P130" i="1"/>
  <c r="Y130" i="1"/>
  <c r="W130" i="1"/>
  <c r="AG129" i="1"/>
  <c r="AB129" i="1"/>
  <c r="R128" i="1"/>
  <c r="AA128" i="1"/>
  <c r="X128" i="1"/>
  <c r="AA127" i="1"/>
  <c r="AC127" i="1"/>
  <c r="O127" i="1"/>
  <c r="V126" i="1"/>
  <c r="U126" i="1"/>
  <c r="X125" i="1"/>
  <c r="O125" i="1"/>
  <c r="W125" i="1"/>
  <c r="V124" i="1"/>
  <c r="AA124" i="1"/>
  <c r="Y124" i="1"/>
  <c r="AC123" i="1"/>
  <c r="Z123" i="1"/>
  <c r="AE122" i="1"/>
  <c r="R122" i="1"/>
  <c r="U122" i="1"/>
  <c r="R121" i="1"/>
  <c r="P121" i="1"/>
  <c r="R120" i="1"/>
  <c r="AD120" i="1"/>
  <c r="X120" i="1"/>
  <c r="AF119" i="1"/>
  <c r="AB119" i="1"/>
  <c r="AA119" i="1"/>
  <c r="Z118" i="1"/>
  <c r="O118" i="1"/>
  <c r="AA117" i="1"/>
  <c r="O117" i="1"/>
  <c r="V117" i="1"/>
  <c r="AF116" i="1"/>
  <c r="Z116" i="1"/>
  <c r="AE116" i="1"/>
  <c r="AB115" i="1"/>
  <c r="AA115" i="1"/>
  <c r="X114" i="1"/>
  <c r="W114" i="1"/>
  <c r="AA114" i="1"/>
  <c r="AH113" i="1"/>
  <c r="W113" i="1"/>
  <c r="T112" i="1"/>
  <c r="V112" i="1"/>
  <c r="X112" i="1"/>
  <c r="AB111" i="1"/>
  <c r="U111" i="1"/>
  <c r="T111" i="1"/>
  <c r="AE110" i="1"/>
  <c r="AG110" i="1"/>
  <c r="AB109" i="1"/>
  <c r="P109" i="1"/>
  <c r="W109" i="1"/>
  <c r="AH108" i="1"/>
  <c r="V108" i="1"/>
  <c r="X108" i="1"/>
  <c r="AC107" i="1"/>
  <c r="P107" i="1"/>
  <c r="T106" i="1"/>
  <c r="AB106" i="1"/>
  <c r="Y106" i="1"/>
  <c r="P105" i="1"/>
  <c r="T105" i="1"/>
  <c r="T104" i="1"/>
  <c r="AH104" i="1"/>
  <c r="X104" i="1"/>
  <c r="O103" i="1"/>
  <c r="X103" i="1"/>
  <c r="W103" i="1"/>
  <c r="S102" i="1"/>
  <c r="R102" i="1"/>
  <c r="V101" i="1"/>
  <c r="AH101" i="1"/>
  <c r="AG101" i="1"/>
  <c r="Z100" i="1"/>
  <c r="T100" i="1"/>
  <c r="P100" i="1"/>
  <c r="O99" i="1"/>
  <c r="U99" i="1"/>
  <c r="X98" i="1"/>
  <c r="AB98" i="1"/>
  <c r="Q98" i="1"/>
  <c r="AB97" i="1"/>
  <c r="AC97" i="1"/>
  <c r="T96" i="1"/>
  <c r="P96" i="1"/>
  <c r="AF96" i="1"/>
  <c r="AC95" i="1"/>
  <c r="Y95" i="1"/>
  <c r="AE95" i="1"/>
  <c r="AB94" i="1"/>
  <c r="AC94" i="1"/>
  <c r="U93" i="1"/>
  <c r="X93" i="1"/>
  <c r="AG93" i="1"/>
  <c r="AH92" i="1"/>
  <c r="P92" i="1"/>
  <c r="AG92" i="1"/>
  <c r="AH91" i="1"/>
  <c r="AF91" i="1"/>
  <c r="U90" i="1"/>
  <c r="R90" i="1"/>
  <c r="AA90" i="1"/>
  <c r="AD89" i="1"/>
  <c r="AC89" i="1"/>
  <c r="AB88" i="1"/>
  <c r="AH88" i="1"/>
  <c r="R88" i="1"/>
  <c r="AG87" i="1"/>
  <c r="U87" i="1"/>
  <c r="AE87" i="1"/>
  <c r="AG86" i="1"/>
  <c r="Y86" i="1"/>
  <c r="Z85" i="1"/>
  <c r="Y85" i="1"/>
  <c r="X85" i="1"/>
  <c r="Z84" i="1"/>
  <c r="O84" i="1"/>
  <c r="X84" i="1"/>
  <c r="Z83" i="1"/>
  <c r="AE83" i="1"/>
  <c r="AD82" i="1"/>
  <c r="P82" i="1"/>
  <c r="AG82" i="1"/>
  <c r="AF81" i="1"/>
  <c r="AI81" i="1"/>
  <c r="T80" i="1"/>
  <c r="Q80" i="1"/>
  <c r="AI80" i="1"/>
  <c r="AD79" i="1"/>
  <c r="AG79" i="1"/>
  <c r="AF79" i="1"/>
  <c r="O78" i="1"/>
  <c r="V78" i="1"/>
  <c r="Q77" i="1"/>
  <c r="Y77" i="1"/>
  <c r="AF77" i="1"/>
  <c r="V76" i="1"/>
  <c r="AI76" i="1"/>
  <c r="AG76" i="1"/>
  <c r="AG75" i="1"/>
  <c r="W75" i="1"/>
  <c r="X74" i="1"/>
  <c r="AB74" i="1"/>
  <c r="W74" i="1"/>
  <c r="Q73" i="1"/>
  <c r="AC73" i="1"/>
  <c r="Z72" i="1"/>
  <c r="U72" i="1"/>
  <c r="AH72" i="1"/>
  <c r="T71" i="1"/>
  <c r="S71" i="1"/>
  <c r="Q71" i="1"/>
  <c r="S70" i="1"/>
  <c r="V70" i="1"/>
  <c r="AF69" i="1"/>
  <c r="R69" i="1"/>
  <c r="AG69" i="1"/>
  <c r="AC68" i="1"/>
  <c r="AE68" i="1"/>
  <c r="AH68" i="1"/>
  <c r="AI67" i="1"/>
  <c r="X67" i="1"/>
  <c r="AE66" i="1"/>
  <c r="Y66" i="1"/>
  <c r="AC66" i="1"/>
  <c r="T65" i="1"/>
  <c r="S59" i="1"/>
  <c r="U62" i="1"/>
  <c r="V59" i="1"/>
  <c r="S65" i="1"/>
  <c r="AG65" i="1"/>
  <c r="AD62" i="1"/>
  <c r="R59" i="1"/>
  <c r="AI56" i="1"/>
  <c r="Y52" i="1"/>
  <c r="V49" i="1"/>
  <c r="V46" i="1"/>
  <c r="R43" i="1"/>
  <c r="X40" i="1"/>
  <c r="O37" i="1"/>
  <c r="AI34" i="1"/>
  <c r="Z63" i="1"/>
  <c r="AB60" i="1"/>
  <c r="AF57" i="1"/>
  <c r="AE54" i="1"/>
  <c r="AE51" i="1"/>
  <c r="AC48" i="1"/>
  <c r="AG45" i="1"/>
  <c r="AH42" i="1"/>
  <c r="Z39" i="1"/>
  <c r="U36" i="1"/>
  <c r="AB29" i="1"/>
  <c r="AB62" i="1"/>
  <c r="AH59" i="1"/>
  <c r="AE56" i="1"/>
  <c r="P53" i="1"/>
  <c r="Y50" i="1"/>
  <c r="Z47" i="1"/>
  <c r="AE44" i="1"/>
  <c r="AF41" i="1"/>
  <c r="AA38" i="1"/>
  <c r="O35" i="1"/>
  <c r="AD57" i="1"/>
  <c r="AI54" i="1"/>
  <c r="AB51" i="1"/>
  <c r="AA48" i="1"/>
  <c r="P45" i="1"/>
  <c r="AG42" i="1"/>
  <c r="V39" i="1"/>
  <c r="O36" i="1"/>
  <c r="AE65" i="1"/>
  <c r="T62" i="1"/>
  <c r="Z59" i="1"/>
  <c r="Q56" i="1"/>
  <c r="Z53" i="1"/>
  <c r="R50" i="1"/>
  <c r="Y47" i="1"/>
  <c r="R44" i="1"/>
  <c r="R40" i="1"/>
  <c r="AH37" i="1"/>
  <c r="AH34" i="1"/>
  <c r="AG64" i="1"/>
  <c r="O61" i="1"/>
  <c r="O58" i="1"/>
  <c r="AB55" i="1"/>
  <c r="Z51" i="1"/>
  <c r="AD48" i="1"/>
  <c r="U45" i="1"/>
  <c r="P42" i="1"/>
  <c r="R39" i="1"/>
  <c r="Y36" i="1"/>
  <c r="AF31" i="1"/>
  <c r="AB56" i="1"/>
  <c r="AB53" i="1"/>
  <c r="AC50" i="1"/>
  <c r="AF47" i="1"/>
  <c r="P459" i="1"/>
  <c r="AF458" i="1"/>
  <c r="P458" i="1"/>
  <c r="AI458" i="1"/>
  <c r="R457" i="1"/>
  <c r="Q457" i="1"/>
  <c r="V456" i="1"/>
  <c r="T456" i="1"/>
  <c r="AD456" i="1"/>
  <c r="AB455" i="1"/>
  <c r="AD455" i="1"/>
  <c r="AG454" i="1"/>
  <c r="W454" i="1"/>
  <c r="AB454" i="1"/>
  <c r="AD453" i="1"/>
  <c r="AH453" i="1"/>
  <c r="AE453" i="1"/>
  <c r="X452" i="1"/>
  <c r="AE452" i="1"/>
  <c r="AD451" i="1"/>
  <c r="AA451" i="1"/>
  <c r="AE451" i="1"/>
  <c r="W450" i="1"/>
  <c r="S450" i="1"/>
  <c r="AG450" i="1"/>
  <c r="AH449" i="1"/>
  <c r="O449" i="1"/>
  <c r="X448" i="1"/>
  <c r="AF448" i="1"/>
  <c r="P448" i="1"/>
  <c r="AF447" i="1"/>
  <c r="AA447" i="1"/>
  <c r="AD446" i="1"/>
  <c r="AI446" i="1"/>
  <c r="AE446" i="1"/>
  <c r="AH445" i="1"/>
  <c r="AA445" i="1"/>
  <c r="V445" i="1"/>
  <c r="X444" i="1"/>
  <c r="P444" i="1"/>
  <c r="Q443" i="1"/>
  <c r="AI443" i="1"/>
  <c r="S443" i="1"/>
  <c r="W433" i="1"/>
  <c r="U433" i="1"/>
  <c r="AG433" i="1"/>
  <c r="Y432" i="1"/>
  <c r="O432" i="1"/>
  <c r="AA431" i="1"/>
  <c r="R431" i="1"/>
  <c r="S431" i="1"/>
  <c r="P430" i="1"/>
  <c r="AI430" i="1"/>
  <c r="V429" i="1"/>
  <c r="Z429" i="1"/>
  <c r="W429" i="1"/>
  <c r="T428" i="1"/>
  <c r="AI428" i="1"/>
  <c r="S428" i="1"/>
  <c r="AB427" i="1"/>
  <c r="AF427" i="1"/>
  <c r="Q426" i="1"/>
  <c r="AI426" i="1"/>
  <c r="AE426" i="1"/>
  <c r="X425" i="1"/>
  <c r="R425" i="1"/>
  <c r="AG425" i="1"/>
  <c r="Y424" i="1"/>
  <c r="O424" i="1"/>
  <c r="U423" i="1"/>
  <c r="R423" i="1"/>
  <c r="S423" i="1"/>
  <c r="AD422" i="1"/>
  <c r="AI422" i="1"/>
  <c r="V421" i="1"/>
  <c r="X421" i="1"/>
  <c r="Z421" i="1"/>
  <c r="X420" i="1"/>
  <c r="U420" i="1"/>
  <c r="AC420" i="1"/>
  <c r="T419" i="1"/>
  <c r="AF419" i="1"/>
  <c r="Q418" i="1"/>
  <c r="AI418" i="1"/>
  <c r="AE418" i="1"/>
  <c r="AD417" i="1"/>
  <c r="AH417" i="1"/>
  <c r="AG417" i="1"/>
  <c r="Y416" i="1"/>
  <c r="O416" i="1"/>
  <c r="S406" i="1"/>
  <c r="AH406" i="1"/>
  <c r="AB406" i="1"/>
  <c r="U405" i="1"/>
  <c r="AD405" i="1"/>
  <c r="O404" i="1"/>
  <c r="S404" i="1"/>
  <c r="W404" i="1"/>
  <c r="W403" i="1"/>
  <c r="T403" i="1"/>
  <c r="Z403" i="1"/>
  <c r="S402" i="1"/>
  <c r="AE402" i="1"/>
  <c r="P401" i="1"/>
  <c r="AD401" i="1"/>
  <c r="AB401" i="1"/>
  <c r="U400" i="1"/>
  <c r="Y400" i="1"/>
  <c r="AF400" i="1"/>
  <c r="X399" i="1"/>
  <c r="AC399" i="1"/>
  <c r="Z398" i="1"/>
  <c r="AG398" i="1"/>
  <c r="AI398" i="1"/>
  <c r="S397" i="1"/>
  <c r="AH397" i="1"/>
  <c r="O396" i="1"/>
  <c r="T396" i="1"/>
  <c r="V396" i="1"/>
  <c r="AG395" i="1"/>
  <c r="Z395" i="1"/>
  <c r="Y395" i="1"/>
  <c r="AA394" i="1"/>
  <c r="AE394" i="1"/>
  <c r="P393" i="1"/>
  <c r="AB393" i="1"/>
  <c r="AD393" i="1"/>
  <c r="U392" i="1"/>
  <c r="AD392" i="1"/>
  <c r="AF392" i="1"/>
  <c r="X391" i="1"/>
  <c r="AC391" i="1"/>
  <c r="T390" i="1"/>
  <c r="AI390" i="1"/>
  <c r="Q390" i="1"/>
  <c r="V389" i="1"/>
  <c r="R389" i="1"/>
  <c r="X361" i="1"/>
  <c r="AC361" i="1"/>
  <c r="AE360" i="1"/>
  <c r="AD359" i="1"/>
  <c r="AC359" i="1"/>
  <c r="X358" i="1"/>
  <c r="Z357" i="1"/>
  <c r="AH357" i="1"/>
  <c r="Y356" i="1"/>
  <c r="AG355" i="1"/>
  <c r="AA355" i="1"/>
  <c r="AG354" i="1"/>
  <c r="Y353" i="1"/>
  <c r="AB353" i="1"/>
  <c r="AA334" i="1"/>
  <c r="AG333" i="1"/>
  <c r="AE333" i="1"/>
  <c r="AH332" i="1"/>
  <c r="AD331" i="1"/>
  <c r="AA331" i="1"/>
  <c r="AE330" i="1"/>
  <c r="O329" i="1"/>
  <c r="AI329" i="1"/>
  <c r="AB328" i="1"/>
  <c r="Y328" i="1"/>
  <c r="AD327" i="1"/>
  <c r="AF327" i="1"/>
  <c r="Y326" i="1"/>
  <c r="AI307" i="1"/>
  <c r="AF307" i="1"/>
  <c r="AF306" i="1"/>
  <c r="Y306" i="1"/>
  <c r="T306" i="1"/>
  <c r="AC305" i="1"/>
  <c r="S305" i="1"/>
  <c r="Y304" i="1"/>
  <c r="O304" i="1"/>
  <c r="AB304" i="1"/>
  <c r="Q303" i="1"/>
  <c r="AA303" i="1"/>
  <c r="V303" i="1"/>
  <c r="AI302" i="1"/>
  <c r="AC302" i="1"/>
  <c r="AG301" i="1"/>
  <c r="Z301" i="1"/>
  <c r="Y301" i="1"/>
  <c r="P300" i="1"/>
  <c r="Y300" i="1"/>
  <c r="T300" i="1"/>
  <c r="V299" i="1"/>
  <c r="AI299" i="1"/>
  <c r="AB280" i="1"/>
  <c r="AI280" i="1"/>
  <c r="Y280" i="1"/>
  <c r="AF279" i="1"/>
  <c r="AB279" i="1"/>
  <c r="Z278" i="1"/>
  <c r="W278" i="1"/>
  <c r="AF278" i="1"/>
  <c r="AA277" i="1"/>
  <c r="W277" i="1"/>
  <c r="S277" i="1"/>
  <c r="AA276" i="1"/>
  <c r="AB276" i="1"/>
  <c r="O275" i="1"/>
  <c r="X275" i="1"/>
  <c r="Q275" i="1"/>
  <c r="P274" i="1"/>
  <c r="AC274" i="1"/>
  <c r="Y273" i="1"/>
  <c r="V273" i="1"/>
  <c r="AF273" i="1"/>
  <c r="AH272" i="1"/>
  <c r="AI272" i="1"/>
  <c r="S272" i="1"/>
  <c r="AH253" i="1"/>
  <c r="V253" i="1"/>
  <c r="Z252" i="1"/>
  <c r="Q252" i="1"/>
  <c r="W252" i="1"/>
  <c r="AI251" i="1"/>
  <c r="P251" i="1"/>
  <c r="AB251" i="1"/>
  <c r="S250" i="1"/>
  <c r="AI250" i="1"/>
  <c r="AB249" i="1"/>
  <c r="AD249" i="1"/>
  <c r="AG249" i="1"/>
  <c r="Q248" i="1"/>
  <c r="X248" i="1"/>
  <c r="AG247" i="1"/>
  <c r="P247" i="1"/>
  <c r="AE247" i="1"/>
  <c r="AB246" i="1"/>
  <c r="W246" i="1"/>
  <c r="V246" i="1"/>
  <c r="AF245" i="1"/>
  <c r="W245" i="1"/>
  <c r="AG226" i="1"/>
  <c r="AE226" i="1"/>
  <c r="AB226" i="1"/>
  <c r="AA225" i="1"/>
  <c r="W225" i="1"/>
  <c r="V225" i="1"/>
  <c r="AH224" i="1"/>
  <c r="AI224" i="1"/>
  <c r="AG223" i="1"/>
  <c r="Z223" i="1"/>
  <c r="Q223" i="1"/>
  <c r="AE222" i="1"/>
  <c r="X222" i="1"/>
  <c r="AG221" i="1"/>
  <c r="Q221" i="1"/>
  <c r="U221" i="1"/>
  <c r="Q220" i="1"/>
  <c r="AA220" i="1"/>
  <c r="T220" i="1"/>
  <c r="T219" i="1"/>
  <c r="AG219" i="1"/>
  <c r="AG218" i="1"/>
  <c r="R218" i="1"/>
  <c r="V218" i="1"/>
  <c r="AC199" i="1"/>
  <c r="U199" i="1"/>
  <c r="S199" i="1"/>
  <c r="AH198" i="1"/>
  <c r="AI198" i="1"/>
  <c r="AB197" i="1"/>
  <c r="AD197" i="1"/>
  <c r="AA197" i="1"/>
  <c r="W196" i="1"/>
  <c r="X196" i="1"/>
  <c r="W195" i="1"/>
  <c r="AH195" i="1"/>
  <c r="X195" i="1"/>
  <c r="V194" i="1"/>
  <c r="P194" i="1"/>
  <c r="S194" i="1"/>
  <c r="V193" i="1"/>
  <c r="O193" i="1"/>
  <c r="Y192" i="1"/>
  <c r="AE192" i="1"/>
  <c r="U192" i="1"/>
  <c r="T190" i="1"/>
  <c r="S190" i="1"/>
  <c r="X191" i="1"/>
  <c r="U190" i="1"/>
  <c r="AB190" i="1"/>
  <c r="AG189" i="1"/>
  <c r="R189" i="1"/>
  <c r="AD189" i="1"/>
  <c r="S188" i="1"/>
  <c r="AD188" i="1"/>
  <c r="AA187" i="1"/>
  <c r="AH187" i="1"/>
  <c r="Q187" i="1"/>
  <c r="AA186" i="1"/>
  <c r="Q186" i="1"/>
  <c r="AB186" i="1"/>
  <c r="W185" i="1"/>
  <c r="Z185" i="1"/>
  <c r="AC184" i="1"/>
  <c r="AB184" i="1"/>
  <c r="AF184" i="1"/>
  <c r="AD183" i="1"/>
  <c r="U183" i="1"/>
  <c r="Q183" i="1"/>
  <c r="R182" i="1"/>
  <c r="AG182" i="1"/>
  <c r="AB181" i="1"/>
  <c r="AF181" i="1"/>
  <c r="S181" i="1"/>
  <c r="Y180" i="1"/>
  <c r="AG180" i="1"/>
  <c r="AH179" i="1"/>
  <c r="P179" i="1"/>
  <c r="Z179" i="1"/>
  <c r="AC178" i="1"/>
  <c r="T178" i="1"/>
  <c r="AD178" i="1"/>
  <c r="R177" i="1"/>
  <c r="O177" i="1"/>
  <c r="AG176" i="1"/>
  <c r="U176" i="1"/>
  <c r="Y176" i="1"/>
  <c r="S175" i="1"/>
  <c r="AD175" i="1"/>
  <c r="O175" i="1"/>
  <c r="AA174" i="1"/>
  <c r="AH174" i="1"/>
  <c r="O173" i="1"/>
  <c r="AD173" i="1"/>
  <c r="T173" i="1"/>
  <c r="AG172" i="1"/>
  <c r="AF172" i="1"/>
  <c r="R171" i="1"/>
  <c r="AA171" i="1"/>
  <c r="T171" i="1"/>
  <c r="Q170" i="1"/>
  <c r="Y170" i="1"/>
  <c r="AG170" i="1"/>
  <c r="AG169" i="1"/>
  <c r="P169" i="1"/>
  <c r="Q168" i="1"/>
  <c r="U168" i="1"/>
  <c r="AG168" i="1"/>
  <c r="AC167" i="1"/>
  <c r="P167" i="1"/>
  <c r="S167" i="1"/>
  <c r="AA166" i="1"/>
  <c r="AI166" i="1"/>
  <c r="AE165" i="1"/>
  <c r="T165" i="1"/>
  <c r="AB165" i="1"/>
  <c r="AG164" i="1"/>
  <c r="AA164" i="1"/>
  <c r="R163" i="1"/>
  <c r="AA163" i="1"/>
  <c r="AC163" i="1"/>
  <c r="R162" i="1"/>
  <c r="X162" i="1"/>
  <c r="S162" i="1"/>
  <c r="AG161" i="1"/>
  <c r="P161" i="1"/>
  <c r="AE160" i="1"/>
  <c r="O160" i="1"/>
  <c r="AH160" i="1"/>
  <c r="T159" i="1"/>
  <c r="U159" i="1"/>
  <c r="S159" i="1"/>
  <c r="AG158" i="1"/>
  <c r="AI158" i="1"/>
  <c r="AH157" i="1"/>
  <c r="AE157" i="1"/>
  <c r="AD157" i="1"/>
  <c r="Z156" i="1"/>
  <c r="Q156" i="1"/>
  <c r="P155" i="1"/>
  <c r="Y155" i="1"/>
  <c r="S155" i="1"/>
  <c r="AE154" i="1"/>
  <c r="AH154" i="1"/>
  <c r="W154" i="1"/>
  <c r="AD153" i="1"/>
  <c r="R153" i="1"/>
  <c r="AF152" i="1"/>
  <c r="S152" i="1"/>
  <c r="R152" i="1"/>
  <c r="V151" i="1"/>
  <c r="S151" i="1"/>
  <c r="AG151" i="1"/>
  <c r="R150" i="1"/>
  <c r="AH150" i="1"/>
  <c r="Z149" i="1"/>
  <c r="AA149" i="1"/>
  <c r="Q149" i="1"/>
  <c r="X148" i="1"/>
  <c r="AG148" i="1"/>
  <c r="O147" i="1"/>
  <c r="AD147" i="1"/>
  <c r="S147" i="1"/>
  <c r="AA146" i="1"/>
  <c r="X146" i="1"/>
  <c r="P146" i="1"/>
  <c r="AF145" i="1"/>
  <c r="Z145" i="1"/>
  <c r="W144" i="1"/>
  <c r="T144" i="1"/>
  <c r="AB144" i="1"/>
  <c r="T143" i="1"/>
  <c r="AE143" i="1"/>
  <c r="V143" i="1"/>
  <c r="P142" i="1"/>
  <c r="S142" i="1"/>
  <c r="U141" i="1"/>
  <c r="W141" i="1"/>
  <c r="AB141" i="1"/>
  <c r="U140" i="1"/>
  <c r="P140" i="1"/>
  <c r="W139" i="1"/>
  <c r="S139" i="1"/>
  <c r="V139" i="1"/>
  <c r="U138" i="1"/>
  <c r="V138" i="1"/>
  <c r="Y138" i="1"/>
  <c r="Z137" i="1"/>
  <c r="Q137" i="1"/>
  <c r="AE136" i="1"/>
  <c r="AG136" i="1"/>
  <c r="O136" i="1"/>
  <c r="P135" i="1"/>
  <c r="AE135" i="1"/>
  <c r="AG135" i="1"/>
  <c r="AF134" i="1"/>
  <c r="AH134" i="1"/>
  <c r="AD133" i="1"/>
  <c r="Z133" i="1"/>
  <c r="AF133" i="1"/>
  <c r="AC132" i="1"/>
  <c r="AI132" i="1"/>
  <c r="P131" i="1"/>
  <c r="S131" i="1"/>
  <c r="R131" i="1"/>
  <c r="V130" i="1"/>
  <c r="AD130" i="1"/>
  <c r="O130" i="1"/>
  <c r="Q129" i="1"/>
  <c r="O129" i="1"/>
  <c r="Y128" i="1"/>
  <c r="O128" i="1"/>
  <c r="Z128" i="1"/>
  <c r="W127" i="1"/>
  <c r="V127" i="1"/>
  <c r="Z127" i="1"/>
  <c r="AG126" i="1"/>
  <c r="AI126" i="1"/>
  <c r="AF125" i="1"/>
  <c r="S125" i="1"/>
  <c r="AG125" i="1"/>
  <c r="AB124" i="1"/>
  <c r="O124" i="1"/>
  <c r="U123" i="1"/>
  <c r="W123" i="1"/>
  <c r="Q123" i="1"/>
  <c r="AB122" i="1"/>
  <c r="AC122" i="1"/>
  <c r="Y122" i="1"/>
  <c r="Y121" i="1"/>
  <c r="O121" i="1"/>
  <c r="AA120" i="1"/>
  <c r="T120" i="1"/>
  <c r="O120" i="1"/>
  <c r="R119" i="1"/>
  <c r="AI119" i="1"/>
  <c r="AG119" i="1"/>
  <c r="AH118" i="1"/>
  <c r="AB118" i="1"/>
  <c r="Y117" i="1"/>
  <c r="X117" i="1"/>
  <c r="P117" i="1"/>
  <c r="Q116" i="1"/>
  <c r="AA116" i="1"/>
  <c r="T115" i="1"/>
  <c r="AI115" i="1"/>
  <c r="O115" i="1"/>
  <c r="AC114" i="1"/>
  <c r="U114" i="1"/>
  <c r="AD114" i="1"/>
  <c r="U113" i="1"/>
  <c r="AG113" i="1"/>
  <c r="AC112" i="1"/>
  <c r="AG112" i="1"/>
  <c r="AF112" i="1"/>
  <c r="AF111" i="1"/>
  <c r="AE111" i="1"/>
  <c r="X111" i="1"/>
  <c r="Y110" i="1"/>
  <c r="T110" i="1"/>
  <c r="Z109" i="1"/>
  <c r="AH109" i="1"/>
  <c r="AC109" i="1"/>
  <c r="O108" i="1"/>
  <c r="AG108" i="1"/>
  <c r="AA107" i="1"/>
  <c r="T107" i="1"/>
  <c r="R107" i="1"/>
  <c r="AE106" i="1"/>
  <c r="S106" i="1"/>
  <c r="U106" i="1"/>
  <c r="AC105" i="1"/>
  <c r="AD105" i="1"/>
  <c r="AD104" i="1"/>
  <c r="AI104" i="1"/>
  <c r="Q104" i="1"/>
  <c r="AH103" i="1"/>
  <c r="U103" i="1"/>
  <c r="Q103" i="1"/>
  <c r="AD102" i="1"/>
  <c r="Y102" i="1"/>
  <c r="Y101" i="1"/>
  <c r="U101" i="1"/>
  <c r="Z101" i="1"/>
  <c r="AD100" i="1"/>
  <c r="U100" i="1"/>
  <c r="Y99" i="1"/>
  <c r="AD99" i="1"/>
  <c r="AE99" i="1"/>
  <c r="W98" i="1"/>
  <c r="Z98" i="1"/>
  <c r="AF98" i="1"/>
  <c r="Y97" i="1"/>
  <c r="P97" i="1"/>
  <c r="AB96" i="1"/>
  <c r="Q96" i="1"/>
  <c r="AE96" i="1"/>
  <c r="Z95" i="1"/>
  <c r="V95" i="1"/>
  <c r="AB95" i="1"/>
  <c r="Y94" i="1"/>
  <c r="AG94" i="1"/>
  <c r="T93" i="1"/>
  <c r="V93" i="1"/>
  <c r="W93" i="1"/>
  <c r="AB92" i="1"/>
  <c r="Q92" i="1"/>
  <c r="S91" i="1"/>
  <c r="Y91" i="1"/>
  <c r="AI91" i="1"/>
  <c r="O90" i="1"/>
  <c r="Y90" i="1"/>
  <c r="Q90" i="1"/>
  <c r="Q89" i="1"/>
  <c r="AF89" i="1"/>
  <c r="O88" i="1"/>
  <c r="W88" i="1"/>
  <c r="T88" i="1"/>
  <c r="R87" i="1"/>
  <c r="O87" i="1"/>
  <c r="Q87" i="1"/>
  <c r="R86" i="1"/>
  <c r="Q86" i="1"/>
  <c r="T85" i="1"/>
  <c r="V85" i="1"/>
  <c r="AD85" i="1"/>
  <c r="W84" i="1"/>
  <c r="S84" i="1"/>
  <c r="X83" i="1"/>
  <c r="AB83" i="1"/>
  <c r="Y83" i="1"/>
  <c r="AA82" i="1"/>
  <c r="R82" i="1"/>
  <c r="Z82" i="1"/>
  <c r="AD81" i="1"/>
  <c r="AC81" i="1"/>
  <c r="V80" i="1"/>
  <c r="AD80" i="1"/>
  <c r="AF80" i="1"/>
  <c r="AI79" i="1"/>
  <c r="V79" i="1"/>
  <c r="X79" i="1"/>
  <c r="AA78" i="1"/>
  <c r="AF78" i="1"/>
  <c r="AH77" i="1"/>
  <c r="O77" i="1"/>
  <c r="AA77" i="1"/>
  <c r="R76" i="1"/>
  <c r="AD76" i="1"/>
  <c r="AH75" i="1"/>
  <c r="AF75" i="1"/>
  <c r="AI75" i="1"/>
  <c r="AA74" i="1"/>
  <c r="AC74" i="1"/>
  <c r="AE74" i="1"/>
  <c r="AI73" i="1"/>
  <c r="V73" i="1"/>
  <c r="T72" i="1"/>
  <c r="X72" i="1"/>
  <c r="Q72" i="1"/>
  <c r="R71" i="1"/>
  <c r="U71" i="1"/>
  <c r="AG71" i="1"/>
  <c r="AH70" i="1"/>
  <c r="Y70" i="1"/>
  <c r="AA69" i="1"/>
  <c r="Y69" i="1"/>
  <c r="Q69" i="1"/>
  <c r="Z68" i="1"/>
  <c r="AF68" i="1"/>
  <c r="AF67" i="1"/>
  <c r="O67" i="1"/>
  <c r="Y67" i="1"/>
  <c r="Z66" i="1"/>
  <c r="T66" i="1"/>
  <c r="AH66" i="1"/>
  <c r="V64" i="1"/>
  <c r="V65" i="1"/>
  <c r="AH61" i="1"/>
  <c r="U65" i="1"/>
  <c r="Y65" i="1"/>
  <c r="Y64" i="1"/>
  <c r="V61" i="1"/>
  <c r="V58" i="1"/>
  <c r="AI55" i="1"/>
  <c r="X52" i="1"/>
  <c r="AH49" i="1"/>
  <c r="AA46" i="1"/>
  <c r="Y43" i="1"/>
  <c r="U40" i="1"/>
  <c r="Z37" i="1"/>
  <c r="Z34" i="1"/>
  <c r="AF63" i="1"/>
  <c r="T60" i="1"/>
  <c r="AI57" i="1"/>
  <c r="Z54" i="1"/>
  <c r="AG51" i="1"/>
  <c r="W48" i="1"/>
  <c r="O45" i="1"/>
  <c r="S42" i="1"/>
  <c r="S39" i="1"/>
  <c r="Z36" i="1"/>
  <c r="X65" i="1"/>
  <c r="AI62" i="1"/>
  <c r="AE59" i="1"/>
  <c r="X56" i="1"/>
  <c r="AD53" i="1"/>
  <c r="V50" i="1"/>
  <c r="AB47" i="1"/>
  <c r="Q44" i="1"/>
  <c r="AG41" i="1"/>
  <c r="AH38" i="1"/>
  <c r="U34" i="1"/>
  <c r="AB57" i="1"/>
  <c r="AI53" i="1"/>
  <c r="AH50" i="1"/>
  <c r="X47" i="1"/>
  <c r="S44" i="1"/>
  <c r="AE41" i="1"/>
  <c r="AI38" i="1"/>
  <c r="S35" i="1"/>
  <c r="S64" i="1"/>
  <c r="Y61" i="1"/>
  <c r="P58" i="1"/>
  <c r="AE55" i="1"/>
  <c r="R52" i="1"/>
  <c r="P49" i="1"/>
  <c r="AD46" i="1"/>
  <c r="AF43" i="1"/>
  <c r="AF40" i="1"/>
  <c r="AC37" i="1"/>
  <c r="AG34" i="1"/>
  <c r="AC63" i="1"/>
  <c r="AI60" i="1"/>
  <c r="AE57" i="1"/>
  <c r="AH54" i="1"/>
  <c r="S51" i="1"/>
  <c r="X48" i="1"/>
  <c r="AA45" i="1"/>
  <c r="AB42" i="1"/>
  <c r="Q39" i="1"/>
  <c r="AC36" i="1"/>
  <c r="AH28" i="1"/>
  <c r="R56" i="1"/>
  <c r="R53" i="1"/>
  <c r="AD50" i="1"/>
  <c r="AC47" i="1"/>
  <c r="R459" i="1"/>
  <c r="Z458" i="1"/>
  <c r="O458" i="1"/>
  <c r="AF457" i="1"/>
  <c r="V457" i="1"/>
  <c r="P457" i="1"/>
  <c r="Y456" i="1"/>
  <c r="AH456" i="1"/>
  <c r="AE456" i="1"/>
  <c r="P455" i="1"/>
  <c r="AE455" i="1"/>
  <c r="AE454" i="1"/>
  <c r="AD454" i="1"/>
  <c r="O454" i="1"/>
  <c r="Y453" i="1"/>
  <c r="W453" i="1"/>
  <c r="AI453" i="1"/>
  <c r="AI452" i="1"/>
  <c r="O452" i="1"/>
  <c r="AF451" i="1"/>
  <c r="X451" i="1"/>
  <c r="AC451" i="1"/>
  <c r="AD450" i="1"/>
  <c r="AA450" i="1"/>
  <c r="P449" i="1"/>
  <c r="S449" i="1"/>
  <c r="AB449" i="1"/>
  <c r="AH448" i="1"/>
  <c r="R448" i="1"/>
  <c r="V448" i="1"/>
  <c r="S447" i="1"/>
  <c r="V447" i="1"/>
  <c r="Y446" i="1"/>
  <c r="AA446" i="1"/>
  <c r="Z446" i="1"/>
  <c r="Y445" i="1"/>
  <c r="T445" i="1"/>
  <c r="AG445" i="1"/>
  <c r="U444" i="1"/>
  <c r="O444" i="1"/>
  <c r="X443" i="1"/>
  <c r="R443" i="1"/>
  <c r="Z443" i="1"/>
  <c r="AD433" i="1"/>
  <c r="AH433" i="1"/>
  <c r="V432" i="1"/>
  <c r="Z432" i="1"/>
  <c r="W432" i="1"/>
  <c r="X431" i="1"/>
  <c r="P431" i="1"/>
  <c r="AC431" i="1"/>
  <c r="X430" i="1"/>
  <c r="AF430" i="1"/>
  <c r="Q429" i="1"/>
  <c r="AE429" i="1"/>
  <c r="AI429" i="1"/>
  <c r="AA428" i="1"/>
  <c r="R428" i="1"/>
  <c r="AG428" i="1"/>
  <c r="Y427" i="1"/>
  <c r="O427" i="1"/>
  <c r="AA426" i="1"/>
  <c r="R426" i="1"/>
  <c r="S426" i="1"/>
  <c r="AD425" i="1"/>
  <c r="W425" i="1"/>
  <c r="V424" i="1"/>
  <c r="P424" i="1"/>
  <c r="AA424" i="1"/>
  <c r="W423" i="1"/>
  <c r="P423" i="1"/>
  <c r="T423" i="1"/>
  <c r="AH422" i="1"/>
  <c r="AF422" i="1"/>
  <c r="Q421" i="1"/>
  <c r="AI421" i="1"/>
  <c r="AE421" i="1"/>
  <c r="AD420" i="1"/>
  <c r="AH420" i="1"/>
  <c r="AG420" i="1"/>
  <c r="AH419" i="1"/>
  <c r="O419" i="1"/>
  <c r="AB418" i="1"/>
  <c r="R418" i="1"/>
  <c r="S418" i="1"/>
  <c r="Z417" i="1"/>
  <c r="AI417" i="1"/>
  <c r="P416" i="1"/>
  <c r="W416" i="1"/>
  <c r="Z416" i="1"/>
  <c r="T406" i="1"/>
  <c r="O406" i="1"/>
  <c r="AG406" i="1"/>
  <c r="T405" i="1"/>
  <c r="R405" i="1"/>
  <c r="P404" i="1"/>
  <c r="AD404" i="1"/>
  <c r="AB404" i="1"/>
  <c r="U403" i="1"/>
  <c r="Y403" i="1"/>
  <c r="AF403" i="1"/>
  <c r="Y402" i="1"/>
  <c r="AC402" i="1"/>
  <c r="AG401" i="1"/>
  <c r="AH401" i="1"/>
  <c r="AI401" i="1"/>
  <c r="R400" i="1"/>
  <c r="Q400" i="1"/>
  <c r="O399" i="1"/>
  <c r="R399" i="1"/>
  <c r="V399" i="1"/>
  <c r="W398" i="1"/>
  <c r="S398" i="1"/>
  <c r="Y398" i="1"/>
  <c r="Q397" i="1"/>
  <c r="AE397" i="1"/>
  <c r="P396" i="1"/>
  <c r="AD396" i="1"/>
  <c r="AB396" i="1"/>
  <c r="W395" i="1"/>
  <c r="AA395" i="1"/>
  <c r="AF395" i="1"/>
  <c r="X394" i="1"/>
  <c r="AC394" i="1"/>
  <c r="R393" i="1"/>
  <c r="Y393" i="1"/>
  <c r="AI393" i="1"/>
  <c r="S392" i="1"/>
  <c r="Z392" i="1"/>
  <c r="O391" i="1"/>
  <c r="T391" i="1"/>
  <c r="V391" i="1"/>
  <c r="AB390" i="1"/>
  <c r="AA390" i="1"/>
  <c r="AH390" i="1"/>
  <c r="AI389" i="1"/>
  <c r="Q389" i="1"/>
  <c r="AF361" i="1"/>
  <c r="Z361" i="1"/>
  <c r="AD360" i="1"/>
  <c r="AI359" i="1"/>
  <c r="X359" i="1"/>
  <c r="AA358" i="1"/>
  <c r="Y357" i="1"/>
  <c r="AD357" i="1"/>
  <c r="AG356" i="1"/>
  <c r="AD355" i="1"/>
  <c r="AH355" i="1"/>
  <c r="X354" i="1"/>
  <c r="AC353" i="1"/>
  <c r="AE353" i="1"/>
  <c r="Z334" i="1"/>
  <c r="X333" i="1"/>
  <c r="AC333" i="1"/>
  <c r="AD332" i="1"/>
  <c r="AI331" i="1"/>
  <c r="AB331" i="1"/>
  <c r="AD330" i="1"/>
  <c r="AG329" i="1"/>
  <c r="P329" i="1"/>
  <c r="Z328" i="1"/>
  <c r="AG328" i="1"/>
  <c r="AG327" i="1"/>
  <c r="O327" i="1"/>
  <c r="AF326" i="1"/>
  <c r="Y307" i="1"/>
  <c r="P307" i="1"/>
  <c r="R306" i="1"/>
  <c r="O306" i="1"/>
  <c r="S306" i="1"/>
  <c r="Z305" i="1"/>
  <c r="R305" i="1"/>
  <c r="AH304" i="1"/>
  <c r="Z304" i="1"/>
  <c r="S304" i="1"/>
  <c r="Z303" i="1"/>
  <c r="AD303" i="1"/>
  <c r="AC303" i="1"/>
  <c r="X302" i="1"/>
  <c r="AA302" i="1"/>
  <c r="AA301" i="1"/>
  <c r="S301" i="1"/>
  <c r="AI301" i="1"/>
  <c r="AD300" i="1"/>
  <c r="AH300" i="1"/>
  <c r="O299" i="1"/>
  <c r="T299" i="1"/>
  <c r="U299" i="1"/>
  <c r="X280" i="1"/>
  <c r="AC280" i="1"/>
  <c r="S280" i="1"/>
  <c r="Q279" i="1"/>
  <c r="AA279" i="1"/>
  <c r="AH278" i="1"/>
  <c r="AI278" i="1"/>
  <c r="AC278" i="1"/>
  <c r="U277" i="1"/>
  <c r="R277" i="1"/>
  <c r="U276" i="1"/>
  <c r="S276" i="1"/>
  <c r="P276" i="1"/>
  <c r="Y275" i="1"/>
  <c r="R275" i="1"/>
  <c r="AI275" i="1"/>
  <c r="U274" i="1"/>
  <c r="AE274" i="1"/>
  <c r="AC273" i="1"/>
  <c r="AE273" i="1"/>
  <c r="AA273" i="1"/>
  <c r="V272" i="1"/>
  <c r="O272" i="1"/>
  <c r="AG272" i="1"/>
  <c r="AG253" i="1"/>
  <c r="AB253" i="1"/>
  <c r="U252" i="1"/>
  <c r="AE252" i="1"/>
  <c r="R252" i="1"/>
  <c r="AD251" i="1"/>
  <c r="O251" i="1"/>
  <c r="T250" i="1"/>
  <c r="V250" i="1"/>
  <c r="AB250" i="1"/>
  <c r="S249" i="1"/>
  <c r="AH249" i="1"/>
  <c r="Q249" i="1"/>
  <c r="AB248" i="1"/>
  <c r="AF248" i="1"/>
  <c r="V247" i="1"/>
  <c r="U247" i="1"/>
  <c r="S247" i="1"/>
  <c r="Q246" i="1"/>
  <c r="AA246" i="1"/>
  <c r="AF246" i="1"/>
  <c r="R245" i="1"/>
  <c r="AE245" i="1"/>
  <c r="U226" i="1"/>
  <c r="AC226" i="1"/>
  <c r="Q226" i="1"/>
  <c r="AC225" i="1"/>
  <c r="AI225" i="1"/>
  <c r="Y224" i="1"/>
  <c r="R224" i="1"/>
  <c r="AB224" i="1"/>
  <c r="AB223" i="1"/>
  <c r="AD223" i="1"/>
  <c r="AA223" i="1"/>
  <c r="V222" i="1"/>
  <c r="AF222" i="1"/>
  <c r="V221" i="1"/>
  <c r="W221" i="1"/>
  <c r="AI221" i="1"/>
  <c r="P220" i="1"/>
  <c r="AD220" i="1"/>
  <c r="AF220" i="1"/>
  <c r="X219" i="1"/>
  <c r="AF219" i="1"/>
  <c r="AD218" i="1"/>
  <c r="AB218" i="1"/>
  <c r="O218" i="1"/>
  <c r="Z199" i="1"/>
  <c r="V199" i="1"/>
  <c r="Y198" i="1"/>
  <c r="AB198" i="1"/>
  <c r="R198" i="1"/>
  <c r="Z197" i="1"/>
  <c r="AG197" i="1"/>
  <c r="U197" i="1"/>
  <c r="Q196" i="1"/>
  <c r="AA196" i="1"/>
  <c r="AG195" i="1"/>
  <c r="AI195" i="1"/>
  <c r="AA195" i="1"/>
  <c r="Z194" i="1"/>
  <c r="O194" i="1"/>
  <c r="X194" i="1"/>
  <c r="AC193" i="1"/>
  <c r="AE193" i="1"/>
  <c r="AG192" i="1"/>
  <c r="AA192" i="1"/>
  <c r="AC192" i="1"/>
  <c r="O191" i="1"/>
  <c r="AH191" i="1"/>
  <c r="AC191" i="1"/>
  <c r="R190" i="1"/>
  <c r="P190" i="1"/>
  <c r="W189" i="1"/>
  <c r="AH189" i="1"/>
  <c r="Y189" i="1"/>
  <c r="V188" i="1"/>
  <c r="Y188" i="1"/>
  <c r="AD187" i="1"/>
  <c r="AF187" i="1"/>
  <c r="AB187" i="1"/>
  <c r="AE186" i="1"/>
  <c r="V186" i="1"/>
  <c r="R186" i="1"/>
  <c r="S185" i="1"/>
  <c r="AH185" i="1"/>
  <c r="W184" i="1"/>
  <c r="AD184" i="1"/>
  <c r="V184" i="1"/>
  <c r="X183" i="1"/>
  <c r="AH183" i="1"/>
  <c r="AD182" i="1"/>
  <c r="T182" i="1"/>
  <c r="U182" i="1"/>
  <c r="Z181" i="1"/>
  <c r="W181" i="1"/>
  <c r="Q181" i="1"/>
  <c r="T180" i="1"/>
  <c r="AA180" i="1"/>
  <c r="AE179" i="1"/>
  <c r="S179" i="1"/>
  <c r="O179" i="1"/>
  <c r="AA178" i="1"/>
  <c r="Z178" i="1"/>
  <c r="AB178" i="1"/>
  <c r="AA177" i="1"/>
  <c r="U177" i="1"/>
  <c r="AD176" i="1"/>
  <c r="AH176" i="1"/>
  <c r="AC176" i="1"/>
  <c r="T175" i="1"/>
  <c r="Y175" i="1"/>
  <c r="AG174" i="1"/>
  <c r="AB174" i="1"/>
  <c r="U174" i="1"/>
  <c r="Q173" i="1"/>
  <c r="X173" i="1"/>
  <c r="AE173" i="1"/>
  <c r="AI172" i="1"/>
  <c r="AB172" i="1"/>
  <c r="U171" i="1"/>
  <c r="W171" i="1"/>
  <c r="AD171" i="1"/>
  <c r="V170" i="1"/>
  <c r="X170" i="1"/>
  <c r="T170" i="1"/>
  <c r="AC169" i="1"/>
  <c r="Y169" i="1"/>
  <c r="T168" i="1"/>
  <c r="AF168" i="1"/>
  <c r="AC168" i="1"/>
  <c r="AI167" i="1"/>
  <c r="AF167" i="1"/>
  <c r="T166" i="1"/>
  <c r="AG166" i="1"/>
  <c r="R166" i="1"/>
  <c r="R165" i="1"/>
  <c r="AD165" i="1"/>
  <c r="Z165" i="1"/>
  <c r="AI164" i="1"/>
  <c r="T164" i="1"/>
  <c r="U163" i="1"/>
  <c r="AD163" i="1"/>
  <c r="W163" i="1"/>
  <c r="V162" i="1"/>
  <c r="AG162" i="1"/>
  <c r="AE162" i="1"/>
  <c r="R161" i="1"/>
  <c r="Y161" i="1"/>
  <c r="Q160" i="1"/>
  <c r="X160" i="1"/>
  <c r="R160" i="1"/>
  <c r="P159" i="1"/>
  <c r="AE159" i="1"/>
  <c r="P158" i="1"/>
  <c r="AB158" i="1"/>
  <c r="AA158" i="1"/>
  <c r="AB157" i="1"/>
  <c r="T157" i="1"/>
  <c r="R157" i="1"/>
  <c r="Y156" i="1"/>
  <c r="AF156" i="1"/>
  <c r="O155" i="1"/>
  <c r="Z155" i="1"/>
  <c r="AB155" i="1"/>
  <c r="V154" i="1"/>
  <c r="O154" i="1"/>
  <c r="AI154" i="1"/>
  <c r="S153" i="1"/>
  <c r="AI153" i="1"/>
  <c r="O152" i="1"/>
  <c r="P152" i="1"/>
  <c r="AC152" i="1"/>
  <c r="AI151" i="1"/>
  <c r="AB151" i="1"/>
  <c r="P150" i="1"/>
  <c r="AC150" i="1"/>
  <c r="V150" i="1"/>
  <c r="O149" i="1"/>
  <c r="AH149" i="1"/>
  <c r="AC149" i="1"/>
  <c r="P148" i="1"/>
  <c r="AC148" i="1"/>
  <c r="X147" i="1"/>
  <c r="Z147" i="1"/>
  <c r="AE147" i="1"/>
  <c r="Z146" i="1"/>
  <c r="O146" i="1"/>
  <c r="AF146" i="1"/>
  <c r="S145" i="1"/>
  <c r="AD145" i="1"/>
  <c r="V144" i="1"/>
  <c r="X144" i="1"/>
  <c r="AC144" i="1"/>
  <c r="AA143" i="1"/>
  <c r="AB143" i="1"/>
  <c r="AG142" i="1"/>
  <c r="AC142" i="1"/>
  <c r="AH142" i="1"/>
  <c r="X141" i="1"/>
  <c r="AG141" i="1"/>
  <c r="Z141" i="1"/>
  <c r="AA140" i="1"/>
  <c r="T140" i="1"/>
  <c r="AF139" i="1"/>
  <c r="Z139" i="1"/>
  <c r="AD139" i="1"/>
  <c r="AG138" i="1"/>
  <c r="W138" i="1"/>
  <c r="AH138" i="1"/>
  <c r="S137" i="1"/>
  <c r="AI137" i="1"/>
  <c r="R136" i="1"/>
  <c r="AC136" i="1"/>
  <c r="AH136" i="1"/>
  <c r="S135" i="1"/>
  <c r="AD135" i="1"/>
  <c r="Q134" i="1"/>
  <c r="T134" i="1"/>
  <c r="Y134" i="1"/>
  <c r="Q133" i="1"/>
  <c r="AA133" i="1"/>
  <c r="AG133" i="1"/>
  <c r="Z132" i="1"/>
  <c r="Q132" i="1"/>
  <c r="Q131" i="1"/>
  <c r="AH131" i="1"/>
  <c r="AB131" i="1"/>
  <c r="Q130" i="1"/>
  <c r="AF130" i="1"/>
  <c r="AA130" i="1"/>
  <c r="X129" i="1"/>
  <c r="U129" i="1"/>
  <c r="AG128" i="1"/>
  <c r="T128" i="1"/>
  <c r="AH128" i="1"/>
  <c r="T127" i="1"/>
  <c r="P127" i="1"/>
  <c r="AE126" i="1"/>
  <c r="AB126" i="1"/>
  <c r="Q126" i="1"/>
  <c r="AA125" i="1"/>
  <c r="V125" i="1"/>
  <c r="Y125" i="1"/>
  <c r="AH124" i="1"/>
  <c r="P124" i="1"/>
  <c r="V123" i="1"/>
  <c r="AF123" i="1"/>
  <c r="O123" i="1"/>
  <c r="S122" i="1"/>
  <c r="P122" i="1"/>
  <c r="AG122" i="1"/>
  <c r="AD121" i="1"/>
  <c r="AC121" i="1"/>
  <c r="AB120" i="1"/>
  <c r="Y120" i="1"/>
  <c r="AF120" i="1"/>
  <c r="U119" i="1"/>
  <c r="X119" i="1"/>
  <c r="U118" i="1"/>
  <c r="AC118" i="1"/>
  <c r="AA118" i="1"/>
  <c r="AB117" i="1"/>
  <c r="W117" i="1"/>
  <c r="AG117" i="1"/>
  <c r="W116" i="1"/>
  <c r="AI116" i="1"/>
  <c r="U115" i="1"/>
  <c r="W115" i="1"/>
  <c r="X115" i="1"/>
  <c r="AG114" i="1"/>
  <c r="T114" i="1"/>
  <c r="Y114" i="1"/>
  <c r="P113" i="1"/>
  <c r="X113" i="1"/>
  <c r="R112" i="1"/>
  <c r="AH112" i="1"/>
  <c r="Q112" i="1"/>
  <c r="Z111" i="1"/>
  <c r="R111" i="1"/>
  <c r="AB110" i="1"/>
  <c r="AA110" i="1"/>
  <c r="W110" i="1"/>
  <c r="U109" i="1"/>
  <c r="AG109" i="1"/>
  <c r="AF109" i="1"/>
  <c r="AC108" i="1"/>
  <c r="Q108" i="1"/>
  <c r="AD107" i="1"/>
  <c r="AI107" i="1"/>
  <c r="Z107" i="1"/>
  <c r="AA106" i="1"/>
  <c r="V106" i="1"/>
  <c r="AG106" i="1"/>
  <c r="AF105" i="1"/>
  <c r="AH105" i="1"/>
  <c r="AC104" i="1"/>
  <c r="V104" i="1"/>
  <c r="AG104" i="1"/>
  <c r="AE103" i="1"/>
  <c r="AC103" i="1"/>
  <c r="V102" i="1"/>
  <c r="AE102" i="1"/>
  <c r="Q102" i="1"/>
  <c r="W101" i="1"/>
  <c r="O101" i="1"/>
  <c r="AA101" i="1"/>
  <c r="W100" i="1"/>
  <c r="AE100" i="1"/>
  <c r="AC99" i="1"/>
  <c r="S99" i="1"/>
  <c r="AB99" i="1"/>
  <c r="AA98" i="1"/>
  <c r="AG98" i="1"/>
  <c r="AC98" i="1"/>
  <c r="U97" i="1"/>
  <c r="AD97" i="1"/>
  <c r="AD96" i="1"/>
  <c r="AC96" i="1"/>
  <c r="X96" i="1"/>
  <c r="X95" i="1"/>
  <c r="Q95" i="1"/>
  <c r="P94" i="1"/>
  <c r="T94" i="1"/>
  <c r="Q94" i="1"/>
  <c r="R93" i="1"/>
  <c r="Y93" i="1"/>
  <c r="AF93" i="1"/>
  <c r="AF92" i="1"/>
  <c r="V92" i="1"/>
  <c r="V91" i="1"/>
  <c r="X91" i="1"/>
  <c r="Q91" i="1"/>
  <c r="AH90" i="1"/>
  <c r="AD90" i="1"/>
  <c r="Z90" i="1"/>
  <c r="AA89" i="1"/>
  <c r="AH89" i="1"/>
  <c r="U88" i="1"/>
  <c r="S88" i="1"/>
  <c r="Y88" i="1"/>
  <c r="AD87" i="1"/>
  <c r="S87" i="1"/>
  <c r="U86" i="1"/>
  <c r="S86" i="1"/>
  <c r="AE86" i="1"/>
  <c r="Q85" i="1"/>
  <c r="AH85" i="1"/>
  <c r="S85" i="1"/>
  <c r="Q84" i="1"/>
  <c r="P84" i="1"/>
  <c r="S83" i="1"/>
  <c r="AF83" i="1"/>
  <c r="AA83" i="1"/>
  <c r="V82" i="1"/>
  <c r="AB82" i="1"/>
  <c r="O82" i="1"/>
  <c r="X81" i="1"/>
  <c r="AE81" i="1"/>
  <c r="R80" i="1"/>
  <c r="AA80" i="1"/>
  <c r="Z80" i="1"/>
  <c r="AC79" i="1"/>
  <c r="AA79" i="1"/>
  <c r="T78" i="1"/>
  <c r="X78" i="1"/>
  <c r="Z78" i="1"/>
  <c r="AB77" i="1"/>
  <c r="V77" i="1"/>
  <c r="AG77" i="1"/>
  <c r="AF76" i="1"/>
  <c r="W76" i="1"/>
  <c r="AC75" i="1"/>
  <c r="Y75" i="1"/>
  <c r="AB75" i="1"/>
  <c r="O74" i="1"/>
  <c r="R74" i="1"/>
  <c r="T74" i="1"/>
  <c r="U73" i="1"/>
  <c r="Z73" i="1"/>
  <c r="AG72" i="1"/>
  <c r="AF72" i="1"/>
  <c r="AA72" i="1"/>
  <c r="X71" i="1"/>
  <c r="Z71" i="1"/>
  <c r="AG70" i="1"/>
  <c r="Q70" i="1"/>
  <c r="AA70" i="1"/>
  <c r="AD69" i="1"/>
  <c r="T69" i="1"/>
  <c r="W69" i="1"/>
  <c r="T68" i="1"/>
  <c r="R68" i="1"/>
  <c r="W67" i="1"/>
  <c r="Z67" i="1"/>
  <c r="AA67" i="1"/>
  <c r="V66" i="1"/>
  <c r="AD66" i="1"/>
  <c r="AG66" i="1"/>
  <c r="AG63" i="1"/>
  <c r="X64" i="1"/>
  <c r="AB59" i="1"/>
  <c r="AC65" i="1"/>
  <c r="AA63" i="1"/>
  <c r="P64" i="1"/>
  <c r="R61" i="1"/>
  <c r="AI58" i="1"/>
  <c r="O55" i="1"/>
  <c r="AA52" i="1"/>
  <c r="Q49" i="1"/>
  <c r="W46" i="1"/>
  <c r="AA43" i="1"/>
  <c r="W40" i="1"/>
  <c r="V36" i="1"/>
  <c r="Z33" i="1"/>
  <c r="X63" i="1"/>
  <c r="AF60" i="1"/>
  <c r="S57" i="1"/>
  <c r="T54" i="1"/>
  <c r="V51" i="1"/>
  <c r="AD47" i="1"/>
  <c r="P44" i="1"/>
  <c r="R41" i="1"/>
  <c r="W38" i="1"/>
  <c r="AH35" i="1"/>
  <c r="Z65" i="1"/>
  <c r="X62" i="1"/>
  <c r="Q58" i="1"/>
  <c r="AH55" i="1"/>
  <c r="V52" i="1"/>
  <c r="AG49" i="1"/>
  <c r="X46" i="1"/>
  <c r="AC43" i="1"/>
  <c r="AH40" i="1"/>
  <c r="P37" i="1"/>
  <c r="S34" i="1"/>
  <c r="AD56" i="1"/>
  <c r="AG53" i="1"/>
  <c r="X50" i="1"/>
  <c r="S47" i="1"/>
  <c r="AC44" i="1"/>
  <c r="S41" i="1"/>
  <c r="O38" i="1"/>
  <c r="T35" i="1"/>
  <c r="AB64" i="1"/>
  <c r="P61" i="1"/>
  <c r="AF58" i="1"/>
  <c r="W55" i="1"/>
  <c r="T52" i="1"/>
  <c r="AB49" i="1"/>
  <c r="Q46" i="1"/>
  <c r="X43" i="1"/>
  <c r="AA40" i="1"/>
  <c r="AE37" i="1"/>
  <c r="AE34" i="1"/>
  <c r="V63" i="1"/>
  <c r="X60" i="1"/>
  <c r="AC57" i="1"/>
  <c r="O54" i="1"/>
  <c r="AH51" i="1"/>
  <c r="P48" i="1"/>
  <c r="V45" i="1"/>
  <c r="R42" i="1"/>
  <c r="AD39" i="1"/>
  <c r="W35" i="1"/>
  <c r="AC59" i="1"/>
  <c r="S56" i="1"/>
  <c r="W53" i="1"/>
  <c r="Z50" i="1"/>
  <c r="Y46" i="1"/>
  <c r="AD459" i="1"/>
  <c r="AH458" i="1"/>
  <c r="X458" i="1"/>
  <c r="AA457" i="1"/>
  <c r="AE457" i="1"/>
  <c r="X457" i="1"/>
  <c r="AF456" i="1"/>
  <c r="O456" i="1"/>
  <c r="AI456" i="1"/>
  <c r="AC455" i="1"/>
  <c r="Q455" i="1"/>
  <c r="AF454" i="1"/>
  <c r="T454" i="1"/>
  <c r="Z454" i="1"/>
  <c r="AC453" i="1"/>
  <c r="AF453" i="1"/>
  <c r="P452" i="1"/>
  <c r="AB452" i="1"/>
  <c r="U452" i="1"/>
  <c r="Y451" i="1"/>
  <c r="AH451" i="1"/>
  <c r="P451" i="1"/>
  <c r="AI450" i="1"/>
  <c r="AF450" i="1"/>
  <c r="T449" i="1"/>
  <c r="Z449" i="1"/>
  <c r="AE449" i="1"/>
  <c r="AD448" i="1"/>
  <c r="AB448" i="1"/>
  <c r="AG448" i="1"/>
  <c r="P447" i="1"/>
  <c r="O447" i="1"/>
  <c r="AB446" i="1"/>
  <c r="R446" i="1"/>
  <c r="U446" i="1"/>
  <c r="AC445" i="1"/>
  <c r="S445" i="1"/>
  <c r="Q444" i="1"/>
  <c r="Z444" i="1"/>
  <c r="W444" i="1"/>
  <c r="W443" i="1"/>
  <c r="AA443" i="1"/>
  <c r="AC443" i="1"/>
  <c r="AA433" i="1"/>
  <c r="AB433" i="1"/>
  <c r="Q432" i="1"/>
  <c r="AI432" i="1"/>
  <c r="AE432" i="1"/>
  <c r="AD431" i="1"/>
  <c r="AH431" i="1"/>
  <c r="AG431" i="1"/>
  <c r="Y430" i="1"/>
  <c r="O430" i="1"/>
  <c r="AB429" i="1"/>
  <c r="R429" i="1"/>
  <c r="S429" i="1"/>
  <c r="AD428" i="1"/>
  <c r="X428" i="1"/>
  <c r="V427" i="1"/>
  <c r="Z427" i="1"/>
  <c r="W427" i="1"/>
  <c r="X426" i="1"/>
  <c r="U426" i="1"/>
  <c r="AC426" i="1"/>
  <c r="U425" i="1"/>
  <c r="T425" i="1"/>
  <c r="Q424" i="1"/>
  <c r="AH424" i="1"/>
  <c r="AE424" i="1"/>
  <c r="AD423" i="1"/>
  <c r="X423" i="1"/>
  <c r="AG423" i="1"/>
  <c r="Y422" i="1"/>
  <c r="O422" i="1"/>
  <c r="AA421" i="1"/>
  <c r="R421" i="1"/>
  <c r="S421" i="1"/>
  <c r="P420" i="1"/>
  <c r="T420" i="1"/>
  <c r="V419" i="1"/>
  <c r="Y419" i="1"/>
  <c r="AA419" i="1"/>
  <c r="X418" i="1"/>
  <c r="P418" i="1"/>
  <c r="U418" i="1"/>
  <c r="AC417" i="1"/>
  <c r="AF417" i="1"/>
  <c r="V416" i="1"/>
  <c r="AI416" i="1"/>
  <c r="AE416" i="1"/>
  <c r="V406" i="1"/>
  <c r="W406" i="1"/>
  <c r="AF406" i="1"/>
  <c r="Z405" i="1"/>
  <c r="AE405" i="1"/>
  <c r="AG404" i="1"/>
  <c r="AH404" i="1"/>
  <c r="AI404" i="1"/>
  <c r="R403" i="1"/>
  <c r="Q403" i="1"/>
  <c r="O402" i="1"/>
  <c r="X402" i="1"/>
  <c r="V402" i="1"/>
  <c r="W401" i="1"/>
  <c r="S401" i="1"/>
  <c r="Z401" i="1"/>
  <c r="AA400" i="1"/>
  <c r="AE400" i="1"/>
  <c r="P399" i="1"/>
  <c r="AA399" i="1"/>
  <c r="AB399" i="1"/>
  <c r="U398" i="1"/>
  <c r="AH398" i="1"/>
  <c r="AF398" i="1"/>
  <c r="X397" i="1"/>
  <c r="AC397" i="1"/>
  <c r="Y396" i="1"/>
  <c r="Z396" i="1"/>
  <c r="AI396" i="1"/>
  <c r="U395" i="1"/>
  <c r="AH395" i="1"/>
  <c r="O394" i="1"/>
  <c r="T394" i="1"/>
  <c r="W394" i="1"/>
  <c r="W393" i="1"/>
  <c r="T393" i="1"/>
  <c r="Q393" i="1"/>
  <c r="AH392" i="1"/>
  <c r="AE392" i="1"/>
  <c r="P391" i="1"/>
  <c r="AB391" i="1"/>
  <c r="AD391" i="1"/>
  <c r="P390" i="1"/>
  <c r="AD390" i="1"/>
  <c r="AF390" i="1"/>
  <c r="AH389" i="1"/>
  <c r="AD389" i="1"/>
  <c r="AA361" i="1"/>
  <c r="AH361" i="1"/>
  <c r="X360" i="1"/>
  <c r="Z359" i="1"/>
  <c r="AF359" i="1"/>
  <c r="Z358" i="1"/>
  <c r="AB357" i="1"/>
  <c r="AI357" i="1"/>
  <c r="AC356" i="1"/>
  <c r="AI355" i="1"/>
  <c r="X355" i="1"/>
  <c r="AA354" i="1"/>
  <c r="Z353" i="1"/>
  <c r="AA353" i="1"/>
  <c r="AE334" i="1"/>
  <c r="AF333" i="1"/>
  <c r="AH333" i="1"/>
  <c r="AF332" i="1"/>
  <c r="AC331" i="1"/>
  <c r="AE331" i="1"/>
  <c r="AF330" i="1"/>
  <c r="AH329" i="1"/>
  <c r="AE329" i="1"/>
  <c r="AC328" i="1"/>
  <c r="O328" i="1"/>
  <c r="Z327" i="1"/>
  <c r="AE326" i="1"/>
  <c r="AB326" i="1"/>
  <c r="AG307" i="1"/>
  <c r="O307" i="1"/>
  <c r="X306" i="1"/>
  <c r="AA306" i="1"/>
  <c r="AD306" i="1"/>
  <c r="AH305" i="1"/>
  <c r="AD305" i="1"/>
  <c r="AD304" i="1"/>
  <c r="P304" i="1"/>
  <c r="T304" i="1"/>
  <c r="AB303" i="1"/>
  <c r="AH303" i="1"/>
  <c r="P302" i="1"/>
  <c r="AF302" i="1"/>
  <c r="AE302" i="1"/>
  <c r="AC301" i="1"/>
  <c r="O301" i="1"/>
  <c r="Q301" i="1"/>
  <c r="AE300" i="1"/>
  <c r="AG300" i="1"/>
  <c r="R299" i="1"/>
  <c r="AH299" i="1"/>
  <c r="S299" i="1"/>
  <c r="AA280" i="1"/>
  <c r="R280" i="1"/>
  <c r="W279" i="1"/>
  <c r="X279" i="1"/>
  <c r="AG279" i="1"/>
  <c r="P278" i="1"/>
  <c r="AE278" i="1"/>
  <c r="AD278" i="1"/>
  <c r="Y277" i="1"/>
  <c r="AB277" i="1"/>
  <c r="Z276" i="1"/>
  <c r="AC276" i="1"/>
  <c r="AF276" i="1"/>
  <c r="W275" i="1"/>
  <c r="Z275" i="1"/>
  <c r="AC275" i="1"/>
  <c r="V274" i="1"/>
  <c r="AG274" i="1"/>
  <c r="P273" i="1"/>
  <c r="AH273" i="1"/>
  <c r="T273" i="1"/>
  <c r="R272" i="1"/>
  <c r="AD272" i="1"/>
  <c r="AC253" i="1"/>
  <c r="AE253" i="1"/>
  <c r="AF253" i="1"/>
  <c r="AH252" i="1"/>
  <c r="AI252" i="1"/>
  <c r="P252" i="1"/>
  <c r="X251" i="1"/>
  <c r="Y251" i="1"/>
  <c r="AG250" i="1"/>
  <c r="W250" i="1"/>
  <c r="AE250" i="1"/>
  <c r="AC249" i="1"/>
  <c r="Z249" i="1"/>
  <c r="U249" i="1"/>
  <c r="AH248" i="1"/>
  <c r="AI248" i="1"/>
  <c r="Y247" i="1"/>
  <c r="T247" i="1"/>
  <c r="Q247" i="1"/>
  <c r="AC246" i="1"/>
  <c r="S246" i="1"/>
  <c r="Y245" i="1"/>
  <c r="U245" i="1"/>
  <c r="AH245" i="1"/>
  <c r="S226" i="1"/>
  <c r="AA226" i="1"/>
  <c r="AD226" i="1"/>
  <c r="S225" i="1"/>
  <c r="P225" i="1"/>
  <c r="AG224" i="1"/>
  <c r="T224" i="1"/>
  <c r="AE224" i="1"/>
  <c r="P223" i="1"/>
  <c r="O223" i="1"/>
  <c r="R223" i="1"/>
  <c r="AH222" i="1"/>
  <c r="AI222" i="1"/>
  <c r="AB221" i="1"/>
  <c r="AD221" i="1"/>
  <c r="T221" i="1"/>
  <c r="Z220" i="1"/>
  <c r="AE220" i="1"/>
  <c r="Y219" i="1"/>
  <c r="R219" i="1"/>
  <c r="AE219" i="1"/>
  <c r="S218" i="1"/>
  <c r="Q218" i="1"/>
  <c r="P218" i="1"/>
  <c r="AA199" i="1"/>
  <c r="AF199" i="1"/>
  <c r="AG198" i="1"/>
  <c r="AE198" i="1"/>
  <c r="AC198" i="1"/>
  <c r="AC197" i="1"/>
  <c r="AF197" i="1"/>
  <c r="P197" i="1"/>
  <c r="AB196" i="1"/>
  <c r="R196" i="1"/>
  <c r="V195" i="1"/>
  <c r="AD195" i="1"/>
  <c r="R195" i="1"/>
  <c r="U194" i="1"/>
  <c r="W194" i="1"/>
  <c r="X193" i="1"/>
  <c r="U193" i="1"/>
  <c r="AG193" i="1"/>
  <c r="R192" i="1"/>
  <c r="AB192" i="1"/>
  <c r="V192" i="1"/>
  <c r="R191" i="1"/>
  <c r="Z191" i="1"/>
  <c r="AE190" i="1"/>
  <c r="AC190" i="1"/>
  <c r="Q190" i="1"/>
  <c r="O189" i="1"/>
  <c r="AE189" i="1"/>
  <c r="Z189" i="1"/>
  <c r="T188" i="1"/>
  <c r="AI188" i="1"/>
  <c r="U187" i="1"/>
  <c r="Z187" i="1"/>
  <c r="S187" i="1"/>
  <c r="AH186" i="1"/>
  <c r="S186" i="1"/>
  <c r="U185" i="1"/>
  <c r="AI185" i="1"/>
  <c r="Q185" i="1"/>
  <c r="S184" i="1"/>
  <c r="Q184" i="1"/>
  <c r="AE184" i="1"/>
  <c r="AE183" i="1"/>
  <c r="AB183" i="1"/>
  <c r="X182" i="1"/>
  <c r="W182" i="1"/>
  <c r="AB182" i="1"/>
  <c r="V181" i="1"/>
  <c r="P181" i="1"/>
  <c r="O181" i="1"/>
  <c r="AC180" i="1"/>
  <c r="V180" i="1"/>
  <c r="Q179" i="1"/>
  <c r="AF179" i="1"/>
  <c r="AD179" i="1"/>
  <c r="V178" i="1"/>
  <c r="Q178" i="1"/>
  <c r="T177" i="1"/>
  <c r="X177" i="1"/>
  <c r="P177" i="1"/>
  <c r="R176" i="1"/>
  <c r="AA176" i="1"/>
  <c r="AB176" i="1"/>
  <c r="AF175" i="1"/>
  <c r="AH175" i="1"/>
  <c r="S174" i="1"/>
  <c r="AD174" i="1"/>
  <c r="Q174" i="1"/>
  <c r="W173" i="1"/>
  <c r="AB173" i="1"/>
  <c r="AF173" i="1"/>
  <c r="Z172" i="1"/>
  <c r="W172" i="1"/>
  <c r="O171" i="1"/>
  <c r="AG171" i="1"/>
  <c r="AE171" i="1"/>
  <c r="AD170" i="1"/>
  <c r="S170" i="1"/>
  <c r="U169" i="1"/>
  <c r="AH169" i="1"/>
  <c r="AE169" i="1"/>
  <c r="AA168" i="1"/>
  <c r="P168" i="1"/>
  <c r="AI168" i="1"/>
  <c r="Q167" i="1"/>
  <c r="R167" i="1"/>
  <c r="W166" i="1"/>
  <c r="S166" i="1"/>
  <c r="O166" i="1"/>
  <c r="Q165" i="1"/>
  <c r="Y165" i="1"/>
  <c r="AI165" i="1"/>
  <c r="X164" i="1"/>
  <c r="W164" i="1"/>
  <c r="O163" i="1"/>
  <c r="V163" i="1"/>
  <c r="AE163" i="1"/>
  <c r="Y162" i="1"/>
  <c r="Z162" i="1"/>
  <c r="AD161" i="1"/>
  <c r="U161" i="1"/>
  <c r="AH161" i="1"/>
  <c r="AD160" i="1"/>
  <c r="AI160" i="1"/>
  <c r="AG160" i="1"/>
  <c r="Q159" i="1"/>
  <c r="R159" i="1"/>
  <c r="Y158" i="1"/>
  <c r="V158" i="1"/>
  <c r="W158" i="1"/>
  <c r="W157" i="1"/>
  <c r="P157" i="1"/>
  <c r="AC157" i="1"/>
  <c r="AD156" i="1"/>
  <c r="AB156" i="1"/>
  <c r="Q155" i="1"/>
  <c r="U155" i="1"/>
  <c r="AF155" i="1"/>
  <c r="P154" i="1"/>
  <c r="T154" i="1"/>
  <c r="Z153" i="1"/>
  <c r="AE153" i="1"/>
  <c r="P153" i="1"/>
  <c r="Y152" i="1"/>
  <c r="Q152" i="1"/>
  <c r="Z152" i="1"/>
  <c r="AD151" i="1"/>
  <c r="W151" i="1"/>
  <c r="Y150" i="1"/>
  <c r="AD150" i="1"/>
  <c r="O150" i="1"/>
  <c r="AB149" i="1"/>
  <c r="AF149" i="1"/>
  <c r="P149" i="1"/>
  <c r="Q148" i="1"/>
  <c r="R148" i="1"/>
  <c r="W147" i="1"/>
  <c r="Y147" i="1"/>
  <c r="AA147" i="1"/>
  <c r="S146" i="1"/>
  <c r="AB146" i="1"/>
  <c r="Y145" i="1"/>
  <c r="O145" i="1"/>
  <c r="U145" i="1"/>
  <c r="AI144" i="1"/>
  <c r="R144" i="1"/>
  <c r="AG144" i="1"/>
  <c r="O143" i="1"/>
  <c r="AF143" i="1"/>
  <c r="V142" i="1"/>
  <c r="Y142" i="1"/>
  <c r="T142" i="1"/>
  <c r="AD141" i="1"/>
  <c r="AC141" i="1"/>
  <c r="R141" i="1"/>
  <c r="X140" i="1"/>
  <c r="AF140" i="1"/>
  <c r="Y139" i="1"/>
  <c r="AG139" i="1"/>
  <c r="X139" i="1"/>
  <c r="T138" i="1"/>
  <c r="X138" i="1"/>
  <c r="AH137" i="1"/>
  <c r="O137" i="1"/>
  <c r="X137" i="1"/>
  <c r="T136" i="1"/>
  <c r="AI136" i="1"/>
  <c r="Q136" i="1"/>
  <c r="AH135" i="1"/>
  <c r="O135" i="1"/>
  <c r="Z134" i="1"/>
  <c r="S134" i="1"/>
  <c r="AA134" i="1"/>
  <c r="S133" i="1"/>
  <c r="X133" i="1"/>
  <c r="W133" i="1"/>
  <c r="S132" i="1"/>
  <c r="R132" i="1"/>
  <c r="AF131" i="1"/>
  <c r="AC131" i="1"/>
  <c r="V131" i="1"/>
  <c r="T130" i="1"/>
  <c r="AE130" i="1"/>
  <c r="AF129" i="1"/>
  <c r="AH129" i="1"/>
  <c r="AI129" i="1"/>
  <c r="W128" i="1"/>
  <c r="AF128" i="1"/>
  <c r="AD128" i="1"/>
  <c r="AI127" i="1"/>
  <c r="Q127" i="1"/>
  <c r="T126" i="1"/>
  <c r="Y126" i="1"/>
  <c r="Z126" i="1"/>
  <c r="T125" i="1"/>
  <c r="U125" i="1"/>
  <c r="Q125" i="1"/>
  <c r="AE124" i="1"/>
  <c r="AD124" i="1"/>
  <c r="S123" i="1"/>
  <c r="AA123" i="1"/>
  <c r="R123" i="1"/>
  <c r="T122" i="1"/>
  <c r="X122" i="1"/>
  <c r="V121" i="1"/>
  <c r="AG121" i="1"/>
  <c r="Z121" i="1"/>
  <c r="Q120" i="1"/>
  <c r="AE120" i="1"/>
  <c r="W120" i="1"/>
  <c r="T119" i="1"/>
  <c r="O119" i="1"/>
  <c r="V118" i="1"/>
  <c r="P118" i="1"/>
  <c r="R118" i="1"/>
  <c r="AH117" i="1"/>
  <c r="R117" i="1"/>
  <c r="Q117" i="1"/>
  <c r="AG116" i="1"/>
  <c r="AD116" i="1"/>
  <c r="AD115" i="1"/>
  <c r="AC115" i="1"/>
  <c r="AE115" i="1"/>
  <c r="S114" i="1"/>
  <c r="O114" i="1"/>
  <c r="AE113" i="1"/>
  <c r="AC113" i="1"/>
  <c r="AA113" i="1"/>
  <c r="W112" i="1"/>
  <c r="Z112" i="1"/>
  <c r="O112" i="1"/>
  <c r="Q111" i="1"/>
  <c r="O111" i="1"/>
  <c r="AC110" i="1"/>
  <c r="AI110" i="1"/>
  <c r="AF110" i="1"/>
  <c r="AA109" i="1"/>
  <c r="Q109" i="1"/>
  <c r="R109" i="1"/>
  <c r="AA108" i="1"/>
  <c r="AF108" i="1"/>
  <c r="X107" i="1"/>
  <c r="O107" i="1"/>
  <c r="U107" i="1"/>
  <c r="O106" i="1"/>
  <c r="P106" i="1"/>
  <c r="W105" i="1"/>
  <c r="U105" i="1"/>
  <c r="V105" i="1"/>
  <c r="AA104" i="1"/>
  <c r="P104" i="1"/>
  <c r="AB104" i="1"/>
  <c r="AG103" i="1"/>
  <c r="T103" i="1"/>
  <c r="AG102" i="1"/>
  <c r="AH102" i="1"/>
  <c r="AA102" i="1"/>
  <c r="T101" i="1"/>
  <c r="AE101" i="1"/>
  <c r="Q101" i="1"/>
  <c r="AA100" i="1"/>
  <c r="AI100" i="1"/>
  <c r="P99" i="1"/>
  <c r="AG99" i="1"/>
  <c r="Q99" i="1"/>
  <c r="Y98" i="1"/>
  <c r="AH98" i="1"/>
  <c r="AA97" i="1"/>
  <c r="V97" i="1"/>
  <c r="AH97" i="1"/>
  <c r="Z96" i="1"/>
  <c r="AH96" i="1"/>
  <c r="R96" i="1"/>
  <c r="R95" i="1"/>
  <c r="AH95" i="1"/>
  <c r="W94" i="1"/>
  <c r="AH94" i="1"/>
  <c r="U94" i="1"/>
  <c r="AC93" i="1"/>
  <c r="Z93" i="1"/>
  <c r="AA93" i="1"/>
  <c r="S92" i="1"/>
  <c r="R92" i="1"/>
  <c r="O91" i="1"/>
  <c r="R91" i="1"/>
  <c r="Z91" i="1"/>
  <c r="W90" i="1"/>
  <c r="P90" i="1"/>
  <c r="W89" i="1"/>
  <c r="O89" i="1"/>
  <c r="AB89" i="1"/>
  <c r="AG88" i="1"/>
  <c r="AF88" i="1"/>
  <c r="AI88" i="1"/>
  <c r="AB87" i="1"/>
  <c r="AF87" i="1"/>
  <c r="T86" i="1"/>
  <c r="P86" i="1"/>
  <c r="AA86" i="1"/>
  <c r="AB85" i="1"/>
  <c r="AF85" i="1"/>
  <c r="P85" i="1"/>
  <c r="AC84" i="1"/>
  <c r="AI84" i="1"/>
  <c r="AI83" i="1"/>
  <c r="AH83" i="1"/>
  <c r="T83" i="1"/>
  <c r="X82" i="1"/>
  <c r="Q82" i="1"/>
  <c r="V81" i="1"/>
  <c r="AA81" i="1"/>
  <c r="Z81" i="1"/>
  <c r="AH80" i="1"/>
  <c r="X80" i="1"/>
  <c r="S80" i="1"/>
  <c r="S79" i="1"/>
  <c r="P79" i="1"/>
  <c r="AI78" i="1"/>
  <c r="W78" i="1"/>
  <c r="AB78" i="1"/>
  <c r="P77" i="1"/>
  <c r="AE77" i="1"/>
  <c r="U77" i="1"/>
  <c r="AE76" i="1"/>
  <c r="AA76" i="1"/>
  <c r="P75" i="1"/>
  <c r="R75" i="1"/>
  <c r="U75" i="1"/>
  <c r="P74" i="1"/>
  <c r="AG74" i="1"/>
  <c r="P73" i="1"/>
  <c r="R73" i="1"/>
  <c r="AD73" i="1"/>
  <c r="AB72" i="1"/>
  <c r="O72" i="1"/>
  <c r="AC72" i="1"/>
  <c r="AH71" i="1"/>
  <c r="P71" i="1"/>
  <c r="O70" i="1"/>
  <c r="R70" i="1"/>
  <c r="AD70" i="1"/>
  <c r="P69" i="1"/>
  <c r="AI69" i="1"/>
  <c r="V69" i="1"/>
  <c r="X68" i="1"/>
  <c r="AI68" i="1"/>
  <c r="U67" i="1"/>
  <c r="AH67" i="1"/>
  <c r="AG67" i="1"/>
  <c r="U66" i="1"/>
  <c r="W66" i="1"/>
  <c r="O65" i="1"/>
  <c r="W61" i="1"/>
  <c r="P62" i="1"/>
  <c r="AD65" i="1"/>
  <c r="Q65" i="1"/>
  <c r="AI65" i="1"/>
  <c r="AF64" i="1"/>
  <c r="R60" i="1"/>
  <c r="P57" i="1"/>
  <c r="Q54" i="1"/>
  <c r="Q51" i="1"/>
  <c r="AH48" i="1"/>
  <c r="S45" i="1"/>
  <c r="AF42" i="1"/>
  <c r="O39" i="1"/>
  <c r="AG36" i="1"/>
  <c r="R30" i="1"/>
  <c r="AE62" i="1"/>
  <c r="AD59" i="1"/>
  <c r="AG56" i="1"/>
  <c r="AC53" i="1"/>
  <c r="W50" i="1"/>
  <c r="P47" i="1"/>
  <c r="AB44" i="1"/>
  <c r="AB41" i="1"/>
  <c r="AE38" i="1"/>
  <c r="U35" i="1"/>
  <c r="R64" i="1"/>
  <c r="U61" i="1"/>
  <c r="Z58" i="1"/>
  <c r="Q55" i="1"/>
  <c r="AG52" i="1"/>
  <c r="AD49" i="1"/>
  <c r="AG46" i="1"/>
  <c r="AE43" i="1"/>
  <c r="AG40" i="1"/>
  <c r="Q37" i="1"/>
  <c r="AD34" i="1"/>
  <c r="Y56" i="1"/>
  <c r="Y53" i="1"/>
  <c r="AA50" i="1"/>
  <c r="Q47" i="1"/>
  <c r="AG44" i="1"/>
  <c r="AI41" i="1"/>
  <c r="V37" i="1"/>
  <c r="Q34" i="1"/>
  <c r="AI64" i="1"/>
  <c r="AF61" i="1"/>
  <c r="AD58" i="1"/>
  <c r="X55" i="1"/>
  <c r="O52" i="1"/>
  <c r="R48" i="1"/>
  <c r="AC45" i="1"/>
  <c r="Q42" i="1"/>
  <c r="U39" i="1"/>
  <c r="AB36" i="1"/>
  <c r="W31" i="1"/>
  <c r="T63" i="1"/>
  <c r="O59" i="1"/>
  <c r="AF56" i="1"/>
  <c r="Q53" i="1"/>
  <c r="Q50" i="1"/>
  <c r="U47" i="1"/>
  <c r="X44" i="1"/>
  <c r="T41" i="1"/>
  <c r="U38" i="1"/>
  <c r="Q35" i="1"/>
  <c r="AC58" i="1"/>
  <c r="S55" i="1"/>
  <c r="AE52" i="1"/>
  <c r="AF49" i="1"/>
  <c r="AB46" i="1"/>
  <c r="AI459" i="1"/>
  <c r="AA458" i="1"/>
  <c r="Q458" i="1"/>
  <c r="AD457" i="1"/>
  <c r="T457" i="1"/>
  <c r="O457" i="1"/>
  <c r="P456" i="1"/>
  <c r="Z456" i="1"/>
  <c r="S455" i="1"/>
  <c r="Z455" i="1"/>
  <c r="R455" i="1"/>
  <c r="AH454" i="1"/>
  <c r="P454" i="1"/>
  <c r="S454" i="1"/>
  <c r="T453" i="1"/>
  <c r="S453" i="1"/>
  <c r="Z452" i="1"/>
  <c r="Q452" i="1"/>
  <c r="AA452" i="1"/>
  <c r="R451" i="1"/>
  <c r="U451" i="1"/>
  <c r="AG451" i="1"/>
  <c r="AE450" i="1"/>
  <c r="O450" i="1"/>
  <c r="AF449" i="1"/>
  <c r="V449" i="1"/>
  <c r="AI449" i="1"/>
  <c r="Z448" i="1"/>
  <c r="S448" i="1"/>
  <c r="AB447" i="1"/>
  <c r="AH447" i="1"/>
  <c r="AI447" i="1"/>
  <c r="V446" i="1"/>
  <c r="AH446" i="1"/>
  <c r="AC446" i="1"/>
  <c r="AI445" i="1"/>
  <c r="U445" i="1"/>
  <c r="T444" i="1"/>
  <c r="AH444" i="1"/>
  <c r="S444" i="1"/>
  <c r="AD443" i="1"/>
  <c r="T443" i="1"/>
  <c r="AG443" i="1"/>
  <c r="AC433" i="1"/>
  <c r="AF433" i="1"/>
  <c r="AA432" i="1"/>
  <c r="R432" i="1"/>
  <c r="S432" i="1"/>
  <c r="Z431" i="1"/>
  <c r="T431" i="1"/>
  <c r="V430" i="1"/>
  <c r="Z430" i="1"/>
  <c r="W430" i="1"/>
  <c r="X429" i="1"/>
  <c r="P429" i="1"/>
  <c r="U429" i="1"/>
  <c r="Z428" i="1"/>
  <c r="AE428" i="1"/>
  <c r="Q427" i="1"/>
  <c r="AE427" i="1"/>
  <c r="AI427" i="1"/>
  <c r="AD426" i="1"/>
  <c r="AH426" i="1"/>
  <c r="AG426" i="1"/>
  <c r="AB425" i="1"/>
  <c r="AF425" i="1"/>
  <c r="AB424" i="1"/>
  <c r="R424" i="1"/>
  <c r="S424" i="1"/>
  <c r="AC423" i="1"/>
  <c r="AB423" i="1"/>
  <c r="V422" i="1"/>
  <c r="W422" i="1"/>
  <c r="AA422" i="1"/>
  <c r="W421" i="1"/>
  <c r="U421" i="1"/>
  <c r="AC421" i="1"/>
  <c r="AB420" i="1"/>
  <c r="AF420" i="1"/>
  <c r="Q419" i="1"/>
  <c r="Z419" i="1"/>
  <c r="AI419" i="1"/>
  <c r="AD418" i="1"/>
  <c r="AH418" i="1"/>
  <c r="AG418" i="1"/>
  <c r="Y417" i="1"/>
  <c r="O417" i="1"/>
  <c r="Q416" i="1"/>
  <c r="R416" i="1"/>
  <c r="S416" i="1"/>
  <c r="AE406" i="1"/>
  <c r="Y406" i="1"/>
  <c r="O405" i="1"/>
  <c r="X405" i="1"/>
  <c r="AC405" i="1"/>
  <c r="V404" i="1"/>
  <c r="T404" i="1"/>
  <c r="Q404" i="1"/>
  <c r="AA403" i="1"/>
  <c r="AE403" i="1"/>
  <c r="P402" i="1"/>
  <c r="T402" i="1"/>
  <c r="AB402" i="1"/>
  <c r="U401" i="1"/>
  <c r="AA401" i="1"/>
  <c r="AF401" i="1"/>
  <c r="X400" i="1"/>
  <c r="AC400" i="1"/>
  <c r="AG399" i="1"/>
  <c r="AH399" i="1"/>
  <c r="AI399" i="1"/>
  <c r="R398" i="1"/>
  <c r="Q398" i="1"/>
  <c r="O397" i="1"/>
  <c r="T397" i="1"/>
  <c r="AG397" i="1"/>
  <c r="W396" i="1"/>
  <c r="Q396" i="1"/>
  <c r="AG396" i="1"/>
  <c r="S395" i="1"/>
  <c r="AE395" i="1"/>
  <c r="P394" i="1"/>
  <c r="AD394" i="1"/>
  <c r="AB394" i="1"/>
  <c r="U393" i="1"/>
  <c r="AH393" i="1"/>
  <c r="AF393" i="1"/>
  <c r="X392" i="1"/>
  <c r="AC392" i="1"/>
  <c r="Q391" i="1"/>
  <c r="R391" i="1"/>
  <c r="AI391" i="1"/>
  <c r="AG390" i="1"/>
  <c r="R390" i="1"/>
  <c r="AC389" i="1"/>
  <c r="X389" i="1"/>
  <c r="Z389" i="1"/>
  <c r="AD361" i="1"/>
  <c r="AB361" i="1"/>
  <c r="AA360" i="1"/>
  <c r="Y359" i="1"/>
  <c r="AA359" i="1"/>
  <c r="AF358" i="1"/>
  <c r="X357" i="1"/>
  <c r="AC357" i="1"/>
  <c r="AH356" i="1"/>
  <c r="AF355" i="1"/>
  <c r="AE355" i="1"/>
  <c r="AD354" i="1"/>
  <c r="AH353" i="1"/>
  <c r="AD353" i="1"/>
  <c r="AB334" i="1"/>
  <c r="Y333" i="1"/>
  <c r="AB333" i="1"/>
  <c r="AG332" i="1"/>
  <c r="Y331" i="1"/>
  <c r="AF331" i="1"/>
  <c r="AB330" i="1"/>
  <c r="Z329" i="1"/>
  <c r="AD329" i="1"/>
  <c r="AI328" i="1"/>
  <c r="X328" i="1"/>
  <c r="AB327" i="1"/>
  <c r="AH326" i="1"/>
  <c r="P326" i="1"/>
  <c r="Z307" i="1"/>
  <c r="AE307" i="1"/>
  <c r="AC306" i="1"/>
  <c r="AI306" i="1"/>
  <c r="Q305" i="1"/>
  <c r="Y305" i="1"/>
  <c r="AB305" i="1"/>
  <c r="AF304" i="1"/>
  <c r="AA304" i="1"/>
  <c r="AE304" i="1"/>
  <c r="AG303" i="1"/>
  <c r="U303" i="1"/>
  <c r="O302" i="1"/>
  <c r="AG302" i="1"/>
  <c r="R302" i="1"/>
  <c r="V301" i="1"/>
  <c r="AE301" i="1"/>
  <c r="T301" i="1"/>
  <c r="AA300" i="1"/>
  <c r="X300" i="1"/>
  <c r="AA299" i="1"/>
  <c r="Z299" i="1"/>
  <c r="Y299" i="1"/>
  <c r="AD280" i="1"/>
  <c r="P280" i="1"/>
  <c r="AE279" i="1"/>
  <c r="Y279" i="1"/>
  <c r="T279" i="1"/>
  <c r="T278" i="1"/>
  <c r="X278" i="1"/>
  <c r="AG278" i="1"/>
  <c r="AE277" i="1"/>
  <c r="AF277" i="1"/>
  <c r="AH276" i="1"/>
  <c r="AI276" i="1"/>
  <c r="AD276" i="1"/>
  <c r="AA275" i="1"/>
  <c r="AB275" i="1"/>
  <c r="W274" i="1"/>
  <c r="AA274" i="1"/>
  <c r="AB274" i="1"/>
  <c r="Z273" i="1"/>
  <c r="AB273" i="1"/>
  <c r="U273" i="1"/>
  <c r="U272" i="1"/>
  <c r="AE272" i="1"/>
  <c r="R253" i="1"/>
  <c r="W253" i="1"/>
  <c r="AA253" i="1"/>
  <c r="X252" i="1"/>
  <c r="V252" i="1"/>
  <c r="AG252" i="1"/>
  <c r="Q251" i="1"/>
  <c r="R251" i="1"/>
  <c r="U250" i="1"/>
  <c r="P250" i="1"/>
  <c r="Q250" i="1"/>
  <c r="W249" i="1"/>
  <c r="O249" i="1"/>
  <c r="AG248" i="1"/>
  <c r="R248" i="1"/>
  <c r="T248" i="1"/>
  <c r="AB247" i="1"/>
  <c r="AD247" i="1"/>
  <c r="W247" i="1"/>
  <c r="Z246" i="1"/>
  <c r="U246" i="1"/>
  <c r="P245" i="1"/>
  <c r="V245" i="1"/>
  <c r="AA245" i="1"/>
  <c r="P226" i="1"/>
  <c r="V226" i="1"/>
  <c r="AF226" i="1"/>
  <c r="U225" i="1"/>
  <c r="X225" i="1"/>
  <c r="U224" i="1"/>
  <c r="AA224" i="1"/>
  <c r="O224" i="1"/>
  <c r="AC223" i="1"/>
  <c r="S223" i="1"/>
  <c r="AG222" i="1"/>
  <c r="R222" i="1"/>
  <c r="P222" i="1"/>
  <c r="AH221" i="1"/>
  <c r="X221" i="1"/>
  <c r="Y221" i="1"/>
  <c r="V220" i="1"/>
  <c r="S220" i="1"/>
  <c r="P219" i="1"/>
  <c r="AI219" i="1"/>
  <c r="Z219" i="1"/>
  <c r="W218" i="1"/>
  <c r="AA218" i="1"/>
  <c r="AF218" i="1"/>
  <c r="T199" i="1"/>
  <c r="AE199" i="1"/>
  <c r="U198" i="1"/>
  <c r="AA198" i="1"/>
  <c r="S198" i="1"/>
  <c r="W197" i="1"/>
  <c r="O197" i="1"/>
  <c r="P196" i="1"/>
  <c r="Z196" i="1"/>
  <c r="AF196" i="1"/>
  <c r="Z195" i="1"/>
  <c r="O195" i="1"/>
  <c r="Y195" i="1"/>
  <c r="Q194" i="1"/>
  <c r="AC194" i="1"/>
  <c r="P193" i="1"/>
  <c r="R193" i="1"/>
  <c r="Z193" i="1"/>
  <c r="Z192" i="1"/>
  <c r="S192" i="1"/>
  <c r="X192" i="1"/>
  <c r="Y190" i="1"/>
  <c r="AB191" i="1"/>
  <c r="X190" i="1"/>
  <c r="AA190" i="1"/>
  <c r="O190" i="1"/>
  <c r="X189" i="1"/>
  <c r="P189" i="1"/>
  <c r="R188" i="1"/>
  <c r="X188" i="1"/>
  <c r="AA188" i="1"/>
  <c r="X187" i="1"/>
  <c r="AE187" i="1"/>
  <c r="O187" i="1"/>
  <c r="AI186" i="1"/>
  <c r="O186" i="1"/>
  <c r="AE185" i="1"/>
  <c r="V185" i="1"/>
  <c r="R185" i="1"/>
  <c r="AH184" i="1"/>
  <c r="Y184" i="1"/>
  <c r="O184" i="1"/>
  <c r="AC183" i="1"/>
  <c r="W183" i="1"/>
  <c r="AI182" i="1"/>
  <c r="Z182" i="1"/>
  <c r="O182" i="1"/>
  <c r="AA181" i="1"/>
  <c r="R181" i="1"/>
  <c r="AI180" i="1"/>
  <c r="W180" i="1"/>
  <c r="O180" i="1"/>
  <c r="AB179" i="1"/>
  <c r="T179" i="1"/>
  <c r="AG179" i="1"/>
  <c r="Y178" i="1"/>
  <c r="R178" i="1"/>
  <c r="W177" i="1"/>
  <c r="AF177" i="1"/>
  <c r="Y177" i="1"/>
  <c r="P176" i="1"/>
  <c r="AI176" i="1"/>
  <c r="Q176" i="1"/>
  <c r="V175" i="1"/>
  <c r="AC175" i="1"/>
  <c r="V174" i="1"/>
  <c r="Z174" i="1"/>
  <c r="AF174" i="1"/>
  <c r="Y173" i="1"/>
  <c r="AA173" i="1"/>
  <c r="AC172" i="1"/>
  <c r="S172" i="1"/>
  <c r="AH172" i="1"/>
  <c r="AB171" i="1"/>
  <c r="AH171" i="1"/>
  <c r="V171" i="1"/>
  <c r="R170" i="1"/>
  <c r="Z170" i="1"/>
  <c r="V169" i="1"/>
  <c r="Q169" i="1"/>
  <c r="Z169" i="1"/>
  <c r="Y168" i="1"/>
  <c r="Z168" i="1"/>
  <c r="AH168" i="1"/>
  <c r="V167" i="1"/>
  <c r="Y167" i="1"/>
  <c r="Q166" i="1"/>
  <c r="X166" i="1"/>
  <c r="V166" i="1"/>
  <c r="W165" i="1"/>
  <c r="U165" i="1"/>
  <c r="AB164" i="1"/>
  <c r="S164" i="1"/>
  <c r="Z164" i="1"/>
  <c r="AI163" i="1"/>
  <c r="AH163" i="1"/>
  <c r="P163" i="1"/>
  <c r="AD162" i="1"/>
  <c r="T162" i="1"/>
  <c r="X161" i="1"/>
  <c r="S161" i="1"/>
  <c r="Q161" i="1"/>
  <c r="T160" i="1"/>
  <c r="AA160" i="1"/>
  <c r="AF160" i="1"/>
  <c r="AC159" i="1"/>
  <c r="Y159" i="1"/>
  <c r="AE158" i="1"/>
  <c r="AH158" i="1"/>
  <c r="R158" i="1"/>
  <c r="U157" i="1"/>
  <c r="AG157" i="1"/>
  <c r="R156" i="1"/>
  <c r="AI156" i="1"/>
  <c r="U156" i="1"/>
  <c r="X155" i="1"/>
  <c r="AC155" i="1"/>
  <c r="AI155" i="1"/>
  <c r="Y154" i="1"/>
  <c r="U154" i="1"/>
  <c r="O153" i="1"/>
  <c r="U153" i="1"/>
  <c r="W153" i="1"/>
  <c r="W152" i="1"/>
  <c r="AG152" i="1"/>
  <c r="AD152" i="1"/>
  <c r="P151" i="1"/>
  <c r="X151" i="1"/>
  <c r="X150" i="1"/>
  <c r="Z150" i="1"/>
  <c r="AF150" i="1"/>
  <c r="V149" i="1"/>
  <c r="AG149" i="1"/>
  <c r="AB148" i="1"/>
  <c r="AH148" i="1"/>
  <c r="T148" i="1"/>
  <c r="AC147" i="1"/>
  <c r="R147" i="1"/>
  <c r="U147" i="1"/>
  <c r="AG146" i="1"/>
  <c r="AI146" i="1"/>
  <c r="AH145" i="1"/>
  <c r="P145" i="1"/>
  <c r="R145" i="1"/>
  <c r="AE144" i="1"/>
  <c r="AH144" i="1"/>
  <c r="AA144" i="1"/>
  <c r="Y143" i="1"/>
  <c r="AG143" i="1"/>
  <c r="Q142" i="1"/>
  <c r="AD142" i="1"/>
  <c r="O142" i="1"/>
  <c r="AI141" i="1"/>
  <c r="Q141" i="1"/>
  <c r="AG140" i="1"/>
  <c r="V140" i="1"/>
  <c r="AD140" i="1"/>
  <c r="R139" i="1"/>
  <c r="AA139" i="1"/>
  <c r="O139" i="1"/>
  <c r="AB138" i="1"/>
  <c r="AF138" i="1"/>
  <c r="W137" i="1"/>
  <c r="V137" i="1"/>
  <c r="P137" i="1"/>
  <c r="Z136" i="1"/>
  <c r="AF136" i="1"/>
  <c r="AB136" i="1"/>
  <c r="Q135" i="1"/>
  <c r="AA135" i="1"/>
  <c r="AG134" i="1"/>
  <c r="AD134" i="1"/>
  <c r="AI134" i="1"/>
  <c r="V133" i="1"/>
  <c r="AB133" i="1"/>
  <c r="AG132" i="1"/>
  <c r="U132" i="1"/>
  <c r="V132" i="1"/>
  <c r="Z131" i="1"/>
  <c r="X131" i="1"/>
  <c r="W131" i="1"/>
  <c r="AI130" i="1"/>
  <c r="X130" i="1"/>
  <c r="AD129" i="1"/>
  <c r="T129" i="1"/>
  <c r="Z129" i="1"/>
  <c r="U128" i="1"/>
  <c r="P128" i="1"/>
  <c r="AB128" i="1"/>
  <c r="AF127" i="1"/>
  <c r="AE127" i="1"/>
  <c r="AH126" i="1"/>
  <c r="AA126" i="1"/>
  <c r="P126" i="1"/>
  <c r="AD125" i="1"/>
  <c r="P125" i="1"/>
  <c r="W124" i="1"/>
  <c r="R124" i="1"/>
  <c r="AC124" i="1"/>
  <c r="AE123" i="1"/>
  <c r="X123" i="1"/>
  <c r="AD123" i="1"/>
  <c r="AH122" i="1"/>
  <c r="AF122" i="1"/>
  <c r="W121" i="1"/>
  <c r="AH121" i="1"/>
  <c r="T121" i="1"/>
  <c r="Z120" i="1"/>
  <c r="AH120" i="1"/>
  <c r="AC120" i="1"/>
  <c r="P119" i="1"/>
  <c r="Z119" i="1"/>
  <c r="Q118" i="1"/>
  <c r="X118" i="1"/>
  <c r="S118" i="1"/>
  <c r="AD117" i="1"/>
  <c r="S117" i="1"/>
  <c r="X116" i="1"/>
  <c r="O116" i="1"/>
  <c r="Y116" i="1"/>
  <c r="P115" i="1"/>
  <c r="Z115" i="1"/>
  <c r="AF115" i="1"/>
  <c r="Q114" i="1"/>
  <c r="P114" i="1"/>
  <c r="AF113" i="1"/>
  <c r="S113" i="1"/>
  <c r="AD113" i="1"/>
  <c r="AA112" i="1"/>
  <c r="AD112" i="1"/>
  <c r="S112" i="1"/>
  <c r="AG111" i="1"/>
  <c r="AD111" i="1"/>
  <c r="P110" i="1"/>
  <c r="X110" i="1"/>
  <c r="Z110" i="1"/>
  <c r="AD109" i="1"/>
  <c r="AE109" i="1"/>
  <c r="AI108" i="1"/>
  <c r="T108" i="1"/>
  <c r="AB108" i="1"/>
  <c r="AG107" i="1"/>
  <c r="AH107" i="1"/>
  <c r="AF107" i="1"/>
  <c r="Q106" i="1"/>
  <c r="W106" i="1"/>
  <c r="Q105" i="1"/>
  <c r="AE105" i="1"/>
  <c r="O105" i="1"/>
  <c r="W104" i="1"/>
  <c r="Y104" i="1"/>
  <c r="Z104" i="1"/>
  <c r="AA103" i="1"/>
  <c r="AI103" i="1"/>
  <c r="AB102" i="1"/>
  <c r="U102" i="1"/>
  <c r="AF102" i="1"/>
  <c r="R101" i="1"/>
  <c r="S101" i="1"/>
  <c r="S100" i="1"/>
  <c r="O100" i="1"/>
  <c r="R100" i="1"/>
  <c r="V99" i="1"/>
  <c r="Z99" i="1"/>
  <c r="AH99" i="1"/>
  <c r="O98" i="1"/>
  <c r="S98" i="1"/>
  <c r="X97" i="1"/>
  <c r="Z97" i="1"/>
  <c r="AI97" i="1"/>
  <c r="U96" i="1"/>
  <c r="V96" i="1"/>
  <c r="AI96" i="1"/>
  <c r="T95" i="1"/>
  <c r="AI95" i="1"/>
  <c r="AE94" i="1"/>
  <c r="AF94" i="1"/>
  <c r="AD94" i="1"/>
  <c r="AE93" i="1"/>
  <c r="AH93" i="1"/>
  <c r="Z92" i="1"/>
  <c r="AC92" i="1"/>
  <c r="AE92" i="1"/>
  <c r="AA91" i="1"/>
  <c r="AG91" i="1"/>
  <c r="U91" i="1"/>
  <c r="AC90" i="1"/>
  <c r="AI90" i="1"/>
  <c r="R89" i="1"/>
  <c r="AG89" i="1"/>
  <c r="AI89" i="1"/>
  <c r="AC88" i="1"/>
  <c r="X88" i="1"/>
  <c r="AA88" i="1"/>
  <c r="X87" i="1"/>
  <c r="AA87" i="1"/>
  <c r="O86" i="1"/>
  <c r="Z86" i="1"/>
  <c r="AI86" i="1"/>
  <c r="AI85" i="1"/>
  <c r="AG85" i="1"/>
  <c r="V84" i="1"/>
  <c r="U84" i="1"/>
  <c r="AA84" i="1"/>
  <c r="O83" i="1"/>
  <c r="AG83" i="1"/>
  <c r="U83" i="1"/>
  <c r="T82" i="1"/>
  <c r="AC82" i="1"/>
  <c r="AH81" i="1"/>
  <c r="O81" i="1"/>
  <c r="AB81" i="1"/>
  <c r="AE80" i="1"/>
  <c r="Y80" i="1"/>
  <c r="AB80" i="1"/>
  <c r="AH79" i="1"/>
  <c r="AB79" i="1"/>
  <c r="AD78" i="1"/>
  <c r="Q78" i="1"/>
  <c r="P78" i="1"/>
  <c r="T77" i="1"/>
  <c r="S77" i="1"/>
  <c r="AH76" i="1"/>
  <c r="S76" i="1"/>
  <c r="P76" i="1"/>
  <c r="X75" i="1"/>
  <c r="O75" i="1"/>
  <c r="Q75" i="1"/>
  <c r="Q74" i="1"/>
  <c r="U74" i="1"/>
  <c r="X73" i="1"/>
  <c r="AE73" i="1"/>
  <c r="AA73" i="1"/>
  <c r="Y72" i="1"/>
  <c r="R72" i="1"/>
  <c r="AI72" i="1"/>
  <c r="O71" i="1"/>
  <c r="AA71" i="1"/>
  <c r="AE70" i="1"/>
  <c r="AC70" i="1"/>
  <c r="U70" i="1"/>
  <c r="AB69" i="1"/>
  <c r="AH69" i="1"/>
  <c r="AA68" i="1"/>
  <c r="AG68" i="1"/>
  <c r="U68" i="1"/>
  <c r="V67" i="1"/>
  <c r="P67" i="1"/>
  <c r="AB67" i="1"/>
  <c r="AB66" i="1"/>
  <c r="P66" i="1"/>
  <c r="O64" i="1"/>
  <c r="W60" i="1"/>
  <c r="AD61" i="1"/>
  <c r="AH65" i="1"/>
  <c r="V62" i="1"/>
  <c r="P63" i="1"/>
  <c r="R63" i="1"/>
  <c r="AA60" i="1"/>
  <c r="AH57" i="1"/>
  <c r="Y54" i="1"/>
  <c r="R51" i="1"/>
  <c r="AG48" i="1"/>
  <c r="AH45" i="1"/>
  <c r="AE42" i="1"/>
  <c r="P39" i="1"/>
  <c r="AH36" i="1"/>
  <c r="W65" i="1"/>
  <c r="Z62" i="1"/>
  <c r="Q59" i="1"/>
  <c r="AA56" i="1"/>
  <c r="AF53" i="1"/>
  <c r="AE50" i="1"/>
  <c r="T47" i="1"/>
  <c r="W44" i="1"/>
  <c r="O41" i="1"/>
  <c r="AF38" i="1"/>
  <c r="AG35" i="1"/>
  <c r="AD64" i="1"/>
  <c r="Z61" i="1"/>
  <c r="AH58" i="1"/>
  <c r="AD55" i="1"/>
  <c r="W52" i="1"/>
  <c r="R49" i="1"/>
  <c r="AI46" i="1"/>
  <c r="V42" i="1"/>
  <c r="W39" i="1"/>
  <c r="AF36" i="1"/>
  <c r="Z32" i="1"/>
  <c r="R55" i="1"/>
  <c r="U52" i="1"/>
  <c r="AC49" i="1"/>
  <c r="R46" i="1"/>
  <c r="W43" i="1"/>
  <c r="AB40" i="1"/>
  <c r="AI37" i="1"/>
  <c r="AB34" i="1"/>
  <c r="AH63" i="1"/>
  <c r="Z60" i="1"/>
  <c r="AG57" i="1"/>
  <c r="AF54" i="1"/>
  <c r="AD51" i="1"/>
  <c r="V48" i="1"/>
  <c r="AD45" i="1"/>
  <c r="AD42" i="1"/>
  <c r="Y39" i="1"/>
  <c r="AE36" i="1"/>
  <c r="T28" i="1"/>
  <c r="AF62" i="1"/>
  <c r="U59" i="1"/>
  <c r="P56" i="1"/>
  <c r="AE53" i="1"/>
  <c r="U50" i="1"/>
  <c r="AG47" i="1"/>
  <c r="Y44" i="1"/>
  <c r="P41" i="1"/>
  <c r="S38" i="1"/>
  <c r="AF35" i="1"/>
  <c r="AE58" i="1"/>
  <c r="Z55" i="1"/>
  <c r="AI52" i="1"/>
  <c r="AI49" i="1"/>
  <c r="AH46" i="1"/>
  <c r="T11" i="1"/>
  <c r="AG18" i="1"/>
  <c r="AE19" i="1"/>
  <c r="R17" i="1"/>
  <c r="T22" i="1"/>
  <c r="Y4" i="1"/>
  <c r="Z5" i="1"/>
  <c r="AF26" i="1"/>
  <c r="V29" i="1"/>
  <c r="AH32" i="1"/>
  <c r="AA22" i="1"/>
  <c r="X9" i="1"/>
  <c r="AC3" i="1"/>
  <c r="P2" i="1"/>
  <c r="AI4" i="1"/>
  <c r="Q14" i="1"/>
  <c r="AI14" i="1"/>
  <c r="AA24" i="1"/>
  <c r="AG14" i="1"/>
  <c r="AE15" i="1"/>
  <c r="Q13" i="1"/>
  <c r="AA13" i="1"/>
  <c r="AB20" i="1"/>
  <c r="Z2" i="1"/>
  <c r="AI3" i="1"/>
  <c r="AD2" i="1"/>
  <c r="O26" i="1"/>
  <c r="U29" i="1"/>
  <c r="V32" i="1"/>
  <c r="U20" i="1"/>
  <c r="V3" i="1"/>
  <c r="X7" i="1"/>
  <c r="S6" i="1"/>
  <c r="X10" i="1"/>
  <c r="V11" i="1"/>
  <c r="AF11" i="1"/>
  <c r="R25" i="1"/>
  <c r="O28" i="1"/>
  <c r="AH31" i="1"/>
  <c r="R12" i="1"/>
  <c r="AB12" i="1"/>
  <c r="Y19" i="1"/>
  <c r="AI19" i="1"/>
  <c r="Z4" i="1"/>
  <c r="U6" i="1"/>
  <c r="Q8" i="1"/>
  <c r="P3" i="1"/>
  <c r="AD26" i="1"/>
  <c r="T30" i="1"/>
  <c r="AF33" i="1"/>
  <c r="V7" i="1"/>
  <c r="R9" i="1"/>
  <c r="P12" i="1"/>
  <c r="O14" i="1"/>
  <c r="Y17" i="1"/>
  <c r="V22" i="1"/>
  <c r="Y9" i="1"/>
  <c r="AE25" i="1"/>
  <c r="AF28" i="1"/>
  <c r="T31" i="1"/>
  <c r="Z18" i="1"/>
  <c r="P19" i="1"/>
  <c r="V16" i="1"/>
  <c r="Q22" i="1"/>
  <c r="U8" i="1"/>
  <c r="X20" i="1"/>
  <c r="O2" i="1"/>
  <c r="AE24" i="1"/>
  <c r="O27" i="1"/>
  <c r="AI30" i="1"/>
  <c r="AA33" i="1"/>
  <c r="R5" i="1"/>
  <c r="AI6" i="1"/>
  <c r="AB7" i="1"/>
  <c r="AF18" i="1"/>
  <c r="W17" i="1"/>
  <c r="Z11" i="1"/>
  <c r="AD22" i="1"/>
  <c r="AD25" i="1"/>
  <c r="R28" i="1"/>
  <c r="AA31" i="1"/>
  <c r="U30" i="1"/>
  <c r="T36" i="1"/>
  <c r="AC39" i="1"/>
  <c r="O42" i="1"/>
  <c r="T45" i="1"/>
  <c r="AF48" i="1"/>
  <c r="O51" i="1"/>
  <c r="P54" i="1"/>
  <c r="W57" i="1"/>
  <c r="AC61" i="1"/>
  <c r="T64" i="1"/>
  <c r="AA34" i="1"/>
  <c r="AA37" i="1"/>
  <c r="AE40" i="1"/>
  <c r="U43" i="1"/>
  <c r="AA2" i="1"/>
  <c r="T17" i="1"/>
  <c r="AH18" i="1"/>
  <c r="T16" i="1"/>
  <c r="AD16" i="1"/>
  <c r="AG21" i="1"/>
  <c r="AC23" i="1"/>
  <c r="P20" i="1"/>
  <c r="AF8" i="1"/>
  <c r="W26" i="1"/>
  <c r="X29" i="1"/>
  <c r="R32" i="1"/>
  <c r="AD3" i="1"/>
  <c r="AE4" i="1"/>
  <c r="AB9" i="1"/>
  <c r="Y6" i="1"/>
  <c r="AG16" i="1"/>
  <c r="X11" i="1"/>
  <c r="AH11" i="1"/>
  <c r="AB25" i="1"/>
  <c r="T12" i="1"/>
  <c r="AD12" i="1"/>
  <c r="AA19" i="1"/>
  <c r="O23" i="1"/>
  <c r="AI5" i="1"/>
  <c r="Y8" i="1"/>
  <c r="P23" i="1"/>
  <c r="X24" i="1"/>
  <c r="R27" i="1"/>
  <c r="AD30" i="1"/>
  <c r="O33" i="1"/>
  <c r="Y7" i="1"/>
  <c r="AH8" i="1"/>
  <c r="Z3" i="1"/>
  <c r="P10" i="1"/>
  <c r="R14" i="1"/>
  <c r="AF17" i="1"/>
  <c r="V18" i="1"/>
  <c r="Y25" i="1"/>
  <c r="AB28" i="1"/>
  <c r="R31" i="1"/>
  <c r="AB18" i="1"/>
  <c r="R19" i="1"/>
  <c r="AD21" i="1"/>
  <c r="AH4" i="1"/>
  <c r="AD9" i="1"/>
  <c r="W2" i="1"/>
  <c r="AG6" i="1"/>
  <c r="R24" i="1"/>
  <c r="AE27" i="1"/>
  <c r="S30" i="1"/>
  <c r="AC33" i="1"/>
  <c r="Z9" i="1"/>
  <c r="P18" i="1"/>
  <c r="AD19" i="1"/>
  <c r="Q17" i="1"/>
  <c r="AC21" i="1"/>
  <c r="AE3" i="1"/>
  <c r="AF4" i="1"/>
  <c r="AA26" i="1"/>
  <c r="AC29" i="1"/>
  <c r="X32" i="1"/>
  <c r="Y15" i="1"/>
  <c r="AI15" i="1"/>
  <c r="Q21" i="1"/>
  <c r="AC8" i="1"/>
  <c r="AB3" i="1"/>
  <c r="Z6" i="1"/>
  <c r="Q10" i="1"/>
  <c r="P24" i="1"/>
  <c r="AC27" i="1"/>
  <c r="W30" i="1"/>
  <c r="AE33" i="1"/>
  <c r="Y23" i="1"/>
  <c r="AD5" i="1"/>
  <c r="X18" i="1"/>
  <c r="AI16" i="1"/>
  <c r="V14" i="1"/>
  <c r="O21" i="1"/>
  <c r="W3" i="1"/>
  <c r="Z25" i="1"/>
  <c r="W29" i="1"/>
  <c r="AB32" i="1"/>
  <c r="AD33" i="1"/>
  <c r="AF37" i="1"/>
  <c r="AI40" i="1"/>
  <c r="V43" i="1"/>
  <c r="O46" i="1"/>
  <c r="T49" i="1"/>
  <c r="AB52" i="1"/>
  <c r="AF55" i="1"/>
  <c r="AB58" i="1"/>
  <c r="AE61" i="1"/>
  <c r="AC64" i="1"/>
  <c r="AA35" i="1"/>
  <c r="V38" i="1"/>
  <c r="X41" i="1"/>
  <c r="V44" i="1"/>
  <c r="AG15" i="1"/>
  <c r="S13" i="1"/>
  <c r="Y21" i="1"/>
  <c r="S2" i="1"/>
  <c r="V4" i="1"/>
  <c r="R6" i="1"/>
  <c r="O24" i="1"/>
  <c r="AB27" i="1"/>
  <c r="AC30" i="1"/>
  <c r="V33" i="1"/>
  <c r="U9" i="1"/>
  <c r="Q23" i="1"/>
  <c r="AC2" i="1"/>
  <c r="Y16" i="1"/>
  <c r="T14" i="1"/>
  <c r="AH17" i="1"/>
  <c r="W21" i="1"/>
  <c r="U25" i="1"/>
  <c r="AD18" i="1"/>
  <c r="R22" i="1"/>
  <c r="U5" i="1"/>
  <c r="U3" i="1"/>
  <c r="AH23" i="1"/>
  <c r="AF3" i="1"/>
  <c r="U11" i="1"/>
  <c r="S24" i="1"/>
  <c r="AI27" i="1"/>
  <c r="O30" i="1"/>
  <c r="AI33" i="1"/>
  <c r="S3" i="1"/>
  <c r="O5" i="1"/>
  <c r="AE10" i="1"/>
  <c r="AD13" i="1"/>
  <c r="Q11" i="1"/>
  <c r="AE14" i="1"/>
  <c r="R21" i="1"/>
  <c r="AA25" i="1"/>
  <c r="AI28" i="1"/>
  <c r="Y31" i="1"/>
  <c r="AA15" i="1"/>
  <c r="AH21" i="1"/>
  <c r="P9" i="1"/>
  <c r="P7" i="1"/>
  <c r="AF5" i="1"/>
  <c r="AF10" i="1"/>
  <c r="AC17" i="1"/>
  <c r="AD24" i="1"/>
  <c r="AG27" i="1"/>
  <c r="AF30" i="1"/>
  <c r="Y10" i="1"/>
  <c r="Y18" i="1"/>
  <c r="S16" i="1"/>
  <c r="AC16" i="1"/>
  <c r="U21" i="1"/>
  <c r="AI20" i="1"/>
  <c r="AI8" i="1"/>
  <c r="AD7" i="1"/>
  <c r="AE26" i="1"/>
  <c r="AG29" i="1"/>
  <c r="AG32" i="1"/>
  <c r="T21" i="1"/>
  <c r="AD8" i="1"/>
  <c r="AI2" i="1"/>
  <c r="S23" i="1"/>
  <c r="AI9" i="1"/>
  <c r="T13" i="1"/>
  <c r="AH14" i="1"/>
  <c r="V24" i="1"/>
  <c r="T27" i="1"/>
  <c r="Z30" i="1"/>
  <c r="P33" i="1"/>
  <c r="AG10" i="1"/>
  <c r="AC15" i="1"/>
  <c r="AA16" i="1"/>
  <c r="AH13" i="1"/>
  <c r="X21" i="1"/>
  <c r="Z7" i="1"/>
  <c r="AA8" i="1"/>
  <c r="P26" i="1"/>
  <c r="Q29" i="1"/>
  <c r="W32" i="1"/>
  <c r="W34" i="1"/>
  <c r="S37" i="1"/>
  <c r="V40" i="1"/>
  <c r="AH43" i="1"/>
  <c r="AC46" i="1"/>
  <c r="Y49" i="1"/>
  <c r="AC52" i="1"/>
  <c r="AC55" i="1"/>
  <c r="T58" i="1"/>
  <c r="Q61" i="1"/>
  <c r="AE64" i="1"/>
  <c r="Y35" i="1"/>
  <c r="Q38" i="1"/>
  <c r="Z41" i="1"/>
  <c r="AD44" i="1"/>
  <c r="V12" i="1"/>
  <c r="O22" i="1"/>
  <c r="W23" i="1"/>
  <c r="W9" i="1"/>
  <c r="AE7" i="1"/>
  <c r="O8" i="1"/>
  <c r="AB13" i="1"/>
  <c r="W24" i="1"/>
  <c r="Q27" i="1"/>
  <c r="AA30" i="1"/>
  <c r="R33" i="1"/>
  <c r="W5" i="1"/>
  <c r="W10" i="1"/>
  <c r="Q16" i="1"/>
  <c r="AF13" i="1"/>
  <c r="S11" i="1"/>
  <c r="AB22" i="1"/>
  <c r="R7" i="1"/>
  <c r="AG26" i="1"/>
  <c r="Z21" i="1"/>
  <c r="W6" i="1"/>
  <c r="Y20" i="1"/>
  <c r="T9" i="1"/>
  <c r="AB10" i="1"/>
  <c r="U17" i="1"/>
  <c r="S18" i="1"/>
  <c r="Z24" i="1"/>
  <c r="AC28" i="1"/>
  <c r="S31" i="1"/>
  <c r="O34" i="1"/>
  <c r="V5" i="1"/>
  <c r="AB11" i="1"/>
  <c r="V13" i="1"/>
  <c r="O16" i="1"/>
  <c r="AA17" i="1"/>
  <c r="AG9" i="1"/>
  <c r="AH20" i="1"/>
  <c r="S26" i="1"/>
  <c r="AI29" i="1"/>
  <c r="U32" i="1"/>
  <c r="Q9" i="1"/>
  <c r="R20" i="1"/>
  <c r="W4" i="1"/>
  <c r="R3" i="1"/>
  <c r="S10" i="1"/>
  <c r="Z14" i="1"/>
  <c r="P15" i="1"/>
  <c r="AF25" i="1"/>
  <c r="P28" i="1"/>
  <c r="AC31" i="1"/>
  <c r="V15" i="1"/>
  <c r="AF15" i="1"/>
  <c r="R13" i="1"/>
  <c r="AE22" i="1"/>
  <c r="V23" i="1"/>
  <c r="T3" i="1"/>
  <c r="P5" i="1"/>
  <c r="AH9" i="1"/>
  <c r="AF27" i="1"/>
  <c r="P30" i="1"/>
  <c r="Q33" i="1"/>
  <c r="O3" i="1"/>
  <c r="P4" i="1"/>
  <c r="Z8" i="1"/>
  <c r="U7" i="1"/>
  <c r="P16" i="1"/>
  <c r="W11" i="1"/>
  <c r="AG11" i="1"/>
  <c r="AI25" i="1"/>
  <c r="Q28" i="1"/>
  <c r="AI31" i="1"/>
  <c r="P14" i="1"/>
  <c r="AD15" i="1"/>
  <c r="P13" i="1"/>
  <c r="Z13" i="1"/>
  <c r="P21" i="1"/>
  <c r="AG4" i="1"/>
  <c r="AG2" i="1"/>
  <c r="AG23" i="1"/>
  <c r="AH26" i="1"/>
  <c r="AA29" i="1"/>
  <c r="AD32" i="1"/>
  <c r="AF34" i="1"/>
  <c r="AD37" i="1"/>
  <c r="P40" i="1"/>
  <c r="AD43" i="1"/>
  <c r="P46" i="1"/>
  <c r="X49" i="1"/>
  <c r="AA53" i="1"/>
  <c r="U56" i="1"/>
  <c r="AA59" i="1"/>
  <c r="AC62" i="1"/>
  <c r="AF65" i="1"/>
  <c r="AB35" i="1"/>
  <c r="X38" i="1"/>
  <c r="AC42" i="1"/>
  <c r="R45" i="1"/>
  <c r="W15" i="1"/>
  <c r="AB2" i="1"/>
  <c r="AD6" i="1"/>
  <c r="Q5" i="1"/>
  <c r="AG3" i="1"/>
  <c r="AB19" i="1"/>
  <c r="AE11" i="1"/>
  <c r="Q24" i="1"/>
  <c r="P27" i="1"/>
  <c r="Q30" i="1"/>
  <c r="AA5" i="1"/>
  <c r="X14" i="1"/>
  <c r="AH12" i="1"/>
  <c r="X13" i="1"/>
  <c r="O18" i="1"/>
  <c r="AA21" i="1"/>
  <c r="U23" i="1"/>
  <c r="Y2" i="1"/>
  <c r="Z26" i="1"/>
  <c r="Z20" i="1"/>
  <c r="AI23" i="1"/>
  <c r="AA6" i="1"/>
  <c r="T10" i="1"/>
  <c r="O13" i="1"/>
  <c r="AB14" i="1"/>
  <c r="R15" i="1"/>
  <c r="T25" i="1"/>
  <c r="Z28" i="1"/>
  <c r="V31" i="1"/>
  <c r="AA3" i="1"/>
  <c r="Q12" i="1"/>
  <c r="V19" i="1"/>
  <c r="AF19" i="1"/>
  <c r="S17" i="1"/>
  <c r="S7" i="1"/>
  <c r="S5" i="1"/>
  <c r="AB6" i="1"/>
  <c r="Y26" i="1"/>
  <c r="AD29" i="1"/>
  <c r="AI32" i="1"/>
  <c r="X4" i="1"/>
  <c r="AG5" i="1"/>
  <c r="AD20" i="1"/>
  <c r="AH10" i="1"/>
  <c r="V17" i="1"/>
  <c r="Y11" i="1"/>
  <c r="AI11" i="1"/>
  <c r="O25" i="1"/>
  <c r="AA28" i="1"/>
  <c r="AG31" i="1"/>
  <c r="U12" i="1"/>
  <c r="AE12" i="1"/>
  <c r="Z22" i="1"/>
  <c r="AD23" i="1"/>
  <c r="AC6" i="1"/>
  <c r="AA9" i="1"/>
  <c r="AC10" i="1"/>
  <c r="AI24" i="1"/>
  <c r="AD27" i="1"/>
  <c r="X30" i="1"/>
  <c r="AB33" i="1"/>
  <c r="S8" i="1"/>
  <c r="O20" i="1"/>
  <c r="AB4" i="1"/>
  <c r="AB15" i="1"/>
  <c r="S14" i="1"/>
  <c r="AG17" i="1"/>
  <c r="W18" i="1"/>
  <c r="AG25" i="1"/>
  <c r="V28" i="1"/>
  <c r="AE31" i="1"/>
  <c r="S12" i="1"/>
  <c r="AC12" i="1"/>
  <c r="Z19" i="1"/>
  <c r="AH22" i="1"/>
  <c r="T5" i="1"/>
  <c r="W7" i="1"/>
  <c r="S9" i="1"/>
  <c r="AB24" i="1"/>
  <c r="S27" i="1"/>
  <c r="AE30" i="1"/>
  <c r="AG33" i="1"/>
  <c r="V35" i="1"/>
  <c r="AB38" i="1"/>
  <c r="AH41" i="1"/>
  <c r="T44" i="1"/>
  <c r="AI47" i="1"/>
  <c r="AG50" i="1"/>
  <c r="X53" i="1"/>
  <c r="V56" i="1"/>
  <c r="AI59" i="1"/>
  <c r="Y62" i="1"/>
  <c r="AA27" i="1"/>
  <c r="Q36" i="1"/>
  <c r="X39" i="1"/>
  <c r="W42" i="1"/>
  <c r="AB45" i="1"/>
  <c r="AE21" i="1"/>
  <c r="AE6" i="1"/>
  <c r="AF7" i="1"/>
  <c r="X2" i="1"/>
  <c r="AC20" i="1"/>
  <c r="AC13" i="1"/>
  <c r="AE17" i="1"/>
  <c r="U18" i="1"/>
  <c r="S25" i="1"/>
  <c r="Y28" i="1"/>
  <c r="U31" i="1"/>
  <c r="AC11" i="1"/>
  <c r="AA12" i="1"/>
  <c r="X19" i="1"/>
  <c r="AH19" i="1"/>
  <c r="S21" i="1"/>
  <c r="AB8" i="1"/>
  <c r="O7" i="1"/>
  <c r="AE5" i="1"/>
  <c r="T26" i="1"/>
  <c r="T6" i="1"/>
  <c r="P8" i="1"/>
  <c r="AD10" i="1"/>
  <c r="AC19" i="1"/>
  <c r="X17" i="1"/>
  <c r="AA11" i="1"/>
  <c r="S22" i="1"/>
  <c r="V25" i="1"/>
  <c r="X28" i="1"/>
  <c r="P31" i="1"/>
  <c r="Q18" i="1"/>
  <c r="AI18" i="1"/>
  <c r="U16" i="1"/>
  <c r="AE16" i="1"/>
  <c r="AA7" i="1"/>
  <c r="V9" i="1"/>
  <c r="R23" i="1"/>
  <c r="U2" i="1"/>
  <c r="AI26" i="1"/>
  <c r="AE29" i="1"/>
  <c r="U33" i="1"/>
  <c r="W20" i="1"/>
  <c r="W8" i="1"/>
  <c r="Z10" i="1"/>
  <c r="AH16" i="1"/>
  <c r="U14" i="1"/>
  <c r="AI17" i="1"/>
  <c r="T7" i="1"/>
  <c r="X25" i="1"/>
  <c r="AE28" i="1"/>
  <c r="AB31" i="1"/>
  <c r="AE18" i="1"/>
  <c r="AE23" i="1"/>
  <c r="O6" i="1"/>
  <c r="O4" i="1"/>
  <c r="AE2" i="1"/>
  <c r="AA10" i="1"/>
  <c r="AD11" i="1"/>
  <c r="AF24" i="1"/>
  <c r="W27" i="1"/>
  <c r="V30" i="1"/>
  <c r="Y33" i="1"/>
  <c r="U4" i="1"/>
  <c r="X3" i="1"/>
  <c r="T15" i="1"/>
  <c r="AE13" i="1"/>
  <c r="R11" i="1"/>
  <c r="P22" i="1"/>
  <c r="X6" i="1"/>
  <c r="W25" i="1"/>
  <c r="S28" i="1"/>
  <c r="AF32" i="1"/>
  <c r="AC18" i="1"/>
  <c r="S19" i="1"/>
  <c r="U22" i="1"/>
  <c r="AB5" i="1"/>
  <c r="AF20" i="1"/>
  <c r="Y3" i="1"/>
  <c r="O12" i="1"/>
  <c r="T24" i="1"/>
  <c r="U27" i="1"/>
  <c r="AG30" i="1"/>
  <c r="T33" i="1"/>
  <c r="X35" i="1"/>
  <c r="AC38" i="1"/>
  <c r="AC41" i="1"/>
  <c r="U44" i="1"/>
  <c r="AH47" i="1"/>
  <c r="AI50" i="1"/>
  <c r="V53" i="1"/>
  <c r="AH56" i="1"/>
  <c r="Y59" i="1"/>
  <c r="O62" i="1"/>
  <c r="AD31" i="1"/>
  <c r="P36" i="1"/>
  <c r="AE39" i="1"/>
  <c r="Z42" i="1"/>
  <c r="Q45" i="1"/>
  <c r="Q2" i="1"/>
  <c r="AH3" i="1"/>
  <c r="X23" i="1"/>
  <c r="U13" i="1"/>
  <c r="P11" i="1"/>
  <c r="AD14" i="1"/>
  <c r="X22" i="1"/>
  <c r="AC25" i="1"/>
  <c r="AD28" i="1"/>
  <c r="O31" i="1"/>
  <c r="AA18" i="1"/>
  <c r="Q19" i="1"/>
  <c r="W16" i="1"/>
  <c r="AC22" i="1"/>
  <c r="O9" i="1"/>
  <c r="Z23" i="1"/>
  <c r="Q3" i="1"/>
  <c r="Y24" i="1"/>
  <c r="Z27" i="1"/>
  <c r="V2" i="1"/>
  <c r="R10" i="1"/>
  <c r="U19" i="1"/>
  <c r="P17" i="1"/>
  <c r="W14" i="1"/>
  <c r="S4" i="1"/>
  <c r="Q4" i="1"/>
  <c r="Q26" i="1"/>
  <c r="Z29" i="1"/>
  <c r="O32" i="1"/>
  <c r="X15" i="1"/>
  <c r="AH15" i="1"/>
  <c r="W22" i="1"/>
  <c r="AI7" i="1"/>
  <c r="AH2" i="1"/>
  <c r="X5" i="1"/>
  <c r="AF23" i="1"/>
  <c r="U24" i="1"/>
  <c r="AH27" i="1"/>
  <c r="Y30" i="1"/>
  <c r="X33" i="1"/>
  <c r="Q6" i="1"/>
  <c r="AF14" i="1"/>
  <c r="Z16" i="1"/>
  <c r="AG13" i="1"/>
  <c r="AB21" i="1"/>
  <c r="AF6" i="1"/>
  <c r="AG7" i="1"/>
  <c r="R26" i="1"/>
  <c r="P29" i="1"/>
  <c r="AA32" i="1"/>
  <c r="P6" i="1"/>
  <c r="Q7" i="1"/>
  <c r="AA23" i="1"/>
  <c r="V20" i="1"/>
  <c r="AF12" i="1"/>
  <c r="AD17" i="1"/>
  <c r="T18" i="1"/>
  <c r="P25" i="1"/>
  <c r="AG28" i="1"/>
  <c r="Z31" i="1"/>
  <c r="P34" i="1"/>
  <c r="O10" i="1"/>
  <c r="Y12" i="1"/>
  <c r="W13" i="1"/>
  <c r="O17" i="1"/>
  <c r="AG22" i="1"/>
  <c r="AA20" i="1"/>
  <c r="AB23" i="1"/>
  <c r="X26" i="1"/>
  <c r="Y29" i="1"/>
  <c r="AC32" i="1"/>
  <c r="AF22" i="1"/>
  <c r="AC5" i="1"/>
  <c r="AE9" i="1"/>
  <c r="R8" i="1"/>
  <c r="AH6" i="1"/>
  <c r="X16" i="1"/>
  <c r="R18" i="1"/>
  <c r="AG24" i="1"/>
  <c r="Y27" i="1"/>
  <c r="AB30" i="1"/>
  <c r="AH33" i="1"/>
  <c r="AI35" i="1"/>
  <c r="R38" i="1"/>
  <c r="Y41" i="1"/>
  <c r="Y45" i="1"/>
  <c r="AE48" i="1"/>
  <c r="AC51" i="1"/>
  <c r="S54" i="1"/>
  <c r="Z57" i="1"/>
  <c r="P60" i="1"/>
  <c r="Y63" i="1"/>
  <c r="S33" i="1"/>
  <c r="R37" i="1"/>
  <c r="S40" i="1"/>
  <c r="S43" i="1"/>
  <c r="AC836" i="1" l="1"/>
  <c r="R836" i="1"/>
  <c r="AH836" i="1"/>
  <c r="O836" i="1"/>
  <c r="AB836" i="1"/>
  <c r="S835" i="1"/>
  <c r="R835" i="1"/>
  <c r="W835" i="1"/>
  <c r="Z835" i="1"/>
  <c r="X835" i="1"/>
  <c r="V834" i="1"/>
  <c r="AG834" i="1"/>
  <c r="AI834" i="1"/>
  <c r="Q834" i="1"/>
  <c r="AA834" i="1"/>
  <c r="T833" i="1"/>
  <c r="Y833" i="1"/>
  <c r="V833" i="1"/>
  <c r="W833" i="1"/>
  <c r="AI833" i="1"/>
  <c r="AG833" i="1"/>
  <c r="AC832" i="1"/>
  <c r="AI832" i="1"/>
  <c r="AE832" i="1"/>
  <c r="U832" i="1"/>
  <c r="AB831" i="1"/>
  <c r="Y831" i="1"/>
  <c r="AA831" i="1"/>
  <c r="W831" i="1"/>
  <c r="AD831" i="1"/>
  <c r="AE831" i="1"/>
  <c r="S830" i="1"/>
  <c r="AE830" i="1"/>
  <c r="Z830" i="1"/>
  <c r="Y830" i="1"/>
  <c r="AC830" i="1"/>
  <c r="O829" i="1"/>
  <c r="AH829" i="1"/>
  <c r="Y829" i="1"/>
  <c r="AG829" i="1"/>
  <c r="Z829" i="1"/>
  <c r="Y872" i="1"/>
  <c r="S872" i="1"/>
  <c r="AF872" i="1"/>
  <c r="U872" i="1"/>
  <c r="AA872" i="1"/>
  <c r="AD872" i="1"/>
  <c r="R872" i="1"/>
  <c r="AE872" i="1"/>
  <c r="Q872" i="1"/>
  <c r="AH872" i="1"/>
  <c r="AC872" i="1"/>
  <c r="AI872" i="1"/>
  <c r="AB872" i="1"/>
  <c r="P872" i="1"/>
  <c r="X872" i="1"/>
  <c r="W872" i="1"/>
  <c r="T872" i="1"/>
  <c r="AG872" i="1"/>
  <c r="Z872" i="1"/>
  <c r="V872" i="1"/>
  <c r="O872" i="1"/>
  <c r="AI829" i="1" l="1"/>
  <c r="T829" i="1"/>
  <c r="AD830" i="1"/>
  <c r="O830" i="1"/>
  <c r="R830" i="1"/>
  <c r="U831" i="1"/>
  <c r="Z831" i="1"/>
  <c r="R831" i="1"/>
  <c r="X832" i="1"/>
  <c r="Q832" i="1"/>
  <c r="AH833" i="1"/>
  <c r="AD833" i="1"/>
  <c r="Q833" i="1"/>
  <c r="Z834" i="1"/>
  <c r="R834" i="1"/>
  <c r="AD834" i="1"/>
  <c r="AC835" i="1"/>
  <c r="AI835" i="1"/>
  <c r="Q836" i="1"/>
  <c r="V836" i="1"/>
  <c r="AB829" i="1"/>
  <c r="W829" i="1"/>
  <c r="P830" i="1"/>
  <c r="W830" i="1"/>
  <c r="AA830" i="1"/>
  <c r="O831" i="1"/>
  <c r="P831" i="1"/>
  <c r="AF832" i="1"/>
  <c r="AD832" i="1"/>
  <c r="O832" i="1"/>
  <c r="AF833" i="1"/>
  <c r="S833" i="1"/>
  <c r="AA833" i="1"/>
  <c r="T834" i="1"/>
  <c r="Y834" i="1"/>
  <c r="AG835" i="1"/>
  <c r="AD835" i="1"/>
  <c r="AE835" i="1"/>
  <c r="AI836" i="1"/>
  <c r="U836" i="1"/>
  <c r="X836" i="1"/>
  <c r="AD836" i="1"/>
  <c r="P836" i="1"/>
  <c r="AA836" i="1"/>
  <c r="Y836" i="1"/>
  <c r="S836" i="1"/>
  <c r="AF836" i="1"/>
  <c r="AE829" i="1"/>
  <c r="AD829" i="1"/>
  <c r="AF829" i="1"/>
  <c r="AI830" i="1"/>
  <c r="X830" i="1"/>
  <c r="AH830" i="1"/>
  <c r="S831" i="1"/>
  <c r="AC831" i="1"/>
  <c r="P832" i="1"/>
  <c r="Y832" i="1"/>
  <c r="AB832" i="1"/>
  <c r="R833" i="1"/>
  <c r="O833" i="1"/>
  <c r="P833" i="1"/>
  <c r="AC834" i="1"/>
  <c r="AB834" i="1"/>
  <c r="AH835" i="1"/>
  <c r="AA835" i="1"/>
  <c r="V835" i="1"/>
  <c r="T836" i="1"/>
  <c r="Q829" i="1"/>
  <c r="R829" i="1"/>
  <c r="AC829" i="1"/>
  <c r="U830" i="1"/>
  <c r="V830" i="1"/>
  <c r="AF830" i="1"/>
  <c r="Q831" i="1"/>
  <c r="T831" i="1"/>
  <c r="V832" i="1"/>
  <c r="Z832" i="1"/>
  <c r="W832" i="1"/>
  <c r="U833" i="1"/>
  <c r="AC833" i="1"/>
  <c r="S834" i="1"/>
  <c r="AH834" i="1"/>
  <c r="AE834" i="1"/>
  <c r="Y835" i="1"/>
  <c r="T835" i="1"/>
  <c r="U835" i="1"/>
  <c r="AE836" i="1"/>
  <c r="U829" i="1"/>
  <c r="X829" i="1"/>
  <c r="P829" i="1"/>
  <c r="AB830" i="1"/>
  <c r="Q830" i="1"/>
  <c r="AF831" i="1"/>
  <c r="AG831" i="1"/>
  <c r="V831" i="1"/>
  <c r="T832" i="1"/>
  <c r="AH832" i="1"/>
  <c r="R832" i="1"/>
  <c r="AE833" i="1"/>
  <c r="X833" i="1"/>
  <c r="X834" i="1"/>
  <c r="W834" i="1"/>
  <c r="P834" i="1"/>
  <c r="AF835" i="1"/>
  <c r="O835" i="1"/>
  <c r="AB835" i="1"/>
  <c r="W836" i="1"/>
  <c r="S829" i="1"/>
  <c r="AA829" i="1"/>
  <c r="V829" i="1"/>
  <c r="AG830" i="1"/>
  <c r="T830" i="1"/>
  <c r="AH831" i="1"/>
  <c r="X831" i="1"/>
  <c r="AI831" i="1"/>
  <c r="S832" i="1"/>
  <c r="AG832" i="1"/>
  <c r="AA832" i="1"/>
  <c r="AB833" i="1"/>
  <c r="Z833" i="1"/>
  <c r="O834" i="1"/>
  <c r="AF834" i="1"/>
  <c r="U834" i="1"/>
  <c r="Q835" i="1"/>
  <c r="P835" i="1"/>
  <c r="Z836" i="1"/>
  <c r="AG836" i="1"/>
  <c r="AE837" i="1" l="1"/>
  <c r="Q837" i="1"/>
  <c r="W837" i="1"/>
  <c r="T837" i="1"/>
  <c r="X837" i="1"/>
  <c r="AI837" i="1"/>
  <c r="AF837" i="1"/>
  <c r="AA837" i="1"/>
  <c r="O837" i="1"/>
  <c r="AD837" i="1"/>
  <c r="R837" i="1"/>
  <c r="U837" i="1"/>
  <c r="V837" i="1"/>
  <c r="AC837" i="1"/>
  <c r="S837" i="1"/>
  <c r="Z837" i="1"/>
  <c r="AH837" i="1"/>
  <c r="AB837" i="1"/>
  <c r="AG837" i="1"/>
  <c r="P837" i="1"/>
  <c r="Y837" i="1"/>
  <c r="S838" i="1" l="1"/>
  <c r="Z838" i="1"/>
  <c r="O838" i="1"/>
  <c r="AH838" i="1"/>
  <c r="AA838" i="1"/>
  <c r="Y838" i="1"/>
  <c r="Q838" i="1"/>
  <c r="AG838" i="1"/>
  <c r="P838" i="1"/>
  <c r="V838" i="1"/>
  <c r="T838" i="1"/>
  <c r="U838" i="1"/>
  <c r="X838" i="1"/>
  <c r="AC838" i="1"/>
  <c r="AD838" i="1"/>
  <c r="R838" i="1"/>
  <c r="AE838" i="1"/>
  <c r="W838" i="1"/>
  <c r="AI838" i="1"/>
  <c r="AF838" i="1"/>
  <c r="AB838" i="1"/>
  <c r="V839" i="1" l="1"/>
  <c r="AI839" i="1"/>
  <c r="W839" i="1"/>
  <c r="AF839" i="1"/>
  <c r="AB839" i="1"/>
  <c r="AA839" i="1"/>
  <c r="AC839" i="1"/>
  <c r="T839" i="1"/>
  <c r="Z839" i="1"/>
  <c r="P839" i="1"/>
  <c r="O839" i="1"/>
  <c r="AG839" i="1"/>
  <c r="R839" i="1"/>
  <c r="AD839" i="1"/>
  <c r="U839" i="1"/>
  <c r="AE839" i="1"/>
  <c r="Q839" i="1"/>
  <c r="AH839" i="1"/>
  <c r="X839" i="1"/>
  <c r="Y839" i="1"/>
  <c r="S839" i="1"/>
  <c r="AD840" i="1" l="1"/>
  <c r="O840" i="1"/>
  <c r="Y840" i="1"/>
  <c r="AI840" i="1"/>
  <c r="X840" i="1"/>
  <c r="AA840" i="1"/>
  <c r="AE840" i="1"/>
  <c r="U840" i="1"/>
  <c r="AF840" i="1"/>
  <c r="AG840" i="1"/>
  <c r="S840" i="1"/>
  <c r="R840" i="1"/>
  <c r="T840" i="1"/>
  <c r="AC840" i="1"/>
  <c r="W840" i="1"/>
  <c r="AB840" i="1"/>
  <c r="P840" i="1"/>
  <c r="AH840" i="1"/>
  <c r="Q840" i="1"/>
  <c r="V840" i="1"/>
  <c r="Z840" i="1"/>
  <c r="U841" i="1" l="1"/>
  <c r="V841" i="1"/>
  <c r="P841" i="1"/>
  <c r="X841" i="1"/>
  <c r="O841" i="1"/>
  <c r="Y841" i="1"/>
  <c r="AB841" i="1"/>
  <c r="W841" i="1"/>
  <c r="Z841" i="1"/>
  <c r="AE841" i="1"/>
  <c r="AA841" i="1"/>
  <c r="AD841" i="1"/>
  <c r="S841" i="1"/>
  <c r="AH841" i="1"/>
  <c r="AI841" i="1"/>
  <c r="AF841" i="1"/>
  <c r="R841" i="1"/>
  <c r="T841" i="1"/>
  <c r="Q841" i="1"/>
  <c r="AC841" i="1"/>
  <c r="AG841" i="1"/>
  <c r="V842" i="1" l="1"/>
  <c r="AA842" i="1"/>
  <c r="AC842" i="1"/>
  <c r="U842" i="1"/>
  <c r="X842" i="1"/>
  <c r="AD842" i="1"/>
  <c r="R842" i="1"/>
  <c r="Y842" i="1"/>
  <c r="AH842" i="1"/>
  <c r="S842" i="1"/>
  <c r="O842" i="1"/>
  <c r="T842" i="1"/>
  <c r="Q842" i="1"/>
  <c r="AB842" i="1"/>
  <c r="AG842" i="1"/>
  <c r="AI842" i="1"/>
  <c r="AF842" i="1"/>
  <c r="AE842" i="1"/>
  <c r="W842" i="1"/>
  <c r="Z842" i="1"/>
  <c r="P842" i="1"/>
  <c r="P843" i="1" l="1"/>
  <c r="S843" i="1"/>
  <c r="Q843" i="1"/>
  <c r="W843" i="1"/>
  <c r="AA843" i="1"/>
  <c r="AD843" i="1"/>
  <c r="AI843" i="1"/>
  <c r="AE843" i="1"/>
  <c r="AH843" i="1"/>
  <c r="O843" i="1"/>
  <c r="Z843" i="1"/>
  <c r="Y843" i="1"/>
  <c r="AC843" i="1"/>
  <c r="AG843" i="1"/>
  <c r="V843" i="1"/>
  <c r="T843" i="1"/>
  <c r="R843" i="1"/>
  <c r="AB843" i="1"/>
  <c r="X843" i="1"/>
  <c r="AF843" i="1"/>
  <c r="U843" i="1"/>
  <c r="AE844" i="1" l="1"/>
  <c r="T844" i="1"/>
  <c r="AB844" i="1"/>
  <c r="AI844" i="1"/>
  <c r="AD844" i="1"/>
  <c r="AG844" i="1"/>
  <c r="S844" i="1"/>
  <c r="Y844" i="1"/>
  <c r="W844" i="1"/>
  <c r="AH844" i="1"/>
  <c r="R844" i="1"/>
  <c r="P844" i="1"/>
  <c r="V844" i="1"/>
  <c r="U844" i="1"/>
  <c r="AC844" i="1"/>
  <c r="Z844" i="1"/>
  <c r="AF844" i="1"/>
  <c r="X844" i="1"/>
  <c r="AA844" i="1"/>
  <c r="O844" i="1"/>
  <c r="Q844" i="1"/>
  <c r="T845" i="1" l="1"/>
  <c r="U845" i="1"/>
  <c r="AI845" i="1"/>
  <c r="V845" i="1"/>
  <c r="AE845" i="1"/>
  <c r="Z845" i="1"/>
  <c r="P845" i="1"/>
  <c r="R845" i="1"/>
  <c r="AC845" i="1"/>
  <c r="AG845" i="1"/>
  <c r="AA845" i="1"/>
  <c r="AD845" i="1"/>
  <c r="S845" i="1"/>
  <c r="AH845" i="1"/>
  <c r="W845" i="1"/>
  <c r="O845" i="1"/>
  <c r="AB845" i="1"/>
  <c r="X845" i="1"/>
  <c r="Q845" i="1"/>
  <c r="Y845" i="1"/>
  <c r="AF845" i="1"/>
  <c r="AB846" i="1" l="1"/>
  <c r="AC846" i="1"/>
  <c r="AA846" i="1"/>
  <c r="Z846" i="1"/>
  <c r="X846" i="1"/>
  <c r="AG846" i="1"/>
  <c r="AF846" i="1"/>
  <c r="AI846" i="1"/>
  <c r="AH846" i="1"/>
  <c r="R846" i="1"/>
  <c r="V846" i="1"/>
  <c r="P846" i="1"/>
  <c r="W846" i="1"/>
  <c r="AE846" i="1"/>
  <c r="S846" i="1"/>
  <c r="U846" i="1"/>
  <c r="O846" i="1"/>
  <c r="T846" i="1"/>
  <c r="Q846" i="1"/>
  <c r="AD846" i="1"/>
  <c r="Y846" i="1"/>
  <c r="AD847" i="1" l="1"/>
  <c r="AG847" i="1"/>
  <c r="V847" i="1"/>
  <c r="AF847" i="1"/>
  <c r="U847" i="1"/>
  <c r="O847" i="1"/>
  <c r="T847" i="1"/>
  <c r="AC847" i="1"/>
  <c r="AE847" i="1"/>
  <c r="X847" i="1"/>
  <c r="AI847" i="1"/>
  <c r="S847" i="1"/>
  <c r="W847" i="1"/>
  <c r="AA847" i="1"/>
  <c r="P847" i="1"/>
  <c r="AH847" i="1"/>
  <c r="AB847" i="1"/>
  <c r="R847" i="1"/>
  <c r="Y847" i="1"/>
  <c r="Z847" i="1"/>
  <c r="Q847" i="1"/>
  <c r="T848" i="1" l="1"/>
  <c r="AB848" i="1"/>
  <c r="U848" i="1"/>
  <c r="R848" i="1"/>
  <c r="AA848" i="1"/>
  <c r="Z848" i="1"/>
  <c r="AF848" i="1"/>
  <c r="V848" i="1"/>
  <c r="S848" i="1"/>
  <c r="W848" i="1"/>
  <c r="X848" i="1"/>
  <c r="Q848" i="1"/>
  <c r="Y848" i="1"/>
  <c r="AG848" i="1"/>
  <c r="AC848" i="1"/>
  <c r="AE848" i="1"/>
  <c r="AH848" i="1"/>
  <c r="AD848" i="1"/>
  <c r="AI848" i="1"/>
  <c r="P848" i="1"/>
  <c r="O848" i="1"/>
  <c r="Z849" i="1" l="1"/>
  <c r="X849" i="1"/>
  <c r="AD849" i="1"/>
  <c r="R849" i="1"/>
  <c r="AB849" i="1"/>
  <c r="Q849" i="1"/>
  <c r="AF849" i="1"/>
  <c r="AE849" i="1"/>
  <c r="AA849" i="1"/>
  <c r="U849" i="1"/>
  <c r="AC849" i="1"/>
  <c r="P849" i="1"/>
  <c r="O849" i="1"/>
  <c r="S849" i="1"/>
  <c r="T849" i="1"/>
  <c r="V849" i="1"/>
  <c r="AI849" i="1"/>
  <c r="AH849" i="1"/>
  <c r="Y849" i="1"/>
  <c r="AG849" i="1"/>
  <c r="W849" i="1"/>
  <c r="Y850" i="1" l="1"/>
  <c r="AB850" i="1"/>
  <c r="AD850" i="1"/>
  <c r="AA850" i="1"/>
  <c r="Q850" i="1"/>
  <c r="AE850" i="1"/>
  <c r="Z850" i="1"/>
  <c r="AI850" i="1"/>
  <c r="O850" i="1"/>
  <c r="V850" i="1"/>
  <c r="AG850" i="1"/>
  <c r="R850" i="1"/>
  <c r="AC850" i="1"/>
  <c r="P850" i="1"/>
  <c r="T850" i="1"/>
  <c r="W850" i="1"/>
  <c r="AH850" i="1"/>
  <c r="S850" i="1"/>
  <c r="AF850" i="1"/>
  <c r="X850" i="1"/>
  <c r="U850" i="1"/>
  <c r="P851" i="1" l="1"/>
  <c r="AB851" i="1"/>
  <c r="T851" i="1"/>
  <c r="AA851" i="1"/>
  <c r="R851" i="1"/>
  <c r="AH851" i="1"/>
  <c r="W851" i="1"/>
  <c r="Q851" i="1"/>
  <c r="AI851" i="1"/>
  <c r="AG851" i="1"/>
  <c r="V851" i="1"/>
  <c r="Y851" i="1"/>
  <c r="U851" i="1"/>
  <c r="AE851" i="1"/>
  <c r="O851" i="1"/>
  <c r="S851" i="1"/>
  <c r="AF851" i="1"/>
  <c r="X851" i="1"/>
  <c r="Z851" i="1"/>
  <c r="AC851" i="1"/>
  <c r="AD851" i="1"/>
  <c r="Y852" i="1" l="1"/>
  <c r="S852" i="1"/>
  <c r="Q852" i="1"/>
  <c r="W852" i="1"/>
  <c r="U852" i="1"/>
  <c r="AC852" i="1"/>
  <c r="Z852" i="1"/>
  <c r="T852" i="1"/>
  <c r="AE852" i="1"/>
  <c r="X852" i="1"/>
  <c r="V852" i="1"/>
  <c r="AD852" i="1"/>
  <c r="AF852" i="1"/>
  <c r="R852" i="1"/>
  <c r="AI852" i="1"/>
  <c r="O852" i="1"/>
  <c r="AG852" i="1"/>
  <c r="P852" i="1"/>
  <c r="AH852" i="1"/>
  <c r="AB852" i="1"/>
  <c r="AA852" i="1"/>
  <c r="AF853" i="1" l="1"/>
  <c r="AD853" i="1"/>
  <c r="U853" i="1"/>
  <c r="AI853" i="1"/>
  <c r="AE853" i="1"/>
  <c r="AA853" i="1"/>
  <c r="P853" i="1"/>
  <c r="AH853" i="1"/>
  <c r="Q853" i="1"/>
  <c r="AG853" i="1"/>
  <c r="R853" i="1"/>
  <c r="X853" i="1"/>
  <c r="O853" i="1"/>
  <c r="AB853" i="1"/>
  <c r="T853" i="1"/>
  <c r="V853" i="1"/>
  <c r="AC853" i="1"/>
  <c r="W853" i="1"/>
  <c r="Z853" i="1"/>
  <c r="S853" i="1"/>
  <c r="Y853" i="1"/>
  <c r="V854" i="1" l="1"/>
  <c r="Y854" i="1"/>
  <c r="AF854" i="1"/>
  <c r="S854" i="1"/>
  <c r="X854" i="1"/>
  <c r="AB854" i="1"/>
  <c r="AE854" i="1"/>
  <c r="U854" i="1"/>
  <c r="Q854" i="1"/>
  <c r="AH854" i="1"/>
  <c r="AG854" i="1"/>
  <c r="AD854" i="1"/>
  <c r="R854" i="1"/>
  <c r="AA854" i="1"/>
  <c r="T854" i="1"/>
  <c r="P854" i="1"/>
  <c r="O854" i="1"/>
  <c r="Z854" i="1"/>
  <c r="AC854" i="1"/>
  <c r="AI854" i="1"/>
  <c r="W854" i="1"/>
  <c r="P855" i="1" l="1"/>
  <c r="AA855" i="1"/>
  <c r="AF855" i="1"/>
  <c r="AD855" i="1"/>
  <c r="S855" i="1"/>
  <c r="W855" i="1"/>
  <c r="T855" i="1"/>
  <c r="AE855" i="1"/>
  <c r="X855" i="1"/>
  <c r="R855" i="1"/>
  <c r="Q855" i="1"/>
  <c r="AB855" i="1"/>
  <c r="V855" i="1"/>
  <c r="Y855" i="1"/>
  <c r="O855" i="1"/>
  <c r="AH855" i="1"/>
  <c r="U855" i="1"/>
  <c r="AC855" i="1"/>
  <c r="Z855" i="1"/>
  <c r="AI855" i="1"/>
  <c r="AG855" i="1"/>
  <c r="O856" i="1" l="1"/>
  <c r="V856" i="1"/>
  <c r="W856" i="1"/>
  <c r="T856" i="1"/>
  <c r="Y856" i="1"/>
  <c r="S856" i="1"/>
  <c r="AH856" i="1"/>
  <c r="AE856" i="1"/>
  <c r="AB856" i="1"/>
  <c r="X856" i="1"/>
  <c r="AF856" i="1"/>
  <c r="U856" i="1"/>
  <c r="AI856" i="1"/>
  <c r="Q856" i="1"/>
  <c r="Z856" i="1"/>
  <c r="R856" i="1"/>
  <c r="AC856" i="1"/>
  <c r="AG856" i="1"/>
  <c r="P856" i="1"/>
  <c r="AA856" i="1"/>
  <c r="AD856" i="1"/>
  <c r="X857" i="1" l="1"/>
  <c r="AG857" i="1"/>
  <c r="AF857" i="1"/>
  <c r="AE857" i="1"/>
  <c r="AD857" i="1"/>
  <c r="Q857" i="1"/>
  <c r="P857" i="1"/>
  <c r="AC857" i="1"/>
  <c r="T857" i="1"/>
  <c r="R857" i="1"/>
  <c r="O857" i="1"/>
  <c r="Z857" i="1"/>
  <c r="Y857" i="1"/>
  <c r="AI857" i="1"/>
  <c r="U857" i="1"/>
  <c r="V857" i="1"/>
  <c r="W857" i="1"/>
  <c r="AB857" i="1"/>
  <c r="S857" i="1"/>
  <c r="AH857" i="1"/>
  <c r="AA857" i="1"/>
  <c r="AE858" i="1" l="1"/>
  <c r="R858" i="1"/>
  <c r="S858" i="1"/>
  <c r="Z858" i="1"/>
  <c r="AB858" i="1"/>
  <c r="O858" i="1"/>
  <c r="T858" i="1"/>
  <c r="P858" i="1"/>
  <c r="AA858" i="1"/>
  <c r="X858" i="1"/>
  <c r="Y858" i="1"/>
  <c r="AH858" i="1"/>
  <c r="U858" i="1"/>
  <c r="AF858" i="1"/>
  <c r="AG858" i="1"/>
  <c r="V858" i="1"/>
  <c r="Q858" i="1"/>
  <c r="W858" i="1"/>
  <c r="AC858" i="1"/>
  <c r="AD858" i="1"/>
  <c r="AI858" i="1"/>
  <c r="AB859" i="1" l="1"/>
  <c r="W859" i="1"/>
  <c r="U859" i="1"/>
  <c r="R859" i="1"/>
  <c r="AC859" i="1"/>
  <c r="AH859" i="1"/>
  <c r="S859" i="1"/>
  <c r="AE859" i="1"/>
  <c r="AI859" i="1"/>
  <c r="AA859" i="1"/>
  <c r="X859" i="1"/>
  <c r="Y859" i="1"/>
  <c r="Q859" i="1"/>
  <c r="O859" i="1"/>
  <c r="P859" i="1"/>
  <c r="T859" i="1"/>
  <c r="AG859" i="1"/>
  <c r="AD859" i="1"/>
  <c r="AF859" i="1"/>
  <c r="V859" i="1"/>
  <c r="Z859" i="1"/>
  <c r="AI860" i="1" l="1"/>
  <c r="AC860" i="1"/>
  <c r="AA860" i="1"/>
  <c r="AE860" i="1"/>
  <c r="X860" i="1"/>
  <c r="T860" i="1"/>
  <c r="V860" i="1"/>
  <c r="P860" i="1"/>
  <c r="AF860" i="1"/>
  <c r="AG860" i="1"/>
  <c r="R860" i="1"/>
  <c r="W860" i="1"/>
  <c r="O860" i="1"/>
  <c r="Y860" i="1"/>
  <c r="AB860" i="1"/>
  <c r="S860" i="1"/>
  <c r="U860" i="1"/>
  <c r="Z860" i="1"/>
  <c r="Q860" i="1"/>
  <c r="AD860" i="1"/>
  <c r="AH860" i="1"/>
  <c r="R861" i="1" l="1"/>
  <c r="AG861" i="1"/>
  <c r="U861" i="1"/>
  <c r="AC861" i="1"/>
  <c r="AE861" i="1"/>
  <c r="T861" i="1"/>
  <c r="AA861" i="1"/>
  <c r="AD861" i="1"/>
  <c r="AH861" i="1"/>
  <c r="Z861" i="1"/>
  <c r="AI861" i="1"/>
  <c r="P861" i="1"/>
  <c r="V861" i="1"/>
  <c r="AB861" i="1"/>
  <c r="O861" i="1"/>
  <c r="W861" i="1"/>
  <c r="Y861" i="1"/>
  <c r="Q861" i="1"/>
  <c r="AF861" i="1"/>
  <c r="X861" i="1"/>
  <c r="S861" i="1"/>
  <c r="W862" i="1" l="1"/>
  <c r="AE862" i="1"/>
  <c r="P862" i="1"/>
  <c r="Y862" i="1"/>
  <c r="AA862" i="1"/>
  <c r="Z862" i="1"/>
  <c r="X862" i="1"/>
  <c r="AH862" i="1"/>
  <c r="Q862" i="1"/>
  <c r="U862" i="1"/>
  <c r="AC862" i="1"/>
  <c r="AD862" i="1"/>
  <c r="R862" i="1"/>
  <c r="O862" i="1"/>
  <c r="T862" i="1"/>
  <c r="V862" i="1"/>
  <c r="AF862" i="1"/>
  <c r="AB862" i="1"/>
  <c r="AG862" i="1"/>
  <c r="S862" i="1"/>
  <c r="AI862" i="1"/>
  <c r="AH863" i="1" l="1"/>
  <c r="AF863" i="1"/>
  <c r="Q863" i="1"/>
  <c r="S863" i="1"/>
  <c r="T863" i="1"/>
  <c r="Z863" i="1"/>
  <c r="AE863" i="1"/>
  <c r="AI863" i="1"/>
  <c r="AC863" i="1"/>
  <c r="V863" i="1"/>
  <c r="AD863" i="1"/>
  <c r="Y863" i="1"/>
  <c r="P863" i="1"/>
  <c r="X863" i="1"/>
  <c r="U863" i="1"/>
  <c r="AB863" i="1"/>
  <c r="W863" i="1"/>
  <c r="O863" i="1"/>
  <c r="AG863" i="1"/>
  <c r="AA863" i="1"/>
  <c r="R863" i="1"/>
  <c r="AG864" i="1" l="1"/>
  <c r="AD864" i="1"/>
  <c r="AF864" i="1"/>
  <c r="AC864" i="1"/>
  <c r="T864" i="1"/>
  <c r="S864" i="1"/>
  <c r="AA864" i="1"/>
  <c r="Z864" i="1"/>
  <c r="AI864" i="1"/>
  <c r="X864" i="1"/>
  <c r="W864" i="1"/>
  <c r="Q864" i="1"/>
  <c r="V864" i="1"/>
  <c r="AB864" i="1"/>
  <c r="O864" i="1"/>
  <c r="Y864" i="1"/>
  <c r="U864" i="1"/>
  <c r="P864" i="1"/>
  <c r="AH864" i="1"/>
  <c r="R864" i="1"/>
  <c r="AE864" i="1"/>
  <c r="V865" i="1" l="1"/>
  <c r="AE865" i="1"/>
  <c r="Z865" i="1"/>
  <c r="Q865" i="1"/>
  <c r="W865" i="1"/>
  <c r="Y865" i="1"/>
  <c r="T865" i="1"/>
  <c r="U865" i="1"/>
  <c r="P865" i="1"/>
  <c r="AC865" i="1"/>
  <c r="O865" i="1"/>
  <c r="X865" i="1"/>
  <c r="AF865" i="1"/>
  <c r="AI865" i="1"/>
  <c r="AA865" i="1"/>
  <c r="AG865" i="1"/>
  <c r="AD865" i="1"/>
  <c r="AH865" i="1"/>
  <c r="AB865" i="1"/>
  <c r="R865" i="1"/>
  <c r="S865" i="1"/>
  <c r="AH866" i="1" l="1"/>
  <c r="P866" i="1"/>
  <c r="AD866" i="1"/>
  <c r="V866" i="1"/>
  <c r="AA866" i="1"/>
  <c r="Q866" i="1"/>
  <c r="U866" i="1"/>
  <c r="R866" i="1"/>
  <c r="Y866" i="1"/>
  <c r="AI866" i="1"/>
  <c r="AC866" i="1"/>
  <c r="Z866" i="1"/>
  <c r="S866" i="1"/>
  <c r="T866" i="1"/>
  <c r="AF866" i="1"/>
  <c r="X866" i="1"/>
  <c r="AB866" i="1"/>
  <c r="AG866" i="1"/>
  <c r="O866" i="1"/>
  <c r="W866" i="1"/>
  <c r="AE866" i="1"/>
  <c r="P867" i="1" l="1"/>
  <c r="Z867" i="1"/>
  <c r="O867" i="1"/>
  <c r="R867" i="1"/>
  <c r="T867" i="1"/>
  <c r="AH867" i="1"/>
  <c r="S867" i="1"/>
  <c r="AG867" i="1"/>
  <c r="AI867" i="1"/>
  <c r="AA867" i="1"/>
  <c r="AC867" i="1"/>
  <c r="Y867" i="1"/>
  <c r="AD867" i="1"/>
  <c r="U867" i="1"/>
  <c r="AF867" i="1"/>
  <c r="AE867" i="1"/>
  <c r="V867" i="1"/>
  <c r="Q867" i="1"/>
  <c r="W867" i="1"/>
  <c r="AB867" i="1"/>
  <c r="X867" i="1"/>
  <c r="X868" i="1" l="1"/>
  <c r="AE868" i="1"/>
  <c r="O868" i="1"/>
  <c r="Q868" i="1"/>
  <c r="AH868" i="1"/>
  <c r="P868" i="1"/>
  <c r="AG868" i="1"/>
  <c r="Y868" i="1"/>
  <c r="R868" i="1"/>
  <c r="AI868" i="1"/>
  <c r="U868" i="1"/>
  <c r="AF868" i="1"/>
  <c r="AA868" i="1"/>
  <c r="W868" i="1"/>
  <c r="V868" i="1"/>
  <c r="S868" i="1"/>
  <c r="AC868" i="1"/>
  <c r="AD868" i="1"/>
  <c r="T868" i="1"/>
  <c r="Z868" i="1"/>
  <c r="AB868" i="1"/>
  <c r="S869" i="1" l="1"/>
  <c r="P869" i="1"/>
  <c r="U869" i="1"/>
  <c r="AA869" i="1"/>
  <c r="Y869" i="1"/>
  <c r="T869" i="1"/>
  <c r="AI869" i="1"/>
  <c r="AH869" i="1"/>
  <c r="AF869" i="1"/>
  <c r="V869" i="1"/>
  <c r="O869" i="1"/>
  <c r="AB869" i="1"/>
  <c r="R869" i="1"/>
  <c r="W869" i="1"/>
  <c r="Q869" i="1"/>
  <c r="AC869" i="1"/>
  <c r="AG869" i="1"/>
  <c r="Z869" i="1"/>
  <c r="X869" i="1"/>
  <c r="AE869" i="1"/>
  <c r="AD869" i="1"/>
  <c r="X870" i="1" l="1"/>
  <c r="Y870" i="1"/>
  <c r="AC870" i="1"/>
  <c r="AI870" i="1"/>
  <c r="U870" i="1"/>
  <c r="O870" i="1"/>
  <c r="AG870" i="1"/>
  <c r="AF870" i="1"/>
  <c r="Q870" i="1"/>
  <c r="V870" i="1"/>
  <c r="AB870" i="1"/>
  <c r="AD870" i="1"/>
  <c r="S870" i="1"/>
  <c r="P870" i="1"/>
  <c r="AE870" i="1"/>
  <c r="R870" i="1"/>
  <c r="AA870" i="1"/>
  <c r="Z870" i="1"/>
  <c r="W870" i="1"/>
  <c r="T870" i="1"/>
  <c r="AH870" i="1"/>
  <c r="AH871" i="1" l="1"/>
  <c r="AB871" i="1"/>
  <c r="Y871" i="1"/>
  <c r="R871" i="1"/>
  <c r="AC871" i="1"/>
  <c r="AI871" i="1"/>
  <c r="AF871" i="1"/>
  <c r="AG871" i="1"/>
  <c r="AD871" i="1"/>
  <c r="W871" i="1"/>
  <c r="T871" i="1"/>
  <c r="O871" i="1"/>
  <c r="X871" i="1"/>
  <c r="S871" i="1"/>
  <c r="AA871" i="1"/>
  <c r="U871" i="1"/>
  <c r="Q871" i="1"/>
  <c r="V871" i="1"/>
  <c r="P871" i="1"/>
  <c r="AE871" i="1"/>
  <c r="Z871" i="1"/>
  <c r="AE1017" i="1" l="1"/>
  <c r="Y1017" i="1"/>
  <c r="AG1017" i="1"/>
  <c r="AC1017" i="1"/>
  <c r="O1017" i="1"/>
  <c r="T1017" i="1"/>
  <c r="AH1017" i="1"/>
  <c r="Q1017" i="1"/>
  <c r="AD1017" i="1"/>
  <c r="AA1017" i="1"/>
  <c r="P1017" i="1"/>
  <c r="AF1017" i="1"/>
  <c r="U1017" i="1"/>
  <c r="R1017" i="1"/>
  <c r="S1017" i="1"/>
  <c r="Z1017" i="1"/>
  <c r="AB1017" i="1"/>
  <c r="X1017" i="1"/>
  <c r="AI1017" i="1"/>
  <c r="V1017" i="1"/>
  <c r="W1017" i="1"/>
  <c r="Q873" i="1" l="1"/>
  <c r="U873" i="1"/>
  <c r="O873" i="1"/>
  <c r="AE873" i="1"/>
  <c r="W873" i="1"/>
  <c r="AI873" i="1"/>
  <c r="V873" i="1"/>
  <c r="X873" i="1"/>
  <c r="AH873" i="1"/>
  <c r="T873" i="1"/>
  <c r="Y873" i="1"/>
  <c r="Z873" i="1"/>
  <c r="AB873" i="1"/>
  <c r="R873" i="1"/>
  <c r="P873" i="1"/>
  <c r="AC873" i="1"/>
  <c r="AG873" i="1"/>
  <c r="AA873" i="1"/>
  <c r="AD873" i="1"/>
  <c r="AF873" i="1"/>
  <c r="S873" i="1"/>
  <c r="P874" i="1" l="1"/>
  <c r="AA874" i="1"/>
  <c r="V874" i="1"/>
  <c r="O874" i="1"/>
  <c r="R874" i="1"/>
  <c r="Q874" i="1"/>
  <c r="AH874" i="1"/>
  <c r="AC874" i="1"/>
  <c r="Z874" i="1"/>
  <c r="X874" i="1"/>
  <c r="AB874" i="1"/>
  <c r="AI874" i="1"/>
  <c r="U874" i="1"/>
  <c r="T874" i="1"/>
  <c r="AF874" i="1"/>
  <c r="Y874" i="1"/>
  <c r="W874" i="1"/>
  <c r="AE874" i="1"/>
  <c r="S874" i="1"/>
  <c r="AG874" i="1"/>
  <c r="AD874" i="1"/>
  <c r="AD875" i="1" l="1"/>
  <c r="AE875" i="1"/>
  <c r="Y875" i="1"/>
  <c r="AI875" i="1"/>
  <c r="O875" i="1"/>
  <c r="AF875" i="1"/>
  <c r="Z875" i="1"/>
  <c r="AB875" i="1"/>
  <c r="T875" i="1"/>
  <c r="P875" i="1"/>
  <c r="R875" i="1"/>
  <c r="AG875" i="1"/>
  <c r="V875" i="1"/>
  <c r="AA875" i="1"/>
  <c r="AH875" i="1"/>
  <c r="AC875" i="1"/>
  <c r="U875" i="1"/>
  <c r="S875" i="1"/>
  <c r="X875" i="1"/>
  <c r="W875" i="1"/>
  <c r="Q875" i="1"/>
  <c r="AE876" i="1" l="1"/>
  <c r="AD876" i="1"/>
  <c r="Q876" i="1"/>
  <c r="V876" i="1"/>
  <c r="AB876" i="1"/>
  <c r="O876" i="1"/>
  <c r="AF876" i="1"/>
  <c r="AI876" i="1"/>
  <c r="AG876" i="1"/>
  <c r="R876" i="1"/>
  <c r="AA876" i="1"/>
  <c r="S876" i="1"/>
  <c r="AH876" i="1"/>
  <c r="W876" i="1"/>
  <c r="T876" i="1"/>
  <c r="X876" i="1"/>
  <c r="AC876" i="1"/>
  <c r="Y876" i="1"/>
  <c r="U876" i="1"/>
  <c r="Z876" i="1"/>
  <c r="P876" i="1"/>
  <c r="AC877" i="1" l="1"/>
  <c r="X877" i="1"/>
  <c r="AA877" i="1"/>
  <c r="U877" i="1"/>
  <c r="AI877" i="1"/>
  <c r="S877" i="1"/>
  <c r="AG877" i="1"/>
  <c r="AF877" i="1"/>
  <c r="Q877" i="1"/>
  <c r="AE877" i="1"/>
  <c r="P877" i="1"/>
  <c r="O877" i="1"/>
  <c r="AD877" i="1"/>
  <c r="W877" i="1"/>
  <c r="V877" i="1"/>
  <c r="T877" i="1"/>
  <c r="AH877" i="1"/>
  <c r="Y877" i="1"/>
  <c r="R877" i="1"/>
  <c r="AB877" i="1"/>
  <c r="Z877" i="1"/>
  <c r="W878" i="1" l="1"/>
  <c r="AC878" i="1"/>
  <c r="O878" i="1"/>
  <c r="Y878" i="1"/>
  <c r="AD878" i="1"/>
  <c r="AB878" i="1"/>
  <c r="V878" i="1"/>
  <c r="AI878" i="1"/>
  <c r="X878" i="1"/>
  <c r="AF878" i="1"/>
  <c r="U878" i="1"/>
  <c r="T878" i="1"/>
  <c r="AE878" i="1"/>
  <c r="AA878" i="1"/>
  <c r="Z878" i="1"/>
  <c r="AH878" i="1"/>
  <c r="S878" i="1"/>
  <c r="P878" i="1"/>
  <c r="Q878" i="1"/>
  <c r="R878" i="1"/>
  <c r="AG878" i="1"/>
  <c r="R879" i="1" l="1"/>
  <c r="AH879" i="1"/>
  <c r="AC879" i="1"/>
  <c r="AD879" i="1"/>
  <c r="Y879" i="1"/>
  <c r="T879" i="1"/>
  <c r="V879" i="1"/>
  <c r="Z879" i="1"/>
  <c r="Q879" i="1"/>
  <c r="S879" i="1"/>
  <c r="O879" i="1"/>
  <c r="AG879" i="1"/>
  <c r="AE879" i="1"/>
  <c r="AI879" i="1"/>
  <c r="AA879" i="1"/>
  <c r="P879" i="1"/>
  <c r="X879" i="1"/>
  <c r="U879" i="1"/>
  <c r="AF879" i="1"/>
  <c r="W879" i="1"/>
  <c r="AB879" i="1"/>
  <c r="P880" i="1" l="1"/>
  <c r="AB880" i="1"/>
  <c r="AG880" i="1"/>
  <c r="AD880" i="1"/>
  <c r="Z880" i="1"/>
  <c r="R880" i="1"/>
  <c r="Y880" i="1"/>
  <c r="AA880" i="1"/>
  <c r="AC880" i="1"/>
  <c r="O880" i="1"/>
  <c r="X880" i="1"/>
  <c r="S880" i="1"/>
  <c r="U880" i="1"/>
  <c r="AE880" i="1"/>
  <c r="AH880" i="1"/>
  <c r="AI880" i="1"/>
  <c r="T880" i="1"/>
  <c r="Q880" i="1"/>
  <c r="V880" i="1"/>
  <c r="AF880" i="1"/>
  <c r="W880" i="1"/>
  <c r="T881" i="1" l="1"/>
  <c r="U881" i="1"/>
  <c r="O881" i="1"/>
  <c r="Z881" i="1"/>
  <c r="AF881" i="1"/>
  <c r="AI881" i="1"/>
  <c r="AA881" i="1"/>
  <c r="S881" i="1"/>
  <c r="AH881" i="1"/>
  <c r="AC881" i="1"/>
  <c r="AG881" i="1"/>
  <c r="AE881" i="1"/>
  <c r="AD881" i="1"/>
  <c r="Q881" i="1"/>
  <c r="Y881" i="1"/>
  <c r="W881" i="1"/>
  <c r="AB881" i="1"/>
  <c r="P881" i="1"/>
  <c r="X881" i="1"/>
  <c r="V881" i="1"/>
  <c r="R881" i="1"/>
  <c r="P882" i="1" l="1"/>
  <c r="AA882" i="1"/>
  <c r="AI882" i="1"/>
  <c r="V882" i="1"/>
  <c r="AH882" i="1"/>
  <c r="AE882" i="1"/>
  <c r="Q882" i="1"/>
  <c r="AF882" i="1"/>
  <c r="AG882" i="1"/>
  <c r="O882" i="1"/>
  <c r="U882" i="1"/>
  <c r="S882" i="1"/>
  <c r="R882" i="1"/>
  <c r="W882" i="1"/>
  <c r="T882" i="1"/>
  <c r="AB882" i="1"/>
  <c r="X882" i="1"/>
  <c r="AD882" i="1"/>
  <c r="Y882" i="1"/>
  <c r="AC882" i="1"/>
  <c r="Z882" i="1"/>
  <c r="Q883" i="1" l="1"/>
  <c r="O883" i="1"/>
  <c r="AH883" i="1"/>
  <c r="P883" i="1"/>
  <c r="Z883" i="1"/>
  <c r="V883" i="1"/>
  <c r="T883" i="1"/>
  <c r="R883" i="1"/>
  <c r="AG883" i="1"/>
  <c r="AF883" i="1"/>
  <c r="AA883" i="1"/>
  <c r="AC883" i="1"/>
  <c r="AE883" i="1"/>
  <c r="AI883" i="1"/>
  <c r="U883" i="1"/>
  <c r="Y883" i="1"/>
  <c r="S883" i="1"/>
  <c r="AB883" i="1"/>
  <c r="W883" i="1"/>
  <c r="X883" i="1"/>
  <c r="AD883" i="1"/>
  <c r="R884" i="1" l="1"/>
  <c r="AF884" i="1"/>
  <c r="AA884" i="1"/>
  <c r="AH884" i="1"/>
  <c r="P884" i="1"/>
  <c r="AG884" i="1"/>
  <c r="Y884" i="1"/>
  <c r="Q884" i="1"/>
  <c r="O884" i="1"/>
  <c r="AD884" i="1"/>
  <c r="AC884" i="1"/>
  <c r="S884" i="1"/>
  <c r="U884" i="1"/>
  <c r="AE884" i="1"/>
  <c r="W884" i="1"/>
  <c r="AB884" i="1"/>
  <c r="Z884" i="1"/>
  <c r="V884" i="1"/>
  <c r="AI884" i="1"/>
  <c r="X884" i="1"/>
  <c r="T884" i="1"/>
  <c r="Y885" i="1" l="1"/>
  <c r="AG885" i="1"/>
  <c r="U885" i="1"/>
  <c r="X885" i="1"/>
  <c r="Q885" i="1"/>
  <c r="AF885" i="1"/>
  <c r="AD885" i="1"/>
  <c r="AI885" i="1"/>
  <c r="Z885" i="1"/>
  <c r="AE885" i="1"/>
  <c r="AC885" i="1"/>
  <c r="P885" i="1"/>
  <c r="AH885" i="1"/>
  <c r="AB885" i="1"/>
  <c r="T885" i="1"/>
  <c r="AA885" i="1"/>
  <c r="R885" i="1"/>
  <c r="W885" i="1"/>
  <c r="O885" i="1"/>
  <c r="S885" i="1"/>
  <c r="V885" i="1"/>
  <c r="AC886" i="1" l="1"/>
  <c r="O886" i="1"/>
  <c r="AE886" i="1"/>
  <c r="AG886" i="1"/>
  <c r="AI886" i="1"/>
  <c r="Q886" i="1"/>
  <c r="V886" i="1"/>
  <c r="AF886" i="1"/>
  <c r="S886" i="1"/>
  <c r="AB886" i="1"/>
  <c r="T886" i="1"/>
  <c r="P886" i="1"/>
  <c r="X886" i="1"/>
  <c r="W886" i="1"/>
  <c r="AD886" i="1"/>
  <c r="AA886" i="1"/>
  <c r="R886" i="1"/>
  <c r="Y886" i="1"/>
  <c r="U886" i="1"/>
  <c r="AH886" i="1"/>
  <c r="Z886" i="1"/>
  <c r="V887" i="1" l="1"/>
  <c r="X887" i="1"/>
  <c r="Y887" i="1"/>
  <c r="U887" i="1"/>
  <c r="AB887" i="1"/>
  <c r="AI887" i="1"/>
  <c r="P887" i="1"/>
  <c r="AC887" i="1"/>
  <c r="AG887" i="1"/>
  <c r="AF887" i="1"/>
  <c r="T887" i="1"/>
  <c r="AE887" i="1"/>
  <c r="AH887" i="1"/>
  <c r="S887" i="1"/>
  <c r="AA887" i="1"/>
  <c r="AD887" i="1"/>
  <c r="Q887" i="1"/>
  <c r="R887" i="1"/>
  <c r="Z887" i="1"/>
  <c r="W887" i="1"/>
  <c r="O887" i="1"/>
  <c r="R888" i="1" l="1"/>
  <c r="AB888" i="1"/>
  <c r="AH888" i="1"/>
  <c r="W888" i="1"/>
  <c r="AI888" i="1"/>
  <c r="T888" i="1"/>
  <c r="AG888" i="1"/>
  <c r="O888" i="1"/>
  <c r="AD888" i="1"/>
  <c r="Q888" i="1"/>
  <c r="Y888" i="1"/>
  <c r="AE888" i="1"/>
  <c r="P888" i="1"/>
  <c r="V888" i="1"/>
  <c r="U888" i="1"/>
  <c r="AA888" i="1"/>
  <c r="Z888" i="1"/>
  <c r="S888" i="1"/>
  <c r="AC888" i="1"/>
  <c r="AF888" i="1"/>
  <c r="X888" i="1"/>
  <c r="AE889" i="1" l="1"/>
  <c r="S889" i="1"/>
  <c r="AI889" i="1"/>
  <c r="R889" i="1"/>
  <c r="AG889" i="1"/>
  <c r="AH889" i="1"/>
  <c r="AC889" i="1"/>
  <c r="AD889" i="1"/>
  <c r="O889" i="1"/>
  <c r="Q889" i="1"/>
  <c r="P889" i="1"/>
  <c r="V889" i="1"/>
  <c r="W889" i="1"/>
  <c r="U889" i="1"/>
  <c r="Z889" i="1"/>
  <c r="Y889" i="1"/>
  <c r="AB889" i="1"/>
  <c r="T889" i="1"/>
  <c r="AF889" i="1"/>
  <c r="AA889" i="1"/>
  <c r="X889" i="1"/>
  <c r="T890" i="1" l="1"/>
  <c r="X890" i="1"/>
  <c r="AE890" i="1"/>
  <c r="AA890" i="1"/>
  <c r="S890" i="1"/>
  <c r="V890" i="1"/>
  <c r="AF890" i="1"/>
  <c r="U890" i="1"/>
  <c r="O890" i="1"/>
  <c r="Z890" i="1"/>
  <c r="AG890" i="1"/>
  <c r="AC890" i="1"/>
  <c r="AD890" i="1"/>
  <c r="AI890" i="1"/>
  <c r="AH890" i="1"/>
  <c r="Y890" i="1"/>
  <c r="Q890" i="1"/>
  <c r="AB890" i="1"/>
  <c r="W890" i="1"/>
  <c r="P890" i="1"/>
  <c r="R890" i="1"/>
  <c r="W891" i="1" l="1"/>
  <c r="AG891" i="1"/>
  <c r="Y891" i="1"/>
  <c r="AD891" i="1"/>
  <c r="U891" i="1"/>
  <c r="AI891" i="1"/>
  <c r="AC891" i="1"/>
  <c r="AF891" i="1"/>
  <c r="AE891" i="1"/>
  <c r="Q891" i="1"/>
  <c r="AB891" i="1"/>
  <c r="X891" i="1"/>
  <c r="S891" i="1"/>
  <c r="Z891" i="1"/>
  <c r="AH891" i="1"/>
  <c r="P891" i="1"/>
  <c r="V891" i="1"/>
  <c r="O891" i="1"/>
  <c r="R891" i="1"/>
  <c r="T891" i="1"/>
  <c r="AA891" i="1"/>
  <c r="T892" i="1" l="1"/>
  <c r="S892" i="1"/>
  <c r="Z892" i="1"/>
  <c r="X892" i="1"/>
  <c r="AC892" i="1"/>
  <c r="AG892" i="1"/>
  <c r="Q892" i="1"/>
  <c r="AE892" i="1"/>
  <c r="O892" i="1"/>
  <c r="V892" i="1"/>
  <c r="AD892" i="1"/>
  <c r="P892" i="1"/>
  <c r="AF892" i="1"/>
  <c r="AB892" i="1"/>
  <c r="AH892" i="1"/>
  <c r="AA892" i="1"/>
  <c r="W892" i="1"/>
  <c r="R892" i="1"/>
  <c r="U892" i="1"/>
  <c r="Y892" i="1"/>
  <c r="AI892" i="1"/>
  <c r="Q893" i="1" l="1"/>
  <c r="AB893" i="1"/>
  <c r="W893" i="1"/>
  <c r="X893" i="1"/>
  <c r="AC893" i="1"/>
  <c r="Z893" i="1"/>
  <c r="Y893" i="1"/>
  <c r="AA893" i="1"/>
  <c r="AG893" i="1"/>
  <c r="AE893" i="1"/>
  <c r="AH893" i="1"/>
  <c r="P893" i="1"/>
  <c r="AD893" i="1"/>
  <c r="AF893" i="1"/>
  <c r="O893" i="1"/>
  <c r="T893" i="1"/>
  <c r="R893" i="1"/>
  <c r="S893" i="1"/>
  <c r="V893" i="1"/>
  <c r="U893" i="1"/>
  <c r="AI893" i="1"/>
  <c r="V894" i="1" l="1"/>
  <c r="AB894" i="1"/>
  <c r="S894" i="1"/>
  <c r="X894" i="1"/>
  <c r="P894" i="1"/>
  <c r="AE894" i="1"/>
  <c r="O894" i="1"/>
  <c r="Z894" i="1"/>
  <c r="R894" i="1"/>
  <c r="AC894" i="1"/>
  <c r="AD894" i="1"/>
  <c r="AH894" i="1"/>
  <c r="AF894" i="1"/>
  <c r="Y894" i="1"/>
  <c r="AI894" i="1"/>
  <c r="W894" i="1"/>
  <c r="AG894" i="1"/>
  <c r="T894" i="1"/>
  <c r="AA894" i="1"/>
  <c r="U894" i="1"/>
  <c r="Q894" i="1"/>
  <c r="AH895" i="1" l="1"/>
  <c r="AA895" i="1"/>
  <c r="X895" i="1"/>
  <c r="R895" i="1"/>
  <c r="S895" i="1"/>
  <c r="W895" i="1"/>
  <c r="V895" i="1"/>
  <c r="Z895" i="1"/>
  <c r="AC895" i="1"/>
  <c r="AB895" i="1"/>
  <c r="Y895" i="1"/>
  <c r="O895" i="1"/>
  <c r="T895" i="1"/>
  <c r="AE895" i="1"/>
  <c r="Q895" i="1"/>
  <c r="P895" i="1"/>
  <c r="AI895" i="1"/>
  <c r="AD895" i="1"/>
  <c r="U895" i="1"/>
  <c r="AF895" i="1"/>
  <c r="AG895" i="1"/>
  <c r="O896" i="1" l="1"/>
  <c r="AE896" i="1"/>
  <c r="V896" i="1"/>
  <c r="Y896" i="1"/>
  <c r="P896" i="1"/>
  <c r="S896" i="1"/>
  <c r="Q896" i="1"/>
  <c r="AG896" i="1"/>
  <c r="AF896" i="1"/>
  <c r="AA896" i="1"/>
  <c r="R896" i="1"/>
  <c r="AB896" i="1"/>
  <c r="Z896" i="1"/>
  <c r="T896" i="1"/>
  <c r="AH896" i="1"/>
  <c r="AI896" i="1"/>
  <c r="AD896" i="1"/>
  <c r="AC896" i="1"/>
  <c r="W896" i="1"/>
  <c r="X896" i="1"/>
  <c r="U896" i="1"/>
  <c r="V897" i="1" l="1"/>
  <c r="U897" i="1"/>
  <c r="O897" i="1"/>
  <c r="Q897" i="1"/>
  <c r="W897" i="1"/>
  <c r="AI897" i="1"/>
  <c r="T897" i="1"/>
  <c r="X897" i="1"/>
  <c r="AH897" i="1"/>
  <c r="R897" i="1"/>
  <c r="AB897" i="1"/>
  <c r="Z897" i="1"/>
  <c r="AC897" i="1"/>
  <c r="AD897" i="1"/>
  <c r="P897" i="1"/>
  <c r="S897" i="1"/>
  <c r="AF897" i="1"/>
  <c r="AE897" i="1"/>
  <c r="AA897" i="1"/>
  <c r="Y897" i="1"/>
  <c r="AG897" i="1"/>
  <c r="V898" i="1" l="1"/>
  <c r="T898" i="1"/>
  <c r="Q898" i="1"/>
  <c r="P898" i="1"/>
  <c r="AA898" i="1"/>
  <c r="R898" i="1"/>
  <c r="Y898" i="1"/>
  <c r="AG898" i="1"/>
  <c r="AI898" i="1"/>
  <c r="AH898" i="1"/>
  <c r="AF898" i="1"/>
  <c r="AE898" i="1"/>
  <c r="O898" i="1"/>
  <c r="W898" i="1"/>
  <c r="X898" i="1"/>
  <c r="AC898" i="1"/>
  <c r="AB898" i="1"/>
  <c r="AD898" i="1"/>
  <c r="S898" i="1"/>
  <c r="U898" i="1"/>
  <c r="Z898" i="1"/>
  <c r="AB899" i="1" l="1"/>
  <c r="O899" i="1"/>
  <c r="Y899" i="1"/>
  <c r="AI899" i="1"/>
  <c r="AH899" i="1"/>
  <c r="R899" i="1"/>
  <c r="X899" i="1"/>
  <c r="Q899" i="1"/>
  <c r="Z899" i="1"/>
  <c r="S899" i="1"/>
  <c r="P899" i="1"/>
  <c r="T899" i="1"/>
  <c r="AA899" i="1"/>
  <c r="AE899" i="1"/>
  <c r="AC899" i="1"/>
  <c r="AF899" i="1"/>
  <c r="V899" i="1"/>
  <c r="U899" i="1"/>
  <c r="AG899" i="1"/>
  <c r="W899" i="1"/>
  <c r="AD899" i="1"/>
  <c r="AB900" i="1" l="1"/>
  <c r="S900" i="1"/>
  <c r="V900" i="1"/>
  <c r="O900" i="1"/>
  <c r="Z900" i="1"/>
  <c r="X900" i="1"/>
  <c r="T900" i="1"/>
  <c r="AD900" i="1"/>
  <c r="AH900" i="1"/>
  <c r="W900" i="1"/>
  <c r="AG900" i="1"/>
  <c r="P900" i="1"/>
  <c r="AF900" i="1"/>
  <c r="AI900" i="1"/>
  <c r="Y900" i="1"/>
  <c r="AC900" i="1"/>
  <c r="AA900" i="1"/>
  <c r="U900" i="1"/>
  <c r="R900" i="1"/>
  <c r="Q900" i="1"/>
  <c r="AE900" i="1"/>
  <c r="AC901" i="1" l="1"/>
  <c r="AD901" i="1"/>
  <c r="AH901" i="1"/>
  <c r="Z901" i="1"/>
  <c r="AF901" i="1"/>
  <c r="AI901" i="1"/>
  <c r="Q901" i="1"/>
  <c r="O901" i="1"/>
  <c r="V901" i="1"/>
  <c r="P901" i="1"/>
  <c r="Y901" i="1"/>
  <c r="AG901" i="1"/>
  <c r="S901" i="1"/>
  <c r="R901" i="1"/>
  <c r="AB901" i="1"/>
  <c r="T901" i="1"/>
  <c r="AE901" i="1"/>
  <c r="U901" i="1"/>
  <c r="W901" i="1"/>
  <c r="AA901" i="1"/>
  <c r="X901" i="1"/>
  <c r="Y902" i="1" l="1"/>
  <c r="P902" i="1"/>
  <c r="S902" i="1"/>
  <c r="U902" i="1"/>
  <c r="Z902" i="1"/>
  <c r="R902" i="1"/>
  <c r="T902" i="1"/>
  <c r="Q902" i="1"/>
  <c r="AG902" i="1"/>
  <c r="AI902" i="1"/>
  <c r="V902" i="1"/>
  <c r="AF902" i="1"/>
  <c r="W902" i="1"/>
  <c r="AA902" i="1"/>
  <c r="O902" i="1"/>
  <c r="AH902" i="1"/>
  <c r="X902" i="1"/>
  <c r="AC902" i="1"/>
  <c r="AB902" i="1"/>
  <c r="AE902" i="1"/>
  <c r="AD902" i="1"/>
  <c r="V903" i="1" l="1"/>
  <c r="AG903" i="1"/>
  <c r="S903" i="1"/>
  <c r="U903" i="1"/>
  <c r="AI903" i="1"/>
  <c r="O903" i="1"/>
  <c r="P903" i="1"/>
  <c r="AD903" i="1"/>
  <c r="Y903" i="1"/>
  <c r="Q903" i="1"/>
  <c r="X903" i="1"/>
  <c r="W903" i="1"/>
  <c r="Z903" i="1"/>
  <c r="R903" i="1"/>
  <c r="AA903" i="1"/>
  <c r="AH903" i="1"/>
  <c r="AB903" i="1"/>
  <c r="AF903" i="1"/>
  <c r="AC903" i="1"/>
  <c r="AE903" i="1"/>
  <c r="T903" i="1"/>
  <c r="Q904" i="1" l="1"/>
  <c r="R904" i="1"/>
  <c r="AB904" i="1"/>
  <c r="AI904" i="1"/>
  <c r="AA904" i="1"/>
  <c r="Z904" i="1"/>
  <c r="O904" i="1"/>
  <c r="AH904" i="1"/>
  <c r="AD904" i="1"/>
  <c r="V904" i="1"/>
  <c r="AE904" i="1"/>
  <c r="T904" i="1"/>
  <c r="P904" i="1"/>
  <c r="S904" i="1"/>
  <c r="U904" i="1"/>
  <c r="AF904" i="1"/>
  <c r="AC904" i="1"/>
  <c r="X904" i="1"/>
  <c r="W904" i="1"/>
  <c r="AG904" i="1"/>
  <c r="Y904" i="1"/>
  <c r="AA905" i="1" l="1"/>
  <c r="AC905" i="1"/>
  <c r="X905" i="1"/>
  <c r="U905" i="1"/>
  <c r="AF905" i="1"/>
  <c r="AI905" i="1"/>
  <c r="Z905" i="1"/>
  <c r="S905" i="1"/>
  <c r="AH905" i="1"/>
  <c r="AE905" i="1"/>
  <c r="AG905" i="1"/>
  <c r="R905" i="1"/>
  <c r="O905" i="1"/>
  <c r="T905" i="1"/>
  <c r="Q905" i="1"/>
  <c r="P905" i="1"/>
  <c r="AB905" i="1"/>
  <c r="V905" i="1"/>
  <c r="Y905" i="1"/>
  <c r="AD905" i="1"/>
  <c r="W905" i="1"/>
  <c r="AF906" i="1" l="1"/>
  <c r="U906" i="1"/>
  <c r="Q906" i="1"/>
  <c r="V906" i="1"/>
  <c r="Y906" i="1"/>
  <c r="Z906" i="1"/>
  <c r="AG906" i="1"/>
  <c r="W906" i="1"/>
  <c r="AE906" i="1"/>
  <c r="T906" i="1"/>
  <c r="AB906" i="1"/>
  <c r="R906" i="1"/>
  <c r="X906" i="1"/>
  <c r="AI906" i="1"/>
  <c r="AA906" i="1"/>
  <c r="P906" i="1"/>
  <c r="O906" i="1"/>
  <c r="AH906" i="1"/>
  <c r="AD906" i="1"/>
  <c r="AC906" i="1"/>
  <c r="S906" i="1"/>
  <c r="P907" i="1" l="1"/>
  <c r="AG907" i="1"/>
  <c r="Y907" i="1"/>
  <c r="U907" i="1"/>
  <c r="V907" i="1"/>
  <c r="AD907" i="1"/>
  <c r="AE907" i="1"/>
  <c r="AI907" i="1"/>
  <c r="S907" i="1"/>
  <c r="AB907" i="1"/>
  <c r="W907" i="1"/>
  <c r="O907" i="1"/>
  <c r="Q907" i="1"/>
  <c r="AC907" i="1"/>
  <c r="AH907" i="1"/>
  <c r="Z907" i="1"/>
  <c r="R907" i="1"/>
  <c r="T907" i="1"/>
  <c r="AA907" i="1"/>
  <c r="X907" i="1"/>
  <c r="AF907" i="1"/>
  <c r="R908" i="1" l="1"/>
  <c r="V908" i="1"/>
  <c r="S908" i="1"/>
  <c r="Y908" i="1"/>
  <c r="X908" i="1"/>
  <c r="AE908" i="1"/>
  <c r="Z908" i="1"/>
  <c r="Q908" i="1"/>
  <c r="AB908" i="1"/>
  <c r="U908" i="1"/>
  <c r="AC908" i="1"/>
  <c r="AA908" i="1"/>
  <c r="T908" i="1"/>
  <c r="AD908" i="1"/>
  <c r="P908" i="1"/>
  <c r="AI908" i="1"/>
  <c r="AH908" i="1"/>
  <c r="AF908" i="1"/>
  <c r="W908" i="1"/>
  <c r="AG908" i="1"/>
  <c r="O908" i="1"/>
  <c r="Q909" i="1" l="1"/>
  <c r="S909" i="1"/>
  <c r="AG909" i="1"/>
  <c r="O909" i="1"/>
  <c r="R909" i="1"/>
  <c r="W909" i="1"/>
  <c r="V909" i="1"/>
  <c r="AH909" i="1"/>
  <c r="AD909" i="1"/>
  <c r="AB909" i="1"/>
  <c r="AC909" i="1"/>
  <c r="AE909" i="1"/>
  <c r="U909" i="1"/>
  <c r="Y909" i="1"/>
  <c r="AI909" i="1"/>
  <c r="X909" i="1"/>
  <c r="AA909" i="1"/>
  <c r="Z909" i="1"/>
  <c r="AF909" i="1"/>
  <c r="P909" i="1"/>
  <c r="T909" i="1"/>
  <c r="V910" i="1" l="1"/>
  <c r="AE910" i="1"/>
  <c r="S910" i="1"/>
  <c r="U910" i="1"/>
  <c r="AA910" i="1"/>
  <c r="R910" i="1"/>
  <c r="AD910" i="1"/>
  <c r="AC910" i="1"/>
  <c r="T910" i="1"/>
  <c r="P910" i="1"/>
  <c r="AH910" i="1"/>
  <c r="Z910" i="1"/>
  <c r="W910" i="1"/>
  <c r="AF910" i="1"/>
  <c r="AB910" i="1"/>
  <c r="O910" i="1"/>
  <c r="X910" i="1"/>
  <c r="AI910" i="1"/>
  <c r="Q910" i="1"/>
  <c r="AG910" i="1"/>
  <c r="Y910" i="1"/>
  <c r="P911" i="1" l="1"/>
  <c r="W911" i="1"/>
  <c r="Q911" i="1"/>
  <c r="AF911" i="1"/>
  <c r="AC911" i="1"/>
  <c r="AA911" i="1"/>
  <c r="X911" i="1"/>
  <c r="AB911" i="1"/>
  <c r="Z911" i="1"/>
  <c r="AH911" i="1"/>
  <c r="T911" i="1"/>
  <c r="AE911" i="1"/>
  <c r="AD911" i="1"/>
  <c r="S911" i="1"/>
  <c r="AI911" i="1"/>
  <c r="V911" i="1"/>
  <c r="AG911" i="1"/>
  <c r="R911" i="1"/>
  <c r="U911" i="1"/>
  <c r="Y911" i="1"/>
  <c r="O911" i="1"/>
  <c r="AI912" i="1" l="1"/>
  <c r="AB912" i="1"/>
  <c r="O912" i="1"/>
  <c r="AC912" i="1"/>
  <c r="V912" i="1"/>
  <c r="T912" i="1"/>
  <c r="Q912" i="1"/>
  <c r="AF912" i="1"/>
  <c r="AE912" i="1"/>
  <c r="U912" i="1"/>
  <c r="P912" i="1"/>
  <c r="Y912" i="1"/>
  <c r="AH912" i="1"/>
  <c r="Z912" i="1"/>
  <c r="X912" i="1"/>
  <c r="S912" i="1"/>
  <c r="W912" i="1"/>
  <c r="AA912" i="1"/>
  <c r="AG912" i="1"/>
  <c r="AD912" i="1"/>
  <c r="R912" i="1"/>
  <c r="R913" i="1" l="1"/>
  <c r="AB913" i="1"/>
  <c r="O913" i="1"/>
  <c r="Q913" i="1"/>
  <c r="X913" i="1"/>
  <c r="AI913" i="1"/>
  <c r="AF913" i="1"/>
  <c r="Y913" i="1"/>
  <c r="AH913" i="1"/>
  <c r="Z913" i="1"/>
  <c r="V913" i="1"/>
  <c r="T913" i="1"/>
  <c r="AC913" i="1"/>
  <c r="P913" i="1"/>
  <c r="AD913" i="1"/>
  <c r="AG913" i="1"/>
  <c r="AE913" i="1"/>
  <c r="S913" i="1"/>
  <c r="U913" i="1"/>
  <c r="W913" i="1"/>
  <c r="AA913" i="1"/>
  <c r="AE914" i="1" l="1"/>
  <c r="AC914" i="1"/>
  <c r="X914" i="1"/>
  <c r="R914" i="1"/>
  <c r="W914" i="1"/>
  <c r="Q914" i="1"/>
  <c r="AF914" i="1"/>
  <c r="AD914" i="1"/>
  <c r="AA914" i="1"/>
  <c r="AH914" i="1"/>
  <c r="P914" i="1"/>
  <c r="AG914" i="1"/>
  <c r="U914" i="1"/>
  <c r="Z914" i="1"/>
  <c r="AI914" i="1"/>
  <c r="V914" i="1"/>
  <c r="T914" i="1"/>
  <c r="S914" i="1"/>
  <c r="AB914" i="1"/>
  <c r="Y914" i="1"/>
  <c r="O914" i="1"/>
  <c r="S915" i="1" l="1"/>
  <c r="AC915" i="1"/>
  <c r="T915" i="1"/>
  <c r="AF915" i="1"/>
  <c r="O915" i="1"/>
  <c r="AB915" i="1"/>
  <c r="X915" i="1"/>
  <c r="R915" i="1"/>
  <c r="Y915" i="1"/>
  <c r="P915" i="1"/>
  <c r="U915" i="1"/>
  <c r="Z915" i="1"/>
  <c r="W915" i="1"/>
  <c r="AD915" i="1"/>
  <c r="AI915" i="1"/>
  <c r="AA915" i="1"/>
  <c r="AG915" i="1"/>
  <c r="V915" i="1"/>
  <c r="Q915" i="1"/>
  <c r="AE915" i="1"/>
  <c r="AH915" i="1"/>
  <c r="AD916" i="1" l="1"/>
  <c r="V916" i="1"/>
  <c r="U916" i="1"/>
  <c r="O916" i="1"/>
  <c r="P916" i="1"/>
  <c r="W916" i="1"/>
  <c r="AG916" i="1"/>
  <c r="AA916" i="1"/>
  <c r="AB916" i="1"/>
  <c r="AE916" i="1"/>
  <c r="R916" i="1"/>
  <c r="AF916" i="1"/>
  <c r="X916" i="1"/>
  <c r="Y916" i="1"/>
  <c r="AH916" i="1"/>
  <c r="AI916" i="1"/>
  <c r="S916" i="1"/>
  <c r="Q916" i="1"/>
  <c r="AC916" i="1"/>
  <c r="Z916" i="1"/>
  <c r="T916" i="1"/>
  <c r="AF917" i="1" l="1"/>
  <c r="AG917" i="1"/>
  <c r="Z917" i="1"/>
  <c r="Q917" i="1"/>
  <c r="R917" i="1"/>
  <c r="O917" i="1"/>
  <c r="AD917" i="1"/>
  <c r="AC917" i="1"/>
  <c r="W917" i="1"/>
  <c r="S917" i="1"/>
  <c r="X917" i="1"/>
  <c r="AB917" i="1"/>
  <c r="Y917" i="1"/>
  <c r="V917" i="1"/>
  <c r="AA917" i="1"/>
  <c r="T917" i="1"/>
  <c r="U917" i="1"/>
  <c r="AI917" i="1"/>
  <c r="P917" i="1"/>
  <c r="AE917" i="1"/>
  <c r="AH917" i="1"/>
  <c r="R918" i="1" l="1"/>
  <c r="X918" i="1"/>
  <c r="AF918" i="1"/>
  <c r="O918" i="1"/>
  <c r="S918" i="1"/>
  <c r="AH918" i="1"/>
  <c r="V918" i="1"/>
  <c r="AE918" i="1"/>
  <c r="Y918" i="1"/>
  <c r="Z918" i="1"/>
  <c r="AI918" i="1"/>
  <c r="U918" i="1"/>
  <c r="T918" i="1"/>
  <c r="Q918" i="1"/>
  <c r="P918" i="1"/>
  <c r="AG918" i="1"/>
  <c r="AA918" i="1"/>
  <c r="W918" i="1"/>
  <c r="AB918" i="1"/>
  <c r="AD918" i="1"/>
  <c r="AC918" i="1"/>
  <c r="AF919" i="1" l="1"/>
  <c r="AC919" i="1"/>
  <c r="X919" i="1"/>
  <c r="P919" i="1"/>
  <c r="AE919" i="1"/>
  <c r="AB919" i="1"/>
  <c r="AA919" i="1"/>
  <c r="AI919" i="1"/>
  <c r="T919" i="1"/>
  <c r="AD919" i="1"/>
  <c r="U919" i="1"/>
  <c r="O919" i="1"/>
  <c r="AH919" i="1"/>
  <c r="V919" i="1"/>
  <c r="Y919" i="1"/>
  <c r="Q919" i="1"/>
  <c r="Z919" i="1"/>
  <c r="AG919" i="1"/>
  <c r="S919" i="1"/>
  <c r="R919" i="1"/>
  <c r="W919" i="1"/>
  <c r="V920" i="1" l="1"/>
  <c r="AI920" i="1"/>
  <c r="AF920" i="1"/>
  <c r="Q920" i="1"/>
  <c r="Z920" i="1"/>
  <c r="T920" i="1"/>
  <c r="S920" i="1"/>
  <c r="Y920" i="1"/>
  <c r="X920" i="1"/>
  <c r="AC920" i="1"/>
  <c r="AB920" i="1"/>
  <c r="AA920" i="1"/>
  <c r="AD920" i="1"/>
  <c r="U920" i="1"/>
  <c r="AH920" i="1"/>
  <c r="W920" i="1"/>
  <c r="P920" i="1"/>
  <c r="O920" i="1"/>
  <c r="AE920" i="1"/>
  <c r="AG920" i="1"/>
  <c r="R920" i="1"/>
  <c r="X921" i="1" l="1"/>
  <c r="AD921" i="1"/>
  <c r="S921" i="1"/>
  <c r="AE921" i="1"/>
  <c r="R921" i="1"/>
  <c r="O921" i="1"/>
  <c r="AA921" i="1"/>
  <c r="AH921" i="1"/>
  <c r="AI921" i="1"/>
  <c r="AF921" i="1"/>
  <c r="U921" i="1"/>
  <c r="W921" i="1"/>
  <c r="Y921" i="1"/>
  <c r="T921" i="1"/>
  <c r="AG921" i="1"/>
  <c r="AB921" i="1"/>
  <c r="Q921" i="1"/>
  <c r="AC921" i="1"/>
  <c r="V921" i="1"/>
  <c r="P921" i="1"/>
  <c r="Z921" i="1"/>
  <c r="AE922" i="1" l="1"/>
  <c r="X922" i="1"/>
  <c r="AC922" i="1"/>
  <c r="AI922" i="1"/>
  <c r="Z922" i="1"/>
  <c r="AB922" i="1"/>
  <c r="AH922" i="1"/>
  <c r="O922" i="1"/>
  <c r="V922" i="1"/>
  <c r="R922" i="1"/>
  <c r="AD922" i="1"/>
  <c r="AF922" i="1"/>
  <c r="AG922" i="1"/>
  <c r="T922" i="1"/>
  <c r="Y922" i="1"/>
  <c r="P922" i="1"/>
  <c r="U922" i="1"/>
  <c r="Q922" i="1"/>
  <c r="W922" i="1"/>
  <c r="AA922" i="1"/>
  <c r="S922" i="1"/>
  <c r="Z923" i="1" l="1"/>
  <c r="AB923" i="1"/>
  <c r="AE923" i="1"/>
  <c r="T923" i="1"/>
  <c r="AG923" i="1"/>
  <c r="O923" i="1"/>
  <c r="W923" i="1"/>
  <c r="AI923" i="1"/>
  <c r="U923" i="1"/>
  <c r="P923" i="1"/>
  <c r="AC923" i="1"/>
  <c r="S923" i="1"/>
  <c r="AF923" i="1"/>
  <c r="AD923" i="1"/>
  <c r="AH923" i="1"/>
  <c r="AA923" i="1"/>
  <c r="R923" i="1"/>
  <c r="X923" i="1"/>
  <c r="Q923" i="1"/>
  <c r="Y923" i="1"/>
  <c r="V923" i="1"/>
  <c r="X924" i="1" l="1"/>
  <c r="R924" i="1"/>
  <c r="AI924" i="1"/>
  <c r="AD924" i="1"/>
  <c r="Y924" i="1"/>
  <c r="AF924" i="1"/>
  <c r="AB924" i="1"/>
  <c r="Q924" i="1"/>
  <c r="AC924" i="1"/>
  <c r="Z924" i="1"/>
  <c r="T924" i="1"/>
  <c r="W924" i="1"/>
  <c r="V924" i="1"/>
  <c r="AE924" i="1"/>
  <c r="P924" i="1"/>
  <c r="S924" i="1"/>
  <c r="U924" i="1"/>
  <c r="O924" i="1"/>
  <c r="AG924" i="1"/>
  <c r="AA924" i="1"/>
  <c r="AH924" i="1"/>
  <c r="AC925" i="1" l="1"/>
  <c r="W925" i="1"/>
  <c r="AE925" i="1"/>
  <c r="AA925" i="1"/>
  <c r="X925" i="1"/>
  <c r="AG925" i="1"/>
  <c r="AH925" i="1"/>
  <c r="P925" i="1"/>
  <c r="V925" i="1"/>
  <c r="U925" i="1"/>
  <c r="AI925" i="1"/>
  <c r="S925" i="1"/>
  <c r="T925" i="1"/>
  <c r="O925" i="1"/>
  <c r="Q925" i="1"/>
  <c r="Y925" i="1"/>
  <c r="Z925" i="1"/>
  <c r="AF925" i="1"/>
  <c r="AB925" i="1"/>
  <c r="R925" i="1"/>
  <c r="AD925" i="1"/>
  <c r="S926" i="1" l="1"/>
  <c r="Z926" i="1"/>
  <c r="W926" i="1"/>
  <c r="AA926" i="1"/>
  <c r="P926" i="1"/>
  <c r="AC926" i="1"/>
  <c r="AD926" i="1"/>
  <c r="U926" i="1"/>
  <c r="Q926" i="1"/>
  <c r="V926" i="1"/>
  <c r="AB926" i="1"/>
  <c r="T926" i="1"/>
  <c r="R926" i="1"/>
  <c r="AI926" i="1"/>
  <c r="AH926" i="1"/>
  <c r="AF926" i="1"/>
  <c r="X926" i="1"/>
  <c r="AG926" i="1"/>
  <c r="O926" i="1"/>
  <c r="AE926" i="1"/>
  <c r="Y926" i="1"/>
  <c r="AA927" i="1" l="1"/>
  <c r="V927" i="1"/>
  <c r="T927" i="1"/>
  <c r="AH927" i="1"/>
  <c r="S927" i="1"/>
  <c r="AC927" i="1"/>
  <c r="O927" i="1"/>
  <c r="Z927" i="1"/>
  <c r="Y927" i="1"/>
  <c r="AE927" i="1"/>
  <c r="R927" i="1"/>
  <c r="X927" i="1"/>
  <c r="AF927" i="1"/>
  <c r="AD927" i="1"/>
  <c r="AB927" i="1"/>
  <c r="AI927" i="1"/>
  <c r="AG927" i="1"/>
  <c r="W927" i="1"/>
  <c r="P927" i="1"/>
  <c r="U927" i="1"/>
  <c r="Q927" i="1"/>
  <c r="AE928" i="1" l="1"/>
  <c r="V928" i="1"/>
  <c r="Z928" i="1"/>
  <c r="Q928" i="1"/>
  <c r="S928" i="1"/>
  <c r="U928" i="1"/>
  <c r="AC928" i="1"/>
  <c r="X928" i="1"/>
  <c r="AI928" i="1"/>
  <c r="O928" i="1"/>
  <c r="T928" i="1"/>
  <c r="AH928" i="1"/>
  <c r="AF928" i="1"/>
  <c r="AA928" i="1"/>
  <c r="Y928" i="1"/>
  <c r="AB928" i="1"/>
  <c r="P928" i="1"/>
  <c r="W928" i="1"/>
  <c r="R928" i="1"/>
  <c r="AG928" i="1"/>
  <c r="AD928" i="1"/>
  <c r="S929" i="1" l="1"/>
  <c r="AC929" i="1"/>
  <c r="AA929" i="1"/>
  <c r="Z929" i="1"/>
  <c r="U929" i="1"/>
  <c r="P929" i="1"/>
  <c r="W929" i="1"/>
  <c r="R929" i="1"/>
  <c r="T929" i="1"/>
  <c r="V929" i="1"/>
  <c r="Q929" i="1"/>
  <c r="AH929" i="1"/>
  <c r="X929" i="1"/>
  <c r="AB929" i="1"/>
  <c r="AE929" i="1"/>
  <c r="O929" i="1"/>
  <c r="AD929" i="1"/>
  <c r="Y929" i="1"/>
  <c r="AG929" i="1"/>
  <c r="AF929" i="1"/>
  <c r="AI929" i="1"/>
  <c r="AG930" i="1" l="1"/>
  <c r="AE930" i="1"/>
  <c r="S930" i="1"/>
  <c r="Q930" i="1"/>
  <c r="AI930" i="1"/>
  <c r="U930" i="1"/>
  <c r="P930" i="1"/>
  <c r="T930" i="1"/>
  <c r="Y930" i="1"/>
  <c r="W930" i="1"/>
  <c r="AA930" i="1"/>
  <c r="AH930" i="1"/>
  <c r="X930" i="1"/>
  <c r="O930" i="1"/>
  <c r="V930" i="1"/>
  <c r="AB930" i="1"/>
  <c r="AF930" i="1"/>
  <c r="AC930" i="1"/>
  <c r="AD930" i="1"/>
  <c r="R930" i="1"/>
  <c r="Z930" i="1"/>
  <c r="Y931" i="1" l="1"/>
  <c r="AI931" i="1"/>
  <c r="AG931" i="1"/>
  <c r="O931" i="1"/>
  <c r="AD931" i="1"/>
  <c r="AC931" i="1"/>
  <c r="P931" i="1"/>
  <c r="AF931" i="1"/>
  <c r="AB931" i="1"/>
  <c r="AA931" i="1"/>
  <c r="W931" i="1"/>
  <c r="Z931" i="1"/>
  <c r="X931" i="1"/>
  <c r="S931" i="1"/>
  <c r="AE931" i="1"/>
  <c r="T931" i="1"/>
  <c r="U931" i="1"/>
  <c r="Q931" i="1"/>
  <c r="V931" i="1"/>
  <c r="R931" i="1"/>
  <c r="AH931" i="1"/>
  <c r="Z932" i="1" l="1"/>
  <c r="T932" i="1"/>
  <c r="U932" i="1"/>
  <c r="S932" i="1"/>
  <c r="AD932" i="1"/>
  <c r="R932" i="1"/>
  <c r="AG932" i="1"/>
  <c r="AH932" i="1"/>
  <c r="Q932" i="1"/>
  <c r="AE932" i="1"/>
  <c r="AC932" i="1"/>
  <c r="W932" i="1"/>
  <c r="O932" i="1"/>
  <c r="Y932" i="1"/>
  <c r="AB932" i="1"/>
  <c r="P932" i="1"/>
  <c r="AI932" i="1"/>
  <c r="V932" i="1"/>
  <c r="AA932" i="1"/>
  <c r="X932" i="1"/>
  <c r="AF932" i="1"/>
  <c r="AI933" i="1" l="1"/>
  <c r="AE933" i="1"/>
  <c r="AF933" i="1"/>
  <c r="AG933" i="1"/>
  <c r="AD933" i="1"/>
  <c r="Q933" i="1"/>
  <c r="X933" i="1"/>
  <c r="O933" i="1"/>
  <c r="AB933" i="1"/>
  <c r="R933" i="1"/>
  <c r="AC933" i="1"/>
  <c r="W933" i="1"/>
  <c r="V933" i="1"/>
  <c r="P933" i="1"/>
  <c r="AH933" i="1"/>
  <c r="T933" i="1"/>
  <c r="Z933" i="1"/>
  <c r="U933" i="1"/>
  <c r="Y933" i="1"/>
  <c r="S933" i="1"/>
  <c r="AA933" i="1"/>
  <c r="P934" i="1" l="1"/>
  <c r="T934" i="1"/>
  <c r="R934" i="1"/>
  <c r="O934" i="1"/>
  <c r="X934" i="1"/>
  <c r="AH934" i="1"/>
  <c r="AI934" i="1"/>
  <c r="AA934" i="1"/>
  <c r="Y934" i="1"/>
  <c r="AE934" i="1"/>
  <c r="Z934" i="1"/>
  <c r="Q934" i="1"/>
  <c r="AD934" i="1"/>
  <c r="AF934" i="1"/>
  <c r="W934" i="1"/>
  <c r="AG934" i="1"/>
  <c r="U934" i="1"/>
  <c r="V934" i="1"/>
  <c r="S934" i="1"/>
  <c r="AC934" i="1"/>
  <c r="AB934" i="1"/>
  <c r="V935" i="1" l="1"/>
  <c r="Z935" i="1"/>
  <c r="Y935" i="1"/>
  <c r="O935" i="1"/>
  <c r="R935" i="1"/>
  <c r="X935" i="1"/>
  <c r="AF935" i="1"/>
  <c r="Q935" i="1"/>
  <c r="T935" i="1"/>
  <c r="S935" i="1"/>
  <c r="AC935" i="1"/>
  <c r="AG935" i="1"/>
  <c r="P935" i="1"/>
  <c r="AE935" i="1"/>
  <c r="AB935" i="1"/>
  <c r="AA935" i="1"/>
  <c r="AI935" i="1"/>
  <c r="W935" i="1"/>
  <c r="AD935" i="1"/>
  <c r="AH935" i="1"/>
  <c r="U935" i="1"/>
  <c r="AA936" i="1" l="1"/>
  <c r="Z936" i="1"/>
  <c r="AD936" i="1"/>
  <c r="AG936" i="1"/>
  <c r="W936" i="1"/>
  <c r="T936" i="1"/>
  <c r="AB936" i="1"/>
  <c r="V936" i="1"/>
  <c r="X936" i="1"/>
  <c r="AF936" i="1"/>
  <c r="Q936" i="1"/>
  <c r="Y936" i="1"/>
  <c r="AC936" i="1"/>
  <c r="AI936" i="1"/>
  <c r="AH936" i="1"/>
  <c r="AE936" i="1"/>
  <c r="P936" i="1"/>
  <c r="R936" i="1"/>
  <c r="S936" i="1"/>
  <c r="O936" i="1"/>
  <c r="U936" i="1"/>
  <c r="Z937" i="1" l="1"/>
  <c r="O937" i="1"/>
  <c r="AH937" i="1"/>
  <c r="Y937" i="1"/>
  <c r="AG937" i="1"/>
  <c r="V937" i="1"/>
  <c r="AI937" i="1"/>
  <c r="AD937" i="1"/>
  <c r="S937" i="1"/>
  <c r="AC937" i="1"/>
  <c r="T937" i="1"/>
  <c r="AE937" i="1"/>
  <c r="R937" i="1"/>
  <c r="AF937" i="1"/>
  <c r="AB937" i="1"/>
  <c r="Q937" i="1"/>
  <c r="W937" i="1"/>
  <c r="AA937" i="1"/>
  <c r="X937" i="1"/>
  <c r="U937" i="1"/>
  <c r="P937" i="1"/>
  <c r="AE938" i="1" l="1"/>
  <c r="Q938" i="1"/>
  <c r="U938" i="1"/>
  <c r="X938" i="1"/>
  <c r="AA938" i="1"/>
  <c r="V938" i="1"/>
  <c r="Z938" i="1"/>
  <c r="AC938" i="1"/>
  <c r="O938" i="1"/>
  <c r="AB938" i="1"/>
  <c r="AD938" i="1"/>
  <c r="AF938" i="1"/>
  <c r="W938" i="1"/>
  <c r="R938" i="1"/>
  <c r="Y938" i="1"/>
  <c r="AH938" i="1"/>
  <c r="AI938" i="1"/>
  <c r="P938" i="1"/>
  <c r="S938" i="1"/>
  <c r="AG938" i="1"/>
  <c r="T938" i="1"/>
  <c r="AC939" i="1" l="1"/>
  <c r="AA939" i="1"/>
  <c r="Q939" i="1"/>
  <c r="T939" i="1"/>
  <c r="W939" i="1"/>
  <c r="P939" i="1"/>
  <c r="U939" i="1"/>
  <c r="AI939" i="1"/>
  <c r="AD939" i="1"/>
  <c r="Y939" i="1"/>
  <c r="AH939" i="1"/>
  <c r="AE939" i="1"/>
  <c r="AF939" i="1"/>
  <c r="AB939" i="1"/>
  <c r="V939" i="1"/>
  <c r="X939" i="1"/>
  <c r="AG939" i="1"/>
  <c r="R939" i="1"/>
  <c r="Z939" i="1"/>
  <c r="O939" i="1"/>
  <c r="S939" i="1"/>
  <c r="Z940" i="1" l="1"/>
  <c r="S940" i="1"/>
  <c r="T940" i="1"/>
  <c r="AG940" i="1"/>
  <c r="AI940" i="1"/>
  <c r="U940" i="1"/>
  <c r="X940" i="1"/>
  <c r="P940" i="1"/>
  <c r="AB940" i="1"/>
  <c r="AC940" i="1"/>
  <c r="AD940" i="1"/>
  <c r="AF940" i="1"/>
  <c r="AE940" i="1"/>
  <c r="W940" i="1"/>
  <c r="AH940" i="1"/>
  <c r="Q940" i="1"/>
  <c r="O940" i="1"/>
  <c r="V940" i="1"/>
  <c r="R940" i="1"/>
  <c r="Y940" i="1"/>
  <c r="AA940" i="1"/>
  <c r="W941" i="1" l="1"/>
  <c r="AF941" i="1"/>
  <c r="V941" i="1"/>
  <c r="S941" i="1"/>
  <c r="O941" i="1"/>
  <c r="AB941" i="1"/>
  <c r="AD941" i="1"/>
  <c r="AC941" i="1"/>
  <c r="AE941" i="1"/>
  <c r="P941" i="1"/>
  <c r="Q941" i="1"/>
  <c r="AA941" i="1"/>
  <c r="U941" i="1"/>
  <c r="X941" i="1"/>
  <c r="Z941" i="1"/>
  <c r="R941" i="1"/>
  <c r="AH941" i="1"/>
  <c r="Y941" i="1"/>
  <c r="AI941" i="1"/>
  <c r="AG941" i="1"/>
  <c r="T941" i="1"/>
  <c r="AB942" i="1" l="1"/>
  <c r="Z942" i="1"/>
  <c r="AA942" i="1"/>
  <c r="AD942" i="1"/>
  <c r="U942" i="1"/>
  <c r="W942" i="1"/>
  <c r="Y942" i="1"/>
  <c r="V942" i="1"/>
  <c r="X942" i="1"/>
  <c r="T942" i="1"/>
  <c r="Q942" i="1"/>
  <c r="AC942" i="1"/>
  <c r="O942" i="1"/>
  <c r="R942" i="1"/>
  <c r="AH942" i="1"/>
  <c r="S942" i="1"/>
  <c r="AG942" i="1"/>
  <c r="AF942" i="1"/>
  <c r="P942" i="1"/>
  <c r="AI942" i="1"/>
  <c r="AE942" i="1"/>
  <c r="Q943" i="1" l="1"/>
  <c r="Z943" i="1"/>
  <c r="R943" i="1"/>
  <c r="AB943" i="1"/>
  <c r="AA943" i="1"/>
  <c r="X943" i="1"/>
  <c r="AI943" i="1"/>
  <c r="AC943" i="1"/>
  <c r="AG943" i="1"/>
  <c r="U943" i="1"/>
  <c r="AH943" i="1"/>
  <c r="W943" i="1"/>
  <c r="T943" i="1"/>
  <c r="AE943" i="1"/>
  <c r="V943" i="1"/>
  <c r="AD943" i="1"/>
  <c r="S943" i="1"/>
  <c r="O943" i="1"/>
  <c r="Y943" i="1"/>
  <c r="AF943" i="1"/>
  <c r="P943" i="1"/>
  <c r="R944" i="1" l="1"/>
  <c r="AI944" i="1"/>
  <c r="T944" i="1"/>
  <c r="X944" i="1"/>
  <c r="W944" i="1"/>
  <c r="Y944" i="1"/>
  <c r="Q944" i="1"/>
  <c r="Z944" i="1"/>
  <c r="U944" i="1"/>
  <c r="V944" i="1"/>
  <c r="AE944" i="1"/>
  <c r="O944" i="1"/>
  <c r="AA944" i="1"/>
  <c r="AF944" i="1"/>
  <c r="AH944" i="1"/>
  <c r="P944" i="1"/>
  <c r="AG944" i="1"/>
  <c r="S944" i="1"/>
  <c r="AC944" i="1"/>
  <c r="AD944" i="1"/>
  <c r="AB944" i="1"/>
  <c r="Z945" i="1" l="1"/>
  <c r="X945" i="1"/>
  <c r="AH945" i="1"/>
  <c r="V945" i="1"/>
  <c r="W945" i="1"/>
  <c r="Q945" i="1"/>
  <c r="AI945" i="1"/>
  <c r="Y945" i="1"/>
  <c r="P945" i="1"/>
  <c r="AG945" i="1"/>
  <c r="O945" i="1"/>
  <c r="AE945" i="1"/>
  <c r="AF945" i="1"/>
  <c r="AC945" i="1"/>
  <c r="R945" i="1"/>
  <c r="T945" i="1"/>
  <c r="AA945" i="1"/>
  <c r="AD945" i="1"/>
  <c r="U945" i="1"/>
  <c r="AB945" i="1"/>
  <c r="S945" i="1"/>
  <c r="AI946" i="1" l="1"/>
  <c r="Z946" i="1"/>
  <c r="AF946" i="1"/>
  <c r="W946" i="1"/>
  <c r="O946" i="1"/>
  <c r="S946" i="1"/>
  <c r="AH946" i="1"/>
  <c r="AD946" i="1"/>
  <c r="AG946" i="1"/>
  <c r="AE946" i="1"/>
  <c r="R946" i="1"/>
  <c r="P946" i="1"/>
  <c r="U946" i="1"/>
  <c r="T946" i="1"/>
  <c r="AC946" i="1"/>
  <c r="V946" i="1"/>
  <c r="X946" i="1"/>
  <c r="AA946" i="1"/>
  <c r="Y946" i="1"/>
  <c r="Q946" i="1"/>
  <c r="AB946" i="1"/>
  <c r="S947" i="1" l="1"/>
  <c r="T947" i="1"/>
  <c r="Q947" i="1"/>
  <c r="AC947" i="1"/>
  <c r="AB947" i="1"/>
  <c r="AA947" i="1"/>
  <c r="W947" i="1"/>
  <c r="AH947" i="1"/>
  <c r="AF947" i="1"/>
  <c r="AG947" i="1"/>
  <c r="AE947" i="1"/>
  <c r="AD947" i="1"/>
  <c r="X947" i="1"/>
  <c r="R947" i="1"/>
  <c r="V947" i="1"/>
  <c r="P947" i="1"/>
  <c r="U947" i="1"/>
  <c r="AI947" i="1"/>
  <c r="O947" i="1"/>
  <c r="Y947" i="1"/>
  <c r="Z947" i="1"/>
  <c r="AH948" i="1" l="1"/>
  <c r="R948" i="1"/>
  <c r="Q948" i="1"/>
  <c r="T948" i="1"/>
  <c r="AG948" i="1"/>
  <c r="AC948" i="1"/>
  <c r="AD948" i="1"/>
  <c r="V948" i="1"/>
  <c r="S948" i="1"/>
  <c r="AB948" i="1"/>
  <c r="AE948" i="1"/>
  <c r="AF948" i="1"/>
  <c r="Y948" i="1"/>
  <c r="O948" i="1"/>
  <c r="X948" i="1"/>
  <c r="AA948" i="1"/>
  <c r="Z948" i="1"/>
  <c r="AI948" i="1"/>
  <c r="W948" i="1"/>
  <c r="U948" i="1"/>
  <c r="P948" i="1"/>
  <c r="V949" i="1" l="1"/>
  <c r="AI949" i="1"/>
  <c r="AF949" i="1"/>
  <c r="Z949" i="1"/>
  <c r="O949" i="1"/>
  <c r="AE949" i="1"/>
  <c r="AH949" i="1"/>
  <c r="Q949" i="1"/>
  <c r="AC949" i="1"/>
  <c r="U949" i="1"/>
  <c r="AD949" i="1"/>
  <c r="S949" i="1"/>
  <c r="T949" i="1"/>
  <c r="AA949" i="1"/>
  <c r="X949" i="1"/>
  <c r="Y949" i="1"/>
  <c r="AB949" i="1"/>
  <c r="AG949" i="1"/>
  <c r="P949" i="1"/>
  <c r="R949" i="1"/>
  <c r="W949" i="1"/>
  <c r="Q950" i="1" l="1"/>
  <c r="Z950" i="1"/>
  <c r="Y950" i="1"/>
  <c r="AA950" i="1"/>
  <c r="AD950" i="1"/>
  <c r="U950" i="1"/>
  <c r="AH950" i="1"/>
  <c r="R950" i="1"/>
  <c r="AB950" i="1"/>
  <c r="AE950" i="1"/>
  <c r="S950" i="1"/>
  <c r="V950" i="1"/>
  <c r="P950" i="1"/>
  <c r="AI950" i="1"/>
  <c r="AC950" i="1"/>
  <c r="W950" i="1"/>
  <c r="AF950" i="1"/>
  <c r="X950" i="1"/>
  <c r="AG950" i="1"/>
  <c r="T950" i="1"/>
  <c r="O950" i="1"/>
  <c r="AE951" i="1" l="1"/>
  <c r="AB951" i="1"/>
  <c r="AA951" i="1"/>
  <c r="Z951" i="1"/>
  <c r="S951" i="1"/>
  <c r="AI951" i="1"/>
  <c r="U951" i="1"/>
  <c r="W951" i="1"/>
  <c r="AD951" i="1"/>
  <c r="P951" i="1"/>
  <c r="X951" i="1"/>
  <c r="AF951" i="1"/>
  <c r="AG951" i="1"/>
  <c r="AC951" i="1"/>
  <c r="O951" i="1"/>
  <c r="V951" i="1"/>
  <c r="AH951" i="1"/>
  <c r="Y951" i="1"/>
  <c r="Q951" i="1"/>
  <c r="R951" i="1"/>
  <c r="T951" i="1"/>
  <c r="AF952" i="1" l="1"/>
  <c r="W952" i="1"/>
  <c r="Y952" i="1"/>
  <c r="V952" i="1"/>
  <c r="AC952" i="1"/>
  <c r="Q952" i="1"/>
  <c r="U952" i="1"/>
  <c r="T952" i="1"/>
  <c r="AB952" i="1"/>
  <c r="AH952" i="1"/>
  <c r="Z952" i="1"/>
  <c r="S952" i="1"/>
  <c r="R952" i="1"/>
  <c r="AD952" i="1"/>
  <c r="P952" i="1"/>
  <c r="AE952" i="1"/>
  <c r="AG952" i="1"/>
  <c r="AI952" i="1"/>
  <c r="AA952" i="1"/>
  <c r="X952" i="1"/>
  <c r="O952" i="1"/>
  <c r="W953" i="1" l="1"/>
  <c r="Z953" i="1"/>
  <c r="S953" i="1"/>
  <c r="Y953" i="1"/>
  <c r="V953" i="1"/>
  <c r="U953" i="1"/>
  <c r="AB953" i="1"/>
  <c r="AI953" i="1"/>
  <c r="AF953" i="1"/>
  <c r="Q953" i="1"/>
  <c r="AD953" i="1"/>
  <c r="P953" i="1"/>
  <c r="AE953" i="1"/>
  <c r="AH953" i="1"/>
  <c r="X953" i="1"/>
  <c r="O953" i="1"/>
  <c r="AA953" i="1"/>
  <c r="T953" i="1"/>
  <c r="R953" i="1"/>
  <c r="AG953" i="1"/>
  <c r="AC953" i="1"/>
  <c r="AE954" i="1" l="1"/>
  <c r="Z954" i="1"/>
  <c r="R954" i="1"/>
  <c r="O954" i="1"/>
  <c r="W954" i="1"/>
  <c r="T954" i="1"/>
  <c r="X954" i="1"/>
  <c r="AB954" i="1"/>
  <c r="AA954" i="1"/>
  <c r="Y954" i="1"/>
  <c r="V954" i="1"/>
  <c r="AF954" i="1"/>
  <c r="AI954" i="1"/>
  <c r="S954" i="1"/>
  <c r="Q954" i="1"/>
  <c r="AH954" i="1"/>
  <c r="U954" i="1"/>
  <c r="AD954" i="1"/>
  <c r="AG954" i="1"/>
  <c r="P954" i="1"/>
  <c r="AC954" i="1"/>
  <c r="AB955" i="1" l="1"/>
  <c r="AA955" i="1"/>
  <c r="W955" i="1"/>
  <c r="AI955" i="1"/>
  <c r="Z955" i="1"/>
  <c r="S955" i="1"/>
  <c r="AF955" i="1"/>
  <c r="AD955" i="1"/>
  <c r="Q955" i="1"/>
  <c r="U955" i="1"/>
  <c r="AH955" i="1"/>
  <c r="AG955" i="1"/>
  <c r="R955" i="1"/>
  <c r="O955" i="1"/>
  <c r="X955" i="1"/>
  <c r="P955" i="1"/>
  <c r="T955" i="1"/>
  <c r="Y955" i="1"/>
  <c r="AC955" i="1"/>
  <c r="V955" i="1"/>
  <c r="AE955" i="1"/>
  <c r="AG956" i="1" l="1"/>
  <c r="AA956" i="1"/>
  <c r="AB956" i="1"/>
  <c r="AE956" i="1"/>
  <c r="S956" i="1"/>
  <c r="R956" i="1"/>
  <c r="O956" i="1"/>
  <c r="Y956" i="1"/>
  <c r="Q956" i="1"/>
  <c r="T956" i="1"/>
  <c r="W956" i="1"/>
  <c r="AC956" i="1"/>
  <c r="AF956" i="1"/>
  <c r="Z956" i="1"/>
  <c r="U956" i="1"/>
  <c r="V956" i="1"/>
  <c r="AD956" i="1"/>
  <c r="X956" i="1"/>
  <c r="AI956" i="1"/>
  <c r="AH956" i="1"/>
  <c r="P956" i="1"/>
  <c r="S957" i="1" l="1"/>
  <c r="AB957" i="1"/>
  <c r="AG957" i="1"/>
  <c r="AD957" i="1"/>
  <c r="T957" i="1"/>
  <c r="AA957" i="1"/>
  <c r="AI957" i="1"/>
  <c r="R957" i="1"/>
  <c r="W957" i="1"/>
  <c r="Z957" i="1"/>
  <c r="Y957" i="1"/>
  <c r="O957" i="1"/>
  <c r="AH957" i="1"/>
  <c r="V957" i="1"/>
  <c r="P957" i="1"/>
  <c r="Q957" i="1"/>
  <c r="AC957" i="1"/>
  <c r="AF957" i="1"/>
  <c r="AE957" i="1"/>
  <c r="X957" i="1"/>
  <c r="U957" i="1"/>
  <c r="Z958" i="1" l="1"/>
  <c r="Q958" i="1"/>
  <c r="AI958" i="1"/>
  <c r="U958" i="1"/>
  <c r="R958" i="1"/>
  <c r="P958" i="1"/>
  <c r="AH958" i="1"/>
  <c r="Y958" i="1"/>
  <c r="AF958" i="1"/>
  <c r="AA958" i="1"/>
  <c r="O958" i="1"/>
  <c r="T958" i="1"/>
  <c r="X958" i="1"/>
  <c r="AB958" i="1"/>
  <c r="AC958" i="1"/>
  <c r="V958" i="1"/>
  <c r="AE958" i="1"/>
  <c r="AG958" i="1"/>
  <c r="AD958" i="1"/>
  <c r="S958" i="1"/>
  <c r="W958" i="1"/>
  <c r="P959" i="1" l="1"/>
  <c r="O959" i="1"/>
  <c r="R959" i="1"/>
  <c r="AC959" i="1"/>
  <c r="AH959" i="1"/>
  <c r="X959" i="1"/>
  <c r="AD959" i="1"/>
  <c r="AE959" i="1"/>
  <c r="U959" i="1"/>
  <c r="AI959" i="1"/>
  <c r="T959" i="1"/>
  <c r="AG959" i="1"/>
  <c r="AB959" i="1"/>
  <c r="W959" i="1"/>
  <c r="Q959" i="1"/>
  <c r="V959" i="1"/>
  <c r="S959" i="1"/>
  <c r="AF959" i="1"/>
  <c r="AA959" i="1"/>
  <c r="Y959" i="1"/>
  <c r="Z959" i="1"/>
  <c r="S960" i="1" l="1"/>
  <c r="AE960" i="1"/>
  <c r="AA960" i="1"/>
  <c r="Z960" i="1"/>
  <c r="AF960" i="1"/>
  <c r="AH960" i="1"/>
  <c r="R960" i="1"/>
  <c r="AD960" i="1"/>
  <c r="Y960" i="1"/>
  <c r="P960" i="1"/>
  <c r="AI960" i="1"/>
  <c r="AG960" i="1"/>
  <c r="Q960" i="1"/>
  <c r="O960" i="1"/>
  <c r="AC960" i="1"/>
  <c r="U960" i="1"/>
  <c r="AB960" i="1"/>
  <c r="X960" i="1"/>
  <c r="T960" i="1"/>
  <c r="V960" i="1"/>
  <c r="W960" i="1"/>
  <c r="Z961" i="1" l="1"/>
  <c r="W961" i="1"/>
  <c r="V961" i="1"/>
  <c r="AH961" i="1"/>
  <c r="AD961" i="1"/>
  <c r="AI961" i="1"/>
  <c r="R961" i="1"/>
  <c r="T961" i="1"/>
  <c r="X961" i="1"/>
  <c r="U961" i="1"/>
  <c r="AE961" i="1"/>
  <c r="O961" i="1"/>
  <c r="S961" i="1"/>
  <c r="AG961" i="1"/>
  <c r="P961" i="1"/>
  <c r="AC961" i="1"/>
  <c r="AB961" i="1"/>
  <c r="Y961" i="1"/>
  <c r="AF961" i="1"/>
  <c r="AA961" i="1"/>
  <c r="Q961" i="1"/>
  <c r="T962" i="1" l="1"/>
  <c r="U962" i="1"/>
  <c r="V962" i="1"/>
  <c r="AD962" i="1"/>
  <c r="O962" i="1"/>
  <c r="Z962" i="1"/>
  <c r="AE962" i="1"/>
  <c r="Y962" i="1"/>
  <c r="W962" i="1"/>
  <c r="AB962" i="1"/>
  <c r="Q962" i="1"/>
  <c r="P962" i="1"/>
  <c r="X962" i="1"/>
  <c r="AF962" i="1"/>
  <c r="R962" i="1"/>
  <c r="AG962" i="1"/>
  <c r="AA962" i="1"/>
  <c r="AC962" i="1"/>
  <c r="AI962" i="1"/>
  <c r="S962" i="1"/>
  <c r="AH962" i="1"/>
  <c r="AC963" i="1" l="1"/>
  <c r="W963" i="1"/>
  <c r="Y963" i="1"/>
  <c r="AD963" i="1"/>
  <c r="X963" i="1"/>
  <c r="V963" i="1"/>
  <c r="AI963" i="1"/>
  <c r="P963" i="1"/>
  <c r="AE963" i="1"/>
  <c r="T963" i="1"/>
  <c r="U963" i="1"/>
  <c r="O963" i="1"/>
  <c r="AA963" i="1"/>
  <c r="R963" i="1"/>
  <c r="Q963" i="1"/>
  <c r="S963" i="1"/>
  <c r="AF963" i="1"/>
  <c r="AB963" i="1"/>
  <c r="AH963" i="1"/>
  <c r="Z963" i="1"/>
  <c r="AG963" i="1"/>
  <c r="U964" i="1" l="1"/>
  <c r="AG964" i="1"/>
  <c r="AI964" i="1"/>
  <c r="AH964" i="1"/>
  <c r="P964" i="1"/>
  <c r="W964" i="1"/>
  <c r="S964" i="1"/>
  <c r="AE964" i="1"/>
  <c r="AF964" i="1"/>
  <c r="AA964" i="1"/>
  <c r="AC964" i="1"/>
  <c r="V964" i="1"/>
  <c r="AD964" i="1"/>
  <c r="O964" i="1"/>
  <c r="X964" i="1"/>
  <c r="R964" i="1"/>
  <c r="T964" i="1"/>
  <c r="Y964" i="1"/>
  <c r="Z964" i="1"/>
  <c r="Q964" i="1"/>
  <c r="AB964" i="1"/>
  <c r="P974" i="1" l="1"/>
  <c r="T974" i="1"/>
  <c r="Y974" i="1"/>
  <c r="O974" i="1"/>
  <c r="AA974" i="1"/>
  <c r="W974" i="1"/>
  <c r="AG974" i="1"/>
  <c r="Q974" i="1"/>
  <c r="AC974" i="1"/>
  <c r="R974" i="1"/>
  <c r="V974" i="1"/>
  <c r="U974" i="1"/>
  <c r="AB974" i="1"/>
  <c r="X974" i="1"/>
  <c r="AI974" i="1"/>
  <c r="AF974" i="1"/>
  <c r="AD974" i="1"/>
  <c r="AE974" i="1"/>
  <c r="Z974" i="1"/>
  <c r="S974" i="1"/>
  <c r="AH974" i="1"/>
  <c r="AD975" i="1" l="1"/>
  <c r="AA975" i="1"/>
  <c r="AI975" i="1"/>
  <c r="X975" i="1"/>
  <c r="P975" i="1"/>
  <c r="W975" i="1"/>
  <c r="AE975" i="1"/>
  <c r="AG975" i="1"/>
  <c r="Q975" i="1"/>
  <c r="V975" i="1"/>
  <c r="T975" i="1"/>
  <c r="S975" i="1"/>
  <c r="U975" i="1"/>
  <c r="AH975" i="1"/>
  <c r="AC975" i="1"/>
  <c r="O975" i="1"/>
  <c r="AB975" i="1"/>
  <c r="Y975" i="1"/>
  <c r="R975" i="1"/>
  <c r="Z975" i="1"/>
  <c r="AF975" i="1"/>
  <c r="AB976" i="1" l="1"/>
  <c r="AH976" i="1"/>
  <c r="AI976" i="1"/>
  <c r="AE976" i="1"/>
  <c r="R976" i="1"/>
  <c r="AG976" i="1"/>
  <c r="Y976" i="1"/>
  <c r="P976" i="1"/>
  <c r="W976" i="1"/>
  <c r="S976" i="1"/>
  <c r="X976" i="1"/>
  <c r="AA976" i="1"/>
  <c r="V976" i="1"/>
  <c r="AC976" i="1"/>
  <c r="U976" i="1"/>
  <c r="O976" i="1"/>
  <c r="AD976" i="1"/>
  <c r="Q976" i="1"/>
  <c r="T976" i="1"/>
  <c r="Z976" i="1"/>
  <c r="AF976" i="1"/>
  <c r="AH977" i="1" l="1"/>
  <c r="O977" i="1"/>
  <c r="V977" i="1"/>
  <c r="W977" i="1"/>
  <c r="AI977" i="1"/>
  <c r="AG977" i="1"/>
  <c r="AB977" i="1"/>
  <c r="U977" i="1"/>
  <c r="AE977" i="1"/>
  <c r="Y977" i="1"/>
  <c r="AA977" i="1"/>
  <c r="T977" i="1"/>
  <c r="AF977" i="1"/>
  <c r="S977" i="1"/>
  <c r="R977" i="1"/>
  <c r="AC977" i="1"/>
  <c r="X977" i="1"/>
  <c r="AD977" i="1"/>
  <c r="P977" i="1"/>
  <c r="Q977" i="1"/>
  <c r="Z977" i="1"/>
  <c r="AE978" i="1" l="1"/>
  <c r="Y978" i="1"/>
  <c r="S978" i="1"/>
  <c r="Z978" i="1"/>
  <c r="AF978" i="1"/>
  <c r="AG978" i="1"/>
  <c r="W978" i="1"/>
  <c r="X978" i="1"/>
  <c r="U978" i="1"/>
  <c r="O978" i="1"/>
  <c r="R978" i="1"/>
  <c r="AI978" i="1"/>
  <c r="AD978" i="1"/>
  <c r="AA978" i="1"/>
  <c r="AB978" i="1"/>
  <c r="Q978" i="1"/>
  <c r="T978" i="1"/>
  <c r="P978" i="1"/>
  <c r="AH978" i="1"/>
  <c r="V978" i="1"/>
  <c r="AC978" i="1"/>
  <c r="T979" i="1" l="1"/>
  <c r="S979" i="1"/>
  <c r="AG979" i="1"/>
  <c r="V979" i="1"/>
  <c r="AC979" i="1"/>
  <c r="Z979" i="1"/>
  <c r="AF979" i="1"/>
  <c r="Q979" i="1"/>
  <c r="AB979" i="1"/>
  <c r="X979" i="1"/>
  <c r="R979" i="1"/>
  <c r="W979" i="1"/>
  <c r="AH979" i="1"/>
  <c r="AE979" i="1"/>
  <c r="AD979" i="1"/>
  <c r="AI979" i="1"/>
  <c r="AA979" i="1"/>
  <c r="Y979" i="1"/>
  <c r="O979" i="1"/>
  <c r="U979" i="1"/>
  <c r="P979" i="1"/>
  <c r="V980" i="1" l="1"/>
  <c r="AD980" i="1"/>
  <c r="AA980" i="1"/>
  <c r="AB980" i="1"/>
  <c r="S980" i="1"/>
  <c r="Y980" i="1"/>
  <c r="R980" i="1"/>
  <c r="P980" i="1"/>
  <c r="AE980" i="1"/>
  <c r="Q980" i="1"/>
  <c r="X980" i="1"/>
  <c r="O980" i="1"/>
  <c r="AI980" i="1"/>
  <c r="AC980" i="1"/>
  <c r="U980" i="1"/>
  <c r="AG980" i="1"/>
  <c r="T980" i="1"/>
  <c r="AH980" i="1"/>
  <c r="AF980" i="1"/>
  <c r="Z980" i="1"/>
  <c r="W980" i="1"/>
  <c r="T981" i="1" l="1"/>
  <c r="AG981" i="1"/>
  <c r="AB981" i="1"/>
  <c r="Q981" i="1"/>
  <c r="AI981" i="1"/>
  <c r="AA981" i="1"/>
  <c r="P981" i="1"/>
  <c r="AC981" i="1"/>
  <c r="AE981" i="1"/>
  <c r="U981" i="1"/>
  <c r="S981" i="1"/>
  <c r="Y981" i="1"/>
  <c r="AD981" i="1"/>
  <c r="X981" i="1"/>
  <c r="AF981" i="1"/>
  <c r="AH981" i="1"/>
  <c r="O981" i="1"/>
  <c r="R981" i="1"/>
  <c r="W981" i="1"/>
  <c r="V981" i="1"/>
  <c r="Z981" i="1"/>
  <c r="AB982" i="1" l="1"/>
  <c r="S982" i="1"/>
  <c r="Z982" i="1"/>
  <c r="AA982" i="1"/>
  <c r="V982" i="1"/>
  <c r="AI982" i="1"/>
  <c r="AF982" i="1"/>
  <c r="X982" i="1"/>
  <c r="P982" i="1"/>
  <c r="AD982" i="1"/>
  <c r="AE982" i="1"/>
  <c r="AH982" i="1"/>
  <c r="Q982" i="1"/>
  <c r="U982" i="1"/>
  <c r="AG982" i="1"/>
  <c r="AC982" i="1"/>
  <c r="O982" i="1"/>
  <c r="R982" i="1"/>
  <c r="Y982" i="1"/>
  <c r="W982" i="1"/>
  <c r="T982" i="1"/>
  <c r="Y983" i="1" l="1"/>
  <c r="AD983" i="1"/>
  <c r="Q983" i="1"/>
  <c r="AA983" i="1"/>
  <c r="U983" i="1"/>
  <c r="P983" i="1"/>
  <c r="R983" i="1"/>
  <c r="S983" i="1"/>
  <c r="AC983" i="1"/>
  <c r="AB983" i="1"/>
  <c r="V983" i="1"/>
  <c r="Z983" i="1"/>
  <c r="O983" i="1"/>
  <c r="X983" i="1"/>
  <c r="T983" i="1"/>
  <c r="W983" i="1"/>
  <c r="AI983" i="1"/>
  <c r="AE983" i="1"/>
  <c r="AH983" i="1"/>
  <c r="AG983" i="1"/>
  <c r="AF983" i="1"/>
  <c r="V984" i="1" l="1"/>
  <c r="W984" i="1"/>
  <c r="X984" i="1"/>
  <c r="R984" i="1"/>
  <c r="AG984" i="1"/>
  <c r="AE984" i="1"/>
  <c r="T984" i="1"/>
  <c r="S984" i="1"/>
  <c r="AF984" i="1"/>
  <c r="AH984" i="1"/>
  <c r="Y984" i="1"/>
  <c r="Z984" i="1"/>
  <c r="Q984" i="1"/>
  <c r="AI984" i="1"/>
  <c r="AB984" i="1"/>
  <c r="U984" i="1"/>
  <c r="AC984" i="1"/>
  <c r="P984" i="1"/>
  <c r="AD984" i="1"/>
  <c r="O984" i="1"/>
  <c r="AA984" i="1"/>
  <c r="AD985" i="1" l="1"/>
  <c r="AA985" i="1"/>
  <c r="Q985" i="1"/>
  <c r="R985" i="1"/>
  <c r="AH985" i="1"/>
  <c r="AF985" i="1"/>
  <c r="AC985" i="1"/>
  <c r="AE985" i="1"/>
  <c r="Z985" i="1"/>
  <c r="S985" i="1"/>
  <c r="T985" i="1"/>
  <c r="O985" i="1"/>
  <c r="AB985" i="1"/>
  <c r="W985" i="1"/>
  <c r="V985" i="1"/>
  <c r="X985" i="1"/>
  <c r="AG985" i="1"/>
  <c r="Y985" i="1"/>
  <c r="P985" i="1"/>
  <c r="AI985" i="1"/>
  <c r="U985" i="1"/>
  <c r="AA986" i="1" l="1"/>
  <c r="Z986" i="1"/>
  <c r="U986" i="1"/>
  <c r="Y986" i="1"/>
  <c r="X986" i="1"/>
  <c r="O986" i="1"/>
  <c r="AF986" i="1"/>
  <c r="AH986" i="1"/>
  <c r="Q986" i="1"/>
  <c r="AB986" i="1"/>
  <c r="AD986" i="1"/>
  <c r="AC986" i="1"/>
  <c r="R986" i="1"/>
  <c r="V986" i="1"/>
  <c r="AG986" i="1"/>
  <c r="W986" i="1"/>
  <c r="S986" i="1"/>
  <c r="AE986" i="1"/>
  <c r="T986" i="1"/>
  <c r="AI986" i="1"/>
  <c r="P986" i="1"/>
  <c r="O987" i="1" l="1"/>
  <c r="X987" i="1"/>
  <c r="AD987" i="1"/>
  <c r="Z987" i="1"/>
  <c r="V987" i="1"/>
  <c r="AA987" i="1"/>
  <c r="AI987" i="1"/>
  <c r="T987" i="1"/>
  <c r="AF987" i="1"/>
  <c r="S987" i="1"/>
  <c r="AG987" i="1"/>
  <c r="U987" i="1"/>
  <c r="AC987" i="1"/>
  <c r="AH987" i="1"/>
  <c r="P987" i="1"/>
  <c r="R987" i="1"/>
  <c r="AB987" i="1"/>
  <c r="Q987" i="1"/>
  <c r="AE987" i="1"/>
  <c r="Y987" i="1"/>
  <c r="W987" i="1"/>
  <c r="Z988" i="1" l="1"/>
  <c r="AI988" i="1"/>
  <c r="V988" i="1"/>
  <c r="W988" i="1"/>
  <c r="AG988" i="1"/>
  <c r="O988" i="1"/>
  <c r="AC988" i="1"/>
  <c r="AE988" i="1"/>
  <c r="T988" i="1"/>
  <c r="AF988" i="1"/>
  <c r="AD988" i="1"/>
  <c r="U988" i="1"/>
  <c r="P988" i="1"/>
  <c r="R988" i="1"/>
  <c r="S988" i="1"/>
  <c r="Y988" i="1"/>
  <c r="AA988" i="1"/>
  <c r="X988" i="1"/>
  <c r="Q988" i="1"/>
  <c r="AB988" i="1"/>
  <c r="AH988" i="1"/>
  <c r="Y989" i="1" l="1"/>
  <c r="O989" i="1"/>
  <c r="AB989" i="1"/>
  <c r="R989" i="1"/>
  <c r="AH989" i="1"/>
  <c r="AA989" i="1"/>
  <c r="AF989" i="1"/>
  <c r="P989" i="1"/>
  <c r="AG989" i="1"/>
  <c r="AC989" i="1"/>
  <c r="S989" i="1"/>
  <c r="AD989" i="1"/>
  <c r="Z989" i="1"/>
  <c r="T989" i="1"/>
  <c r="X989" i="1"/>
  <c r="V989" i="1"/>
  <c r="AI989" i="1"/>
  <c r="Q989" i="1"/>
  <c r="AE989" i="1"/>
  <c r="U989" i="1"/>
  <c r="W989" i="1"/>
  <c r="W990" i="1" l="1"/>
  <c r="U990" i="1"/>
  <c r="Y990" i="1"/>
  <c r="AC990" i="1"/>
  <c r="T990" i="1"/>
  <c r="R990" i="1"/>
  <c r="P990" i="1"/>
  <c r="AH990" i="1"/>
  <c r="AA990" i="1"/>
  <c r="AI990" i="1"/>
  <c r="S990" i="1"/>
  <c r="AF990" i="1"/>
  <c r="Z990" i="1"/>
  <c r="V990" i="1"/>
  <c r="AE990" i="1"/>
  <c r="O990" i="1"/>
  <c r="AD990" i="1"/>
  <c r="Q990" i="1"/>
  <c r="AB990" i="1"/>
  <c r="AG990" i="1"/>
  <c r="X990" i="1"/>
  <c r="AF991" i="1" l="1"/>
  <c r="AB991" i="1"/>
  <c r="AE991" i="1"/>
  <c r="S991" i="1"/>
  <c r="O991" i="1"/>
  <c r="P991" i="1"/>
  <c r="AD991" i="1"/>
  <c r="R991" i="1"/>
  <c r="AI991" i="1"/>
  <c r="Y991" i="1"/>
  <c r="X991" i="1"/>
  <c r="U991" i="1"/>
  <c r="AH991" i="1"/>
  <c r="T991" i="1"/>
  <c r="Q991" i="1"/>
  <c r="W991" i="1"/>
  <c r="AA991" i="1"/>
  <c r="V991" i="1"/>
  <c r="AG991" i="1"/>
  <c r="AC991" i="1"/>
  <c r="Z991" i="1"/>
  <c r="AH1001" i="1" l="1"/>
  <c r="AC1001" i="1"/>
  <c r="Z1001" i="1"/>
  <c r="X1001" i="1"/>
  <c r="P1001" i="1"/>
  <c r="R1001" i="1"/>
  <c r="AG1001" i="1"/>
  <c r="S1001" i="1"/>
  <c r="AE1001" i="1"/>
  <c r="T1001" i="1"/>
  <c r="AF1001" i="1"/>
  <c r="Y1001" i="1"/>
  <c r="U1001" i="1"/>
  <c r="W1001" i="1"/>
  <c r="AD1001" i="1"/>
  <c r="V1001" i="1"/>
  <c r="Q1001" i="1"/>
  <c r="AA1001" i="1"/>
  <c r="AI1001" i="1"/>
  <c r="AB1001" i="1"/>
  <c r="O1001" i="1"/>
  <c r="AF1002" i="1" l="1"/>
  <c r="Z1002" i="1"/>
  <c r="X1002" i="1"/>
  <c r="U1002" i="1"/>
  <c r="P1002" i="1"/>
  <c r="O1002" i="1"/>
  <c r="AD1002" i="1"/>
  <c r="AC1002" i="1"/>
  <c r="AI1002" i="1"/>
  <c r="W1002" i="1"/>
  <c r="S1002" i="1"/>
  <c r="AH1002" i="1"/>
  <c r="T1002" i="1"/>
  <c r="R1002" i="1"/>
  <c r="Q1002" i="1"/>
  <c r="Y1002" i="1"/>
  <c r="AG1002" i="1"/>
  <c r="AE1002" i="1"/>
  <c r="V1002" i="1"/>
  <c r="AB1002" i="1"/>
  <c r="AA1002" i="1"/>
  <c r="Q1003" i="1" l="1"/>
  <c r="W1003" i="1"/>
  <c r="AC1003" i="1"/>
  <c r="X1003" i="1"/>
  <c r="AD1003" i="1"/>
  <c r="AE1003" i="1"/>
  <c r="AG1003" i="1"/>
  <c r="V1003" i="1"/>
  <c r="U1003" i="1"/>
  <c r="T1003" i="1"/>
  <c r="AH1003" i="1"/>
  <c r="Z1003" i="1"/>
  <c r="S1003" i="1"/>
  <c r="P1003" i="1"/>
  <c r="Y1003" i="1"/>
  <c r="O1003" i="1"/>
  <c r="AI1003" i="1"/>
  <c r="AA1003" i="1"/>
  <c r="AB1003" i="1"/>
  <c r="R1003" i="1"/>
  <c r="AF1003" i="1"/>
  <c r="AH1004" i="1" l="1"/>
  <c r="AB1004" i="1"/>
  <c r="AF1004" i="1"/>
  <c r="U1004" i="1"/>
  <c r="AE1004" i="1"/>
  <c r="S1004" i="1"/>
  <c r="AG1004" i="1"/>
  <c r="R1004" i="1"/>
  <c r="AC1004" i="1"/>
  <c r="O1004" i="1"/>
  <c r="AA1004" i="1"/>
  <c r="X1004" i="1"/>
  <c r="Y1004" i="1"/>
  <c r="Q1004" i="1"/>
  <c r="Z1004" i="1"/>
  <c r="V1004" i="1"/>
  <c r="W1004" i="1"/>
  <c r="AD1004" i="1"/>
  <c r="T1004" i="1"/>
  <c r="AI1004" i="1"/>
  <c r="P1004" i="1"/>
  <c r="AA1200" i="1" l="1"/>
  <c r="AH1200" i="1"/>
  <c r="AG1200" i="1"/>
  <c r="U1200" i="1"/>
  <c r="X1200" i="1"/>
  <c r="AC1200" i="1"/>
  <c r="T1200" i="1"/>
  <c r="O1200" i="1"/>
  <c r="AD1200" i="1"/>
  <c r="P1200" i="1"/>
  <c r="S1200" i="1"/>
  <c r="AI1200" i="1"/>
  <c r="AE1200" i="1"/>
  <c r="AF1200" i="1"/>
  <c r="Y1200" i="1"/>
  <c r="Q1200" i="1"/>
  <c r="AB1200" i="1"/>
  <c r="V1200" i="1"/>
  <c r="Z1200" i="1"/>
  <c r="W1200" i="1"/>
  <c r="R1200" i="1"/>
  <c r="AF1006" i="1" l="1"/>
  <c r="U1006" i="1"/>
  <c r="AB1006" i="1"/>
  <c r="AH1006" i="1"/>
  <c r="S1006" i="1"/>
  <c r="AD1006" i="1"/>
  <c r="Q1006" i="1"/>
  <c r="T1006" i="1"/>
  <c r="AC1006" i="1"/>
  <c r="AG1006" i="1"/>
  <c r="AI1006" i="1"/>
  <c r="W1006" i="1"/>
  <c r="Z1006" i="1"/>
  <c r="R1006" i="1"/>
  <c r="X1006" i="1"/>
  <c r="O1006" i="1"/>
  <c r="Y1006" i="1"/>
  <c r="AA1006" i="1"/>
  <c r="AE1006" i="1"/>
  <c r="V1006" i="1"/>
  <c r="P1006" i="1"/>
  <c r="R1007" i="1" l="1"/>
  <c r="T1007" i="1"/>
  <c r="Q1007" i="1"/>
  <c r="X1007" i="1"/>
  <c r="W1007" i="1"/>
  <c r="Z1007" i="1"/>
  <c r="AC1007" i="1"/>
  <c r="Y1007" i="1"/>
  <c r="AD1007" i="1"/>
  <c r="U1007" i="1"/>
  <c r="AA1007" i="1"/>
  <c r="P1007" i="1"/>
  <c r="O1007" i="1"/>
  <c r="AH1007" i="1"/>
  <c r="V1007" i="1"/>
  <c r="AG1007" i="1"/>
  <c r="S1007" i="1"/>
  <c r="AI1007" i="1"/>
  <c r="AB1007" i="1"/>
  <c r="AF1007" i="1"/>
  <c r="AE1007" i="1"/>
  <c r="Z1008" i="1" l="1"/>
  <c r="X1008" i="1"/>
  <c r="W1008" i="1"/>
  <c r="AI1008" i="1"/>
  <c r="AH1008" i="1"/>
  <c r="Y1008" i="1"/>
  <c r="S1008" i="1"/>
  <c r="O1008" i="1"/>
  <c r="AF1008" i="1"/>
  <c r="AC1008" i="1"/>
  <c r="AB1008" i="1"/>
  <c r="AG1008" i="1"/>
  <c r="T1008" i="1"/>
  <c r="V1008" i="1"/>
  <c r="Q1008" i="1"/>
  <c r="R1008" i="1"/>
  <c r="AE1008" i="1"/>
  <c r="AA1008" i="1"/>
  <c r="U1008" i="1"/>
  <c r="AD1008" i="1"/>
  <c r="P1008" i="1"/>
  <c r="X1009" i="1" l="1"/>
  <c r="S1009" i="1"/>
  <c r="AI1009" i="1"/>
  <c r="O1009" i="1"/>
  <c r="T1009" i="1"/>
  <c r="AH1009" i="1"/>
  <c r="Y1009" i="1"/>
  <c r="AG1009" i="1"/>
  <c r="W1009" i="1"/>
  <c r="AB1009" i="1"/>
  <c r="Q1009" i="1"/>
  <c r="AA1009" i="1"/>
  <c r="AF1009" i="1"/>
  <c r="P1009" i="1"/>
  <c r="AD1009" i="1"/>
  <c r="V1009" i="1"/>
  <c r="AE1009" i="1"/>
  <c r="Z1009" i="1"/>
  <c r="AC1009" i="1"/>
  <c r="U1009" i="1"/>
  <c r="R1009" i="1"/>
  <c r="Q1010" i="1" l="1"/>
  <c r="R1010" i="1"/>
  <c r="AB1010" i="1"/>
  <c r="P1010" i="1"/>
  <c r="O1010" i="1"/>
  <c r="Z1010" i="1"/>
  <c r="T1010" i="1"/>
  <c r="X1010" i="1"/>
  <c r="AE1010" i="1"/>
  <c r="AA1010" i="1"/>
  <c r="AI1010" i="1"/>
  <c r="AC1010" i="1"/>
  <c r="Y1010" i="1"/>
  <c r="V1010" i="1"/>
  <c r="S1010" i="1"/>
  <c r="AD1010" i="1"/>
  <c r="W1010" i="1"/>
  <c r="U1010" i="1"/>
  <c r="AG1010" i="1"/>
  <c r="AF1010" i="1"/>
  <c r="AH1010" i="1"/>
  <c r="P1011" i="1" l="1"/>
  <c r="AF1011" i="1"/>
  <c r="T1011" i="1"/>
  <c r="R1011" i="1"/>
  <c r="Q1011" i="1"/>
  <c r="AG1011" i="1"/>
  <c r="AB1011" i="1"/>
  <c r="Y1011" i="1"/>
  <c r="W1011" i="1"/>
  <c r="O1011" i="1"/>
  <c r="AD1011" i="1"/>
  <c r="AC1011" i="1"/>
  <c r="Z1011" i="1"/>
  <c r="AH1011" i="1"/>
  <c r="X1011" i="1"/>
  <c r="AA1011" i="1"/>
  <c r="U1011" i="1"/>
  <c r="AI1011" i="1"/>
  <c r="S1011" i="1"/>
  <c r="V1011" i="1"/>
  <c r="AE1011" i="1"/>
  <c r="V1012" i="1" l="1"/>
  <c r="T1012" i="1"/>
  <c r="AI1012" i="1"/>
  <c r="W1012" i="1"/>
  <c r="U1012" i="1"/>
  <c r="X1012" i="1"/>
  <c r="AD1012" i="1"/>
  <c r="AH1012" i="1"/>
  <c r="Z1012" i="1"/>
  <c r="AB1012" i="1"/>
  <c r="S1012" i="1"/>
  <c r="AG1012" i="1"/>
  <c r="AE1012" i="1"/>
  <c r="Y1012" i="1"/>
  <c r="AA1012" i="1"/>
  <c r="O1012" i="1"/>
  <c r="AF1012" i="1"/>
  <c r="AC1012" i="1"/>
  <c r="Q1012" i="1"/>
  <c r="R1012" i="1"/>
  <c r="P1012" i="1"/>
  <c r="V1013" i="1" l="1"/>
  <c r="AE1013" i="1"/>
  <c r="AI1013" i="1"/>
  <c r="AB1013" i="1"/>
  <c r="Z1013" i="1"/>
  <c r="R1013" i="1"/>
  <c r="AD1013" i="1"/>
  <c r="AH1013" i="1"/>
  <c r="Y1013" i="1"/>
  <c r="AA1013" i="1"/>
  <c r="U1013" i="1"/>
  <c r="W1013" i="1"/>
  <c r="S1013" i="1"/>
  <c r="T1013" i="1"/>
  <c r="AC1013" i="1"/>
  <c r="X1013" i="1"/>
  <c r="AF1013" i="1"/>
  <c r="Q1013" i="1"/>
  <c r="P1013" i="1"/>
  <c r="O1013" i="1"/>
  <c r="AG1013" i="1"/>
  <c r="V1014" i="1" l="1"/>
  <c r="O1014" i="1"/>
  <c r="AI1014" i="1"/>
  <c r="X1014" i="1"/>
  <c r="Q1014" i="1"/>
  <c r="Z1014" i="1"/>
  <c r="AE1014" i="1"/>
  <c r="T1014" i="1"/>
  <c r="P1014" i="1"/>
  <c r="U1014" i="1"/>
  <c r="AG1014" i="1"/>
  <c r="Y1014" i="1"/>
  <c r="AB1014" i="1"/>
  <c r="AA1014" i="1"/>
  <c r="AH1014" i="1"/>
  <c r="AC1014" i="1"/>
  <c r="W1014" i="1"/>
  <c r="R1014" i="1"/>
  <c r="AF1014" i="1"/>
  <c r="S1014" i="1"/>
  <c r="AD1014" i="1"/>
  <c r="AI1015" i="1" l="1"/>
  <c r="Y1015" i="1"/>
  <c r="X1015" i="1"/>
  <c r="AG1015" i="1"/>
  <c r="AA1015" i="1"/>
  <c r="AD1015" i="1"/>
  <c r="AB1015" i="1"/>
  <c r="P1015" i="1"/>
  <c r="U1015" i="1"/>
  <c r="AE1015" i="1"/>
  <c r="AF1015" i="1"/>
  <c r="AH1015" i="1"/>
  <c r="Q1015" i="1"/>
  <c r="O1015" i="1"/>
  <c r="W1015" i="1"/>
  <c r="R1015" i="1"/>
  <c r="V1015" i="1"/>
  <c r="T1015" i="1"/>
  <c r="Z1015" i="1"/>
  <c r="AC1015" i="1"/>
  <c r="S1015" i="1"/>
  <c r="AH1204" i="1" l="1"/>
  <c r="AE1204" i="1"/>
  <c r="AC1204" i="1"/>
  <c r="R1204" i="1"/>
  <c r="O1204" i="1"/>
  <c r="X1204" i="1"/>
  <c r="W1204" i="1"/>
  <c r="P1204" i="1"/>
  <c r="AB1204" i="1"/>
  <c r="AI1204" i="1"/>
  <c r="T1204" i="1"/>
  <c r="AD1204" i="1"/>
  <c r="U1204" i="1"/>
  <c r="AF1204" i="1"/>
  <c r="AG1204" i="1"/>
  <c r="AA1204" i="1"/>
  <c r="Z1204" i="1"/>
  <c r="Y1204" i="1"/>
  <c r="Q1204" i="1"/>
  <c r="S1204" i="1"/>
  <c r="V1204" i="1"/>
  <c r="AG1018" i="1" l="1"/>
  <c r="AD1018" i="1"/>
  <c r="O1018" i="1"/>
  <c r="Q1018" i="1"/>
  <c r="U1018" i="1"/>
  <c r="Y1018" i="1"/>
  <c r="P1018" i="1"/>
  <c r="AF1018" i="1"/>
  <c r="AI1018" i="1"/>
  <c r="AH1018" i="1"/>
  <c r="AC1018" i="1"/>
  <c r="AE1018" i="1"/>
  <c r="V1018" i="1"/>
  <c r="S1018" i="1"/>
  <c r="T1018" i="1"/>
  <c r="Z1018" i="1"/>
  <c r="W1018" i="1"/>
  <c r="AB1018" i="1"/>
  <c r="X1018" i="1"/>
  <c r="AA1018" i="1"/>
  <c r="R1018" i="1"/>
  <c r="AB1019" i="1" l="1"/>
  <c r="R1019" i="1"/>
  <c r="AF1019" i="1"/>
  <c r="Z1019" i="1"/>
  <c r="P1019" i="1"/>
  <c r="AD1019" i="1"/>
  <c r="W1019" i="1"/>
  <c r="X1019" i="1"/>
  <c r="AE1019" i="1"/>
  <c r="V1019" i="1"/>
  <c r="U1019" i="1"/>
  <c r="AI1019" i="1"/>
  <c r="S1019" i="1"/>
  <c r="AC1019" i="1"/>
  <c r="T1019" i="1"/>
  <c r="Q1019" i="1"/>
  <c r="AA1019" i="1"/>
  <c r="AG1019" i="1"/>
  <c r="AH1019" i="1"/>
  <c r="O1019" i="1"/>
  <c r="Y1019" i="1"/>
  <c r="Q1029" i="1" l="1"/>
  <c r="X1029" i="1"/>
  <c r="AF1029" i="1"/>
  <c r="V1029" i="1"/>
  <c r="AB1029" i="1"/>
  <c r="AG1029" i="1"/>
  <c r="T1029" i="1"/>
  <c r="W1029" i="1"/>
  <c r="AC1029" i="1"/>
  <c r="Z1029" i="1"/>
  <c r="AD1029" i="1"/>
  <c r="U1029" i="1"/>
  <c r="AH1029" i="1"/>
  <c r="S1029" i="1"/>
  <c r="R1029" i="1"/>
  <c r="O1029" i="1"/>
  <c r="AE1029" i="1"/>
  <c r="Y1029" i="1"/>
  <c r="AA1029" i="1"/>
  <c r="P1029" i="1"/>
  <c r="AI1029" i="1"/>
  <c r="AD1030" i="1" l="1"/>
  <c r="AB1030" i="1"/>
  <c r="Z1030" i="1"/>
  <c r="Y1030" i="1"/>
  <c r="T1030" i="1"/>
  <c r="AG1030" i="1"/>
  <c r="AH1030" i="1"/>
  <c r="AA1030" i="1"/>
  <c r="R1030" i="1"/>
  <c r="AE1030" i="1"/>
  <c r="AI1030" i="1"/>
  <c r="O1030" i="1"/>
  <c r="U1030" i="1"/>
  <c r="W1030" i="1"/>
  <c r="AC1030" i="1"/>
  <c r="V1030" i="1"/>
  <c r="P1030" i="1"/>
  <c r="Q1030" i="1"/>
  <c r="S1030" i="1"/>
  <c r="X1030" i="1"/>
  <c r="AF1030" i="1"/>
  <c r="X1031" i="1" l="1"/>
  <c r="Y1031" i="1"/>
  <c r="P1031" i="1"/>
  <c r="Z1031" i="1"/>
  <c r="AB1031" i="1"/>
  <c r="AC1031" i="1"/>
  <c r="AH1031" i="1"/>
  <c r="AA1031" i="1"/>
  <c r="O1031" i="1"/>
  <c r="U1031" i="1"/>
  <c r="AD1031" i="1"/>
  <c r="AI1031" i="1"/>
  <c r="V1031" i="1"/>
  <c r="AG1031" i="1"/>
  <c r="R1031" i="1"/>
  <c r="Q1031" i="1"/>
  <c r="AF1031" i="1"/>
  <c r="T1031" i="1"/>
  <c r="AE1031" i="1"/>
  <c r="W1031" i="1"/>
  <c r="S1031" i="1"/>
  <c r="X1032" i="1" l="1"/>
  <c r="AC1032" i="1"/>
  <c r="P1032" i="1"/>
  <c r="AB1032" i="1"/>
  <c r="AE1032" i="1"/>
  <c r="O1032" i="1"/>
  <c r="R1032" i="1"/>
  <c r="AI1032" i="1"/>
  <c r="Z1032" i="1"/>
  <c r="AA1032" i="1"/>
  <c r="AH1032" i="1"/>
  <c r="AG1032" i="1"/>
  <c r="W1032" i="1"/>
  <c r="V1032" i="1"/>
  <c r="Y1032" i="1"/>
  <c r="T1032" i="1"/>
  <c r="AD1032" i="1"/>
  <c r="S1032" i="1"/>
  <c r="AF1032" i="1"/>
  <c r="Q1032" i="1"/>
  <c r="U1032" i="1"/>
  <c r="AD1033" i="1" l="1"/>
  <c r="R1033" i="1"/>
  <c r="Y1033" i="1"/>
  <c r="AB1033" i="1"/>
  <c r="X1033" i="1"/>
  <c r="AA1033" i="1"/>
  <c r="Z1033" i="1"/>
  <c r="AC1033" i="1"/>
  <c r="AH1033" i="1"/>
  <c r="Q1033" i="1"/>
  <c r="U1033" i="1"/>
  <c r="W1033" i="1"/>
  <c r="AF1033" i="1"/>
  <c r="AI1033" i="1"/>
  <c r="V1033" i="1"/>
  <c r="T1033" i="1"/>
  <c r="AG1033" i="1"/>
  <c r="AE1033" i="1"/>
  <c r="S1033" i="1"/>
  <c r="P1033" i="1"/>
  <c r="O1033" i="1"/>
  <c r="Z1034" i="1" l="1"/>
  <c r="W1034" i="1"/>
  <c r="U1034" i="1"/>
  <c r="AE1034" i="1"/>
  <c r="AB1034" i="1"/>
  <c r="X1034" i="1"/>
  <c r="AF1034" i="1"/>
  <c r="S1034" i="1"/>
  <c r="AH1034" i="1"/>
  <c r="AI1034" i="1"/>
  <c r="Q1034" i="1"/>
  <c r="AD1034" i="1"/>
  <c r="AG1034" i="1"/>
  <c r="Y1034" i="1"/>
  <c r="R1034" i="1"/>
  <c r="AA1034" i="1"/>
  <c r="AC1034" i="1"/>
  <c r="T1034" i="1"/>
  <c r="V1034" i="1"/>
  <c r="O1034" i="1"/>
  <c r="P1034" i="1"/>
  <c r="X1035" i="1" l="1"/>
  <c r="W1035" i="1"/>
  <c r="R1035" i="1"/>
  <c r="O1035" i="1"/>
  <c r="AA1035" i="1"/>
  <c r="Y1035" i="1"/>
  <c r="Q1035" i="1"/>
  <c r="T1035" i="1"/>
  <c r="P1035" i="1"/>
  <c r="S1035" i="1"/>
  <c r="AF1035" i="1"/>
  <c r="AH1035" i="1"/>
  <c r="AG1035" i="1"/>
  <c r="AD1035" i="1"/>
  <c r="AE1035" i="1"/>
  <c r="AC1035" i="1"/>
  <c r="V1035" i="1"/>
  <c r="AB1035" i="1"/>
  <c r="Z1035" i="1"/>
  <c r="U1035" i="1"/>
  <c r="AI1035" i="1"/>
  <c r="X1036" i="1" l="1"/>
  <c r="R1036" i="1"/>
  <c r="AH1036" i="1"/>
  <c r="AE1036" i="1"/>
  <c r="Q1036" i="1"/>
  <c r="T1036" i="1"/>
  <c r="W1036" i="1"/>
  <c r="O1036" i="1"/>
  <c r="U1036" i="1"/>
  <c r="AB1036" i="1"/>
  <c r="Z1036" i="1"/>
  <c r="AA1036" i="1"/>
  <c r="S1036" i="1"/>
  <c r="Y1036" i="1"/>
  <c r="P1036" i="1"/>
  <c r="AC1036" i="1"/>
  <c r="AD1036" i="1"/>
  <c r="V1036" i="1"/>
  <c r="AF1036" i="1"/>
  <c r="AI1036" i="1"/>
  <c r="AG1036" i="1"/>
  <c r="AF1037" i="1" l="1"/>
  <c r="R1037" i="1"/>
  <c r="AH1037" i="1"/>
  <c r="U1037" i="1"/>
  <c r="Y1037" i="1"/>
  <c r="P1037" i="1"/>
  <c r="AI1037" i="1"/>
  <c r="O1037" i="1"/>
  <c r="X1037" i="1"/>
  <c r="S1037" i="1"/>
  <c r="AD1037" i="1"/>
  <c r="Z1037" i="1"/>
  <c r="T1037" i="1"/>
  <c r="AC1037" i="1"/>
  <c r="AB1037" i="1"/>
  <c r="AG1037" i="1"/>
  <c r="AE1037" i="1"/>
  <c r="AA1037" i="1"/>
  <c r="Q1037" i="1"/>
  <c r="W1037" i="1"/>
  <c r="V1037" i="1"/>
  <c r="AG1038" i="1" l="1"/>
  <c r="W1038" i="1"/>
  <c r="P1038" i="1"/>
  <c r="AC1038" i="1"/>
  <c r="X1038" i="1"/>
  <c r="Q1038" i="1"/>
  <c r="AH1038" i="1"/>
  <c r="T1038" i="1"/>
  <c r="AD1038" i="1"/>
  <c r="AI1038" i="1"/>
  <c r="S1038" i="1"/>
  <c r="U1038" i="1"/>
  <c r="O1038" i="1"/>
  <c r="V1038" i="1"/>
  <c r="AF1038" i="1"/>
  <c r="Y1038" i="1"/>
  <c r="AB1038" i="1"/>
  <c r="R1038" i="1"/>
  <c r="Z1038" i="1"/>
  <c r="AE1038" i="1"/>
  <c r="AA1038" i="1"/>
  <c r="AC1039" i="1" l="1"/>
  <c r="T1039" i="1"/>
  <c r="AE1039" i="1"/>
  <c r="O1039" i="1"/>
  <c r="AF1039" i="1"/>
  <c r="S1039" i="1"/>
  <c r="Q1039" i="1"/>
  <c r="X1039" i="1"/>
  <c r="R1039" i="1"/>
  <c r="Z1039" i="1"/>
  <c r="AD1039" i="1"/>
  <c r="AB1039" i="1"/>
  <c r="P1039" i="1"/>
  <c r="AH1039" i="1"/>
  <c r="Y1039" i="1"/>
  <c r="AA1039" i="1"/>
  <c r="AG1039" i="1"/>
  <c r="U1039" i="1"/>
  <c r="V1039" i="1"/>
  <c r="W1039" i="1"/>
  <c r="AI1039" i="1"/>
  <c r="S1040" i="1" l="1"/>
  <c r="Y1040" i="1"/>
  <c r="T1040" i="1"/>
  <c r="W1040" i="1"/>
  <c r="AC1040" i="1"/>
  <c r="V1040" i="1"/>
  <c r="O1040" i="1"/>
  <c r="X1040" i="1"/>
  <c r="R1040" i="1"/>
  <c r="AB1040" i="1"/>
  <c r="AA1040" i="1"/>
  <c r="AH1040" i="1"/>
  <c r="Q1040" i="1"/>
  <c r="AF1040" i="1"/>
  <c r="U1040" i="1"/>
  <c r="P1040" i="1"/>
  <c r="AG1040" i="1"/>
  <c r="AD1040" i="1"/>
  <c r="AI1040" i="1"/>
  <c r="AE1040" i="1"/>
  <c r="Z1040" i="1"/>
  <c r="AC1041" i="1" l="1"/>
  <c r="AI1041" i="1"/>
  <c r="X1041" i="1"/>
  <c r="P1041" i="1"/>
  <c r="AE1041" i="1"/>
  <c r="V1041" i="1"/>
  <c r="AD1041" i="1"/>
  <c r="W1041" i="1"/>
  <c r="AG1041" i="1"/>
  <c r="Q1041" i="1"/>
  <c r="AB1041" i="1"/>
  <c r="R1041" i="1"/>
  <c r="T1041" i="1"/>
  <c r="S1041" i="1"/>
  <c r="O1041" i="1"/>
  <c r="U1041" i="1"/>
  <c r="AH1041" i="1"/>
  <c r="Z1041" i="1"/>
  <c r="Y1041" i="1"/>
  <c r="AF1041" i="1"/>
  <c r="AA1041" i="1"/>
  <c r="Z1042" i="1" l="1"/>
  <c r="AG1042" i="1"/>
  <c r="S1042" i="1"/>
  <c r="Q1042" i="1"/>
  <c r="AE1042" i="1"/>
  <c r="X1042" i="1"/>
  <c r="V1042" i="1"/>
  <c r="AA1042" i="1"/>
  <c r="AC1042" i="1"/>
  <c r="R1042" i="1"/>
  <c r="P1042" i="1"/>
  <c r="AF1042" i="1"/>
  <c r="AD1042" i="1"/>
  <c r="O1042" i="1"/>
  <c r="AI1042" i="1"/>
  <c r="W1042" i="1"/>
  <c r="T1042" i="1"/>
  <c r="AH1042" i="1"/>
  <c r="Y1042" i="1"/>
  <c r="U1042" i="1"/>
  <c r="AB1042" i="1"/>
  <c r="T1043" i="1" l="1"/>
  <c r="P1043" i="1"/>
  <c r="AH1043" i="1"/>
  <c r="W1043" i="1"/>
  <c r="Q1043" i="1"/>
  <c r="U1043" i="1"/>
  <c r="AG1043" i="1"/>
  <c r="AA1043" i="1"/>
  <c r="AB1043" i="1"/>
  <c r="AE1043" i="1"/>
  <c r="AD1043" i="1"/>
  <c r="R1043" i="1"/>
  <c r="AI1043" i="1"/>
  <c r="AC1043" i="1"/>
  <c r="Z1043" i="1"/>
  <c r="S1043" i="1"/>
  <c r="Y1043" i="1"/>
  <c r="AF1043" i="1"/>
  <c r="O1043" i="1"/>
  <c r="X1043" i="1"/>
  <c r="V1043" i="1"/>
  <c r="AC1044" i="1" l="1"/>
  <c r="AF1044" i="1"/>
  <c r="P1044" i="1"/>
  <c r="S1044" i="1"/>
  <c r="AG1044" i="1"/>
  <c r="AE1044" i="1"/>
  <c r="AD1044" i="1"/>
  <c r="AH1044" i="1"/>
  <c r="V1044" i="1"/>
  <c r="W1044" i="1"/>
  <c r="T1044" i="1"/>
  <c r="R1044" i="1"/>
  <c r="O1044" i="1"/>
  <c r="U1044" i="1"/>
  <c r="Y1044" i="1"/>
  <c r="AB1044" i="1"/>
  <c r="AI1044" i="1"/>
  <c r="AA1044" i="1"/>
  <c r="X1044" i="1"/>
  <c r="Q1044" i="1"/>
  <c r="Z1044" i="1"/>
  <c r="U1045" i="1" l="1"/>
  <c r="AD1045" i="1"/>
  <c r="AF1045" i="1"/>
  <c r="AE1045" i="1"/>
  <c r="Y1045" i="1"/>
  <c r="V1045" i="1"/>
  <c r="AC1045" i="1"/>
  <c r="O1045" i="1"/>
  <c r="AI1045" i="1"/>
  <c r="Z1045" i="1"/>
  <c r="AG1045" i="1"/>
  <c r="S1045" i="1"/>
  <c r="X1045" i="1"/>
  <c r="Q1045" i="1"/>
  <c r="W1045" i="1"/>
  <c r="AH1045" i="1"/>
  <c r="AB1045" i="1"/>
  <c r="AA1045" i="1"/>
  <c r="T1045" i="1"/>
  <c r="P1045" i="1"/>
  <c r="R1045" i="1"/>
  <c r="Z1046" i="1" l="1"/>
  <c r="AF1046" i="1"/>
  <c r="AD1046" i="1"/>
  <c r="AG1046" i="1"/>
  <c r="W1046" i="1"/>
  <c r="AC1046" i="1"/>
  <c r="S1046" i="1"/>
  <c r="P1046" i="1"/>
  <c r="AI1046" i="1"/>
  <c r="U1046" i="1"/>
  <c r="T1046" i="1"/>
  <c r="R1046" i="1"/>
  <c r="O1046" i="1"/>
  <c r="Y1046" i="1"/>
  <c r="Q1046" i="1"/>
  <c r="V1046" i="1"/>
  <c r="AE1046" i="1"/>
  <c r="X1046" i="1"/>
  <c r="AB1046" i="1"/>
  <c r="AA1046" i="1"/>
  <c r="AH1046" i="1"/>
  <c r="O1056" i="1" l="1"/>
  <c r="AF1056" i="1"/>
  <c r="T1056" i="1"/>
  <c r="AD1056" i="1"/>
  <c r="R1056" i="1"/>
  <c r="Z1056" i="1"/>
  <c r="AC1056" i="1"/>
  <c r="V1056" i="1"/>
  <c r="AI1056" i="1"/>
  <c r="AE1056" i="1"/>
  <c r="Y1056" i="1"/>
  <c r="S1056" i="1"/>
  <c r="AG1056" i="1"/>
  <c r="U1056" i="1"/>
  <c r="W1056" i="1"/>
  <c r="X1056" i="1"/>
  <c r="AA1056" i="1"/>
  <c r="AB1056" i="1"/>
  <c r="Q1056" i="1"/>
  <c r="P1056" i="1"/>
  <c r="AH1056" i="1"/>
  <c r="R1057" i="1" l="1"/>
  <c r="V1057" i="1"/>
  <c r="AG1057" i="1"/>
  <c r="P1057" i="1"/>
  <c r="AD1057" i="1"/>
  <c r="U1057" i="1"/>
  <c r="AA1057" i="1"/>
  <c r="S1057" i="1"/>
  <c r="AE1057" i="1"/>
  <c r="AC1057" i="1"/>
  <c r="Y1057" i="1"/>
  <c r="W1057" i="1"/>
  <c r="Z1057" i="1"/>
  <c r="T1057" i="1"/>
  <c r="AH1057" i="1"/>
  <c r="AF1057" i="1"/>
  <c r="X1057" i="1"/>
  <c r="AB1057" i="1"/>
  <c r="AI1057" i="1"/>
  <c r="Q1057" i="1"/>
  <c r="O1057" i="1"/>
  <c r="R1058" i="1" l="1"/>
  <c r="O1058" i="1"/>
  <c r="U1058" i="1"/>
  <c r="Y1058" i="1"/>
  <c r="AH1058" i="1"/>
  <c r="X1058" i="1"/>
  <c r="AC1058" i="1"/>
  <c r="AG1058" i="1"/>
  <c r="T1058" i="1"/>
  <c r="W1058" i="1"/>
  <c r="AE1058" i="1"/>
  <c r="AF1058" i="1"/>
  <c r="S1058" i="1"/>
  <c r="Q1058" i="1"/>
  <c r="V1058" i="1"/>
  <c r="Z1058" i="1"/>
  <c r="AA1058" i="1"/>
  <c r="P1058" i="1"/>
  <c r="AI1058" i="1"/>
  <c r="AB1058" i="1"/>
  <c r="AD1058" i="1"/>
  <c r="Q1059" i="1" l="1"/>
  <c r="S1059" i="1"/>
  <c r="AH1059" i="1"/>
  <c r="Y1059" i="1"/>
  <c r="Z1059" i="1"/>
  <c r="AF1059" i="1"/>
  <c r="AA1059" i="1"/>
  <c r="W1059" i="1"/>
  <c r="X1059" i="1"/>
  <c r="P1059" i="1"/>
  <c r="V1059" i="1"/>
  <c r="AG1059" i="1"/>
  <c r="AI1059" i="1"/>
  <c r="U1059" i="1"/>
  <c r="T1059" i="1"/>
  <c r="R1059" i="1"/>
  <c r="AB1059" i="1"/>
  <c r="O1059" i="1"/>
  <c r="AD1059" i="1"/>
  <c r="AC1059" i="1"/>
  <c r="AE1059" i="1"/>
  <c r="R1060" i="1" l="1"/>
  <c r="U1060" i="1"/>
  <c r="AH1060" i="1"/>
  <c r="X1060" i="1"/>
  <c r="AC1060" i="1"/>
  <c r="AB1060" i="1"/>
  <c r="Q1060" i="1"/>
  <c r="S1060" i="1"/>
  <c r="W1060" i="1"/>
  <c r="AA1060" i="1"/>
  <c r="O1060" i="1"/>
  <c r="AE1060" i="1"/>
  <c r="AG1060" i="1"/>
  <c r="AI1060" i="1"/>
  <c r="AD1060" i="1"/>
  <c r="Y1060" i="1"/>
  <c r="T1060" i="1"/>
  <c r="P1060" i="1"/>
  <c r="Z1060" i="1"/>
  <c r="V1060" i="1"/>
  <c r="AF1060" i="1"/>
  <c r="W1061" i="1" l="1"/>
  <c r="AD1061" i="1"/>
  <c r="AH1061" i="1"/>
  <c r="Q1061" i="1"/>
  <c r="T1061" i="1"/>
  <c r="V1061" i="1"/>
  <c r="AA1061" i="1"/>
  <c r="P1061" i="1"/>
  <c r="O1061" i="1"/>
  <c r="AC1061" i="1"/>
  <c r="Y1061" i="1"/>
  <c r="U1061" i="1"/>
  <c r="AG1061" i="1"/>
  <c r="Z1061" i="1"/>
  <c r="AI1061" i="1"/>
  <c r="AF1061" i="1"/>
  <c r="AB1061" i="1"/>
  <c r="S1061" i="1"/>
  <c r="AE1061" i="1"/>
  <c r="R1061" i="1"/>
  <c r="X1061" i="1"/>
  <c r="R1062" i="1" l="1"/>
  <c r="P1062" i="1"/>
  <c r="AE1062" i="1"/>
  <c r="AG1062" i="1"/>
  <c r="S1062" i="1"/>
  <c r="AH1062" i="1"/>
  <c r="AA1062" i="1"/>
  <c r="W1062" i="1"/>
  <c r="AI1062" i="1"/>
  <c r="O1062" i="1"/>
  <c r="Q1062" i="1"/>
  <c r="AC1062" i="1"/>
  <c r="V1062" i="1"/>
  <c r="AB1062" i="1"/>
  <c r="AD1062" i="1"/>
  <c r="AF1062" i="1"/>
  <c r="Z1062" i="1"/>
  <c r="Y1062" i="1"/>
  <c r="T1062" i="1"/>
  <c r="X1062" i="1"/>
  <c r="U1062" i="1"/>
  <c r="V1063" i="1" l="1"/>
  <c r="Z1063" i="1"/>
  <c r="R1063" i="1"/>
  <c r="S1063" i="1"/>
  <c r="Y1063" i="1"/>
  <c r="X1063" i="1"/>
  <c r="W1063" i="1"/>
  <c r="T1063" i="1"/>
  <c r="AB1063" i="1"/>
  <c r="P1063" i="1"/>
  <c r="AG1063" i="1"/>
  <c r="AH1063" i="1"/>
  <c r="AE1063" i="1"/>
  <c r="AI1063" i="1"/>
  <c r="AD1063" i="1"/>
  <c r="U1063" i="1"/>
  <c r="AF1063" i="1"/>
  <c r="AC1063" i="1"/>
  <c r="O1063" i="1"/>
  <c r="Q1063" i="1"/>
  <c r="AA1063" i="1"/>
  <c r="AF1064" i="1" l="1"/>
  <c r="W1064" i="1"/>
  <c r="Z1064" i="1"/>
  <c r="Y1064" i="1"/>
  <c r="AD1064" i="1"/>
  <c r="AH1064" i="1"/>
  <c r="AG1064" i="1"/>
  <c r="X1064" i="1"/>
  <c r="AA1064" i="1"/>
  <c r="Q1064" i="1"/>
  <c r="P1064" i="1"/>
  <c r="O1064" i="1"/>
  <c r="U1064" i="1"/>
  <c r="AE1064" i="1"/>
  <c r="T1064" i="1"/>
  <c r="V1064" i="1"/>
  <c r="AC1064" i="1"/>
  <c r="AB1064" i="1"/>
  <c r="S1064" i="1"/>
  <c r="AI1064" i="1"/>
  <c r="R1064" i="1"/>
  <c r="X1065" i="1" l="1"/>
  <c r="AI1065" i="1"/>
  <c r="V1065" i="1"/>
  <c r="W1065" i="1"/>
  <c r="AF1065" i="1"/>
  <c r="AC1065" i="1"/>
  <c r="Q1065" i="1"/>
  <c r="Y1065" i="1"/>
  <c r="Z1065" i="1"/>
  <c r="AE1065" i="1"/>
  <c r="T1065" i="1"/>
  <c r="AH1065" i="1"/>
  <c r="P1065" i="1"/>
  <c r="S1065" i="1"/>
  <c r="AD1065" i="1"/>
  <c r="O1065" i="1"/>
  <c r="AA1065" i="1"/>
  <c r="AG1065" i="1"/>
  <c r="U1065" i="1"/>
  <c r="AB1065" i="1"/>
  <c r="R1065" i="1"/>
  <c r="P1066" i="1" l="1"/>
  <c r="V1066" i="1"/>
  <c r="AF1066" i="1"/>
  <c r="AA1066" i="1"/>
  <c r="AC1066" i="1"/>
  <c r="X1066" i="1"/>
  <c r="AH1066" i="1"/>
  <c r="S1066" i="1"/>
  <c r="AG1066" i="1"/>
  <c r="AB1066" i="1"/>
  <c r="AD1066" i="1"/>
  <c r="R1066" i="1"/>
  <c r="Z1066" i="1"/>
  <c r="T1066" i="1"/>
  <c r="Y1066" i="1"/>
  <c r="W1066" i="1"/>
  <c r="Q1066" i="1"/>
  <c r="AI1066" i="1"/>
  <c r="O1066" i="1"/>
  <c r="U1066" i="1"/>
  <c r="AE1066" i="1"/>
  <c r="X1067" i="1" l="1"/>
  <c r="AA1067" i="1"/>
  <c r="AE1067" i="1"/>
  <c r="S1067" i="1"/>
  <c r="AG1067" i="1"/>
  <c r="AB1067" i="1"/>
  <c r="AC1067" i="1"/>
  <c r="AI1067" i="1"/>
  <c r="O1067" i="1"/>
  <c r="T1067" i="1"/>
  <c r="R1067" i="1"/>
  <c r="U1067" i="1"/>
  <c r="Q1067" i="1"/>
  <c r="AF1067" i="1"/>
  <c r="P1067" i="1"/>
  <c r="W1067" i="1"/>
  <c r="Y1067" i="1"/>
  <c r="Z1067" i="1"/>
  <c r="AD1067" i="1"/>
  <c r="AH1067" i="1"/>
  <c r="V1067" i="1"/>
  <c r="P1068" i="1" l="1"/>
  <c r="Y1068" i="1"/>
  <c r="AC1068" i="1"/>
  <c r="Q1068" i="1"/>
  <c r="AE1068" i="1"/>
  <c r="O1068" i="1"/>
  <c r="AF1068" i="1"/>
  <c r="R1068" i="1"/>
  <c r="T1068" i="1"/>
  <c r="Z1068" i="1"/>
  <c r="AG1068" i="1"/>
  <c r="AH1068" i="1"/>
  <c r="S1068" i="1"/>
  <c r="W1068" i="1"/>
  <c r="AB1068" i="1"/>
  <c r="AD1068" i="1"/>
  <c r="X1068" i="1"/>
  <c r="AI1068" i="1"/>
  <c r="AA1068" i="1"/>
  <c r="V1068" i="1"/>
  <c r="U1068" i="1"/>
  <c r="V1069" i="1" l="1"/>
  <c r="S1069" i="1"/>
  <c r="T1069" i="1"/>
  <c r="AD1069" i="1"/>
  <c r="AB1069" i="1"/>
  <c r="AE1069" i="1"/>
  <c r="O1069" i="1"/>
  <c r="Y1069" i="1"/>
  <c r="AI1069" i="1"/>
  <c r="AG1069" i="1"/>
  <c r="U1069" i="1"/>
  <c r="W1069" i="1"/>
  <c r="X1069" i="1"/>
  <c r="AH1069" i="1"/>
  <c r="AF1069" i="1"/>
  <c r="Z1069" i="1"/>
  <c r="Q1069" i="1"/>
  <c r="P1069" i="1"/>
  <c r="AC1069" i="1"/>
  <c r="R1069" i="1"/>
  <c r="AA1069" i="1"/>
  <c r="AB1070" i="1" l="1"/>
  <c r="AA1070" i="1"/>
  <c r="S1070" i="1"/>
  <c r="AC1070" i="1"/>
  <c r="Z1070" i="1"/>
  <c r="V1070" i="1"/>
  <c r="U1070" i="1"/>
  <c r="T1070" i="1"/>
  <c r="AF1070" i="1"/>
  <c r="R1070" i="1"/>
  <c r="AE1070" i="1"/>
  <c r="P1070" i="1"/>
  <c r="O1070" i="1"/>
  <c r="W1070" i="1"/>
  <c r="AD1070" i="1"/>
  <c r="Q1070" i="1"/>
  <c r="AI1070" i="1"/>
  <c r="AH1070" i="1"/>
  <c r="AG1070" i="1"/>
  <c r="Y1070" i="1"/>
  <c r="X1070" i="1"/>
  <c r="Y1071" i="1" l="1"/>
  <c r="S1071" i="1"/>
  <c r="Q1071" i="1"/>
  <c r="U1071" i="1"/>
  <c r="AG1071" i="1"/>
  <c r="Z1071" i="1"/>
  <c r="AB1071" i="1"/>
  <c r="R1071" i="1"/>
  <c r="T1071" i="1"/>
  <c r="AF1071" i="1"/>
  <c r="V1071" i="1"/>
  <c r="AE1071" i="1"/>
  <c r="P1071" i="1"/>
  <c r="AH1071" i="1"/>
  <c r="AI1071" i="1"/>
  <c r="W1071" i="1"/>
  <c r="AD1071" i="1"/>
  <c r="AA1071" i="1"/>
  <c r="O1071" i="1"/>
  <c r="X1071" i="1"/>
  <c r="AC1071" i="1"/>
  <c r="Y1072" i="1" l="1"/>
  <c r="Z1072" i="1"/>
  <c r="P1072" i="1"/>
  <c r="W1072" i="1"/>
  <c r="T1072" i="1"/>
  <c r="U1072" i="1"/>
  <c r="AE1072" i="1"/>
  <c r="AC1072" i="1"/>
  <c r="AI1072" i="1"/>
  <c r="AF1072" i="1"/>
  <c r="S1072" i="1"/>
  <c r="O1072" i="1"/>
  <c r="Q1072" i="1"/>
  <c r="AG1072" i="1"/>
  <c r="X1072" i="1"/>
  <c r="R1072" i="1"/>
  <c r="AB1072" i="1"/>
  <c r="AH1072" i="1"/>
  <c r="V1072" i="1"/>
  <c r="AA1072" i="1"/>
  <c r="AD1072" i="1"/>
  <c r="AH1073" i="1" l="1"/>
  <c r="U1073" i="1"/>
  <c r="AI1073" i="1"/>
  <c r="Y1073" i="1"/>
  <c r="P1073" i="1"/>
  <c r="X1073" i="1"/>
  <c r="T1073" i="1"/>
  <c r="AC1073" i="1"/>
  <c r="AD1073" i="1"/>
  <c r="AA1073" i="1"/>
  <c r="AG1073" i="1"/>
  <c r="S1073" i="1"/>
  <c r="AE1073" i="1"/>
  <c r="Z1073" i="1"/>
  <c r="O1073" i="1"/>
  <c r="W1073" i="1"/>
  <c r="AF1073" i="1"/>
  <c r="R1073" i="1"/>
  <c r="AB1073" i="1"/>
  <c r="V1073" i="1"/>
  <c r="Q1073" i="1"/>
  <c r="P1083" i="1" l="1"/>
  <c r="S1083" i="1"/>
  <c r="AF1083" i="1"/>
  <c r="Y1083" i="1"/>
  <c r="U1083" i="1"/>
  <c r="R1083" i="1"/>
  <c r="T1083" i="1"/>
  <c r="W1083" i="1"/>
  <c r="AA1083" i="1"/>
  <c r="AC1083" i="1"/>
  <c r="O1083" i="1"/>
  <c r="X1083" i="1"/>
  <c r="AG1083" i="1"/>
  <c r="AI1083" i="1"/>
  <c r="Z1083" i="1"/>
  <c r="AB1083" i="1"/>
  <c r="Q1083" i="1"/>
  <c r="AD1083" i="1"/>
  <c r="V1083" i="1"/>
  <c r="AE1083" i="1"/>
  <c r="AH1083" i="1"/>
  <c r="AI1084" i="1" l="1"/>
  <c r="W1084" i="1"/>
  <c r="P1084" i="1"/>
  <c r="AG1084" i="1"/>
  <c r="R1084" i="1"/>
  <c r="AA1084" i="1"/>
  <c r="Y1084" i="1"/>
  <c r="X1084" i="1"/>
  <c r="AH1084" i="1"/>
  <c r="Q1084" i="1"/>
  <c r="O1084" i="1"/>
  <c r="V1084" i="1"/>
  <c r="AF1084" i="1"/>
  <c r="AC1084" i="1"/>
  <c r="AE1084" i="1"/>
  <c r="Z1084" i="1"/>
  <c r="AB1084" i="1"/>
  <c r="T1084" i="1"/>
  <c r="U1084" i="1"/>
  <c r="AD1084" i="1"/>
  <c r="S1084" i="1"/>
  <c r="S1085" i="1" l="1"/>
  <c r="AI1085" i="1"/>
  <c r="X1085" i="1"/>
  <c r="AE1085" i="1"/>
  <c r="AG1085" i="1"/>
  <c r="AC1085" i="1"/>
  <c r="Z1085" i="1"/>
  <c r="W1085" i="1"/>
  <c r="AH1085" i="1"/>
  <c r="T1085" i="1"/>
  <c r="O1085" i="1"/>
  <c r="U1085" i="1"/>
  <c r="V1085" i="1"/>
  <c r="AB1085" i="1"/>
  <c r="Q1085" i="1"/>
  <c r="AF1085" i="1"/>
  <c r="AA1085" i="1"/>
  <c r="Y1085" i="1"/>
  <c r="R1085" i="1"/>
  <c r="AD1085" i="1"/>
  <c r="P1085" i="1"/>
  <c r="Q1086" i="1" l="1"/>
  <c r="AE1086" i="1"/>
  <c r="V1086" i="1"/>
  <c r="AG1086" i="1"/>
  <c r="T1086" i="1"/>
  <c r="AI1086" i="1"/>
  <c r="O1086" i="1"/>
  <c r="AF1086" i="1"/>
  <c r="U1086" i="1"/>
  <c r="AH1086" i="1"/>
  <c r="AC1086" i="1"/>
  <c r="S1086" i="1"/>
  <c r="W1086" i="1"/>
  <c r="P1086" i="1"/>
  <c r="AD1086" i="1"/>
  <c r="AB1086" i="1"/>
  <c r="Z1086" i="1"/>
  <c r="X1086" i="1"/>
  <c r="Y1086" i="1"/>
  <c r="R1086" i="1"/>
  <c r="AA1086" i="1"/>
  <c r="AF1087" i="1" l="1"/>
  <c r="W1087" i="1"/>
  <c r="S1087" i="1"/>
  <c r="AA1087" i="1"/>
  <c r="AC1087" i="1"/>
  <c r="X1087" i="1"/>
  <c r="AD1087" i="1"/>
  <c r="P1087" i="1"/>
  <c r="V1087" i="1"/>
  <c r="Z1087" i="1"/>
  <c r="AI1087" i="1"/>
  <c r="U1087" i="1"/>
  <c r="Y1087" i="1"/>
  <c r="R1087" i="1"/>
  <c r="T1087" i="1"/>
  <c r="AG1087" i="1"/>
  <c r="O1087" i="1"/>
  <c r="Q1087" i="1"/>
  <c r="AH1087" i="1"/>
  <c r="AB1087" i="1"/>
  <c r="AE1087" i="1"/>
  <c r="AC1088" i="1" l="1"/>
  <c r="AH1088" i="1"/>
  <c r="Y1088" i="1"/>
  <c r="AD1088" i="1"/>
  <c r="W1088" i="1"/>
  <c r="V1088" i="1"/>
  <c r="AI1088" i="1"/>
  <c r="Q1088" i="1"/>
  <c r="AF1088" i="1"/>
  <c r="S1088" i="1"/>
  <c r="U1088" i="1"/>
  <c r="AG1088" i="1"/>
  <c r="T1088" i="1"/>
  <c r="Z1088" i="1"/>
  <c r="AB1088" i="1"/>
  <c r="R1088" i="1"/>
  <c r="X1088" i="1"/>
  <c r="P1088" i="1"/>
  <c r="AA1088" i="1"/>
  <c r="O1088" i="1"/>
  <c r="AE1088" i="1"/>
  <c r="AD1089" i="1" l="1"/>
  <c r="AA1089" i="1"/>
  <c r="X1089" i="1"/>
  <c r="O1089" i="1"/>
  <c r="Y1089" i="1"/>
  <c r="W1089" i="1"/>
  <c r="R1089" i="1"/>
  <c r="AG1089" i="1"/>
  <c r="AH1089" i="1"/>
  <c r="U1089" i="1"/>
  <c r="AC1089" i="1"/>
  <c r="AE1089" i="1"/>
  <c r="AI1089" i="1"/>
  <c r="AF1089" i="1"/>
  <c r="P1089" i="1"/>
  <c r="V1089" i="1"/>
  <c r="Q1089" i="1"/>
  <c r="Z1089" i="1"/>
  <c r="T1089" i="1"/>
  <c r="S1089" i="1"/>
  <c r="AB1089" i="1"/>
  <c r="AG1090" i="1" l="1"/>
  <c r="V1090" i="1"/>
  <c r="AA1090" i="1"/>
  <c r="X1090" i="1"/>
  <c r="Z1090" i="1"/>
  <c r="Y1090" i="1"/>
  <c r="S1090" i="1"/>
  <c r="AH1090" i="1"/>
  <c r="AE1090" i="1"/>
  <c r="R1090" i="1"/>
  <c r="T1090" i="1"/>
  <c r="AD1090" i="1"/>
  <c r="U1090" i="1"/>
  <c r="AB1090" i="1"/>
  <c r="O1090" i="1"/>
  <c r="AI1090" i="1"/>
  <c r="AF1090" i="1"/>
  <c r="P1090" i="1"/>
  <c r="Q1090" i="1"/>
  <c r="W1090" i="1"/>
  <c r="AC1090" i="1"/>
  <c r="R1091" i="1" l="1"/>
  <c r="AD1091" i="1"/>
  <c r="AI1091" i="1"/>
  <c r="U1091" i="1"/>
  <c r="AF1091" i="1"/>
  <c r="S1091" i="1"/>
  <c r="AC1091" i="1"/>
  <c r="AA1091" i="1"/>
  <c r="W1091" i="1"/>
  <c r="Z1091" i="1"/>
  <c r="AH1091" i="1"/>
  <c r="AG1091" i="1"/>
  <c r="V1091" i="1"/>
  <c r="Q1091" i="1"/>
  <c r="O1091" i="1"/>
  <c r="P1091" i="1"/>
  <c r="X1091" i="1"/>
  <c r="AE1091" i="1"/>
  <c r="Y1091" i="1"/>
  <c r="AB1091" i="1"/>
  <c r="T1091" i="1"/>
  <c r="Q1092" i="1" l="1"/>
  <c r="W1092" i="1"/>
  <c r="Y1092" i="1"/>
  <c r="R1092" i="1"/>
  <c r="AC1092" i="1"/>
  <c r="AG1092" i="1"/>
  <c r="P1092" i="1"/>
  <c r="T1092" i="1"/>
  <c r="AH1092" i="1"/>
  <c r="AA1092" i="1"/>
  <c r="AI1092" i="1"/>
  <c r="AE1092" i="1"/>
  <c r="Z1092" i="1"/>
  <c r="AB1092" i="1"/>
  <c r="S1092" i="1"/>
  <c r="AD1092" i="1"/>
  <c r="X1092" i="1"/>
  <c r="AF1092" i="1"/>
  <c r="O1092" i="1"/>
  <c r="V1092" i="1"/>
  <c r="U1092" i="1"/>
  <c r="R1093" i="1" l="1"/>
  <c r="O1093" i="1"/>
  <c r="AF1093" i="1"/>
  <c r="Y1093" i="1"/>
  <c r="V1093" i="1"/>
  <c r="X1093" i="1"/>
  <c r="AA1093" i="1"/>
  <c r="AH1093" i="1"/>
  <c r="AI1093" i="1"/>
  <c r="AD1093" i="1"/>
  <c r="AE1093" i="1"/>
  <c r="U1093" i="1"/>
  <c r="AC1093" i="1"/>
  <c r="AG1093" i="1"/>
  <c r="W1093" i="1"/>
  <c r="S1093" i="1"/>
  <c r="P1093" i="1"/>
  <c r="Q1093" i="1"/>
  <c r="T1093" i="1"/>
  <c r="AB1093" i="1"/>
  <c r="Z1093" i="1"/>
  <c r="T1094" i="1" l="1"/>
  <c r="AA1094" i="1"/>
  <c r="AB1094" i="1"/>
  <c r="Z1094" i="1"/>
  <c r="AD1094" i="1"/>
  <c r="Y1094" i="1"/>
  <c r="R1094" i="1"/>
  <c r="O1094" i="1"/>
  <c r="U1094" i="1"/>
  <c r="AH1094" i="1"/>
  <c r="AI1094" i="1"/>
  <c r="S1094" i="1"/>
  <c r="P1094" i="1"/>
  <c r="Q1094" i="1"/>
  <c r="W1094" i="1"/>
  <c r="AG1094" i="1"/>
  <c r="V1094" i="1"/>
  <c r="AC1094" i="1"/>
  <c r="AE1094" i="1"/>
  <c r="AF1094" i="1"/>
  <c r="X1094" i="1"/>
  <c r="AB1095" i="1" l="1"/>
  <c r="AC1095" i="1"/>
  <c r="AH1095" i="1"/>
  <c r="V1095" i="1"/>
  <c r="P1095" i="1"/>
  <c r="AA1095" i="1"/>
  <c r="AI1095" i="1"/>
  <c r="R1095" i="1"/>
  <c r="AE1095" i="1"/>
  <c r="W1095" i="1"/>
  <c r="S1095" i="1"/>
  <c r="AF1095" i="1"/>
  <c r="Z1095" i="1"/>
  <c r="Q1095" i="1"/>
  <c r="U1095" i="1"/>
  <c r="AG1095" i="1"/>
  <c r="X1095" i="1"/>
  <c r="O1095" i="1"/>
  <c r="AD1095" i="1"/>
  <c r="T1095" i="1"/>
  <c r="Y1095" i="1"/>
  <c r="W1096" i="1" l="1"/>
  <c r="AA1096" i="1"/>
  <c r="P1096" i="1"/>
  <c r="AF1096" i="1"/>
  <c r="O1096" i="1"/>
  <c r="V1096" i="1"/>
  <c r="R1096" i="1"/>
  <c r="AD1096" i="1"/>
  <c r="S1096" i="1"/>
  <c r="AC1096" i="1"/>
  <c r="AI1096" i="1"/>
  <c r="AH1096" i="1"/>
  <c r="Z1096" i="1"/>
  <c r="AB1096" i="1"/>
  <c r="AG1096" i="1"/>
  <c r="U1096" i="1"/>
  <c r="X1096" i="1"/>
  <c r="T1096" i="1"/>
  <c r="Q1096" i="1"/>
  <c r="AE1096" i="1"/>
  <c r="Y1096" i="1"/>
  <c r="AH1097" i="1" l="1"/>
  <c r="X1097" i="1"/>
  <c r="AB1097" i="1"/>
  <c r="AA1097" i="1"/>
  <c r="W1097" i="1"/>
  <c r="AG1097" i="1"/>
  <c r="S1097" i="1"/>
  <c r="U1097" i="1"/>
  <c r="AC1097" i="1"/>
  <c r="Z1097" i="1"/>
  <c r="AE1097" i="1"/>
  <c r="V1097" i="1"/>
  <c r="AF1097" i="1"/>
  <c r="P1097" i="1"/>
  <c r="T1097" i="1"/>
  <c r="Q1097" i="1"/>
  <c r="O1097" i="1"/>
  <c r="AD1097" i="1"/>
  <c r="R1097" i="1"/>
  <c r="Y1097" i="1"/>
  <c r="AI1097" i="1"/>
  <c r="AB1098" i="1" l="1"/>
  <c r="O1098" i="1"/>
  <c r="Q1098" i="1"/>
  <c r="AI1098" i="1"/>
  <c r="AF1098" i="1"/>
  <c r="W1098" i="1"/>
  <c r="S1098" i="1"/>
  <c r="V1098" i="1"/>
  <c r="P1098" i="1"/>
  <c r="U1098" i="1"/>
  <c r="Y1098" i="1"/>
  <c r="AG1098" i="1"/>
  <c r="R1098" i="1"/>
  <c r="AD1098" i="1"/>
  <c r="Z1098" i="1"/>
  <c r="X1098" i="1"/>
  <c r="AC1098" i="1"/>
  <c r="AE1098" i="1"/>
  <c r="T1098" i="1"/>
  <c r="AH1098" i="1"/>
  <c r="AA1098" i="1"/>
  <c r="AA1099" i="1" l="1"/>
  <c r="AF1099" i="1"/>
  <c r="P1099" i="1"/>
  <c r="AD1099" i="1"/>
  <c r="W1099" i="1"/>
  <c r="T1099" i="1"/>
  <c r="X1099" i="1"/>
  <c r="V1099" i="1"/>
  <c r="O1099" i="1"/>
  <c r="AC1099" i="1"/>
  <c r="AB1099" i="1"/>
  <c r="AH1099" i="1"/>
  <c r="R1099" i="1"/>
  <c r="AG1099" i="1"/>
  <c r="S1099" i="1"/>
  <c r="Y1099" i="1"/>
  <c r="Z1099" i="1"/>
  <c r="Q1099" i="1"/>
  <c r="AI1099" i="1"/>
  <c r="AE1099" i="1"/>
  <c r="U1099" i="1"/>
  <c r="AD1100" i="1" l="1"/>
  <c r="X1100" i="1"/>
  <c r="T1100" i="1"/>
  <c r="P1100" i="1"/>
  <c r="AH1100" i="1"/>
  <c r="AB1100" i="1"/>
  <c r="W1100" i="1"/>
  <c r="AA1100" i="1"/>
  <c r="AI1100" i="1"/>
  <c r="U1100" i="1"/>
  <c r="Y1100" i="1"/>
  <c r="Q1100" i="1"/>
  <c r="V1100" i="1"/>
  <c r="AG1100" i="1"/>
  <c r="AE1100" i="1"/>
  <c r="O1100" i="1"/>
  <c r="R1100" i="1"/>
  <c r="AC1100" i="1"/>
  <c r="S1100" i="1"/>
  <c r="Z1100" i="1"/>
  <c r="AF1100" i="1"/>
  <c r="V1110" i="1" l="1"/>
  <c r="AI1110" i="1"/>
  <c r="AD1110" i="1"/>
  <c r="P1110" i="1"/>
  <c r="Z1110" i="1"/>
  <c r="U1110" i="1"/>
  <c r="T1110" i="1"/>
  <c r="X1110" i="1"/>
  <c r="AB1110" i="1"/>
  <c r="O1110" i="1"/>
  <c r="AF1110" i="1"/>
  <c r="AH1110" i="1"/>
  <c r="AC1110" i="1"/>
  <c r="AA1110" i="1"/>
  <c r="Y1110" i="1"/>
  <c r="AE1110" i="1"/>
  <c r="S1110" i="1"/>
  <c r="Q1110" i="1"/>
  <c r="W1110" i="1"/>
  <c r="AG1110" i="1"/>
  <c r="R1110" i="1"/>
  <c r="Z1111" i="1" l="1"/>
  <c r="AH1111" i="1"/>
  <c r="U1111" i="1"/>
  <c r="AD1111" i="1"/>
  <c r="X1111" i="1"/>
  <c r="Y1111" i="1"/>
  <c r="V1111" i="1"/>
  <c r="W1111" i="1"/>
  <c r="S1111" i="1"/>
  <c r="T1111" i="1"/>
  <c r="AA1111" i="1"/>
  <c r="AG1111" i="1"/>
  <c r="Q1111" i="1"/>
  <c r="R1111" i="1"/>
  <c r="O1111" i="1"/>
  <c r="AC1111" i="1"/>
  <c r="AF1111" i="1"/>
  <c r="AB1111" i="1"/>
  <c r="P1111" i="1"/>
  <c r="AE1111" i="1"/>
  <c r="AI1111" i="1"/>
  <c r="AF1112" i="1" l="1"/>
  <c r="S1112" i="1"/>
  <c r="AI1112" i="1"/>
  <c r="AG1112" i="1"/>
  <c r="AA1112" i="1"/>
  <c r="AC1112" i="1"/>
  <c r="T1112" i="1"/>
  <c r="W1112" i="1"/>
  <c r="AB1112" i="1"/>
  <c r="V1112" i="1"/>
  <c r="R1112" i="1"/>
  <c r="AE1112" i="1"/>
  <c r="Y1112" i="1"/>
  <c r="Z1112" i="1"/>
  <c r="O1112" i="1"/>
  <c r="AD1112" i="1"/>
  <c r="Q1112" i="1"/>
  <c r="P1112" i="1"/>
  <c r="AH1112" i="1"/>
  <c r="X1112" i="1"/>
  <c r="U1112" i="1"/>
  <c r="Q1113" i="1" l="1"/>
  <c r="U1113" i="1"/>
  <c r="AG1113" i="1"/>
  <c r="V1113" i="1"/>
  <c r="Y1113" i="1"/>
  <c r="AC1113" i="1"/>
  <c r="AF1113" i="1"/>
  <c r="AE1113" i="1"/>
  <c r="O1113" i="1"/>
  <c r="X1113" i="1"/>
  <c r="P1113" i="1"/>
  <c r="R1113" i="1"/>
  <c r="AI1113" i="1"/>
  <c r="T1113" i="1"/>
  <c r="Z1113" i="1"/>
  <c r="AD1113" i="1"/>
  <c r="S1113" i="1"/>
  <c r="AH1113" i="1"/>
  <c r="W1113" i="1"/>
  <c r="AA1113" i="1"/>
  <c r="AB1113" i="1"/>
  <c r="T1114" i="1" l="1"/>
  <c r="V1114" i="1"/>
  <c r="R1114" i="1"/>
  <c r="Q1114" i="1"/>
  <c r="W1114" i="1"/>
  <c r="AE1114" i="1"/>
  <c r="AI1114" i="1"/>
  <c r="S1114" i="1"/>
  <c r="AD1114" i="1"/>
  <c r="Y1114" i="1"/>
  <c r="P1114" i="1"/>
  <c r="Z1114" i="1"/>
  <c r="AG1114" i="1"/>
  <c r="U1114" i="1"/>
  <c r="O1114" i="1"/>
  <c r="AH1114" i="1"/>
  <c r="AA1114" i="1"/>
  <c r="AB1114" i="1"/>
  <c r="AF1114" i="1"/>
  <c r="X1114" i="1"/>
  <c r="AC1114" i="1"/>
  <c r="T1115" i="1" l="1"/>
  <c r="AH1115" i="1"/>
  <c r="Y1115" i="1"/>
  <c r="P1115" i="1"/>
  <c r="AF1115" i="1"/>
  <c r="W1115" i="1"/>
  <c r="Z1115" i="1"/>
  <c r="AB1115" i="1"/>
  <c r="X1115" i="1"/>
  <c r="U1115" i="1"/>
  <c r="AG1115" i="1"/>
  <c r="R1115" i="1"/>
  <c r="S1115" i="1"/>
  <c r="O1115" i="1"/>
  <c r="AE1115" i="1"/>
  <c r="AI1115" i="1"/>
  <c r="AC1115" i="1"/>
  <c r="AA1115" i="1"/>
  <c r="V1115" i="1"/>
  <c r="AD1115" i="1"/>
  <c r="Q1115" i="1"/>
  <c r="AG1116" i="1" l="1"/>
  <c r="Z1116" i="1"/>
  <c r="S1116" i="1"/>
  <c r="Y1116" i="1"/>
  <c r="R1116" i="1"/>
  <c r="T1116" i="1"/>
  <c r="AF1116" i="1"/>
  <c r="AA1116" i="1"/>
  <c r="AI1116" i="1"/>
  <c r="AD1116" i="1"/>
  <c r="W1116" i="1"/>
  <c r="O1116" i="1"/>
  <c r="Q1116" i="1"/>
  <c r="AH1116" i="1"/>
  <c r="X1116" i="1"/>
  <c r="P1116" i="1"/>
  <c r="AC1116" i="1"/>
  <c r="AB1116" i="1"/>
  <c r="AE1116" i="1"/>
  <c r="V1116" i="1"/>
  <c r="U1116" i="1"/>
  <c r="O1117" i="1" l="1"/>
  <c r="Z1117" i="1"/>
  <c r="U1117" i="1"/>
  <c r="AC1117" i="1"/>
  <c r="AG1117" i="1"/>
  <c r="AD1117" i="1"/>
  <c r="AI1117" i="1"/>
  <c r="S1117" i="1"/>
  <c r="X1117" i="1"/>
  <c r="T1117" i="1"/>
  <c r="V1117" i="1"/>
  <c r="AE1117" i="1"/>
  <c r="R1117" i="1"/>
  <c r="Q1117" i="1"/>
  <c r="AA1117" i="1"/>
  <c r="AB1117" i="1"/>
  <c r="P1117" i="1"/>
  <c r="W1117" i="1"/>
  <c r="Y1117" i="1"/>
  <c r="AH1117" i="1"/>
  <c r="AF1117" i="1"/>
  <c r="AE1118" i="1" l="1"/>
  <c r="O1118" i="1"/>
  <c r="Y1118" i="1"/>
  <c r="S1118" i="1"/>
  <c r="U1118" i="1"/>
  <c r="AH1118" i="1"/>
  <c r="V1118" i="1"/>
  <c r="AA1118" i="1"/>
  <c r="R1118" i="1"/>
  <c r="AI1118" i="1"/>
  <c r="Q1118" i="1"/>
  <c r="P1118" i="1"/>
  <c r="W1118" i="1"/>
  <c r="AC1118" i="1"/>
  <c r="AD1118" i="1"/>
  <c r="AB1118" i="1"/>
  <c r="Z1118" i="1"/>
  <c r="X1118" i="1"/>
  <c r="AF1118" i="1"/>
  <c r="T1118" i="1"/>
  <c r="AG1118" i="1"/>
  <c r="AH1119" i="1" l="1"/>
  <c r="O1119" i="1"/>
  <c r="S1119" i="1"/>
  <c r="AD1119" i="1"/>
  <c r="AB1119" i="1"/>
  <c r="P1119" i="1"/>
  <c r="Y1119" i="1"/>
  <c r="AF1119" i="1"/>
  <c r="W1119" i="1"/>
  <c r="AC1119" i="1"/>
  <c r="X1119" i="1"/>
  <c r="Z1119" i="1"/>
  <c r="R1119" i="1"/>
  <c r="AI1119" i="1"/>
  <c r="V1119" i="1"/>
  <c r="AG1119" i="1"/>
  <c r="AA1119" i="1"/>
  <c r="AE1119" i="1"/>
  <c r="T1119" i="1"/>
  <c r="U1119" i="1"/>
  <c r="Q1119" i="1"/>
  <c r="AI1120" i="1" l="1"/>
  <c r="V1120" i="1"/>
  <c r="R1120" i="1"/>
  <c r="AC1120" i="1"/>
  <c r="S1120" i="1"/>
  <c r="W1120" i="1"/>
  <c r="AG1120" i="1"/>
  <c r="AD1120" i="1"/>
  <c r="Z1120" i="1"/>
  <c r="AF1120" i="1"/>
  <c r="AB1120" i="1"/>
  <c r="AH1120" i="1"/>
  <c r="AE1120" i="1"/>
  <c r="P1120" i="1"/>
  <c r="U1120" i="1"/>
  <c r="Q1120" i="1"/>
  <c r="Y1120" i="1"/>
  <c r="T1120" i="1"/>
  <c r="X1120" i="1"/>
  <c r="AA1120" i="1"/>
  <c r="O1120" i="1"/>
  <c r="X1121" i="1" l="1"/>
  <c r="AD1121" i="1"/>
  <c r="AC1121" i="1"/>
  <c r="AI1121" i="1"/>
  <c r="O1121" i="1"/>
  <c r="S1121" i="1"/>
  <c r="AF1121" i="1"/>
  <c r="V1121" i="1"/>
  <c r="Q1121" i="1"/>
  <c r="P1121" i="1"/>
  <c r="AB1121" i="1"/>
  <c r="R1121" i="1"/>
  <c r="W1121" i="1"/>
  <c r="AA1121" i="1"/>
  <c r="AE1121" i="1"/>
  <c r="U1121" i="1"/>
  <c r="Z1121" i="1"/>
  <c r="AH1121" i="1"/>
  <c r="Y1121" i="1"/>
  <c r="AG1121" i="1"/>
  <c r="T1121" i="1"/>
  <c r="AC1122" i="1" l="1"/>
  <c r="V1122" i="1"/>
  <c r="U1122" i="1"/>
  <c r="AG1122" i="1"/>
  <c r="Q1122" i="1"/>
  <c r="P1122" i="1"/>
  <c r="W1122" i="1"/>
  <c r="AE1122" i="1"/>
  <c r="AA1122" i="1"/>
  <c r="AD1122" i="1"/>
  <c r="Z1122" i="1"/>
  <c r="T1122" i="1"/>
  <c r="X1122" i="1"/>
  <c r="O1122" i="1"/>
  <c r="AB1122" i="1"/>
  <c r="AF1122" i="1"/>
  <c r="AI1122" i="1"/>
  <c r="S1122" i="1"/>
  <c r="AH1122" i="1"/>
  <c r="R1122" i="1"/>
  <c r="Y1122" i="1"/>
  <c r="AH1123" i="1" l="1"/>
  <c r="W1123" i="1"/>
  <c r="U1123" i="1"/>
  <c r="AF1123" i="1"/>
  <c r="V1123" i="1"/>
  <c r="S1123" i="1"/>
  <c r="AD1123" i="1"/>
  <c r="AE1123" i="1"/>
  <c r="Z1123" i="1"/>
  <c r="AG1123" i="1"/>
  <c r="AC1123" i="1"/>
  <c r="AB1123" i="1"/>
  <c r="P1123" i="1"/>
  <c r="Q1123" i="1"/>
  <c r="AI1123" i="1"/>
  <c r="R1123" i="1"/>
  <c r="Y1123" i="1"/>
  <c r="T1123" i="1"/>
  <c r="X1123" i="1"/>
  <c r="O1123" i="1"/>
  <c r="AA1123" i="1"/>
  <c r="AC1124" i="1" l="1"/>
  <c r="W1124" i="1"/>
  <c r="AD1124" i="1"/>
  <c r="AI1124" i="1"/>
  <c r="R1124" i="1"/>
  <c r="AE1124" i="1"/>
  <c r="Q1124" i="1"/>
  <c r="AF1124" i="1"/>
  <c r="O1124" i="1"/>
  <c r="AH1124" i="1"/>
  <c r="AA1124" i="1"/>
  <c r="Y1124" i="1"/>
  <c r="AB1124" i="1"/>
  <c r="U1124" i="1"/>
  <c r="V1124" i="1"/>
  <c r="S1124" i="1"/>
  <c r="P1124" i="1"/>
  <c r="AG1124" i="1"/>
  <c r="X1124" i="1"/>
  <c r="T1124" i="1"/>
  <c r="Z1124" i="1"/>
  <c r="O1125" i="1" l="1"/>
  <c r="AG1125" i="1"/>
  <c r="U1125" i="1"/>
  <c r="AC1125" i="1"/>
  <c r="S1125" i="1"/>
  <c r="T1125" i="1"/>
  <c r="V1125" i="1"/>
  <c r="X1125" i="1"/>
  <c r="AF1125" i="1"/>
  <c r="Z1125" i="1"/>
  <c r="AE1125" i="1"/>
  <c r="AA1125" i="1"/>
  <c r="AD1125" i="1"/>
  <c r="Q1125" i="1"/>
  <c r="Y1125" i="1"/>
  <c r="AH1125" i="1"/>
  <c r="AB1125" i="1"/>
  <c r="R1125" i="1"/>
  <c r="P1125" i="1"/>
  <c r="AI1125" i="1"/>
  <c r="W1125" i="1"/>
  <c r="AF1126" i="1" l="1"/>
  <c r="W1126" i="1"/>
  <c r="Q1126" i="1"/>
  <c r="AA1126" i="1"/>
  <c r="AH1126" i="1"/>
  <c r="S1126" i="1"/>
  <c r="AG1126" i="1"/>
  <c r="R1126" i="1"/>
  <c r="V1126" i="1"/>
  <c r="AE1126" i="1"/>
  <c r="P1126" i="1"/>
  <c r="AI1126" i="1"/>
  <c r="Z1126" i="1"/>
  <c r="X1126" i="1"/>
  <c r="T1126" i="1"/>
  <c r="O1126" i="1"/>
  <c r="AB1126" i="1"/>
  <c r="AC1126" i="1"/>
  <c r="AD1126" i="1"/>
  <c r="U1126" i="1"/>
  <c r="Y1126" i="1"/>
  <c r="O1127" i="1" l="1"/>
  <c r="AI1127" i="1"/>
  <c r="Z1127" i="1"/>
  <c r="P1127" i="1"/>
  <c r="AA1127" i="1"/>
  <c r="AE1127" i="1"/>
  <c r="AB1127" i="1"/>
  <c r="AG1127" i="1"/>
  <c r="AC1127" i="1"/>
  <c r="T1127" i="1"/>
  <c r="AF1127" i="1"/>
  <c r="R1127" i="1"/>
  <c r="U1127" i="1"/>
  <c r="V1127" i="1"/>
  <c r="Y1127" i="1"/>
  <c r="X1127" i="1"/>
  <c r="AH1127" i="1"/>
  <c r="S1127" i="1"/>
  <c r="AD1127" i="1"/>
  <c r="W1127" i="1"/>
  <c r="Q112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tc={CABD6920-9344-4DDE-8F82-513F2FBF0073}</author>
    <author>tc={81164325-A9C5-47CF-B366-707DB21DCDAC}</author>
    <author>tc={DC7F9F9D-D34A-449B-AB94-3E362D1A0A7E}</author>
  </authors>
  <commentList>
    <comment ref="AA1" authorId="0" shapeId="0" xr:uid="{CABD6920-9344-4DDE-8F82-513F2FBF007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>
      </text>
    </comment>
    <comment ref="AB187" authorId="1" shapeId="0" xr:uid="{81164325-A9C5-47CF-B366-707DB21DCD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  <comment ref="AB565" authorId="2" shapeId="0" xr:uid="{DC7F9F9D-D34A-449B-AB94-3E362D1A0A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</commentList>
</comments>
</file>

<file path=xl/sharedStrings.xml><?xml version="1.0" encoding="utf-8"?>
<sst xmlns="http://schemas.openxmlformats.org/spreadsheetml/2006/main" count="22236" uniqueCount="64">
  <si>
    <t>EURGBP</t>
  </si>
  <si>
    <t>Sharpe Ratio</t>
  </si>
  <si>
    <t>10 Min</t>
  </si>
  <si>
    <t>5 Min</t>
  </si>
  <si>
    <t>Initial Order size</t>
  </si>
  <si>
    <t>AUDUSD</t>
  </si>
  <si>
    <t>GBPJPY</t>
  </si>
  <si>
    <t>GBPUSD</t>
  </si>
  <si>
    <t>Drawdown</t>
  </si>
  <si>
    <t>Symbol</t>
  </si>
  <si>
    <t>RSI_Long</t>
  </si>
  <si>
    <t>RSI_Short</t>
  </si>
  <si>
    <t>RSI_Days</t>
  </si>
  <si>
    <t>ADX_Days</t>
  </si>
  <si>
    <t>Start_Date</t>
  </si>
  <si>
    <t>End_Date</t>
  </si>
  <si>
    <t>Brokerage Model</t>
  </si>
  <si>
    <t>Oanda</t>
  </si>
  <si>
    <t>Time Bars</t>
  </si>
  <si>
    <t>USDCAD</t>
  </si>
  <si>
    <t>USDCHF</t>
  </si>
  <si>
    <t>USDJPY</t>
  </si>
  <si>
    <t>15 Min</t>
  </si>
  <si>
    <t>Alpha</t>
  </si>
  <si>
    <t>Beta</t>
  </si>
  <si>
    <t>Average Win</t>
  </si>
  <si>
    <t>Profit-Loss Ratio</t>
  </si>
  <si>
    <t>PSR</t>
  </si>
  <si>
    <t>Total Trades</t>
  </si>
  <si>
    <t>Average Loss</t>
  </si>
  <si>
    <t>Compounding Annual Return</t>
  </si>
  <si>
    <t>Expectancy</t>
  </si>
  <si>
    <t>Net Profit</t>
  </si>
  <si>
    <t>Loss Rate</t>
  </si>
  <si>
    <t>Win Rate</t>
  </si>
  <si>
    <t>Annual Standard Deviation</t>
  </si>
  <si>
    <t>Annual Variance</t>
  </si>
  <si>
    <t>Information Ratio</t>
  </si>
  <si>
    <t>Tracking Error</t>
  </si>
  <si>
    <t>Treynor Ratio</t>
  </si>
  <si>
    <t>Total Fees</t>
  </si>
  <si>
    <t>Estimated Strategy Capacity</t>
  </si>
  <si>
    <t>Lowest Capacity Asset</t>
  </si>
  <si>
    <t>EURGBP 8G</t>
  </si>
  <si>
    <t>AUDUSD 8G</t>
  </si>
  <si>
    <t>USDCAD 8G</t>
  </si>
  <si>
    <t>GBPUSD 8G</t>
  </si>
  <si>
    <t>GBPJPY 8G</t>
  </si>
  <si>
    <t>ID</t>
  </si>
  <si>
    <t>Metric</t>
  </si>
  <si>
    <t>Value</t>
  </si>
  <si>
    <t>lookup</t>
  </si>
  <si>
    <t>Config</t>
  </si>
  <si>
    <t>Stress</t>
  </si>
  <si>
    <t>Account</t>
  </si>
  <si>
    <t>V.0</t>
  </si>
  <si>
    <t>V.1</t>
  </si>
  <si>
    <t>Algo Version</t>
  </si>
  <si>
    <t>V.2</t>
  </si>
  <si>
    <t>Filter</t>
  </si>
  <si>
    <t>Top results</t>
  </si>
  <si>
    <t xml:space="preserve">           </t>
  </si>
  <si>
    <t>github.com</t>
  </si>
  <si>
    <t>1004.2a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</si>
</sst>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6"/>
      <color rgb="FFD4D4D4"/>
      <name val="Var(--vscode-editor-font-family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10" fontId="0" fillId="0" borderId="0" xfId="0" applyNumberFormat="1"/>
    <xf numFmtId="9" fontId="0" fillId="0" borderId="0" xfId="0" applyNumberFormat="1"/>
    <xf numFmtId="8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2" fillId="0" borderId="0" xfId="0" applyFont="1"/>
    <xf numFmtId="2" fontId="0" fillId="0" borderId="0" xfId="0" applyNumberFormat="1"/>
    <xf numFmtId="0" fontId="3" fillId="0" borderId="0" xfId="0" applyFont="1" applyAlignment="1">
      <alignment vertical="center"/>
    </xf>
    <xf numFmtId="0" fontId="3" fillId="0" borderId="0" xfId="0" applyFont="1"/>
    <xf numFmtId="8" fontId="3" fillId="0" borderId="0" xfId="0" applyNumberFormat="1" applyFont="1" applyAlignment="1">
      <alignment horizontal="left" vertical="center" wrapText="1" indent="1"/>
    </xf>
    <xf numFmtId="0" fontId="0" fillId="3" borderId="0" xfId="0" applyFill="1"/>
    <xf numFmtId="0" fontId="0" fillId="4" borderId="0" xfId="0" applyFill="1"/>
    <xf numFmtId="0" fontId="2" fillId="4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14" fontId="0" fillId="0" borderId="1" xfId="0" applyNumberFormat="1" applyBorder="1"/>
    <xf numFmtId="0" fontId="0" fillId="0" borderId="1" xfId="0" applyBorder="1"/>
    <xf numFmtId="0" fontId="3" fillId="0" borderId="0" xfId="0" applyFont="1" applyAlignment="1">
      <alignment horizontal="left" vertical="center" indent="1"/>
    </xf>
    <xf numFmtId="0" fontId="2" fillId="4" borderId="0" xfId="0" applyFont="1" applyFill="1"/>
    <xf numFmtId="14" fontId="2" fillId="0" borderId="0" xfId="0" applyNumberFormat="1" applyFont="1"/>
    <xf numFmtId="14" fontId="0" fillId="2" borderId="0" xfId="0" applyNumberFormat="1" applyFill="1"/>
    <xf numFmtId="0" fontId="0" fillId="5" borderId="0" xfId="0" applyFill="1"/>
    <xf numFmtId="0" fontId="0" fillId="6" borderId="0" xfId="0" applyFill="1"/>
    <xf numFmtId="0" fontId="2" fillId="4" borderId="2" xfId="0" applyFont="1" applyFill="1" applyBorder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 wrapText="1" indent="1"/>
    </xf>
    <xf numFmtId="9" fontId="5" fillId="0" borderId="0" xfId="0" applyNumberFormat="1" applyFont="1" applyAlignment="1">
      <alignment horizontal="left" vertical="center" wrapText="1" indent="1"/>
    </xf>
    <xf numFmtId="8" fontId="5" fillId="0" borderId="0" xfId="0" applyNumberFormat="1" applyFont="1" applyAlignment="1">
      <alignment horizontal="left" vertical="center" wrapText="1" indent="1"/>
    </xf>
    <xf numFmtId="0" fontId="2" fillId="0" borderId="0" xfId="0" applyFont="1" applyAlignment="1">
      <alignment horizontal="right"/>
    </xf>
    <xf numFmtId="0" fontId="2" fillId="4" borderId="3" xfId="0" applyFont="1" applyFill="1" applyBorder="1"/>
    <xf numFmtId="0" fontId="2" fillId="5" borderId="0" xfId="0" applyFont="1" applyFill="1"/>
    <xf numFmtId="0" fontId="0" fillId="7" borderId="0" xfId="0" applyFill="1"/>
    <xf numFmtId="0" fontId="0" fillId="7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0" fontId="0" fillId="8" borderId="0" xfId="0" applyFill="1"/>
    <xf numFmtId="14" fontId="0" fillId="8" borderId="0" xfId="0" applyNumberFormat="1" applyFill="1"/>
    <xf numFmtId="0" fontId="2" fillId="8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3</xdr:row>
      <xdr:rowOff>50800</xdr:rowOff>
    </xdr:from>
    <xdr:to>
      <xdr:col>4</xdr:col>
      <xdr:colOff>88900</xdr:colOff>
      <xdr:row>5</xdr:row>
      <xdr:rowOff>171450</xdr:rowOff>
    </xdr:to>
    <xdr:sp macro="[0]!TestPythonRunner" textlink="">
      <xdr:nvSpPr>
        <xdr:cNvPr id="2" name="Rectangle 1">
          <a:extLst>
            <a:ext uri="{FF2B5EF4-FFF2-40B4-BE49-F238E27FC236}">
              <a16:creationId xmlns:a16="http://schemas.microsoft.com/office/drawing/2014/main" id="{AB9ED68C-7864-EBBE-E1F1-83EE78113465}"/>
            </a:ext>
          </a:extLst>
        </xdr:cNvPr>
        <xdr:cNvSpPr/>
      </xdr:nvSpPr>
      <xdr:spPr>
        <a:xfrm>
          <a:off x="1143000" y="603250"/>
          <a:ext cx="1384300" cy="488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Yellen Backtests</a:t>
          </a:r>
          <a:br>
            <a:rPr lang="en-US" sz="1100"/>
          </a:br>
          <a:r>
            <a:rPr lang="en-US" sz="1100"/>
            <a:t>in Quant Connect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chard M" id="{445BD888-BA57-4BC4-837E-B37CC1F82DC7}" userId="2b27765f53f177b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1" dT="2023-08-01T20:55:42.29" personId="{445BD888-BA57-4BC4-837E-B37CC1F82DC7}" id="{CABD6920-9344-4DDE-8F82-513F2FBF0073}">
    <text xml:space="preserve">Alpha = strategyAnnualPerformance - (RiskFreeRate + Beta * benchmarkAnnualPerfomance - RiskFreeRate))
Where RiskFreeRate is 0 by default. The strategyAnnualPerformance is the compounding annualized return of your strategy. 
The default benchmark is “SPY”. You can set your custom benchmark with SetBenchmark(symbol); 
</text>
  </threadedComment>
  <threadedComment ref="AB187" dT="2023-07-25T10:23:17.43" personId="{445BD888-BA57-4BC4-837E-B37CC1F82DC7}" id="{81164325-A9C5-47CF-B366-707DB21DCDAC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  <threadedComment ref="AB565" dT="2023-07-25T10:23:17.43" personId="{445BD888-BA57-4BC4-837E-B37CC1F82DC7}" id="{DC7F9F9D-D34A-449B-AB94-3E362D1A0A7E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D2C4-F919-4997-80C7-A63FAA78F21B}">
  <sheetPr codeName="Sheet1"/>
  <dimension ref="C9:D12"/>
  <sheetViews>
    <sheetView showGridLines="0" topLeftCell="A309" workbookViewId="0">
      <selection activeCell="D320" sqref="D320"/>
    </sheetView>
  </sheetViews>
  <sheetFormatPr defaultRowHeight="14.5"/>
  <cols>
    <col min="3" max="3" width="13" customWidth="1"/>
  </cols>
  <sheetData>
    <row r="9" spans="3:4">
      <c r="C9" t="s">
        <v>14</v>
      </c>
      <c r="D9" s="17">
        <v>43831</v>
      </c>
    </row>
    <row r="10" spans="3:4">
      <c r="C10" t="s">
        <v>15</v>
      </c>
      <c r="D10" s="17">
        <v>44562</v>
      </c>
    </row>
    <row r="12" spans="3:4">
      <c r="C12" t="s">
        <v>52</v>
      </c>
      <c r="D12" s="18" t="s">
        <v>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4EEA1-3C45-4C84-84E4-8EA17A4E9583}">
  <sheetPr codeName="Sheet2" filterMode="1"/>
  <dimension ref="A1:AI1208"/>
  <sheetViews>
    <sheetView tabSelected="1" workbookViewId="0">
      <pane xSplit="6" ySplit="1" topLeftCell="K816" activePane="bottomRight" state="frozen"/>
      <selection pane="topRight" activeCell="E1" sqref="E1"/>
      <selection pane="bottomLeft" activeCell="A2" sqref="A2"/>
      <selection pane="bottomRight" activeCell="O1016" sqref="O1016"/>
    </sheetView>
  </sheetViews>
  <sheetFormatPr defaultColWidth="16.6328125" defaultRowHeight="14.5"/>
  <cols>
    <col min="2" max="6" width="12.1796875" customWidth="1"/>
    <col min="7" max="9" width="10.26953125" customWidth="1"/>
    <col min="10" max="10" width="15.7265625" customWidth="1"/>
    <col min="11" max="14" width="10.26953125" customWidth="1"/>
    <col min="15" max="22" width="14" customWidth="1"/>
    <col min="23" max="23" width="14" style="1" customWidth="1"/>
    <col min="24" max="35" width="14" customWidth="1"/>
  </cols>
  <sheetData>
    <row r="1" spans="1:35">
      <c r="A1" t="s">
        <v>60</v>
      </c>
      <c r="B1" s="12" t="s">
        <v>48</v>
      </c>
      <c r="C1" s="12" t="s">
        <v>57</v>
      </c>
      <c r="D1" s="15" t="s">
        <v>9</v>
      </c>
      <c r="E1" s="15" t="s">
        <v>18</v>
      </c>
      <c r="F1" s="15" t="s">
        <v>4</v>
      </c>
      <c r="G1" s="15" t="s">
        <v>16</v>
      </c>
      <c r="H1" s="15" t="s">
        <v>14</v>
      </c>
      <c r="I1" s="15" t="s">
        <v>15</v>
      </c>
      <c r="J1" s="15" t="s">
        <v>13</v>
      </c>
      <c r="K1" s="15" t="s">
        <v>12</v>
      </c>
      <c r="L1" s="15" t="s">
        <v>10</v>
      </c>
      <c r="M1" s="15" t="s">
        <v>11</v>
      </c>
      <c r="N1" s="15" t="s">
        <v>54</v>
      </c>
      <c r="O1" s="16" t="s">
        <v>27</v>
      </c>
      <c r="P1" s="16" t="s">
        <v>1</v>
      </c>
      <c r="Q1" s="16" t="s">
        <v>28</v>
      </c>
      <c r="R1" s="16" t="s">
        <v>25</v>
      </c>
      <c r="S1" s="16" t="s">
        <v>29</v>
      </c>
      <c r="T1" s="16" t="s">
        <v>30</v>
      </c>
      <c r="U1" s="16" t="s">
        <v>8</v>
      </c>
      <c r="V1" s="16" t="s">
        <v>31</v>
      </c>
      <c r="W1" s="16" t="s">
        <v>32</v>
      </c>
      <c r="X1" s="16" t="s">
        <v>33</v>
      </c>
      <c r="Y1" s="16" t="s">
        <v>34</v>
      </c>
      <c r="Z1" s="16" t="s">
        <v>26</v>
      </c>
      <c r="AA1" s="16" t="s">
        <v>23</v>
      </c>
      <c r="AB1" s="16" t="s">
        <v>24</v>
      </c>
      <c r="AC1" s="16" t="s">
        <v>35</v>
      </c>
      <c r="AD1" s="16" t="s">
        <v>36</v>
      </c>
      <c r="AE1" s="16" t="s">
        <v>37</v>
      </c>
      <c r="AF1" s="16" t="s">
        <v>38</v>
      </c>
      <c r="AG1" s="16" t="s">
        <v>39</v>
      </c>
      <c r="AH1" s="16" t="s">
        <v>40</v>
      </c>
      <c r="AI1" s="16" t="s">
        <v>41</v>
      </c>
    </row>
    <row r="2" spans="1:35" hidden="1">
      <c r="B2" s="13">
        <v>1</v>
      </c>
      <c r="C2" s="13" t="s">
        <v>55</v>
      </c>
      <c r="D2" t="s">
        <v>0</v>
      </c>
      <c r="E2" t="s">
        <v>3</v>
      </c>
      <c r="F2">
        <v>100</v>
      </c>
      <c r="G2" t="s">
        <v>17</v>
      </c>
      <c r="H2" s="5">
        <v>43831</v>
      </c>
      <c r="I2" s="5">
        <v>44562</v>
      </c>
      <c r="J2">
        <v>14</v>
      </c>
      <c r="K2">
        <v>9</v>
      </c>
      <c r="L2">
        <v>30</v>
      </c>
      <c r="M2">
        <v>70</v>
      </c>
      <c r="N2">
        <v>1000000</v>
      </c>
      <c r="O2">
        <f>VLOOKUP($B2&amp;O$1,Data!$A$2:$D$3723,4,FALSE)</f>
        <v>4.4080000000000001E-2</v>
      </c>
      <c r="P2">
        <f>VLOOKUP($B2&amp;P$1,Data!$A$2:$D$3723,4,FALSE)</f>
        <v>-0.73599999999999999</v>
      </c>
      <c r="Q2">
        <f>VLOOKUP($B2&amp;Q$1,Data!$A$2:$D$3723,4,FALSE)</f>
        <v>1002</v>
      </c>
      <c r="R2">
        <f>VLOOKUP($B2&amp;R$1,Data!$A$2:$D$3723,4,FALSE)</f>
        <v>2.0000000000000001E-4</v>
      </c>
      <c r="S2">
        <f>VLOOKUP($B2&amp;S$1,Data!$A$2:$D$3723,4,FALSE)</f>
        <v>-4.0000000000000002E-4</v>
      </c>
      <c r="T2">
        <f>VLOOKUP($B2&amp;T$1,Data!$A$2:$D$3723,4,FALSE)</f>
        <v>-6.9199999999999999E-3</v>
      </c>
      <c r="U2">
        <f>VLOOKUP($B2&amp;U$1,Data!$A$2:$D$3723,4,FALSE)</f>
        <v>1.0999999999999999E-2</v>
      </c>
      <c r="V2">
        <f>VLOOKUP($B2&amp;V$1,Data!$A$2:$D$3723,4,FALSE)</f>
        <v>-0.10199999999999999</v>
      </c>
      <c r="W2">
        <f>VLOOKUP($B2&amp;W$1,Data!$A$2:$D$3723,4,FALSE)</f>
        <v>-4.5199999999999997E-3</v>
      </c>
      <c r="X2">
        <f>VLOOKUP($B2&amp;X$1,Data!$A$2:$D$3723,4,FALSE)</f>
        <v>0.39</v>
      </c>
      <c r="Y2">
        <f>VLOOKUP($B2&amp;Y$1,Data!$A$2:$D$3723,4,FALSE)</f>
        <v>0.61</v>
      </c>
      <c r="Z2">
        <f>VLOOKUP($B2&amp;Z$1,Data!$A$2:$D$3723,4,FALSE)</f>
        <v>0.48</v>
      </c>
      <c r="AA2">
        <f>VLOOKUP($B2&amp;AA$1,Data!$A$2:$D$3723,4,FALSE)</f>
        <v>-4.0000000000000001E-3</v>
      </c>
      <c r="AB2">
        <f>VLOOKUP($B2&amp;AB$1,Data!$A$2:$D$3723,4,FALSE)</f>
        <v>-6.0000000000000001E-3</v>
      </c>
      <c r="AC2">
        <f>VLOOKUP($B2&amp;AC$1,Data!$A$2:$D$3723,4,FALSE)</f>
        <v>6.0000000000000001E-3</v>
      </c>
      <c r="AD2">
        <f>VLOOKUP($B2&amp;AD$1,Data!$A$2:$D$3723,4,FALSE)</f>
        <v>0</v>
      </c>
      <c r="AE2">
        <f>VLOOKUP($B2&amp;AE$1,Data!$A$2:$D$3723,4,FALSE)</f>
        <v>-0.93700000000000006</v>
      </c>
      <c r="AF2">
        <f>VLOOKUP($B2&amp;AF$1,Data!$A$2:$D$3723,4,FALSE)</f>
        <v>6.7000000000000004E-2</v>
      </c>
      <c r="AG2">
        <f>VLOOKUP($B2&amp;AG$1,Data!$A$2:$D$3723,4,FALSE)</f>
        <v>0.77700000000000002</v>
      </c>
      <c r="AH2">
        <f>VLOOKUP($B2&amp;AH$1,Data!$A$2:$D$3723,4,FALSE)</f>
        <v>0</v>
      </c>
      <c r="AI2">
        <f>VLOOKUP($B2&amp;AI$1,Data!$A$2:$D$3723,4,FALSE)</f>
        <v>6400000</v>
      </c>
    </row>
    <row r="3" spans="1:35" hidden="1">
      <c r="B3" s="13">
        <v>2</v>
      </c>
      <c r="C3" s="13" t="s">
        <v>55</v>
      </c>
      <c r="D3" t="s">
        <v>0</v>
      </c>
      <c r="E3" t="s">
        <v>3</v>
      </c>
      <c r="F3">
        <v>1000</v>
      </c>
      <c r="G3" t="s">
        <v>17</v>
      </c>
      <c r="H3" s="5">
        <v>43831</v>
      </c>
      <c r="I3" s="5">
        <v>44562</v>
      </c>
      <c r="J3">
        <v>14</v>
      </c>
      <c r="K3">
        <v>9</v>
      </c>
      <c r="L3">
        <v>30</v>
      </c>
      <c r="M3">
        <v>70</v>
      </c>
      <c r="N3">
        <v>1000000</v>
      </c>
      <c r="O3">
        <f>VLOOKUP($B3&amp;O$1,Data!$A$2:$D$3723,4,FALSE)</f>
        <v>4.6609999999999999E-2</v>
      </c>
      <c r="P3">
        <f>VLOOKUP($B3&amp;P$1,Data!$A$2:$D$3723,4,FALSE)</f>
        <v>-0.69899999999999995</v>
      </c>
      <c r="Q3">
        <f>VLOOKUP($B3&amp;Q$1,Data!$A$2:$D$3723,4,FALSE)</f>
        <v>1002</v>
      </c>
      <c r="R3">
        <f>VLOOKUP($B3&amp;R$1,Data!$A$2:$D$3723,4,FALSE)</f>
        <v>1.8E-3</v>
      </c>
      <c r="S3">
        <f>VLOOKUP($B3&amp;S$1,Data!$A$2:$D$3723,4,FALSE)</f>
        <v>-3.8E-3</v>
      </c>
      <c r="T3">
        <f>VLOOKUP($B3&amp;T$1,Data!$A$2:$D$3723,4,FALSE)</f>
        <v>-6.8430000000000005E-2</v>
      </c>
      <c r="U3">
        <f>VLOOKUP($B3&amp;U$1,Data!$A$2:$D$3723,4,FALSE)</f>
        <v>0.11</v>
      </c>
      <c r="V3">
        <f>VLOOKUP($B3&amp;V$1,Data!$A$2:$D$3723,4,FALSE)</f>
        <v>-9.8000000000000004E-2</v>
      </c>
      <c r="W3">
        <f>VLOOKUP($B3&amp;W$1,Data!$A$2:$D$3723,4,FALSE)</f>
        <v>-4.5159999999999999E-2</v>
      </c>
      <c r="X3">
        <f>VLOOKUP($B3&amp;X$1,Data!$A$2:$D$3723,4,FALSE)</f>
        <v>0.39</v>
      </c>
      <c r="Y3">
        <f>VLOOKUP($B3&amp;Y$1,Data!$A$2:$D$3723,4,FALSE)</f>
        <v>0.61</v>
      </c>
      <c r="Z3">
        <f>VLOOKUP($B3&amp;Z$1,Data!$A$2:$D$3723,4,FALSE)</f>
        <v>0.49</v>
      </c>
      <c r="AA3">
        <f>VLOOKUP($B3&amp;AA$1,Data!$A$2:$D$3723,4,FALSE)</f>
        <v>-4.2000000000000003E-2</v>
      </c>
      <c r="AB3">
        <f>VLOOKUP($B3&amp;AB$1,Data!$A$2:$D$3723,4,FALSE)</f>
        <v>-6.0999999999999999E-2</v>
      </c>
      <c r="AC3">
        <f>VLOOKUP($B3&amp;AC$1,Data!$A$2:$D$3723,4,FALSE)</f>
        <v>6.6000000000000003E-2</v>
      </c>
      <c r="AD3">
        <f>VLOOKUP($B3&amp;AD$1,Data!$A$2:$D$3723,4,FALSE)</f>
        <v>4.0000000000000001E-3</v>
      </c>
      <c r="AE3">
        <f>VLOOKUP($B3&amp;AE$1,Data!$A$2:$D$3723,4,FALSE)</f>
        <v>-1.081</v>
      </c>
      <c r="AF3">
        <f>VLOOKUP($B3&amp;AF$1,Data!$A$2:$D$3723,4,FALSE)</f>
        <v>9.7000000000000003E-2</v>
      </c>
      <c r="AG3">
        <f>VLOOKUP($B3&amp;AG$1,Data!$A$2:$D$3723,4,FALSE)</f>
        <v>0.748</v>
      </c>
      <c r="AH3">
        <f>VLOOKUP($B3&amp;AH$1,Data!$A$2:$D$3723,4,FALSE)</f>
        <v>0</v>
      </c>
      <c r="AI3">
        <f>VLOOKUP($B3&amp;AI$1,Data!$A$2:$D$3723,4,FALSE)</f>
        <v>6400000</v>
      </c>
    </row>
    <row r="4" spans="1:35" hidden="1">
      <c r="B4" s="13">
        <v>3</v>
      </c>
      <c r="C4" s="13" t="s">
        <v>55</v>
      </c>
      <c r="D4" t="s">
        <v>0</v>
      </c>
      <c r="E4" t="s">
        <v>3</v>
      </c>
      <c r="F4">
        <v>5000</v>
      </c>
      <c r="G4" t="s">
        <v>17</v>
      </c>
      <c r="H4" s="5">
        <v>43831</v>
      </c>
      <c r="I4" s="5">
        <v>44562</v>
      </c>
      <c r="J4">
        <v>14</v>
      </c>
      <c r="K4">
        <v>9</v>
      </c>
      <c r="L4">
        <v>30</v>
      </c>
      <c r="M4">
        <v>70</v>
      </c>
      <c r="N4">
        <v>1000000</v>
      </c>
      <c r="O4">
        <f>VLOOKUP($B4&amp;O$1,Data!$A$2:$D$3723,4,FALSE)</f>
        <v>5.7389999999999997E-2</v>
      </c>
      <c r="P4">
        <f>VLOOKUP($B4&amp;P$1,Data!$A$2:$D$3723,4,FALSE)</f>
        <v>-0.56999999999999995</v>
      </c>
      <c r="Q4">
        <f>VLOOKUP($B4&amp;Q$1,Data!$A$2:$D$3723,4,FALSE)</f>
        <v>999</v>
      </c>
      <c r="R4">
        <f>VLOOKUP($B4&amp;R$1,Data!$A$2:$D$3723,4,FALSE)</f>
        <v>1.03E-2</v>
      </c>
      <c r="S4">
        <f>VLOOKUP($B4&amp;S$1,Data!$A$2:$D$3723,4,FALSE)</f>
        <v>-2.0299999999999999E-2</v>
      </c>
      <c r="T4">
        <f>VLOOKUP($B4&amp;T$1,Data!$A$2:$D$3723,4,FALSE)</f>
        <v>-0.33722000000000002</v>
      </c>
      <c r="U4">
        <f>VLOOKUP($B4&amp;U$1,Data!$A$2:$D$3723,4,FALSE)</f>
        <v>0.47099999999999997</v>
      </c>
      <c r="V4">
        <f>VLOOKUP($B4&amp;V$1,Data!$A$2:$D$3723,4,FALSE)</f>
        <v>-8.3000000000000004E-2</v>
      </c>
      <c r="W4">
        <f>VLOOKUP($B4&amp;W$1,Data!$A$2:$D$3723,4,FALSE)</f>
        <v>-0.23521</v>
      </c>
      <c r="X4">
        <f>VLOOKUP($B4&amp;X$1,Data!$A$2:$D$3723,4,FALSE)</f>
        <v>0.39</v>
      </c>
      <c r="Y4">
        <f>VLOOKUP($B4&amp;Y$1,Data!$A$2:$D$3723,4,FALSE)</f>
        <v>0.61</v>
      </c>
      <c r="Z4">
        <f>VLOOKUP($B4&amp;Z$1,Data!$A$2:$D$3723,4,FALSE)</f>
        <v>0.51</v>
      </c>
      <c r="AA4">
        <f>VLOOKUP($B4&amp;AA$1,Data!$A$2:$D$3723,4,FALSE)</f>
        <v>-0.183</v>
      </c>
      <c r="AB4">
        <f>VLOOKUP($B4&amp;AB$1,Data!$A$2:$D$3723,4,FALSE)</f>
        <v>-0.3</v>
      </c>
      <c r="AC4">
        <f>VLOOKUP($B4&amp;AC$1,Data!$A$2:$D$3723,4,FALSE)</f>
        <v>0.35099999999999998</v>
      </c>
      <c r="AD4">
        <f>VLOOKUP($B4&amp;AD$1,Data!$A$2:$D$3723,4,FALSE)</f>
        <v>0.123</v>
      </c>
      <c r="AE4">
        <f>VLOOKUP($B4&amp;AE$1,Data!$A$2:$D$3723,4,FALSE)</f>
        <v>-0.71599999999999997</v>
      </c>
      <c r="AF4">
        <f>VLOOKUP($B4&amp;AF$1,Data!$A$2:$D$3723,4,FALSE)</f>
        <v>0.36099999999999999</v>
      </c>
      <c r="AG4">
        <f>VLOOKUP($B4&amp;AG$1,Data!$A$2:$D$3723,4,FALSE)</f>
        <v>0.66800000000000004</v>
      </c>
      <c r="AH4">
        <f>VLOOKUP($B4&amp;AH$1,Data!$A$2:$D$3723,4,FALSE)</f>
        <v>0</v>
      </c>
      <c r="AI4">
        <f>VLOOKUP($B4&amp;AI$1,Data!$A$2:$D$3723,4,FALSE)</f>
        <v>6300000</v>
      </c>
    </row>
    <row r="5" spans="1:35" hidden="1">
      <c r="B5" s="13">
        <v>4</v>
      </c>
      <c r="C5" s="13" t="s">
        <v>55</v>
      </c>
      <c r="D5" t="s">
        <v>0</v>
      </c>
      <c r="E5" t="s">
        <v>2</v>
      </c>
      <c r="F5">
        <v>100</v>
      </c>
      <c r="G5" t="s">
        <v>17</v>
      </c>
      <c r="H5" s="5">
        <v>43831</v>
      </c>
      <c r="I5" s="5">
        <v>44562</v>
      </c>
      <c r="J5">
        <v>14</v>
      </c>
      <c r="K5">
        <v>9</v>
      </c>
      <c r="L5">
        <v>30</v>
      </c>
      <c r="M5">
        <v>70</v>
      </c>
      <c r="N5">
        <v>1000000</v>
      </c>
      <c r="O5">
        <f>VLOOKUP($B5&amp;O$1,Data!$A$2:$D$3723,4,FALSE)</f>
        <v>5.8100000000000001E-3</v>
      </c>
      <c r="P5">
        <f>VLOOKUP($B5&amp;P$1,Data!$A$2:$D$3723,4,FALSE)</f>
        <v>-1.57</v>
      </c>
      <c r="Q5">
        <f>VLOOKUP($B5&amp;Q$1,Data!$A$2:$D$3723,4,FALSE)</f>
        <v>198</v>
      </c>
      <c r="R5">
        <f>VLOOKUP($B5&amp;R$1,Data!$A$2:$D$3723,4,FALSE)</f>
        <v>1.1999999999999999E-3</v>
      </c>
      <c r="S5">
        <f>VLOOKUP($B5&amp;S$1,Data!$A$2:$D$3723,4,FALSE)</f>
        <v>-3.7000000000000002E-3</v>
      </c>
      <c r="T5">
        <f>VLOOKUP($B5&amp;T$1,Data!$A$2:$D$3723,4,FALSE)</f>
        <v>-1.9720000000000001E-2</v>
      </c>
      <c r="U5">
        <f>VLOOKUP($B5&amp;U$1,Data!$A$2:$D$3723,4,FALSE)</f>
        <v>1.6E-2</v>
      </c>
      <c r="V5">
        <f>VLOOKUP($B5&amp;V$1,Data!$A$2:$D$3723,4,FALSE)</f>
        <v>-0.56200000000000006</v>
      </c>
      <c r="W5">
        <f>VLOOKUP($B5&amp;W$1,Data!$A$2:$D$3723,4,FALSE)</f>
        <v>-1.274E-2</v>
      </c>
      <c r="X5">
        <f>VLOOKUP($B5&amp;X$1,Data!$A$2:$D$3723,4,FALSE)</f>
        <v>0.67</v>
      </c>
      <c r="Y5">
        <f>VLOOKUP($B5&amp;Y$1,Data!$A$2:$D$3723,4,FALSE)</f>
        <v>0.33</v>
      </c>
      <c r="Z5">
        <f>VLOOKUP($B5&amp;Z$1,Data!$A$2:$D$3723,4,FALSE)</f>
        <v>0.31</v>
      </c>
      <c r="AA5">
        <f>VLOOKUP($B5&amp;AA$1,Data!$A$2:$D$3723,4,FALSE)</f>
        <v>-1.4999999999999999E-2</v>
      </c>
      <c r="AB5">
        <f>VLOOKUP($B5&amp;AB$1,Data!$A$2:$D$3723,4,FALSE)</f>
        <v>2.3E-2</v>
      </c>
      <c r="AC5">
        <f>VLOOKUP($B5&amp;AC$1,Data!$A$2:$D$3723,4,FALSE)</f>
        <v>8.9999999999999993E-3</v>
      </c>
      <c r="AD5">
        <f>VLOOKUP($B5&amp;AD$1,Data!$A$2:$D$3723,4,FALSE)</f>
        <v>0</v>
      </c>
      <c r="AE5">
        <f>VLOOKUP($B5&amp;AE$1,Data!$A$2:$D$3723,4,FALSE)</f>
        <v>-1.18</v>
      </c>
      <c r="AF5">
        <f>VLOOKUP($B5&amp;AF$1,Data!$A$2:$D$3723,4,FALSE)</f>
        <v>6.6000000000000003E-2</v>
      </c>
      <c r="AG5">
        <f>VLOOKUP($B5&amp;AG$1,Data!$A$2:$D$3723,4,FALSE)</f>
        <v>-0.58799999999999997</v>
      </c>
      <c r="AH5">
        <f>VLOOKUP($B5&amp;AH$1,Data!$A$2:$D$3723,4,FALSE)</f>
        <v>0</v>
      </c>
      <c r="AI5">
        <f>VLOOKUP($B5&amp;AI$1,Data!$A$2:$D$3723,4,FALSE)</f>
        <v>95000000</v>
      </c>
    </row>
    <row r="6" spans="1:35" hidden="1">
      <c r="B6" s="13">
        <v>5</v>
      </c>
      <c r="C6" s="13" t="s">
        <v>55</v>
      </c>
      <c r="D6" t="s">
        <v>0</v>
      </c>
      <c r="E6" t="s">
        <v>2</v>
      </c>
      <c r="F6">
        <v>1000</v>
      </c>
      <c r="G6" t="s">
        <v>17</v>
      </c>
      <c r="H6" s="5">
        <v>43831</v>
      </c>
      <c r="I6" s="5">
        <v>44562</v>
      </c>
      <c r="J6">
        <v>14</v>
      </c>
      <c r="K6">
        <v>9</v>
      </c>
      <c r="L6">
        <v>30</v>
      </c>
      <c r="M6">
        <v>70</v>
      </c>
      <c r="N6">
        <v>1000000</v>
      </c>
      <c r="O6">
        <f>VLOOKUP($B6&amp;O$1,Data!$A$2:$D$3723,4,FALSE)</f>
        <v>5.9800000000000001E-3</v>
      </c>
      <c r="P6">
        <f>VLOOKUP($B6&amp;P$1,Data!$A$2:$D$3723,4,FALSE)</f>
        <v>-1.4610000000000001</v>
      </c>
      <c r="Q6">
        <f>VLOOKUP($B6&amp;Q$1,Data!$A$2:$D$3723,4,FALSE)</f>
        <v>198</v>
      </c>
      <c r="R6">
        <f>VLOOKUP($B6&amp;R$1,Data!$A$2:$D$3723,4,FALSE)</f>
        <v>1.17E-2</v>
      </c>
      <c r="S6">
        <f>VLOOKUP($B6&amp;S$1,Data!$A$2:$D$3723,4,FALSE)</f>
        <v>-3.8199999999999998E-2</v>
      </c>
      <c r="T6">
        <f>VLOOKUP($B6&amp;T$1,Data!$A$2:$D$3723,4,FALSE)</f>
        <v>-0.19076000000000001</v>
      </c>
      <c r="U6">
        <f>VLOOKUP($B6&amp;U$1,Data!$A$2:$D$3723,4,FALSE)</f>
        <v>0.159</v>
      </c>
      <c r="V6">
        <f>VLOOKUP($B6&amp;V$1,Data!$A$2:$D$3723,4,FALSE)</f>
        <v>-0.56499999999999995</v>
      </c>
      <c r="W6">
        <f>VLOOKUP($B6&amp;W$1,Data!$A$2:$D$3723,4,FALSE)</f>
        <v>-0.12737000000000001</v>
      </c>
      <c r="X6">
        <f>VLOOKUP($B6&amp;X$1,Data!$A$2:$D$3723,4,FALSE)</f>
        <v>0.67</v>
      </c>
      <c r="Y6">
        <f>VLOOKUP($B6&amp;Y$1,Data!$A$2:$D$3723,4,FALSE)</f>
        <v>0.33</v>
      </c>
      <c r="Z6">
        <f>VLOOKUP($B6&amp;Z$1,Data!$A$2:$D$3723,4,FALSE)</f>
        <v>0.31</v>
      </c>
      <c r="AA6">
        <f>VLOOKUP($B6&amp;AA$1,Data!$A$2:$D$3723,4,FALSE)</f>
        <v>-0.14899999999999999</v>
      </c>
      <c r="AB6">
        <f>VLOOKUP($B6&amp;AB$1,Data!$A$2:$D$3723,4,FALSE)</f>
        <v>0.24399999999999999</v>
      </c>
      <c r="AC6">
        <f>VLOOKUP($B6&amp;AC$1,Data!$A$2:$D$3723,4,FALSE)</f>
        <v>9.0999999999999998E-2</v>
      </c>
      <c r="AD6">
        <f>VLOOKUP($B6&amp;AD$1,Data!$A$2:$D$3723,4,FALSE)</f>
        <v>8.0000000000000002E-3</v>
      </c>
      <c r="AE6">
        <f>VLOOKUP($B6&amp;AE$1,Data!$A$2:$D$3723,4,FALSE)</f>
        <v>-1.917</v>
      </c>
      <c r="AF6">
        <f>VLOOKUP($B6&amp;AF$1,Data!$A$2:$D$3723,4,FALSE)</f>
        <v>0.10299999999999999</v>
      </c>
      <c r="AG6">
        <f>VLOOKUP($B6&amp;AG$1,Data!$A$2:$D$3723,4,FALSE)</f>
        <v>-0.54500000000000004</v>
      </c>
      <c r="AH6">
        <f>VLOOKUP($B6&amp;AH$1,Data!$A$2:$D$3723,4,FALSE)</f>
        <v>0</v>
      </c>
      <c r="AI6">
        <f>VLOOKUP($B6&amp;AI$1,Data!$A$2:$D$3723,4,FALSE)</f>
        <v>13000000</v>
      </c>
    </row>
    <row r="7" spans="1:35" hidden="1">
      <c r="B7" s="13">
        <v>6</v>
      </c>
      <c r="C7" s="13" t="s">
        <v>55</v>
      </c>
      <c r="D7" t="s">
        <v>0</v>
      </c>
      <c r="E7" t="s">
        <v>2</v>
      </c>
      <c r="F7">
        <v>5000</v>
      </c>
      <c r="G7" t="s">
        <v>17</v>
      </c>
      <c r="H7" s="5">
        <v>43831</v>
      </c>
      <c r="I7" s="5">
        <v>44562</v>
      </c>
      <c r="J7">
        <v>14</v>
      </c>
      <c r="K7">
        <v>9</v>
      </c>
      <c r="L7">
        <v>30</v>
      </c>
      <c r="M7">
        <v>70</v>
      </c>
      <c r="N7">
        <v>1000000</v>
      </c>
      <c r="O7">
        <f>VLOOKUP($B7&amp;O$1,Data!$A$2:$D$3723,4,FALSE)</f>
        <v>1.468E-2</v>
      </c>
      <c r="P7">
        <f>VLOOKUP($B7&amp;P$1,Data!$A$2:$D$3723,4,FALSE)</f>
        <v>-0.93700000000000006</v>
      </c>
      <c r="Q7">
        <f>VLOOKUP($B7&amp;Q$1,Data!$A$2:$D$3723,4,FALSE)</f>
        <v>195</v>
      </c>
      <c r="R7">
        <f>VLOOKUP($B7&amp;R$1,Data!$A$2:$D$3723,4,FALSE)</f>
        <v>5.9900000000000002E-2</v>
      </c>
      <c r="S7">
        <f>VLOOKUP($B7&amp;S$1,Data!$A$2:$D$3723,4,FALSE)</f>
        <v>-0.19839999999999999</v>
      </c>
      <c r="T7">
        <f>VLOOKUP($B7&amp;T$1,Data!$A$2:$D$3723,4,FALSE)</f>
        <v>-0.72033999999999998</v>
      </c>
      <c r="U7">
        <f>VLOOKUP($B7&amp;U$1,Data!$A$2:$D$3723,4,FALSE)</f>
        <v>0.63400000000000001</v>
      </c>
      <c r="V7">
        <f>VLOOKUP($B7&amp;V$1,Data!$A$2:$D$3723,4,FALSE)</f>
        <v>-0.56599999999999995</v>
      </c>
      <c r="W7">
        <f>VLOOKUP($B7&amp;W$1,Data!$A$2:$D$3723,4,FALSE)</f>
        <v>-0.55966000000000005</v>
      </c>
      <c r="X7">
        <f>VLOOKUP($B7&amp;X$1,Data!$A$2:$D$3723,4,FALSE)</f>
        <v>0.67</v>
      </c>
      <c r="Y7">
        <f>VLOOKUP($B7&amp;Y$1,Data!$A$2:$D$3723,4,FALSE)</f>
        <v>0.33</v>
      </c>
      <c r="Z7">
        <f>VLOOKUP($B7&amp;Z$1,Data!$A$2:$D$3723,4,FALSE)</f>
        <v>0.3</v>
      </c>
      <c r="AA7">
        <f>VLOOKUP($B7&amp;AA$1,Data!$A$2:$D$3723,4,FALSE)</f>
        <v>-0.61599999999999999</v>
      </c>
      <c r="AB7">
        <f>VLOOKUP($B7&amp;AB$1,Data!$A$2:$D$3723,4,FALSE)</f>
        <v>1.53</v>
      </c>
      <c r="AC7">
        <f>VLOOKUP($B7&amp;AC$1,Data!$A$2:$D$3723,4,FALSE)</f>
        <v>0.55300000000000005</v>
      </c>
      <c r="AD7">
        <f>VLOOKUP($B7&amp;AD$1,Data!$A$2:$D$3723,4,FALSE)</f>
        <v>0.30499999999999999</v>
      </c>
      <c r="AE7">
        <f>VLOOKUP($B7&amp;AE$1,Data!$A$2:$D$3723,4,FALSE)</f>
        <v>-1.069</v>
      </c>
      <c r="AF7">
        <f>VLOOKUP($B7&amp;AF$1,Data!$A$2:$D$3723,4,FALSE)</f>
        <v>0.54400000000000004</v>
      </c>
      <c r="AG7">
        <f>VLOOKUP($B7&amp;AG$1,Data!$A$2:$D$3723,4,FALSE)</f>
        <v>-0.33800000000000002</v>
      </c>
      <c r="AH7">
        <f>VLOOKUP($B7&amp;AH$1,Data!$A$2:$D$3723,4,FALSE)</f>
        <v>0</v>
      </c>
      <c r="AI7">
        <f>VLOOKUP($B7&amp;AI$1,Data!$A$2:$D$3723,4,FALSE)</f>
        <v>3000000</v>
      </c>
    </row>
    <row r="8" spans="1:35" hidden="1">
      <c r="B8" s="13">
        <v>7</v>
      </c>
      <c r="C8" s="13" t="s">
        <v>55</v>
      </c>
      <c r="D8" t="s">
        <v>0</v>
      </c>
      <c r="E8" t="s">
        <v>22</v>
      </c>
      <c r="F8">
        <v>100</v>
      </c>
      <c r="G8" t="s">
        <v>17</v>
      </c>
      <c r="H8" s="5">
        <v>43831</v>
      </c>
      <c r="I8" s="5">
        <v>44562</v>
      </c>
      <c r="J8">
        <v>14</v>
      </c>
      <c r="K8">
        <v>9</v>
      </c>
      <c r="L8">
        <v>30</v>
      </c>
      <c r="M8">
        <v>70</v>
      </c>
      <c r="N8">
        <v>1000000</v>
      </c>
      <c r="O8">
        <f>VLOOKUP($B8&amp;O$1,Data!$A$2:$D$3723,4,FALSE)</f>
        <v>1.554E-2</v>
      </c>
      <c r="P8">
        <f>VLOOKUP($B8&amp;P$1,Data!$A$2:$D$3723,4,FALSE)</f>
        <v>-1.2050000000000001</v>
      </c>
      <c r="Q8">
        <f>VLOOKUP($B8&amp;Q$1,Data!$A$2:$D$3723,4,FALSE)</f>
        <v>136</v>
      </c>
      <c r="R8">
        <f>VLOOKUP($B8&amp;R$1,Data!$A$2:$D$3723,4,FALSE)</f>
        <v>4.7000000000000002E-3</v>
      </c>
      <c r="S8">
        <f>VLOOKUP($B8&amp;S$1,Data!$A$2:$D$3723,4,FALSE)</f>
        <v>-1.2999999999999999E-2</v>
      </c>
      <c r="T8">
        <f>VLOOKUP($B8&amp;T$1,Data!$A$2:$D$3723,4,FALSE)</f>
        <v>-2.512E-2</v>
      </c>
      <c r="U8">
        <f>VLOOKUP($B8&amp;U$1,Data!$A$2:$D$3723,4,FALSE)</f>
        <v>2.7E-2</v>
      </c>
      <c r="V8">
        <f>VLOOKUP($B8&amp;V$1,Data!$A$2:$D$3723,4,FALSE)</f>
        <v>-0.32</v>
      </c>
      <c r="W8">
        <f>VLOOKUP($B8&amp;W$1,Data!$A$2:$D$3723,4,FALSE)</f>
        <v>-1.6240000000000001E-2</v>
      </c>
      <c r="X8">
        <f>VLOOKUP($B8&amp;X$1,Data!$A$2:$D$3723,4,FALSE)</f>
        <v>0.5</v>
      </c>
      <c r="Y8">
        <f>VLOOKUP($B8&amp;Y$1,Data!$A$2:$D$3723,4,FALSE)</f>
        <v>0.5</v>
      </c>
      <c r="Z8">
        <f>VLOOKUP($B8&amp;Z$1,Data!$A$2:$D$3723,4,FALSE)</f>
        <v>0.36</v>
      </c>
      <c r="AA8">
        <f>VLOOKUP($B8&amp;AA$1,Data!$A$2:$D$3723,4,FALSE)</f>
        <v>-1.9E-2</v>
      </c>
      <c r="AB8">
        <f>VLOOKUP($B8&amp;AB$1,Data!$A$2:$D$3723,4,FALSE)</f>
        <v>1.7999999999999999E-2</v>
      </c>
      <c r="AC8">
        <f>VLOOKUP($B8&amp;AC$1,Data!$A$2:$D$3723,4,FALSE)</f>
        <v>1.4E-2</v>
      </c>
      <c r="AD8">
        <f>VLOOKUP($B8&amp;AD$1,Data!$A$2:$D$3723,4,FALSE)</f>
        <v>0</v>
      </c>
      <c r="AE8">
        <f>VLOOKUP($B8&amp;AE$1,Data!$A$2:$D$3723,4,FALSE)</f>
        <v>-1.212</v>
      </c>
      <c r="AF8">
        <f>VLOOKUP($B8&amp;AF$1,Data!$A$2:$D$3723,4,FALSE)</f>
        <v>6.7000000000000004E-2</v>
      </c>
      <c r="AG8">
        <f>VLOOKUP($B8&amp;AG$1,Data!$A$2:$D$3723,4,FALSE)</f>
        <v>-0.96299999999999997</v>
      </c>
      <c r="AH8">
        <f>VLOOKUP($B8&amp;AH$1,Data!$A$2:$D$3723,4,FALSE)</f>
        <v>0</v>
      </c>
      <c r="AI8">
        <f>VLOOKUP($B8&amp;AI$1,Data!$A$2:$D$3723,4,FALSE)</f>
        <v>240000000</v>
      </c>
    </row>
    <row r="9" spans="1:35" hidden="1">
      <c r="B9" s="13">
        <v>8</v>
      </c>
      <c r="C9" s="13" t="s">
        <v>55</v>
      </c>
      <c r="D9" t="s">
        <v>0</v>
      </c>
      <c r="E9" t="s">
        <v>22</v>
      </c>
      <c r="F9">
        <v>1000</v>
      </c>
      <c r="G9" t="s">
        <v>17</v>
      </c>
      <c r="H9" s="5">
        <v>43831</v>
      </c>
      <c r="I9" s="5">
        <v>44562</v>
      </c>
      <c r="J9">
        <v>14</v>
      </c>
      <c r="K9">
        <v>9</v>
      </c>
      <c r="L9">
        <v>30</v>
      </c>
      <c r="M9">
        <v>70</v>
      </c>
      <c r="N9">
        <v>1000000</v>
      </c>
      <c r="O9">
        <f>VLOOKUP($B9&amp;O$1,Data!$A$2:$D$3723,4,FALSE)</f>
        <v>1.626E-2</v>
      </c>
      <c r="P9">
        <f>VLOOKUP($B9&amp;P$1,Data!$A$2:$D$3723,4,FALSE)</f>
        <v>-1.1040000000000001</v>
      </c>
      <c r="Q9">
        <f>VLOOKUP($B9&amp;Q$1,Data!$A$2:$D$3723,4,FALSE)</f>
        <v>136</v>
      </c>
      <c r="R9">
        <f>VLOOKUP($B9&amp;R$1,Data!$A$2:$D$3723,4,FALSE)</f>
        <v>4.6100000000000002E-2</v>
      </c>
      <c r="S9">
        <f>VLOOKUP($B9&amp;S$1,Data!$A$2:$D$3723,4,FALSE)</f>
        <v>-0.12509999999999999</v>
      </c>
      <c r="T9">
        <f>VLOOKUP($B9&amp;T$1,Data!$A$2:$D$3723,4,FALSE)</f>
        <v>-0.24071000000000001</v>
      </c>
      <c r="U9">
        <f>VLOOKUP($B9&amp;U$1,Data!$A$2:$D$3723,4,FALSE)</f>
        <v>0.245</v>
      </c>
      <c r="V9">
        <f>VLOOKUP($B9&amp;V$1,Data!$A$2:$D$3723,4,FALSE)</f>
        <v>-0.316</v>
      </c>
      <c r="W9">
        <f>VLOOKUP($B9&amp;W$1,Data!$A$2:$D$3723,4,FALSE)</f>
        <v>-0.16244</v>
      </c>
      <c r="X9">
        <f>VLOOKUP($B9&amp;X$1,Data!$A$2:$D$3723,4,FALSE)</f>
        <v>0.5</v>
      </c>
      <c r="Y9">
        <f>VLOOKUP($B9&amp;Y$1,Data!$A$2:$D$3723,4,FALSE)</f>
        <v>0.5</v>
      </c>
      <c r="Z9">
        <f>VLOOKUP($B9&amp;Z$1,Data!$A$2:$D$3723,4,FALSE)</f>
        <v>0.37</v>
      </c>
      <c r="AA9">
        <f>VLOOKUP($B9&amp;AA$1,Data!$A$2:$D$3723,4,FALSE)</f>
        <v>-0.17599999999999999</v>
      </c>
      <c r="AB9">
        <f>VLOOKUP($B9&amp;AB$1,Data!$A$2:$D$3723,4,FALSE)</f>
        <v>0.183</v>
      </c>
      <c r="AC9">
        <f>VLOOKUP($B9&amp;AC$1,Data!$A$2:$D$3723,4,FALSE)</f>
        <v>0.14899999999999999</v>
      </c>
      <c r="AD9">
        <f>VLOOKUP($B9&amp;AD$1,Data!$A$2:$D$3723,4,FALSE)</f>
        <v>2.1999999999999999E-2</v>
      </c>
      <c r="AE9">
        <f>VLOOKUP($B9&amp;AE$1,Data!$A$2:$D$3723,4,FALSE)</f>
        <v>-1.444</v>
      </c>
      <c r="AF9">
        <f>VLOOKUP($B9&amp;AF$1,Data!$A$2:$D$3723,4,FALSE)</f>
        <v>0.158</v>
      </c>
      <c r="AG9">
        <f>VLOOKUP($B9&amp;AG$1,Data!$A$2:$D$3723,4,FALSE)</f>
        <v>-0.89800000000000002</v>
      </c>
      <c r="AH9">
        <f>VLOOKUP($B9&amp;AH$1,Data!$A$2:$D$3723,4,FALSE)</f>
        <v>0</v>
      </c>
      <c r="AI9">
        <f>VLOOKUP($B9&amp;AI$1,Data!$A$2:$D$3723,4,FALSE)</f>
        <v>23000000</v>
      </c>
    </row>
    <row r="10" spans="1:35" hidden="1">
      <c r="B10" s="13">
        <v>9</v>
      </c>
      <c r="C10" s="13" t="s">
        <v>55</v>
      </c>
      <c r="D10" t="s">
        <v>0</v>
      </c>
      <c r="E10" t="s">
        <v>22</v>
      </c>
      <c r="F10">
        <v>5000</v>
      </c>
      <c r="G10" t="s">
        <v>17</v>
      </c>
      <c r="H10" s="5">
        <v>43831</v>
      </c>
      <c r="I10" s="5">
        <v>44562</v>
      </c>
      <c r="J10">
        <v>14</v>
      </c>
      <c r="K10">
        <v>9</v>
      </c>
      <c r="L10">
        <v>30</v>
      </c>
      <c r="M10">
        <v>70</v>
      </c>
      <c r="N10">
        <v>1000000</v>
      </c>
      <c r="O10">
        <f>VLOOKUP($B10&amp;O$1,Data!$A$2:$D$3975,4,FALSE)</f>
        <v>1.6049999999999998E-2</v>
      </c>
      <c r="P10">
        <f>VLOOKUP($B10&amp;P$1,Data!$A$2:$D$3975,4,FALSE)</f>
        <v>-0.78800000000000003</v>
      </c>
      <c r="Q10">
        <f>VLOOKUP($B10&amp;Q$1,Data!$A$2:$D$3975,4,FALSE)</f>
        <v>148</v>
      </c>
      <c r="R10">
        <f>VLOOKUP($B10&amp;R$1,Data!$A$2:$D$3975,4,FALSE)</f>
        <v>0.219</v>
      </c>
      <c r="S10">
        <f>VLOOKUP($B10&amp;S$1,Data!$A$2:$D$3975,4,FALSE)</f>
        <v>-0.11219999999999999</v>
      </c>
      <c r="T10">
        <f>VLOOKUP($B10&amp;T$1,Data!$A$2:$D$3975,4,FALSE)</f>
        <v>-0.85114000000000001</v>
      </c>
      <c r="U10">
        <f>VLOOKUP($B10&amp;U$1,Data!$A$2:$D$3975,4,FALSE)</f>
        <v>0.81799999999999995</v>
      </c>
      <c r="V10">
        <f>VLOOKUP($B10&amp;V$1,Data!$A$2:$D$3975,4,FALSE)</f>
        <v>-0.57799999999999996</v>
      </c>
      <c r="W10">
        <f>VLOOKUP($B10&amp;W$1,Data!$A$2:$D$3975,4,FALSE)</f>
        <v>-0.70809999999999995</v>
      </c>
      <c r="X10">
        <f>VLOOKUP($B10&amp;X$1,Data!$A$2:$D$3975,4,FALSE)</f>
        <v>0.86</v>
      </c>
      <c r="Y10">
        <f>VLOOKUP($B10&amp;Y$1,Data!$A$2:$D$3975,4,FALSE)</f>
        <v>0.14000000000000001</v>
      </c>
      <c r="Z10">
        <f>VLOOKUP($B10&amp;Z$1,Data!$A$2:$D$3975,4,FALSE)</f>
        <v>1.95</v>
      </c>
      <c r="AA10">
        <f>VLOOKUP($B10&amp;AA$1,Data!$A$2:$D$3975,4,FALSE)</f>
        <v>-0.68200000000000005</v>
      </c>
      <c r="AB10">
        <f>VLOOKUP($B10&amp;AB$1,Data!$A$2:$D$3975,4,FALSE)</f>
        <v>0.82699999999999996</v>
      </c>
      <c r="AC10">
        <f>VLOOKUP($B10&amp;AC$1,Data!$A$2:$D$3975,4,FALSE)</f>
        <v>0.79900000000000004</v>
      </c>
      <c r="AD10">
        <f>VLOOKUP($B10&amp;AD$1,Data!$A$2:$D$3975,4,FALSE)</f>
        <v>0.63800000000000001</v>
      </c>
      <c r="AE10">
        <f>VLOOKUP($B10&amp;AE$1,Data!$A$2:$D$3975,4,FALSE)</f>
        <v>-0.86899999999999999</v>
      </c>
      <c r="AF10">
        <f>VLOOKUP($B10&amp;AF$1,Data!$A$2:$D$3975,4,FALSE)</f>
        <v>0.79700000000000004</v>
      </c>
      <c r="AG10">
        <f>VLOOKUP($B10&amp;AG$1,Data!$A$2:$D$3975,4,FALSE)</f>
        <v>-0.76100000000000001</v>
      </c>
      <c r="AH10">
        <f>VLOOKUP($B10&amp;AH$1,Data!$A$2:$D$3975,4,FALSE)</f>
        <v>0</v>
      </c>
      <c r="AI10">
        <f>VLOOKUP($B10&amp;AI$1,Data!$A$2:$D$3975,4,FALSE)</f>
        <v>1800000</v>
      </c>
    </row>
    <row r="11" spans="1:35" hidden="1">
      <c r="B11" s="13">
        <v>10</v>
      </c>
      <c r="C11" s="13" t="s">
        <v>55</v>
      </c>
      <c r="D11" t="s">
        <v>0</v>
      </c>
      <c r="E11" t="s">
        <v>3</v>
      </c>
      <c r="F11">
        <v>100</v>
      </c>
      <c r="G11" t="s">
        <v>17</v>
      </c>
      <c r="H11" s="5">
        <v>43831</v>
      </c>
      <c r="I11" s="5">
        <v>44562</v>
      </c>
      <c r="J11">
        <v>14</v>
      </c>
      <c r="K11">
        <v>9</v>
      </c>
      <c r="L11">
        <v>32</v>
      </c>
      <c r="M11">
        <v>68</v>
      </c>
      <c r="N11">
        <v>1000000</v>
      </c>
      <c r="O11">
        <f>VLOOKUP($B11&amp;O$1,Data!$A$2:$D$3954,4,FALSE)</f>
        <v>1.1199999999999999E-3</v>
      </c>
      <c r="P11">
        <f>VLOOKUP($B11&amp;P$1,Data!$A$2:$D$3954,4,FALSE)</f>
        <v>-1.6970000000000001</v>
      </c>
      <c r="Q11">
        <f>VLOOKUP($B11&amp;Q$1,Data!$A$2:$D$3954,4,FALSE)</f>
        <v>403</v>
      </c>
      <c r="R11">
        <f>VLOOKUP($B11&amp;R$1,Data!$A$2:$D$3954,4,FALSE)</f>
        <v>8.9999999999999998E-4</v>
      </c>
      <c r="S11">
        <f>VLOOKUP($B11&amp;S$1,Data!$A$2:$D$3954,4,FALSE)</f>
        <v>-1.6999999999999999E-3</v>
      </c>
      <c r="T11">
        <f>VLOOKUP($B11&amp;T$1,Data!$A$2:$D$3954,4,FALSE)</f>
        <v>-1.515E-2</v>
      </c>
      <c r="U11">
        <f>VLOOKUP($B11&amp;U$1,Data!$A$2:$D$3954,4,FALSE)</f>
        <v>1.2E-2</v>
      </c>
      <c r="V11">
        <f>VLOOKUP($B11&amp;V$1,Data!$A$2:$D$3954,4,FALSE)</f>
        <v>-0.42299999999999999</v>
      </c>
      <c r="W11">
        <f>VLOOKUP($B11&amp;W$1,Data!$A$2:$D$3954,4,FALSE)</f>
        <v>-9.8200000000000006E-3</v>
      </c>
      <c r="X11">
        <f>VLOOKUP($B11&amp;X$1,Data!$A$2:$D$3954,4,FALSE)</f>
        <v>0.62</v>
      </c>
      <c r="Y11">
        <f>VLOOKUP($B11&amp;Y$1,Data!$A$2:$D$3954,4,FALSE)</f>
        <v>0.38</v>
      </c>
      <c r="Z11">
        <f>VLOOKUP($B11&amp;Z$1,Data!$A$2:$D$3954,4,FALSE)</f>
        <v>0.5</v>
      </c>
      <c r="AA11">
        <f>VLOOKUP($B11&amp;AA$1,Data!$A$2:$D$3954,4,FALSE)</f>
        <v>-1.0999999999999999E-2</v>
      </c>
      <c r="AB11">
        <f>VLOOKUP($B11&amp;AB$1,Data!$A$2:$D$3954,4,FALSE)</f>
        <v>7.0000000000000001E-3</v>
      </c>
      <c r="AC11">
        <f>VLOOKUP($B11&amp;AC$1,Data!$A$2:$D$3954,4,FALSE)</f>
        <v>6.0000000000000001E-3</v>
      </c>
      <c r="AD11">
        <f>VLOOKUP($B11&amp;AD$1,Data!$A$2:$D$3954,4,FALSE)</f>
        <v>0</v>
      </c>
      <c r="AE11">
        <f>VLOOKUP($B11&amp;AE$1,Data!$A$2:$D$3954,4,FALSE)</f>
        <v>-1.115</v>
      </c>
      <c r="AF11">
        <f>VLOOKUP($B11&amp;AF$1,Data!$A$2:$D$3954,4,FALSE)</f>
        <v>6.7000000000000004E-2</v>
      </c>
      <c r="AG11">
        <f>VLOOKUP($B11&amp;AG$1,Data!$A$2:$D$3954,4,FALSE)</f>
        <v>-1.4339999999999999</v>
      </c>
      <c r="AH11">
        <f>VLOOKUP($B11&amp;AH$1,Data!$A$2:$D$3954,4,FALSE)</f>
        <v>0</v>
      </c>
      <c r="AI11">
        <f>VLOOKUP($B11&amp;AI$1,Data!$A$2:$D$3954,4,FALSE)</f>
        <v>280000000</v>
      </c>
    </row>
    <row r="12" spans="1:35" hidden="1">
      <c r="B12" s="13">
        <v>11</v>
      </c>
      <c r="C12" s="13" t="s">
        <v>55</v>
      </c>
      <c r="D12" t="s">
        <v>0</v>
      </c>
      <c r="E12" t="s">
        <v>3</v>
      </c>
      <c r="F12">
        <v>1000</v>
      </c>
      <c r="G12" t="s">
        <v>17</v>
      </c>
      <c r="H12" s="5">
        <v>43831</v>
      </c>
      <c r="I12" s="5">
        <v>44562</v>
      </c>
      <c r="J12">
        <v>14</v>
      </c>
      <c r="K12">
        <v>9</v>
      </c>
      <c r="L12">
        <v>32</v>
      </c>
      <c r="M12">
        <v>68</v>
      </c>
      <c r="N12">
        <v>1000000</v>
      </c>
      <c r="O12">
        <f>VLOOKUP($B12&amp;O$1,Data!$A$2:$D$3954,4,FALSE)</f>
        <v>1.42E-3</v>
      </c>
      <c r="P12">
        <f>VLOOKUP($B12&amp;P$1,Data!$A$2:$D$3954,4,FALSE)</f>
        <v>-1.587</v>
      </c>
      <c r="Q12">
        <f>VLOOKUP($B12&amp;Q$1,Data!$A$2:$D$3954,4,FALSE)</f>
        <v>403</v>
      </c>
      <c r="R12">
        <f>VLOOKUP($B12&amp;R$1,Data!$A$2:$D$3954,4,FALSE)</f>
        <v>9.2999999999999992E-3</v>
      </c>
      <c r="S12">
        <f>VLOOKUP($B12&amp;S$1,Data!$A$2:$D$3954,4,FALSE)</f>
        <v>-1.8100000000000002E-2</v>
      </c>
      <c r="T12">
        <f>VLOOKUP($B12&amp;T$1,Data!$A$2:$D$3954,4,FALSE)</f>
        <v>-0.14777999999999999</v>
      </c>
      <c r="U12">
        <f>VLOOKUP($B12&amp;U$1,Data!$A$2:$D$3954,4,FALSE)</f>
        <v>0.11799999999999999</v>
      </c>
      <c r="V12">
        <f>VLOOKUP($B12&amp;V$1,Data!$A$2:$D$3954,4,FALSE)</f>
        <v>-0.41799999999999998</v>
      </c>
      <c r="W12">
        <f>VLOOKUP($B12&amp;W$1,Data!$A$2:$D$3954,4,FALSE)</f>
        <v>-9.8210000000000006E-2</v>
      </c>
      <c r="X12">
        <f>VLOOKUP($B12&amp;X$1,Data!$A$2:$D$3954,4,FALSE)</f>
        <v>0.62</v>
      </c>
      <c r="Y12">
        <f>VLOOKUP($B12&amp;Y$1,Data!$A$2:$D$3954,4,FALSE)</f>
        <v>0.38</v>
      </c>
      <c r="Z12">
        <f>VLOOKUP($B12&amp;Z$1,Data!$A$2:$D$3954,4,FALSE)</f>
        <v>0.51</v>
      </c>
      <c r="AA12">
        <f>VLOOKUP($B12&amp;AA$1,Data!$A$2:$D$3954,4,FALSE)</f>
        <v>-0.108</v>
      </c>
      <c r="AB12">
        <f>VLOOKUP($B12&amp;AB$1,Data!$A$2:$D$3954,4,FALSE)</f>
        <v>7.5999999999999998E-2</v>
      </c>
      <c r="AC12">
        <f>VLOOKUP($B12&amp;AC$1,Data!$A$2:$D$3954,4,FALSE)</f>
        <v>6.5000000000000002E-2</v>
      </c>
      <c r="AD12">
        <f>VLOOKUP($B12&amp;AD$1,Data!$A$2:$D$3954,4,FALSE)</f>
        <v>4.0000000000000001E-3</v>
      </c>
      <c r="AE12">
        <f>VLOOKUP($B12&amp;AE$1,Data!$A$2:$D$3954,4,FALSE)</f>
        <v>-1.865</v>
      </c>
      <c r="AF12">
        <f>VLOOKUP($B12&amp;AF$1,Data!$A$2:$D$3954,4,FALSE)</f>
        <v>8.8999999999999996E-2</v>
      </c>
      <c r="AG12">
        <f>VLOOKUP($B12&amp;AG$1,Data!$A$2:$D$3954,4,FALSE)</f>
        <v>-1.3480000000000001</v>
      </c>
      <c r="AH12">
        <f>VLOOKUP($B12&amp;AH$1,Data!$A$2:$D$3954,4,FALSE)</f>
        <v>0</v>
      </c>
      <c r="AI12">
        <f>VLOOKUP($B12&amp;AI$1,Data!$A$2:$D$3954,4,FALSE)</f>
        <v>29000000</v>
      </c>
    </row>
    <row r="13" spans="1:35" hidden="1">
      <c r="B13" s="13">
        <v>12</v>
      </c>
      <c r="C13" s="13" t="s">
        <v>55</v>
      </c>
      <c r="D13" t="s">
        <v>0</v>
      </c>
      <c r="E13" t="s">
        <v>3</v>
      </c>
      <c r="F13">
        <v>5000</v>
      </c>
      <c r="G13" t="s">
        <v>17</v>
      </c>
      <c r="H13" s="5">
        <v>43831</v>
      </c>
      <c r="I13" s="5">
        <v>44562</v>
      </c>
      <c r="J13">
        <v>14</v>
      </c>
      <c r="K13">
        <v>9</v>
      </c>
      <c r="L13">
        <v>32</v>
      </c>
      <c r="M13">
        <v>68</v>
      </c>
      <c r="N13">
        <v>1000000</v>
      </c>
      <c r="O13">
        <f>VLOOKUP($B13&amp;O$1,Data!$A$2:$D$3954,4,FALSE)</f>
        <v>4.0800000000000003E-3</v>
      </c>
      <c r="P13">
        <f>VLOOKUP($B13&amp;P$1,Data!$A$2:$D$3954,4,FALSE)</f>
        <v>-1.101</v>
      </c>
      <c r="Q13">
        <f>VLOOKUP($B13&amp;Q$1,Data!$A$2:$D$3954,4,FALSE)</f>
        <v>392</v>
      </c>
      <c r="R13">
        <f>VLOOKUP($B13&amp;R$1,Data!$A$2:$D$3954,4,FALSE)</f>
        <v>6.8599999999999994E-2</v>
      </c>
      <c r="S13">
        <f>VLOOKUP($B13&amp;S$1,Data!$A$2:$D$3954,4,FALSE)</f>
        <v>-9.8900000000000002E-2</v>
      </c>
      <c r="T13">
        <f>VLOOKUP($B13&amp;T$1,Data!$A$2:$D$3954,4,FALSE)</f>
        <v>-0.63749</v>
      </c>
      <c r="U13">
        <f>VLOOKUP($B13&amp;U$1,Data!$A$2:$D$3954,4,FALSE)</f>
        <v>0.56899999999999995</v>
      </c>
      <c r="V13">
        <f>VLOOKUP($B13&amp;V$1,Data!$A$2:$D$3954,4,FALSE)</f>
        <v>-0.39500000000000002</v>
      </c>
      <c r="W13">
        <f>VLOOKUP($B13&amp;W$1,Data!$A$2:$D$3954,4,FALSE)</f>
        <v>-0.48105999999999999</v>
      </c>
      <c r="X13">
        <f>VLOOKUP($B13&amp;X$1,Data!$A$2:$D$3954,4,FALSE)</f>
        <v>0.64</v>
      </c>
      <c r="Y13">
        <f>VLOOKUP($B13&amp;Y$1,Data!$A$2:$D$3954,4,FALSE)</f>
        <v>0.36</v>
      </c>
      <c r="Z13">
        <f>VLOOKUP($B13&amp;Z$1,Data!$A$2:$D$3954,4,FALSE)</f>
        <v>0.69</v>
      </c>
      <c r="AA13">
        <f>VLOOKUP($B13&amp;AA$1,Data!$A$2:$D$3954,4,FALSE)</f>
        <v>-0.48</v>
      </c>
      <c r="AB13">
        <f>VLOOKUP($B13&amp;AB$1,Data!$A$2:$D$3954,4,FALSE)</f>
        <v>0.33700000000000002</v>
      </c>
      <c r="AC13">
        <f>VLOOKUP($B13&amp;AC$1,Data!$A$2:$D$3954,4,FALSE)</f>
        <v>0.41599999999999998</v>
      </c>
      <c r="AD13">
        <f>VLOOKUP($B13&amp;AD$1,Data!$A$2:$D$3954,4,FALSE)</f>
        <v>0.17299999999999999</v>
      </c>
      <c r="AE13">
        <f>VLOOKUP($B13&amp;AE$1,Data!$A$2:$D$3954,4,FALSE)</f>
        <v>-1.2490000000000001</v>
      </c>
      <c r="AF13">
        <f>VLOOKUP($B13&amp;AF$1,Data!$A$2:$D$3954,4,FALSE)</f>
        <v>0.41799999999999998</v>
      </c>
      <c r="AG13">
        <f>VLOOKUP($B13&amp;AG$1,Data!$A$2:$D$3954,4,FALSE)</f>
        <v>-1.36</v>
      </c>
      <c r="AH13">
        <f>VLOOKUP($B13&amp;AH$1,Data!$A$2:$D$3954,4,FALSE)</f>
        <v>0</v>
      </c>
      <c r="AI13">
        <f>VLOOKUP($B13&amp;AI$1,Data!$A$2:$D$3954,4,FALSE)</f>
        <v>7000000</v>
      </c>
    </row>
    <row r="14" spans="1:35" hidden="1">
      <c r="B14" s="13">
        <v>13</v>
      </c>
      <c r="C14" s="13" t="s">
        <v>55</v>
      </c>
      <c r="D14" t="s">
        <v>0</v>
      </c>
      <c r="E14" t="s">
        <v>2</v>
      </c>
      <c r="F14">
        <v>100</v>
      </c>
      <c r="G14" t="s">
        <v>17</v>
      </c>
      <c r="H14" s="5">
        <v>43831</v>
      </c>
      <c r="I14" s="5">
        <v>44562</v>
      </c>
      <c r="J14">
        <v>14</v>
      </c>
      <c r="K14">
        <v>9</v>
      </c>
      <c r="L14">
        <v>32</v>
      </c>
      <c r="M14">
        <v>68</v>
      </c>
      <c r="N14">
        <v>1000000</v>
      </c>
      <c r="O14">
        <f>VLOOKUP($B14&amp;O$1,Data!$A$2:$D$3954,4,FALSE)</f>
        <v>2.4680000000000001E-2</v>
      </c>
      <c r="P14">
        <f>VLOOKUP($B14&amp;P$1,Data!$A$2:$D$3954,4,FALSE)</f>
        <v>-1</v>
      </c>
      <c r="Q14">
        <f>VLOOKUP($B14&amp;Q$1,Data!$A$2:$D$3954,4,FALSE)</f>
        <v>250</v>
      </c>
      <c r="R14">
        <f>VLOOKUP($B14&amp;R$1,Data!$A$2:$D$3954,4,FALSE)</f>
        <v>1.8E-3</v>
      </c>
      <c r="S14">
        <f>VLOOKUP($B14&amp;S$1,Data!$A$2:$D$3954,4,FALSE)</f>
        <v>-4.1000000000000003E-3</v>
      </c>
      <c r="T14">
        <f>VLOOKUP($B14&amp;T$1,Data!$A$2:$D$3954,4,FALSE)</f>
        <v>-1.4409999999999999E-2</v>
      </c>
      <c r="U14">
        <f>VLOOKUP($B14&amp;U$1,Data!$A$2:$D$3954,4,FALSE)</f>
        <v>1.7000000000000001E-2</v>
      </c>
      <c r="V14">
        <f>VLOOKUP($B14&amp;V$1,Data!$A$2:$D$3954,4,FALSE)</f>
        <v>-0.27900000000000003</v>
      </c>
      <c r="W14">
        <f>VLOOKUP($B14&amp;W$1,Data!$A$2:$D$3954,4,FALSE)</f>
        <v>-9.3399999999999993E-3</v>
      </c>
      <c r="X14">
        <f>VLOOKUP($B14&amp;X$1,Data!$A$2:$D$3954,4,FALSE)</f>
        <v>0.5</v>
      </c>
      <c r="Y14">
        <f>VLOOKUP($B14&amp;Y$1,Data!$A$2:$D$3954,4,FALSE)</f>
        <v>0.5</v>
      </c>
      <c r="Z14">
        <f>VLOOKUP($B14&amp;Z$1,Data!$A$2:$D$3954,4,FALSE)</f>
        <v>0.44</v>
      </c>
      <c r="AA14">
        <f>VLOOKUP($B14&amp;AA$1,Data!$A$2:$D$3954,4,FALSE)</f>
        <v>-1.0999999999999999E-2</v>
      </c>
      <c r="AB14">
        <f>VLOOKUP($B14&amp;AB$1,Data!$A$2:$D$3954,4,FALSE)</f>
        <v>2.3E-2</v>
      </c>
      <c r="AC14">
        <f>VLOOKUP($B14&amp;AC$1,Data!$A$2:$D$3954,4,FALSE)</f>
        <v>0.01</v>
      </c>
      <c r="AD14">
        <f>VLOOKUP($B14&amp;AD$1,Data!$A$2:$D$3954,4,FALSE)</f>
        <v>0</v>
      </c>
      <c r="AE14">
        <f>VLOOKUP($B14&amp;AE$1,Data!$A$2:$D$3954,4,FALSE)</f>
        <v>-1.117</v>
      </c>
      <c r="AF14">
        <f>VLOOKUP($B14&amp;AF$1,Data!$A$2:$D$3954,4,FALSE)</f>
        <v>6.6000000000000003E-2</v>
      </c>
      <c r="AG14">
        <f>VLOOKUP($B14&amp;AG$1,Data!$A$2:$D$3954,4,FALSE)</f>
        <v>-0.42499999999999999</v>
      </c>
      <c r="AH14">
        <f>VLOOKUP($B14&amp;AH$1,Data!$A$2:$D$3954,4,FALSE)</f>
        <v>0</v>
      </c>
      <c r="AI14">
        <f>VLOOKUP($B14&amp;AI$1,Data!$A$2:$D$3954,4,FALSE)</f>
        <v>730000000</v>
      </c>
    </row>
    <row r="15" spans="1:35" hidden="1">
      <c r="B15" s="13">
        <v>14</v>
      </c>
      <c r="C15" s="13" t="s">
        <v>55</v>
      </c>
      <c r="D15" t="s">
        <v>0</v>
      </c>
      <c r="E15" t="s">
        <v>2</v>
      </c>
      <c r="F15">
        <v>1000</v>
      </c>
      <c r="G15" t="s">
        <v>17</v>
      </c>
      <c r="H15" s="5">
        <v>43831</v>
      </c>
      <c r="I15" s="5">
        <v>44562</v>
      </c>
      <c r="J15">
        <v>14</v>
      </c>
      <c r="K15">
        <v>9</v>
      </c>
      <c r="L15">
        <v>32</v>
      </c>
      <c r="M15">
        <v>68</v>
      </c>
      <c r="N15">
        <v>1000000</v>
      </c>
      <c r="O15">
        <f>VLOOKUP($B15&amp;O$1,Data!$A$2:$D$3954,4,FALSE)</f>
        <v>2.8649999999999998E-2</v>
      </c>
      <c r="P15">
        <f>VLOOKUP($B15&amp;P$1,Data!$A$2:$D$3954,4,FALSE)</f>
        <v>-0.90300000000000002</v>
      </c>
      <c r="Q15">
        <f>VLOOKUP($B15&amp;Q$1,Data!$A$2:$D$3954,4,FALSE)</f>
        <v>250</v>
      </c>
      <c r="R15">
        <f>VLOOKUP($B15&amp;R$1,Data!$A$2:$D$3954,4,FALSE)</f>
        <v>1.9199999999999998E-2</v>
      </c>
      <c r="S15">
        <f>VLOOKUP($B15&amp;S$1,Data!$A$2:$D$3954,4,FALSE)</f>
        <v>-4.1399999999999999E-2</v>
      </c>
      <c r="T15">
        <f>VLOOKUP($B15&amp;T$1,Data!$A$2:$D$3954,4,FALSE)</f>
        <v>-0.14069999999999999</v>
      </c>
      <c r="U15">
        <f>VLOOKUP($B15&amp;U$1,Data!$A$2:$D$3954,4,FALSE)</f>
        <v>0.16700000000000001</v>
      </c>
      <c r="V15">
        <f>VLOOKUP($B15&amp;V$1,Data!$A$2:$D$3954,4,FALSE)</f>
        <v>-0.26900000000000002</v>
      </c>
      <c r="W15">
        <f>VLOOKUP($B15&amp;W$1,Data!$A$2:$D$3954,4,FALSE)</f>
        <v>-9.3380000000000005E-2</v>
      </c>
      <c r="X15">
        <f>VLOOKUP($B15&amp;X$1,Data!$A$2:$D$3954,4,FALSE)</f>
        <v>0.5</v>
      </c>
      <c r="Y15">
        <f>VLOOKUP($B15&amp;Y$1,Data!$A$2:$D$3954,4,FALSE)</f>
        <v>0.5</v>
      </c>
      <c r="Z15">
        <f>VLOOKUP($B15&amp;Z$1,Data!$A$2:$D$3954,4,FALSE)</f>
        <v>0.46</v>
      </c>
      <c r="AA15">
        <f>VLOOKUP($B15&amp;AA$1,Data!$A$2:$D$3954,4,FALSE)</f>
        <v>-0.11</v>
      </c>
      <c r="AB15">
        <f>VLOOKUP($B15&amp;AB$1,Data!$A$2:$D$3954,4,FALSE)</f>
        <v>0.23899999999999999</v>
      </c>
      <c r="AC15">
        <f>VLOOKUP($B15&amp;AC$1,Data!$A$2:$D$3954,4,FALSE)</f>
        <v>0.105</v>
      </c>
      <c r="AD15">
        <f>VLOOKUP($B15&amp;AD$1,Data!$A$2:$D$3954,4,FALSE)</f>
        <v>1.0999999999999999E-2</v>
      </c>
      <c r="AE15">
        <f>VLOOKUP($B15&amp;AE$1,Data!$A$2:$D$3954,4,FALSE)</f>
        <v>-1.3720000000000001</v>
      </c>
      <c r="AF15">
        <f>VLOOKUP($B15&amp;AF$1,Data!$A$2:$D$3954,4,FALSE)</f>
        <v>0.11600000000000001</v>
      </c>
      <c r="AG15">
        <f>VLOOKUP($B15&amp;AG$1,Data!$A$2:$D$3954,4,FALSE)</f>
        <v>-0.39700000000000002</v>
      </c>
      <c r="AH15">
        <f>VLOOKUP($B15&amp;AH$1,Data!$A$2:$D$3954,4,FALSE)</f>
        <v>0</v>
      </c>
      <c r="AI15">
        <f>VLOOKUP($B15&amp;AI$1,Data!$A$2:$D$3954,4,FALSE)</f>
        <v>71000000</v>
      </c>
    </row>
    <row r="16" spans="1:35" hidden="1">
      <c r="B16" s="13">
        <v>15</v>
      </c>
      <c r="C16" s="13" t="s">
        <v>55</v>
      </c>
      <c r="D16" t="s">
        <v>0</v>
      </c>
      <c r="E16" t="s">
        <v>2</v>
      </c>
      <c r="F16">
        <v>5000</v>
      </c>
      <c r="G16" t="s">
        <v>17</v>
      </c>
      <c r="H16" s="5">
        <v>43831</v>
      </c>
      <c r="I16" s="5">
        <v>44562</v>
      </c>
      <c r="J16">
        <v>14</v>
      </c>
      <c r="K16">
        <v>9</v>
      </c>
      <c r="L16">
        <v>32</v>
      </c>
      <c r="M16">
        <v>68</v>
      </c>
      <c r="N16">
        <v>1000000</v>
      </c>
      <c r="O16">
        <f>VLOOKUP($B16&amp;O$1,Data!$A$2:$D$3954,4,FALSE)</f>
        <v>6.1949999999999998E-2</v>
      </c>
      <c r="P16">
        <f>VLOOKUP($B16&amp;P$1,Data!$A$2:$D$3954,4,FALSE)</f>
        <v>-0.49299999999999999</v>
      </c>
      <c r="Q16">
        <f>VLOOKUP($B16&amp;Q$1,Data!$A$2:$D$3954,4,FALSE)</f>
        <v>246</v>
      </c>
      <c r="R16">
        <f>VLOOKUP($B16&amp;R$1,Data!$A$2:$D$3954,4,FALSE)</f>
        <v>0.14099999999999999</v>
      </c>
      <c r="S16">
        <f>VLOOKUP($B16&amp;S$1,Data!$A$2:$D$3954,4,FALSE)</f>
        <v>-0.16020000000000001</v>
      </c>
      <c r="T16">
        <f>VLOOKUP($B16&amp;T$1,Data!$A$2:$D$3954,4,FALSE)</f>
        <v>-0.65066000000000002</v>
      </c>
      <c r="U16">
        <f>VLOOKUP($B16&amp;U$1,Data!$A$2:$D$3954,4,FALSE)</f>
        <v>0.72</v>
      </c>
      <c r="V16">
        <f>VLOOKUP($B16&amp;V$1,Data!$A$2:$D$3954,4,FALSE)</f>
        <v>-0.248</v>
      </c>
      <c r="W16">
        <f>VLOOKUP($B16&amp;W$1,Data!$A$2:$D$3954,4,FALSE)</f>
        <v>-0.49331999999999998</v>
      </c>
      <c r="X16">
        <f>VLOOKUP($B16&amp;X$1,Data!$A$2:$D$3954,4,FALSE)</f>
        <v>0.6</v>
      </c>
      <c r="Y16">
        <f>VLOOKUP($B16&amp;Y$1,Data!$A$2:$D$3954,4,FALSE)</f>
        <v>0.4</v>
      </c>
      <c r="Z16">
        <f>VLOOKUP($B16&amp;Z$1,Data!$A$2:$D$3954,4,FALSE)</f>
        <v>0.88</v>
      </c>
      <c r="AA16">
        <f>VLOOKUP($B16&amp;AA$1,Data!$A$2:$D$3954,4,FALSE)</f>
        <v>-0.44600000000000001</v>
      </c>
      <c r="AB16">
        <f>VLOOKUP($B16&amp;AB$1,Data!$A$2:$D$3954,4,FALSE)</f>
        <v>1.2849999999999999</v>
      </c>
      <c r="AC16">
        <f>VLOOKUP($B16&amp;AC$1,Data!$A$2:$D$3954,4,FALSE)</f>
        <v>0.74</v>
      </c>
      <c r="AD16">
        <f>VLOOKUP($B16&amp;AD$1,Data!$A$2:$D$3954,4,FALSE)</f>
        <v>0.54800000000000004</v>
      </c>
      <c r="AE16">
        <f>VLOOKUP($B16&amp;AE$1,Data!$A$2:$D$3954,4,FALSE)</f>
        <v>-0.58199999999999996</v>
      </c>
      <c r="AF16">
        <f>VLOOKUP($B16&amp;AF$1,Data!$A$2:$D$3954,4,FALSE)</f>
        <v>0.73499999999999999</v>
      </c>
      <c r="AG16">
        <f>VLOOKUP($B16&amp;AG$1,Data!$A$2:$D$3954,4,FALSE)</f>
        <v>-0.28399999999999997</v>
      </c>
      <c r="AH16">
        <f>VLOOKUP($B16&amp;AH$1,Data!$A$2:$D$3954,4,FALSE)</f>
        <v>0</v>
      </c>
      <c r="AI16">
        <f>VLOOKUP($B16&amp;AI$1,Data!$A$2:$D$3954,4,FALSE)</f>
        <v>12000000</v>
      </c>
    </row>
    <row r="17" spans="2:35" hidden="1">
      <c r="B17" s="13">
        <v>16</v>
      </c>
      <c r="C17" s="13" t="s">
        <v>55</v>
      </c>
      <c r="D17" t="s">
        <v>0</v>
      </c>
      <c r="E17" t="s">
        <v>22</v>
      </c>
      <c r="F17">
        <v>100</v>
      </c>
      <c r="G17" t="s">
        <v>17</v>
      </c>
      <c r="H17" s="5">
        <v>43831</v>
      </c>
      <c r="I17" s="5">
        <v>44562</v>
      </c>
      <c r="J17">
        <v>14</v>
      </c>
      <c r="K17">
        <v>9</v>
      </c>
      <c r="L17">
        <v>32</v>
      </c>
      <c r="M17">
        <v>68</v>
      </c>
      <c r="N17">
        <v>1000000</v>
      </c>
      <c r="O17">
        <f>VLOOKUP($B17&amp;O$1,Data!$A$2:$D$3954,4,FALSE)</f>
        <v>0.1079</v>
      </c>
      <c r="P17">
        <f>VLOOKUP($B17&amp;P$1,Data!$A$2:$D$3954,4,FALSE)</f>
        <v>-0.307</v>
      </c>
      <c r="Q17">
        <f>VLOOKUP($B17&amp;Q$1,Data!$A$2:$D$3954,4,FALSE)</f>
        <v>176</v>
      </c>
      <c r="R17">
        <f>VLOOKUP($B17&amp;R$1,Data!$A$2:$D$3954,4,FALSE)</f>
        <v>1.4E-3</v>
      </c>
      <c r="S17">
        <f>VLOOKUP($B17&amp;S$1,Data!$A$2:$D$3954,4,FALSE)</f>
        <v>-2.2000000000000001E-3</v>
      </c>
      <c r="T17">
        <f>VLOOKUP($B17&amp;T$1,Data!$A$2:$D$3954,4,FALSE)</f>
        <v>-6.2300000000000003E-3</v>
      </c>
      <c r="U17">
        <f>VLOOKUP($B17&amp;U$1,Data!$A$2:$D$3954,4,FALSE)</f>
        <v>1.2E-2</v>
      </c>
      <c r="V17">
        <f>VLOOKUP($B17&amp;V$1,Data!$A$2:$D$3954,4,FALSE)</f>
        <v>-0.35099999999999998</v>
      </c>
      <c r="W17">
        <f>VLOOKUP($B17&amp;W$1,Data!$A$2:$D$3954,4,FALSE)</f>
        <v>-4.0299999999999997E-3</v>
      </c>
      <c r="X17">
        <f>VLOOKUP($B17&amp;X$1,Data!$A$2:$D$3954,4,FALSE)</f>
        <v>0.6</v>
      </c>
      <c r="Y17">
        <f>VLOOKUP($B17&amp;Y$1,Data!$A$2:$D$3954,4,FALSE)</f>
        <v>0.4</v>
      </c>
      <c r="Z17">
        <f>VLOOKUP($B17&amp;Z$1,Data!$A$2:$D$3954,4,FALSE)</f>
        <v>0.62</v>
      </c>
      <c r="AA17">
        <f>VLOOKUP($B17&amp;AA$1,Data!$A$2:$D$3954,4,FALSE)</f>
        <v>-7.0000000000000001E-3</v>
      </c>
      <c r="AB17">
        <f>VLOOKUP($B17&amp;AB$1,Data!$A$2:$D$3954,4,FALSE)</f>
        <v>4.9000000000000002E-2</v>
      </c>
      <c r="AC17">
        <f>VLOOKUP($B17&amp;AC$1,Data!$A$2:$D$3954,4,FALSE)</f>
        <v>1.4E-2</v>
      </c>
      <c r="AD17">
        <f>VLOOKUP($B17&amp;AD$1,Data!$A$2:$D$3954,4,FALSE)</f>
        <v>0</v>
      </c>
      <c r="AE17">
        <f>VLOOKUP($B17&amp;AE$1,Data!$A$2:$D$3954,4,FALSE)</f>
        <v>-1.0469999999999999</v>
      </c>
      <c r="AF17">
        <f>VLOOKUP($B17&amp;AF$1,Data!$A$2:$D$3954,4,FALSE)</f>
        <v>6.5000000000000002E-2</v>
      </c>
      <c r="AG17">
        <f>VLOOKUP($B17&amp;AG$1,Data!$A$2:$D$3954,4,FALSE)</f>
        <v>-8.6999999999999994E-2</v>
      </c>
      <c r="AH17">
        <f>VLOOKUP($B17&amp;AH$1,Data!$A$2:$D$3954,4,FALSE)</f>
        <v>0</v>
      </c>
      <c r="AI17">
        <f>VLOOKUP($B17&amp;AI$1,Data!$A$2:$D$3954,4,FALSE)</f>
        <v>18000000</v>
      </c>
    </row>
    <row r="18" spans="2:35" hidden="1">
      <c r="B18" s="13">
        <v>17</v>
      </c>
      <c r="C18" s="13" t="s">
        <v>55</v>
      </c>
      <c r="D18" t="s">
        <v>0</v>
      </c>
      <c r="E18" t="s">
        <v>22</v>
      </c>
      <c r="F18">
        <v>1000</v>
      </c>
      <c r="G18" t="s">
        <v>17</v>
      </c>
      <c r="H18" s="5">
        <v>43831</v>
      </c>
      <c r="I18" s="5">
        <v>44562</v>
      </c>
      <c r="J18">
        <v>14</v>
      </c>
      <c r="K18">
        <v>9</v>
      </c>
      <c r="L18">
        <v>32</v>
      </c>
      <c r="M18">
        <v>68</v>
      </c>
      <c r="N18">
        <v>1000000</v>
      </c>
      <c r="O18">
        <f>VLOOKUP($B18&amp;O$1,Data!$A$2:$D$3954,4,FALSE)</f>
        <v>0.11894</v>
      </c>
      <c r="P18">
        <f>VLOOKUP($B18&amp;P$1,Data!$A$2:$D$3954,4,FALSE)</f>
        <v>-0.24</v>
      </c>
      <c r="Q18">
        <f>VLOOKUP($B18&amp;Q$1,Data!$A$2:$D$3954,4,FALSE)</f>
        <v>176</v>
      </c>
      <c r="R18">
        <f>VLOOKUP($B18&amp;R$1,Data!$A$2:$D$3954,4,FALSE)</f>
        <v>1.3899999999999999E-2</v>
      </c>
      <c r="S18">
        <f>VLOOKUP($B18&amp;S$1,Data!$A$2:$D$3954,4,FALSE)</f>
        <v>-2.2200000000000001E-2</v>
      </c>
      <c r="T18">
        <f>VLOOKUP($B18&amp;T$1,Data!$A$2:$D$3954,4,FALSE)</f>
        <v>-6.1650000000000003E-2</v>
      </c>
      <c r="U18">
        <f>VLOOKUP($B18&amp;U$1,Data!$A$2:$D$3954,4,FALSE)</f>
        <v>0.11899999999999999</v>
      </c>
      <c r="V18">
        <f>VLOOKUP($B18&amp;V$1,Data!$A$2:$D$3954,4,FALSE)</f>
        <v>-0.35099999999999998</v>
      </c>
      <c r="W18">
        <f>VLOOKUP($B18&amp;W$1,Data!$A$2:$D$3954,4,FALSE)</f>
        <v>-4.0300000000000002E-2</v>
      </c>
      <c r="X18">
        <f>VLOOKUP($B18&amp;X$1,Data!$A$2:$D$3954,4,FALSE)</f>
        <v>0.6</v>
      </c>
      <c r="Y18">
        <f>VLOOKUP($B18&amp;Y$1,Data!$A$2:$D$3954,4,FALSE)</f>
        <v>0.4</v>
      </c>
      <c r="Z18">
        <f>VLOOKUP($B18&amp;Z$1,Data!$A$2:$D$3954,4,FALSE)</f>
        <v>0.62</v>
      </c>
      <c r="AA18">
        <f>VLOOKUP($B18&amp;AA$1,Data!$A$2:$D$3954,4,FALSE)</f>
        <v>-6.5000000000000002E-2</v>
      </c>
      <c r="AB18">
        <f>VLOOKUP($B18&amp;AB$1,Data!$A$2:$D$3954,4,FALSE)</f>
        <v>0.49299999999999999</v>
      </c>
      <c r="AC18">
        <f>VLOOKUP($B18&amp;AC$1,Data!$A$2:$D$3954,4,FALSE)</f>
        <v>0.14099999999999999</v>
      </c>
      <c r="AD18">
        <f>VLOOKUP($B18&amp;AD$1,Data!$A$2:$D$3954,4,FALSE)</f>
        <v>0.02</v>
      </c>
      <c r="AE18">
        <f>VLOOKUP($B18&amp;AE$1,Data!$A$2:$D$3954,4,FALSE)</f>
        <v>-0.69099999999999995</v>
      </c>
      <c r="AF18">
        <f>VLOOKUP($B18&amp;AF$1,Data!$A$2:$D$3954,4,FALSE)</f>
        <v>0.14099999999999999</v>
      </c>
      <c r="AG18">
        <f>VLOOKUP($B18&amp;AG$1,Data!$A$2:$D$3954,4,FALSE)</f>
        <v>-6.8000000000000005E-2</v>
      </c>
      <c r="AH18">
        <f>VLOOKUP($B18&amp;AH$1,Data!$A$2:$D$3954,4,FALSE)</f>
        <v>0</v>
      </c>
      <c r="AI18">
        <f>VLOOKUP($B18&amp;AI$1,Data!$A$2:$D$3954,4,FALSE)</f>
        <v>5100000</v>
      </c>
    </row>
    <row r="19" spans="2:35" hidden="1">
      <c r="B19" s="13">
        <v>18</v>
      </c>
      <c r="C19" s="13" t="s">
        <v>55</v>
      </c>
      <c r="D19" t="s">
        <v>0</v>
      </c>
      <c r="E19" t="s">
        <v>22</v>
      </c>
      <c r="F19">
        <v>5000</v>
      </c>
      <c r="G19" t="s">
        <v>17</v>
      </c>
      <c r="H19" s="5">
        <v>43831</v>
      </c>
      <c r="I19" s="5">
        <v>44562</v>
      </c>
      <c r="J19">
        <v>14</v>
      </c>
      <c r="K19">
        <v>9</v>
      </c>
      <c r="L19">
        <v>32</v>
      </c>
      <c r="M19">
        <v>68</v>
      </c>
      <c r="N19">
        <v>1000000</v>
      </c>
      <c r="O19">
        <f>VLOOKUP($B19&amp;O$1,Data!$A$2:$D$3954,4,FALSE)</f>
        <v>0.15504000000000001</v>
      </c>
      <c r="P19">
        <f>VLOOKUP($B19&amp;P$1,Data!$A$2:$D$3954,4,FALSE)</f>
        <v>-5.7000000000000002E-2</v>
      </c>
      <c r="Q19">
        <f>VLOOKUP($B19&amp;Q$1,Data!$A$2:$D$3954,4,FALSE)</f>
        <v>177</v>
      </c>
      <c r="R19">
        <f>VLOOKUP($B19&amp;R$1,Data!$A$2:$D$3954,4,FALSE)</f>
        <v>6.8199999999999997E-2</v>
      </c>
      <c r="S19">
        <f>VLOOKUP($B19&amp;S$1,Data!$A$2:$D$3954,4,FALSE)</f>
        <v>-9.8699999999999996E-2</v>
      </c>
      <c r="T19">
        <f>VLOOKUP($B19&amp;T$1,Data!$A$2:$D$3954,4,FALSE)</f>
        <v>-0.37302999999999997</v>
      </c>
      <c r="U19">
        <f>VLOOKUP($B19&amp;U$1,Data!$A$2:$D$3954,4,FALSE)</f>
        <v>0.50700000000000001</v>
      </c>
      <c r="V19">
        <f>VLOOKUP($B19&amp;V$1,Data!$A$2:$D$3954,4,FALSE)</f>
        <v>-0.436</v>
      </c>
      <c r="W19">
        <f>VLOOKUP($B19&amp;W$1,Data!$A$2:$D$3954,4,FALSE)</f>
        <v>-0.26051000000000002</v>
      </c>
      <c r="X19">
        <f>VLOOKUP($B19&amp;X$1,Data!$A$2:$D$3954,4,FALSE)</f>
        <v>0.67</v>
      </c>
      <c r="Y19">
        <f>VLOOKUP($B19&amp;Y$1,Data!$A$2:$D$3954,4,FALSE)</f>
        <v>0.33</v>
      </c>
      <c r="Z19">
        <f>VLOOKUP($B19&amp;Z$1,Data!$A$2:$D$3954,4,FALSE)</f>
        <v>0.69</v>
      </c>
      <c r="AA19">
        <f>VLOOKUP($B19&amp;AA$1,Data!$A$2:$D$3954,4,FALSE)</f>
        <v>-0.21099999999999999</v>
      </c>
      <c r="AB19">
        <f>VLOOKUP($B19&amp;AB$1,Data!$A$2:$D$3954,4,FALSE)</f>
        <v>2.6269999999999998</v>
      </c>
      <c r="AC19">
        <f>VLOOKUP($B19&amp;AC$1,Data!$A$2:$D$3954,4,FALSE)</f>
        <v>0.77</v>
      </c>
      <c r="AD19">
        <f>VLOOKUP($B19&amp;AD$1,Data!$A$2:$D$3954,4,FALSE)</f>
        <v>0.59299999999999997</v>
      </c>
      <c r="AE19">
        <f>VLOOKUP($B19&amp;AE$1,Data!$A$2:$D$3954,4,FALSE)</f>
        <v>-0.14199999999999999</v>
      </c>
      <c r="AF19">
        <f>VLOOKUP($B19&amp;AF$1,Data!$A$2:$D$3954,4,FALSE)</f>
        <v>0.75800000000000001</v>
      </c>
      <c r="AG19">
        <f>VLOOKUP($B19&amp;AG$1,Data!$A$2:$D$3954,4,FALSE)</f>
        <v>-1.7000000000000001E-2</v>
      </c>
      <c r="AH19">
        <f>VLOOKUP($B19&amp;AH$1,Data!$A$2:$D$3954,4,FALSE)</f>
        <v>0</v>
      </c>
      <c r="AI19">
        <f>VLOOKUP($B19&amp;AI$1,Data!$A$2:$D$3954,4,FALSE)</f>
        <v>2300000</v>
      </c>
    </row>
    <row r="20" spans="2:35" hidden="1">
      <c r="B20" s="13">
        <v>19</v>
      </c>
      <c r="C20" s="13" t="s">
        <v>55</v>
      </c>
      <c r="D20" t="s">
        <v>0</v>
      </c>
      <c r="E20" t="s">
        <v>3</v>
      </c>
      <c r="F20">
        <v>100</v>
      </c>
      <c r="G20" t="s">
        <v>17</v>
      </c>
      <c r="H20" s="5">
        <v>43831</v>
      </c>
      <c r="I20" s="5">
        <v>44562</v>
      </c>
      <c r="J20">
        <v>14</v>
      </c>
      <c r="K20">
        <v>9</v>
      </c>
      <c r="L20">
        <v>28</v>
      </c>
      <c r="M20">
        <v>72</v>
      </c>
      <c r="N20">
        <v>1000000</v>
      </c>
      <c r="O20">
        <f>VLOOKUP($B20&amp;O$1,Data!$A$2:$D$3723,4,FALSE)</f>
        <v>0.32308999999999999</v>
      </c>
      <c r="P20">
        <f>VLOOKUP($B20&amp;P$1,Data!$A$2:$D$3723,4,FALSE)</f>
        <v>0.52</v>
      </c>
      <c r="Q20">
        <f>VLOOKUP($B20&amp;Q$1,Data!$A$2:$D$3723,4,FALSE)</f>
        <v>354</v>
      </c>
      <c r="R20">
        <f>VLOOKUP($B20&amp;R$1,Data!$A$2:$D$3723,4,FALSE)</f>
        <v>3.0000000000000001E-3</v>
      </c>
      <c r="S20">
        <f>VLOOKUP($B20&amp;S$1,Data!$A$2:$D$3723,4,FALSE)</f>
        <v>-1.1000000000000001E-3</v>
      </c>
      <c r="T20">
        <f>VLOOKUP($B20&amp;T$1,Data!$A$2:$D$3723,4,FALSE)</f>
        <v>6.2199999999999998E-3</v>
      </c>
      <c r="U20">
        <f>VLOOKUP($B20&amp;U$1,Data!$A$2:$D$3723,4,FALSE)</f>
        <v>8.0000000000000002E-3</v>
      </c>
      <c r="V20">
        <f>VLOOKUP($B20&amp;V$1,Data!$A$2:$D$3723,4,FALSE)</f>
        <v>0.38500000000000001</v>
      </c>
      <c r="W20">
        <f>VLOOKUP($B20&amp;W$1,Data!$A$2:$D$3723,4,FALSE)</f>
        <v>4.0000000000000001E-3</v>
      </c>
      <c r="X20">
        <f>VLOOKUP($B20&amp;X$1,Data!$A$2:$D$3723,4,FALSE)</f>
        <v>0.64</v>
      </c>
      <c r="Y20">
        <f>VLOOKUP($B20&amp;Y$1,Data!$A$2:$D$3723,4,FALSE)</f>
        <v>0.36</v>
      </c>
      <c r="Z20">
        <f>VLOOKUP($B20&amp;Z$1,Data!$A$2:$D$3723,4,FALSE)</f>
        <v>2.81</v>
      </c>
      <c r="AA20">
        <f>VLOOKUP($B20&amp;AA$1,Data!$A$2:$D$3723,4,FALSE)</f>
        <v>2E-3</v>
      </c>
      <c r="AB20">
        <f>VLOOKUP($B20&amp;AB$1,Data!$A$2:$D$3723,4,FALSE)</f>
        <v>3.2000000000000001E-2</v>
      </c>
      <c r="AC20">
        <f>VLOOKUP($B20&amp;AC$1,Data!$A$2:$D$3723,4,FALSE)</f>
        <v>8.0000000000000002E-3</v>
      </c>
      <c r="AD20">
        <f>VLOOKUP($B20&amp;AD$1,Data!$A$2:$D$3723,4,FALSE)</f>
        <v>0</v>
      </c>
      <c r="AE20">
        <f>VLOOKUP($B20&amp;AE$1,Data!$A$2:$D$3723,4,FALSE)</f>
        <v>-0.91400000000000003</v>
      </c>
      <c r="AF20">
        <f>VLOOKUP($B20&amp;AF$1,Data!$A$2:$D$3723,4,FALSE)</f>
        <v>6.5000000000000002E-2</v>
      </c>
      <c r="AG20">
        <f>VLOOKUP($B20&amp;AG$1,Data!$A$2:$D$3723,4,FALSE)</f>
        <v>0.13500000000000001</v>
      </c>
      <c r="AH20">
        <f>VLOOKUP($B20&amp;AH$1,Data!$A$2:$D$3723,4,FALSE)</f>
        <v>0</v>
      </c>
      <c r="AI20">
        <f>VLOOKUP($B20&amp;AI$1,Data!$A$2:$D$3723,4,FALSE)</f>
        <v>190000000</v>
      </c>
    </row>
    <row r="21" spans="2:35" hidden="1">
      <c r="B21" s="13">
        <v>20</v>
      </c>
      <c r="C21" s="13" t="s">
        <v>55</v>
      </c>
      <c r="D21" t="s">
        <v>0</v>
      </c>
      <c r="E21" t="s">
        <v>3</v>
      </c>
      <c r="F21">
        <v>1000</v>
      </c>
      <c r="G21" t="s">
        <v>17</v>
      </c>
      <c r="H21" s="5">
        <v>43831</v>
      </c>
      <c r="I21" s="5">
        <v>44562</v>
      </c>
      <c r="J21">
        <v>14</v>
      </c>
      <c r="K21">
        <v>9</v>
      </c>
      <c r="L21">
        <v>28</v>
      </c>
      <c r="M21">
        <v>72</v>
      </c>
      <c r="N21">
        <v>1000000</v>
      </c>
      <c r="O21">
        <f>VLOOKUP($B21&amp;O$1,Data!$A$2:$D$3765,4,FALSE)</f>
        <v>1.4290000000000001E-2</v>
      </c>
      <c r="P21">
        <f>VLOOKUP($B21&amp;P$1,Data!$A$2:$D$3765,4,FALSE)</f>
        <v>-1.228</v>
      </c>
      <c r="Q21">
        <f>VLOOKUP($B21&amp;Q$1,Data!$A$2:$D$3765,4,FALSE)</f>
        <v>246</v>
      </c>
      <c r="R21">
        <f>VLOOKUP($B21&amp;R$1,Data!$A$2:$D$3765,4,FALSE)</f>
        <v>1.4999999999999999E-2</v>
      </c>
      <c r="S21">
        <f>VLOOKUP($B21&amp;S$1,Data!$A$2:$D$3765,4,FALSE)</f>
        <v>-3.5299999999999998E-2</v>
      </c>
      <c r="T21">
        <f>VLOOKUP($B21&amp;T$1,Data!$A$2:$D$3765,4,FALSE)</f>
        <v>-0.19373000000000001</v>
      </c>
      <c r="U21">
        <f>VLOOKUP($B21&amp;U$1,Data!$A$2:$D$3765,4,FALSE)</f>
        <v>0.159</v>
      </c>
      <c r="V21">
        <f>VLOOKUP($B21&amp;V$1,Data!$A$2:$D$3765,4,FALSE)</f>
        <v>-0.46500000000000002</v>
      </c>
      <c r="W21">
        <f>VLOOKUP($B21&amp;W$1,Data!$A$2:$D$3765,4,FALSE)</f>
        <v>-0.12995000000000001</v>
      </c>
      <c r="X21">
        <f>VLOOKUP($B21&amp;X$1,Data!$A$2:$D$3765,4,FALSE)</f>
        <v>0.62</v>
      </c>
      <c r="Y21">
        <f>VLOOKUP($B21&amp;Y$1,Data!$A$2:$D$3765,4,FALSE)</f>
        <v>0.38</v>
      </c>
      <c r="Z21">
        <f>VLOOKUP($B21&amp;Z$1,Data!$A$2:$D$3765,4,FALSE)</f>
        <v>0.43</v>
      </c>
      <c r="AA21">
        <f>VLOOKUP($B21&amp;AA$1,Data!$A$2:$D$3765,4,FALSE)</f>
        <v>-0.15</v>
      </c>
      <c r="AB21">
        <f>VLOOKUP($B21&amp;AB$1,Data!$A$2:$D$3765,4,FALSE)</f>
        <v>0.25800000000000001</v>
      </c>
      <c r="AC21">
        <f>VLOOKUP($B21&amp;AC$1,Data!$A$2:$D$3765,4,FALSE)</f>
        <v>0.109</v>
      </c>
      <c r="AD21">
        <f>VLOOKUP($B21&amp;AD$1,Data!$A$2:$D$3765,4,FALSE)</f>
        <v>1.2E-2</v>
      </c>
      <c r="AE21">
        <f>VLOOKUP($B21&amp;AE$1,Data!$A$2:$D$3765,4,FALSE)</f>
        <v>-1.6679999999999999</v>
      </c>
      <c r="AF21">
        <f>VLOOKUP($B21&amp;AF$1,Data!$A$2:$D$3765,4,FALSE)</f>
        <v>0.11799999999999999</v>
      </c>
      <c r="AG21">
        <f>VLOOKUP($B21&amp;AG$1,Data!$A$2:$D$3765,4,FALSE)</f>
        <v>-0.51700000000000002</v>
      </c>
      <c r="AH21">
        <f>VLOOKUP($B21&amp;AH$1,Data!$A$2:$D$3765,4,FALSE)</f>
        <v>0</v>
      </c>
      <c r="AI21">
        <f>VLOOKUP($B21&amp;AI$1,Data!$A$2:$D$3765,4,FALSE)</f>
        <v>200000000</v>
      </c>
    </row>
    <row r="22" spans="2:35" hidden="1">
      <c r="B22" s="13">
        <v>21</v>
      </c>
      <c r="C22" s="13" t="s">
        <v>55</v>
      </c>
      <c r="D22" t="s">
        <v>0</v>
      </c>
      <c r="E22" t="s">
        <v>3</v>
      </c>
      <c r="F22">
        <v>5000</v>
      </c>
      <c r="G22" t="s">
        <v>17</v>
      </c>
      <c r="H22" s="5">
        <v>43831</v>
      </c>
      <c r="I22" s="5">
        <v>44562</v>
      </c>
      <c r="J22">
        <v>14</v>
      </c>
      <c r="K22">
        <v>9</v>
      </c>
      <c r="L22">
        <v>28</v>
      </c>
      <c r="M22">
        <v>72</v>
      </c>
      <c r="N22">
        <v>1000000</v>
      </c>
      <c r="O22">
        <f>VLOOKUP($B22&amp;O$1,Data!$A$2:$D$3744,4,FALSE)</f>
        <v>1.1939999999999999E-2</v>
      </c>
      <c r="P22">
        <f>VLOOKUP($B22&amp;P$1,Data!$A$2:$D$3744,4,FALSE)</f>
        <v>-1.3759999999999999</v>
      </c>
      <c r="Q22">
        <f>VLOOKUP($B22&amp;Q$1,Data!$A$2:$D$3744,4,FALSE)</f>
        <v>246</v>
      </c>
      <c r="R22">
        <f>VLOOKUP($B22&amp;R$1,Data!$A$2:$D$3744,4,FALSE)</f>
        <v>1.4E-3</v>
      </c>
      <c r="S22">
        <f>VLOOKUP($B22&amp;S$1,Data!$A$2:$D$3744,4,FALSE)</f>
        <v>-3.3999999999999998E-3</v>
      </c>
      <c r="T22">
        <f>VLOOKUP($B22&amp;T$1,Data!$A$2:$D$3744,4,FALSE)</f>
        <v>-2.0029999999999999E-2</v>
      </c>
      <c r="U22">
        <f>VLOOKUP($B22&amp;U$1,Data!$A$2:$D$3744,4,FALSE)</f>
        <v>1.6E-2</v>
      </c>
      <c r="V22">
        <f>VLOOKUP($B22&amp;V$1,Data!$A$2:$D$3744,4,FALSE)</f>
        <v>-0.47</v>
      </c>
      <c r="W22">
        <f>VLOOKUP($B22&amp;W$1,Data!$A$2:$D$3744,4,FALSE)</f>
        <v>-1.2999999999999999E-2</v>
      </c>
      <c r="X22">
        <f>VLOOKUP($B22&amp;X$1,Data!$A$2:$D$3744,4,FALSE)</f>
        <v>0.62</v>
      </c>
      <c r="Y22">
        <f>VLOOKUP($B22&amp;Y$1,Data!$A$2:$D$3744,4,FALSE)</f>
        <v>0.38</v>
      </c>
      <c r="Z22">
        <f>VLOOKUP($B22&amp;Z$1,Data!$A$2:$D$3744,4,FALSE)</f>
        <v>0.41</v>
      </c>
      <c r="AA22">
        <f>VLOOKUP($B22&amp;AA$1,Data!$A$2:$D$3744,4,FALSE)</f>
        <v>-1.4999999999999999E-2</v>
      </c>
      <c r="AB22">
        <f>VLOOKUP($B22&amp;AB$1,Data!$A$2:$D$3744,4,FALSE)</f>
        <v>2.4E-2</v>
      </c>
      <c r="AC22">
        <f>VLOOKUP($B22&amp;AC$1,Data!$A$2:$D$3744,4,FALSE)</f>
        <v>0.01</v>
      </c>
      <c r="AD22">
        <f>VLOOKUP($B22&amp;AD$1,Data!$A$2:$D$3744,4,FALSE)</f>
        <v>0</v>
      </c>
      <c r="AE22">
        <f>VLOOKUP($B22&amp;AE$1,Data!$A$2:$D$3744,4,FALSE)</f>
        <v>-1.1779999999999999</v>
      </c>
      <c r="AF22">
        <f>VLOOKUP($B22&amp;AF$1,Data!$A$2:$D$3744,4,FALSE)</f>
        <v>6.6000000000000003E-2</v>
      </c>
      <c r="AG22">
        <f>VLOOKUP($B22&amp;AG$1,Data!$A$2:$D$3744,4,FALSE)</f>
        <v>-0.56799999999999995</v>
      </c>
      <c r="AH22">
        <f>VLOOKUP($B22&amp;AH$1,Data!$A$2:$D$3744,4,FALSE)</f>
        <v>0</v>
      </c>
      <c r="AI22">
        <f>VLOOKUP($B22&amp;AI$1,Data!$A$2:$D$3744,4,FALSE)</f>
        <v>2200000000</v>
      </c>
    </row>
    <row r="23" spans="2:35" hidden="1">
      <c r="B23" s="13">
        <v>22</v>
      </c>
      <c r="C23" s="13" t="s">
        <v>55</v>
      </c>
      <c r="D23" t="s">
        <v>0</v>
      </c>
      <c r="E23" t="s">
        <v>2</v>
      </c>
      <c r="F23">
        <v>100</v>
      </c>
      <c r="G23" t="s">
        <v>17</v>
      </c>
      <c r="H23" s="5">
        <v>43831</v>
      </c>
      <c r="I23" s="5">
        <v>44562</v>
      </c>
      <c r="J23">
        <v>14</v>
      </c>
      <c r="K23">
        <v>9</v>
      </c>
      <c r="L23">
        <v>28</v>
      </c>
      <c r="M23">
        <v>72</v>
      </c>
      <c r="N23">
        <v>1000000</v>
      </c>
      <c r="O23">
        <f>VLOOKUP($B23&amp;O$1,Data!$A$2:$D$3723,4,FALSE)</f>
        <v>1.0000000000000001E-5</v>
      </c>
      <c r="P23">
        <f>VLOOKUP($B23&amp;P$1,Data!$A$2:$D$3723,4,FALSE)</f>
        <v>-2.1930000000000001</v>
      </c>
      <c r="Q23">
        <f>VLOOKUP($B23&amp;Q$1,Data!$A$2:$D$3723,4,FALSE)</f>
        <v>153</v>
      </c>
      <c r="R23">
        <f>VLOOKUP($B23&amp;R$1,Data!$A$2:$D$3723,4,FALSE)</f>
        <v>0</v>
      </c>
      <c r="S23">
        <f>VLOOKUP($B23&amp;S$1,Data!$A$2:$D$3723,4,FALSE)</f>
        <v>-2.5000000000000001E-3</v>
      </c>
      <c r="T23">
        <f>VLOOKUP($B23&amp;T$1,Data!$A$2:$D$3723,4,FALSE)</f>
        <v>-1.9519999999999999E-2</v>
      </c>
      <c r="U23">
        <f>VLOOKUP($B23&amp;U$1,Data!$A$2:$D$3723,4,FALSE)</f>
        <v>1.4E-2</v>
      </c>
      <c r="V23">
        <f>VLOOKUP($B23&amp;V$1,Data!$A$2:$D$3723,4,FALSE)</f>
        <v>-1</v>
      </c>
      <c r="W23">
        <f>VLOOKUP($B23&amp;W$1,Data!$A$2:$D$3723,4,FALSE)</f>
        <v>-1.2659999999999999E-2</v>
      </c>
      <c r="X23">
        <f>VLOOKUP($B23&amp;X$1,Data!$A$2:$D$3723,4,FALSE)</f>
        <v>1</v>
      </c>
      <c r="Y23">
        <f>VLOOKUP($B23&amp;Y$1,Data!$A$2:$D$3723,4,FALSE)</f>
        <v>0</v>
      </c>
      <c r="Z23">
        <f>VLOOKUP($B23&amp;Z$1,Data!$A$2:$D$3723,4,FALSE)</f>
        <v>0</v>
      </c>
      <c r="AA23">
        <f>VLOOKUP($B23&amp;AA$1,Data!$A$2:$D$3723,4,FALSE)</f>
        <v>-1.2999999999999999E-2</v>
      </c>
      <c r="AB23">
        <f>VLOOKUP($B23&amp;AB$1,Data!$A$2:$D$3723,4,FALSE)</f>
        <v>-6.0000000000000001E-3</v>
      </c>
      <c r="AC23">
        <f>VLOOKUP($B23&amp;AC$1,Data!$A$2:$D$3723,4,FALSE)</f>
        <v>6.0000000000000001E-3</v>
      </c>
      <c r="AD23">
        <f>VLOOKUP($B23&amp;AD$1,Data!$A$2:$D$3723,4,FALSE)</f>
        <v>0</v>
      </c>
      <c r="AE23">
        <f>VLOOKUP($B23&amp;AE$1,Data!$A$2:$D$3723,4,FALSE)</f>
        <v>-1.1459999999999999</v>
      </c>
      <c r="AF23">
        <f>VLOOKUP($B23&amp;AF$1,Data!$A$2:$D$3723,4,FALSE)</f>
        <v>6.7000000000000004E-2</v>
      </c>
      <c r="AG23">
        <f>VLOOKUP($B23&amp;AG$1,Data!$A$2:$D$3723,4,FALSE)</f>
        <v>2.2679999999999998</v>
      </c>
      <c r="AH23">
        <f>VLOOKUP($B23&amp;AH$1,Data!$A$2:$D$3723,4,FALSE)</f>
        <v>0</v>
      </c>
      <c r="AI23">
        <f>VLOOKUP($B23&amp;AI$1,Data!$A$2:$D$3723,4,FALSE)</f>
        <v>7700000000</v>
      </c>
    </row>
    <row r="24" spans="2:35" hidden="1">
      <c r="B24" s="13">
        <v>23</v>
      </c>
      <c r="C24" s="13" t="s">
        <v>55</v>
      </c>
      <c r="D24" t="s">
        <v>0</v>
      </c>
      <c r="E24" t="s">
        <v>2</v>
      </c>
      <c r="F24">
        <v>1000</v>
      </c>
      <c r="G24" t="s">
        <v>17</v>
      </c>
      <c r="H24" s="5">
        <v>43831</v>
      </c>
      <c r="I24" s="5">
        <v>44562</v>
      </c>
      <c r="J24">
        <v>14</v>
      </c>
      <c r="K24">
        <v>9</v>
      </c>
      <c r="L24">
        <v>28</v>
      </c>
      <c r="M24">
        <v>72</v>
      </c>
      <c r="N24">
        <v>1000000</v>
      </c>
      <c r="O24">
        <f>VLOOKUP($B24&amp;O$1,Data!$A$2:$D$3723,4,FALSE)</f>
        <v>1.0000000000000001E-5</v>
      </c>
      <c r="P24">
        <f>VLOOKUP($B24&amp;P$1,Data!$A$2:$D$3723,4,FALSE)</f>
        <v>-2.0590000000000002</v>
      </c>
      <c r="Q24">
        <f>VLOOKUP($B24&amp;Q$1,Data!$A$2:$D$3723,4,FALSE)</f>
        <v>153</v>
      </c>
      <c r="R24">
        <f>VLOOKUP($B24&amp;R$1,Data!$A$2:$D$3723,4,FALSE)</f>
        <v>0</v>
      </c>
      <c r="S24">
        <f>VLOOKUP($B24&amp;S$1,Data!$A$2:$D$3723,4,FALSE)</f>
        <v>-2.58E-2</v>
      </c>
      <c r="T24">
        <f>VLOOKUP($B24&amp;T$1,Data!$A$2:$D$3723,4,FALSE)</f>
        <v>-0.18892</v>
      </c>
      <c r="U24">
        <f>VLOOKUP($B24&amp;U$1,Data!$A$2:$D$3723,4,FALSE)</f>
        <v>0.13700000000000001</v>
      </c>
      <c r="V24">
        <f>VLOOKUP($B24&amp;V$1,Data!$A$2:$D$3723,4,FALSE)</f>
        <v>-1</v>
      </c>
      <c r="W24">
        <f>VLOOKUP($B24&amp;W$1,Data!$A$2:$D$3723,4,FALSE)</f>
        <v>-0.12659999999999999</v>
      </c>
      <c r="X24">
        <f>VLOOKUP($B24&amp;X$1,Data!$A$2:$D$3723,4,FALSE)</f>
        <v>1</v>
      </c>
      <c r="Y24">
        <f>VLOOKUP($B24&amp;Y$1,Data!$A$2:$D$3723,4,FALSE)</f>
        <v>0</v>
      </c>
      <c r="Z24">
        <f>VLOOKUP($B24&amp;Z$1,Data!$A$2:$D$3723,4,FALSE)</f>
        <v>0</v>
      </c>
      <c r="AA24">
        <f>VLOOKUP($B24&amp;AA$1,Data!$A$2:$D$3723,4,FALSE)</f>
        <v>-0.13</v>
      </c>
      <c r="AB24">
        <f>VLOOKUP($B24&amp;AB$1,Data!$A$2:$D$3723,4,FALSE)</f>
        <v>-5.8999999999999997E-2</v>
      </c>
      <c r="AC24">
        <f>VLOOKUP($B24&amp;AC$1,Data!$A$2:$D$3723,4,FALSE)</f>
        <v>6.5000000000000002E-2</v>
      </c>
      <c r="AD24">
        <f>VLOOKUP($B24&amp;AD$1,Data!$A$2:$D$3723,4,FALSE)</f>
        <v>4.0000000000000001E-3</v>
      </c>
      <c r="AE24">
        <f>VLOOKUP($B24&amp;AE$1,Data!$A$2:$D$3723,4,FALSE)</f>
        <v>-2.0569999999999999</v>
      </c>
      <c r="AF24">
        <f>VLOOKUP($B24&amp;AF$1,Data!$A$2:$D$3723,4,FALSE)</f>
        <v>9.6000000000000002E-2</v>
      </c>
      <c r="AG24">
        <f>VLOOKUP($B24&amp;AG$1,Data!$A$2:$D$3723,4,FALSE)</f>
        <v>2.254</v>
      </c>
      <c r="AH24">
        <f>VLOOKUP($B24&amp;AH$1,Data!$A$2:$D$3723,4,FALSE)</f>
        <v>0</v>
      </c>
      <c r="AI24">
        <f>VLOOKUP($B24&amp;AI$1,Data!$A$2:$D$3723,4,FALSE)</f>
        <v>690000000</v>
      </c>
    </row>
    <row r="25" spans="2:35" hidden="1">
      <c r="B25" s="13">
        <v>24</v>
      </c>
      <c r="C25" s="13" t="s">
        <v>55</v>
      </c>
      <c r="D25" t="s">
        <v>0</v>
      </c>
      <c r="E25" t="s">
        <v>2</v>
      </c>
      <c r="F25">
        <v>5000</v>
      </c>
      <c r="G25" t="s">
        <v>17</v>
      </c>
      <c r="H25" s="5">
        <v>43831</v>
      </c>
      <c r="I25" s="5">
        <v>44562</v>
      </c>
      <c r="J25">
        <v>14</v>
      </c>
      <c r="K25">
        <v>9</v>
      </c>
      <c r="L25">
        <v>28</v>
      </c>
      <c r="M25">
        <v>72</v>
      </c>
      <c r="N25">
        <v>1000000</v>
      </c>
      <c r="O25">
        <f>VLOOKUP($B25&amp;O$1,Data!$A$2:$D$3723,4,FALSE)</f>
        <v>4.0000000000000003E-5</v>
      </c>
      <c r="P25">
        <f>VLOOKUP($B25&amp;P$1,Data!$A$2:$D$3723,4,FALSE)</f>
        <v>-1.4019999999999999</v>
      </c>
      <c r="Q25">
        <f>VLOOKUP($B25&amp;Q$1,Data!$A$2:$D$3723,4,FALSE)</f>
        <v>152</v>
      </c>
      <c r="R25">
        <f>VLOOKUP($B25&amp;R$1,Data!$A$2:$D$3723,4,FALSE)</f>
        <v>0</v>
      </c>
      <c r="S25">
        <f>VLOOKUP($B25&amp;S$1,Data!$A$2:$D$3723,4,FALSE)</f>
        <v>-0.10249999999999999</v>
      </c>
      <c r="T25">
        <f>VLOOKUP($B25&amp;T$1,Data!$A$2:$D$3723,4,FALSE)</f>
        <v>-0.77117000000000002</v>
      </c>
      <c r="U25">
        <f>VLOOKUP($B25&amp;U$1,Data!$A$2:$D$3723,4,FALSE)</f>
        <v>0.63700000000000001</v>
      </c>
      <c r="V25">
        <f>VLOOKUP($B25&amp;V$1,Data!$A$2:$D$3723,4,FALSE)</f>
        <v>-1</v>
      </c>
      <c r="W25">
        <f>VLOOKUP($B25&amp;W$1,Data!$A$2:$D$3723,4,FALSE)</f>
        <v>-0.61456999999999995</v>
      </c>
      <c r="X25">
        <f>VLOOKUP($B25&amp;X$1,Data!$A$2:$D$3723,4,FALSE)</f>
        <v>1</v>
      </c>
      <c r="Y25">
        <f>VLOOKUP($B25&amp;Y$1,Data!$A$2:$D$3723,4,FALSE)</f>
        <v>0</v>
      </c>
      <c r="Z25">
        <f>VLOOKUP($B25&amp;Z$1,Data!$A$2:$D$3723,4,FALSE)</f>
        <v>0</v>
      </c>
      <c r="AA25">
        <f>VLOOKUP($B25&amp;AA$1,Data!$A$2:$D$3723,4,FALSE)</f>
        <v>-0.59099999999999997</v>
      </c>
      <c r="AB25">
        <f>VLOOKUP($B25&amp;AB$1,Data!$A$2:$D$3723,4,FALSE)</f>
        <v>-0.182</v>
      </c>
      <c r="AC25">
        <f>VLOOKUP($B25&amp;AC$1,Data!$A$2:$D$3723,4,FALSE)</f>
        <v>0.42899999999999999</v>
      </c>
      <c r="AD25">
        <f>VLOOKUP($B25&amp;AD$1,Data!$A$2:$D$3723,4,FALSE)</f>
        <v>0.184</v>
      </c>
      <c r="AE25">
        <f>VLOOKUP($B25&amp;AE$1,Data!$A$2:$D$3723,4,FALSE)</f>
        <v>-1.526</v>
      </c>
      <c r="AF25">
        <f>VLOOKUP($B25&amp;AF$1,Data!$A$2:$D$3723,4,FALSE)</f>
        <v>0.436</v>
      </c>
      <c r="AG25">
        <f>VLOOKUP($B25&amp;AG$1,Data!$A$2:$D$3723,4,FALSE)</f>
        <v>3.302</v>
      </c>
      <c r="AH25">
        <f>VLOOKUP($B25&amp;AH$1,Data!$A$2:$D$3723,4,FALSE)</f>
        <v>0</v>
      </c>
      <c r="AI25">
        <f>VLOOKUP($B25&amp;AI$1,Data!$A$2:$D$3723,4,FALSE)</f>
        <v>54000000</v>
      </c>
    </row>
    <row r="26" spans="2:35" hidden="1">
      <c r="B26" s="13">
        <v>25</v>
      </c>
      <c r="C26" s="13" t="s">
        <v>55</v>
      </c>
      <c r="D26" t="s">
        <v>0</v>
      </c>
      <c r="E26" t="s">
        <v>22</v>
      </c>
      <c r="F26">
        <v>100</v>
      </c>
      <c r="G26" t="s">
        <v>17</v>
      </c>
      <c r="H26" s="5">
        <v>43831</v>
      </c>
      <c r="I26" s="5">
        <v>44562</v>
      </c>
      <c r="J26">
        <v>14</v>
      </c>
      <c r="K26">
        <v>9</v>
      </c>
      <c r="L26">
        <v>28</v>
      </c>
      <c r="M26">
        <v>72</v>
      </c>
      <c r="N26">
        <v>1000000</v>
      </c>
      <c r="O26">
        <f>VLOOKUP($B26&amp;O$1,Data!$A$2:$D$3723,4,FALSE)</f>
        <v>8.9389999999999997E-2</v>
      </c>
      <c r="P26">
        <f>VLOOKUP($B26&amp;P$1,Data!$A$2:$D$3723,4,FALSE)</f>
        <v>-0.39900000000000002</v>
      </c>
      <c r="Q26">
        <f>VLOOKUP($B26&amp;Q$1,Data!$A$2:$D$3723,4,FALSE)</f>
        <v>111</v>
      </c>
      <c r="R26">
        <f>VLOOKUP($B26&amp;R$1,Data!$A$2:$D$3723,4,FALSE)</f>
        <v>2.0000000000000001E-4</v>
      </c>
      <c r="S26">
        <f>VLOOKUP($B26&amp;S$1,Data!$A$2:$D$3723,4,FALSE)</f>
        <v>-8.0000000000000004E-4</v>
      </c>
      <c r="T26">
        <f>VLOOKUP($B26&amp;T$1,Data!$A$2:$D$3723,4,FALSE)</f>
        <v>-2.4199999999999998E-3</v>
      </c>
      <c r="U26">
        <f>VLOOKUP($B26&amp;U$1,Data!$A$2:$D$3723,4,FALSE)</f>
        <v>5.0000000000000001E-3</v>
      </c>
      <c r="V26">
        <f>VLOOKUP($B26&amp;V$1,Data!$A$2:$D$3723,4,FALSE)</f>
        <v>-0.57299999999999995</v>
      </c>
      <c r="W26">
        <f>VLOOKUP($B26&amp;W$1,Data!$A$2:$D$3723,4,FALSE)</f>
        <v>-1.56E-3</v>
      </c>
      <c r="X26">
        <f>VLOOKUP($B26&amp;X$1,Data!$A$2:$D$3723,4,FALSE)</f>
        <v>0.67</v>
      </c>
      <c r="Y26">
        <f>VLOOKUP($B26&amp;Y$1,Data!$A$2:$D$3723,4,FALSE)</f>
        <v>0.33</v>
      </c>
      <c r="Z26">
        <f>VLOOKUP($B26&amp;Z$1,Data!$A$2:$D$3723,4,FALSE)</f>
        <v>0.28000000000000003</v>
      </c>
      <c r="AA26">
        <f>VLOOKUP($B26&amp;AA$1,Data!$A$2:$D$3723,4,FALSE)</f>
        <v>-3.0000000000000001E-3</v>
      </c>
      <c r="AB26">
        <f>VLOOKUP($B26&amp;AB$1,Data!$A$2:$D$3723,4,FALSE)</f>
        <v>1.6E-2</v>
      </c>
      <c r="AC26">
        <f>VLOOKUP($B26&amp;AC$1,Data!$A$2:$D$3723,4,FALSE)</f>
        <v>4.0000000000000001E-3</v>
      </c>
      <c r="AD26">
        <f>VLOOKUP($B26&amp;AD$1,Data!$A$2:$D$3723,4,FALSE)</f>
        <v>0</v>
      </c>
      <c r="AE26">
        <f>VLOOKUP($B26&amp;AE$1,Data!$A$2:$D$3723,4,FALSE)</f>
        <v>-0.99299999999999999</v>
      </c>
      <c r="AF26">
        <f>VLOOKUP($B26&amp;AF$1,Data!$A$2:$D$3723,4,FALSE)</f>
        <v>6.6000000000000003E-2</v>
      </c>
      <c r="AG26">
        <f>VLOOKUP($B26&amp;AG$1,Data!$A$2:$D$3723,4,FALSE)</f>
        <v>-0.107</v>
      </c>
      <c r="AH26">
        <f>VLOOKUP($B26&amp;AH$1,Data!$A$2:$D$3723,4,FALSE)</f>
        <v>0</v>
      </c>
      <c r="AI26">
        <f>VLOOKUP($B26&amp;AI$1,Data!$A$2:$D$3723,4,FALSE)</f>
        <v>200000000</v>
      </c>
    </row>
    <row r="27" spans="2:35" hidden="1">
      <c r="B27" s="13">
        <v>26</v>
      </c>
      <c r="C27" s="13" t="s">
        <v>55</v>
      </c>
      <c r="D27" t="s">
        <v>0</v>
      </c>
      <c r="E27" t="s">
        <v>22</v>
      </c>
      <c r="F27">
        <v>1000</v>
      </c>
      <c r="G27" t="s">
        <v>17</v>
      </c>
      <c r="H27" s="5">
        <v>43831</v>
      </c>
      <c r="I27" s="5">
        <v>44562</v>
      </c>
      <c r="J27">
        <v>14</v>
      </c>
      <c r="K27">
        <v>9</v>
      </c>
      <c r="L27">
        <v>28</v>
      </c>
      <c r="M27">
        <v>72</v>
      </c>
      <c r="N27">
        <v>1000000</v>
      </c>
      <c r="O27">
        <f>VLOOKUP($B27&amp;O$1,Data!$A$2:$D$3723,4,FALSE)</f>
        <v>9.3100000000000002E-2</v>
      </c>
      <c r="P27">
        <f>VLOOKUP($B27&amp;P$1,Data!$A$2:$D$3723,4,FALSE)</f>
        <v>-0.374</v>
      </c>
      <c r="Q27">
        <f>VLOOKUP($B27&amp;Q$1,Data!$A$2:$D$3723,4,FALSE)</f>
        <v>111</v>
      </c>
      <c r="R27">
        <f>VLOOKUP($B27&amp;R$1,Data!$A$2:$D$3723,4,FALSE)</f>
        <v>2.3999999999999998E-3</v>
      </c>
      <c r="S27">
        <f>VLOOKUP($B27&amp;S$1,Data!$A$2:$D$3723,4,FALSE)</f>
        <v>-8.3000000000000001E-3</v>
      </c>
      <c r="T27">
        <f>VLOOKUP($B27&amp;T$1,Data!$A$2:$D$3723,4,FALSE)</f>
        <v>-2.4080000000000001E-2</v>
      </c>
      <c r="U27">
        <f>VLOOKUP($B27&amp;U$1,Data!$A$2:$D$3723,4,FALSE)</f>
        <v>5.3999999999999999E-2</v>
      </c>
      <c r="V27">
        <f>VLOOKUP($B27&amp;V$1,Data!$A$2:$D$3723,4,FALSE)</f>
        <v>-0.57199999999999995</v>
      </c>
      <c r="W27">
        <f>VLOOKUP($B27&amp;W$1,Data!$A$2:$D$3723,4,FALSE)</f>
        <v>-1.5630000000000002E-2</v>
      </c>
      <c r="X27">
        <f>VLOOKUP($B27&amp;X$1,Data!$A$2:$D$3723,4,FALSE)</f>
        <v>0.67</v>
      </c>
      <c r="Y27">
        <f>VLOOKUP($B27&amp;Y$1,Data!$A$2:$D$3723,4,FALSE)</f>
        <v>0.33</v>
      </c>
      <c r="Z27">
        <f>VLOOKUP($B27&amp;Z$1,Data!$A$2:$D$3723,4,FALSE)</f>
        <v>0.28000000000000003</v>
      </c>
      <c r="AA27">
        <f>VLOOKUP($B27&amp;AA$1,Data!$A$2:$D$3723,4,FALSE)</f>
        <v>-2.5999999999999999E-2</v>
      </c>
      <c r="AB27">
        <f>VLOOKUP($B27&amp;AB$1,Data!$A$2:$D$3723,4,FALSE)</f>
        <v>0.158</v>
      </c>
      <c r="AC27">
        <f>VLOOKUP($B27&amp;AC$1,Data!$A$2:$D$3723,4,FALSE)</f>
        <v>4.2000000000000003E-2</v>
      </c>
      <c r="AD27">
        <f>VLOOKUP($B27&amp;AD$1,Data!$A$2:$D$3723,4,FALSE)</f>
        <v>2E-3</v>
      </c>
      <c r="AE27">
        <f>VLOOKUP($B27&amp;AE$1,Data!$A$2:$D$3723,4,FALSE)</f>
        <v>-1.1419999999999999</v>
      </c>
      <c r="AF27">
        <f>VLOOKUP($B27&amp;AF$1,Data!$A$2:$D$3723,4,FALSE)</f>
        <v>7.0000000000000007E-2</v>
      </c>
      <c r="AG27">
        <f>VLOOKUP($B27&amp;AG$1,Data!$A$2:$D$3723,4,FALSE)</f>
        <v>-0.1</v>
      </c>
      <c r="AH27">
        <f>VLOOKUP($B27&amp;AH$1,Data!$A$2:$D$3723,4,FALSE)</f>
        <v>0</v>
      </c>
      <c r="AI27">
        <f>VLOOKUP($B27&amp;AI$1,Data!$A$2:$D$3723,4,FALSE)</f>
        <v>25000000</v>
      </c>
    </row>
    <row r="28" spans="2:35" hidden="1">
      <c r="B28" s="13">
        <v>27</v>
      </c>
      <c r="C28" s="13" t="s">
        <v>55</v>
      </c>
      <c r="D28" t="s">
        <v>0</v>
      </c>
      <c r="E28" t="s">
        <v>22</v>
      </c>
      <c r="F28">
        <v>5000</v>
      </c>
      <c r="G28" t="s">
        <v>17</v>
      </c>
      <c r="H28" s="5">
        <v>43831</v>
      </c>
      <c r="I28" s="5">
        <v>44562</v>
      </c>
      <c r="J28">
        <v>14</v>
      </c>
      <c r="K28">
        <v>9</v>
      </c>
      <c r="L28">
        <v>28</v>
      </c>
      <c r="M28">
        <v>72</v>
      </c>
      <c r="N28">
        <v>1000000</v>
      </c>
      <c r="O28">
        <f>VLOOKUP($B28&amp;O$1,Data!$A$2:$D$3723,4,FALSE)</f>
        <v>0.11261</v>
      </c>
      <c r="P28">
        <f>VLOOKUP($B28&amp;P$1,Data!$A$2:$D$3723,4,FALSE)</f>
        <v>-0.25700000000000001</v>
      </c>
      <c r="Q28">
        <f>VLOOKUP($B28&amp;Q$1,Data!$A$2:$D$3723,4,FALSE)</f>
        <v>111</v>
      </c>
      <c r="R28">
        <f>VLOOKUP($B28&amp;R$1,Data!$A$2:$D$3723,4,FALSE)</f>
        <v>1.23E-2</v>
      </c>
      <c r="S28">
        <f>VLOOKUP($B28&amp;S$1,Data!$A$2:$D$3723,4,FALSE)</f>
        <v>-4.2200000000000001E-2</v>
      </c>
      <c r="T28">
        <f>VLOOKUP($B28&amp;T$1,Data!$A$2:$D$3723,4,FALSE)</f>
        <v>-0.1183</v>
      </c>
      <c r="U28">
        <f>VLOOKUP($B28&amp;U$1,Data!$A$2:$D$3723,4,FALSE)</f>
        <v>0.255</v>
      </c>
      <c r="V28">
        <f>VLOOKUP($B28&amp;V$1,Data!$A$2:$D$3723,4,FALSE)</f>
        <v>-0.56999999999999995</v>
      </c>
      <c r="W28">
        <f>VLOOKUP($B28&amp;W$1,Data!$A$2:$D$3723,4,FALSE)</f>
        <v>-7.8170000000000003E-2</v>
      </c>
      <c r="X28">
        <f>VLOOKUP($B28&amp;X$1,Data!$A$2:$D$3723,4,FALSE)</f>
        <v>0.67</v>
      </c>
      <c r="Y28">
        <f>VLOOKUP($B28&amp;Y$1,Data!$A$2:$D$3723,4,FALSE)</f>
        <v>0.33</v>
      </c>
      <c r="Z28">
        <f>VLOOKUP($B28&amp;Z$1,Data!$A$2:$D$3723,4,FALSE)</f>
        <v>0.28999999999999998</v>
      </c>
      <c r="AA28">
        <f>VLOOKUP($B28&amp;AA$1,Data!$A$2:$D$3723,4,FALSE)</f>
        <v>-0.114</v>
      </c>
      <c r="AB28">
        <f>VLOOKUP($B28&amp;AB$1,Data!$A$2:$D$3723,4,FALSE)</f>
        <v>0.86099999999999999</v>
      </c>
      <c r="AC28">
        <f>VLOOKUP($B28&amp;AC$1,Data!$A$2:$D$3723,4,FALSE)</f>
        <v>0.23</v>
      </c>
      <c r="AD28">
        <f>VLOOKUP($B28&amp;AD$1,Data!$A$2:$D$3723,4,FALSE)</f>
        <v>5.2999999999999999E-2</v>
      </c>
      <c r="AE28">
        <f>VLOOKUP($B28&amp;AE$1,Data!$A$2:$D$3723,4,FALSE)</f>
        <v>-0.55100000000000005</v>
      </c>
      <c r="AF28">
        <f>VLOOKUP($B28&amp;AF$1,Data!$A$2:$D$3723,4,FALSE)</f>
        <v>0.223</v>
      </c>
      <c r="AG28">
        <f>VLOOKUP($B28&amp;AG$1,Data!$A$2:$D$3723,4,FALSE)</f>
        <v>-6.9000000000000006E-2</v>
      </c>
      <c r="AH28">
        <f>VLOOKUP($B28&amp;AH$1,Data!$A$2:$D$3723,4,FALSE)</f>
        <v>0</v>
      </c>
      <c r="AI28">
        <f>VLOOKUP($B28&amp;AI$1,Data!$A$2:$D$3723,4,FALSE)</f>
        <v>6300000</v>
      </c>
    </row>
    <row r="29" spans="2:35" hidden="1">
      <c r="B29" s="13">
        <v>28</v>
      </c>
      <c r="C29" s="13" t="s">
        <v>55</v>
      </c>
      <c r="D29" t="s">
        <v>5</v>
      </c>
      <c r="E29" t="s">
        <v>3</v>
      </c>
      <c r="F29">
        <v>100</v>
      </c>
      <c r="G29" t="s">
        <v>17</v>
      </c>
      <c r="H29" s="5">
        <v>43831</v>
      </c>
      <c r="I29" s="5">
        <v>44562</v>
      </c>
      <c r="J29">
        <v>14</v>
      </c>
      <c r="K29">
        <v>9</v>
      </c>
      <c r="L29">
        <v>30</v>
      </c>
      <c r="M29">
        <v>70</v>
      </c>
      <c r="N29">
        <v>1000000</v>
      </c>
      <c r="O29">
        <f>VLOOKUP($B29&amp;O$1,Data!$A$2:$D$3723,4,FALSE)</f>
        <v>1.125E-2</v>
      </c>
      <c r="P29">
        <f>VLOOKUP($B29&amp;P$1,Data!$A$2:$D$3723,4,FALSE)</f>
        <v>-1.2729999999999999</v>
      </c>
      <c r="Q29">
        <f>VLOOKUP($B29&amp;Q$1,Data!$A$2:$D$3723,4,FALSE)</f>
        <v>764</v>
      </c>
      <c r="R29">
        <f>VLOOKUP($B29&amp;R$1,Data!$A$2:$D$3723,4,FALSE)</f>
        <v>8.0000000000000004E-4</v>
      </c>
      <c r="S29">
        <f>VLOOKUP($B29&amp;S$1,Data!$A$2:$D$3723,4,FALSE)</f>
        <v>-1.1999999999999999E-3</v>
      </c>
      <c r="T29">
        <f>VLOOKUP($B29&amp;T$1,Data!$A$2:$D$3723,4,FALSE)</f>
        <v>-1.6959999999999999E-2</v>
      </c>
      <c r="U29">
        <f>VLOOKUP($B29&amp;U$1,Data!$A$2:$D$3723,4,FALSE)</f>
        <v>1.6E-2</v>
      </c>
      <c r="V29">
        <f>VLOOKUP($B29&amp;V$1,Data!$A$2:$D$3723,4,FALSE)</f>
        <v>-0.35599999999999998</v>
      </c>
      <c r="W29">
        <f>VLOOKUP($B29&amp;W$1,Data!$A$2:$D$3723,4,FALSE)</f>
        <v>-1.095E-2</v>
      </c>
      <c r="X29">
        <f>VLOOKUP($B29&amp;X$1,Data!$A$2:$D$3723,4,FALSE)</f>
        <v>0.6</v>
      </c>
      <c r="Y29">
        <f>VLOOKUP($B29&amp;Y$1,Data!$A$2:$D$3723,4,FALSE)</f>
        <v>0.4</v>
      </c>
      <c r="Z29">
        <f>VLOOKUP($B29&amp;Z$1,Data!$A$2:$D$3723,4,FALSE)</f>
        <v>0.61</v>
      </c>
      <c r="AA29">
        <f>VLOOKUP($B29&amp;AA$1,Data!$A$2:$D$3723,4,FALSE)</f>
        <v>-1.4E-2</v>
      </c>
      <c r="AB29">
        <f>VLOOKUP($B29&amp;AB$1,Data!$A$2:$D$3723,4,FALSE)</f>
        <v>0.03</v>
      </c>
      <c r="AC29">
        <f>VLOOKUP($B29&amp;AC$1,Data!$A$2:$D$3723,4,FALSE)</f>
        <v>8.9999999999999993E-3</v>
      </c>
      <c r="AD29">
        <f>VLOOKUP($B29&amp;AD$1,Data!$A$2:$D$3723,4,FALSE)</f>
        <v>0</v>
      </c>
      <c r="AE29">
        <f>VLOOKUP($B29&amp;AE$1,Data!$A$2:$D$3723,4,FALSE)</f>
        <v>-1.161</v>
      </c>
      <c r="AF29">
        <f>VLOOKUP($B29&amp;AF$1,Data!$A$2:$D$3723,4,FALSE)</f>
        <v>7.0000000000000007E-2</v>
      </c>
      <c r="AG29">
        <f>VLOOKUP($B29&amp;AG$1,Data!$A$2:$D$3723,4,FALSE)</f>
        <v>-0.35799999999999998</v>
      </c>
      <c r="AH29">
        <f>VLOOKUP($B29&amp;AH$1,Data!$A$2:$D$3723,4,FALSE)</f>
        <v>0</v>
      </c>
      <c r="AI29">
        <f>VLOOKUP($B29&amp;AI$1,Data!$A$2:$D$3723,4,FALSE)</f>
        <v>230000000</v>
      </c>
    </row>
    <row r="30" spans="2:35" hidden="1">
      <c r="B30" s="13">
        <v>29</v>
      </c>
      <c r="C30" s="13" t="s">
        <v>55</v>
      </c>
      <c r="D30" t="s">
        <v>5</v>
      </c>
      <c r="E30" t="s">
        <v>3</v>
      </c>
      <c r="F30">
        <v>1000</v>
      </c>
      <c r="G30" t="s">
        <v>17</v>
      </c>
      <c r="H30" s="5">
        <v>43831</v>
      </c>
      <c r="I30" s="5">
        <v>44562</v>
      </c>
      <c r="J30">
        <v>14</v>
      </c>
      <c r="K30">
        <v>9</v>
      </c>
      <c r="L30">
        <v>30</v>
      </c>
      <c r="M30">
        <v>70</v>
      </c>
      <c r="N30">
        <v>1000000</v>
      </c>
      <c r="O30">
        <f>VLOOKUP($B30&amp;O$1,Data!$A$2:$D$3723,4,FALSE)</f>
        <v>1E-3</v>
      </c>
      <c r="P30">
        <f>VLOOKUP($B30&amp;P$1,Data!$A$2:$D$3723,4,FALSE)</f>
        <v>-1.1679999999999999</v>
      </c>
      <c r="Q30">
        <f>VLOOKUP($B30&amp;Q$1,Data!$A$2:$D$3723,4,FALSE)</f>
        <v>764</v>
      </c>
      <c r="R30">
        <f>VLOOKUP($B30&amp;R$1,Data!$A$2:$D$3723,4,FALSE)</f>
        <v>7.9000000000000008E-3</v>
      </c>
      <c r="S30">
        <f>VLOOKUP($B30&amp;S$1,Data!$A$2:$D$3723,4,FALSE)</f>
        <v>-1.2699999999999999E-2</v>
      </c>
      <c r="T30">
        <f>VLOOKUP($B30&amp;T$1,Data!$A$2:$D$3723,4,FALSE)</f>
        <v>-0.16483999999999999</v>
      </c>
      <c r="U30">
        <f>VLOOKUP($B30&amp;U$1,Data!$A$2:$D$3723,4,FALSE)</f>
        <v>0.155</v>
      </c>
      <c r="V30">
        <f>VLOOKUP($B30&amp;V$1,Data!$A$2:$D$3723,4,FALSE)</f>
        <v>-0.35299999999999998</v>
      </c>
      <c r="W30">
        <f>VLOOKUP($B30&amp;W$1,Data!$A$2:$D$3723,4,FALSE)</f>
        <v>-0.10947999999999999</v>
      </c>
      <c r="X30">
        <f>VLOOKUP($B30&amp;X$1,Data!$A$2:$D$3723,4,FALSE)</f>
        <v>0.6</v>
      </c>
      <c r="Y30">
        <f>VLOOKUP($B30&amp;Y$1,Data!$A$2:$D$3723,4,FALSE)</f>
        <v>0.4</v>
      </c>
      <c r="Z30">
        <f>VLOOKUP($B30&amp;Z$1,Data!$A$2:$D$3723,4,FALSE)</f>
        <v>0.62</v>
      </c>
      <c r="AA30">
        <f>VLOOKUP($B30&amp;AA$1,Data!$A$2:$D$3723,4,FALSE)</f>
        <v>-0.13500000000000001</v>
      </c>
      <c r="AB30">
        <f>VLOOKUP($B30&amp;AB$1,Data!$A$2:$D$3723,4,FALSE)</f>
        <v>0.34599999999999997</v>
      </c>
      <c r="AC30">
        <f>VLOOKUP($B30&amp;AC$1,Data!$A$2:$D$3723,4,FALSE)</f>
        <v>9.7000000000000003E-2</v>
      </c>
      <c r="AD30">
        <f>VLOOKUP($B30&amp;AD$1,Data!$A$2:$D$3723,4,FALSE)</f>
        <v>8.9999999999999993E-3</v>
      </c>
      <c r="AE30">
        <f>VLOOKUP($B30&amp;AE$1,Data!$A$2:$D$3723,4,FALSE)</f>
        <v>-1.708</v>
      </c>
      <c r="AF30">
        <f>VLOOKUP($B30&amp;AF$1,Data!$A$2:$D$3723,4,FALSE)</f>
        <v>0.104</v>
      </c>
      <c r="AG30">
        <f>VLOOKUP($B30&amp;AG$1,Data!$A$2:$D$3723,4,FALSE)</f>
        <v>-0.32700000000000001</v>
      </c>
      <c r="AH30">
        <f>VLOOKUP($B30&amp;AH$1,Data!$A$2:$D$3723,4,FALSE)</f>
        <v>0</v>
      </c>
      <c r="AI30">
        <f>VLOOKUP($B30&amp;AI$1,Data!$A$2:$D$3723,4,FALSE)</f>
        <v>22000000</v>
      </c>
    </row>
    <row r="31" spans="2:35" hidden="1">
      <c r="B31" s="13">
        <v>30</v>
      </c>
      <c r="C31" s="13" t="s">
        <v>55</v>
      </c>
      <c r="D31" t="s">
        <v>5</v>
      </c>
      <c r="E31" t="s">
        <v>3</v>
      </c>
      <c r="F31">
        <v>5000</v>
      </c>
      <c r="G31" t="s">
        <v>17</v>
      </c>
      <c r="H31" s="5">
        <v>43831</v>
      </c>
      <c r="I31" s="5">
        <v>44562</v>
      </c>
      <c r="J31">
        <v>14</v>
      </c>
      <c r="K31">
        <v>9</v>
      </c>
      <c r="L31">
        <v>30</v>
      </c>
      <c r="M31">
        <v>70</v>
      </c>
      <c r="N31">
        <v>1000000</v>
      </c>
      <c r="O31">
        <f>VLOOKUP($B31&amp;O$1,Data!$A$2:$D$3723,4,FALSE)</f>
        <v>4.7910000000000001E-2</v>
      </c>
      <c r="P31">
        <f>VLOOKUP($B31&amp;P$1,Data!$A$2:$D$3723,4,FALSE)</f>
        <v>-0.61899999999999999</v>
      </c>
      <c r="Q31">
        <f>VLOOKUP($B31&amp;Q$1,Data!$A$2:$D$3723,4,FALSE)</f>
        <v>764</v>
      </c>
      <c r="R31">
        <f>VLOOKUP($B31&amp;R$1,Data!$A$2:$D$3723,4,FALSE)</f>
        <v>5.0900000000000001E-2</v>
      </c>
      <c r="S31">
        <f>VLOOKUP($B31&amp;S$1,Data!$A$2:$D$3723,4,FALSE)</f>
        <v>-7.8899999999999998E-2</v>
      </c>
      <c r="T31">
        <f>VLOOKUP($B31&amp;T$1,Data!$A$2:$D$3723,4,FALSE)</f>
        <v>-0.70816000000000001</v>
      </c>
      <c r="U31">
        <f>VLOOKUP($B31&amp;U$1,Data!$A$2:$D$3723,4,FALSE)</f>
        <v>0.70899999999999996</v>
      </c>
      <c r="V31">
        <f>VLOOKUP($B31&amp;V$1,Data!$A$2:$D$3723,4,FALSE)</f>
        <v>-0.34200000000000003</v>
      </c>
      <c r="W31">
        <f>VLOOKUP($B31&amp;W$1,Data!$A$2:$D$3723,4,FALSE)</f>
        <v>-0.54740999999999995</v>
      </c>
      <c r="X31">
        <f>VLOOKUP($B31&amp;X$1,Data!$A$2:$D$3723,4,FALSE)</f>
        <v>0.6</v>
      </c>
      <c r="Y31">
        <f>VLOOKUP($B31&amp;Y$1,Data!$A$2:$D$3723,4,FALSE)</f>
        <v>0.4</v>
      </c>
      <c r="Z31">
        <f>VLOOKUP($B31&amp;Z$1,Data!$A$2:$D$3723,4,FALSE)</f>
        <v>0.65</v>
      </c>
      <c r="AA31">
        <f>VLOOKUP($B31&amp;AA$1,Data!$A$2:$D$3723,4,FALSE)</f>
        <v>-0.61199999999999999</v>
      </c>
      <c r="AB31">
        <f>VLOOKUP($B31&amp;AB$1,Data!$A$2:$D$3723,4,FALSE)</f>
        <v>2.528</v>
      </c>
      <c r="AC31">
        <f>VLOOKUP($B31&amp;AC$1,Data!$A$2:$D$3723,4,FALSE)</f>
        <v>0.72599999999999998</v>
      </c>
      <c r="AD31">
        <f>VLOOKUP($B31&amp;AD$1,Data!$A$2:$D$3723,4,FALSE)</f>
        <v>0.52800000000000002</v>
      </c>
      <c r="AE31">
        <f>VLOOKUP($B31&amp;AE$1,Data!$A$2:$D$3723,4,FALSE)</f>
        <v>-0.71899999999999997</v>
      </c>
      <c r="AF31">
        <f>VLOOKUP($B31&amp;AF$1,Data!$A$2:$D$3723,4,FALSE)</f>
        <v>0.71399999999999997</v>
      </c>
      <c r="AG31">
        <f>VLOOKUP($B31&amp;AG$1,Data!$A$2:$D$3723,4,FALSE)</f>
        <v>-0.17799999999999999</v>
      </c>
      <c r="AH31">
        <f>VLOOKUP($B31&amp;AH$1,Data!$A$2:$D$3723,4,FALSE)</f>
        <v>0</v>
      </c>
      <c r="AI31">
        <f>VLOOKUP($B31&amp;AI$1,Data!$A$2:$D$3723,4,FALSE)</f>
        <v>3300000</v>
      </c>
    </row>
    <row r="32" spans="2:35" hidden="1">
      <c r="B32" s="13">
        <v>31</v>
      </c>
      <c r="C32" s="13" t="s">
        <v>55</v>
      </c>
      <c r="D32" t="s">
        <v>5</v>
      </c>
      <c r="E32" t="s">
        <v>2</v>
      </c>
      <c r="F32">
        <v>100</v>
      </c>
      <c r="G32" t="s">
        <v>17</v>
      </c>
      <c r="H32" s="5">
        <v>43831</v>
      </c>
      <c r="I32" s="5">
        <v>44562</v>
      </c>
      <c r="J32">
        <v>14</v>
      </c>
      <c r="K32">
        <v>9</v>
      </c>
      <c r="L32">
        <v>30</v>
      </c>
      <c r="M32">
        <v>70</v>
      </c>
      <c r="N32">
        <v>1000000</v>
      </c>
      <c r="O32">
        <f>VLOOKUP($B32&amp;O$1,Data!$A$2:$D$3723,4,FALSE)</f>
        <v>4.5999999999999999E-2</v>
      </c>
      <c r="P32">
        <f>VLOOKUP($B32&amp;P$1,Data!$A$2:$D$3723,4,FALSE)</f>
        <v>-0.76900000000000002</v>
      </c>
      <c r="Q32">
        <f>VLOOKUP($B32&amp;Q$1,Data!$A$2:$D$3723,4,FALSE)</f>
        <v>459</v>
      </c>
      <c r="R32">
        <f>VLOOKUP($B32&amp;R$1,Data!$A$2:$D$3723,4,FALSE)</f>
        <v>6.9999999999999999E-4</v>
      </c>
      <c r="S32">
        <f>VLOOKUP($B32&amp;S$1,Data!$A$2:$D$3723,4,FALSE)</f>
        <v>-1.4E-3</v>
      </c>
      <c r="T32">
        <f>VLOOKUP($B32&amp;T$1,Data!$A$2:$D$3723,4,FALSE)</f>
        <v>-1.0160000000000001E-2</v>
      </c>
      <c r="U32">
        <f>VLOOKUP($B32&amp;U$1,Data!$A$2:$D$3723,4,FALSE)</f>
        <v>1.4E-2</v>
      </c>
      <c r="V32">
        <f>VLOOKUP($B32&amp;V$1,Data!$A$2:$D$3723,4,FALSE)</f>
        <v>-0.30199999999999999</v>
      </c>
      <c r="W32">
        <f>VLOOKUP($B32&amp;W$1,Data!$A$2:$D$3723,4,FALSE)</f>
        <v>-6.5500000000000003E-3</v>
      </c>
      <c r="X32">
        <f>VLOOKUP($B32&amp;X$1,Data!$A$2:$D$3723,4,FALSE)</f>
        <v>0.53</v>
      </c>
      <c r="Y32">
        <f>VLOOKUP($B32&amp;Y$1,Data!$A$2:$D$3723,4,FALSE)</f>
        <v>0.47</v>
      </c>
      <c r="Z32">
        <f>VLOOKUP($B32&amp;Z$1,Data!$A$2:$D$3723,4,FALSE)</f>
        <v>0.5</v>
      </c>
      <c r="AA32">
        <f>VLOOKUP($B32&amp;AA$1,Data!$A$2:$D$3723,4,FALSE)</f>
        <v>-8.9999999999999993E-3</v>
      </c>
      <c r="AB32">
        <f>VLOOKUP($B32&amp;AB$1,Data!$A$2:$D$3723,4,FALSE)</f>
        <v>3.6999999999999998E-2</v>
      </c>
      <c r="AC32">
        <f>VLOOKUP($B32&amp;AC$1,Data!$A$2:$D$3723,4,FALSE)</f>
        <v>8.9999999999999993E-3</v>
      </c>
      <c r="AD32">
        <f>VLOOKUP($B32&amp;AD$1,Data!$A$2:$D$3723,4,FALSE)</f>
        <v>0</v>
      </c>
      <c r="AE32">
        <f>VLOOKUP($B32&amp;AE$1,Data!$A$2:$D$3723,4,FALSE)</f>
        <v>-1.0940000000000001</v>
      </c>
      <c r="AF32">
        <f>VLOOKUP($B32&amp;AF$1,Data!$A$2:$D$3723,4,FALSE)</f>
        <v>6.5000000000000002E-2</v>
      </c>
      <c r="AG32">
        <f>VLOOKUP($B32&amp;AG$1,Data!$A$2:$D$3723,4,FALSE)</f>
        <v>-0.188</v>
      </c>
      <c r="AH32">
        <f>VLOOKUP($B32&amp;AH$1,Data!$A$2:$D$3723,4,FALSE)</f>
        <v>0</v>
      </c>
      <c r="AI32">
        <f>VLOOKUP($B32&amp;AI$1,Data!$A$2:$D$3723,4,FALSE)</f>
        <v>1300000000</v>
      </c>
    </row>
    <row r="33" spans="2:35" hidden="1">
      <c r="B33" s="13">
        <v>32</v>
      </c>
      <c r="C33" s="13" t="s">
        <v>55</v>
      </c>
      <c r="D33" t="s">
        <v>5</v>
      </c>
      <c r="E33" t="s">
        <v>2</v>
      </c>
      <c r="F33">
        <v>1000</v>
      </c>
      <c r="G33" t="s">
        <v>17</v>
      </c>
      <c r="H33" s="5">
        <v>43831</v>
      </c>
      <c r="I33" s="5">
        <v>44562</v>
      </c>
      <c r="J33">
        <v>14</v>
      </c>
      <c r="K33">
        <v>9</v>
      </c>
      <c r="L33">
        <v>30</v>
      </c>
      <c r="M33">
        <v>70</v>
      </c>
      <c r="N33">
        <v>1000000</v>
      </c>
      <c r="O33">
        <f>VLOOKUP($B33&amp;O$1,Data!$A$2:$D$3723,4,FALSE)</f>
        <v>5.142E-2</v>
      </c>
      <c r="P33">
        <f>VLOOKUP($B33&amp;P$1,Data!$A$2:$D$3723,4,FALSE)</f>
        <v>-0.7</v>
      </c>
      <c r="Q33">
        <f>VLOOKUP($B33&amp;Q$1,Data!$A$2:$D$3723,4,FALSE)</f>
        <v>459</v>
      </c>
      <c r="R33">
        <f>VLOOKUP($B33&amp;R$1,Data!$A$2:$D$3723,4,FALSE)</f>
        <v>7.3000000000000001E-3</v>
      </c>
      <c r="S33">
        <f>VLOOKUP($B33&amp;S$1,Data!$A$2:$D$3723,4,FALSE)</f>
        <v>-1.47E-2</v>
      </c>
      <c r="T33">
        <f>VLOOKUP($B33&amp;T$1,Data!$A$2:$D$3723,4,FALSE)</f>
        <v>-9.9900000000000003E-2</v>
      </c>
      <c r="U33">
        <f>VLOOKUP($B33&amp;U$1,Data!$A$2:$D$3723,4,FALSE)</f>
        <v>0.13700000000000001</v>
      </c>
      <c r="V33">
        <f>VLOOKUP($B33&amp;V$1,Data!$A$2:$D$3723,4,FALSE)</f>
        <v>-0.3</v>
      </c>
      <c r="W33">
        <f>VLOOKUP($B33&amp;W$1,Data!$A$2:$D$3723,4,FALSE)</f>
        <v>-6.5509999999999999E-2</v>
      </c>
      <c r="X33">
        <f>VLOOKUP($B33&amp;X$1,Data!$A$2:$D$3723,4,FALSE)</f>
        <v>0.53</v>
      </c>
      <c r="Y33">
        <f>VLOOKUP($B33&amp;Y$1,Data!$A$2:$D$3723,4,FALSE)</f>
        <v>0.47</v>
      </c>
      <c r="Z33" t="e">
        <f>VLOOKUP($B33&amp;Z$1,Data!$A$2:$D$3723,4,FALSE)</f>
        <v>#N/A</v>
      </c>
      <c r="AA33">
        <f>VLOOKUP($B33&amp;AA$1,Data!$A$2:$D$3723,4,FALSE)</f>
        <v>-9.0999999999999998E-2</v>
      </c>
      <c r="AB33">
        <f>VLOOKUP($B33&amp;AB$1,Data!$A$2:$D$3723,4,FALSE)</f>
        <v>0.38</v>
      </c>
      <c r="AC33">
        <f>VLOOKUP($B33&amp;AC$1,Data!$A$2:$D$3723,4,FALSE)</f>
        <v>9.5000000000000001E-2</v>
      </c>
      <c r="AD33">
        <f>VLOOKUP($B33&amp;AD$1,Data!$A$2:$D$3723,4,FALSE)</f>
        <v>8.9999999999999993E-3</v>
      </c>
      <c r="AE33">
        <f>VLOOKUP($B33&amp;AE$1,Data!$A$2:$D$3723,4,FALSE)</f>
        <v>-1.3009999999999999</v>
      </c>
      <c r="AF33">
        <f>VLOOKUP($B33&amp;AF$1,Data!$A$2:$D$3723,4,FALSE)</f>
        <v>0.1</v>
      </c>
      <c r="AG33">
        <f>VLOOKUP($B33&amp;AG$1,Data!$A$2:$D$3723,4,FALSE)</f>
        <v>-0.17399999999999999</v>
      </c>
      <c r="AH33">
        <f>VLOOKUP($B33&amp;AH$1,Data!$A$2:$D$3723,4,FALSE)</f>
        <v>0</v>
      </c>
      <c r="AI33">
        <f>VLOOKUP($B33&amp;AI$1,Data!$A$2:$D$3723,4,FALSE)</f>
        <v>120000000</v>
      </c>
    </row>
    <row r="34" spans="2:35" hidden="1">
      <c r="B34" s="13">
        <v>33</v>
      </c>
      <c r="C34" s="13" t="s">
        <v>55</v>
      </c>
      <c r="D34" t="s">
        <v>5</v>
      </c>
      <c r="E34" t="s">
        <v>2</v>
      </c>
      <c r="F34">
        <v>5000</v>
      </c>
      <c r="G34" t="s">
        <v>17</v>
      </c>
      <c r="H34" s="5">
        <v>43831</v>
      </c>
      <c r="I34" s="5">
        <v>44562</v>
      </c>
      <c r="J34">
        <v>14</v>
      </c>
      <c r="K34">
        <v>9</v>
      </c>
      <c r="L34">
        <v>30</v>
      </c>
      <c r="M34">
        <v>70</v>
      </c>
      <c r="N34">
        <v>1000000</v>
      </c>
      <c r="O34">
        <f>VLOOKUP($B34&amp;O$1,Data!$A$2:$D$3723,4,FALSE)</f>
        <v>9.3880000000000005E-2</v>
      </c>
      <c r="P34">
        <f>VLOOKUP($B34&amp;P$1,Data!$A$2:$D$3723,4,FALSE)</f>
        <v>-0.36699999999999999</v>
      </c>
      <c r="Q34">
        <f>VLOOKUP($B34&amp;Q$1,Data!$A$2:$D$3723,4,FALSE)</f>
        <v>459</v>
      </c>
      <c r="R34">
        <f>VLOOKUP($B34&amp;R$1,Data!$A$2:$D$3723,4,FALSE)</f>
        <v>4.1099999999999998E-2</v>
      </c>
      <c r="S34">
        <f>VLOOKUP($B34&amp;S$1,Data!$A$2:$D$3723,4,FALSE)</f>
        <v>-7.9299999999999995E-2</v>
      </c>
      <c r="T34">
        <f>VLOOKUP($B34&amp;T$1,Data!$A$2:$D$3723,4,FALSE)</f>
        <v>-0.46013999999999999</v>
      </c>
      <c r="U34">
        <f>VLOOKUP($B34&amp;U$1,Data!$A$2:$D$3723,4,FALSE)</f>
        <v>0.59299999999999997</v>
      </c>
      <c r="V34">
        <f>VLOOKUP($B34&amp;V$1,Data!$A$2:$D$3723,4,FALSE)</f>
        <v>-0.29099999999999998</v>
      </c>
      <c r="W34">
        <f>VLOOKUP($B34&amp;W$1,Data!$A$2:$D$3723,4,FALSE)</f>
        <v>-0.32754</v>
      </c>
      <c r="X34">
        <f>VLOOKUP($B34&amp;X$1,Data!$A$2:$D$3723,4,FALSE)</f>
        <v>0.53</v>
      </c>
      <c r="Y34">
        <f>VLOOKUP($B34&amp;Y$1,Data!$A$2:$D$3723,4,FALSE)</f>
        <v>0.47</v>
      </c>
      <c r="Z34">
        <f>VLOOKUP($B34&amp;Z$1,Data!$A$2:$D$3723,4,FALSE)</f>
        <v>0.52</v>
      </c>
      <c r="AA34">
        <f>VLOOKUP($B34&amp;AA$1,Data!$A$2:$D$3723,4,FALSE)</f>
        <v>-0.36</v>
      </c>
      <c r="AB34">
        <f>VLOOKUP($B34&amp;AB$1,Data!$A$2:$D$3723,4,FALSE)</f>
        <v>2.1549999999999998</v>
      </c>
      <c r="AC34">
        <f>VLOOKUP($B34&amp;AC$1,Data!$A$2:$D$3723,4,FALSE)</f>
        <v>0.60599999999999998</v>
      </c>
      <c r="AD34">
        <f>VLOOKUP($B34&amp;AD$1,Data!$A$2:$D$3723,4,FALSE)</f>
        <v>0.36699999999999999</v>
      </c>
      <c r="AE34">
        <f>VLOOKUP($B34&amp;AE$1,Data!$A$2:$D$3723,4,FALSE)</f>
        <v>-0.48199999999999998</v>
      </c>
      <c r="AF34">
        <f>VLOOKUP($B34&amp;AF$1,Data!$A$2:$D$3723,4,FALSE)</f>
        <v>0.59299999999999997</v>
      </c>
      <c r="AG34">
        <f>VLOOKUP($B34&amp;AG$1,Data!$A$2:$D$3723,4,FALSE)</f>
        <v>-0.10299999999999999</v>
      </c>
      <c r="AH34">
        <f>VLOOKUP($B34&amp;AH$1,Data!$A$2:$D$3723,4,FALSE)</f>
        <v>0</v>
      </c>
      <c r="AI34">
        <f>VLOOKUP($B34&amp;AI$1,Data!$A$2:$D$3723,4,FALSE)</f>
        <v>19000000</v>
      </c>
    </row>
    <row r="35" spans="2:35" hidden="1">
      <c r="B35" s="13">
        <v>34</v>
      </c>
      <c r="C35" s="13" t="s">
        <v>55</v>
      </c>
      <c r="D35" t="s">
        <v>5</v>
      </c>
      <c r="E35" t="s">
        <v>22</v>
      </c>
      <c r="F35">
        <v>100</v>
      </c>
      <c r="G35" t="s">
        <v>17</v>
      </c>
      <c r="H35" s="5">
        <v>43831</v>
      </c>
      <c r="I35" s="5">
        <v>44562</v>
      </c>
      <c r="J35">
        <v>14</v>
      </c>
      <c r="K35">
        <v>9</v>
      </c>
      <c r="L35">
        <v>30</v>
      </c>
      <c r="M35">
        <v>70</v>
      </c>
      <c r="N35">
        <v>1000000</v>
      </c>
      <c r="O35">
        <f>VLOOKUP($B35&amp;O$1,Data!$A$2:$D$3723,4,FALSE)</f>
        <v>0.22356999999999999</v>
      </c>
      <c r="P35">
        <f>VLOOKUP($B35&amp;P$1,Data!$A$2:$D$3723,4,FALSE)</f>
        <v>0.23699999999999999</v>
      </c>
      <c r="Q35">
        <f>VLOOKUP($B35&amp;Q$1,Data!$A$2:$D$3723,4,FALSE)</f>
        <v>317</v>
      </c>
      <c r="R35">
        <f>VLOOKUP($B35&amp;R$1,Data!$A$2:$D$3723,4,FALSE)</f>
        <v>1.6999999999999999E-3</v>
      </c>
      <c r="S35">
        <f>VLOOKUP($B35&amp;S$1,Data!$A$2:$D$3723,4,FALSE)</f>
        <v>-8.0000000000000004E-4</v>
      </c>
      <c r="T35">
        <f>VLOOKUP($B35&amp;T$1,Data!$A$2:$D$3723,4,FALSE)</f>
        <v>3.1199999999999999E-3</v>
      </c>
      <c r="U35">
        <f>VLOOKUP($B35&amp;U$1,Data!$A$2:$D$3723,4,FALSE)</f>
        <v>5.0000000000000001E-3</v>
      </c>
      <c r="V35">
        <f>VLOOKUP($B35&amp;V$1,Data!$A$2:$D$3723,4,FALSE)</f>
        <v>0.28699999999999998</v>
      </c>
      <c r="W35">
        <f>VLOOKUP($B35&amp;W$1,Data!$A$2:$D$3723,4,FALSE)</f>
        <v>2.0100000000000001E-3</v>
      </c>
      <c r="X35">
        <f>VLOOKUP($B35&amp;X$1,Data!$A$2:$D$3723,4,FALSE)</f>
        <v>0.6</v>
      </c>
      <c r="Y35">
        <f>VLOOKUP($B35&amp;Y$1,Data!$A$2:$D$3723,4,FALSE)</f>
        <v>0.4</v>
      </c>
      <c r="Z35">
        <f>VLOOKUP($B35&amp;Z$1,Data!$A$2:$D$3723,4,FALSE)</f>
        <v>2.2200000000000002</v>
      </c>
      <c r="AA35">
        <f>VLOOKUP($B35&amp;AA$1,Data!$A$2:$D$3723,4,FALSE)</f>
        <v>0</v>
      </c>
      <c r="AB35">
        <f>VLOOKUP($B35&amp;AB$1,Data!$A$2:$D$3723,4,FALSE)</f>
        <v>4.2000000000000003E-2</v>
      </c>
      <c r="AC35">
        <f>VLOOKUP($B35&amp;AC$1,Data!$A$2:$D$3723,4,FALSE)</f>
        <v>8.9999999999999993E-3</v>
      </c>
      <c r="AD35">
        <f>VLOOKUP($B35&amp;AD$1,Data!$A$2:$D$3723,4,FALSE)</f>
        <v>0</v>
      </c>
      <c r="AE35">
        <f>VLOOKUP($B35&amp;AE$1,Data!$A$2:$D$3723,4,FALSE)</f>
        <v>-0.95699999999999996</v>
      </c>
      <c r="AF35">
        <f>VLOOKUP($B35&amp;AF$1,Data!$A$2:$D$3723,4,FALSE)</f>
        <v>6.5000000000000002E-2</v>
      </c>
      <c r="AG35">
        <f>VLOOKUP($B35&amp;AG$1,Data!$A$2:$D$3723,4,FALSE)</f>
        <v>5.2999999999999999E-2</v>
      </c>
      <c r="AH35">
        <f>VLOOKUP($B35&amp;AH$1,Data!$A$2:$D$3723,4,FALSE)</f>
        <v>0</v>
      </c>
      <c r="AI35">
        <f>VLOOKUP($B35&amp;AI$1,Data!$A$2:$D$3723,4,FALSE)</f>
        <v>230000000</v>
      </c>
    </row>
    <row r="36" spans="2:35" hidden="1">
      <c r="B36" s="13">
        <v>35</v>
      </c>
      <c r="C36" s="13" t="s">
        <v>55</v>
      </c>
      <c r="D36" t="s">
        <v>5</v>
      </c>
      <c r="E36" t="s">
        <v>22</v>
      </c>
      <c r="F36">
        <v>1000</v>
      </c>
      <c r="G36" t="s">
        <v>17</v>
      </c>
      <c r="H36" s="5">
        <v>43831</v>
      </c>
      <c r="I36" s="5">
        <v>44562</v>
      </c>
      <c r="J36">
        <v>14</v>
      </c>
      <c r="K36">
        <v>9</v>
      </c>
      <c r="L36">
        <v>30</v>
      </c>
      <c r="M36">
        <v>70</v>
      </c>
      <c r="N36">
        <v>1000000</v>
      </c>
      <c r="O36">
        <f>VLOOKUP($B36&amp;O$1,Data!$A$2:$D$3723,4,FALSE)</f>
        <v>0.23299</v>
      </c>
      <c r="P36">
        <f>VLOOKUP($B36&amp;P$1,Data!$A$2:$D$3723,4,FALSE)</f>
        <v>0.28000000000000003</v>
      </c>
      <c r="Q36">
        <f>VLOOKUP($B36&amp;Q$1,Data!$A$2:$D$3723,4,FALSE)</f>
        <v>317</v>
      </c>
      <c r="R36">
        <f>VLOOKUP($B36&amp;R$1,Data!$A$2:$D$3723,4,FALSE)</f>
        <v>1.6500000000000001E-2</v>
      </c>
      <c r="S36">
        <f>VLOOKUP($B36&amp;S$1,Data!$A$2:$D$3723,4,FALSE)</f>
        <v>-7.3000000000000001E-3</v>
      </c>
      <c r="T36">
        <f>VLOOKUP($B36&amp;T$1,Data!$A$2:$D$3723,4,FALSE)</f>
        <v>3.1510000000000003E-2</v>
      </c>
      <c r="U36">
        <f>VLOOKUP($B36&amp;U$1,Data!$A$2:$D$3723,4,FALSE)</f>
        <v>4.8000000000000001E-2</v>
      </c>
      <c r="V36">
        <f>VLOOKUP($B36&amp;V$1,Data!$A$2:$D$3723,4,FALSE)</f>
        <v>0.30099999999999999</v>
      </c>
      <c r="W36">
        <f>VLOOKUP($B36&amp;W$1,Data!$A$2:$D$3723,4,FALSE)</f>
        <v>2.026E-2</v>
      </c>
      <c r="X36">
        <f>VLOOKUP($B36&amp;X$1,Data!$A$2:$D$3723,4,FALSE)</f>
        <v>0.6</v>
      </c>
      <c r="Y36">
        <f>VLOOKUP($B36&amp;Y$1,Data!$A$2:$D$3723,4,FALSE)</f>
        <v>0.4</v>
      </c>
      <c r="Z36">
        <f>VLOOKUP($B36&amp;Z$1,Data!$A$2:$D$3723,4,FALSE)</f>
        <v>2.25</v>
      </c>
      <c r="AA36">
        <f>VLOOKUP($B36&amp;AA$1,Data!$A$2:$D$3723,4,FALSE)</f>
        <v>-1E-3</v>
      </c>
      <c r="AB36">
        <f>VLOOKUP($B36&amp;AB$1,Data!$A$2:$D$3723,4,FALSE)</f>
        <v>0.42299999999999999</v>
      </c>
      <c r="AC36">
        <f>VLOOKUP($B36&amp;AC$1,Data!$A$2:$D$3723,4,FALSE)</f>
        <v>9.2999999999999999E-2</v>
      </c>
      <c r="AD36">
        <f>VLOOKUP($B36&amp;AD$1,Data!$A$2:$D$3723,4,FALSE)</f>
        <v>8.9999999999999993E-3</v>
      </c>
      <c r="AE36">
        <f>VLOOKUP($B36&amp;AE$1,Data!$A$2:$D$3723,4,FALSE)</f>
        <v>-0.38800000000000001</v>
      </c>
      <c r="AF36">
        <f>VLOOKUP($B36&amp;AF$1,Data!$A$2:$D$3723,4,FALSE)</f>
        <v>9.7000000000000003E-2</v>
      </c>
      <c r="AG36">
        <f>VLOOKUP($B36&amp;AG$1,Data!$A$2:$D$3723,4,FALSE)</f>
        <v>6.2E-2</v>
      </c>
      <c r="AH36">
        <f>VLOOKUP($B36&amp;AH$1,Data!$A$2:$D$3723,4,FALSE)</f>
        <v>0</v>
      </c>
      <c r="AI36">
        <f>VLOOKUP($B36&amp;AI$1,Data!$A$2:$D$3723,4,FALSE)</f>
        <v>25000000</v>
      </c>
    </row>
    <row r="37" spans="2:35" hidden="1">
      <c r="B37" s="13">
        <v>36</v>
      </c>
      <c r="C37" s="13" t="s">
        <v>55</v>
      </c>
      <c r="D37" t="s">
        <v>5</v>
      </c>
      <c r="E37" t="s">
        <v>22</v>
      </c>
      <c r="F37">
        <v>5000</v>
      </c>
      <c r="G37" t="s">
        <v>17</v>
      </c>
      <c r="H37" s="5">
        <v>43831</v>
      </c>
      <c r="I37" s="5">
        <v>44562</v>
      </c>
      <c r="J37">
        <v>14</v>
      </c>
      <c r="K37">
        <v>9</v>
      </c>
      <c r="L37">
        <v>30</v>
      </c>
      <c r="M37">
        <v>70</v>
      </c>
      <c r="N37">
        <v>1000000</v>
      </c>
      <c r="O37">
        <f>VLOOKUP($B37&amp;O$1,Data!$A$2:$D$3723,4,FALSE)</f>
        <v>0.27490999999999999</v>
      </c>
      <c r="P37">
        <f>VLOOKUP($B37&amp;P$1,Data!$A$2:$D$3723,4,FALSE)</f>
        <v>0.47799999999999998</v>
      </c>
      <c r="Q37">
        <f>VLOOKUP($B37&amp;Q$1,Data!$A$2:$D$3723,4,FALSE)</f>
        <v>317</v>
      </c>
      <c r="R37">
        <f>VLOOKUP($B37&amp;R$1,Data!$A$2:$D$3723,4,FALSE)</f>
        <v>8.09E-2</v>
      </c>
      <c r="S37">
        <f>VLOOKUP($B37&amp;S$1,Data!$A$2:$D$3723,4,FALSE)</f>
        <v>-3.3799999999999997E-2</v>
      </c>
      <c r="T37">
        <f>VLOOKUP($B37&amp;T$1,Data!$A$2:$D$3723,4,FALSE)</f>
        <v>0.16094</v>
      </c>
      <c r="U37">
        <f>VLOOKUP($B37&amp;U$1,Data!$A$2:$D$3723,4,FALSE)</f>
        <v>0.20799999999999999</v>
      </c>
      <c r="V37">
        <f>VLOOKUP($B37&amp;V$1,Data!$A$2:$D$3723,4,FALSE)</f>
        <v>0.35799999999999998</v>
      </c>
      <c r="W37">
        <f>VLOOKUP($B37&amp;W$1,Data!$A$2:$D$3723,4,FALSE)</f>
        <v>0.10128</v>
      </c>
      <c r="X37">
        <f>VLOOKUP($B37&amp;X$1,Data!$A$2:$D$3723,4,FALSE)</f>
        <v>0.6</v>
      </c>
      <c r="Y37">
        <f>VLOOKUP($B37&amp;Y$1,Data!$A$2:$D$3723,4,FALSE)</f>
        <v>0.4</v>
      </c>
      <c r="Z37">
        <f>VLOOKUP($B37&amp;Z$1,Data!$A$2:$D$3723,4,FALSE)</f>
        <v>2.4</v>
      </c>
      <c r="AA37">
        <f>VLOOKUP($B37&amp;AA$1,Data!$A$2:$D$3723,4,FALSE)</f>
        <v>8.8999999999999996E-2</v>
      </c>
      <c r="AB37">
        <f>VLOOKUP($B37&amp;AB$1,Data!$A$2:$D$3723,4,FALSE)</f>
        <v>2.2570000000000001</v>
      </c>
      <c r="AC37">
        <f>VLOOKUP($B37&amp;AC$1,Data!$A$2:$D$3723,4,FALSE)</f>
        <v>0.48699999999999999</v>
      </c>
      <c r="AD37">
        <f>VLOOKUP($B37&amp;AD$1,Data!$A$2:$D$3723,4,FALSE)</f>
        <v>0.23799999999999999</v>
      </c>
      <c r="AE37">
        <f>VLOOKUP($B37&amp;AE$1,Data!$A$2:$D$3723,4,FALSE)</f>
        <v>0.36</v>
      </c>
      <c r="AF37">
        <f>VLOOKUP($B37&amp;AF$1,Data!$A$2:$D$3723,4,FALSE)</f>
        <v>0.47099999999999997</v>
      </c>
      <c r="AG37">
        <f>VLOOKUP($B37&amp;AG$1,Data!$A$2:$D$3723,4,FALSE)</f>
        <v>0.10299999999999999</v>
      </c>
      <c r="AH37">
        <f>VLOOKUP($B37&amp;AH$1,Data!$A$2:$D$3723,4,FALSE)</f>
        <v>0</v>
      </c>
      <c r="AI37">
        <f>VLOOKUP($B37&amp;AI$1,Data!$A$2:$D$3723,4,FALSE)</f>
        <v>6600000</v>
      </c>
    </row>
    <row r="38" spans="2:35" hidden="1">
      <c r="B38" s="13">
        <v>37</v>
      </c>
      <c r="C38" s="13" t="s">
        <v>55</v>
      </c>
      <c r="D38" t="s">
        <v>5</v>
      </c>
      <c r="E38" t="s">
        <v>3</v>
      </c>
      <c r="F38">
        <v>100</v>
      </c>
      <c r="G38" t="s">
        <v>17</v>
      </c>
      <c r="H38" s="5">
        <v>43831</v>
      </c>
      <c r="I38" s="5">
        <v>44562</v>
      </c>
      <c r="J38">
        <v>14</v>
      </c>
      <c r="K38">
        <v>9</v>
      </c>
      <c r="L38">
        <v>32</v>
      </c>
      <c r="M38">
        <v>68</v>
      </c>
      <c r="N38">
        <v>1000000</v>
      </c>
      <c r="O38">
        <f>VLOOKUP($B38&amp;O$1,Data!$A$2:$D$3723,4,FALSE)</f>
        <v>3.0470000000000001E-2</v>
      </c>
      <c r="P38">
        <f>VLOOKUP($B38&amp;P$1,Data!$A$2:$D$3723,4,FALSE)</f>
        <v>-0.90300000000000002</v>
      </c>
      <c r="Q38">
        <f>VLOOKUP($B38&amp;Q$1,Data!$A$2:$D$3723,4,FALSE)</f>
        <v>961</v>
      </c>
      <c r="R38">
        <f>VLOOKUP($B38&amp;R$1,Data!$A$2:$D$3723,4,FALSE)</f>
        <v>1.2999999999999999E-3</v>
      </c>
      <c r="S38">
        <f>VLOOKUP($B38&amp;S$1,Data!$A$2:$D$3723,4,FALSE)</f>
        <v>-1.6999999999999999E-3</v>
      </c>
      <c r="T38">
        <f>VLOOKUP($B38&amp;T$1,Data!$A$2:$D$3723,4,FALSE)</f>
        <v>-2.8170000000000001E-2</v>
      </c>
      <c r="U38">
        <f>VLOOKUP($B38&amp;U$1,Data!$A$2:$D$3723,4,FALSE)</f>
        <v>2.9000000000000001E-2</v>
      </c>
      <c r="V38">
        <f>VLOOKUP($B38&amp;V$1,Data!$A$2:$D$3723,4,FALSE)</f>
        <v>-0.33300000000000002</v>
      </c>
      <c r="W38">
        <f>VLOOKUP($B38&amp;W$1,Data!$A$2:$D$3723,4,FALSE)</f>
        <v>-1.83E-2</v>
      </c>
      <c r="X38">
        <f>VLOOKUP($B38&amp;X$1,Data!$A$2:$D$3723,4,FALSE)</f>
        <v>0.62</v>
      </c>
      <c r="Y38">
        <f>VLOOKUP($B38&amp;Y$1,Data!$A$2:$D$3723,4,FALSE)</f>
        <v>0.38</v>
      </c>
      <c r="Z38">
        <f>VLOOKUP($B38&amp;Z$1,Data!$A$2:$D$3723,4,FALSE)</f>
        <v>0.78</v>
      </c>
      <c r="AA38">
        <f>VLOOKUP($B38&amp;AA$1,Data!$A$2:$D$3723,4,FALSE)</f>
        <v>-2.7E-2</v>
      </c>
      <c r="AB38">
        <f>VLOOKUP($B38&amp;AB$1,Data!$A$2:$D$3723,4,FALSE)</f>
        <v>0.13800000000000001</v>
      </c>
      <c r="AC38">
        <f>VLOOKUP($B38&amp;AC$1,Data!$A$2:$D$3723,4,FALSE)</f>
        <v>2.1000000000000001E-2</v>
      </c>
      <c r="AD38">
        <f>VLOOKUP($B38&amp;AD$1,Data!$A$2:$D$3723,4,FALSE)</f>
        <v>0</v>
      </c>
      <c r="AE38">
        <f>VLOOKUP($B38&amp;AE$1,Data!$A$2:$D$3723,4,FALSE)</f>
        <v>-1.2609999999999999</v>
      </c>
      <c r="AF38">
        <f>VLOOKUP($B38&amp;AF$1,Data!$A$2:$D$3723,4,FALSE)</f>
        <v>6.0999999999999999E-2</v>
      </c>
      <c r="AG38">
        <f>VLOOKUP($B38&amp;AG$1,Data!$A$2:$D$3723,4,FALSE)</f>
        <v>-0.14000000000000001</v>
      </c>
      <c r="AH38">
        <f>VLOOKUP($B38&amp;AH$1,Data!$A$2:$D$3723,4,FALSE)</f>
        <v>0</v>
      </c>
      <c r="AI38">
        <f>VLOOKUP($B38&amp;AI$1,Data!$A$2:$D$3723,4,FALSE)</f>
        <v>25000000000</v>
      </c>
    </row>
    <row r="39" spans="2:35" hidden="1">
      <c r="B39" s="13">
        <v>38</v>
      </c>
      <c r="C39" s="13" t="s">
        <v>55</v>
      </c>
      <c r="D39" t="s">
        <v>5</v>
      </c>
      <c r="E39" t="s">
        <v>3</v>
      </c>
      <c r="F39">
        <v>1000</v>
      </c>
      <c r="G39" t="s">
        <v>17</v>
      </c>
      <c r="H39" s="5">
        <v>43831</v>
      </c>
      <c r="I39" s="5">
        <v>44562</v>
      </c>
      <c r="J39">
        <v>14</v>
      </c>
      <c r="K39">
        <v>9</v>
      </c>
      <c r="L39">
        <v>32</v>
      </c>
      <c r="M39">
        <v>68</v>
      </c>
      <c r="N39">
        <v>1000000</v>
      </c>
      <c r="O39">
        <f>VLOOKUP($B39&amp;O$1,Data!$A$2:$D$3723,4,FALSE)</f>
        <v>4.2520000000000002E-2</v>
      </c>
      <c r="P39">
        <f>VLOOKUP($B39&amp;P$1,Data!$A$2:$D$3723,4,FALSE)</f>
        <v>-0.71299999999999997</v>
      </c>
      <c r="Q39">
        <f>VLOOKUP($B39&amp;Q$1,Data!$A$2:$D$3723,4,FALSE)</f>
        <v>961</v>
      </c>
      <c r="R39">
        <f>VLOOKUP($B39&amp;R$1,Data!$A$2:$D$3723,4,FALSE)</f>
        <v>1.4200000000000001E-2</v>
      </c>
      <c r="S39">
        <f>VLOOKUP($B39&amp;S$1,Data!$A$2:$D$3723,4,FALSE)</f>
        <v>-1.8200000000000001E-2</v>
      </c>
      <c r="T39">
        <f>VLOOKUP($B39&amp;T$1,Data!$A$2:$D$3723,4,FALSE)</f>
        <v>-0.26854</v>
      </c>
      <c r="U39">
        <f>VLOOKUP($B39&amp;U$1,Data!$A$2:$D$3723,4,FALSE)</f>
        <v>0.27600000000000002</v>
      </c>
      <c r="V39">
        <f>VLOOKUP($B39&amp;V$1,Data!$A$2:$D$3723,4,FALSE)</f>
        <v>-0.33100000000000002</v>
      </c>
      <c r="W39">
        <f>VLOOKUP($B39&amp;W$1,Data!$A$2:$D$3723,4,FALSE)</f>
        <v>-0.18303</v>
      </c>
      <c r="X39">
        <f>VLOOKUP($B39&amp;X$1,Data!$A$2:$D$3723,4,FALSE)</f>
        <v>0.62</v>
      </c>
      <c r="Y39">
        <f>VLOOKUP($B39&amp;Y$1,Data!$A$2:$D$3723,4,FALSE)</f>
        <v>0.38</v>
      </c>
      <c r="Z39">
        <f>VLOOKUP($B39&amp;Z$1,Data!$A$2:$D$3723,4,FALSE)</f>
        <v>0.78</v>
      </c>
      <c r="AA39">
        <f>VLOOKUP($B39&amp;AA$1,Data!$A$2:$D$3723,4,FALSE)</f>
        <v>-0.27</v>
      </c>
      <c r="AB39">
        <f>VLOOKUP($B39&amp;AB$1,Data!$A$2:$D$3723,4,FALSE)</f>
        <v>1.546</v>
      </c>
      <c r="AC39">
        <f>VLOOKUP($B39&amp;AC$1,Data!$A$2:$D$3723,4,FALSE)</f>
        <v>0.24</v>
      </c>
      <c r="AD39">
        <f>VLOOKUP($B39&amp;AD$1,Data!$A$2:$D$3723,4,FALSE)</f>
        <v>5.8000000000000003E-2</v>
      </c>
      <c r="AE39">
        <f>VLOOKUP($B39&amp;AE$1,Data!$A$2:$D$3723,4,FALSE)</f>
        <v>-1.069</v>
      </c>
      <c r="AF39">
        <f>VLOOKUP($B39&amp;AF$1,Data!$A$2:$D$3723,4,FALSE)</f>
        <v>0.22</v>
      </c>
      <c r="AG39">
        <f>VLOOKUP($B39&amp;AG$1,Data!$A$2:$D$3723,4,FALSE)</f>
        <v>-0.111</v>
      </c>
      <c r="AH39">
        <f>VLOOKUP($B39&amp;AH$1,Data!$A$2:$D$3723,4,FALSE)</f>
        <v>0</v>
      </c>
      <c r="AI39">
        <f>VLOOKUP($B39&amp;AI$1,Data!$A$2:$D$3723,4,FALSE)</f>
        <v>2100000000</v>
      </c>
    </row>
    <row r="40" spans="2:35" hidden="1">
      <c r="B40" s="13">
        <v>39</v>
      </c>
      <c r="C40" s="13" t="s">
        <v>55</v>
      </c>
      <c r="D40" t="s">
        <v>5</v>
      </c>
      <c r="E40" t="s">
        <v>3</v>
      </c>
      <c r="F40">
        <v>5000</v>
      </c>
      <c r="G40" t="s">
        <v>17</v>
      </c>
      <c r="H40" s="5">
        <v>43831</v>
      </c>
      <c r="I40" s="5">
        <v>44562</v>
      </c>
      <c r="J40">
        <v>14</v>
      </c>
      <c r="K40">
        <v>9</v>
      </c>
      <c r="L40">
        <v>32</v>
      </c>
      <c r="M40">
        <v>68</v>
      </c>
      <c r="N40">
        <v>1000000</v>
      </c>
      <c r="O40">
        <f>VLOOKUP($B40&amp;O$1,Data!$A$2:$D$3723,4,FALSE)</f>
        <v>3.5349999999999999E-2</v>
      </c>
      <c r="P40">
        <f>VLOOKUP($B40&amp;P$1,Data!$A$2:$D$3723,4,FALSE)</f>
        <v>-0.45200000000000001</v>
      </c>
      <c r="Q40">
        <f>VLOOKUP($B40&amp;Q$1,Data!$A$2:$D$3723,4,FALSE)</f>
        <v>922</v>
      </c>
      <c r="R40">
        <f>VLOOKUP($B40&amp;R$1,Data!$A$2:$D$3723,4,FALSE)</f>
        <v>0.1065</v>
      </c>
      <c r="S40">
        <f>VLOOKUP($B40&amp;S$1,Data!$A$2:$D$3723,4,FALSE)</f>
        <v>-8.4699999999999998E-2</v>
      </c>
      <c r="T40">
        <f>VLOOKUP($B40&amp;T$1,Data!$A$2:$D$3723,4,FALSE)</f>
        <v>-0.99119999999999997</v>
      </c>
      <c r="U40">
        <f>VLOOKUP($B40&amp;U$1,Data!$A$2:$D$3723,4,FALSE)</f>
        <v>0.96399999999999997</v>
      </c>
      <c r="V40">
        <f>VLOOKUP($B40&amp;V$1,Data!$A$2:$D$3723,4,FALSE)</f>
        <v>-0.503</v>
      </c>
      <c r="W40">
        <f>VLOOKUP($B40&amp;W$1,Data!$A$2:$D$3723,4,FALSE)</f>
        <v>-0.95309999999999995</v>
      </c>
      <c r="X40">
        <f>VLOOKUP($B40&amp;X$1,Data!$A$2:$D$3723,4,FALSE)</f>
        <v>0.78</v>
      </c>
      <c r="Y40">
        <f>VLOOKUP($B40&amp;Y$1,Data!$A$2:$D$3723,4,FALSE)</f>
        <v>0.22</v>
      </c>
      <c r="Z40">
        <f>VLOOKUP($B40&amp;Z$1,Data!$A$2:$D$3723,4,FALSE)</f>
        <v>1.26</v>
      </c>
      <c r="AA40">
        <f>VLOOKUP($B40&amp;AA$1,Data!$A$2:$D$3723,4,FALSE)</f>
        <v>-1.38</v>
      </c>
      <c r="AB40">
        <f>VLOOKUP($B40&amp;AB$1,Data!$A$2:$D$3723,4,FALSE)</f>
        <v>10.227</v>
      </c>
      <c r="AC40">
        <f>VLOOKUP($B40&amp;AC$1,Data!$A$2:$D$3723,4,FALSE)</f>
        <v>1.754</v>
      </c>
      <c r="AD40">
        <f>VLOOKUP($B40&amp;AD$1,Data!$A$2:$D$3723,4,FALSE)</f>
        <v>3.0760000000000001</v>
      </c>
      <c r="AE40">
        <f>VLOOKUP($B40&amp;AE$1,Data!$A$2:$D$3723,4,FALSE)</f>
        <v>-0.49199999999999999</v>
      </c>
      <c r="AF40">
        <f>VLOOKUP($B40&amp;AF$1,Data!$A$2:$D$3723,4,FALSE)</f>
        <v>1.7290000000000001</v>
      </c>
      <c r="AG40">
        <f>VLOOKUP($B40&amp;AG$1,Data!$A$2:$D$3723,4,FALSE)</f>
        <v>-7.6999999999999999E-2</v>
      </c>
      <c r="AH40">
        <f>VLOOKUP($B40&amp;AH$1,Data!$A$2:$D$3723,4,FALSE)</f>
        <v>0</v>
      </c>
      <c r="AI40">
        <f>VLOOKUP($B40&amp;AI$1,Data!$A$2:$D$3723,4,FALSE)</f>
        <v>28000000</v>
      </c>
    </row>
    <row r="41" spans="2:35" hidden="1">
      <c r="B41" s="13">
        <v>40</v>
      </c>
      <c r="C41" s="13" t="s">
        <v>55</v>
      </c>
      <c r="D41" t="s">
        <v>5</v>
      </c>
      <c r="E41" t="s">
        <v>2</v>
      </c>
      <c r="F41">
        <v>100</v>
      </c>
      <c r="G41" t="s">
        <v>17</v>
      </c>
      <c r="H41" s="5">
        <v>43831</v>
      </c>
      <c r="I41" s="5">
        <v>44562</v>
      </c>
      <c r="J41">
        <v>14</v>
      </c>
      <c r="K41">
        <v>9</v>
      </c>
      <c r="L41">
        <v>32</v>
      </c>
      <c r="M41">
        <v>68</v>
      </c>
      <c r="N41">
        <v>1000000</v>
      </c>
      <c r="O41">
        <f>VLOOKUP($B41&amp;O$1,Data!$A$2:$D$3723,4,FALSE)</f>
        <v>0.66532000000000002</v>
      </c>
      <c r="P41">
        <f>VLOOKUP($B41&amp;P$1,Data!$A$2:$D$3723,4,FALSE)</f>
        <v>1.4119999999999999</v>
      </c>
      <c r="Q41">
        <f>VLOOKUP($B41&amp;Q$1,Data!$A$2:$D$3723,4,FALSE)</f>
        <v>590</v>
      </c>
      <c r="R41">
        <f>VLOOKUP($B41&amp;R$1,Data!$A$2:$D$3723,4,FALSE)</f>
        <v>2E-3</v>
      </c>
      <c r="S41">
        <f>VLOOKUP($B41&amp;S$1,Data!$A$2:$D$3723,4,FALSE)</f>
        <v>-1.1999999999999999E-3</v>
      </c>
      <c r="T41">
        <f>VLOOKUP($B41&amp;T$1,Data!$A$2:$D$3723,4,FALSE)</f>
        <v>1.9709999999999998E-2</v>
      </c>
      <c r="U41">
        <f>VLOOKUP($B41&amp;U$1,Data!$A$2:$D$3723,4,FALSE)</f>
        <v>8.0000000000000002E-3</v>
      </c>
      <c r="V41">
        <f>VLOOKUP($B41&amp;V$1,Data!$A$2:$D$3723,4,FALSE)</f>
        <v>0.56299999999999994</v>
      </c>
      <c r="W41">
        <f>VLOOKUP($B41&amp;W$1,Data!$A$2:$D$3723,4,FALSE)</f>
        <v>1.2699999999999999E-2</v>
      </c>
      <c r="X41">
        <f>VLOOKUP($B41&amp;X$1,Data!$A$2:$D$3723,4,FALSE)</f>
        <v>0.42</v>
      </c>
      <c r="Y41">
        <f>VLOOKUP($B41&amp;Y$1,Data!$A$2:$D$3723,4,FALSE)</f>
        <v>0.57999999999999996</v>
      </c>
      <c r="Z41">
        <f>VLOOKUP($B41&amp;Z$1,Data!$A$2:$D$3723,4,FALSE)</f>
        <v>1.7</v>
      </c>
      <c r="AA41">
        <f>VLOOKUP($B41&amp;AA$1,Data!$A$2:$D$3723,4,FALSE)</f>
        <v>0.01</v>
      </c>
      <c r="AB41">
        <f>VLOOKUP($B41&amp;AB$1,Data!$A$2:$D$3723,4,FALSE)</f>
        <v>5.1999999999999998E-2</v>
      </c>
      <c r="AC41">
        <f>VLOOKUP($B41&amp;AC$1,Data!$A$2:$D$3723,4,FALSE)</f>
        <v>0.01</v>
      </c>
      <c r="AD41">
        <f>VLOOKUP($B41&amp;AD$1,Data!$A$2:$D$3723,4,FALSE)</f>
        <v>0</v>
      </c>
      <c r="AE41">
        <f>VLOOKUP($B41&amp;AE$1,Data!$A$2:$D$3723,4,FALSE)</f>
        <v>-0.78300000000000003</v>
      </c>
      <c r="AF41">
        <f>VLOOKUP($B41&amp;AF$1,Data!$A$2:$D$3723,4,FALSE)</f>
        <v>6.4000000000000001E-2</v>
      </c>
      <c r="AG41">
        <f>VLOOKUP($B41&amp;AG$1,Data!$A$2:$D$3723,4,FALSE)</f>
        <v>0.26300000000000001</v>
      </c>
      <c r="AH41">
        <f>VLOOKUP($B41&amp;AH$1,Data!$A$2:$D$3723,4,FALSE)</f>
        <v>0</v>
      </c>
      <c r="AI41">
        <f>VLOOKUP($B41&amp;AI$1,Data!$A$2:$D$3723,4,FALSE)</f>
        <v>340000000</v>
      </c>
    </row>
    <row r="42" spans="2:35" hidden="1">
      <c r="B42" s="13">
        <v>41</v>
      </c>
      <c r="C42" s="13" t="s">
        <v>55</v>
      </c>
      <c r="D42" t="s">
        <v>5</v>
      </c>
      <c r="E42" t="s">
        <v>2</v>
      </c>
      <c r="F42">
        <v>1000</v>
      </c>
      <c r="G42" t="s">
        <v>17</v>
      </c>
      <c r="H42" s="5">
        <v>43831</v>
      </c>
      <c r="I42" s="5">
        <v>44562</v>
      </c>
      <c r="J42">
        <v>14</v>
      </c>
      <c r="K42">
        <v>9</v>
      </c>
      <c r="L42">
        <v>32</v>
      </c>
      <c r="M42">
        <v>68</v>
      </c>
      <c r="N42">
        <v>1000000</v>
      </c>
      <c r="O42">
        <f>VLOOKUP($B42&amp;O$1,Data!$A$2:$D$3723,4,FALSE)</f>
        <v>0.69308999999999998</v>
      </c>
      <c r="P42">
        <f>VLOOKUP($B42&amp;P$1,Data!$A$2:$D$3723,4,FALSE)</f>
        <v>1.5669999999999999</v>
      </c>
      <c r="Q42">
        <f>VLOOKUP($B42&amp;Q$1,Data!$A$2:$D$3723,4,FALSE)</f>
        <v>590</v>
      </c>
      <c r="R42">
        <f>VLOOKUP($B42&amp;R$1,Data!$A$2:$D$3723,4,FALSE)</f>
        <v>1.9E-2</v>
      </c>
      <c r="S42">
        <f>VLOOKUP($B42&amp;S$1,Data!$A$2:$D$3723,4,FALSE)</f>
        <v>-1.06E-2</v>
      </c>
      <c r="T42">
        <f>VLOOKUP($B42&amp;T$1,Data!$A$2:$D$3723,4,FALSE)</f>
        <v>0.20308999999999999</v>
      </c>
      <c r="U42">
        <f>VLOOKUP($B42&amp;U$1,Data!$A$2:$D$3723,4,FALSE)</f>
        <v>6.8000000000000005E-2</v>
      </c>
      <c r="V42">
        <f>VLOOKUP($B42&amp;V$1,Data!$A$2:$D$3723,4,FALSE)</f>
        <v>0.61099999999999999</v>
      </c>
      <c r="W42">
        <f>VLOOKUP($B42&amp;W$1,Data!$A$2:$D$3723,4,FALSE)</f>
        <v>0.12695999999999999</v>
      </c>
      <c r="X42">
        <f>VLOOKUP($B42&amp;X$1,Data!$A$2:$D$3723,4,FALSE)</f>
        <v>0.42</v>
      </c>
      <c r="Y42">
        <f>VLOOKUP($B42&amp;Y$1,Data!$A$2:$D$3723,4,FALSE)</f>
        <v>0.57999999999999996</v>
      </c>
      <c r="Z42">
        <f>VLOOKUP($B42&amp;Z$1,Data!$A$2:$D$3723,4,FALSE)</f>
        <v>1.78</v>
      </c>
      <c r="AA42">
        <f>VLOOKUP($B42&amp;AA$1,Data!$A$2:$D$3723,4,FALSE)</f>
        <v>0.111</v>
      </c>
      <c r="AB42">
        <f>VLOOKUP($B42&amp;AB$1,Data!$A$2:$D$3723,4,FALSE)</f>
        <v>0.47899999999999998</v>
      </c>
      <c r="AC42">
        <f>VLOOKUP($B42&amp;AC$1,Data!$A$2:$D$3723,4,FALSE)</f>
        <v>0.09</v>
      </c>
      <c r="AD42">
        <f>VLOOKUP($B42&amp;AD$1,Data!$A$2:$D$3723,4,FALSE)</f>
        <v>8.0000000000000002E-3</v>
      </c>
      <c r="AE42">
        <f>VLOOKUP($B42&amp;AE$1,Data!$A$2:$D$3723,4,FALSE)</f>
        <v>0.85099999999999998</v>
      </c>
      <c r="AF42">
        <f>VLOOKUP($B42&amp;AF$1,Data!$A$2:$D$3723,4,FALSE)</f>
        <v>9.0999999999999998E-2</v>
      </c>
      <c r="AG42">
        <f>VLOOKUP($B42&amp;AG$1,Data!$A$2:$D$3723,4,FALSE)</f>
        <v>0.29499999999999998</v>
      </c>
      <c r="AH42">
        <f>VLOOKUP($B42&amp;AH$1,Data!$A$2:$D$3723,4,FALSE)</f>
        <v>0</v>
      </c>
      <c r="AI42">
        <f>VLOOKUP($B42&amp;AI$1,Data!$A$2:$D$3723,4,FALSE)</f>
        <v>39000000</v>
      </c>
    </row>
    <row r="43" spans="2:35" hidden="1">
      <c r="B43" s="13">
        <v>42</v>
      </c>
      <c r="C43" s="13" t="s">
        <v>55</v>
      </c>
      <c r="D43" t="s">
        <v>5</v>
      </c>
      <c r="E43" t="s">
        <v>2</v>
      </c>
      <c r="F43">
        <v>5000</v>
      </c>
      <c r="G43" t="s">
        <v>17</v>
      </c>
      <c r="H43" s="5">
        <v>43831</v>
      </c>
      <c r="I43" s="5">
        <v>44562</v>
      </c>
      <c r="J43">
        <v>14</v>
      </c>
      <c r="K43">
        <v>9</v>
      </c>
      <c r="L43">
        <v>32</v>
      </c>
      <c r="M43">
        <v>68</v>
      </c>
      <c r="N43">
        <v>1000000</v>
      </c>
      <c r="O43">
        <f>VLOOKUP($B43&amp;O$1,Data!$A$2:$D$3723,4,FALSE)</f>
        <v>0.77578000000000003</v>
      </c>
      <c r="P43">
        <f>VLOOKUP($B43&amp;P$1,Data!$A$2:$D$3723,4,FALSE)</f>
        <v>2.246</v>
      </c>
      <c r="Q43">
        <f>VLOOKUP($B43&amp;Q$1,Data!$A$2:$D$3723,4,FALSE)</f>
        <v>590</v>
      </c>
      <c r="R43">
        <f>VLOOKUP($B43&amp;R$1,Data!$A$2:$D$3723,4,FALSE)</f>
        <v>7.6399999999999996E-2</v>
      </c>
      <c r="S43">
        <f>VLOOKUP($B43&amp;S$1,Data!$A$2:$D$3723,4,FALSE)</f>
        <v>-3.6499999999999998E-2</v>
      </c>
      <c r="T43">
        <f>VLOOKUP($B43&amp;T$1,Data!$A$2:$D$3723,4,FALSE)</f>
        <v>1.1390100000000001</v>
      </c>
      <c r="U43">
        <f>VLOOKUP($B43&amp;U$1,Data!$A$2:$D$3723,4,FALSE)</f>
        <v>0.224</v>
      </c>
      <c r="V43">
        <f>VLOOKUP($B43&amp;V$1,Data!$A$2:$D$3723,4,FALSE)</f>
        <v>0.79</v>
      </c>
      <c r="W43">
        <f>VLOOKUP($B43&amp;W$1,Data!$A$2:$D$3723,4,FALSE)</f>
        <v>0.63482000000000005</v>
      </c>
      <c r="X43">
        <f>VLOOKUP($B43&amp;X$1,Data!$A$2:$D$3723,4,FALSE)</f>
        <v>0.42</v>
      </c>
      <c r="Y43">
        <f>VLOOKUP($B43&amp;Y$1,Data!$A$2:$D$3723,4,FALSE)</f>
        <v>0.57999999999999996</v>
      </c>
      <c r="Z43">
        <f>VLOOKUP($B43&amp;Z$1,Data!$A$2:$D$3723,4,FALSE)</f>
        <v>2.09</v>
      </c>
      <c r="AA43">
        <f>VLOOKUP($B43&amp;AA$1,Data!$A$2:$D$3723,4,FALSE)</f>
        <v>0.68400000000000005</v>
      </c>
      <c r="AB43">
        <f>VLOOKUP($B43&amp;AB$1,Data!$A$2:$D$3723,4,FALSE)</f>
        <v>1.798</v>
      </c>
      <c r="AC43">
        <f>VLOOKUP($B43&amp;AC$1,Data!$A$2:$D$3723,4,FALSE)</f>
        <v>0.35499999999999998</v>
      </c>
      <c r="AD43">
        <f>VLOOKUP($B43&amp;AD$1,Data!$A$2:$D$3723,4,FALSE)</f>
        <v>0.126</v>
      </c>
      <c r="AE43">
        <f>VLOOKUP($B43&amp;AE$1,Data!$A$2:$D$3723,4,FALSE)</f>
        <v>2.169</v>
      </c>
      <c r="AF43">
        <f>VLOOKUP($B43&amp;AF$1,Data!$A$2:$D$3723,4,FALSE)</f>
        <v>0.33900000000000002</v>
      </c>
      <c r="AG43">
        <f>VLOOKUP($B43&amp;AG$1,Data!$A$2:$D$3723,4,FALSE)</f>
        <v>0.44400000000000001</v>
      </c>
      <c r="AH43">
        <f>VLOOKUP($B43&amp;AH$1,Data!$A$2:$D$3723,4,FALSE)</f>
        <v>0</v>
      </c>
      <c r="AI43">
        <f>VLOOKUP($B43&amp;AI$1,Data!$A$2:$D$3723,4,FALSE)</f>
        <v>12000000</v>
      </c>
    </row>
    <row r="44" spans="2:35" hidden="1">
      <c r="B44" s="13">
        <v>43</v>
      </c>
      <c r="C44" s="13" t="s">
        <v>55</v>
      </c>
      <c r="D44" t="s">
        <v>5</v>
      </c>
      <c r="E44" t="s">
        <v>22</v>
      </c>
      <c r="F44">
        <v>100</v>
      </c>
      <c r="G44" t="s">
        <v>17</v>
      </c>
      <c r="H44" s="5">
        <v>43831</v>
      </c>
      <c r="I44" s="5">
        <v>44562</v>
      </c>
      <c r="J44">
        <v>14</v>
      </c>
      <c r="K44">
        <v>9</v>
      </c>
      <c r="L44">
        <v>32</v>
      </c>
      <c r="M44">
        <v>68</v>
      </c>
      <c r="N44">
        <v>1000000</v>
      </c>
      <c r="O44">
        <f>VLOOKUP($B44&amp;O$1,Data!$A$2:$D$3723,4,FALSE)</f>
        <v>0.54886000000000001</v>
      </c>
      <c r="P44">
        <f>VLOOKUP($B44&amp;P$1,Data!$A$2:$D$3723,4,FALSE)</f>
        <v>1.1279999999999999</v>
      </c>
      <c r="Q44">
        <f>VLOOKUP($B44&amp;Q$1,Data!$A$2:$D$3723,4,FALSE)</f>
        <v>397</v>
      </c>
      <c r="R44">
        <f>VLOOKUP($B44&amp;R$1,Data!$A$2:$D$3723,4,FALSE)</f>
        <v>2.8999999999999998E-3</v>
      </c>
      <c r="S44">
        <f>VLOOKUP($B44&amp;S$1,Data!$A$2:$D$3723,4,FALSE)</f>
        <v>-2.3E-3</v>
      </c>
      <c r="T44">
        <f>VLOOKUP($B44&amp;T$1,Data!$A$2:$D$3723,4,FALSE)</f>
        <v>1.806E-2</v>
      </c>
      <c r="U44">
        <f>VLOOKUP($B44&amp;U$1,Data!$A$2:$D$3723,4,FALSE)</f>
        <v>7.0000000000000001E-3</v>
      </c>
      <c r="V44">
        <f>VLOOKUP($B44&amp;V$1,Data!$A$2:$D$3723,4,FALSE)</f>
        <v>0.39600000000000002</v>
      </c>
      <c r="W44">
        <f>VLOOKUP($B44&amp;W$1,Data!$A$2:$D$3723,4,FALSE)</f>
        <v>1.1639999999999999E-2</v>
      </c>
      <c r="X44">
        <f>VLOOKUP($B44&amp;X$1,Data!$A$2:$D$3723,4,FALSE)</f>
        <v>0.38</v>
      </c>
      <c r="Y44">
        <f>VLOOKUP($B44&amp;Y$1,Data!$A$2:$D$3723,4,FALSE)</f>
        <v>0.62</v>
      </c>
      <c r="Z44">
        <f>VLOOKUP($B44&amp;Z$1,Data!$A$2:$D$3723,4,FALSE)</f>
        <v>1.27</v>
      </c>
      <c r="AA44">
        <f>VLOOKUP($B44&amp;AA$1,Data!$A$2:$D$3723,4,FALSE)</f>
        <v>8.0000000000000002E-3</v>
      </c>
      <c r="AB44">
        <f>VLOOKUP($B44&amp;AB$1,Data!$A$2:$D$3723,4,FALSE)</f>
        <v>7.0999999999999994E-2</v>
      </c>
      <c r="AC44">
        <f>VLOOKUP($B44&amp;AC$1,Data!$A$2:$D$3723,4,FALSE)</f>
        <v>1.0999999999999999E-2</v>
      </c>
      <c r="AD44">
        <f>VLOOKUP($B44&amp;AD$1,Data!$A$2:$D$3723,4,FALSE)</f>
        <v>0</v>
      </c>
      <c r="AE44">
        <f>VLOOKUP($B44&amp;AE$1,Data!$A$2:$D$3723,4,FALSE)</f>
        <v>-0.81499999999999995</v>
      </c>
      <c r="AF44">
        <f>VLOOKUP($B44&amp;AF$1,Data!$A$2:$D$3723,4,FALSE)</f>
        <v>6.3E-2</v>
      </c>
      <c r="AG44">
        <f>VLOOKUP($B44&amp;AG$1,Data!$A$2:$D$3723,4,FALSE)</f>
        <v>0.17599999999999999</v>
      </c>
      <c r="AH44">
        <f>VLOOKUP($B44&amp;AH$1,Data!$A$2:$D$3723,4,FALSE)</f>
        <v>0</v>
      </c>
      <c r="AI44">
        <f>VLOOKUP($B44&amp;AI$1,Data!$A$2:$D$3723,4,FALSE)</f>
        <v>2200000000</v>
      </c>
    </row>
    <row r="45" spans="2:35" hidden="1">
      <c r="B45" s="13">
        <v>44</v>
      </c>
      <c r="C45" s="13" t="s">
        <v>55</v>
      </c>
      <c r="D45" t="s">
        <v>5</v>
      </c>
      <c r="E45" t="s">
        <v>22</v>
      </c>
      <c r="F45">
        <v>1000</v>
      </c>
      <c r="G45" t="s">
        <v>17</v>
      </c>
      <c r="H45" s="5">
        <v>43831</v>
      </c>
      <c r="I45" s="5">
        <v>44562</v>
      </c>
      <c r="J45">
        <v>14</v>
      </c>
      <c r="K45">
        <v>9</v>
      </c>
      <c r="L45">
        <v>32</v>
      </c>
      <c r="M45">
        <v>68</v>
      </c>
      <c r="N45">
        <v>1000000</v>
      </c>
      <c r="O45">
        <f>VLOOKUP($B45&amp;O$1,Data!$A$2:$D$3723,4,FALSE)</f>
        <v>0.56145999999999996</v>
      </c>
      <c r="P45">
        <f>VLOOKUP($B45&amp;P$1,Data!$A$2:$D$3723,4,FALSE)</f>
        <v>1.2270000000000001</v>
      </c>
      <c r="Q45">
        <f>VLOOKUP($B45&amp;Q$1,Data!$A$2:$D$3723,4,FALSE)</f>
        <v>397</v>
      </c>
      <c r="R45">
        <f>VLOOKUP($B45&amp;R$1,Data!$A$2:$D$3723,4,FALSE)</f>
        <v>2.8400000000000002E-2</v>
      </c>
      <c r="S45">
        <f>VLOOKUP($B45&amp;S$1,Data!$A$2:$D$3723,4,FALSE)</f>
        <v>-2.1700000000000001E-2</v>
      </c>
      <c r="T45">
        <f>VLOOKUP($B45&amp;T$1,Data!$A$2:$D$3723,4,FALSE)</f>
        <v>0.18567</v>
      </c>
      <c r="U45">
        <f>VLOOKUP($B45&amp;U$1,Data!$A$2:$D$3723,4,FALSE)</f>
        <v>6.9000000000000006E-2</v>
      </c>
      <c r="V45">
        <f>VLOOKUP($B45&amp;V$1,Data!$A$2:$D$3723,4,FALSE)</f>
        <v>0.42299999999999999</v>
      </c>
      <c r="W45">
        <f>VLOOKUP($B45&amp;W$1,Data!$A$2:$D$3723,4,FALSE)</f>
        <v>0.11638999999999999</v>
      </c>
      <c r="X45">
        <f>VLOOKUP($B45&amp;X$1,Data!$A$2:$D$3723,4,FALSE)</f>
        <v>0.38</v>
      </c>
      <c r="Y45">
        <f>VLOOKUP($B45&amp;Y$1,Data!$A$2:$D$3723,4,FALSE)</f>
        <v>0.62</v>
      </c>
      <c r="Z45">
        <f>VLOOKUP($B45&amp;Z$1,Data!$A$2:$D$3723,4,FALSE)</f>
        <v>1.31</v>
      </c>
      <c r="AA45">
        <f>VLOOKUP($B45&amp;AA$1,Data!$A$2:$D$3723,4,FALSE)</f>
        <v>8.6999999999999994E-2</v>
      </c>
      <c r="AB45">
        <f>VLOOKUP($B45&amp;AB$1,Data!$A$2:$D$3723,4,FALSE)</f>
        <v>0.69499999999999995</v>
      </c>
      <c r="AC45">
        <f>VLOOKUP($B45&amp;AC$1,Data!$A$2:$D$3723,4,FALSE)</f>
        <v>0.107</v>
      </c>
      <c r="AD45">
        <f>VLOOKUP($B45&amp;AD$1,Data!$A$2:$D$3723,4,FALSE)</f>
        <v>1.2E-2</v>
      </c>
      <c r="AE45">
        <f>VLOOKUP($B45&amp;AE$1,Data!$A$2:$D$3723,4,FALSE)</f>
        <v>0.68799999999999994</v>
      </c>
      <c r="AF45">
        <f>VLOOKUP($B45&amp;AF$1,Data!$A$2:$D$3723,4,FALSE)</f>
        <v>9.9000000000000005E-2</v>
      </c>
      <c r="AG45">
        <f>VLOOKUP($B45&amp;AG$1,Data!$A$2:$D$3723,4,FALSE)</f>
        <v>0.189</v>
      </c>
      <c r="AH45">
        <f>VLOOKUP($B45&amp;AH$1,Data!$A$2:$D$3723,4,FALSE)</f>
        <v>0</v>
      </c>
      <c r="AI45">
        <f>VLOOKUP($B45&amp;AI$1,Data!$A$2:$D$3723,4,FALSE)</f>
        <v>250000000</v>
      </c>
    </row>
    <row r="46" spans="2:35" hidden="1">
      <c r="B46" s="13">
        <v>45</v>
      </c>
      <c r="C46" s="13" t="s">
        <v>55</v>
      </c>
      <c r="D46" t="s">
        <v>5</v>
      </c>
      <c r="E46" t="s">
        <v>22</v>
      </c>
      <c r="F46">
        <v>5000</v>
      </c>
      <c r="G46" t="s">
        <v>17</v>
      </c>
      <c r="H46" s="5">
        <v>43831</v>
      </c>
      <c r="I46" s="5">
        <v>44562</v>
      </c>
      <c r="J46">
        <v>14</v>
      </c>
      <c r="K46">
        <v>9</v>
      </c>
      <c r="L46">
        <v>32</v>
      </c>
      <c r="M46">
        <v>68</v>
      </c>
      <c r="N46">
        <v>1000000</v>
      </c>
      <c r="O46">
        <f>VLOOKUP($B46&amp;O$1,Data!$A$2:$D$3723,4,FALSE)</f>
        <v>0.60199000000000003</v>
      </c>
      <c r="P46">
        <f>VLOOKUP($B46&amp;P$1,Data!$A$2:$D$3723,4,FALSE)</f>
        <v>1.7250000000000001</v>
      </c>
      <c r="Q46">
        <f>VLOOKUP($B46&amp;Q$1,Data!$A$2:$D$3723,4,FALSE)</f>
        <v>397</v>
      </c>
      <c r="R46">
        <f>VLOOKUP($B46&amp;R$1,Data!$A$2:$D$3723,4,FALSE)</f>
        <v>0.1353</v>
      </c>
      <c r="S46">
        <f>VLOOKUP($B46&amp;S$1,Data!$A$2:$D$3723,4,FALSE)</f>
        <v>-9.1300000000000006E-2</v>
      </c>
      <c r="T46">
        <f>VLOOKUP($B46&amp;T$1,Data!$A$2:$D$3723,4,FALSE)</f>
        <v>1.0329299999999999</v>
      </c>
      <c r="U46">
        <f>VLOOKUP($B46&amp;U$1,Data!$A$2:$D$3723,4,FALSE)</f>
        <v>0.29799999999999999</v>
      </c>
      <c r="V46">
        <f>VLOOKUP($B46&amp;V$1,Data!$A$2:$D$3723,4,FALSE)</f>
        <v>0.52700000000000002</v>
      </c>
      <c r="W46">
        <f>VLOOKUP($B46&amp;W$1,Data!$A$2:$D$3723,4,FALSE)</f>
        <v>0.58194000000000001</v>
      </c>
      <c r="X46">
        <f>VLOOKUP($B46&amp;X$1,Data!$A$2:$D$3723,4,FALSE)</f>
        <v>0.38</v>
      </c>
      <c r="Y46">
        <f>VLOOKUP($B46&amp;Y$1,Data!$A$2:$D$3723,4,FALSE)</f>
        <v>0.62</v>
      </c>
      <c r="Z46">
        <f>VLOOKUP($B46&amp;Z$1,Data!$A$2:$D$3723,4,FALSE)</f>
        <v>1.48</v>
      </c>
      <c r="AA46">
        <f>VLOOKUP($B46&amp;AA$1,Data!$A$2:$D$3723,4,FALSE)</f>
        <v>0.627</v>
      </c>
      <c r="AB46">
        <f>VLOOKUP($B46&amp;AB$1,Data!$A$2:$D$3723,4,FALSE)</f>
        <v>3.202</v>
      </c>
      <c r="AC46">
        <f>VLOOKUP($B46&amp;AC$1,Data!$A$2:$D$3723,4,FALSE)</f>
        <v>0.48099999999999998</v>
      </c>
      <c r="AD46">
        <f>VLOOKUP($B46&amp;AD$1,Data!$A$2:$D$3723,4,FALSE)</f>
        <v>0.23200000000000001</v>
      </c>
      <c r="AE46">
        <f>VLOOKUP($B46&amp;AE$1,Data!$A$2:$D$3723,4,FALSE)</f>
        <v>1.6819999999999999</v>
      </c>
      <c r="AF46">
        <f>VLOOKUP($B46&amp;AF$1,Data!$A$2:$D$3723,4,FALSE)</f>
        <v>0.45600000000000002</v>
      </c>
      <c r="AG46">
        <f>VLOOKUP($B46&amp;AG$1,Data!$A$2:$D$3723,4,FALSE)</f>
        <v>0.25900000000000001</v>
      </c>
      <c r="AH46">
        <f>VLOOKUP($B46&amp;AH$1,Data!$A$2:$D$3723,4,FALSE)</f>
        <v>0</v>
      </c>
      <c r="AI46">
        <f>VLOOKUP($B46&amp;AI$1,Data!$A$2:$D$3723,4,FALSE)</f>
        <v>71000000</v>
      </c>
    </row>
    <row r="47" spans="2:35" hidden="1">
      <c r="B47" s="13">
        <v>46</v>
      </c>
      <c r="C47" s="13" t="s">
        <v>55</v>
      </c>
      <c r="D47" t="s">
        <v>5</v>
      </c>
      <c r="E47" t="s">
        <v>3</v>
      </c>
      <c r="F47">
        <v>100</v>
      </c>
      <c r="G47" t="s">
        <v>17</v>
      </c>
      <c r="H47" s="5">
        <v>43831</v>
      </c>
      <c r="I47" s="5">
        <v>44562</v>
      </c>
      <c r="J47">
        <v>14</v>
      </c>
      <c r="K47">
        <v>9</v>
      </c>
      <c r="L47">
        <v>28</v>
      </c>
      <c r="M47">
        <v>72</v>
      </c>
      <c r="N47">
        <v>1000000</v>
      </c>
      <c r="O47">
        <f>VLOOKUP($B47&amp;O$1,Data!$A$2:$D$3723,4,FALSE)</f>
        <v>4.299E-2</v>
      </c>
      <c r="P47">
        <f>VLOOKUP($B47&amp;P$1,Data!$A$2:$D$3723,4,FALSE)</f>
        <v>-0.77200000000000002</v>
      </c>
      <c r="Q47">
        <f>VLOOKUP($B47&amp;Q$1,Data!$A$2:$D$3723,4,FALSE)</f>
        <v>603</v>
      </c>
      <c r="R47">
        <f>VLOOKUP($B47&amp;R$1,Data!$A$2:$D$3723,4,FALSE)</f>
        <v>1E-3</v>
      </c>
      <c r="S47">
        <f>VLOOKUP($B47&amp;S$1,Data!$A$2:$D$3723,4,FALSE)</f>
        <v>-1.5E-3</v>
      </c>
      <c r="T47">
        <f>VLOOKUP($B47&amp;T$1,Data!$A$2:$D$3723,4,FALSE)</f>
        <v>-8.2699999999999996E-3</v>
      </c>
      <c r="U47">
        <f>VLOOKUP($B47&amp;U$1,Data!$A$2:$D$3723,4,FALSE)</f>
        <v>1.0999999999999999E-2</v>
      </c>
      <c r="V47">
        <f>VLOOKUP($B47&amp;V$1,Data!$A$2:$D$3723,4,FALSE)</f>
        <v>-0.17199999999999999</v>
      </c>
      <c r="W47">
        <f>VLOOKUP($B47&amp;W$1,Data!$A$2:$D$3723,4,FALSE)</f>
        <v>-5.3299999999999997E-3</v>
      </c>
      <c r="X47">
        <f>VLOOKUP($B47&amp;X$1,Data!$A$2:$D$3723,4,FALSE)</f>
        <v>0.5</v>
      </c>
      <c r="Y47">
        <f>VLOOKUP($B47&amp;Y$1,Data!$A$2:$D$3723,4,FALSE)</f>
        <v>0.5</v>
      </c>
      <c r="Z47">
        <f>VLOOKUP($B47&amp;Z$1,Data!$A$2:$D$3723,4,FALSE)</f>
        <v>0.66</v>
      </c>
      <c r="AA47">
        <f>VLOOKUP($B47&amp;AA$1,Data!$A$2:$D$3723,4,FALSE)</f>
        <v>-7.0000000000000001E-3</v>
      </c>
      <c r="AB47">
        <f>VLOOKUP($B47&amp;AB$1,Data!$A$2:$D$3723,4,FALSE)</f>
        <v>2.7E-2</v>
      </c>
      <c r="AC47">
        <f>VLOOKUP($B47&amp;AC$1,Data!$A$2:$D$3723,4,FALSE)</f>
        <v>7.0000000000000001E-3</v>
      </c>
      <c r="AD47">
        <f>VLOOKUP($B47&amp;AD$1,Data!$A$2:$D$3723,4,FALSE)</f>
        <v>0</v>
      </c>
      <c r="AE47">
        <f>VLOOKUP($B47&amp;AE$1,Data!$A$2:$D$3723,4,FALSE)</f>
        <v>-1.0660000000000001</v>
      </c>
      <c r="AF47">
        <f>VLOOKUP($B47&amp;AF$1,Data!$A$2:$D$3723,4,FALSE)</f>
        <v>6.5000000000000002E-2</v>
      </c>
      <c r="AG47">
        <f>VLOOKUP($B47&amp;AG$1,Data!$A$2:$D$3723,4,FALSE)</f>
        <v>-0.21299999999999999</v>
      </c>
      <c r="AH47">
        <f>VLOOKUP($B47&amp;AH$1,Data!$A$2:$D$3723,4,FALSE)</f>
        <v>0</v>
      </c>
      <c r="AI47">
        <f>VLOOKUP($B47&amp;AI$1,Data!$A$2:$D$3723,4,FALSE)</f>
        <v>7700000000</v>
      </c>
    </row>
    <row r="48" spans="2:35" hidden="1">
      <c r="B48" s="13">
        <v>47</v>
      </c>
      <c r="C48" s="13" t="s">
        <v>55</v>
      </c>
      <c r="D48" t="s">
        <v>5</v>
      </c>
      <c r="E48" t="s">
        <v>3</v>
      </c>
      <c r="F48">
        <v>1000</v>
      </c>
      <c r="G48" t="s">
        <v>17</v>
      </c>
      <c r="H48" s="5">
        <v>43831</v>
      </c>
      <c r="I48" s="5">
        <v>44562</v>
      </c>
      <c r="J48">
        <v>14</v>
      </c>
      <c r="K48">
        <v>9</v>
      </c>
      <c r="L48">
        <v>28</v>
      </c>
      <c r="M48">
        <v>72</v>
      </c>
      <c r="N48">
        <v>1000000</v>
      </c>
      <c r="O48">
        <f>VLOOKUP($B48&amp;O$1,Data!$A$2:$D$3723,4,FALSE)</f>
        <v>4.675E-2</v>
      </c>
      <c r="P48">
        <f>VLOOKUP($B48&amp;P$1,Data!$A$2:$D$3723,4,FALSE)</f>
        <v>-0.71599999999999997</v>
      </c>
      <c r="Q48">
        <f>VLOOKUP($B48&amp;Q$1,Data!$A$2:$D$3723,4,FALSE)</f>
        <v>603</v>
      </c>
      <c r="R48">
        <f>VLOOKUP($B48&amp;R$1,Data!$A$2:$D$3723,4,FALSE)</f>
        <v>1.06E-2</v>
      </c>
      <c r="S48">
        <f>VLOOKUP($B48&amp;S$1,Data!$A$2:$D$3723,4,FALSE)</f>
        <v>-1.5800000000000002E-2</v>
      </c>
      <c r="T48">
        <f>VLOOKUP($B48&amp;T$1,Data!$A$2:$D$3723,4,FALSE)</f>
        <v>-8.1600000000000006E-2</v>
      </c>
      <c r="U48">
        <f>VLOOKUP($B48&amp;U$1,Data!$A$2:$D$3723,4,FALSE)</f>
        <v>0.108</v>
      </c>
      <c r="V48">
        <f>VLOOKUP($B48&amp;V$1,Data!$A$2:$D$3723,4,FALSE)</f>
        <v>-0.16500000000000001</v>
      </c>
      <c r="W48">
        <f>VLOOKUP($B48&amp;W$1,Data!$A$2:$D$3723,4,FALSE)</f>
        <v>-5.3319999999999999E-2</v>
      </c>
      <c r="X48">
        <f>VLOOKUP($B48&amp;X$1,Data!$A$2:$D$3723,4,FALSE)</f>
        <v>0.5</v>
      </c>
      <c r="Y48">
        <f>VLOOKUP($B48&amp;Y$1,Data!$A$2:$D$3723,4,FALSE)</f>
        <v>0.5</v>
      </c>
      <c r="Z48">
        <f>VLOOKUP($B48&amp;Z$1,Data!$A$2:$D$3723,4,FALSE)</f>
        <v>0.67</v>
      </c>
      <c r="AA48">
        <f>VLOOKUP($B48&amp;AA$1,Data!$A$2:$D$3723,4,FALSE)</f>
        <v>-7.1999999999999995E-2</v>
      </c>
      <c r="AB48">
        <f>VLOOKUP($B48&amp;AB$1,Data!$A$2:$D$3723,4,FALSE)</f>
        <v>0.27900000000000003</v>
      </c>
      <c r="AC48">
        <f>VLOOKUP($B48&amp;AC$1,Data!$A$2:$D$3723,4,FALSE)</f>
        <v>7.5999999999999998E-2</v>
      </c>
      <c r="AD48">
        <f>VLOOKUP($B48&amp;AD$1,Data!$A$2:$D$3723,4,FALSE)</f>
        <v>6.0000000000000001E-3</v>
      </c>
      <c r="AE48">
        <f>VLOOKUP($B48&amp;AE$1,Data!$A$2:$D$3723,4,FALSE)</f>
        <v>-1.343</v>
      </c>
      <c r="AF48">
        <f>VLOOKUP($B48&amp;AF$1,Data!$A$2:$D$3723,4,FALSE)</f>
        <v>8.7999999999999995E-2</v>
      </c>
      <c r="AG48">
        <f>VLOOKUP($B48&amp;AG$1,Data!$A$2:$D$3723,4,FALSE)</f>
        <v>-0.19600000000000001</v>
      </c>
      <c r="AH48">
        <f>VLOOKUP($B48&amp;AH$1,Data!$A$2:$D$3723,4,FALSE)</f>
        <v>0</v>
      </c>
      <c r="AI48">
        <f>VLOOKUP($B48&amp;AI$1,Data!$A$2:$D$3723,4,FALSE)</f>
        <v>730000000</v>
      </c>
    </row>
    <row r="49" spans="2:35" hidden="1">
      <c r="B49" s="13">
        <v>48</v>
      </c>
      <c r="C49" s="13" t="s">
        <v>55</v>
      </c>
      <c r="D49" t="s">
        <v>5</v>
      </c>
      <c r="E49" t="s">
        <v>3</v>
      </c>
      <c r="F49">
        <v>5000</v>
      </c>
      <c r="G49" t="s">
        <v>17</v>
      </c>
      <c r="H49" s="5">
        <v>43831</v>
      </c>
      <c r="I49" s="5">
        <v>44562</v>
      </c>
      <c r="J49">
        <v>14</v>
      </c>
      <c r="K49">
        <v>9</v>
      </c>
      <c r="L49">
        <v>28</v>
      </c>
      <c r="M49">
        <v>72</v>
      </c>
      <c r="N49">
        <v>1000000</v>
      </c>
      <c r="O49">
        <f>VLOOKUP($B49&amp;O$1,Data!$A$2:$D$3723,4,FALSE)</f>
        <v>7.4310000000000001E-2</v>
      </c>
      <c r="P49">
        <f>VLOOKUP($B49&amp;P$1,Data!$A$2:$D$3723,4,FALSE)</f>
        <v>-0.45100000000000001</v>
      </c>
      <c r="Q49">
        <f>VLOOKUP($B49&amp;Q$1,Data!$A$2:$D$3723,4,FALSE)</f>
        <v>603</v>
      </c>
      <c r="R49">
        <f>VLOOKUP($B49&amp;R$1,Data!$A$2:$D$3723,4,FALSE)</f>
        <v>6.9500000000000006E-2</v>
      </c>
      <c r="S49">
        <f>VLOOKUP($B49&amp;S$1,Data!$A$2:$D$3723,4,FALSE)</f>
        <v>-9.1600000000000001E-2</v>
      </c>
      <c r="T49">
        <f>VLOOKUP($B49&amp;T$1,Data!$A$2:$D$3723,4,FALSE)</f>
        <v>-0.38225999999999999</v>
      </c>
      <c r="U49">
        <f>VLOOKUP($B49&amp;U$1,Data!$A$2:$D$3723,4,FALSE)</f>
        <v>0.498</v>
      </c>
      <c r="V49">
        <f>VLOOKUP($B49&amp;V$1,Data!$A$2:$D$3723,4,FALSE)</f>
        <v>-0.121</v>
      </c>
      <c r="W49">
        <f>VLOOKUP($B49&amp;W$1,Data!$A$2:$D$3723,4,FALSE)</f>
        <v>-0.26661000000000001</v>
      </c>
      <c r="X49">
        <f>VLOOKUP($B49&amp;X$1,Data!$A$2:$D$3723,4,FALSE)</f>
        <v>0.5</v>
      </c>
      <c r="Y49">
        <f>VLOOKUP($B49&amp;Y$1,Data!$A$2:$D$3723,4,FALSE)</f>
        <v>0.5</v>
      </c>
      <c r="Z49">
        <f>VLOOKUP($B49&amp;Z$1,Data!$A$2:$D$3723,4,FALSE)</f>
        <v>0.76</v>
      </c>
      <c r="AA49">
        <f>VLOOKUP($B49&amp;AA$1,Data!$A$2:$D$3723,4,FALSE)</f>
        <v>-0.315</v>
      </c>
      <c r="AB49">
        <f>VLOOKUP($B49&amp;AB$1,Data!$A$2:$D$3723,4,FALSE)</f>
        <v>1.7090000000000001</v>
      </c>
      <c r="AC49">
        <f>VLOOKUP($B49&amp;AC$1,Data!$A$2:$D$3723,4,FALSE)</f>
        <v>0.45500000000000002</v>
      </c>
      <c r="AD49">
        <f>VLOOKUP($B49&amp;AD$1,Data!$A$2:$D$3723,4,FALSE)</f>
        <v>0.20699999999999999</v>
      </c>
      <c r="AE49">
        <f>VLOOKUP($B49&amp;AE$1,Data!$A$2:$D$3723,4,FALSE)</f>
        <v>-0.60799999999999998</v>
      </c>
      <c r="AF49">
        <f>VLOOKUP($B49&amp;AF$1,Data!$A$2:$D$3723,4,FALSE)</f>
        <v>0.443</v>
      </c>
      <c r="AG49">
        <f>VLOOKUP($B49&amp;AG$1,Data!$A$2:$D$3723,4,FALSE)</f>
        <v>-0.12</v>
      </c>
      <c r="AH49">
        <f>VLOOKUP($B49&amp;AH$1,Data!$A$2:$D$3723,4,FALSE)</f>
        <v>0</v>
      </c>
      <c r="AI49">
        <f>VLOOKUP($B49&amp;AI$1,Data!$A$2:$D$3723,4,FALSE)</f>
        <v>110000000</v>
      </c>
    </row>
    <row r="50" spans="2:35" hidden="1">
      <c r="B50" s="13">
        <v>49</v>
      </c>
      <c r="C50" s="13" t="s">
        <v>55</v>
      </c>
      <c r="D50" t="s">
        <v>5</v>
      </c>
      <c r="E50" t="s">
        <v>2</v>
      </c>
      <c r="F50">
        <v>100</v>
      </c>
      <c r="G50" t="s">
        <v>17</v>
      </c>
      <c r="H50" s="5">
        <v>43831</v>
      </c>
      <c r="I50" s="5">
        <v>44562</v>
      </c>
      <c r="J50">
        <v>14</v>
      </c>
      <c r="K50">
        <v>9</v>
      </c>
      <c r="L50">
        <v>28</v>
      </c>
      <c r="M50">
        <v>72</v>
      </c>
      <c r="N50">
        <v>1000000</v>
      </c>
      <c r="O50">
        <f>VLOOKUP($B50&amp;O$1,Data!$A$2:$D$3723,4,FALSE)</f>
        <v>0.32308999999999999</v>
      </c>
      <c r="P50">
        <f>VLOOKUP($B50&amp;P$1,Data!$A$2:$D$3723,4,FALSE)</f>
        <v>0.52</v>
      </c>
      <c r="Q50">
        <f>VLOOKUP($B50&amp;Q$1,Data!$A$2:$D$3723,4,FALSE)</f>
        <v>354</v>
      </c>
      <c r="R50">
        <f>VLOOKUP($B50&amp;R$1,Data!$A$2:$D$3723,4,FALSE)</f>
        <v>3.0000000000000001E-3</v>
      </c>
      <c r="S50">
        <f>VLOOKUP($B50&amp;S$1,Data!$A$2:$D$3723,4,FALSE)</f>
        <v>-1.1000000000000001E-3</v>
      </c>
      <c r="T50">
        <f>VLOOKUP($B50&amp;T$1,Data!$A$2:$D$3723,4,FALSE)</f>
        <v>6.2199999999999998E-3</v>
      </c>
      <c r="U50">
        <f>VLOOKUP($B50&amp;U$1,Data!$A$2:$D$3723,4,FALSE)</f>
        <v>8.0000000000000002E-3</v>
      </c>
      <c r="V50">
        <f>VLOOKUP($B50&amp;V$1,Data!$A$2:$D$3723,4,FALSE)</f>
        <v>0.38500000000000001</v>
      </c>
      <c r="W50">
        <f>VLOOKUP($B50&amp;W$1,Data!$A$2:$D$3723,4,FALSE)</f>
        <v>4.0000000000000001E-3</v>
      </c>
      <c r="X50">
        <f>VLOOKUP($B50&amp;X$1,Data!$A$2:$D$3723,4,FALSE)</f>
        <v>0.64</v>
      </c>
      <c r="Y50">
        <f>VLOOKUP($B50&amp;Y$1,Data!$A$2:$D$3723,4,FALSE)</f>
        <v>0.36</v>
      </c>
      <c r="Z50">
        <f>VLOOKUP($B50&amp;Z$1,Data!$A$2:$D$3723,4,FALSE)</f>
        <v>2.81</v>
      </c>
      <c r="AA50">
        <f>VLOOKUP($B50&amp;AA$1,Data!$A$2:$D$3723,4,FALSE)</f>
        <v>2E-3</v>
      </c>
      <c r="AB50">
        <f>VLOOKUP($B50&amp;AB$1,Data!$A$2:$D$3723,4,FALSE)</f>
        <v>3.2000000000000001E-2</v>
      </c>
      <c r="AC50">
        <f>VLOOKUP($B50&amp;AC$1,Data!$A$2:$D$3723,4,FALSE)</f>
        <v>8.0000000000000002E-3</v>
      </c>
      <c r="AD50">
        <f>VLOOKUP($B50&amp;AD$1,Data!$A$2:$D$3723,4,FALSE)</f>
        <v>0</v>
      </c>
      <c r="AE50">
        <f>VLOOKUP($B50&amp;AE$1,Data!$A$2:$D$3723,4,FALSE)</f>
        <v>-0.91400000000000003</v>
      </c>
      <c r="AF50">
        <f>VLOOKUP($B50&amp;AF$1,Data!$A$2:$D$3723,4,FALSE)</f>
        <v>6.5000000000000002E-2</v>
      </c>
      <c r="AG50">
        <f>VLOOKUP($B50&amp;AG$1,Data!$A$2:$D$3723,4,FALSE)</f>
        <v>0.13500000000000001</v>
      </c>
      <c r="AH50">
        <f>VLOOKUP($B50&amp;AH$1,Data!$A$2:$D$3723,4,FALSE)</f>
        <v>0</v>
      </c>
      <c r="AI50">
        <f>VLOOKUP($B50&amp;AI$1,Data!$A$2:$D$3723,4,FALSE)</f>
        <v>190000000</v>
      </c>
    </row>
    <row r="51" spans="2:35" hidden="1">
      <c r="B51" s="13">
        <v>50</v>
      </c>
      <c r="C51" s="13" t="s">
        <v>55</v>
      </c>
      <c r="D51" t="s">
        <v>5</v>
      </c>
      <c r="E51" t="s">
        <v>2</v>
      </c>
      <c r="F51">
        <v>1000</v>
      </c>
      <c r="G51" t="s">
        <v>17</v>
      </c>
      <c r="H51" s="5">
        <v>43831</v>
      </c>
      <c r="I51" s="5">
        <v>44562</v>
      </c>
      <c r="J51">
        <v>14</v>
      </c>
      <c r="K51">
        <v>9</v>
      </c>
      <c r="L51">
        <v>28</v>
      </c>
      <c r="M51">
        <v>72</v>
      </c>
      <c r="N51">
        <v>1000000</v>
      </c>
      <c r="O51">
        <f>VLOOKUP($B51&amp;O$1,Data!$A$2:$D$3723,4,FALSE)</f>
        <v>0.33534000000000003</v>
      </c>
      <c r="P51">
        <f>VLOOKUP($B51&amp;P$1,Data!$A$2:$D$3723,4,FALSE)</f>
        <v>0.56699999999999995</v>
      </c>
      <c r="Q51">
        <f>VLOOKUP($B51&amp;Q$1,Data!$A$2:$D$3723,4,FALSE)</f>
        <v>354</v>
      </c>
      <c r="R51">
        <f>VLOOKUP($B51&amp;R$1,Data!$A$2:$D$3723,4,FALSE)</f>
        <v>0.03</v>
      </c>
      <c r="S51">
        <f>VLOOKUP($B51&amp;S$1,Data!$A$2:$D$3723,4,FALSE)</f>
        <v>-1.0500000000000001E-2</v>
      </c>
      <c r="T51">
        <f>VLOOKUP($B51&amp;T$1,Data!$A$2:$D$3723,4,FALSE)</f>
        <v>6.2799999999999995E-2</v>
      </c>
      <c r="U51">
        <f>VLOOKUP($B51&amp;U$1,Data!$A$2:$D$3723,4,FALSE)</f>
        <v>7.5999999999999998E-2</v>
      </c>
      <c r="V51">
        <f>VLOOKUP($B51&amp;V$1,Data!$A$2:$D$3723,4,FALSE)</f>
        <v>0.40400000000000003</v>
      </c>
      <c r="W51">
        <f>VLOOKUP($B51&amp;W$1,Data!$A$2:$D$3723,4,FALSE)</f>
        <v>3.9989999999999998E-2</v>
      </c>
      <c r="X51">
        <f>VLOOKUP($B51&amp;X$1,Data!$A$2:$D$3723,4,FALSE)</f>
        <v>0.64</v>
      </c>
      <c r="Y51">
        <f>VLOOKUP($B51&amp;Y$1,Data!$A$2:$D$3723,4,FALSE)</f>
        <v>0.36</v>
      </c>
      <c r="Z51">
        <f>VLOOKUP($B51&amp;Z$1,Data!$A$2:$D$3723,4,FALSE)</f>
        <v>2.86</v>
      </c>
      <c r="AA51">
        <f>VLOOKUP($B51&amp;AA$1,Data!$A$2:$D$3723,4,FALSE)</f>
        <v>2.7E-2</v>
      </c>
      <c r="AB51">
        <f>VLOOKUP($B51&amp;AB$1,Data!$A$2:$D$3723,4,FALSE)</f>
        <v>0.312</v>
      </c>
      <c r="AC51">
        <f>VLOOKUP($B51&amp;AC$1,Data!$A$2:$D$3723,4,FALSE)</f>
        <v>8.2000000000000003E-2</v>
      </c>
      <c r="AD51">
        <f>VLOOKUP($B51&amp;AD$1,Data!$A$2:$D$3723,4,FALSE)</f>
        <v>7.0000000000000001E-3</v>
      </c>
      <c r="AE51">
        <f>VLOOKUP($B51&amp;AE$1,Data!$A$2:$D$3723,4,FALSE)</f>
        <v>-0.189</v>
      </c>
      <c r="AF51">
        <f>VLOOKUP($B51&amp;AF$1,Data!$A$2:$D$3723,4,FALSE)</f>
        <v>9.1999999999999998E-2</v>
      </c>
      <c r="AG51">
        <f>VLOOKUP($B51&amp;AG$1,Data!$A$2:$D$3723,4,FALSE)</f>
        <v>0.14899999999999999</v>
      </c>
      <c r="AH51">
        <f>VLOOKUP($B51&amp;AH$1,Data!$A$2:$D$3723,4,FALSE)</f>
        <v>0</v>
      </c>
      <c r="AI51">
        <f>VLOOKUP($B51&amp;AI$1,Data!$A$2:$D$3723,4,FALSE)</f>
        <v>20000000</v>
      </c>
    </row>
    <row r="52" spans="2:35" hidden="1">
      <c r="B52" s="13">
        <v>51</v>
      </c>
      <c r="C52" s="13" t="s">
        <v>55</v>
      </c>
      <c r="D52" t="s">
        <v>5</v>
      </c>
      <c r="E52" t="s">
        <v>2</v>
      </c>
      <c r="F52">
        <v>5000</v>
      </c>
      <c r="G52" t="s">
        <v>17</v>
      </c>
      <c r="H52" s="5">
        <v>43831</v>
      </c>
      <c r="I52" s="5">
        <v>44562</v>
      </c>
      <c r="J52">
        <v>14</v>
      </c>
      <c r="K52">
        <v>9</v>
      </c>
      <c r="L52">
        <v>28</v>
      </c>
      <c r="M52">
        <v>72</v>
      </c>
      <c r="N52">
        <v>1000000</v>
      </c>
      <c r="O52">
        <f>VLOOKUP($B52&amp;O$1,Data!$A$2:$D$3723,4,FALSE)</f>
        <v>0.38490999999999997</v>
      </c>
      <c r="P52">
        <f>VLOOKUP($B52&amp;P$1,Data!$A$2:$D$3723,4,FALSE)</f>
        <v>0.8</v>
      </c>
      <c r="Q52">
        <f>VLOOKUP($B52&amp;Q$1,Data!$A$2:$D$3723,4,FALSE)</f>
        <v>354</v>
      </c>
      <c r="R52">
        <f>VLOOKUP($B52&amp;R$1,Data!$A$2:$D$3723,4,FALSE)</f>
        <v>0.16220000000000001</v>
      </c>
      <c r="S52">
        <f>VLOOKUP($B52&amp;S$1,Data!$A$2:$D$3723,4,FALSE)</f>
        <v>-5.1900000000000002E-2</v>
      </c>
      <c r="T52">
        <f>VLOOKUP($B52&amp;T$1,Data!$A$2:$D$3723,4,FALSE)</f>
        <v>0.32729999999999998</v>
      </c>
      <c r="U52">
        <f>VLOOKUP($B52&amp;U$1,Data!$A$2:$D$3723,4,FALSE)</f>
        <v>0.33200000000000002</v>
      </c>
      <c r="V52">
        <f>VLOOKUP($B52&amp;V$1,Data!$A$2:$D$3723,4,FALSE)</f>
        <v>0.5</v>
      </c>
      <c r="W52">
        <f>VLOOKUP($B52&amp;W$1,Data!$A$2:$D$3723,4,FALSE)</f>
        <v>0.19993</v>
      </c>
      <c r="X52">
        <f>VLOOKUP($B52&amp;X$1,Data!$A$2:$D$3723,4,FALSE)</f>
        <v>0.64</v>
      </c>
      <c r="Y52">
        <f>VLOOKUP($B52&amp;Y$1,Data!$A$2:$D$3723,4,FALSE)</f>
        <v>0.36</v>
      </c>
      <c r="Z52">
        <f>VLOOKUP($B52&amp;Z$1,Data!$A$2:$D$3723,4,FALSE)</f>
        <v>3.12</v>
      </c>
      <c r="AA52">
        <f>VLOOKUP($B52&amp;AA$1,Data!$A$2:$D$3723,4,FALSE)</f>
        <v>0.22500000000000001</v>
      </c>
      <c r="AB52">
        <f>VLOOKUP($B52&amp;AB$1,Data!$A$2:$D$3723,4,FALSE)</f>
        <v>1.387</v>
      </c>
      <c r="AC52">
        <f>VLOOKUP($B52&amp;AC$1,Data!$A$2:$D$3723,4,FALSE)</f>
        <v>0.39200000000000002</v>
      </c>
      <c r="AD52">
        <f>VLOOKUP($B52&amp;AD$1,Data!$A$2:$D$3723,4,FALSE)</f>
        <v>0.153</v>
      </c>
      <c r="AE52">
        <f>VLOOKUP($B52&amp;AE$1,Data!$A$2:$D$3723,4,FALSE)</f>
        <v>0.65400000000000003</v>
      </c>
      <c r="AF52">
        <f>VLOOKUP($B52&amp;AF$1,Data!$A$2:$D$3723,4,FALSE)</f>
        <v>0.38100000000000001</v>
      </c>
      <c r="AG52">
        <f>VLOOKUP($B52&amp;AG$1,Data!$A$2:$D$3723,4,FALSE)</f>
        <v>0.22600000000000001</v>
      </c>
      <c r="AH52">
        <f>VLOOKUP($B52&amp;AH$1,Data!$A$2:$D$3723,4,FALSE)</f>
        <v>0</v>
      </c>
      <c r="AI52">
        <f>VLOOKUP($B52&amp;AI$1,Data!$A$2:$D$3723,4,FALSE)</f>
        <v>5100000</v>
      </c>
    </row>
    <row r="53" spans="2:35" hidden="1">
      <c r="B53" s="13">
        <v>52</v>
      </c>
      <c r="C53" s="13" t="s">
        <v>55</v>
      </c>
      <c r="D53" t="s">
        <v>5</v>
      </c>
      <c r="E53" t="s">
        <v>22</v>
      </c>
      <c r="F53">
        <v>100</v>
      </c>
      <c r="G53" t="s">
        <v>17</v>
      </c>
      <c r="H53" s="5">
        <v>43831</v>
      </c>
      <c r="I53" s="5">
        <v>44562</v>
      </c>
      <c r="J53">
        <v>14</v>
      </c>
      <c r="K53">
        <v>9</v>
      </c>
      <c r="L53">
        <v>28</v>
      </c>
      <c r="M53">
        <v>72</v>
      </c>
      <c r="N53">
        <v>1000000</v>
      </c>
      <c r="O53">
        <f>VLOOKUP($B53&amp;O$1,Data!$A$2:$D$3723,4,FALSE)</f>
        <v>7.9399999999999991E-3</v>
      </c>
      <c r="P53">
        <f>VLOOKUP($B53&amp;P$1,Data!$A$2:$D$3723,4,FALSE)</f>
        <v>-1.3</v>
      </c>
      <c r="Q53">
        <f>VLOOKUP($B53&amp;Q$1,Data!$A$2:$D$3723,4,FALSE)</f>
        <v>241</v>
      </c>
      <c r="R53">
        <f>VLOOKUP($B53&amp;R$1,Data!$A$2:$D$3723,4,FALSE)</f>
        <v>2.2000000000000001E-3</v>
      </c>
      <c r="S53">
        <f>VLOOKUP($B53&amp;S$1,Data!$A$2:$D$3723,4,FALSE)</f>
        <v>-2.5000000000000001E-3</v>
      </c>
      <c r="T53">
        <f>VLOOKUP($B53&amp;T$1,Data!$A$2:$D$3723,4,FALSE)</f>
        <v>-2.4E-2</v>
      </c>
      <c r="U53">
        <f>VLOOKUP($B53&amp;U$1,Data!$A$2:$D$3723,4,FALSE)</f>
        <v>1.9E-2</v>
      </c>
      <c r="V53">
        <f>VLOOKUP($B53&amp;V$1,Data!$A$2:$D$3723,4,FALSE)</f>
        <v>-0.76500000000000001</v>
      </c>
      <c r="W53">
        <f>VLOOKUP($B53&amp;W$1,Data!$A$2:$D$3723,4,FALSE)</f>
        <v>-1.5509999999999999E-2</v>
      </c>
      <c r="X53">
        <f>VLOOKUP($B53&amp;X$1,Data!$A$2:$D$3723,4,FALSE)</f>
        <v>0.88</v>
      </c>
      <c r="Y53">
        <f>VLOOKUP($B53&amp;Y$1,Data!$A$2:$D$3723,4,FALSE)</f>
        <v>0.12</v>
      </c>
      <c r="Z53">
        <f>VLOOKUP($B53&amp;Z$1,Data!$A$2:$D$3723,4,FALSE)</f>
        <v>0.88</v>
      </c>
      <c r="AA53">
        <f>VLOOKUP($B53&amp;AA$1,Data!$A$2:$D$3723,4,FALSE)</f>
        <v>-2.1999999999999999E-2</v>
      </c>
      <c r="AB53">
        <f>VLOOKUP($B53&amp;AB$1,Data!$A$2:$D$3723,4,FALSE)</f>
        <v>8.2000000000000003E-2</v>
      </c>
      <c r="AC53">
        <f>VLOOKUP($B53&amp;AC$1,Data!$A$2:$D$3723,4,FALSE)</f>
        <v>1.2999999999999999E-2</v>
      </c>
      <c r="AD53">
        <f>VLOOKUP($B53&amp;AD$1,Data!$A$2:$D$3723,4,FALSE)</f>
        <v>0</v>
      </c>
      <c r="AE53">
        <f>VLOOKUP($B53&amp;AE$1,Data!$A$2:$D$3723,4,FALSE)</f>
        <v>-1.29</v>
      </c>
      <c r="AF53">
        <f>VLOOKUP($B53&amp;AF$1,Data!$A$2:$D$3723,4,FALSE)</f>
        <v>6.2E-2</v>
      </c>
      <c r="AG53">
        <f>VLOOKUP($B53&amp;AG$1,Data!$A$2:$D$3723,4,FALSE)</f>
        <v>-0.20300000000000001</v>
      </c>
      <c r="AH53">
        <f>VLOOKUP($B53&amp;AH$1,Data!$A$2:$D$3723,4,FALSE)</f>
        <v>0</v>
      </c>
      <c r="AI53">
        <f>VLOOKUP($B53&amp;AI$1,Data!$A$2:$D$3723,4,FALSE)</f>
        <v>45000000000</v>
      </c>
    </row>
    <row r="54" spans="2:35" hidden="1">
      <c r="B54" s="13">
        <v>53</v>
      </c>
      <c r="C54" s="13" t="s">
        <v>55</v>
      </c>
      <c r="D54" t="s">
        <v>5</v>
      </c>
      <c r="E54" t="s">
        <v>22</v>
      </c>
      <c r="F54">
        <v>1000</v>
      </c>
      <c r="G54" t="s">
        <v>17</v>
      </c>
      <c r="H54" s="5">
        <v>43831</v>
      </c>
      <c r="I54" s="5">
        <v>44562</v>
      </c>
      <c r="J54">
        <v>14</v>
      </c>
      <c r="K54">
        <v>9</v>
      </c>
      <c r="L54">
        <v>28</v>
      </c>
      <c r="M54">
        <v>72</v>
      </c>
      <c r="N54">
        <v>1000000</v>
      </c>
      <c r="O54">
        <f>VLOOKUP($B54&amp;O$1,Data!$A$2:$D$3723,4,FALSE)</f>
        <v>9.8899999999999995E-3</v>
      </c>
      <c r="P54">
        <f>VLOOKUP($B54&amp;P$1,Data!$A$2:$D$3723,4,FALSE)</f>
        <v>-1.157</v>
      </c>
      <c r="Q54">
        <f>VLOOKUP($B54&amp;Q$1,Data!$A$2:$D$3723,4,FALSE)</f>
        <v>241</v>
      </c>
      <c r="R54">
        <f>VLOOKUP($B54&amp;R$1,Data!$A$2:$D$3723,4,FALSE)</f>
        <v>2.5700000000000001E-2</v>
      </c>
      <c r="S54">
        <f>VLOOKUP($B54&amp;S$1,Data!$A$2:$D$3723,4,FALSE)</f>
        <v>-2.7099999999999999E-2</v>
      </c>
      <c r="T54">
        <f>VLOOKUP($B54&amp;T$1,Data!$A$2:$D$3723,4,FALSE)</f>
        <v>-0.23042000000000001</v>
      </c>
      <c r="U54">
        <f>VLOOKUP($B54&amp;U$1,Data!$A$2:$D$3723,4,FALSE)</f>
        <v>0.18099999999999999</v>
      </c>
      <c r="V54">
        <f>VLOOKUP($B54&amp;V$1,Data!$A$2:$D$3723,4,FALSE)</f>
        <v>-0.75700000000000001</v>
      </c>
      <c r="W54">
        <f>VLOOKUP($B54&amp;W$1,Data!$A$2:$D$3723,4,FALSE)</f>
        <v>-0.15515000000000001</v>
      </c>
      <c r="X54">
        <f>VLOOKUP($B54&amp;X$1,Data!$A$2:$D$3723,4,FALSE)</f>
        <v>0.88</v>
      </c>
      <c r="Y54">
        <f>VLOOKUP($B54&amp;Y$1,Data!$A$2:$D$3723,4,FALSE)</f>
        <v>0.12</v>
      </c>
      <c r="Z54">
        <f>VLOOKUP($B54&amp;Z$1,Data!$A$2:$D$3723,4,FALSE)</f>
        <v>0.95</v>
      </c>
      <c r="AA54">
        <f>VLOOKUP($B54&amp;AA$1,Data!$A$2:$D$3723,4,FALSE)</f>
        <v>-0.215</v>
      </c>
      <c r="AB54">
        <f>VLOOKUP($B54&amp;AB$1,Data!$A$2:$D$3723,4,FALSE)</f>
        <v>0.88500000000000001</v>
      </c>
      <c r="AC54">
        <f>VLOOKUP($B54&amp;AC$1,Data!$A$2:$D$3723,4,FALSE)</f>
        <v>0.13700000000000001</v>
      </c>
      <c r="AD54">
        <f>VLOOKUP($B54&amp;AD$1,Data!$A$2:$D$3723,4,FALSE)</f>
        <v>1.9E-2</v>
      </c>
      <c r="AE54">
        <f>VLOOKUP($B54&amp;AE$1,Data!$A$2:$D$3723,4,FALSE)</f>
        <v>-1.8</v>
      </c>
      <c r="AF54">
        <f>VLOOKUP($B54&amp;AF$1,Data!$A$2:$D$3723,4,FALSE)</f>
        <v>0.123</v>
      </c>
      <c r="AG54">
        <f>VLOOKUP($B54&amp;AG$1,Data!$A$2:$D$3723,4,FALSE)</f>
        <v>-0.17899999999999999</v>
      </c>
      <c r="AH54">
        <f>VLOOKUP($B54&amp;AH$1,Data!$A$2:$D$3723,4,FALSE)</f>
        <v>0</v>
      </c>
      <c r="AI54">
        <f>VLOOKUP($B54&amp;AI$1,Data!$A$2:$D$3723,4,FALSE)</f>
        <v>3800000000</v>
      </c>
    </row>
    <row r="55" spans="2:35" hidden="1">
      <c r="B55" s="13">
        <v>54</v>
      </c>
      <c r="C55" s="13" t="s">
        <v>55</v>
      </c>
      <c r="D55" t="s">
        <v>5</v>
      </c>
      <c r="E55" t="s">
        <v>22</v>
      </c>
      <c r="F55">
        <v>5000</v>
      </c>
      <c r="G55" t="s">
        <v>17</v>
      </c>
      <c r="H55" s="5">
        <v>43831</v>
      </c>
      <c r="I55" s="5">
        <v>44562</v>
      </c>
      <c r="J55">
        <v>14</v>
      </c>
      <c r="K55">
        <v>9</v>
      </c>
      <c r="L55">
        <v>28</v>
      </c>
      <c r="M55">
        <v>72</v>
      </c>
      <c r="N55">
        <v>1000000</v>
      </c>
      <c r="O55">
        <f>VLOOKUP($B55&amp;O$1,Data!$A$2:$D$3723,4,FALSE)</f>
        <v>6.241E-2</v>
      </c>
      <c r="P55">
        <f>VLOOKUP($B55&amp;P$1,Data!$A$2:$D$3723,4,FALSE)</f>
        <v>-0.433</v>
      </c>
      <c r="Q55">
        <f>VLOOKUP($B55&amp;Q$1,Data!$A$2:$D$3723,4,FALSE)</f>
        <v>238</v>
      </c>
      <c r="R55">
        <f>VLOOKUP($B55&amp;R$1,Data!$A$2:$D$3723,4,FALSE)</f>
        <v>0.29680000000000001</v>
      </c>
      <c r="S55">
        <f>VLOOKUP($B55&amp;S$1,Data!$A$2:$D$3723,4,FALSE)</f>
        <v>-0.1416</v>
      </c>
      <c r="T55">
        <f>VLOOKUP($B55&amp;T$1,Data!$A$2:$D$3723,4,FALSE)</f>
        <v>-0.84867999999999999</v>
      </c>
      <c r="U55">
        <f>VLOOKUP($B55&amp;U$1,Data!$A$2:$D$3723,4,FALSE)</f>
        <v>0.75</v>
      </c>
      <c r="V55">
        <f>VLOOKUP($B55&amp;V$1,Data!$A$2:$D$3723,4,FALSE)</f>
        <v>-0.69</v>
      </c>
      <c r="W55">
        <f>VLOOKUP($B55&amp;W$1,Data!$A$2:$D$3723,4,FALSE)</f>
        <v>-0.70499000000000001</v>
      </c>
      <c r="X55">
        <f>VLOOKUP($B55&amp;X$1,Data!$A$2:$D$3723,4,FALSE)</f>
        <v>0.9</v>
      </c>
      <c r="Y55">
        <f>VLOOKUP($B55&amp;Y$1,Data!$A$2:$D$3723,4,FALSE)</f>
        <v>0.1</v>
      </c>
      <c r="Z55">
        <f>VLOOKUP($B55&amp;Z$1,Data!$A$2:$D$3723,4,FALSE)</f>
        <v>2.1</v>
      </c>
      <c r="AA55">
        <f>VLOOKUP($B55&amp;AA$1,Data!$A$2:$D$3723,4,FALSE)</f>
        <v>-0.94299999999999995</v>
      </c>
      <c r="AB55">
        <f>VLOOKUP($B55&amp;AB$1,Data!$A$2:$D$3723,4,FALSE)</f>
        <v>7.2210000000000001</v>
      </c>
      <c r="AC55">
        <f>VLOOKUP($B55&amp;AC$1,Data!$A$2:$D$3723,4,FALSE)</f>
        <v>1.115</v>
      </c>
      <c r="AD55">
        <f>VLOOKUP($B55&amp;AD$1,Data!$A$2:$D$3723,4,FALSE)</f>
        <v>1.2430000000000001</v>
      </c>
      <c r="AE55">
        <f>VLOOKUP($B55&amp;AE$1,Data!$A$2:$D$3723,4,FALSE)</f>
        <v>-0.503</v>
      </c>
      <c r="AF55">
        <f>VLOOKUP($B55&amp;AF$1,Data!$A$2:$D$3723,4,FALSE)</f>
        <v>1.0880000000000001</v>
      </c>
      <c r="AG55">
        <f>VLOOKUP($B55&amp;AG$1,Data!$A$2:$D$3723,4,FALSE)</f>
        <v>-6.7000000000000004E-2</v>
      </c>
      <c r="AH55">
        <f>VLOOKUP($B55&amp;AH$1,Data!$A$2:$D$3723,4,FALSE)</f>
        <v>0</v>
      </c>
      <c r="AI55">
        <f>VLOOKUP($B55&amp;AI$1,Data!$A$2:$D$3723,4,FALSE)</f>
        <v>250000000</v>
      </c>
    </row>
    <row r="56" spans="2:35" hidden="1">
      <c r="B56" s="13">
        <v>55</v>
      </c>
      <c r="C56" s="13" t="s">
        <v>55</v>
      </c>
      <c r="D56" t="s">
        <v>6</v>
      </c>
      <c r="E56" t="s">
        <v>3</v>
      </c>
      <c r="F56">
        <v>100</v>
      </c>
      <c r="G56" t="s">
        <v>17</v>
      </c>
      <c r="H56" s="5">
        <v>43831</v>
      </c>
      <c r="I56" s="5">
        <v>44562</v>
      </c>
      <c r="J56">
        <v>14</v>
      </c>
      <c r="K56">
        <v>9</v>
      </c>
      <c r="L56">
        <v>30</v>
      </c>
      <c r="M56">
        <v>70</v>
      </c>
      <c r="N56">
        <v>1000000</v>
      </c>
      <c r="O56">
        <f>VLOOKUP($B56&amp;O$1,Data!$A$2:$D$3723,4,FALSE)</f>
        <v>0.60584000000000005</v>
      </c>
      <c r="P56">
        <f>VLOOKUP($B56&amp;P$1,Data!$A$2:$D$3723,4,FALSE)</f>
        <v>1.9770000000000001</v>
      </c>
      <c r="Q56">
        <f>VLOOKUP($B56&amp;Q$1,Data!$A$2:$D$3723,4,FALSE)</f>
        <v>896</v>
      </c>
      <c r="R56">
        <f>VLOOKUP($B56&amp;R$1,Data!$A$2:$D$3723,4,FALSE)</f>
        <v>0.1022</v>
      </c>
      <c r="S56">
        <f>VLOOKUP($B56&amp;S$1,Data!$A$2:$D$3723,4,FALSE)</f>
        <v>-5.6300000000000003E-2</v>
      </c>
      <c r="T56">
        <f>VLOOKUP($B56&amp;T$1,Data!$A$2:$D$3723,4,FALSE)</f>
        <v>1.4669099999999999</v>
      </c>
      <c r="U56">
        <f>VLOOKUP($B56&amp;U$1,Data!$A$2:$D$3723,4,FALSE)</f>
        <v>0.34899999999999998</v>
      </c>
      <c r="V56">
        <f>VLOOKUP($B56&amp;V$1,Data!$A$2:$D$3723,4,FALSE)</f>
        <v>0.45700000000000002</v>
      </c>
      <c r="W56">
        <f>VLOOKUP($B56&amp;W$1,Data!$A$2:$D$3723,4,FALSE)</f>
        <v>0.79271999999999998</v>
      </c>
      <c r="X56">
        <f>VLOOKUP($B56&amp;X$1,Data!$A$2:$D$3723,4,FALSE)</f>
        <v>0.48</v>
      </c>
      <c r="Y56">
        <f>VLOOKUP($B56&amp;Y$1,Data!$A$2:$D$3723,4,FALSE)</f>
        <v>0.52</v>
      </c>
      <c r="Z56">
        <f>VLOOKUP($B56&amp;Z$1,Data!$A$2:$D$3723,4,FALSE)</f>
        <v>1.82</v>
      </c>
      <c r="AA56">
        <f>VLOOKUP($B56&amp;AA$1,Data!$A$2:$D$3723,4,FALSE)</f>
        <v>1.3029999999999999</v>
      </c>
      <c r="AB56">
        <f>VLOOKUP($B56&amp;AB$1,Data!$A$2:$D$3723,4,FALSE)</f>
        <v>0.13</v>
      </c>
      <c r="AC56">
        <f>VLOOKUP($B56&amp;AC$1,Data!$A$2:$D$3723,4,FALSE)</f>
        <v>0.66300000000000003</v>
      </c>
      <c r="AD56">
        <f>VLOOKUP($B56&amp;AD$1,Data!$A$2:$D$3723,4,FALSE)</f>
        <v>0.44</v>
      </c>
      <c r="AE56">
        <f>VLOOKUP($B56&amp;AE$1,Data!$A$2:$D$3723,4,FALSE)</f>
        <v>1.8740000000000001</v>
      </c>
      <c r="AF56">
        <f>VLOOKUP($B56&amp;AF$1,Data!$A$2:$D$3723,4,FALSE)</f>
        <v>0.66600000000000004</v>
      </c>
      <c r="AG56">
        <f>VLOOKUP($B56&amp;AG$1,Data!$A$2:$D$3723,4,FALSE)</f>
        <v>10.096</v>
      </c>
      <c r="AH56">
        <f>VLOOKUP($B56&amp;AH$1,Data!$A$2:$D$3723,4,FALSE)</f>
        <v>0</v>
      </c>
      <c r="AI56">
        <f>VLOOKUP($B56&amp;AI$1,Data!$A$2:$D$3723,4,FALSE)</f>
        <v>4500000</v>
      </c>
    </row>
    <row r="57" spans="2:35" hidden="1">
      <c r="B57" s="13">
        <v>56</v>
      </c>
      <c r="C57" s="13" t="s">
        <v>55</v>
      </c>
      <c r="D57" t="s">
        <v>6</v>
      </c>
      <c r="E57" t="s">
        <v>3</v>
      </c>
      <c r="F57">
        <v>1000</v>
      </c>
      <c r="G57" t="s">
        <v>17</v>
      </c>
      <c r="H57" s="5">
        <v>43831</v>
      </c>
      <c r="I57" s="5">
        <v>44562</v>
      </c>
      <c r="J57">
        <v>14</v>
      </c>
      <c r="K57">
        <v>9</v>
      </c>
      <c r="L57">
        <v>30</v>
      </c>
      <c r="M57">
        <v>70</v>
      </c>
      <c r="N57">
        <v>1000000</v>
      </c>
      <c r="O57">
        <f>VLOOKUP($B57&amp;O$1,Data!$A$2:$D$3723,4,FALSE)</f>
        <v>0.53564000000000001</v>
      </c>
      <c r="P57">
        <f>VLOOKUP($B57&amp;P$1,Data!$A$2:$D$3723,4,FALSE)</f>
        <v>1.1859999999999999</v>
      </c>
      <c r="Q57">
        <f>VLOOKUP($B57&amp;Q$1,Data!$A$2:$D$3723,4,FALSE)</f>
        <v>896</v>
      </c>
      <c r="R57">
        <f>VLOOKUP($B57&amp;R$1,Data!$A$2:$D$3723,4,FALSE)</f>
        <v>2.46E-2</v>
      </c>
      <c r="S57">
        <f>VLOOKUP($B57&amp;S$1,Data!$A$2:$D$3723,4,FALSE)</f>
        <v>-1.4999999999999999E-2</v>
      </c>
      <c r="T57">
        <f>VLOOKUP($B57&amp;T$1,Data!$A$2:$D$3723,4,FALSE)</f>
        <v>0.25563999999999998</v>
      </c>
      <c r="U57">
        <f>VLOOKUP($B57&amp;U$1,Data!$A$2:$D$3723,4,FALSE)</f>
        <v>7.1999999999999995E-2</v>
      </c>
      <c r="V57">
        <f>VLOOKUP($B57&amp;V$1,Data!$A$2:$D$3723,4,FALSE)</f>
        <v>0.36599999999999999</v>
      </c>
      <c r="W57">
        <f>VLOOKUP($B57&amp;W$1,Data!$A$2:$D$3723,4,FALSE)</f>
        <v>0.15853999999999999</v>
      </c>
      <c r="X57">
        <f>VLOOKUP($B57&amp;X$1,Data!$A$2:$D$3723,4,FALSE)</f>
        <v>0.48</v>
      </c>
      <c r="Y57">
        <f>VLOOKUP($B57&amp;Y$1,Data!$A$2:$D$3723,4,FALSE)</f>
        <v>0.52</v>
      </c>
      <c r="Z57">
        <f>VLOOKUP($B57&amp;Z$1,Data!$A$2:$D$3723,4,FALSE)</f>
        <v>1.64</v>
      </c>
      <c r="AA57">
        <f>VLOOKUP($B57&amp;AA$1,Data!$A$2:$D$3723,4,FALSE)</f>
        <v>0.183</v>
      </c>
      <c r="AB57">
        <f>VLOOKUP($B57&amp;AB$1,Data!$A$2:$D$3723,4,FALSE)</f>
        <v>3.2000000000000001E-2</v>
      </c>
      <c r="AC57">
        <f>VLOOKUP($B57&amp;AC$1,Data!$A$2:$D$3723,4,FALSE)</f>
        <v>0.156</v>
      </c>
      <c r="AD57">
        <f>VLOOKUP($B57&amp;AD$1,Data!$A$2:$D$3723,4,FALSE)</f>
        <v>2.4E-2</v>
      </c>
      <c r="AE57">
        <f>VLOOKUP($B57&amp;AE$1,Data!$A$2:$D$3723,4,FALSE)</f>
        <v>0.71799999999999997</v>
      </c>
      <c r="AF57">
        <f>VLOOKUP($B57&amp;AF$1,Data!$A$2:$D$3723,4,FALSE)</f>
        <v>0.16900000000000001</v>
      </c>
      <c r="AG57">
        <f>VLOOKUP($B57&amp;AG$1,Data!$A$2:$D$3723,4,FALSE)</f>
        <v>5.8689999999999998</v>
      </c>
      <c r="AH57">
        <f>VLOOKUP($B57&amp;AH$1,Data!$A$2:$D$3723,4,FALSE)</f>
        <v>0</v>
      </c>
      <c r="AI57">
        <f>VLOOKUP($B57&amp;AI$1,Data!$A$2:$D$3723,4,FALSE)</f>
        <v>10000000</v>
      </c>
    </row>
    <row r="58" spans="2:35" hidden="1">
      <c r="B58" s="13">
        <v>57</v>
      </c>
      <c r="C58" s="13" t="s">
        <v>55</v>
      </c>
      <c r="D58" t="s">
        <v>6</v>
      </c>
      <c r="E58" t="s">
        <v>3</v>
      </c>
      <c r="F58">
        <v>5000</v>
      </c>
      <c r="G58" t="s">
        <v>17</v>
      </c>
      <c r="H58" s="5">
        <v>43831</v>
      </c>
      <c r="I58" s="5">
        <v>44562</v>
      </c>
      <c r="J58">
        <v>14</v>
      </c>
      <c r="K58">
        <v>9</v>
      </c>
      <c r="L58">
        <v>30</v>
      </c>
      <c r="M58">
        <v>70</v>
      </c>
      <c r="N58">
        <v>1000000</v>
      </c>
      <c r="O58">
        <f>VLOOKUP($B58&amp;O$1,Data!$A$2:$D$3723,4,FALSE)</f>
        <v>0.60584000000000005</v>
      </c>
      <c r="P58">
        <f>VLOOKUP($B58&amp;P$1,Data!$A$2:$D$3723,4,FALSE)</f>
        <v>1.9770000000000001</v>
      </c>
      <c r="Q58">
        <f>VLOOKUP($B58&amp;Q$1,Data!$A$2:$D$3723,4,FALSE)</f>
        <v>896</v>
      </c>
      <c r="R58">
        <f>VLOOKUP($B58&amp;R$1,Data!$A$2:$D$3723,4,FALSE)</f>
        <v>0.1022</v>
      </c>
      <c r="S58">
        <f>VLOOKUP($B58&amp;S$1,Data!$A$2:$D$3723,4,FALSE)</f>
        <v>-5.6300000000000003E-2</v>
      </c>
      <c r="T58">
        <f>VLOOKUP($B58&amp;T$1,Data!$A$2:$D$3723,4,FALSE)</f>
        <v>1.4669099999999999</v>
      </c>
      <c r="U58">
        <f>VLOOKUP($B58&amp;U$1,Data!$A$2:$D$3723,4,FALSE)</f>
        <v>0.34899999999999998</v>
      </c>
      <c r="V58">
        <f>VLOOKUP($B58&amp;V$1,Data!$A$2:$D$3723,4,FALSE)</f>
        <v>0.45700000000000002</v>
      </c>
      <c r="W58">
        <f>VLOOKUP($B58&amp;W$1,Data!$A$2:$D$3723,4,FALSE)</f>
        <v>0.79271999999999998</v>
      </c>
      <c r="X58">
        <f>VLOOKUP($B58&amp;X$1,Data!$A$2:$D$3723,4,FALSE)</f>
        <v>0.48</v>
      </c>
      <c r="Y58">
        <f>VLOOKUP($B58&amp;Y$1,Data!$A$2:$D$3723,4,FALSE)</f>
        <v>0.52</v>
      </c>
      <c r="Z58">
        <f>VLOOKUP($B58&amp;Z$1,Data!$A$2:$D$3723,4,FALSE)</f>
        <v>1.82</v>
      </c>
      <c r="AA58">
        <f>VLOOKUP($B58&amp;AA$1,Data!$A$2:$D$3723,4,FALSE)</f>
        <v>1.3029999999999999</v>
      </c>
      <c r="AB58">
        <f>VLOOKUP($B58&amp;AB$1,Data!$A$2:$D$3723,4,FALSE)</f>
        <v>0.13</v>
      </c>
      <c r="AC58">
        <f>VLOOKUP($B58&amp;AC$1,Data!$A$2:$D$3723,4,FALSE)</f>
        <v>0.66300000000000003</v>
      </c>
      <c r="AD58">
        <f>VLOOKUP($B58&amp;AD$1,Data!$A$2:$D$3723,4,FALSE)</f>
        <v>0.44</v>
      </c>
      <c r="AE58">
        <f>VLOOKUP($B58&amp;AE$1,Data!$A$2:$D$3723,4,FALSE)</f>
        <v>1.8740000000000001</v>
      </c>
      <c r="AF58">
        <f>VLOOKUP($B58&amp;AF$1,Data!$A$2:$D$3723,4,FALSE)</f>
        <v>0.66600000000000004</v>
      </c>
      <c r="AG58">
        <f>VLOOKUP($B58&amp;AG$1,Data!$A$2:$D$3723,4,FALSE)</f>
        <v>10.096</v>
      </c>
      <c r="AH58">
        <f>VLOOKUP($B58&amp;AH$1,Data!$A$2:$D$3723,4,FALSE)</f>
        <v>0</v>
      </c>
      <c r="AI58">
        <f>VLOOKUP($B58&amp;AI$1,Data!$A$2:$D$3723,4,FALSE)</f>
        <v>4500000</v>
      </c>
    </row>
    <row r="59" spans="2:35" hidden="1">
      <c r="B59" s="13">
        <v>58</v>
      </c>
      <c r="C59" s="13" t="s">
        <v>55</v>
      </c>
      <c r="D59" t="s">
        <v>6</v>
      </c>
      <c r="E59" t="s">
        <v>2</v>
      </c>
      <c r="F59">
        <v>100</v>
      </c>
      <c r="G59" t="s">
        <v>17</v>
      </c>
      <c r="H59" s="5">
        <v>43831</v>
      </c>
      <c r="I59" s="5">
        <v>44562</v>
      </c>
      <c r="J59">
        <v>14</v>
      </c>
      <c r="K59">
        <v>9</v>
      </c>
      <c r="L59">
        <v>30</v>
      </c>
      <c r="M59">
        <v>70</v>
      </c>
      <c r="N59">
        <v>1000000</v>
      </c>
      <c r="O59">
        <f>VLOOKUP($B59&amp;O$1,Data!$A$2:$D$3723,4,FALSE)</f>
        <v>0.85036999999999996</v>
      </c>
      <c r="P59">
        <f>VLOOKUP($B59&amp;P$1,Data!$A$2:$D$3723,4,FALSE)</f>
        <v>1.9279999999999999</v>
      </c>
      <c r="Q59">
        <f>VLOOKUP($B59&amp;Q$1,Data!$A$2:$D$3723,4,FALSE)</f>
        <v>504</v>
      </c>
      <c r="R59">
        <f>VLOOKUP($B59&amp;R$1,Data!$A$2:$D$3723,4,FALSE)</f>
        <v>2.8999999999999998E-3</v>
      </c>
      <c r="S59">
        <f>VLOOKUP($B59&amp;S$1,Data!$A$2:$D$3723,4,FALSE)</f>
        <v>-1.1000000000000001E-3</v>
      </c>
      <c r="T59">
        <f>VLOOKUP($B59&amp;T$1,Data!$A$2:$D$3723,4,FALSE)</f>
        <v>3.2989999999999998E-2</v>
      </c>
      <c r="U59">
        <f>VLOOKUP($B59&amp;U$1,Data!$A$2:$D$3723,4,FALSE)</f>
        <v>7.0000000000000001E-3</v>
      </c>
      <c r="V59">
        <f>VLOOKUP($B59&amp;V$1,Data!$A$2:$D$3723,4,FALSE)</f>
        <v>1.222</v>
      </c>
      <c r="W59">
        <f>VLOOKUP($B59&amp;W$1,Data!$A$2:$D$3723,4,FALSE)</f>
        <v>2.12E-2</v>
      </c>
      <c r="X59">
        <f>VLOOKUP($B59&amp;X$1,Data!$A$2:$D$3723,4,FALSE)</f>
        <v>0.38</v>
      </c>
      <c r="Y59">
        <f>VLOOKUP($B59&amp;Y$1,Data!$A$2:$D$3723,4,FALSE)</f>
        <v>0.62</v>
      </c>
      <c r="Z59">
        <f>VLOOKUP($B59&amp;Z$1,Data!$A$2:$D$3723,4,FALSE)</f>
        <v>2.5499999999999998</v>
      </c>
      <c r="AA59">
        <f>VLOOKUP($B59&amp;AA$1,Data!$A$2:$D$3723,4,FALSE)</f>
        <v>2.1999999999999999E-2</v>
      </c>
      <c r="AB59">
        <f>VLOOKUP($B59&amp;AB$1,Data!$A$2:$D$3723,4,FALSE)</f>
        <v>7.0000000000000001E-3</v>
      </c>
      <c r="AC59">
        <f>VLOOKUP($B59&amp;AC$1,Data!$A$2:$D$3723,4,FALSE)</f>
        <v>1.2E-2</v>
      </c>
      <c r="AD59">
        <f>VLOOKUP($B59&amp;AD$1,Data!$A$2:$D$3723,4,FALSE)</f>
        <v>0</v>
      </c>
      <c r="AE59">
        <f>VLOOKUP($B59&amp;AE$1,Data!$A$2:$D$3723,4,FALSE)</f>
        <v>-0.60699999999999998</v>
      </c>
      <c r="AF59">
        <f>VLOOKUP($B59&amp;AF$1,Data!$A$2:$D$3723,4,FALSE)</f>
        <v>6.7000000000000004E-2</v>
      </c>
      <c r="AG59">
        <f>VLOOKUP($B59&amp;AG$1,Data!$A$2:$D$3723,4,FALSE)</f>
        <v>3.3090000000000002</v>
      </c>
      <c r="AH59">
        <f>VLOOKUP($B59&amp;AH$1,Data!$A$2:$D$3723,4,FALSE)</f>
        <v>0</v>
      </c>
      <c r="AI59">
        <f>VLOOKUP($B59&amp;AI$1,Data!$A$2:$D$3723,4,FALSE)</f>
        <v>54000000</v>
      </c>
    </row>
    <row r="60" spans="2:35" hidden="1">
      <c r="B60" s="13">
        <v>59</v>
      </c>
      <c r="C60" s="13" t="s">
        <v>55</v>
      </c>
      <c r="D60" t="s">
        <v>6</v>
      </c>
      <c r="E60" t="s">
        <v>2</v>
      </c>
      <c r="F60">
        <v>1000</v>
      </c>
      <c r="G60" t="s">
        <v>17</v>
      </c>
      <c r="H60" s="5">
        <v>43831</v>
      </c>
      <c r="I60" s="5">
        <v>44562</v>
      </c>
      <c r="J60">
        <v>14</v>
      </c>
      <c r="K60">
        <v>9</v>
      </c>
      <c r="L60">
        <v>30</v>
      </c>
      <c r="M60">
        <v>70</v>
      </c>
      <c r="N60">
        <v>1000000</v>
      </c>
      <c r="O60">
        <f>VLOOKUP($B60&amp;O$1,Data!$A$2:$D$3723,4,FALSE)</f>
        <v>0.86380000000000001</v>
      </c>
      <c r="P60">
        <f>VLOOKUP($B60&amp;P$1,Data!$A$2:$D$3723,4,FALSE)</f>
        <v>2.17</v>
      </c>
      <c r="Q60">
        <f>VLOOKUP($B60&amp;Q$1,Data!$A$2:$D$3723,4,FALSE)</f>
        <v>504</v>
      </c>
      <c r="R60">
        <f>VLOOKUP($B60&amp;R$1,Data!$A$2:$D$3723,4,FALSE)</f>
        <v>2.6599999999999999E-2</v>
      </c>
      <c r="S60">
        <f>VLOOKUP($B60&amp;S$1,Data!$A$2:$D$3723,4,FALSE)</f>
        <v>-0.01</v>
      </c>
      <c r="T60">
        <f>VLOOKUP($B60&amp;T$1,Data!$A$2:$D$3723,4,FALSE)</f>
        <v>0.34642000000000001</v>
      </c>
      <c r="U60">
        <f>VLOOKUP($B60&amp;U$1,Data!$A$2:$D$3723,4,FALSE)</f>
        <v>0.06</v>
      </c>
      <c r="V60">
        <f>VLOOKUP($B60&amp;V$1,Data!$A$2:$D$3723,4,FALSE)</f>
        <v>1.284</v>
      </c>
      <c r="W60">
        <f>VLOOKUP($B60&amp;W$1,Data!$A$2:$D$3723,4,FALSE)</f>
        <v>0.21201999999999999</v>
      </c>
      <c r="X60">
        <f>VLOOKUP($B60&amp;X$1,Data!$A$2:$D$3723,4,FALSE)</f>
        <v>0.38</v>
      </c>
      <c r="Y60">
        <f>VLOOKUP($B60&amp;Y$1,Data!$A$2:$D$3723,4,FALSE)</f>
        <v>0.62</v>
      </c>
      <c r="Z60">
        <f>VLOOKUP($B60&amp;Z$1,Data!$A$2:$D$3723,4,FALSE)</f>
        <v>2.65</v>
      </c>
      <c r="AA60">
        <f>VLOOKUP($B60&amp;AA$1,Data!$A$2:$D$3723,4,FALSE)</f>
        <v>0.23200000000000001</v>
      </c>
      <c r="AB60">
        <f>VLOOKUP($B60&amp;AB$1,Data!$A$2:$D$3723,4,FALSE)</f>
        <v>6.2E-2</v>
      </c>
      <c r="AC60">
        <f>VLOOKUP($B60&amp;AC$1,Data!$A$2:$D$3723,4,FALSE)</f>
        <v>0.109</v>
      </c>
      <c r="AD60">
        <f>VLOOKUP($B60&amp;AD$1,Data!$A$2:$D$3723,4,FALSE)</f>
        <v>1.2E-2</v>
      </c>
      <c r="AE60">
        <f>VLOOKUP($B60&amp;AE$1,Data!$A$2:$D$3723,4,FALSE)</f>
        <v>1.375</v>
      </c>
      <c r="AF60">
        <f>VLOOKUP($B60&amp;AF$1,Data!$A$2:$D$3723,4,FALSE)</f>
        <v>0.125</v>
      </c>
      <c r="AG60">
        <f>VLOOKUP($B60&amp;AG$1,Data!$A$2:$D$3723,4,FALSE)</f>
        <v>3.7850000000000001</v>
      </c>
      <c r="AH60">
        <f>VLOOKUP($B60&amp;AH$1,Data!$A$2:$D$3723,4,FALSE)</f>
        <v>0</v>
      </c>
      <c r="AI60">
        <f>VLOOKUP($B60&amp;AI$1,Data!$A$2:$D$3723,4,FALSE)</f>
        <v>9000000</v>
      </c>
    </row>
    <row r="61" spans="2:35" hidden="1">
      <c r="B61" s="13">
        <v>60</v>
      </c>
      <c r="C61" s="13" t="s">
        <v>55</v>
      </c>
      <c r="D61" t="s">
        <v>6</v>
      </c>
      <c r="E61" t="s">
        <v>2</v>
      </c>
      <c r="F61">
        <v>5000</v>
      </c>
      <c r="G61" t="s">
        <v>17</v>
      </c>
      <c r="H61" s="5">
        <v>43831</v>
      </c>
      <c r="I61" s="5">
        <v>44562</v>
      </c>
      <c r="J61">
        <v>14</v>
      </c>
      <c r="K61">
        <v>9</v>
      </c>
      <c r="L61">
        <v>30</v>
      </c>
      <c r="M61">
        <v>70</v>
      </c>
      <c r="N61">
        <v>1000000</v>
      </c>
      <c r="O61">
        <f>VLOOKUP($B61&amp;O$1,Data!$A$2:$D$3723,4,FALSE)</f>
        <v>0.89739000000000002</v>
      </c>
      <c r="P61">
        <f>VLOOKUP($B61&amp;P$1,Data!$A$2:$D$3723,4,FALSE)</f>
        <v>3.26</v>
      </c>
      <c r="Q61">
        <f>VLOOKUP($B61&amp;Q$1,Data!$A$2:$D$3723,4,FALSE)</f>
        <v>504</v>
      </c>
      <c r="R61">
        <f>VLOOKUP($B61&amp;R$1,Data!$A$2:$D$3723,4,FALSE)</f>
        <v>0.1037</v>
      </c>
      <c r="S61">
        <f>VLOOKUP($B61&amp;S$1,Data!$A$2:$D$3723,4,FALSE)</f>
        <v>-3.5000000000000003E-2</v>
      </c>
      <c r="T61">
        <f>VLOOKUP($B61&amp;T$1,Data!$A$2:$D$3723,4,FALSE)</f>
        <v>2.0588199999999999</v>
      </c>
      <c r="U61">
        <f>VLOOKUP($B61&amp;U$1,Data!$A$2:$D$3723,4,FALSE)</f>
        <v>0.20799999999999999</v>
      </c>
      <c r="V61">
        <f>VLOOKUP($B61&amp;V$1,Data!$A$2:$D$3723,4,FALSE)</f>
        <v>1.4790000000000001</v>
      </c>
      <c r="W61">
        <f>VLOOKUP($B61&amp;W$1,Data!$A$2:$D$3723,4,FALSE)</f>
        <v>1.06012</v>
      </c>
      <c r="X61">
        <f>VLOOKUP($B61&amp;X$1,Data!$A$2:$D$3723,4,FALSE)</f>
        <v>0.38</v>
      </c>
      <c r="Y61">
        <f>VLOOKUP($B61&amp;Y$1,Data!$A$2:$D$3723,4,FALSE)</f>
        <v>0.62</v>
      </c>
      <c r="Z61">
        <f>VLOOKUP($B61&amp;Z$1,Data!$A$2:$D$3723,4,FALSE)</f>
        <v>2.97</v>
      </c>
      <c r="AA61">
        <f>VLOOKUP($B61&amp;AA$1,Data!$A$2:$D$3723,4,FALSE)</f>
        <v>1.339</v>
      </c>
      <c r="AB61">
        <f>VLOOKUP($B61&amp;AB$1,Data!$A$2:$D$3723,4,FALSE)</f>
        <v>0.216</v>
      </c>
      <c r="AC61">
        <f>VLOOKUP($B61&amp;AC$1,Data!$A$2:$D$3723,4,FALSE)</f>
        <v>0.41499999999999998</v>
      </c>
      <c r="AD61">
        <f>VLOOKUP($B61&amp;AD$1,Data!$A$2:$D$3723,4,FALSE)</f>
        <v>0.17199999999999999</v>
      </c>
      <c r="AE61">
        <f>VLOOKUP($B61&amp;AE$1,Data!$A$2:$D$3723,4,FALSE)</f>
        <v>3.0840000000000001</v>
      </c>
      <c r="AF61">
        <f>VLOOKUP($B61&amp;AF$1,Data!$A$2:$D$3723,4,FALSE)</f>
        <v>0.41799999999999998</v>
      </c>
      <c r="AG61">
        <f>VLOOKUP($B61&amp;AG$1,Data!$A$2:$D$3723,4,FALSE)</f>
        <v>6.2569999999999997</v>
      </c>
      <c r="AH61">
        <f>VLOOKUP($B61&amp;AH$1,Data!$A$2:$D$3723,4,FALSE)</f>
        <v>0</v>
      </c>
      <c r="AI61">
        <f>VLOOKUP($B61&amp;AI$1,Data!$A$2:$D$3723,4,FALSE)</f>
        <v>4200000</v>
      </c>
    </row>
    <row r="62" spans="2:35" hidden="1">
      <c r="B62" s="13">
        <v>61</v>
      </c>
      <c r="C62" s="13" t="s">
        <v>55</v>
      </c>
      <c r="D62" t="s">
        <v>6</v>
      </c>
      <c r="E62" t="s">
        <v>22</v>
      </c>
      <c r="F62">
        <v>100</v>
      </c>
      <c r="G62" t="s">
        <v>17</v>
      </c>
      <c r="H62" s="5">
        <v>43831</v>
      </c>
      <c r="I62" s="5">
        <v>44562</v>
      </c>
      <c r="J62">
        <v>14</v>
      </c>
      <c r="K62">
        <v>9</v>
      </c>
      <c r="L62">
        <v>30</v>
      </c>
      <c r="M62">
        <v>70</v>
      </c>
      <c r="N62">
        <v>1000000</v>
      </c>
      <c r="O62">
        <f>VLOOKUP($B62&amp;O$1,Data!$A$2:$D$3723,4,FALSE)</f>
        <v>0.65983000000000003</v>
      </c>
      <c r="P62">
        <f>VLOOKUP($B62&amp;P$1,Data!$A$2:$D$3723,4,FALSE)</f>
        <v>1.4139999999999999</v>
      </c>
      <c r="Q62">
        <f>VLOOKUP($B62&amp;Q$1,Data!$A$2:$D$3723,4,FALSE)</f>
        <v>386</v>
      </c>
      <c r="R62">
        <f>VLOOKUP($B62&amp;R$1,Data!$A$2:$D$3723,4,FALSE)</f>
        <v>3.8999999999999998E-3</v>
      </c>
      <c r="S62">
        <f>VLOOKUP($B62&amp;S$1,Data!$A$2:$D$3723,4,FALSE)</f>
        <v>-3.0000000000000001E-3</v>
      </c>
      <c r="T62">
        <f>VLOOKUP($B62&amp;T$1,Data!$A$2:$D$3723,4,FALSE)</f>
        <v>2.8309999999999998E-2</v>
      </c>
      <c r="U62">
        <f>VLOOKUP($B62&amp;U$1,Data!$A$2:$D$3723,4,FALSE)</f>
        <v>8.0000000000000002E-3</v>
      </c>
      <c r="V62">
        <f>VLOOKUP($B62&amp;V$1,Data!$A$2:$D$3723,4,FALSE)</f>
        <v>0.51</v>
      </c>
      <c r="W62">
        <f>VLOOKUP($B62&amp;W$1,Data!$A$2:$D$3723,4,FALSE)</f>
        <v>1.821E-2</v>
      </c>
      <c r="X62">
        <f>VLOOKUP($B62&amp;X$1,Data!$A$2:$D$3723,4,FALSE)</f>
        <v>0.33</v>
      </c>
      <c r="Y62">
        <f>VLOOKUP($B62&amp;Y$1,Data!$A$2:$D$3723,4,FALSE)</f>
        <v>0.67</v>
      </c>
      <c r="Z62">
        <f>VLOOKUP($B62&amp;Z$1,Data!$A$2:$D$3723,4,FALSE)</f>
        <v>1.26</v>
      </c>
      <c r="AA62">
        <f>VLOOKUP($B62&amp;AA$1,Data!$A$2:$D$3723,4,FALSE)</f>
        <v>1.9E-2</v>
      </c>
      <c r="AB62">
        <f>VLOOKUP($B62&amp;AB$1,Data!$A$2:$D$3723,4,FALSE)</f>
        <v>4.0000000000000001E-3</v>
      </c>
      <c r="AC62">
        <f>VLOOKUP($B62&amp;AC$1,Data!$A$2:$D$3723,4,FALSE)</f>
        <v>1.4E-2</v>
      </c>
      <c r="AD62">
        <f>VLOOKUP($B62&amp;AD$1,Data!$A$2:$D$3723,4,FALSE)</f>
        <v>0</v>
      </c>
      <c r="AE62">
        <f>VLOOKUP($B62&amp;AE$1,Data!$A$2:$D$3723,4,FALSE)</f>
        <v>-0.64900000000000002</v>
      </c>
      <c r="AF62">
        <f>VLOOKUP($B62&amp;AF$1,Data!$A$2:$D$3723,4,FALSE)</f>
        <v>6.8000000000000005E-2</v>
      </c>
      <c r="AG62">
        <f>VLOOKUP($B62&amp;AG$1,Data!$A$2:$D$3723,4,FALSE)</f>
        <v>4.5309999999999997</v>
      </c>
      <c r="AH62">
        <f>VLOOKUP($B62&amp;AH$1,Data!$A$2:$D$3723,4,FALSE)</f>
        <v>0</v>
      </c>
      <c r="AI62">
        <f>VLOOKUP($B62&amp;AI$1,Data!$A$2:$D$3723,4,FALSE)</f>
        <v>21000000</v>
      </c>
    </row>
    <row r="63" spans="2:35" hidden="1">
      <c r="B63" s="13">
        <v>62</v>
      </c>
      <c r="C63" s="13" t="s">
        <v>55</v>
      </c>
      <c r="D63" t="s">
        <v>6</v>
      </c>
      <c r="E63" t="s">
        <v>22</v>
      </c>
      <c r="F63">
        <v>1000</v>
      </c>
      <c r="G63" t="s">
        <v>17</v>
      </c>
      <c r="H63" s="5">
        <v>43831</v>
      </c>
      <c r="I63" s="5">
        <v>44562</v>
      </c>
      <c r="J63">
        <v>14</v>
      </c>
      <c r="K63">
        <v>9</v>
      </c>
      <c r="L63">
        <v>30</v>
      </c>
      <c r="M63">
        <v>70</v>
      </c>
      <c r="N63">
        <v>1000000</v>
      </c>
      <c r="O63">
        <f>VLOOKUP($B63&amp;O$1,Data!$A$2:$D$3723,4,FALSE)</f>
        <v>0.66590000000000005</v>
      </c>
      <c r="P63">
        <f>VLOOKUP($B63&amp;P$1,Data!$A$2:$D$3723,4,FALSE)</f>
        <v>1.5549999999999999</v>
      </c>
      <c r="Q63">
        <f>VLOOKUP($B63&amp;Q$1,Data!$A$2:$D$3723,4,FALSE)</f>
        <v>386</v>
      </c>
      <c r="R63">
        <f>VLOOKUP($B63&amp;R$1,Data!$A$2:$D$3723,4,FALSE)</f>
        <v>3.7699999999999997E-2</v>
      </c>
      <c r="S63">
        <f>VLOOKUP($B63&amp;S$1,Data!$A$2:$D$3723,4,FALSE)</f>
        <v>-2.9100000000000001E-2</v>
      </c>
      <c r="T63">
        <f>VLOOKUP($B63&amp;T$1,Data!$A$2:$D$3723,4,FALSE)</f>
        <v>0.29536000000000001</v>
      </c>
      <c r="U63">
        <f>VLOOKUP($B63&amp;U$1,Data!$A$2:$D$3723,4,FALSE)</f>
        <v>7.6999999999999999E-2</v>
      </c>
      <c r="V63">
        <f>VLOOKUP($B63&amp;V$1,Data!$A$2:$D$3723,4,FALSE)</f>
        <v>0.53</v>
      </c>
      <c r="W63">
        <f>VLOOKUP($B63&amp;W$1,Data!$A$2:$D$3723,4,FALSE)</f>
        <v>0.18210999999999999</v>
      </c>
      <c r="X63">
        <f>VLOOKUP($B63&amp;X$1,Data!$A$2:$D$3723,4,FALSE)</f>
        <v>0.33</v>
      </c>
      <c r="Y63">
        <f>VLOOKUP($B63&amp;Y$1,Data!$A$2:$D$3723,4,FALSE)</f>
        <v>0.67</v>
      </c>
      <c r="Z63">
        <f>VLOOKUP($B63&amp;Z$1,Data!$A$2:$D$3723,4,FALSE)</f>
        <v>1.29</v>
      </c>
      <c r="AA63">
        <f>VLOOKUP($B63&amp;AA$1,Data!$A$2:$D$3723,4,FALSE)</f>
        <v>0.20499999999999999</v>
      </c>
      <c r="AB63">
        <f>VLOOKUP($B63&amp;AB$1,Data!$A$2:$D$3723,4,FALSE)</f>
        <v>3.4000000000000002E-2</v>
      </c>
      <c r="AC63">
        <f>VLOOKUP($B63&amp;AC$1,Data!$A$2:$D$3723,4,FALSE)</f>
        <v>0.13300000000000001</v>
      </c>
      <c r="AD63">
        <f>VLOOKUP($B63&amp;AD$1,Data!$A$2:$D$3723,4,FALSE)</f>
        <v>1.7999999999999999E-2</v>
      </c>
      <c r="AE63">
        <f>VLOOKUP($B63&amp;AE$1,Data!$A$2:$D$3723,4,FALSE)</f>
        <v>0.96899999999999997</v>
      </c>
      <c r="AF63">
        <f>VLOOKUP($B63&amp;AF$1,Data!$A$2:$D$3723,4,FALSE)</f>
        <v>0.14799999999999999</v>
      </c>
      <c r="AG63">
        <f>VLOOKUP($B63&amp;AG$1,Data!$A$2:$D$3723,4,FALSE)</f>
        <v>6.0049999999999999</v>
      </c>
      <c r="AH63">
        <f>VLOOKUP($B63&amp;AH$1,Data!$A$2:$D$3723,4,FALSE)</f>
        <v>0</v>
      </c>
      <c r="AI63">
        <f>VLOOKUP($B63&amp;AI$1,Data!$A$2:$D$3723,4,FALSE)</f>
        <v>4800000</v>
      </c>
    </row>
    <row r="64" spans="2:35" hidden="1">
      <c r="B64" s="13">
        <v>63</v>
      </c>
      <c r="C64" s="13" t="s">
        <v>55</v>
      </c>
      <c r="D64" t="s">
        <v>6</v>
      </c>
      <c r="E64" t="s">
        <v>22</v>
      </c>
      <c r="F64">
        <v>5000</v>
      </c>
      <c r="G64" t="s">
        <v>17</v>
      </c>
      <c r="H64" s="5">
        <v>43831</v>
      </c>
      <c r="I64" s="5">
        <v>44562</v>
      </c>
      <c r="J64">
        <v>14</v>
      </c>
      <c r="K64">
        <v>9</v>
      </c>
      <c r="L64">
        <v>30</v>
      </c>
      <c r="M64">
        <v>70</v>
      </c>
      <c r="N64">
        <v>1000000</v>
      </c>
      <c r="O64">
        <f>VLOOKUP($B64&amp;O$1,Data!$A$2:$D$3723,4,FALSE)</f>
        <v>0.68054999999999999</v>
      </c>
      <c r="P64">
        <f>VLOOKUP($B64&amp;P$1,Data!$A$2:$D$3723,4,FALSE)</f>
        <v>2.2850000000000001</v>
      </c>
      <c r="Q64">
        <f>VLOOKUP($B64&amp;Q$1,Data!$A$2:$D$3723,4,FALSE)</f>
        <v>385</v>
      </c>
      <c r="R64">
        <f>VLOOKUP($B64&amp;R$1,Data!$A$2:$D$3723,4,FALSE)</f>
        <v>0.18360000000000001</v>
      </c>
      <c r="S64">
        <f>VLOOKUP($B64&amp;S$1,Data!$A$2:$D$3723,4,FALSE)</f>
        <v>-0.1255</v>
      </c>
      <c r="T64">
        <f>VLOOKUP($B64&amp;T$1,Data!$A$2:$D$3723,4,FALSE)</f>
        <v>1.7191399999999999</v>
      </c>
      <c r="U64">
        <f>VLOOKUP($B64&amp;U$1,Data!$A$2:$D$3723,4,FALSE)</f>
        <v>0.30099999999999999</v>
      </c>
      <c r="V64">
        <f>VLOOKUP($B64&amp;V$1,Data!$A$2:$D$3723,4,FALSE)</f>
        <v>0.64200000000000002</v>
      </c>
      <c r="W64">
        <f>VLOOKUP($B64&amp;W$1,Data!$A$2:$D$3723,4,FALSE)</f>
        <v>0.90915999999999997</v>
      </c>
      <c r="X64">
        <f>VLOOKUP($B64&amp;X$1,Data!$A$2:$D$3723,4,FALSE)</f>
        <v>0.33</v>
      </c>
      <c r="Y64">
        <f>VLOOKUP($B64&amp;Y$1,Data!$A$2:$D$3723,4,FALSE)</f>
        <v>0.67</v>
      </c>
      <c r="Z64">
        <f>VLOOKUP($B64&amp;Z$1,Data!$A$2:$D$3723,4,FALSE)</f>
        <v>1.46</v>
      </c>
      <c r="AA64">
        <f>VLOOKUP($B64&amp;AA$1,Data!$A$2:$D$3723,4,FALSE)</f>
        <v>1.371</v>
      </c>
      <c r="AB64">
        <f>VLOOKUP($B64&amp;AB$1,Data!$A$2:$D$3723,4,FALSE)</f>
        <v>1.2E-2</v>
      </c>
      <c r="AC64">
        <f>VLOOKUP($B64&amp;AC$1,Data!$A$2:$D$3723,4,FALSE)</f>
        <v>0.6</v>
      </c>
      <c r="AD64">
        <f>VLOOKUP($B64&amp;AD$1,Data!$A$2:$D$3723,4,FALSE)</f>
        <v>0.36</v>
      </c>
      <c r="AE64">
        <f>VLOOKUP($B64&amp;AE$1,Data!$A$2:$D$3723,4,FALSE)</f>
        <v>2.1659999999999999</v>
      </c>
      <c r="AF64">
        <f>VLOOKUP($B64&amp;AF$1,Data!$A$2:$D$3723,4,FALSE)</f>
        <v>0.60399999999999998</v>
      </c>
      <c r="AG64">
        <f>VLOOKUP($B64&amp;AG$1,Data!$A$2:$D$3723,4,FALSE)</f>
        <v>110.32299999999999</v>
      </c>
      <c r="AH64">
        <f>VLOOKUP($B64&amp;AH$1,Data!$A$2:$D$3723,4,FALSE)</f>
        <v>0</v>
      </c>
      <c r="AI64">
        <f>VLOOKUP($B64&amp;AI$1,Data!$A$2:$D$3723,4,FALSE)</f>
        <v>2400000</v>
      </c>
    </row>
    <row r="65" spans="2:35" hidden="1">
      <c r="B65" s="13">
        <v>64</v>
      </c>
      <c r="C65" s="13" t="s">
        <v>55</v>
      </c>
      <c r="D65" t="s">
        <v>6</v>
      </c>
      <c r="E65" t="s">
        <v>3</v>
      </c>
      <c r="F65">
        <v>100</v>
      </c>
      <c r="G65" t="s">
        <v>17</v>
      </c>
      <c r="H65" s="5">
        <v>43831</v>
      </c>
      <c r="I65" s="5">
        <v>44562</v>
      </c>
      <c r="J65">
        <v>14</v>
      </c>
      <c r="K65">
        <v>9</v>
      </c>
      <c r="L65">
        <v>32</v>
      </c>
      <c r="M65">
        <v>68</v>
      </c>
      <c r="N65">
        <v>1000000</v>
      </c>
      <c r="O65">
        <f>VLOOKUP($B65&amp;O$1,Data!$A$2:$D$3723,4,FALSE)</f>
        <v>0.86055999999999999</v>
      </c>
      <c r="P65">
        <f>VLOOKUP($B65&amp;P$1,Data!$A$2:$D$3723,4,FALSE)</f>
        <v>1.8939999999999999</v>
      </c>
      <c r="Q65">
        <f>VLOOKUP($B65&amp;Q$1,Data!$A$2:$D$3723,4,FALSE)</f>
        <v>1104</v>
      </c>
      <c r="R65">
        <f>VLOOKUP($B65&amp;R$1,Data!$A$2:$D$3723,4,FALSE)</f>
        <v>3.0000000000000001E-3</v>
      </c>
      <c r="S65">
        <f>VLOOKUP($B65&amp;S$1,Data!$A$2:$D$3723,4,FALSE)</f>
        <v>-1.1000000000000001E-3</v>
      </c>
      <c r="T65">
        <f>VLOOKUP($B65&amp;T$1,Data!$A$2:$D$3723,4,FALSE)</f>
        <v>4.3619999999999999E-2</v>
      </c>
      <c r="U65">
        <f>VLOOKUP($B65&amp;U$1,Data!$A$2:$D$3723,4,FALSE)</f>
        <v>0.01</v>
      </c>
      <c r="V65">
        <f>VLOOKUP($B65&amp;V$1,Data!$A$2:$D$3723,4,FALSE)</f>
        <v>0.72899999999999998</v>
      </c>
      <c r="W65">
        <f>VLOOKUP($B65&amp;W$1,Data!$A$2:$D$3723,4,FALSE)</f>
        <v>2.7990000000000001E-2</v>
      </c>
      <c r="X65">
        <f>VLOOKUP($B65&amp;X$1,Data!$A$2:$D$3723,4,FALSE)</f>
        <v>0.53</v>
      </c>
      <c r="Y65">
        <f>VLOOKUP($B65&amp;Y$1,Data!$A$2:$D$3723,4,FALSE)</f>
        <v>0.47</v>
      </c>
      <c r="Z65">
        <f>VLOOKUP($B65&amp;Z$1,Data!$A$2:$D$3723,4,FALSE)</f>
        <v>2.66</v>
      </c>
      <c r="AA65">
        <f>VLOOKUP($B65&amp;AA$1,Data!$A$2:$D$3723,4,FALSE)</f>
        <v>2.8000000000000001E-2</v>
      </c>
      <c r="AB65">
        <f>VLOOKUP($B65&amp;AB$1,Data!$A$2:$D$3723,4,FALSE)</f>
        <v>3.3000000000000002E-2</v>
      </c>
      <c r="AC65">
        <f>VLOOKUP($B65&amp;AC$1,Data!$A$2:$D$3723,4,FALSE)</f>
        <v>1.6E-2</v>
      </c>
      <c r="AD65">
        <f>VLOOKUP($B65&amp;AD$1,Data!$A$2:$D$3723,4,FALSE)</f>
        <v>0</v>
      </c>
      <c r="AE65">
        <f>VLOOKUP($B65&amp;AE$1,Data!$A$2:$D$3723,4,FALSE)</f>
        <v>-0.505</v>
      </c>
      <c r="AF65">
        <f>VLOOKUP($B65&amp;AF$1,Data!$A$2:$D$3723,4,FALSE)</f>
        <v>6.6000000000000003E-2</v>
      </c>
      <c r="AG65">
        <f>VLOOKUP($B65&amp;AG$1,Data!$A$2:$D$3723,4,FALSE)</f>
        <v>0.90800000000000003</v>
      </c>
      <c r="AH65">
        <f>VLOOKUP($B65&amp;AH$1,Data!$A$2:$D$3723,4,FALSE)</f>
        <v>0</v>
      </c>
      <c r="AI65">
        <f>VLOOKUP($B65&amp;AI$1,Data!$A$2:$D$3723,4,FALSE)</f>
        <v>120000000</v>
      </c>
    </row>
    <row r="66" spans="2:35" hidden="1">
      <c r="B66" s="13">
        <v>65</v>
      </c>
      <c r="C66" s="13" t="s">
        <v>55</v>
      </c>
      <c r="D66" t="s">
        <v>6</v>
      </c>
      <c r="E66" t="s">
        <v>3</v>
      </c>
      <c r="F66">
        <v>1000</v>
      </c>
      <c r="G66" t="s">
        <v>17</v>
      </c>
      <c r="H66" s="5">
        <v>43831</v>
      </c>
      <c r="I66" s="5">
        <v>44562</v>
      </c>
      <c r="J66">
        <v>14</v>
      </c>
      <c r="K66">
        <v>9</v>
      </c>
      <c r="L66">
        <v>32</v>
      </c>
      <c r="M66">
        <v>68</v>
      </c>
      <c r="N66">
        <v>1000000</v>
      </c>
      <c r="O66">
        <f>VLOOKUP($B66&amp;O$1,Data!$A$2:$D$3723,4,FALSE)</f>
        <v>0.38990999999999998</v>
      </c>
      <c r="P66">
        <f>VLOOKUP($B66&amp;P$1,Data!$A$2:$D$3723,4,FALSE)</f>
        <v>0.747</v>
      </c>
      <c r="Q66">
        <f>VLOOKUP($B66&amp;Q$1,Data!$A$2:$D$3723,4,FALSE)</f>
        <v>680</v>
      </c>
      <c r="R66">
        <f>VLOOKUP($B66&amp;R$1,Data!$A$2:$D$3723,4,FALSE)</f>
        <v>2.24E-2</v>
      </c>
      <c r="S66">
        <f>VLOOKUP($B66&amp;S$1,Data!$A$2:$D$3723,4,FALSE)</f>
        <v>-1.3599999999999999E-2</v>
      </c>
      <c r="T66">
        <f>VLOOKUP($B66&amp;T$1,Data!$A$2:$D$3723,4,FALSE)</f>
        <v>0.15078</v>
      </c>
      <c r="U66">
        <f>VLOOKUP($B66&amp;U$1,Data!$A$2:$D$3723,4,FALSE)</f>
        <v>0.11600000000000001</v>
      </c>
      <c r="V66">
        <f>VLOOKUP($B66&amp;V$1,Data!$A$2:$D$3723,4,FALSE)</f>
        <v>0.32200000000000001</v>
      </c>
      <c r="W66">
        <f>VLOOKUP($B66&amp;W$1,Data!$A$2:$D$3723,4,FALSE)</f>
        <v>9.4619999999999996E-2</v>
      </c>
      <c r="X66">
        <f>VLOOKUP($B66&amp;X$1,Data!$A$2:$D$3723,4,FALSE)</f>
        <v>0.5</v>
      </c>
      <c r="Y66">
        <f>VLOOKUP($B66&amp;Y$1,Data!$A$2:$D$3723,4,FALSE)</f>
        <v>0.5</v>
      </c>
      <c r="Z66">
        <f>VLOOKUP($B66&amp;Z$1,Data!$A$2:$D$3723,4,FALSE)</f>
        <v>1.64</v>
      </c>
      <c r="AA66">
        <f>VLOOKUP($B66&amp;AA$1,Data!$A$2:$D$3723,4,FALSE)</f>
        <v>0.1</v>
      </c>
      <c r="AB66">
        <f>VLOOKUP($B66&amp;AB$1,Data!$A$2:$D$3723,4,FALSE)</f>
        <v>0.23599999999999999</v>
      </c>
      <c r="AC66">
        <f>VLOOKUP($B66&amp;AC$1,Data!$A$2:$D$3723,4,FALSE)</f>
        <v>0.155</v>
      </c>
      <c r="AD66">
        <f>VLOOKUP($B66&amp;AD$1,Data!$A$2:$D$3723,4,FALSE)</f>
        <v>2.4E-2</v>
      </c>
      <c r="AE66">
        <f>VLOOKUP($B66&amp;AE$1,Data!$A$2:$D$3723,4,FALSE)</f>
        <v>0.318</v>
      </c>
      <c r="AF66">
        <f>VLOOKUP($B66&amp;AF$1,Data!$A$2:$D$3723,4,FALSE)</f>
        <v>0.16200000000000001</v>
      </c>
      <c r="AG66">
        <f>VLOOKUP($B66&amp;AG$1,Data!$A$2:$D$3723,4,FALSE)</f>
        <v>0.48899999999999999</v>
      </c>
      <c r="AH66">
        <f>VLOOKUP($B66&amp;AH$1,Data!$A$2:$D$3723,4,FALSE)</f>
        <v>0</v>
      </c>
      <c r="AI66">
        <f>VLOOKUP($B66&amp;AI$1,Data!$A$2:$D$3723,4,FALSE)</f>
        <v>6900000</v>
      </c>
    </row>
    <row r="67" spans="2:35" hidden="1">
      <c r="B67" s="13">
        <v>66</v>
      </c>
      <c r="C67" s="13" t="s">
        <v>55</v>
      </c>
      <c r="D67" t="s">
        <v>6</v>
      </c>
      <c r="E67" t="s">
        <v>3</v>
      </c>
      <c r="F67">
        <v>5000</v>
      </c>
      <c r="G67" t="s">
        <v>17</v>
      </c>
      <c r="H67" s="5">
        <v>43831</v>
      </c>
      <c r="I67" s="5">
        <v>44562</v>
      </c>
      <c r="J67">
        <v>14</v>
      </c>
      <c r="K67">
        <v>9</v>
      </c>
      <c r="L67">
        <v>32</v>
      </c>
      <c r="M67">
        <v>68</v>
      </c>
      <c r="N67">
        <v>1000000</v>
      </c>
      <c r="O67">
        <f>VLOOKUP($B67&amp;O$1,Data!$A$2:$D$3723,4,FALSE)</f>
        <v>0.47305000000000003</v>
      </c>
      <c r="P67">
        <f>VLOOKUP($B67&amp;P$1,Data!$A$2:$D$3723,4,FALSE)</f>
        <v>1.341</v>
      </c>
      <c r="Q67">
        <f>VLOOKUP($B67&amp;Q$1,Data!$A$2:$D$3723,4,FALSE)</f>
        <v>680</v>
      </c>
      <c r="R67">
        <f>VLOOKUP($B67&amp;R$1,Data!$A$2:$D$3723,4,FALSE)</f>
        <v>0.1079</v>
      </c>
      <c r="S67">
        <f>VLOOKUP($B67&amp;S$1,Data!$A$2:$D$3723,4,FALSE)</f>
        <v>-5.9400000000000001E-2</v>
      </c>
      <c r="T67">
        <f>VLOOKUP($B67&amp;T$1,Data!$A$2:$D$3723,4,FALSE)</f>
        <v>0.82528999999999997</v>
      </c>
      <c r="U67">
        <f>VLOOKUP($B67&amp;U$1,Data!$A$2:$D$3723,4,FALSE)</f>
        <v>0.44</v>
      </c>
      <c r="V67">
        <f>VLOOKUP($B67&amp;V$1,Data!$A$2:$D$3723,4,FALSE)</f>
        <v>0.40799999999999997</v>
      </c>
      <c r="W67">
        <f>VLOOKUP($B67&amp;W$1,Data!$A$2:$D$3723,4,FALSE)</f>
        <v>0.47308</v>
      </c>
      <c r="X67">
        <f>VLOOKUP($B67&amp;X$1,Data!$A$2:$D$3723,4,FALSE)</f>
        <v>0.5</v>
      </c>
      <c r="Y67">
        <f>VLOOKUP($B67&amp;Y$1,Data!$A$2:$D$3723,4,FALSE)</f>
        <v>0.5</v>
      </c>
      <c r="Z67">
        <f>VLOOKUP($B67&amp;Z$1,Data!$A$2:$D$3723,4,FALSE)</f>
        <v>1.82</v>
      </c>
      <c r="AA67">
        <f>VLOOKUP($B67&amp;AA$1,Data!$A$2:$D$3723,4,FALSE)</f>
        <v>0.94699999999999995</v>
      </c>
      <c r="AB67">
        <f>VLOOKUP($B67&amp;AB$1,Data!$A$2:$D$3723,4,FALSE)</f>
        <v>0.86699999999999999</v>
      </c>
      <c r="AC67">
        <f>VLOOKUP($B67&amp;AC$1,Data!$A$2:$D$3723,4,FALSE)</f>
        <v>0.747</v>
      </c>
      <c r="AD67">
        <f>VLOOKUP($B67&amp;AD$1,Data!$A$2:$D$3723,4,FALSE)</f>
        <v>0.55800000000000005</v>
      </c>
      <c r="AE67">
        <f>VLOOKUP($B67&amp;AE$1,Data!$A$2:$D$3723,4,FALSE)</f>
        <v>1.26</v>
      </c>
      <c r="AF67">
        <f>VLOOKUP($B67&amp;AF$1,Data!$A$2:$D$3723,4,FALSE)</f>
        <v>0.745</v>
      </c>
      <c r="AG67">
        <f>VLOOKUP($B67&amp;AG$1,Data!$A$2:$D$3723,4,FALSE)</f>
        <v>1.1559999999999999</v>
      </c>
      <c r="AH67">
        <f>VLOOKUP($B67&amp;AH$1,Data!$A$2:$D$3723,4,FALSE)</f>
        <v>0</v>
      </c>
      <c r="AI67">
        <f>VLOOKUP($B67&amp;AI$1,Data!$A$2:$D$3723,4,FALSE)</f>
        <v>2900000</v>
      </c>
    </row>
    <row r="68" spans="2:35" hidden="1">
      <c r="B68" s="13">
        <v>67</v>
      </c>
      <c r="C68" s="13" t="s">
        <v>55</v>
      </c>
      <c r="D68" t="s">
        <v>6</v>
      </c>
      <c r="E68" t="s">
        <v>2</v>
      </c>
      <c r="F68">
        <v>100</v>
      </c>
      <c r="G68" t="s">
        <v>17</v>
      </c>
      <c r="H68" s="5">
        <v>43831</v>
      </c>
      <c r="I68" s="5">
        <v>44562</v>
      </c>
      <c r="J68">
        <v>14</v>
      </c>
      <c r="K68">
        <v>9</v>
      </c>
      <c r="L68">
        <v>32</v>
      </c>
      <c r="M68">
        <v>68</v>
      </c>
      <c r="N68">
        <v>1000000</v>
      </c>
      <c r="O68">
        <f>VLOOKUP($B68&amp;O$1,Data!$A$2:$D$3723,4,FALSE)</f>
        <v>0.27898000000000001</v>
      </c>
      <c r="P68">
        <f>VLOOKUP($B68&amp;P$1,Data!$A$2:$D$3723,4,FALSE)</f>
        <v>0.38200000000000001</v>
      </c>
      <c r="Q68">
        <f>VLOOKUP($B68&amp;Q$1,Data!$A$2:$D$3723,4,FALSE)</f>
        <v>393</v>
      </c>
      <c r="R68">
        <f>VLOOKUP($B68&amp;R$1,Data!$A$2:$D$3723,4,FALSE)</f>
        <v>3.3999999999999998E-3</v>
      </c>
      <c r="S68">
        <f>VLOOKUP($B68&amp;S$1,Data!$A$2:$D$3723,4,FALSE)</f>
        <v>-3.3E-3</v>
      </c>
      <c r="T68">
        <f>VLOOKUP($B68&amp;T$1,Data!$A$2:$D$3723,4,FALSE)</f>
        <v>8.2100000000000003E-3</v>
      </c>
      <c r="U68">
        <f>VLOOKUP($B68&amp;U$1,Data!$A$2:$D$3723,4,FALSE)</f>
        <v>0.02</v>
      </c>
      <c r="V68">
        <f>VLOOKUP($B68&amp;V$1,Data!$A$2:$D$3723,4,FALSE)</f>
        <v>0.108</v>
      </c>
      <c r="W68">
        <f>VLOOKUP($B68&amp;W$1,Data!$A$2:$D$3723,4,FALSE)</f>
        <v>5.28E-3</v>
      </c>
      <c r="X68">
        <f>VLOOKUP($B68&amp;X$1,Data!$A$2:$D$3723,4,FALSE)</f>
        <v>0.46</v>
      </c>
      <c r="Y68">
        <f>VLOOKUP($B68&amp;Y$1,Data!$A$2:$D$3723,4,FALSE)</f>
        <v>0.54</v>
      </c>
      <c r="Z68">
        <f>VLOOKUP($B68&amp;Z$1,Data!$A$2:$D$3723,4,FALSE)</f>
        <v>1.06</v>
      </c>
      <c r="AA68">
        <f>VLOOKUP($B68&amp;AA$1,Data!$A$2:$D$3723,4,FALSE)</f>
        <v>6.0000000000000001E-3</v>
      </c>
      <c r="AB68">
        <f>VLOOKUP($B68&amp;AB$1,Data!$A$2:$D$3723,4,FALSE)</f>
        <v>-1E-3</v>
      </c>
      <c r="AC68">
        <f>VLOOKUP($B68&amp;AC$1,Data!$A$2:$D$3723,4,FALSE)</f>
        <v>1.4999999999999999E-2</v>
      </c>
      <c r="AD68">
        <f>VLOOKUP($B68&amp;AD$1,Data!$A$2:$D$3723,4,FALSE)</f>
        <v>0</v>
      </c>
      <c r="AE68">
        <f>VLOOKUP($B68&amp;AE$1,Data!$A$2:$D$3723,4,FALSE)</f>
        <v>-0.84699999999999998</v>
      </c>
      <c r="AF68">
        <f>VLOOKUP($B68&amp;AF$1,Data!$A$2:$D$3723,4,FALSE)</f>
        <v>6.9000000000000006E-2</v>
      </c>
      <c r="AG68">
        <f>VLOOKUP($B68&amp;AG$1,Data!$A$2:$D$3723,4,FALSE)</f>
        <v>-5.5970000000000004</v>
      </c>
      <c r="AH68">
        <f>VLOOKUP($B68&amp;AH$1,Data!$A$2:$D$3723,4,FALSE)</f>
        <v>0</v>
      </c>
      <c r="AI68">
        <f>VLOOKUP($B68&amp;AI$1,Data!$A$2:$D$3723,4,FALSE)</f>
        <v>12000000000</v>
      </c>
    </row>
    <row r="69" spans="2:35" hidden="1">
      <c r="B69" s="13">
        <v>68</v>
      </c>
      <c r="C69" s="13" t="s">
        <v>55</v>
      </c>
      <c r="D69" t="s">
        <v>6</v>
      </c>
      <c r="E69" t="s">
        <v>2</v>
      </c>
      <c r="F69">
        <v>1000</v>
      </c>
      <c r="G69" t="s">
        <v>17</v>
      </c>
      <c r="H69" s="5">
        <v>43831</v>
      </c>
      <c r="I69" s="5">
        <v>44562</v>
      </c>
      <c r="J69">
        <v>14</v>
      </c>
      <c r="K69">
        <v>9</v>
      </c>
      <c r="L69">
        <v>32</v>
      </c>
      <c r="M69">
        <v>68</v>
      </c>
      <c r="N69">
        <v>1000000</v>
      </c>
      <c r="O69">
        <f>VLOOKUP($B69&amp;O$1,Data!$A$2:$D$3723,4,FALSE)</f>
        <v>0.29354999999999998</v>
      </c>
      <c r="P69">
        <f>VLOOKUP($B69&amp;P$1,Data!$A$2:$D$3723,4,FALSE)</f>
        <v>0.442</v>
      </c>
      <c r="Q69">
        <f>VLOOKUP($B69&amp;Q$1,Data!$A$2:$D$3723,4,FALSE)</f>
        <v>393</v>
      </c>
      <c r="R69">
        <f>VLOOKUP($B69&amp;R$1,Data!$A$2:$D$3723,4,FALSE)</f>
        <v>3.7199999999999997E-2</v>
      </c>
      <c r="S69">
        <f>VLOOKUP($B69&amp;S$1,Data!$A$2:$D$3723,4,FALSE)</f>
        <v>-3.39E-2</v>
      </c>
      <c r="T69">
        <f>VLOOKUP($B69&amp;T$1,Data!$A$2:$D$3723,4,FALSE)</f>
        <v>8.3169999999999994E-2</v>
      </c>
      <c r="U69">
        <f>VLOOKUP($B69&amp;U$1,Data!$A$2:$D$3723,4,FALSE)</f>
        <v>0.191</v>
      </c>
      <c r="V69">
        <f>VLOOKUP($B69&amp;V$1,Data!$A$2:$D$3723,4,FALSE)</f>
        <v>0.128</v>
      </c>
      <c r="W69">
        <f>VLOOKUP($B69&amp;W$1,Data!$A$2:$D$3723,4,FALSE)</f>
        <v>5.2769999999999997E-2</v>
      </c>
      <c r="X69">
        <f>VLOOKUP($B69&amp;X$1,Data!$A$2:$D$3723,4,FALSE)</f>
        <v>0.46</v>
      </c>
      <c r="Y69">
        <f>VLOOKUP($B69&amp;Y$1,Data!$A$2:$D$3723,4,FALSE)</f>
        <v>0.54</v>
      </c>
      <c r="Z69">
        <f>VLOOKUP($B69&amp;Z$1,Data!$A$2:$D$3723,4,FALSE)</f>
        <v>1.0900000000000001</v>
      </c>
      <c r="AA69">
        <f>VLOOKUP($B69&amp;AA$1,Data!$A$2:$D$3723,4,FALSE)</f>
        <v>7.0999999999999994E-2</v>
      </c>
      <c r="AB69">
        <f>VLOOKUP($B69&amp;AB$1,Data!$A$2:$D$3723,4,FALSE)</f>
        <v>-8.9999999999999993E-3</v>
      </c>
      <c r="AC69">
        <f>VLOOKUP($B69&amp;AC$1,Data!$A$2:$D$3723,4,FALSE)</f>
        <v>0.159</v>
      </c>
      <c r="AD69">
        <f>VLOOKUP($B69&amp;AD$1,Data!$A$2:$D$3723,4,FALSE)</f>
        <v>2.5000000000000001E-2</v>
      </c>
      <c r="AE69">
        <f>VLOOKUP($B69&amp;AE$1,Data!$A$2:$D$3723,4,FALSE)</f>
        <v>3.7999999999999999E-2</v>
      </c>
      <c r="AF69">
        <f>VLOOKUP($B69&amp;AF$1,Data!$A$2:$D$3723,4,FALSE)</f>
        <v>0.17299999999999999</v>
      </c>
      <c r="AG69">
        <f>VLOOKUP($B69&amp;AG$1,Data!$A$2:$D$3723,4,FALSE)</f>
        <v>-7.6760000000000002</v>
      </c>
      <c r="AH69">
        <f>VLOOKUP($B69&amp;AH$1,Data!$A$2:$D$3723,4,FALSE)</f>
        <v>0</v>
      </c>
      <c r="AI69">
        <f>VLOOKUP($B69&amp;AI$1,Data!$A$2:$D$3723,4,FALSE)</f>
        <v>1200000000</v>
      </c>
    </row>
    <row r="70" spans="2:35" hidden="1">
      <c r="B70" s="13">
        <v>69</v>
      </c>
      <c r="C70" s="13" t="s">
        <v>55</v>
      </c>
      <c r="D70" t="s">
        <v>6</v>
      </c>
      <c r="E70" t="s">
        <v>2</v>
      </c>
      <c r="F70">
        <v>5000</v>
      </c>
      <c r="G70" t="s">
        <v>17</v>
      </c>
      <c r="H70" s="5">
        <v>43831</v>
      </c>
      <c r="I70" s="5">
        <v>44562</v>
      </c>
      <c r="J70">
        <v>14</v>
      </c>
      <c r="K70">
        <v>9</v>
      </c>
      <c r="L70">
        <v>32</v>
      </c>
      <c r="M70">
        <v>68</v>
      </c>
      <c r="N70">
        <v>1000000</v>
      </c>
      <c r="O70">
        <f>VLOOKUP($B70&amp;O$1,Data!$A$2:$D$3723,4,FALSE)</f>
        <v>0.19796</v>
      </c>
      <c r="P70">
        <f>VLOOKUP($B70&amp;P$1,Data!$A$2:$D$3723,4,FALSE)</f>
        <v>0.12</v>
      </c>
      <c r="Q70">
        <f>VLOOKUP($B70&amp;Q$1,Data!$A$2:$D$3723,4,FALSE)</f>
        <v>635</v>
      </c>
      <c r="R70">
        <f>VLOOKUP($B70&amp;R$1,Data!$A$2:$D$3723,4,FALSE)</f>
        <v>0.1142</v>
      </c>
      <c r="S70">
        <f>VLOOKUP($B70&amp;S$1,Data!$A$2:$D$3723,4,FALSE)</f>
        <v>-8.0299999999999996E-2</v>
      </c>
      <c r="T70">
        <f>VLOOKUP($B70&amp;T$1,Data!$A$2:$D$3723,4,FALSE)</f>
        <v>-0.51705000000000001</v>
      </c>
      <c r="U70">
        <f>VLOOKUP($B70&amp;U$1,Data!$A$2:$D$3723,4,FALSE)</f>
        <v>0.621</v>
      </c>
      <c r="V70">
        <f>VLOOKUP($B70&amp;V$1,Data!$A$2:$D$3723,4,FALSE)</f>
        <v>-0.13500000000000001</v>
      </c>
      <c r="W70">
        <f>VLOOKUP($B70&amp;W$1,Data!$A$2:$D$3723,4,FALSE)</f>
        <v>-0.37531999999999999</v>
      </c>
      <c r="X70">
        <f>VLOOKUP($B70&amp;X$1,Data!$A$2:$D$3723,4,FALSE)</f>
        <v>0.64</v>
      </c>
      <c r="Y70">
        <f>VLOOKUP($B70&amp;Y$1,Data!$A$2:$D$3723,4,FALSE)</f>
        <v>0.36</v>
      </c>
      <c r="Z70">
        <f>VLOOKUP($B70&amp;Z$1,Data!$A$2:$D$3723,4,FALSE)</f>
        <v>1.42</v>
      </c>
      <c r="AA70">
        <f>VLOOKUP($B70&amp;AA$1,Data!$A$2:$D$3723,4,FALSE)</f>
        <v>8.6999999999999994E-2</v>
      </c>
      <c r="AB70">
        <f>VLOOKUP($B70&amp;AB$1,Data!$A$2:$D$3723,4,FALSE)</f>
        <v>0.57599999999999996</v>
      </c>
      <c r="AC70">
        <f>VLOOKUP($B70&amp;AC$1,Data!$A$2:$D$3723,4,FALSE)</f>
        <v>1.0349999999999999</v>
      </c>
      <c r="AD70">
        <f>VLOOKUP($B70&amp;AD$1,Data!$A$2:$D$3723,4,FALSE)</f>
        <v>1.071</v>
      </c>
      <c r="AE70">
        <f>VLOOKUP($B70&amp;AE$1,Data!$A$2:$D$3723,4,FALSE)</f>
        <v>5.8000000000000003E-2</v>
      </c>
      <c r="AF70">
        <f>VLOOKUP($B70&amp;AF$1,Data!$A$2:$D$3723,4,FALSE)</f>
        <v>1.034</v>
      </c>
      <c r="AG70">
        <f>VLOOKUP($B70&amp;AG$1,Data!$A$2:$D$3723,4,FALSE)</f>
        <v>0.215</v>
      </c>
      <c r="AH70">
        <f>VLOOKUP($B70&amp;AH$1,Data!$A$2:$D$3723,4,FALSE)</f>
        <v>0</v>
      </c>
      <c r="AI70">
        <f>VLOOKUP($B70&amp;AI$1,Data!$A$2:$D$3723,4,FALSE)</f>
        <v>11000000</v>
      </c>
    </row>
    <row r="71" spans="2:35" hidden="1">
      <c r="B71" s="13">
        <v>70</v>
      </c>
      <c r="C71" s="13" t="s">
        <v>55</v>
      </c>
      <c r="D71" t="s">
        <v>6</v>
      </c>
      <c r="E71" t="s">
        <v>22</v>
      </c>
      <c r="F71">
        <v>100</v>
      </c>
      <c r="G71" t="s">
        <v>17</v>
      </c>
      <c r="H71" s="5">
        <v>43831</v>
      </c>
      <c r="I71" s="5">
        <v>44562</v>
      </c>
      <c r="J71">
        <v>14</v>
      </c>
      <c r="K71">
        <v>9</v>
      </c>
      <c r="L71">
        <v>32</v>
      </c>
      <c r="M71">
        <v>68</v>
      </c>
      <c r="N71">
        <v>1000000</v>
      </c>
      <c r="O71">
        <f>VLOOKUP($B71&amp;O$1,Data!$A$2:$D$3723,4,FALSE)</f>
        <v>0.84189999999999998</v>
      </c>
      <c r="P71">
        <f>VLOOKUP($B71&amp;P$1,Data!$A$2:$D$3723,4,FALSE)</f>
        <v>1.857</v>
      </c>
      <c r="Q71">
        <f>VLOOKUP($B71&amp;Q$1,Data!$A$2:$D$3723,4,FALSE)</f>
        <v>492</v>
      </c>
      <c r="R71">
        <f>VLOOKUP($B71&amp;R$1,Data!$A$2:$D$3723,4,FALSE)</f>
        <v>4.1000000000000003E-3</v>
      </c>
      <c r="S71">
        <f>VLOOKUP($B71&amp;S$1,Data!$A$2:$D$3723,4,FALSE)</f>
        <v>-1.6000000000000001E-3</v>
      </c>
      <c r="T71">
        <f>VLOOKUP($B71&amp;T$1,Data!$A$2:$D$3723,4,FALSE)</f>
        <v>3.9710000000000002E-2</v>
      </c>
      <c r="U71">
        <f>VLOOKUP($B71&amp;U$1,Data!$A$2:$D$3723,4,FALSE)</f>
        <v>0.01</v>
      </c>
      <c r="V71">
        <f>VLOOKUP($B71&amp;V$1,Data!$A$2:$D$3723,4,FALSE)</f>
        <v>0.99099999999999999</v>
      </c>
      <c r="W71">
        <f>VLOOKUP($B71&amp;W$1,Data!$A$2:$D$3723,4,FALSE)</f>
        <v>2.5499999999999998E-2</v>
      </c>
      <c r="X71">
        <f>VLOOKUP($B71&amp;X$1,Data!$A$2:$D$3723,4,FALSE)</f>
        <v>0.44</v>
      </c>
      <c r="Y71">
        <f>VLOOKUP($B71&amp;Y$1,Data!$A$2:$D$3723,4,FALSE)</f>
        <v>0.56000000000000005</v>
      </c>
      <c r="Z71">
        <f>VLOOKUP($B71&amp;Z$1,Data!$A$2:$D$3723,4,FALSE)</f>
        <v>2.54</v>
      </c>
      <c r="AA71">
        <f>VLOOKUP($B71&amp;AA$1,Data!$A$2:$D$3723,4,FALSE)</f>
        <v>2.8000000000000001E-2</v>
      </c>
      <c r="AB71">
        <f>VLOOKUP($B71&amp;AB$1,Data!$A$2:$D$3723,4,FALSE)</f>
        <v>-1E-3</v>
      </c>
      <c r="AC71">
        <f>VLOOKUP($B71&amp;AC$1,Data!$A$2:$D$3723,4,FALSE)</f>
        <v>1.4999999999999999E-2</v>
      </c>
      <c r="AD71">
        <f>VLOOKUP($B71&amp;AD$1,Data!$A$2:$D$3723,4,FALSE)</f>
        <v>0</v>
      </c>
      <c r="AE71">
        <f>VLOOKUP($B71&amp;AE$1,Data!$A$2:$D$3723,4,FALSE)</f>
        <v>-0.52900000000000003</v>
      </c>
      <c r="AF71">
        <f>VLOOKUP($B71&amp;AF$1,Data!$A$2:$D$3723,4,FALSE)</f>
        <v>6.8000000000000005E-2</v>
      </c>
      <c r="AG71">
        <f>VLOOKUP($B71&amp;AG$1,Data!$A$2:$D$3723,4,FALSE)</f>
        <v>-23.795000000000002</v>
      </c>
      <c r="AH71">
        <f>VLOOKUP($B71&amp;AH$1,Data!$A$2:$D$3723,4,FALSE)</f>
        <v>0</v>
      </c>
      <c r="AI71">
        <f>VLOOKUP($B71&amp;AI$1,Data!$A$2:$D$3723,4,FALSE)</f>
        <v>660000000</v>
      </c>
    </row>
    <row r="72" spans="2:35" hidden="1">
      <c r="B72" s="13">
        <v>71</v>
      </c>
      <c r="C72" s="13" t="s">
        <v>55</v>
      </c>
      <c r="D72" t="s">
        <v>6</v>
      </c>
      <c r="E72" t="s">
        <v>22</v>
      </c>
      <c r="F72">
        <v>1000</v>
      </c>
      <c r="G72" t="s">
        <v>17</v>
      </c>
      <c r="H72" s="5">
        <v>43831</v>
      </c>
      <c r="I72" s="5">
        <v>44562</v>
      </c>
      <c r="J72">
        <v>14</v>
      </c>
      <c r="K72">
        <v>9</v>
      </c>
      <c r="L72">
        <v>32</v>
      </c>
      <c r="M72">
        <v>68</v>
      </c>
      <c r="N72">
        <v>1000000</v>
      </c>
      <c r="O72">
        <f>VLOOKUP($B72&amp;O$1,Data!$A$2:$D$3723,4,FALSE)</f>
        <v>0.83750999999999998</v>
      </c>
      <c r="P72">
        <f>VLOOKUP($B72&amp;P$1,Data!$A$2:$D$3723,4,FALSE)</f>
        <v>2.0539999999999998</v>
      </c>
      <c r="Q72">
        <f>VLOOKUP($B72&amp;Q$1,Data!$A$2:$D$3723,4,FALSE)</f>
        <v>492</v>
      </c>
      <c r="R72">
        <f>VLOOKUP($B72&amp;R$1,Data!$A$2:$D$3723,4,FALSE)</f>
        <v>3.8300000000000001E-2</v>
      </c>
      <c r="S72">
        <f>VLOOKUP($B72&amp;S$1,Data!$A$2:$D$3723,4,FALSE)</f>
        <v>-1.5100000000000001E-2</v>
      </c>
      <c r="T72">
        <f>VLOOKUP($B72&amp;T$1,Data!$A$2:$D$3723,4,FALSE)</f>
        <v>0.42092000000000002</v>
      </c>
      <c r="U72">
        <f>VLOOKUP($B72&amp;U$1,Data!$A$2:$D$3723,4,FALSE)</f>
        <v>8.6999999999999994E-2</v>
      </c>
      <c r="V72">
        <f>VLOOKUP($B72&amp;V$1,Data!$A$2:$D$3723,4,FALSE)</f>
        <v>0.99099999999999999</v>
      </c>
      <c r="W72">
        <f>VLOOKUP($B72&amp;W$1,Data!$A$2:$D$3723,4,FALSE)</f>
        <v>0.25496000000000002</v>
      </c>
      <c r="X72">
        <f>VLOOKUP($B72&amp;X$1,Data!$A$2:$D$3723,4,FALSE)</f>
        <v>0.44</v>
      </c>
      <c r="Y72">
        <f>VLOOKUP($B72&amp;Y$1,Data!$A$2:$D$3723,4,FALSE)</f>
        <v>0.56000000000000005</v>
      </c>
      <c r="Z72">
        <f>VLOOKUP($B72&amp;Z$1,Data!$A$2:$D$3723,4,FALSE)</f>
        <v>2.54</v>
      </c>
      <c r="AA72">
        <f>VLOOKUP($B72&amp;AA$1,Data!$A$2:$D$3723,4,FALSE)</f>
        <v>0.28899999999999998</v>
      </c>
      <c r="AB72">
        <f>VLOOKUP($B72&amp;AB$1,Data!$A$2:$D$3723,4,FALSE)</f>
        <v>-1.6E-2</v>
      </c>
      <c r="AC72">
        <f>VLOOKUP($B72&amp;AC$1,Data!$A$2:$D$3723,4,FALSE)</f>
        <v>0.14000000000000001</v>
      </c>
      <c r="AD72">
        <f>VLOOKUP($B72&amp;AD$1,Data!$A$2:$D$3723,4,FALSE)</f>
        <v>0.02</v>
      </c>
      <c r="AE72">
        <f>VLOOKUP($B72&amp;AE$1,Data!$A$2:$D$3723,4,FALSE)</f>
        <v>1.44</v>
      </c>
      <c r="AF72">
        <f>VLOOKUP($B72&amp;AF$1,Data!$A$2:$D$3723,4,FALSE)</f>
        <v>0.156</v>
      </c>
      <c r="AG72">
        <f>VLOOKUP($B72&amp;AG$1,Data!$A$2:$D$3723,4,FALSE)</f>
        <v>-17.841999999999999</v>
      </c>
      <c r="AH72">
        <f>VLOOKUP($B72&amp;AH$1,Data!$A$2:$D$3723,4,FALSE)</f>
        <v>0</v>
      </c>
      <c r="AI72">
        <f>VLOOKUP($B72&amp;AI$1,Data!$A$2:$D$3723,4,FALSE)</f>
        <v>85000000</v>
      </c>
    </row>
    <row r="73" spans="2:35" hidden="1">
      <c r="B73" s="13">
        <v>72</v>
      </c>
      <c r="C73" s="13" t="s">
        <v>55</v>
      </c>
      <c r="D73" t="s">
        <v>6</v>
      </c>
      <c r="E73" t="s">
        <v>22</v>
      </c>
      <c r="F73">
        <v>5000</v>
      </c>
      <c r="G73" t="s">
        <v>17</v>
      </c>
      <c r="H73" s="5">
        <v>43831</v>
      </c>
      <c r="I73" s="5">
        <v>44562</v>
      </c>
      <c r="J73">
        <v>14</v>
      </c>
      <c r="K73">
        <v>9</v>
      </c>
      <c r="L73">
        <v>32</v>
      </c>
      <c r="M73">
        <v>68</v>
      </c>
      <c r="N73">
        <v>1000000</v>
      </c>
      <c r="O73">
        <f>VLOOKUP($B73&amp;O$1,Data!$A$2:$D$3723,4,FALSE)</f>
        <v>0.83565999999999996</v>
      </c>
      <c r="P73">
        <f>VLOOKUP($B73&amp;P$1,Data!$A$2:$D$3723,4,FALSE)</f>
        <v>3.069</v>
      </c>
      <c r="Q73">
        <f>VLOOKUP($B73&amp;Q$1,Data!$A$2:$D$3723,4,FALSE)</f>
        <v>492</v>
      </c>
      <c r="R73">
        <f>VLOOKUP($B73&amp;R$1,Data!$A$2:$D$3723,4,FALSE)</f>
        <v>0.1603</v>
      </c>
      <c r="S73">
        <f>VLOOKUP($B73&amp;S$1,Data!$A$2:$D$3723,4,FALSE)</f>
        <v>-6.0400000000000002E-2</v>
      </c>
      <c r="T73">
        <f>VLOOKUP($B73&amp;T$1,Data!$A$2:$D$3723,4,FALSE)</f>
        <v>2.5657299999999998</v>
      </c>
      <c r="U73">
        <f>VLOOKUP($B73&amp;U$1,Data!$A$2:$D$3723,4,FALSE)</f>
        <v>0.314</v>
      </c>
      <c r="V73">
        <f>VLOOKUP($B73&amp;V$1,Data!$A$2:$D$3723,4,FALSE)</f>
        <v>1.0549999999999999</v>
      </c>
      <c r="W73">
        <f>VLOOKUP($B73&amp;W$1,Data!$A$2:$D$3723,4,FALSE)</f>
        <v>1.2747999999999999</v>
      </c>
      <c r="X73">
        <f>VLOOKUP($B73&amp;X$1,Data!$A$2:$D$3723,4,FALSE)</f>
        <v>0.44</v>
      </c>
      <c r="Y73">
        <f>VLOOKUP($B73&amp;Y$1,Data!$A$2:$D$3723,4,FALSE)</f>
        <v>0.56000000000000005</v>
      </c>
      <c r="Z73">
        <f>VLOOKUP($B73&amp;Z$1,Data!$A$2:$D$3723,4,FALSE)</f>
        <v>2.65</v>
      </c>
      <c r="AA73">
        <f>VLOOKUP($B73&amp;AA$1,Data!$A$2:$D$3723,4,FALSE)</f>
        <v>1.8280000000000001</v>
      </c>
      <c r="AB73">
        <f>VLOOKUP($B73&amp;AB$1,Data!$A$2:$D$3723,4,FALSE)</f>
        <v>-0.126</v>
      </c>
      <c r="AC73">
        <f>VLOOKUP($B73&amp;AC$1,Data!$A$2:$D$3723,4,FALSE)</f>
        <v>0.59299999999999997</v>
      </c>
      <c r="AD73">
        <f>VLOOKUP($B73&amp;AD$1,Data!$A$2:$D$3723,4,FALSE)</f>
        <v>0.35199999999999998</v>
      </c>
      <c r="AE73">
        <f>VLOOKUP($B73&amp;AE$1,Data!$A$2:$D$3723,4,FALSE)</f>
        <v>2.9380000000000002</v>
      </c>
      <c r="AF73">
        <f>VLOOKUP($B73&amp;AF$1,Data!$A$2:$D$3723,4,FALSE)</f>
        <v>0.59799999999999998</v>
      </c>
      <c r="AG73">
        <f>VLOOKUP($B73&amp;AG$1,Data!$A$2:$D$3723,4,FALSE)</f>
        <v>-14.420999999999999</v>
      </c>
      <c r="AH73">
        <f>VLOOKUP($B73&amp;AH$1,Data!$A$2:$D$3723,4,FALSE)</f>
        <v>0</v>
      </c>
      <c r="AI73">
        <f>VLOOKUP($B73&amp;AI$1,Data!$A$2:$D$3723,4,FALSE)</f>
        <v>34000000</v>
      </c>
    </row>
    <row r="74" spans="2:35" hidden="1">
      <c r="B74" s="13">
        <v>73</v>
      </c>
      <c r="C74" s="13" t="s">
        <v>55</v>
      </c>
      <c r="D74" t="s">
        <v>6</v>
      </c>
      <c r="E74" t="s">
        <v>3</v>
      </c>
      <c r="F74">
        <v>100</v>
      </c>
      <c r="G74" t="s">
        <v>17</v>
      </c>
      <c r="H74" s="5">
        <v>43831</v>
      </c>
      <c r="I74" s="5">
        <v>44562</v>
      </c>
      <c r="J74">
        <v>14</v>
      </c>
      <c r="K74">
        <v>9</v>
      </c>
      <c r="L74">
        <v>28</v>
      </c>
      <c r="M74">
        <v>72</v>
      </c>
      <c r="N74">
        <v>1000000</v>
      </c>
      <c r="O74">
        <f>VLOOKUP($B74&amp;O$1,Data!$A$2:$D$3723,4,FALSE)</f>
        <v>0.36726999999999999</v>
      </c>
      <c r="P74">
        <f>VLOOKUP($B74&amp;P$1,Data!$A$2:$D$3723,4,FALSE)</f>
        <v>0.64800000000000002</v>
      </c>
      <c r="Q74">
        <f>VLOOKUP($B74&amp;Q$1,Data!$A$2:$D$3723,4,FALSE)</f>
        <v>688</v>
      </c>
      <c r="R74">
        <f>VLOOKUP($B74&amp;R$1,Data!$A$2:$D$3723,4,FALSE)</f>
        <v>2.3E-3</v>
      </c>
      <c r="S74">
        <f>VLOOKUP($B74&amp;S$1,Data!$A$2:$D$3723,4,FALSE)</f>
        <v>-1.4E-3</v>
      </c>
      <c r="T74">
        <f>VLOOKUP($B74&amp;T$1,Data!$A$2:$D$3723,4,FALSE)</f>
        <v>1.455E-2</v>
      </c>
      <c r="U74">
        <f>VLOOKUP($B74&amp;U$1,Data!$A$2:$D$3723,4,FALSE)</f>
        <v>1.2999999999999999E-2</v>
      </c>
      <c r="V74">
        <f>VLOOKUP($B74&amp;V$1,Data!$A$2:$D$3723,4,FALSE)</f>
        <v>0.30099999999999999</v>
      </c>
      <c r="W74">
        <f>VLOOKUP($B74&amp;W$1,Data!$A$2:$D$3723,4,FALSE)</f>
        <v>9.3799999999999994E-3</v>
      </c>
      <c r="X74">
        <f>VLOOKUP($B74&amp;X$1,Data!$A$2:$D$3723,4,FALSE)</f>
        <v>0.5</v>
      </c>
      <c r="Y74">
        <f>VLOOKUP($B74&amp;Y$1,Data!$A$2:$D$3723,4,FALSE)</f>
        <v>0.5</v>
      </c>
      <c r="Z74">
        <f>VLOOKUP($B74&amp;Z$1,Data!$A$2:$D$3723,4,FALSE)</f>
        <v>1.6</v>
      </c>
      <c r="AA74">
        <f>VLOOKUP($B74&amp;AA$1,Data!$A$2:$D$3723,4,FALSE)</f>
        <v>8.9999999999999993E-3</v>
      </c>
      <c r="AB74">
        <f>VLOOKUP($B74&amp;AB$1,Data!$A$2:$D$3723,4,FALSE)</f>
        <v>2.5000000000000001E-2</v>
      </c>
      <c r="AC74">
        <f>VLOOKUP($B74&amp;AC$1,Data!$A$2:$D$3723,4,FALSE)</f>
        <v>1.6E-2</v>
      </c>
      <c r="AD74">
        <f>VLOOKUP($B74&amp;AD$1,Data!$A$2:$D$3723,4,FALSE)</f>
        <v>0</v>
      </c>
      <c r="AE74">
        <f>VLOOKUP($B74&amp;AE$1,Data!$A$2:$D$3723,4,FALSE)</f>
        <v>-0.8</v>
      </c>
      <c r="AF74">
        <f>VLOOKUP($B74&amp;AF$1,Data!$A$2:$D$3723,4,FALSE)</f>
        <v>6.7000000000000004E-2</v>
      </c>
      <c r="AG74">
        <f>VLOOKUP($B74&amp;AG$1,Data!$A$2:$D$3723,4,FALSE)</f>
        <v>0.40600000000000003</v>
      </c>
      <c r="AH74">
        <f>VLOOKUP($B74&amp;AH$1,Data!$A$2:$D$3723,4,FALSE)</f>
        <v>0</v>
      </c>
      <c r="AI74">
        <f>VLOOKUP($B74&amp;AI$1,Data!$A$2:$D$3723,4,FALSE)</f>
        <v>16000000</v>
      </c>
    </row>
    <row r="75" spans="2:35" hidden="1">
      <c r="B75" s="13">
        <v>74</v>
      </c>
      <c r="C75" s="13" t="s">
        <v>55</v>
      </c>
      <c r="D75" t="s">
        <v>6</v>
      </c>
      <c r="E75" t="s">
        <v>3</v>
      </c>
      <c r="F75">
        <v>1000</v>
      </c>
      <c r="G75" t="s">
        <v>17</v>
      </c>
      <c r="H75" s="5">
        <v>43831</v>
      </c>
      <c r="I75" s="5">
        <v>44562</v>
      </c>
      <c r="J75">
        <v>14</v>
      </c>
      <c r="K75">
        <v>9</v>
      </c>
      <c r="L75">
        <v>28</v>
      </c>
      <c r="M75">
        <v>72</v>
      </c>
      <c r="N75">
        <v>1000000</v>
      </c>
      <c r="O75">
        <f>VLOOKUP($B75&amp;O$1,Data!$A$2:$D$3723,4,FALSE)</f>
        <v>0.38724999999999998</v>
      </c>
      <c r="P75">
        <f>VLOOKUP($B75&amp;P$1,Data!$A$2:$D$3723,4,FALSE)</f>
        <v>0.74</v>
      </c>
      <c r="Q75">
        <f>VLOOKUP($B75&amp;Q$1,Data!$A$2:$D$3723,4,FALSE)</f>
        <v>688</v>
      </c>
      <c r="R75">
        <f>VLOOKUP($B75&amp;R$1,Data!$A$2:$D$3723,4,FALSE)</f>
        <v>2.24E-2</v>
      </c>
      <c r="S75">
        <f>VLOOKUP($B75&amp;S$1,Data!$A$2:$D$3723,4,FALSE)</f>
        <v>-1.3599999999999999E-2</v>
      </c>
      <c r="T75">
        <f>VLOOKUP($B75&amp;T$1,Data!$A$2:$D$3723,4,FALSE)</f>
        <v>0.14881</v>
      </c>
      <c r="U75">
        <f>VLOOKUP($B75&amp;U$1,Data!$A$2:$D$3723,4,FALSE)</f>
        <v>0.11600000000000001</v>
      </c>
      <c r="V75">
        <f>VLOOKUP($B75&amp;V$1,Data!$A$2:$D$3723,4,FALSE)</f>
        <v>0.32200000000000001</v>
      </c>
      <c r="W75">
        <f>VLOOKUP($B75&amp;W$1,Data!$A$2:$D$3723,4,FALSE)</f>
        <v>9.3820000000000001E-2</v>
      </c>
      <c r="X75">
        <f>VLOOKUP($B75&amp;X$1,Data!$A$2:$D$3723,4,FALSE)</f>
        <v>0.5</v>
      </c>
      <c r="Y75">
        <f>VLOOKUP($B75&amp;Y$1,Data!$A$2:$D$3723,4,FALSE)</f>
        <v>0.5</v>
      </c>
      <c r="Z75">
        <f>VLOOKUP($B75&amp;Z$1,Data!$A$2:$D$3723,4,FALSE)</f>
        <v>1.64</v>
      </c>
      <c r="AA75">
        <f>VLOOKUP($B75&amp;AA$1,Data!$A$2:$D$3723,4,FALSE)</f>
        <v>9.9000000000000005E-2</v>
      </c>
      <c r="AB75">
        <f>VLOOKUP($B75&amp;AB$1,Data!$A$2:$D$3723,4,FALSE)</f>
        <v>0.23599999999999999</v>
      </c>
      <c r="AC75">
        <f>VLOOKUP($B75&amp;AC$1,Data!$A$2:$D$3723,4,FALSE)</f>
        <v>0.154</v>
      </c>
      <c r="AD75">
        <f>VLOOKUP($B75&amp;AD$1,Data!$A$2:$D$3723,4,FALSE)</f>
        <v>2.4E-2</v>
      </c>
      <c r="AE75">
        <f>VLOOKUP($B75&amp;AE$1,Data!$A$2:$D$3723,4,FALSE)</f>
        <v>0.312</v>
      </c>
      <c r="AF75">
        <f>VLOOKUP($B75&amp;AF$1,Data!$A$2:$D$3723,4,FALSE)</f>
        <v>0.16200000000000001</v>
      </c>
      <c r="AG75">
        <f>VLOOKUP($B75&amp;AG$1,Data!$A$2:$D$3723,4,FALSE)</f>
        <v>0.48199999999999998</v>
      </c>
      <c r="AH75">
        <f>VLOOKUP($B75&amp;AH$1,Data!$A$2:$D$3723,4,FALSE)</f>
        <v>0</v>
      </c>
      <c r="AI75">
        <f>VLOOKUP($B75&amp;AI$1,Data!$A$2:$D$3723,4,FALSE)</f>
        <v>3600000</v>
      </c>
    </row>
    <row r="76" spans="2:35" hidden="1">
      <c r="B76" s="13">
        <v>75</v>
      </c>
      <c r="C76" s="13" t="s">
        <v>55</v>
      </c>
      <c r="D76" t="s">
        <v>6</v>
      </c>
      <c r="E76" t="s">
        <v>3</v>
      </c>
      <c r="F76">
        <v>5000</v>
      </c>
      <c r="G76" t="s">
        <v>17</v>
      </c>
      <c r="H76" s="5">
        <v>43831</v>
      </c>
      <c r="I76" s="5">
        <v>44562</v>
      </c>
      <c r="J76">
        <v>14</v>
      </c>
      <c r="K76">
        <v>9</v>
      </c>
      <c r="L76">
        <v>28</v>
      </c>
      <c r="M76">
        <v>72</v>
      </c>
      <c r="N76">
        <v>1000000</v>
      </c>
      <c r="O76">
        <f>VLOOKUP($B76&amp;O$1,Data!$A$2:$D$3723,4,FALSE)</f>
        <v>0.47072000000000003</v>
      </c>
      <c r="P76">
        <f>VLOOKUP($B76&amp;P$1,Data!$A$2:$D$3723,4,FALSE)</f>
        <v>1.329</v>
      </c>
      <c r="Q76">
        <f>VLOOKUP($B76&amp;Q$1,Data!$A$2:$D$3723,4,FALSE)</f>
        <v>688</v>
      </c>
      <c r="R76">
        <f>VLOOKUP($B76&amp;R$1,Data!$A$2:$D$3723,4,FALSE)</f>
        <v>0.1079</v>
      </c>
      <c r="S76">
        <f>VLOOKUP($B76&amp;S$1,Data!$A$2:$D$3723,4,FALSE)</f>
        <v>-5.9400000000000001E-2</v>
      </c>
      <c r="T76">
        <f>VLOOKUP($B76&amp;T$1,Data!$A$2:$D$3723,4,FALSE)</f>
        <v>0.81308999999999998</v>
      </c>
      <c r="U76">
        <f>VLOOKUP($B76&amp;U$1,Data!$A$2:$D$3723,4,FALSE)</f>
        <v>0.44</v>
      </c>
      <c r="V76">
        <f>VLOOKUP($B76&amp;V$1,Data!$A$2:$D$3723,4,FALSE)</f>
        <v>0.40799999999999997</v>
      </c>
      <c r="W76">
        <f>VLOOKUP($B76&amp;W$1,Data!$A$2:$D$3723,4,FALSE)</f>
        <v>0.46911999999999998</v>
      </c>
      <c r="X76">
        <f>VLOOKUP($B76&amp;X$1,Data!$A$2:$D$3723,4,FALSE)</f>
        <v>0.5</v>
      </c>
      <c r="Y76">
        <f>VLOOKUP($B76&amp;Y$1,Data!$A$2:$D$3723,4,FALSE)</f>
        <v>0.5</v>
      </c>
      <c r="Z76">
        <f>VLOOKUP($B76&amp;Z$1,Data!$A$2:$D$3723,4,FALSE)</f>
        <v>1.82</v>
      </c>
      <c r="AA76">
        <f>VLOOKUP($B76&amp;AA$1,Data!$A$2:$D$3723,4,FALSE)</f>
        <v>0.93600000000000005</v>
      </c>
      <c r="AB76">
        <f>VLOOKUP($B76&amp;AB$1,Data!$A$2:$D$3723,4,FALSE)</f>
        <v>0.86799999999999999</v>
      </c>
      <c r="AC76">
        <f>VLOOKUP($B76&amp;AC$1,Data!$A$2:$D$3723,4,FALSE)</f>
        <v>0.746</v>
      </c>
      <c r="AD76">
        <f>VLOOKUP($B76&amp;AD$1,Data!$A$2:$D$3723,4,FALSE)</f>
        <v>0.55600000000000005</v>
      </c>
      <c r="AE76">
        <f>VLOOKUP($B76&amp;AE$1,Data!$A$2:$D$3723,4,FALSE)</f>
        <v>1.2470000000000001</v>
      </c>
      <c r="AF76">
        <f>VLOOKUP($B76&amp;AF$1,Data!$A$2:$D$3723,4,FALSE)</f>
        <v>0.74399999999999999</v>
      </c>
      <c r="AG76">
        <f>VLOOKUP($B76&amp;AG$1,Data!$A$2:$D$3723,4,FALSE)</f>
        <v>1.1419999999999999</v>
      </c>
      <c r="AH76">
        <f>VLOOKUP($B76&amp;AH$1,Data!$A$2:$D$3723,4,FALSE)</f>
        <v>0</v>
      </c>
      <c r="AI76">
        <f>VLOOKUP($B76&amp;AI$1,Data!$A$2:$D$3723,4,FALSE)</f>
        <v>2000000</v>
      </c>
    </row>
    <row r="77" spans="2:35" hidden="1">
      <c r="B77" s="13">
        <v>76</v>
      </c>
      <c r="C77" s="13" t="s">
        <v>55</v>
      </c>
      <c r="D77" t="s">
        <v>6</v>
      </c>
      <c r="E77" t="s">
        <v>2</v>
      </c>
      <c r="F77">
        <v>100</v>
      </c>
      <c r="G77" t="s">
        <v>17</v>
      </c>
      <c r="H77" s="5">
        <v>43831</v>
      </c>
      <c r="I77" s="5">
        <v>44562</v>
      </c>
      <c r="J77">
        <v>14</v>
      </c>
      <c r="K77">
        <v>9</v>
      </c>
      <c r="L77">
        <v>28</v>
      </c>
      <c r="M77">
        <v>72</v>
      </c>
      <c r="N77">
        <v>1000000</v>
      </c>
      <c r="O77">
        <f>VLOOKUP($B77&amp;O$1,Data!$A$2:$D$3723,4,FALSE)</f>
        <v>0.27840999999999999</v>
      </c>
      <c r="P77">
        <f>VLOOKUP($B77&amp;P$1,Data!$A$2:$D$3723,4,FALSE)</f>
        <v>0.38200000000000001</v>
      </c>
      <c r="Q77">
        <f>VLOOKUP($B77&amp;Q$1,Data!$A$2:$D$3723,4,FALSE)</f>
        <v>398</v>
      </c>
      <c r="R77">
        <f>VLOOKUP($B77&amp;R$1,Data!$A$2:$D$3723,4,FALSE)</f>
        <v>3.3999999999999998E-3</v>
      </c>
      <c r="S77">
        <f>VLOOKUP($B77&amp;S$1,Data!$A$2:$D$3723,4,FALSE)</f>
        <v>-3.3E-3</v>
      </c>
      <c r="T77">
        <f>VLOOKUP($B77&amp;T$1,Data!$A$2:$D$3723,4,FALSE)</f>
        <v>8.1799999999999998E-3</v>
      </c>
      <c r="U77">
        <f>VLOOKUP($B77&amp;U$1,Data!$A$2:$D$3723,4,FALSE)</f>
        <v>0.02</v>
      </c>
      <c r="V77">
        <f>VLOOKUP($B77&amp;V$1,Data!$A$2:$D$3723,4,FALSE)</f>
        <v>0.108</v>
      </c>
      <c r="W77">
        <f>VLOOKUP($B77&amp;W$1,Data!$A$2:$D$3723,4,FALSE)</f>
        <v>5.28E-3</v>
      </c>
      <c r="X77">
        <f>VLOOKUP($B77&amp;X$1,Data!$A$2:$D$3723,4,FALSE)</f>
        <v>0.46</v>
      </c>
      <c r="Y77">
        <f>VLOOKUP($B77&amp;Y$1,Data!$A$2:$D$3723,4,FALSE)</f>
        <v>0.54</v>
      </c>
      <c r="Z77">
        <f>VLOOKUP($B77&amp;Z$1,Data!$A$2:$D$3723,4,FALSE)</f>
        <v>1.06</v>
      </c>
      <c r="AA77">
        <f>VLOOKUP($B77&amp;AA$1,Data!$A$2:$D$3723,4,FALSE)</f>
        <v>6.0000000000000001E-3</v>
      </c>
      <c r="AB77">
        <f>VLOOKUP($B77&amp;AB$1,Data!$A$2:$D$3723,4,FALSE)</f>
        <v>-1E-3</v>
      </c>
      <c r="AC77">
        <f>VLOOKUP($B77&amp;AC$1,Data!$A$2:$D$3723,4,FALSE)</f>
        <v>1.4999999999999999E-2</v>
      </c>
      <c r="AD77">
        <f>VLOOKUP($B77&amp;AD$1,Data!$A$2:$D$3723,4,FALSE)</f>
        <v>0</v>
      </c>
      <c r="AE77">
        <f>VLOOKUP($B77&amp;AE$1,Data!$A$2:$D$3723,4,FALSE)</f>
        <v>-0.84499999999999997</v>
      </c>
      <c r="AF77">
        <f>VLOOKUP($B77&amp;AF$1,Data!$A$2:$D$3723,4,FALSE)</f>
        <v>6.9000000000000006E-2</v>
      </c>
      <c r="AG77">
        <f>VLOOKUP($B77&amp;AG$1,Data!$A$2:$D$3723,4,FALSE)</f>
        <v>-5.5830000000000002</v>
      </c>
      <c r="AH77">
        <f>VLOOKUP($B77&amp;AH$1,Data!$A$2:$D$3723,4,FALSE)</f>
        <v>0</v>
      </c>
      <c r="AI77">
        <f>VLOOKUP($B77&amp;AI$1,Data!$A$2:$D$3723,4,FALSE)</f>
        <v>4100000000</v>
      </c>
    </row>
    <row r="78" spans="2:35" hidden="1">
      <c r="B78" s="13">
        <v>77</v>
      </c>
      <c r="C78" s="13" t="s">
        <v>55</v>
      </c>
      <c r="D78" t="s">
        <v>6</v>
      </c>
      <c r="E78" t="s">
        <v>2</v>
      </c>
      <c r="F78">
        <v>1000</v>
      </c>
      <c r="G78" t="s">
        <v>17</v>
      </c>
      <c r="H78" s="5">
        <v>43831</v>
      </c>
      <c r="I78" s="5">
        <v>44562</v>
      </c>
      <c r="J78">
        <v>14</v>
      </c>
      <c r="K78">
        <v>9</v>
      </c>
      <c r="L78">
        <v>28</v>
      </c>
      <c r="M78">
        <v>72</v>
      </c>
      <c r="N78">
        <v>1000000</v>
      </c>
      <c r="O78">
        <f>VLOOKUP($B78&amp;O$1,Data!$A$2:$D$3723,4,FALSE)</f>
        <v>0.42574000000000001</v>
      </c>
      <c r="P78">
        <f>VLOOKUP($B78&amp;P$1,Data!$A$2:$D$3723,4,FALSE)</f>
        <v>1.212</v>
      </c>
      <c r="Q78">
        <f>VLOOKUP($B78&amp;Q$1,Data!$A$2:$D$3723,4,FALSE)</f>
        <v>383</v>
      </c>
      <c r="R78">
        <f>VLOOKUP($B78&amp;R$1,Data!$A$2:$D$3723,4,FALSE)</f>
        <v>0.21609999999999999</v>
      </c>
      <c r="S78">
        <f>VLOOKUP($B78&amp;S$1,Data!$A$2:$D$3723,4,FALSE)</f>
        <v>-0.1457</v>
      </c>
      <c r="T78">
        <f>VLOOKUP($B78&amp;T$1,Data!$A$2:$D$3723,4,FALSE)</f>
        <v>0.60529999999999995</v>
      </c>
      <c r="U78">
        <f>VLOOKUP($B78&amp;U$1,Data!$A$2:$D$3723,4,FALSE)</f>
        <v>0.72299999999999998</v>
      </c>
      <c r="V78">
        <f>VLOOKUP($B78&amp;V$1,Data!$A$2:$D$3723,4,FALSE)</f>
        <v>0.32400000000000001</v>
      </c>
      <c r="W78">
        <f>VLOOKUP($B78&amp;W$1,Data!$A$2:$D$3723,4,FALSE)</f>
        <v>0.35619000000000001</v>
      </c>
      <c r="X78">
        <f>VLOOKUP($B78&amp;X$1,Data!$A$2:$D$3723,4,FALSE)</f>
        <v>0.47</v>
      </c>
      <c r="Y78">
        <f>VLOOKUP($B78&amp;Y$1,Data!$A$2:$D$3723,4,FALSE)</f>
        <v>0.53</v>
      </c>
      <c r="Z78">
        <f>VLOOKUP($B78&amp;Z$1,Data!$A$2:$D$3723,4,FALSE)</f>
        <v>1.48</v>
      </c>
      <c r="AA78">
        <f>VLOOKUP($B78&amp;AA$1,Data!$A$2:$D$3723,4,FALSE)</f>
        <v>1.139</v>
      </c>
      <c r="AB78">
        <f>VLOOKUP($B78&amp;AB$1,Data!$A$2:$D$3723,4,FALSE)</f>
        <v>-8.9999999999999993E-3</v>
      </c>
      <c r="AC78">
        <f>VLOOKUP($B78&amp;AC$1,Data!$A$2:$D$3723,4,FALSE)</f>
        <v>0.93799999999999994</v>
      </c>
      <c r="AD78">
        <f>VLOOKUP($B78&amp;AD$1,Data!$A$2:$D$3723,4,FALSE)</f>
        <v>0.88100000000000001</v>
      </c>
      <c r="AE78">
        <f>VLOOKUP($B78&amp;AE$1,Data!$A$2:$D$3723,4,FALSE)</f>
        <v>1.141</v>
      </c>
      <c r="AF78">
        <f>VLOOKUP($B78&amp;AF$1,Data!$A$2:$D$3723,4,FALSE)</f>
        <v>0.94099999999999995</v>
      </c>
      <c r="AG78">
        <f>VLOOKUP($B78&amp;AG$1,Data!$A$2:$D$3723,4,FALSE)</f>
        <v>-121.6</v>
      </c>
      <c r="AH78">
        <f>VLOOKUP($B78&amp;AH$1,Data!$A$2:$D$3723,4,FALSE)</f>
        <v>0</v>
      </c>
      <c r="AI78">
        <f>VLOOKUP($B78&amp;AI$1,Data!$A$2:$D$3723,4,FALSE)</f>
        <v>320000000</v>
      </c>
    </row>
    <row r="79" spans="2:35" hidden="1">
      <c r="B79" s="13">
        <v>78</v>
      </c>
      <c r="C79" s="13" t="s">
        <v>55</v>
      </c>
      <c r="D79" t="s">
        <v>6</v>
      </c>
      <c r="E79" t="s">
        <v>2</v>
      </c>
      <c r="F79">
        <v>5000</v>
      </c>
      <c r="G79" t="s">
        <v>17</v>
      </c>
      <c r="H79" s="5">
        <v>43831</v>
      </c>
      <c r="I79" s="5">
        <v>44562</v>
      </c>
      <c r="J79">
        <v>14</v>
      </c>
      <c r="K79">
        <v>9</v>
      </c>
      <c r="L79">
        <v>28</v>
      </c>
      <c r="M79">
        <v>72</v>
      </c>
      <c r="N79">
        <v>1000000</v>
      </c>
      <c r="O79">
        <f>VLOOKUP($B79&amp;O$1,Data!$A$2:$D$3723,4,FALSE)</f>
        <v>0.42503999999999997</v>
      </c>
      <c r="P79">
        <f>VLOOKUP($B79&amp;P$1,Data!$A$2:$D$3723,4,FALSE)</f>
        <v>1.208</v>
      </c>
      <c r="Q79">
        <f>VLOOKUP($B79&amp;Q$1,Data!$A$2:$D$3723,4,FALSE)</f>
        <v>388</v>
      </c>
      <c r="R79">
        <f>VLOOKUP($B79&amp;R$1,Data!$A$2:$D$3723,4,FALSE)</f>
        <v>0.21609999999999999</v>
      </c>
      <c r="S79">
        <f>VLOOKUP($B79&amp;S$1,Data!$A$2:$D$3723,4,FALSE)</f>
        <v>-0.1457</v>
      </c>
      <c r="T79">
        <f>VLOOKUP($B79&amp;T$1,Data!$A$2:$D$3723,4,FALSE)</f>
        <v>0.60277999999999998</v>
      </c>
      <c r="U79">
        <f>VLOOKUP($B79&amp;U$1,Data!$A$2:$D$3723,4,FALSE)</f>
        <v>0.72299999999999998</v>
      </c>
      <c r="V79">
        <f>VLOOKUP($B79&amp;V$1,Data!$A$2:$D$3723,4,FALSE)</f>
        <v>0.32400000000000001</v>
      </c>
      <c r="W79">
        <f>VLOOKUP($B79&amp;W$1,Data!$A$2:$D$3723,4,FALSE)</f>
        <v>0.35657</v>
      </c>
      <c r="X79">
        <f>VLOOKUP($B79&amp;X$1,Data!$A$2:$D$3723,4,FALSE)</f>
        <v>0.47</v>
      </c>
      <c r="Y79">
        <f>VLOOKUP($B79&amp;Y$1,Data!$A$2:$D$3723,4,FALSE)</f>
        <v>0.53</v>
      </c>
      <c r="Z79">
        <f>VLOOKUP($B79&amp;Z$1,Data!$A$2:$D$3723,4,FALSE)</f>
        <v>1.48</v>
      </c>
      <c r="AA79">
        <f>VLOOKUP($B79&amp;AA$1,Data!$A$2:$D$3723,4,FALSE)</f>
        <v>1.1319999999999999</v>
      </c>
      <c r="AB79">
        <f>VLOOKUP($B79&amp;AB$1,Data!$A$2:$D$3723,4,FALSE)</f>
        <v>-8.9999999999999993E-3</v>
      </c>
      <c r="AC79">
        <f>VLOOKUP($B79&amp;AC$1,Data!$A$2:$D$3723,4,FALSE)</f>
        <v>0.93600000000000005</v>
      </c>
      <c r="AD79">
        <f>VLOOKUP($B79&amp;AD$1,Data!$A$2:$D$3723,4,FALSE)</f>
        <v>0.877</v>
      </c>
      <c r="AE79">
        <f>VLOOKUP($B79&amp;AE$1,Data!$A$2:$D$3723,4,FALSE)</f>
        <v>1.137</v>
      </c>
      <c r="AF79">
        <f>VLOOKUP($B79&amp;AF$1,Data!$A$2:$D$3723,4,FALSE)</f>
        <v>0.93899999999999995</v>
      </c>
      <c r="AG79">
        <f>VLOOKUP($B79&amp;AG$1,Data!$A$2:$D$3723,4,FALSE)</f>
        <v>-123.89700000000001</v>
      </c>
      <c r="AH79">
        <f>VLOOKUP($B79&amp;AH$1,Data!$A$2:$D$3723,4,FALSE)</f>
        <v>0</v>
      </c>
      <c r="AI79">
        <f>VLOOKUP($B79&amp;AI$1,Data!$A$2:$D$3723,4,FALSE)</f>
        <v>110000000</v>
      </c>
    </row>
    <row r="80" spans="2:35" hidden="1">
      <c r="B80" s="13">
        <v>79</v>
      </c>
      <c r="C80" s="13" t="s">
        <v>55</v>
      </c>
      <c r="D80" t="s">
        <v>6</v>
      </c>
      <c r="E80" t="s">
        <v>22</v>
      </c>
      <c r="F80">
        <v>100</v>
      </c>
      <c r="G80" t="s">
        <v>17</v>
      </c>
      <c r="H80" s="5">
        <v>43831</v>
      </c>
      <c r="I80" s="5">
        <v>44562</v>
      </c>
      <c r="J80">
        <v>14</v>
      </c>
      <c r="K80">
        <v>9</v>
      </c>
      <c r="L80">
        <v>28</v>
      </c>
      <c r="M80">
        <v>72</v>
      </c>
      <c r="N80">
        <v>1000000</v>
      </c>
      <c r="O80">
        <f>VLOOKUP($B80&amp;O$1,Data!$A$2:$D$3723,4,FALSE)</f>
        <v>0.21287</v>
      </c>
      <c r="P80">
        <f>VLOOKUP($B80&amp;P$1,Data!$A$2:$D$3723,4,FALSE)</f>
        <v>0.183</v>
      </c>
      <c r="Q80">
        <f>VLOOKUP($B80&amp;Q$1,Data!$A$2:$D$3723,4,FALSE)</f>
        <v>285</v>
      </c>
      <c r="R80">
        <f>VLOOKUP($B80&amp;R$1,Data!$A$2:$D$3723,4,FALSE)</f>
        <v>2.0999999999999999E-3</v>
      </c>
      <c r="S80">
        <f>VLOOKUP($B80&amp;S$1,Data!$A$2:$D$3723,4,FALSE)</f>
        <v>-2.0999999999999999E-3</v>
      </c>
      <c r="T80">
        <f>VLOOKUP($B80&amp;T$1,Data!$A$2:$D$3723,4,FALSE)</f>
        <v>3.13E-3</v>
      </c>
      <c r="U80">
        <f>VLOOKUP($B80&amp;U$1,Data!$A$2:$D$3723,4,FALSE)</f>
        <v>1.0999999999999999E-2</v>
      </c>
      <c r="V80">
        <f>VLOOKUP($B80&amp;V$1,Data!$A$2:$D$3723,4,FALSE)</f>
        <v>0.111</v>
      </c>
      <c r="W80">
        <f>VLOOKUP($B80&amp;W$1,Data!$A$2:$D$3723,4,FALSE)</f>
        <v>2.0300000000000001E-3</v>
      </c>
      <c r="X80">
        <f>VLOOKUP($B80&amp;X$1,Data!$A$2:$D$3723,4,FALSE)</f>
        <v>0.44</v>
      </c>
      <c r="Y80">
        <f>VLOOKUP($B80&amp;Y$1,Data!$A$2:$D$3723,4,FALSE)</f>
        <v>0.56000000000000005</v>
      </c>
      <c r="Z80">
        <f>VLOOKUP($B80&amp;Z$1,Data!$A$2:$D$3723,4,FALSE)</f>
        <v>1</v>
      </c>
      <c r="AA80">
        <f>VLOOKUP($B80&amp;AA$1,Data!$A$2:$D$3723,4,FALSE)</f>
        <v>2E-3</v>
      </c>
      <c r="AB80">
        <f>VLOOKUP($B80&amp;AB$1,Data!$A$2:$D$3723,4,FALSE)</f>
        <v>0.01</v>
      </c>
      <c r="AC80">
        <f>VLOOKUP($B80&amp;AC$1,Data!$A$2:$D$3723,4,FALSE)</f>
        <v>1.2E-2</v>
      </c>
      <c r="AD80">
        <f>VLOOKUP($B80&amp;AD$1,Data!$A$2:$D$3723,4,FALSE)</f>
        <v>0</v>
      </c>
      <c r="AE80">
        <f>VLOOKUP($B80&amp;AE$1,Data!$A$2:$D$3723,4,FALSE)</f>
        <v>-0.91400000000000003</v>
      </c>
      <c r="AF80">
        <f>VLOOKUP($B80&amp;AF$1,Data!$A$2:$D$3723,4,FALSE)</f>
        <v>6.7000000000000004E-2</v>
      </c>
      <c r="AG80">
        <f>VLOOKUP($B80&amp;AG$1,Data!$A$2:$D$3723,4,FALSE)</f>
        <v>0.23599999999999999</v>
      </c>
      <c r="AH80">
        <f>VLOOKUP($B80&amp;AH$1,Data!$A$2:$D$3723,4,FALSE)</f>
        <v>0</v>
      </c>
      <c r="AI80">
        <f>VLOOKUP($B80&amp;AI$1,Data!$A$2:$D$3723,4,FALSE)</f>
        <v>280000000</v>
      </c>
    </row>
    <row r="81" spans="2:35" hidden="1">
      <c r="B81" s="13">
        <v>80</v>
      </c>
      <c r="C81" s="13" t="s">
        <v>55</v>
      </c>
      <c r="D81" t="s">
        <v>6</v>
      </c>
      <c r="E81" t="s">
        <v>22</v>
      </c>
      <c r="F81">
        <v>1000</v>
      </c>
      <c r="G81" t="s">
        <v>17</v>
      </c>
      <c r="H81" s="5">
        <v>43831</v>
      </c>
      <c r="I81" s="5">
        <v>44562</v>
      </c>
      <c r="J81">
        <v>14</v>
      </c>
      <c r="K81">
        <v>9</v>
      </c>
      <c r="L81">
        <v>28</v>
      </c>
      <c r="M81">
        <v>72</v>
      </c>
      <c r="N81">
        <v>1000000</v>
      </c>
      <c r="O81">
        <f>VLOOKUP($B81&amp;O$1,Data!$A$2:$D$3723,4,FALSE)</f>
        <v>0.22600000000000001</v>
      </c>
      <c r="P81">
        <f>VLOOKUP($B81&amp;P$1,Data!$A$2:$D$3723,4,FALSE)</f>
        <v>0.23599999999999999</v>
      </c>
      <c r="Q81">
        <f>VLOOKUP($B81&amp;Q$1,Data!$A$2:$D$3723,4,FALSE)</f>
        <v>285</v>
      </c>
      <c r="R81">
        <f>VLOOKUP($B81&amp;R$1,Data!$A$2:$D$3723,4,FALSE)</f>
        <v>2.2100000000000002E-2</v>
      </c>
      <c r="S81">
        <f>VLOOKUP($B81&amp;S$1,Data!$A$2:$D$3723,4,FALSE)</f>
        <v>-2.1600000000000001E-2</v>
      </c>
      <c r="T81">
        <f>VLOOKUP($B81&amp;T$1,Data!$A$2:$D$3723,4,FALSE)</f>
        <v>3.15E-2</v>
      </c>
      <c r="U81">
        <f>VLOOKUP($B81&amp;U$1,Data!$A$2:$D$3723,4,FALSE)</f>
        <v>0.109</v>
      </c>
      <c r="V81">
        <f>VLOOKUP($B81&amp;V$1,Data!$A$2:$D$3723,4,FALSE)</f>
        <v>0.123</v>
      </c>
      <c r="W81">
        <f>VLOOKUP($B81&amp;W$1,Data!$A$2:$D$3723,4,FALSE)</f>
        <v>2.0250000000000001E-2</v>
      </c>
      <c r="X81">
        <f>VLOOKUP($B81&amp;X$1,Data!$A$2:$D$3723,4,FALSE)</f>
        <v>0.44</v>
      </c>
      <c r="Y81">
        <f>VLOOKUP($B81&amp;Y$1,Data!$A$2:$D$3723,4,FALSE)</f>
        <v>0.56000000000000005</v>
      </c>
      <c r="Z81">
        <f>VLOOKUP($B81&amp;Z$1,Data!$A$2:$D$3723,4,FALSE)</f>
        <v>1.02</v>
      </c>
      <c r="AA81">
        <f>VLOOKUP($B81&amp;AA$1,Data!$A$2:$D$3723,4,FALSE)</f>
        <v>2.4E-2</v>
      </c>
      <c r="AB81">
        <f>VLOOKUP($B81&amp;AB$1,Data!$A$2:$D$3723,4,FALSE)</f>
        <v>9.5000000000000001E-2</v>
      </c>
      <c r="AC81">
        <f>VLOOKUP($B81&amp;AC$1,Data!$A$2:$D$3723,4,FALSE)</f>
        <v>0.126</v>
      </c>
      <c r="AD81">
        <f>VLOOKUP($B81&amp;AD$1,Data!$A$2:$D$3723,4,FALSE)</f>
        <v>1.6E-2</v>
      </c>
      <c r="AE81">
        <f>VLOOKUP($B81&amp;AE$1,Data!$A$2:$D$3723,4,FALSE)</f>
        <v>-0.24199999999999999</v>
      </c>
      <c r="AF81">
        <f>VLOOKUP($B81&amp;AF$1,Data!$A$2:$D$3723,4,FALSE)</f>
        <v>0.14000000000000001</v>
      </c>
      <c r="AG81">
        <f>VLOOKUP($B81&amp;AG$1,Data!$A$2:$D$3723,4,FALSE)</f>
        <v>0.314</v>
      </c>
      <c r="AH81">
        <f>VLOOKUP($B81&amp;AH$1,Data!$A$2:$D$3723,4,FALSE)</f>
        <v>0</v>
      </c>
      <c r="AI81">
        <f>VLOOKUP($B81&amp;AI$1,Data!$A$2:$D$3723,4,FALSE)</f>
        <v>30000000</v>
      </c>
    </row>
    <row r="82" spans="2:35" hidden="1">
      <c r="B82" s="13">
        <v>81</v>
      </c>
      <c r="C82" s="13" t="s">
        <v>55</v>
      </c>
      <c r="D82" t="s">
        <v>6</v>
      </c>
      <c r="E82" t="s">
        <v>22</v>
      </c>
      <c r="F82">
        <v>5000</v>
      </c>
      <c r="G82" t="s">
        <v>17</v>
      </c>
      <c r="H82" s="5">
        <v>43831</v>
      </c>
      <c r="I82" s="5">
        <v>44562</v>
      </c>
      <c r="J82">
        <v>14</v>
      </c>
      <c r="K82">
        <v>9</v>
      </c>
      <c r="L82">
        <v>28</v>
      </c>
      <c r="M82">
        <v>72</v>
      </c>
      <c r="N82">
        <v>1000000</v>
      </c>
      <c r="O82">
        <f>VLOOKUP($B82&amp;O$1,Data!$A$2:$D$3723,4,FALSE)</f>
        <v>0.21754999999999999</v>
      </c>
      <c r="P82">
        <f>VLOOKUP($B82&amp;P$1,Data!$A$2:$D$3723,4,FALSE)</f>
        <v>0.21199999999999999</v>
      </c>
      <c r="Q82">
        <f>VLOOKUP($B82&amp;Q$1,Data!$A$2:$D$3723,4,FALSE)</f>
        <v>284</v>
      </c>
      <c r="R82">
        <f>VLOOKUP($B82&amp;R$1,Data!$A$2:$D$3723,4,FALSE)</f>
        <v>0.1086</v>
      </c>
      <c r="S82">
        <f>VLOOKUP($B82&amp;S$1,Data!$A$2:$D$3723,4,FALSE)</f>
        <v>-6.9599999999999995E-2</v>
      </c>
      <c r="T82">
        <f>VLOOKUP($B82&amp;T$1,Data!$A$2:$D$3723,4,FALSE)</f>
        <v>-0.11747</v>
      </c>
      <c r="U82">
        <f>VLOOKUP($B82&amp;U$1,Data!$A$2:$D$3723,4,FALSE)</f>
        <v>0.49199999999999999</v>
      </c>
      <c r="V82">
        <f>VLOOKUP($B82&amp;V$1,Data!$A$2:$D$3723,4,FALSE)</f>
        <v>-1.4999999999999999E-2</v>
      </c>
      <c r="W82">
        <f>VLOOKUP($B82&amp;W$1,Data!$A$2:$D$3723,4,FALSE)</f>
        <v>-7.7609999999999998E-2</v>
      </c>
      <c r="X82">
        <f>VLOOKUP($B82&amp;X$1,Data!$A$2:$D$3723,4,FALSE)</f>
        <v>0.62</v>
      </c>
      <c r="Y82">
        <f>VLOOKUP($B82&amp;Y$1,Data!$A$2:$D$3723,4,FALSE)</f>
        <v>0.38</v>
      </c>
      <c r="Z82">
        <f>VLOOKUP($B82&amp;Z$1,Data!$A$2:$D$3723,4,FALSE)</f>
        <v>1.56</v>
      </c>
      <c r="AA82">
        <f>VLOOKUP($B82&amp;AA$1,Data!$A$2:$D$3723,4,FALSE)</f>
        <v>0.104</v>
      </c>
      <c r="AB82">
        <f>VLOOKUP($B82&amp;AB$1,Data!$A$2:$D$3723,4,FALSE)</f>
        <v>0.621</v>
      </c>
      <c r="AC82">
        <f>VLOOKUP($B82&amp;AC$1,Data!$A$2:$D$3723,4,FALSE)</f>
        <v>0.67600000000000005</v>
      </c>
      <c r="AD82">
        <f>VLOOKUP($B82&amp;AD$1,Data!$A$2:$D$3723,4,FALSE)</f>
        <v>0.45600000000000002</v>
      </c>
      <c r="AE82">
        <f>VLOOKUP($B82&amp;AE$1,Data!$A$2:$D$3723,4,FALSE)</f>
        <v>0.11799999999999999</v>
      </c>
      <c r="AF82">
        <f>VLOOKUP($B82&amp;AF$1,Data!$A$2:$D$3723,4,FALSE)</f>
        <v>0.67500000000000004</v>
      </c>
      <c r="AG82">
        <f>VLOOKUP($B82&amp;AG$1,Data!$A$2:$D$3723,4,FALSE)</f>
        <v>0.23100000000000001</v>
      </c>
      <c r="AH82">
        <f>VLOOKUP($B82&amp;AH$1,Data!$A$2:$D$3723,4,FALSE)</f>
        <v>0</v>
      </c>
      <c r="AI82">
        <f>VLOOKUP($B82&amp;AI$1,Data!$A$2:$D$3723,4,FALSE)</f>
        <v>6600000</v>
      </c>
    </row>
    <row r="83" spans="2:35" hidden="1">
      <c r="B83" s="13">
        <v>82</v>
      </c>
      <c r="C83" s="13" t="s">
        <v>55</v>
      </c>
      <c r="D83" t="s">
        <v>7</v>
      </c>
      <c r="E83" t="s">
        <v>3</v>
      </c>
      <c r="F83">
        <v>100</v>
      </c>
      <c r="G83" t="s">
        <v>17</v>
      </c>
      <c r="H83" s="5">
        <v>43831</v>
      </c>
      <c r="I83" s="5">
        <v>44562</v>
      </c>
      <c r="J83">
        <v>14</v>
      </c>
      <c r="K83">
        <v>9</v>
      </c>
      <c r="L83">
        <v>30</v>
      </c>
      <c r="M83">
        <v>70</v>
      </c>
      <c r="N83">
        <v>1000000</v>
      </c>
      <c r="O83">
        <f>VLOOKUP($B83&amp;O$1,Data!$A$2:$D$3723,4,FALSE)</f>
        <v>0.76280000000000003</v>
      </c>
      <c r="P83">
        <f>VLOOKUP($B83&amp;P$1,Data!$A$2:$D$3723,4,FALSE)</f>
        <v>1.7230000000000001</v>
      </c>
      <c r="Q83">
        <f>VLOOKUP($B83&amp;Q$1,Data!$A$2:$D$3723,4,FALSE)</f>
        <v>893</v>
      </c>
      <c r="R83">
        <f>VLOOKUP($B83&amp;R$1,Data!$A$2:$D$3723,4,FALSE)</f>
        <v>2.2000000000000001E-3</v>
      </c>
      <c r="S83">
        <f>VLOOKUP($B83&amp;S$1,Data!$A$2:$D$3723,4,FALSE)</f>
        <v>-1.4E-3</v>
      </c>
      <c r="T83">
        <f>VLOOKUP($B83&amp;T$1,Data!$A$2:$D$3723,4,FALSE)</f>
        <v>3.4130000000000001E-2</v>
      </c>
      <c r="U83">
        <f>VLOOKUP($B83&amp;U$1,Data!$A$2:$D$3723,4,FALSE)</f>
        <v>8.9999999999999993E-3</v>
      </c>
      <c r="V83">
        <f>VLOOKUP($B83&amp;V$1,Data!$A$2:$D$3723,4,FALSE)</f>
        <v>0.55300000000000005</v>
      </c>
      <c r="W83">
        <f>VLOOKUP($B83&amp;W$1,Data!$A$2:$D$3723,4,FALSE)</f>
        <v>2.1930000000000002E-2</v>
      </c>
      <c r="X83">
        <f>VLOOKUP($B83&amp;X$1,Data!$A$2:$D$3723,4,FALSE)</f>
        <v>0.38</v>
      </c>
      <c r="Y83">
        <f>VLOOKUP($B83&amp;Y$1,Data!$A$2:$D$3723,4,FALSE)</f>
        <v>0.62</v>
      </c>
      <c r="Z83">
        <f>VLOOKUP($B83&amp;Z$1,Data!$A$2:$D$3723,4,FALSE)</f>
        <v>1.5</v>
      </c>
      <c r="AA83">
        <f>VLOOKUP($B83&amp;AA$1,Data!$A$2:$D$3723,4,FALSE)</f>
        <v>1.9E-2</v>
      </c>
      <c r="AB83">
        <f>VLOOKUP($B83&amp;AB$1,Data!$A$2:$D$3723,4,FALSE)</f>
        <v>7.1999999999999995E-2</v>
      </c>
      <c r="AC83">
        <f>VLOOKUP($B83&amp;AC$1,Data!$A$2:$D$3723,4,FALSE)</f>
        <v>1.4E-2</v>
      </c>
      <c r="AD83">
        <f>VLOOKUP($B83&amp;AD$1,Data!$A$2:$D$3723,4,FALSE)</f>
        <v>0</v>
      </c>
      <c r="AE83">
        <f>VLOOKUP($B83&amp;AE$1,Data!$A$2:$D$3723,4,FALSE)</f>
        <v>-0.63300000000000001</v>
      </c>
      <c r="AF83">
        <f>VLOOKUP($B83&amp;AF$1,Data!$A$2:$D$3723,4,FALSE)</f>
        <v>6.3E-2</v>
      </c>
      <c r="AG83">
        <f>VLOOKUP($B83&amp;AG$1,Data!$A$2:$D$3723,4,FALSE)</f>
        <v>0.32900000000000001</v>
      </c>
      <c r="AH83">
        <f>VLOOKUP($B83&amp;AH$1,Data!$A$2:$D$3723,4,FALSE)</f>
        <v>0</v>
      </c>
      <c r="AI83">
        <f>VLOOKUP($B83&amp;AI$1,Data!$A$2:$D$3723,4,FALSE)</f>
        <v>25000000</v>
      </c>
    </row>
    <row r="84" spans="2:35" hidden="1">
      <c r="B84" s="13">
        <v>83</v>
      </c>
      <c r="C84" s="13" t="s">
        <v>55</v>
      </c>
      <c r="D84" t="s">
        <v>7</v>
      </c>
      <c r="E84" t="s">
        <v>3</v>
      </c>
      <c r="F84">
        <v>1000</v>
      </c>
      <c r="G84" t="s">
        <v>17</v>
      </c>
      <c r="H84" s="5">
        <v>43831</v>
      </c>
      <c r="I84" s="5">
        <v>44562</v>
      </c>
      <c r="J84">
        <v>14</v>
      </c>
      <c r="K84">
        <v>9</v>
      </c>
      <c r="L84">
        <v>30</v>
      </c>
      <c r="M84">
        <v>70</v>
      </c>
      <c r="N84">
        <v>1000000</v>
      </c>
      <c r="O84">
        <f>VLOOKUP($B84&amp;O$1,Data!$A$2:$D$3723,4,FALSE)</f>
        <v>0.77276</v>
      </c>
      <c r="P84">
        <f>VLOOKUP($B84&amp;P$1,Data!$A$2:$D$3723,4,FALSE)</f>
        <v>1.9350000000000001</v>
      </c>
      <c r="Q84">
        <f>VLOOKUP($B84&amp;Q$1,Data!$A$2:$D$3723,4,FALSE)</f>
        <v>893</v>
      </c>
      <c r="R84">
        <f>VLOOKUP($B84&amp;R$1,Data!$A$2:$D$3723,4,FALSE)</f>
        <v>2.0299999999999999E-2</v>
      </c>
      <c r="S84">
        <f>VLOOKUP($B84&amp;S$1,Data!$A$2:$D$3723,4,FALSE)</f>
        <v>-1.34E-2</v>
      </c>
      <c r="T84">
        <f>VLOOKUP($B84&amp;T$1,Data!$A$2:$D$3723,4,FALSE)</f>
        <v>0.35898000000000002</v>
      </c>
      <c r="U84">
        <f>VLOOKUP($B84&amp;U$1,Data!$A$2:$D$3723,4,FALSE)</f>
        <v>8.2000000000000003E-2</v>
      </c>
      <c r="V84">
        <f>VLOOKUP($B84&amp;V$1,Data!$A$2:$D$3723,4,FALSE)</f>
        <v>0.56299999999999994</v>
      </c>
      <c r="W84">
        <f>VLOOKUP($B84&amp;W$1,Data!$A$2:$D$3723,4,FALSE)</f>
        <v>0.21931999999999999</v>
      </c>
      <c r="X84">
        <f>VLOOKUP($B84&amp;X$1,Data!$A$2:$D$3723,4,FALSE)</f>
        <v>0.38</v>
      </c>
      <c r="Y84">
        <f>VLOOKUP($B84&amp;Y$1,Data!$A$2:$D$3723,4,FALSE)</f>
        <v>0.62</v>
      </c>
      <c r="Z84">
        <f>VLOOKUP($B84&amp;Z$1,Data!$A$2:$D$3723,4,FALSE)</f>
        <v>1.52</v>
      </c>
      <c r="AA84">
        <f>VLOOKUP($B84&amp;AA$1,Data!$A$2:$D$3723,4,FALSE)</f>
        <v>0.20499999999999999</v>
      </c>
      <c r="AB84">
        <f>VLOOKUP($B84&amp;AB$1,Data!$A$2:$D$3723,4,FALSE)</f>
        <v>0.65900000000000003</v>
      </c>
      <c r="AC84">
        <f>VLOOKUP($B84&amp;AC$1,Data!$A$2:$D$3723,4,FALSE)</f>
        <v>0.128</v>
      </c>
      <c r="AD84">
        <f>VLOOKUP($B84&amp;AD$1,Data!$A$2:$D$3723,4,FALSE)</f>
        <v>1.6E-2</v>
      </c>
      <c r="AE84">
        <f>VLOOKUP($B84&amp;AE$1,Data!$A$2:$D$3723,4,FALSE)</f>
        <v>1.502</v>
      </c>
      <c r="AF84">
        <f>VLOOKUP($B84&amp;AF$1,Data!$A$2:$D$3723,4,FALSE)</f>
        <v>0.122</v>
      </c>
      <c r="AG84">
        <f>VLOOKUP($B84&amp;AG$1,Data!$A$2:$D$3723,4,FALSE)</f>
        <v>0.375</v>
      </c>
      <c r="AH84">
        <f>VLOOKUP($B84&amp;AH$1,Data!$A$2:$D$3723,4,FALSE)</f>
        <v>0</v>
      </c>
      <c r="AI84">
        <f>VLOOKUP($B84&amp;AI$1,Data!$A$2:$D$3723,4,FALSE)</f>
        <v>5000000</v>
      </c>
    </row>
    <row r="85" spans="2:35" hidden="1">
      <c r="B85" s="13">
        <v>84</v>
      </c>
      <c r="C85" s="13" t="s">
        <v>55</v>
      </c>
      <c r="D85" t="s">
        <v>7</v>
      </c>
      <c r="E85" t="s">
        <v>3</v>
      </c>
      <c r="F85">
        <v>5000</v>
      </c>
      <c r="G85" t="s">
        <v>17</v>
      </c>
      <c r="H85" s="5">
        <v>43831</v>
      </c>
      <c r="I85" s="5">
        <v>44562</v>
      </c>
      <c r="J85">
        <v>14</v>
      </c>
      <c r="K85">
        <v>9</v>
      </c>
      <c r="L85">
        <v>30</v>
      </c>
      <c r="M85">
        <v>70</v>
      </c>
      <c r="N85">
        <v>1000000</v>
      </c>
      <c r="O85">
        <f>VLOOKUP($B85&amp;O$1,Data!$A$2:$D$3723,4,FALSE)</f>
        <v>0.80110000000000003</v>
      </c>
      <c r="P85">
        <f>VLOOKUP($B85&amp;P$1,Data!$A$2:$D$3723,4,FALSE)</f>
        <v>2.944</v>
      </c>
      <c r="Q85">
        <f>VLOOKUP($B85&amp;Q$1,Data!$A$2:$D$3723,4,FALSE)</f>
        <v>893</v>
      </c>
      <c r="R85">
        <f>VLOOKUP($B85&amp;R$1,Data!$A$2:$D$3723,4,FALSE)</f>
        <v>8.2299999999999998E-2</v>
      </c>
      <c r="S85">
        <f>VLOOKUP($B85&amp;S$1,Data!$A$2:$D$3723,4,FALSE)</f>
        <v>-5.1799999999999999E-2</v>
      </c>
      <c r="T85">
        <f>VLOOKUP($B85&amp;T$1,Data!$A$2:$D$3723,4,FALSE)</f>
        <v>2.14303</v>
      </c>
      <c r="U85">
        <f>VLOOKUP($B85&amp;U$1,Data!$A$2:$D$3723,4,FALSE)</f>
        <v>0.32100000000000001</v>
      </c>
      <c r="V85">
        <f>VLOOKUP($B85&amp;V$1,Data!$A$2:$D$3723,4,FALSE)</f>
        <v>0.60699999999999998</v>
      </c>
      <c r="W85">
        <f>VLOOKUP($B85&amp;W$1,Data!$A$2:$D$3723,4,FALSE)</f>
        <v>1.0966</v>
      </c>
      <c r="X85">
        <f>VLOOKUP($B85&amp;X$1,Data!$A$2:$D$3723,4,FALSE)</f>
        <v>0.38</v>
      </c>
      <c r="Y85">
        <f>VLOOKUP($B85&amp;Y$1,Data!$A$2:$D$3723,4,FALSE)</f>
        <v>0.62</v>
      </c>
      <c r="Z85">
        <f>VLOOKUP($B85&amp;Z$1,Data!$A$2:$D$3723,4,FALSE)</f>
        <v>1.59</v>
      </c>
      <c r="AA85">
        <f>VLOOKUP($B85&amp;AA$1,Data!$A$2:$D$3723,4,FALSE)</f>
        <v>1.35</v>
      </c>
      <c r="AB85">
        <f>VLOOKUP($B85&amp;AB$1,Data!$A$2:$D$3723,4,FALSE)</f>
        <v>2.468</v>
      </c>
      <c r="AC85">
        <f>VLOOKUP($B85&amp;AC$1,Data!$A$2:$D$3723,4,FALSE)</f>
        <v>0.51200000000000001</v>
      </c>
      <c r="AD85">
        <f>VLOOKUP($B85&amp;AD$1,Data!$A$2:$D$3723,4,FALSE)</f>
        <v>0.26200000000000001</v>
      </c>
      <c r="AE85">
        <f>VLOOKUP($B85&amp;AE$1,Data!$A$2:$D$3723,4,FALSE)</f>
        <v>2.919</v>
      </c>
      <c r="AF85">
        <f>VLOOKUP($B85&amp;AF$1,Data!$A$2:$D$3723,4,FALSE)</f>
        <v>0.495</v>
      </c>
      <c r="AG85">
        <f>VLOOKUP($B85&amp;AG$1,Data!$A$2:$D$3723,4,FALSE)</f>
        <v>0.61099999999999999</v>
      </c>
      <c r="AH85">
        <f>VLOOKUP($B85&amp;AH$1,Data!$A$2:$D$3723,4,FALSE)</f>
        <v>0</v>
      </c>
      <c r="AI85">
        <f>VLOOKUP($B85&amp;AI$1,Data!$A$2:$D$3723,4,FALSE)</f>
        <v>2800000</v>
      </c>
    </row>
    <row r="86" spans="2:35" hidden="1">
      <c r="B86" s="13">
        <v>85</v>
      </c>
      <c r="C86" s="13" t="s">
        <v>55</v>
      </c>
      <c r="D86" t="s">
        <v>7</v>
      </c>
      <c r="E86" t="s">
        <v>2</v>
      </c>
      <c r="F86">
        <v>100</v>
      </c>
      <c r="G86" t="s">
        <v>17</v>
      </c>
      <c r="H86" s="5">
        <v>43831</v>
      </c>
      <c r="I86" s="5">
        <v>44562</v>
      </c>
      <c r="J86">
        <v>14</v>
      </c>
      <c r="K86">
        <v>9</v>
      </c>
      <c r="L86">
        <v>30</v>
      </c>
      <c r="M86">
        <v>70</v>
      </c>
      <c r="N86">
        <v>1000000</v>
      </c>
      <c r="O86">
        <f>VLOOKUP($B86&amp;O$1,Data!$A$2:$D$3723,4,FALSE)</f>
        <v>0.23429</v>
      </c>
      <c r="P86">
        <f>VLOOKUP($B86&amp;P$1,Data!$A$2:$D$3723,4,FALSE)</f>
        <v>0.24299999999999999</v>
      </c>
      <c r="Q86">
        <f>VLOOKUP($B86&amp;Q$1,Data!$A$2:$D$3723,4,FALSE)</f>
        <v>557</v>
      </c>
      <c r="R86">
        <f>VLOOKUP($B86&amp;R$1,Data!$A$2:$D$3723,4,FALSE)</f>
        <v>4.7999999999999996E-3</v>
      </c>
      <c r="S86">
        <f>VLOOKUP($B86&amp;S$1,Data!$A$2:$D$3723,4,FALSE)</f>
        <v>-2.0999999999999999E-3</v>
      </c>
      <c r="T86">
        <f>VLOOKUP($B86&amp;T$1,Data!$A$2:$D$3723,4,FALSE)</f>
        <v>5.5100000000000001E-3</v>
      </c>
      <c r="U86">
        <f>VLOOKUP($B86&amp;U$1,Data!$A$2:$D$3723,4,FALSE)</f>
        <v>1.4E-2</v>
      </c>
      <c r="V86">
        <f>VLOOKUP($B86&amp;V$1,Data!$A$2:$D$3723,4,FALSE)</f>
        <v>0.107</v>
      </c>
      <c r="W86">
        <f>VLOOKUP($B86&amp;W$1,Data!$A$2:$D$3723,4,FALSE)</f>
        <v>3.5599999999999998E-3</v>
      </c>
      <c r="X86">
        <f>VLOOKUP($B86&amp;X$1,Data!$A$2:$D$3723,4,FALSE)</f>
        <v>0.67</v>
      </c>
      <c r="Y86">
        <f>VLOOKUP($B86&amp;Y$1,Data!$A$2:$D$3723,4,FALSE)</f>
        <v>0.33</v>
      </c>
      <c r="Z86">
        <f>VLOOKUP($B86&amp;Z$1,Data!$A$2:$D$3723,4,FALSE)</f>
        <v>2.3199999999999998</v>
      </c>
      <c r="AA86">
        <f>VLOOKUP($B86&amp;AA$1,Data!$A$2:$D$3723,4,FALSE)</f>
        <v>-2E-3</v>
      </c>
      <c r="AB86">
        <f>VLOOKUP($B86&amp;AB$1,Data!$A$2:$D$3723,4,FALSE)</f>
        <v>9.2999999999999999E-2</v>
      </c>
      <c r="AC86">
        <f>VLOOKUP($B86&amp;AC$1,Data!$A$2:$D$3723,4,FALSE)</f>
        <v>1.6E-2</v>
      </c>
      <c r="AD86">
        <f>VLOOKUP($B86&amp;AD$1,Data!$A$2:$D$3723,4,FALSE)</f>
        <v>0</v>
      </c>
      <c r="AE86">
        <f>VLOOKUP($B86&amp;AE$1,Data!$A$2:$D$3723,4,FALSE)</f>
        <v>-0.95799999999999996</v>
      </c>
      <c r="AF86">
        <f>VLOOKUP($B86&amp;AF$1,Data!$A$2:$D$3723,4,FALSE)</f>
        <v>6.2E-2</v>
      </c>
      <c r="AG86">
        <f>VLOOKUP($B86&amp;AG$1,Data!$A$2:$D$3723,4,FALSE)</f>
        <v>4.2999999999999997E-2</v>
      </c>
      <c r="AH86">
        <f>VLOOKUP($B86&amp;AH$1,Data!$A$2:$D$3723,4,FALSE)</f>
        <v>0</v>
      </c>
      <c r="AI86">
        <f>VLOOKUP($B86&amp;AI$1,Data!$A$2:$D$3723,4,FALSE)</f>
        <v>120000000</v>
      </c>
    </row>
    <row r="87" spans="2:35" hidden="1">
      <c r="B87" s="13">
        <v>86</v>
      </c>
      <c r="C87" s="13" t="s">
        <v>55</v>
      </c>
      <c r="D87" t="s">
        <v>7</v>
      </c>
      <c r="E87" t="s">
        <v>2</v>
      </c>
      <c r="F87">
        <v>1000</v>
      </c>
      <c r="G87" t="s">
        <v>17</v>
      </c>
      <c r="H87" s="5">
        <v>43831</v>
      </c>
      <c r="I87" s="5">
        <v>44562</v>
      </c>
      <c r="J87">
        <v>14</v>
      </c>
      <c r="K87">
        <v>9</v>
      </c>
      <c r="L87">
        <v>30</v>
      </c>
      <c r="M87">
        <v>70</v>
      </c>
      <c r="N87">
        <v>1000000</v>
      </c>
      <c r="O87">
        <f>VLOOKUP($B87&amp;O$1,Data!$A$2:$D$3723,4,FALSE)</f>
        <v>0.25339</v>
      </c>
      <c r="P87">
        <f>VLOOKUP($B87&amp;P$1,Data!$A$2:$D$3723,4,FALSE)</f>
        <v>0.315</v>
      </c>
      <c r="Q87">
        <f>VLOOKUP($B87&amp;Q$1,Data!$A$2:$D$3723,4,FALSE)</f>
        <v>557</v>
      </c>
      <c r="R87">
        <f>VLOOKUP($B87&amp;R$1,Data!$A$2:$D$3723,4,FALSE)</f>
        <v>5.16E-2</v>
      </c>
      <c r="S87">
        <f>VLOOKUP($B87&amp;S$1,Data!$A$2:$D$3723,4,FALSE)</f>
        <v>-2.1399999999999999E-2</v>
      </c>
      <c r="T87">
        <f>VLOOKUP($B87&amp;T$1,Data!$A$2:$D$3723,4,FALSE)</f>
        <v>5.5599999999999997E-2</v>
      </c>
      <c r="U87">
        <f>VLOOKUP($B87&amp;U$1,Data!$A$2:$D$3723,4,FALSE)</f>
        <v>0.13400000000000001</v>
      </c>
      <c r="V87">
        <f>VLOOKUP($B87&amp;V$1,Data!$A$2:$D$3723,4,FALSE)</f>
        <v>0.13500000000000001</v>
      </c>
      <c r="W87">
        <f>VLOOKUP($B87&amp;W$1,Data!$A$2:$D$3723,4,FALSE)</f>
        <v>3.56E-2</v>
      </c>
      <c r="X87">
        <f>VLOOKUP($B87&amp;X$1,Data!$A$2:$D$3723,4,FALSE)</f>
        <v>0.67</v>
      </c>
      <c r="Y87">
        <f>VLOOKUP($B87&amp;Y$1,Data!$A$2:$D$3723,4,FALSE)</f>
        <v>0.33</v>
      </c>
      <c r="Z87">
        <f>VLOOKUP($B87&amp;Z$1,Data!$A$2:$D$3723,4,FALSE)</f>
        <v>2.41</v>
      </c>
      <c r="AA87">
        <f>VLOOKUP($B87&amp;AA$1,Data!$A$2:$D$3723,4,FALSE)</f>
        <v>-8.9999999999999993E-3</v>
      </c>
      <c r="AB87">
        <f>VLOOKUP($B87&amp;AB$1,Data!$A$2:$D$3723,4,FALSE)</f>
        <v>0.97499999999999998</v>
      </c>
      <c r="AC87">
        <f>VLOOKUP($B87&amp;AC$1,Data!$A$2:$D$3723,4,FALSE)</f>
        <v>0.16900000000000001</v>
      </c>
      <c r="AD87">
        <f>VLOOKUP($B87&amp;AD$1,Data!$A$2:$D$3723,4,FALSE)</f>
        <v>2.9000000000000001E-2</v>
      </c>
      <c r="AE87">
        <f>VLOOKUP($B87&amp;AE$1,Data!$A$2:$D$3723,4,FALSE)</f>
        <v>-6.8000000000000005E-2</v>
      </c>
      <c r="AF87">
        <f>VLOOKUP($B87&amp;AF$1,Data!$A$2:$D$3723,4,FALSE)</f>
        <v>0.156</v>
      </c>
      <c r="AG87">
        <f>VLOOKUP($B87&amp;AG$1,Data!$A$2:$D$3723,4,FALSE)</f>
        <v>5.3999999999999999E-2</v>
      </c>
      <c r="AH87">
        <f>VLOOKUP($B87&amp;AH$1,Data!$A$2:$D$3723,4,FALSE)</f>
        <v>0</v>
      </c>
      <c r="AI87">
        <f>VLOOKUP($B87&amp;AI$1,Data!$A$2:$D$3723,4,FALSE)</f>
        <v>15000000</v>
      </c>
    </row>
    <row r="88" spans="2:35" hidden="1">
      <c r="B88" s="13">
        <v>87</v>
      </c>
      <c r="C88" s="13" t="s">
        <v>55</v>
      </c>
      <c r="D88" t="s">
        <v>7</v>
      </c>
      <c r="E88" t="s">
        <v>2</v>
      </c>
      <c r="F88">
        <v>5000</v>
      </c>
      <c r="G88" t="s">
        <v>17</v>
      </c>
      <c r="H88" s="5">
        <v>43831</v>
      </c>
      <c r="I88" s="5">
        <v>44562</v>
      </c>
      <c r="J88">
        <v>14</v>
      </c>
      <c r="K88">
        <v>9</v>
      </c>
      <c r="L88">
        <v>30</v>
      </c>
      <c r="M88">
        <v>70</v>
      </c>
      <c r="N88">
        <v>1000000</v>
      </c>
      <c r="O88">
        <f>VLOOKUP($B88&amp;O$1,Data!$A$2:$D$3723,4,FALSE)</f>
        <v>0.30986999999999998</v>
      </c>
      <c r="P88">
        <f>VLOOKUP($B88&amp;P$1,Data!$A$2:$D$3723,4,FALSE)</f>
        <v>0.61399999999999999</v>
      </c>
      <c r="Q88">
        <f>VLOOKUP($B88&amp;Q$1,Data!$A$2:$D$3723,4,FALSE)</f>
        <v>541</v>
      </c>
      <c r="R88">
        <f>VLOOKUP($B88&amp;R$1,Data!$A$2:$D$3723,4,FALSE)</f>
        <v>0.25979999999999998</v>
      </c>
      <c r="S88">
        <f>VLOOKUP($B88&amp;S$1,Data!$A$2:$D$3723,4,FALSE)</f>
        <v>-9.8299999999999998E-2</v>
      </c>
      <c r="T88">
        <f>VLOOKUP($B88&amp;T$1,Data!$A$2:$D$3723,4,FALSE)</f>
        <v>2.3769999999999999E-2</v>
      </c>
      <c r="U88">
        <f>VLOOKUP($B88&amp;U$1,Data!$A$2:$D$3723,4,FALSE)</f>
        <v>0.56100000000000005</v>
      </c>
      <c r="V88">
        <f>VLOOKUP($B88&amp;V$1,Data!$A$2:$D$3723,4,FALSE)</f>
        <v>0.214</v>
      </c>
      <c r="W88">
        <f>VLOOKUP($B88&amp;W$1,Data!$A$2:$D$3723,4,FALSE)</f>
        <v>1.5299999999999999E-2</v>
      </c>
      <c r="X88">
        <f>VLOOKUP($B88&amp;X$1,Data!$A$2:$D$3723,4,FALSE)</f>
        <v>0.67</v>
      </c>
      <c r="Y88">
        <f>VLOOKUP($B88&amp;Y$1,Data!$A$2:$D$3723,4,FALSE)</f>
        <v>0.33</v>
      </c>
      <c r="Z88">
        <f>VLOOKUP($B88&amp;Z$1,Data!$A$2:$D$3723,4,FALSE)</f>
        <v>2.64</v>
      </c>
      <c r="AA88">
        <f>VLOOKUP($B88&amp;AA$1,Data!$A$2:$D$3723,4,FALSE)</f>
        <v>0.19800000000000001</v>
      </c>
      <c r="AB88">
        <f>VLOOKUP($B88&amp;AB$1,Data!$A$2:$D$3723,4,FALSE)</f>
        <v>5.8239999999999998</v>
      </c>
      <c r="AC88">
        <f>VLOOKUP($B88&amp;AC$1,Data!$A$2:$D$3723,4,FALSE)</f>
        <v>0.92600000000000005</v>
      </c>
      <c r="AD88">
        <f>VLOOKUP($B88&amp;AD$1,Data!$A$2:$D$3723,4,FALSE)</f>
        <v>0.85799999999999998</v>
      </c>
      <c r="AE88">
        <f>VLOOKUP($B88&amp;AE$1,Data!$A$2:$D$3723,4,FALSE)</f>
        <v>0.56100000000000005</v>
      </c>
      <c r="AF88">
        <f>VLOOKUP($B88&amp;AF$1,Data!$A$2:$D$3723,4,FALSE)</f>
        <v>0.9</v>
      </c>
      <c r="AG88">
        <f>VLOOKUP($B88&amp;AG$1,Data!$A$2:$D$3723,4,FALSE)</f>
        <v>9.8000000000000004E-2</v>
      </c>
      <c r="AH88">
        <f>VLOOKUP($B88&amp;AH$1,Data!$A$2:$D$3723,4,FALSE)</f>
        <v>0</v>
      </c>
      <c r="AI88">
        <f>VLOOKUP($B88&amp;AI$1,Data!$A$2:$D$3723,4,FALSE)</f>
        <v>4500000</v>
      </c>
    </row>
    <row r="89" spans="2:35" hidden="1">
      <c r="B89" s="13">
        <v>88</v>
      </c>
      <c r="C89" s="13" t="s">
        <v>55</v>
      </c>
      <c r="D89" t="s">
        <v>7</v>
      </c>
      <c r="E89" t="s">
        <v>22</v>
      </c>
      <c r="F89">
        <v>100</v>
      </c>
      <c r="G89" t="s">
        <v>17</v>
      </c>
      <c r="H89" s="5">
        <v>43831</v>
      </c>
      <c r="I89" s="5">
        <v>44562</v>
      </c>
      <c r="J89">
        <v>14</v>
      </c>
      <c r="K89">
        <v>9</v>
      </c>
      <c r="L89">
        <v>30</v>
      </c>
      <c r="M89">
        <v>70</v>
      </c>
      <c r="N89">
        <v>1000000</v>
      </c>
      <c r="O89">
        <f>VLOOKUP($B89&amp;O$1,Data!$A$2:$D$3723,4,FALSE)</f>
        <v>0.12909000000000001</v>
      </c>
      <c r="P89">
        <f>VLOOKUP($B89&amp;P$1,Data!$A$2:$D$3723,4,FALSE)</f>
        <v>-0.17699999999999999</v>
      </c>
      <c r="Q89">
        <f>VLOOKUP($B89&amp;Q$1,Data!$A$2:$D$3723,4,FALSE)</f>
        <v>372</v>
      </c>
      <c r="R89">
        <f>VLOOKUP($B89&amp;R$1,Data!$A$2:$D$3723,4,FALSE)</f>
        <v>2.5999999999999999E-3</v>
      </c>
      <c r="S89">
        <f>VLOOKUP($B89&amp;S$1,Data!$A$2:$D$3723,4,FALSE)</f>
        <v>-2.2000000000000001E-3</v>
      </c>
      <c r="T89">
        <f>VLOOKUP($B89&amp;T$1,Data!$A$2:$D$3723,4,FALSE)</f>
        <v>-3.5500000000000002E-3</v>
      </c>
      <c r="U89">
        <f>VLOOKUP($B89&amp;U$1,Data!$A$2:$D$3723,4,FALSE)</f>
        <v>1.6E-2</v>
      </c>
      <c r="V89">
        <f>VLOOKUP($B89&amp;V$1,Data!$A$2:$D$3723,4,FALSE)</f>
        <v>-8.3000000000000004E-2</v>
      </c>
      <c r="W89">
        <f>VLOOKUP($B89&amp;W$1,Data!$A$2:$D$3723,4,FALSE)</f>
        <v>-2.3E-3</v>
      </c>
      <c r="X89">
        <f>VLOOKUP($B89&amp;X$1,Data!$A$2:$D$3723,4,FALSE)</f>
        <v>0.57999999999999996</v>
      </c>
      <c r="Y89">
        <f>VLOOKUP($B89&amp;Y$1,Data!$A$2:$D$3723,4,FALSE)</f>
        <v>0.42</v>
      </c>
      <c r="Z89">
        <f>VLOOKUP($B89&amp;Z$1,Data!$A$2:$D$3723,4,FALSE)</f>
        <v>1.2</v>
      </c>
      <c r="AA89">
        <f>VLOOKUP($B89&amp;AA$1,Data!$A$2:$D$3723,4,FALSE)</f>
        <v>-7.0000000000000001E-3</v>
      </c>
      <c r="AB89">
        <f>VLOOKUP($B89&amp;AB$1,Data!$A$2:$D$3723,4,FALSE)</f>
        <v>6.9000000000000006E-2</v>
      </c>
      <c r="AC89">
        <f>VLOOKUP($B89&amp;AC$1,Data!$A$2:$D$3723,4,FALSE)</f>
        <v>1.2999999999999999E-2</v>
      </c>
      <c r="AD89">
        <f>VLOOKUP($B89&amp;AD$1,Data!$A$2:$D$3723,4,FALSE)</f>
        <v>0</v>
      </c>
      <c r="AE89">
        <f>VLOOKUP($B89&amp;AE$1,Data!$A$2:$D$3723,4,FALSE)</f>
        <v>-1.0429999999999999</v>
      </c>
      <c r="AF89">
        <f>VLOOKUP($B89&amp;AF$1,Data!$A$2:$D$3723,4,FALSE)</f>
        <v>6.3E-2</v>
      </c>
      <c r="AG89">
        <f>VLOOKUP($B89&amp;AG$1,Data!$A$2:$D$3723,4,FALSE)</f>
        <v>-3.4000000000000002E-2</v>
      </c>
      <c r="AH89">
        <f>VLOOKUP($B89&amp;AH$1,Data!$A$2:$D$3723,4,FALSE)</f>
        <v>0</v>
      </c>
      <c r="AI89">
        <f>VLOOKUP($B89&amp;AI$1,Data!$A$2:$D$3723,4,FALSE)</f>
        <v>500000000</v>
      </c>
    </row>
    <row r="90" spans="2:35" hidden="1">
      <c r="B90" s="13">
        <v>89</v>
      </c>
      <c r="C90" s="13" t="s">
        <v>55</v>
      </c>
      <c r="D90" t="s">
        <v>7</v>
      </c>
      <c r="E90" t="s">
        <v>22</v>
      </c>
      <c r="F90">
        <v>1000</v>
      </c>
      <c r="G90" t="s">
        <v>17</v>
      </c>
      <c r="H90" s="5">
        <v>43831</v>
      </c>
      <c r="I90" s="5">
        <v>44562</v>
      </c>
      <c r="J90">
        <v>14</v>
      </c>
      <c r="K90">
        <v>9</v>
      </c>
      <c r="L90">
        <v>30</v>
      </c>
      <c r="M90">
        <v>70</v>
      </c>
      <c r="N90">
        <v>1000000</v>
      </c>
      <c r="O90">
        <f>VLOOKUP($B90&amp;O$1,Data!$A$2:$D$3723,4,FALSE)</f>
        <v>0.14418</v>
      </c>
      <c r="P90">
        <f>VLOOKUP($B90&amp;P$1,Data!$A$2:$D$3723,4,FALSE)</f>
        <v>-0.104</v>
      </c>
      <c r="Q90">
        <f>VLOOKUP($B90&amp;Q$1,Data!$A$2:$D$3723,4,FALSE)</f>
        <v>372</v>
      </c>
      <c r="R90">
        <f>VLOOKUP($B90&amp;R$1,Data!$A$2:$D$3723,4,FALSE)</f>
        <v>2.8299999999999999E-2</v>
      </c>
      <c r="S90">
        <f>VLOOKUP($B90&amp;S$1,Data!$A$2:$D$3723,4,FALSE)</f>
        <v>-2.2499999999999999E-2</v>
      </c>
      <c r="T90">
        <f>VLOOKUP($B90&amp;T$1,Data!$A$2:$D$3723,4,FALSE)</f>
        <v>-3.533E-2</v>
      </c>
      <c r="U90">
        <f>VLOOKUP($B90&amp;U$1,Data!$A$2:$D$3723,4,FALSE)</f>
        <v>0.158</v>
      </c>
      <c r="V90">
        <f>VLOOKUP($B90&amp;V$1,Data!$A$2:$D$3723,4,FALSE)</f>
        <v>-0.06</v>
      </c>
      <c r="W90">
        <f>VLOOKUP($B90&amp;W$1,Data!$A$2:$D$3723,4,FALSE)</f>
        <v>-2.299E-2</v>
      </c>
      <c r="X90">
        <f>VLOOKUP($B90&amp;X$1,Data!$A$2:$D$3723,4,FALSE)</f>
        <v>0.57999999999999996</v>
      </c>
      <c r="Y90">
        <f>VLOOKUP($B90&amp;Y$1,Data!$A$2:$D$3723,4,FALSE)</f>
        <v>0.42</v>
      </c>
      <c r="Z90">
        <f>VLOOKUP($B90&amp;Z$1,Data!$A$2:$D$3723,4,FALSE)</f>
        <v>1.26</v>
      </c>
      <c r="AA90">
        <f>VLOOKUP($B90&amp;AA$1,Data!$A$2:$D$3723,4,FALSE)</f>
        <v>-0.06</v>
      </c>
      <c r="AB90">
        <f>VLOOKUP($B90&amp;AB$1,Data!$A$2:$D$3723,4,FALSE)</f>
        <v>0.71499999999999997</v>
      </c>
      <c r="AC90">
        <f>VLOOKUP($B90&amp;AC$1,Data!$A$2:$D$3723,4,FALSE)</f>
        <v>0.14199999999999999</v>
      </c>
      <c r="AD90">
        <f>VLOOKUP($B90&amp;AD$1,Data!$A$2:$D$3723,4,FALSE)</f>
        <v>0.02</v>
      </c>
      <c r="AE90">
        <f>VLOOKUP($B90&amp;AE$1,Data!$A$2:$D$3723,4,FALSE)</f>
        <v>-0.58099999999999996</v>
      </c>
      <c r="AF90">
        <f>VLOOKUP($B90&amp;AF$1,Data!$A$2:$D$3723,4,FALSE)</f>
        <v>0.13500000000000001</v>
      </c>
      <c r="AG90">
        <f>VLOOKUP($B90&amp;AG$1,Data!$A$2:$D$3723,4,FALSE)</f>
        <v>-2.1000000000000001E-2</v>
      </c>
      <c r="AH90">
        <f>VLOOKUP($B90&amp;AH$1,Data!$A$2:$D$3723,4,FALSE)</f>
        <v>0</v>
      </c>
      <c r="AI90">
        <f>VLOOKUP($B90&amp;AI$1,Data!$A$2:$D$3723,4,FALSE)</f>
        <v>51000000</v>
      </c>
    </row>
    <row r="91" spans="2:35" hidden="1">
      <c r="B91" s="13">
        <v>90</v>
      </c>
      <c r="C91" s="13" t="s">
        <v>55</v>
      </c>
      <c r="D91" t="s">
        <v>7</v>
      </c>
      <c r="E91" t="s">
        <v>22</v>
      </c>
      <c r="F91">
        <v>5000</v>
      </c>
      <c r="G91" t="s">
        <v>17</v>
      </c>
      <c r="H91" s="5">
        <v>43831</v>
      </c>
      <c r="I91" s="5">
        <v>44562</v>
      </c>
      <c r="J91">
        <v>14</v>
      </c>
      <c r="K91">
        <v>9</v>
      </c>
      <c r="L91">
        <v>30</v>
      </c>
      <c r="M91">
        <v>70</v>
      </c>
      <c r="N91">
        <v>1000000</v>
      </c>
      <c r="O91">
        <f>VLOOKUP($B91&amp;O$1,Data!$A$2:$D$3723,4,FALSE)</f>
        <v>0.18754000000000001</v>
      </c>
      <c r="P91">
        <f>VLOOKUP($B91&amp;P$1,Data!$A$2:$D$3723,4,FALSE)</f>
        <v>8.5000000000000006E-2</v>
      </c>
      <c r="Q91">
        <f>VLOOKUP($B91&amp;Q$1,Data!$A$2:$D$3723,4,FALSE)</f>
        <v>358</v>
      </c>
      <c r="R91">
        <f>VLOOKUP($B91&amp;R$1,Data!$A$2:$D$3723,4,FALSE)</f>
        <v>0.18959999999999999</v>
      </c>
      <c r="S91">
        <f>VLOOKUP($B91&amp;S$1,Data!$A$2:$D$3723,4,FALSE)</f>
        <v>-0.12989999999999999</v>
      </c>
      <c r="T91">
        <f>VLOOKUP($B91&amp;T$1,Data!$A$2:$D$3723,4,FALSE)</f>
        <v>-0.26555000000000001</v>
      </c>
      <c r="U91">
        <f>VLOOKUP($B91&amp;U$1,Data!$A$2:$D$3723,4,FALSE)</f>
        <v>0.63500000000000001</v>
      </c>
      <c r="V91">
        <f>VLOOKUP($B91&amp;V$1,Data!$A$2:$D$3723,4,FALSE)</f>
        <v>2.5000000000000001E-2</v>
      </c>
      <c r="W91">
        <f>VLOOKUP($B91&amp;W$1,Data!$A$2:$D$3723,4,FALSE)</f>
        <v>-0.18087</v>
      </c>
      <c r="X91">
        <f>VLOOKUP($B91&amp;X$1,Data!$A$2:$D$3723,4,FALSE)</f>
        <v>0.57999999999999996</v>
      </c>
      <c r="Y91">
        <f>VLOOKUP($B91&amp;Y$1,Data!$A$2:$D$3723,4,FALSE)</f>
        <v>0.42</v>
      </c>
      <c r="Z91">
        <f>VLOOKUP($B91&amp;Z$1,Data!$A$2:$D$3723,4,FALSE)</f>
        <v>1.46</v>
      </c>
      <c r="AA91">
        <f>VLOOKUP($B91&amp;AA$1,Data!$A$2:$D$3723,4,FALSE)</f>
        <v>-0.18</v>
      </c>
      <c r="AB91">
        <f>VLOOKUP($B91&amp;AB$1,Data!$A$2:$D$3723,4,FALSE)</f>
        <v>3.8279999999999998</v>
      </c>
      <c r="AC91">
        <f>VLOOKUP($B91&amp;AC$1,Data!$A$2:$D$3723,4,FALSE)</f>
        <v>0.751</v>
      </c>
      <c r="AD91">
        <f>VLOOKUP($B91&amp;AD$1,Data!$A$2:$D$3723,4,FALSE)</f>
        <v>0.56399999999999995</v>
      </c>
      <c r="AE91">
        <f>VLOOKUP($B91&amp;AE$1,Data!$A$2:$D$3723,4,FALSE)</f>
        <v>0</v>
      </c>
      <c r="AF91">
        <f>VLOOKUP($B91&amp;AF$1,Data!$A$2:$D$3723,4,FALSE)</f>
        <v>0.73099999999999998</v>
      </c>
      <c r="AG91">
        <f>VLOOKUP($B91&amp;AG$1,Data!$A$2:$D$3723,4,FALSE)</f>
        <v>1.7000000000000001E-2</v>
      </c>
      <c r="AH91">
        <f>VLOOKUP($B91&amp;AH$1,Data!$A$2:$D$3723,4,FALSE)</f>
        <v>0</v>
      </c>
      <c r="AI91">
        <f>VLOOKUP($B91&amp;AI$1,Data!$A$2:$D$3723,4,FALSE)</f>
        <v>10000000</v>
      </c>
    </row>
    <row r="92" spans="2:35" hidden="1">
      <c r="B92" s="13">
        <v>91</v>
      </c>
      <c r="C92" s="13" t="s">
        <v>55</v>
      </c>
      <c r="D92" t="s">
        <v>7</v>
      </c>
      <c r="E92" t="s">
        <v>3</v>
      </c>
      <c r="F92">
        <v>100</v>
      </c>
      <c r="G92" t="s">
        <v>17</v>
      </c>
      <c r="H92" s="5">
        <v>43831</v>
      </c>
      <c r="I92" s="5">
        <v>44562</v>
      </c>
      <c r="J92">
        <v>14</v>
      </c>
      <c r="K92">
        <v>9</v>
      </c>
      <c r="L92">
        <v>32</v>
      </c>
      <c r="M92">
        <v>68</v>
      </c>
      <c r="N92">
        <v>1000000</v>
      </c>
      <c r="O92">
        <f>VLOOKUP($B92&amp;O$1,Data!$A$2:$D$3723,4,FALSE)</f>
        <v>0.20558000000000001</v>
      </c>
      <c r="P92">
        <f>VLOOKUP($B92&amp;P$1,Data!$A$2:$D$3723,4,FALSE)</f>
        <v>0.13900000000000001</v>
      </c>
      <c r="Q92">
        <f>VLOOKUP($B92&amp;Q$1,Data!$A$2:$D$3723,4,FALSE)</f>
        <v>1133</v>
      </c>
      <c r="R92">
        <f>VLOOKUP($B92&amp;R$1,Data!$A$2:$D$3723,4,FALSE)</f>
        <v>1.8E-3</v>
      </c>
      <c r="S92">
        <f>VLOOKUP($B92&amp;S$1,Data!$A$2:$D$3723,4,FALSE)</f>
        <v>-1.6000000000000001E-3</v>
      </c>
      <c r="T92">
        <f>VLOOKUP($B92&amp;T$1,Data!$A$2:$D$3723,4,FALSE)</f>
        <v>3.5100000000000001E-3</v>
      </c>
      <c r="U92">
        <f>VLOOKUP($B92&amp;U$1,Data!$A$2:$D$3723,4,FALSE)</f>
        <v>0.02</v>
      </c>
      <c r="V92">
        <f>VLOOKUP($B92&amp;V$1,Data!$A$2:$D$3723,4,FALSE)</f>
        <v>6.5000000000000002E-2</v>
      </c>
      <c r="W92">
        <f>VLOOKUP($B92&amp;W$1,Data!$A$2:$D$3723,4,FALSE)</f>
        <v>2.2699999999999999E-3</v>
      </c>
      <c r="X92">
        <f>VLOOKUP($B92&amp;X$1,Data!$A$2:$D$3723,4,FALSE)</f>
        <v>0.49</v>
      </c>
      <c r="Y92">
        <f>VLOOKUP($B92&amp;Y$1,Data!$A$2:$D$3723,4,FALSE)</f>
        <v>0.51</v>
      </c>
      <c r="Z92">
        <f>VLOOKUP($B92&amp;Z$1,Data!$A$2:$D$3723,4,FALSE)</f>
        <v>1.07</v>
      </c>
      <c r="AA92">
        <f>VLOOKUP($B92&amp;AA$1,Data!$A$2:$D$3723,4,FALSE)</f>
        <v>-5.0000000000000001E-3</v>
      </c>
      <c r="AB92">
        <f>VLOOKUP($B92&amp;AB$1,Data!$A$2:$D$3723,4,FALSE)</f>
        <v>0.11899999999999999</v>
      </c>
      <c r="AC92">
        <f>VLOOKUP($B92&amp;AC$1,Data!$A$2:$D$3723,4,FALSE)</f>
        <v>1.9E-2</v>
      </c>
      <c r="AD92">
        <f>VLOOKUP($B92&amp;AD$1,Data!$A$2:$D$3723,4,FALSE)</f>
        <v>0</v>
      </c>
      <c r="AE92">
        <f>VLOOKUP($B92&amp;AE$1,Data!$A$2:$D$3723,4,FALSE)</f>
        <v>-0.998</v>
      </c>
      <c r="AF92">
        <f>VLOOKUP($B92&amp;AF$1,Data!$A$2:$D$3723,4,FALSE)</f>
        <v>6.0999999999999999E-2</v>
      </c>
      <c r="AG92">
        <f>VLOOKUP($B92&amp;AG$1,Data!$A$2:$D$3723,4,FALSE)</f>
        <v>2.1999999999999999E-2</v>
      </c>
      <c r="AH92">
        <f>VLOOKUP($B92&amp;AH$1,Data!$A$2:$D$3723,4,FALSE)</f>
        <v>0</v>
      </c>
      <c r="AI92">
        <f>VLOOKUP($B92&amp;AI$1,Data!$A$2:$D$3723,4,FALSE)</f>
        <v>20000000</v>
      </c>
    </row>
    <row r="93" spans="2:35" hidden="1">
      <c r="B93" s="13">
        <v>92</v>
      </c>
      <c r="C93" s="13" t="s">
        <v>55</v>
      </c>
      <c r="D93" t="s">
        <v>7</v>
      </c>
      <c r="E93" t="s">
        <v>3</v>
      </c>
      <c r="F93">
        <v>1000</v>
      </c>
      <c r="G93" t="s">
        <v>17</v>
      </c>
      <c r="H93" s="5">
        <v>43831</v>
      </c>
      <c r="I93" s="5">
        <v>44562</v>
      </c>
      <c r="J93">
        <v>14</v>
      </c>
      <c r="K93">
        <v>9</v>
      </c>
      <c r="L93">
        <v>32</v>
      </c>
      <c r="M93">
        <v>68</v>
      </c>
      <c r="N93">
        <v>1000000</v>
      </c>
      <c r="O93">
        <f>VLOOKUP($B93&amp;O$1,Data!$A$2:$D$3723,4,FALSE)</f>
        <v>0.22938</v>
      </c>
      <c r="P93">
        <f>VLOOKUP($B93&amp;P$1,Data!$A$2:$D$3723,4,FALSE)</f>
        <v>0.22700000000000001</v>
      </c>
      <c r="Q93">
        <f>VLOOKUP($B93&amp;Q$1,Data!$A$2:$D$3723,4,FALSE)</f>
        <v>1133</v>
      </c>
      <c r="R93">
        <f>VLOOKUP($B93&amp;R$1,Data!$A$2:$D$3723,4,FALSE)</f>
        <v>1.7899999999999999E-2</v>
      </c>
      <c r="S93">
        <f>VLOOKUP($B93&amp;S$1,Data!$A$2:$D$3723,4,FALSE)</f>
        <v>-1.6199999999999999E-2</v>
      </c>
      <c r="T93">
        <f>VLOOKUP($B93&amp;T$1,Data!$A$2:$D$3723,4,FALSE)</f>
        <v>3.5279999999999999E-2</v>
      </c>
      <c r="U93">
        <f>VLOOKUP($B93&amp;U$1,Data!$A$2:$D$3723,4,FALSE)</f>
        <v>0.193</v>
      </c>
      <c r="V93">
        <f>VLOOKUP($B93&amp;V$1,Data!$A$2:$D$3723,4,FALSE)</f>
        <v>0.08</v>
      </c>
      <c r="W93">
        <f>VLOOKUP($B93&amp;W$1,Data!$A$2:$D$3723,4,FALSE)</f>
        <v>2.2669999999999999E-2</v>
      </c>
      <c r="X93">
        <f>VLOOKUP($B93&amp;X$1,Data!$A$2:$D$3723,4,FALSE)</f>
        <v>0.49</v>
      </c>
      <c r="Y93">
        <f>VLOOKUP($B93&amp;Y$1,Data!$A$2:$D$3723,4,FALSE)</f>
        <v>0.51</v>
      </c>
      <c r="Z93">
        <f>VLOOKUP($B93&amp;Z$1,Data!$A$2:$D$3723,4,FALSE)</f>
        <v>1.1000000000000001</v>
      </c>
      <c r="AA93">
        <f>VLOOKUP($B93&amp;AA$1,Data!$A$2:$D$3723,4,FALSE)</f>
        <v>-3.3000000000000002E-2</v>
      </c>
      <c r="AB93">
        <f>VLOOKUP($B93&amp;AB$1,Data!$A$2:$D$3723,4,FALSE)</f>
        <v>1.2</v>
      </c>
      <c r="AC93">
        <f>VLOOKUP($B93&amp;AC$1,Data!$A$2:$D$3723,4,FALSE)</f>
        <v>0.191</v>
      </c>
      <c r="AD93">
        <f>VLOOKUP($B93&amp;AD$1,Data!$A$2:$D$3723,4,FALSE)</f>
        <v>3.6999999999999998E-2</v>
      </c>
      <c r="AE93">
        <f>VLOOKUP($B93&amp;AE$1,Data!$A$2:$D$3723,4,FALSE)</f>
        <v>-0.11600000000000001</v>
      </c>
      <c r="AF93">
        <f>VLOOKUP($B93&amp;AF$1,Data!$A$2:$D$3723,4,FALSE)</f>
        <v>0.17399999999999999</v>
      </c>
      <c r="AG93">
        <f>VLOOKUP($B93&amp;AG$1,Data!$A$2:$D$3723,4,FALSE)</f>
        <v>3.5999999999999997E-2</v>
      </c>
      <c r="AH93">
        <f>VLOOKUP($B93&amp;AH$1,Data!$A$2:$D$3723,4,FALSE)</f>
        <v>0</v>
      </c>
      <c r="AI93">
        <f>VLOOKUP($B93&amp;AI$1,Data!$A$2:$D$3723,4,FALSE)</f>
        <v>4100000</v>
      </c>
    </row>
    <row r="94" spans="2:35" hidden="1">
      <c r="B94" s="13">
        <v>93</v>
      </c>
      <c r="C94" s="13" t="s">
        <v>55</v>
      </c>
      <c r="D94" t="s">
        <v>7</v>
      </c>
      <c r="E94" t="s">
        <v>3</v>
      </c>
      <c r="F94">
        <v>5000</v>
      </c>
      <c r="G94" t="s">
        <v>17</v>
      </c>
      <c r="H94" s="5">
        <v>43831</v>
      </c>
      <c r="I94" s="5">
        <v>44562</v>
      </c>
      <c r="J94">
        <v>14</v>
      </c>
      <c r="K94">
        <v>9</v>
      </c>
      <c r="L94">
        <v>32</v>
      </c>
      <c r="M94">
        <v>68</v>
      </c>
      <c r="N94">
        <v>1000000</v>
      </c>
      <c r="O94">
        <f>VLOOKUP($B94&amp;O$1,Data!$A$2:$D$3723,4,FALSE)</f>
        <v>0.27012000000000003</v>
      </c>
      <c r="P94">
        <f>VLOOKUP($B94&amp;P$1,Data!$A$2:$D$3723,4,FALSE)</f>
        <v>0.434</v>
      </c>
      <c r="Q94">
        <f>VLOOKUP($B94&amp;Q$1,Data!$A$2:$D$3723,4,FALSE)</f>
        <v>1114</v>
      </c>
      <c r="R94">
        <f>VLOOKUP($B94&amp;R$1,Data!$A$2:$D$3723,4,FALSE)</f>
        <v>0.11459999999999999</v>
      </c>
      <c r="S94">
        <f>VLOOKUP($B94&amp;S$1,Data!$A$2:$D$3723,4,FALSE)</f>
        <v>-7.5200000000000003E-2</v>
      </c>
      <c r="T94">
        <f>VLOOKUP($B94&amp;T$1,Data!$A$2:$D$3723,4,FALSE)</f>
        <v>-0.24571000000000001</v>
      </c>
      <c r="U94">
        <f>VLOOKUP($B94&amp;U$1,Data!$A$2:$D$3723,4,FALSE)</f>
        <v>0.70199999999999996</v>
      </c>
      <c r="V94">
        <f>VLOOKUP($B94&amp;V$1,Data!$A$2:$D$3723,4,FALSE)</f>
        <v>0.09</v>
      </c>
      <c r="W94">
        <f>VLOOKUP($B94&amp;W$1,Data!$A$2:$D$3723,4,FALSE)</f>
        <v>-0.16664000000000001</v>
      </c>
      <c r="X94">
        <f>VLOOKUP($B94&amp;X$1,Data!$A$2:$D$3723,4,FALSE)</f>
        <v>0.56999999999999995</v>
      </c>
      <c r="Y94">
        <f>VLOOKUP($B94&amp;Y$1,Data!$A$2:$D$3723,4,FALSE)</f>
        <v>0.43</v>
      </c>
      <c r="Z94">
        <f>VLOOKUP($B94&amp;Z$1,Data!$A$2:$D$3723,4,FALSE)</f>
        <v>1.52</v>
      </c>
      <c r="AA94">
        <f>VLOOKUP($B94&amp;AA$1,Data!$A$2:$D$3723,4,FALSE)</f>
        <v>1.4E-2</v>
      </c>
      <c r="AB94">
        <f>VLOOKUP($B94&amp;AB$1,Data!$A$2:$D$3723,4,FALSE)</f>
        <v>6.742</v>
      </c>
      <c r="AC94">
        <f>VLOOKUP($B94&amp;AC$1,Data!$A$2:$D$3723,4,FALSE)</f>
        <v>1.0209999999999999</v>
      </c>
      <c r="AD94">
        <f>VLOOKUP($B94&amp;AD$1,Data!$A$2:$D$3723,4,FALSE)</f>
        <v>1.0429999999999999</v>
      </c>
      <c r="AE94">
        <f>VLOOKUP($B94&amp;AE$1,Data!$A$2:$D$3723,4,FALSE)</f>
        <v>0.38200000000000001</v>
      </c>
      <c r="AF94">
        <f>VLOOKUP($B94&amp;AF$1,Data!$A$2:$D$3723,4,FALSE)</f>
        <v>0.99299999999999999</v>
      </c>
      <c r="AG94">
        <f>VLOOKUP($B94&amp;AG$1,Data!$A$2:$D$3723,4,FALSE)</f>
        <v>6.6000000000000003E-2</v>
      </c>
      <c r="AH94">
        <f>VLOOKUP($B94&amp;AH$1,Data!$A$2:$D$3723,4,FALSE)</f>
        <v>0</v>
      </c>
      <c r="AI94">
        <f>VLOOKUP($B94&amp;AI$1,Data!$A$2:$D$3723,4,FALSE)</f>
        <v>1400000</v>
      </c>
    </row>
    <row r="95" spans="2:35" hidden="1">
      <c r="B95" s="13">
        <v>94</v>
      </c>
      <c r="C95" s="13" t="s">
        <v>55</v>
      </c>
      <c r="D95" t="s">
        <v>7</v>
      </c>
      <c r="E95" t="s">
        <v>2</v>
      </c>
      <c r="F95">
        <v>100</v>
      </c>
      <c r="G95" t="s">
        <v>17</v>
      </c>
      <c r="H95" s="5">
        <v>43831</v>
      </c>
      <c r="I95" s="5">
        <v>44562</v>
      </c>
      <c r="J95">
        <v>14</v>
      </c>
      <c r="K95">
        <v>9</v>
      </c>
      <c r="L95">
        <v>32</v>
      </c>
      <c r="M95">
        <v>68</v>
      </c>
      <c r="N95">
        <v>1000000</v>
      </c>
      <c r="O95">
        <f>VLOOKUP($B95&amp;O$1,Data!$A$2:$D$3723,4,FALSE)</f>
        <v>0.22853999999999999</v>
      </c>
      <c r="P95">
        <f>VLOOKUP($B95&amp;P$1,Data!$A$2:$D$3723,4,FALSE)</f>
        <v>0.23400000000000001</v>
      </c>
      <c r="Q95">
        <f>VLOOKUP($B95&amp;Q$1,Data!$A$2:$D$3723,4,FALSE)</f>
        <v>697</v>
      </c>
      <c r="R95">
        <f>VLOOKUP($B95&amp;R$1,Data!$A$2:$D$3723,4,FALSE)</f>
        <v>2.0999999999999999E-3</v>
      </c>
      <c r="S95">
        <f>VLOOKUP($B95&amp;S$1,Data!$A$2:$D$3723,4,FALSE)</f>
        <v>-1.6999999999999999E-3</v>
      </c>
      <c r="T95">
        <f>VLOOKUP($B95&amp;T$1,Data!$A$2:$D$3723,4,FALSE)</f>
        <v>4.1000000000000003E-3</v>
      </c>
      <c r="U95">
        <f>VLOOKUP($B95&amp;U$1,Data!$A$2:$D$3723,4,FALSE)</f>
        <v>1.0999999999999999E-2</v>
      </c>
      <c r="V95">
        <f>VLOOKUP($B95&amp;V$1,Data!$A$2:$D$3723,4,FALSE)</f>
        <v>7.0999999999999994E-2</v>
      </c>
      <c r="W95">
        <f>VLOOKUP($B95&amp;W$1,Data!$A$2:$D$3723,4,FALSE)</f>
        <v>2.65E-3</v>
      </c>
      <c r="X95">
        <f>VLOOKUP($B95&amp;X$1,Data!$A$2:$D$3723,4,FALSE)</f>
        <v>0.52</v>
      </c>
      <c r="Y95">
        <f>VLOOKUP($B95&amp;Y$1,Data!$A$2:$D$3723,4,FALSE)</f>
        <v>0.48</v>
      </c>
      <c r="Z95">
        <f>VLOOKUP($B95&amp;Z$1,Data!$A$2:$D$3723,4,FALSE)</f>
        <v>1.24</v>
      </c>
      <c r="AA95">
        <f>VLOOKUP($B95&amp;AA$1,Data!$A$2:$D$3723,4,FALSE)</f>
        <v>-2E-3</v>
      </c>
      <c r="AB95">
        <f>VLOOKUP($B95&amp;AB$1,Data!$A$2:$D$3723,4,FALSE)</f>
        <v>7.3999999999999996E-2</v>
      </c>
      <c r="AC95">
        <f>VLOOKUP($B95&amp;AC$1,Data!$A$2:$D$3723,4,FALSE)</f>
        <v>1.2E-2</v>
      </c>
      <c r="AD95">
        <f>VLOOKUP($B95&amp;AD$1,Data!$A$2:$D$3723,4,FALSE)</f>
        <v>0</v>
      </c>
      <c r="AE95">
        <f>VLOOKUP($B95&amp;AE$1,Data!$A$2:$D$3723,4,FALSE)</f>
        <v>-0.96599999999999997</v>
      </c>
      <c r="AF95">
        <f>VLOOKUP($B95&amp;AF$1,Data!$A$2:$D$3723,4,FALSE)</f>
        <v>6.3E-2</v>
      </c>
      <c r="AG95">
        <f>VLOOKUP($B95&amp;AG$1,Data!$A$2:$D$3723,4,FALSE)</f>
        <v>0.04</v>
      </c>
      <c r="AH95">
        <f>VLOOKUP($B95&amp;AH$1,Data!$A$2:$D$3723,4,FALSE)</f>
        <v>0</v>
      </c>
      <c r="AI95">
        <f>VLOOKUP($B95&amp;AI$1,Data!$A$2:$D$3723,4,FALSE)</f>
        <v>1700000000</v>
      </c>
    </row>
    <row r="96" spans="2:35" hidden="1">
      <c r="B96" s="13">
        <v>95</v>
      </c>
      <c r="C96" s="13" t="s">
        <v>55</v>
      </c>
      <c r="D96" t="s">
        <v>7</v>
      </c>
      <c r="E96" t="s">
        <v>2</v>
      </c>
      <c r="F96">
        <v>1000</v>
      </c>
      <c r="G96" t="s">
        <v>17</v>
      </c>
      <c r="H96" s="5">
        <v>43831</v>
      </c>
      <c r="I96" s="5">
        <v>44562</v>
      </c>
      <c r="J96">
        <v>14</v>
      </c>
      <c r="K96">
        <v>9</v>
      </c>
      <c r="L96">
        <v>32</v>
      </c>
      <c r="M96">
        <v>68</v>
      </c>
      <c r="N96">
        <v>1000000</v>
      </c>
      <c r="O96">
        <f>VLOOKUP($B96&amp;O$1,Data!$A$2:$D$3723,4,FALSE)</f>
        <v>0.24454000000000001</v>
      </c>
      <c r="P96">
        <f>VLOOKUP($B96&amp;P$1,Data!$A$2:$D$3723,4,FALSE)</f>
        <v>0.29399999999999998</v>
      </c>
      <c r="Q96">
        <f>VLOOKUP($B96&amp;Q$1,Data!$A$2:$D$3723,4,FALSE)</f>
        <v>697</v>
      </c>
      <c r="R96">
        <f>VLOOKUP($B96&amp;R$1,Data!$A$2:$D$3723,4,FALSE)</f>
        <v>2.0899999999999998E-2</v>
      </c>
      <c r="S96">
        <f>VLOOKUP($B96&amp;S$1,Data!$A$2:$D$3723,4,FALSE)</f>
        <v>-1.6500000000000001E-2</v>
      </c>
      <c r="T96">
        <f>VLOOKUP($B96&amp;T$1,Data!$A$2:$D$3723,4,FALSE)</f>
        <v>4.1320000000000003E-2</v>
      </c>
      <c r="U96">
        <f>VLOOKUP($B96&amp;U$1,Data!$A$2:$D$3723,4,FALSE)</f>
        <v>0.104</v>
      </c>
      <c r="V96">
        <f>VLOOKUP($B96&amp;V$1,Data!$A$2:$D$3723,4,FALSE)</f>
        <v>8.5999999999999993E-2</v>
      </c>
      <c r="W96">
        <f>VLOOKUP($B96&amp;W$1,Data!$A$2:$D$3723,4,FALSE)</f>
        <v>2.6519999999999998E-2</v>
      </c>
      <c r="X96">
        <f>VLOOKUP($B96&amp;X$1,Data!$A$2:$D$3723,4,FALSE)</f>
        <v>0.52</v>
      </c>
      <c r="Y96">
        <f>VLOOKUP($B96&amp;Y$1,Data!$A$2:$D$3723,4,FALSE)</f>
        <v>0.48</v>
      </c>
      <c r="Z96">
        <f>VLOOKUP($B96&amp;Z$1,Data!$A$2:$D$3723,4,FALSE)</f>
        <v>1.27</v>
      </c>
      <c r="AA96">
        <f>VLOOKUP($B96&amp;AA$1,Data!$A$2:$D$3723,4,FALSE)</f>
        <v>-0.01</v>
      </c>
      <c r="AB96">
        <f>VLOOKUP($B96&amp;AB$1,Data!$A$2:$D$3723,4,FALSE)</f>
        <v>0.72499999999999998</v>
      </c>
      <c r="AC96">
        <f>VLOOKUP($B96&amp;AC$1,Data!$A$2:$D$3723,4,FALSE)</f>
        <v>0.123</v>
      </c>
      <c r="AD96">
        <f>VLOOKUP($B96&amp;AD$1,Data!$A$2:$D$3723,4,FALSE)</f>
        <v>1.4999999999999999E-2</v>
      </c>
      <c r="AE96">
        <f>VLOOKUP($B96&amp;AE$1,Data!$A$2:$D$3723,4,FALSE)</f>
        <v>-0.23899999999999999</v>
      </c>
      <c r="AF96">
        <f>VLOOKUP($B96&amp;AF$1,Data!$A$2:$D$3723,4,FALSE)</f>
        <v>0.115</v>
      </c>
      <c r="AG96">
        <f>VLOOKUP($B96&amp;AG$1,Data!$A$2:$D$3723,4,FALSE)</f>
        <v>0.05</v>
      </c>
      <c r="AH96">
        <f>VLOOKUP($B96&amp;AH$1,Data!$A$2:$D$3723,4,FALSE)</f>
        <v>0</v>
      </c>
      <c r="AI96">
        <f>VLOOKUP($B96&amp;AI$1,Data!$A$2:$D$3723,4,FALSE)</f>
        <v>180000000</v>
      </c>
    </row>
    <row r="97" spans="2:35" hidden="1">
      <c r="B97" s="13">
        <v>96</v>
      </c>
      <c r="C97" s="13" t="s">
        <v>55</v>
      </c>
      <c r="D97" t="s">
        <v>7</v>
      </c>
      <c r="E97" t="s">
        <v>2</v>
      </c>
      <c r="F97">
        <v>5000</v>
      </c>
      <c r="G97" t="s">
        <v>17</v>
      </c>
      <c r="H97" s="5">
        <v>43831</v>
      </c>
      <c r="I97" s="5">
        <v>44562</v>
      </c>
      <c r="J97">
        <v>14</v>
      </c>
      <c r="K97">
        <v>9</v>
      </c>
      <c r="L97">
        <v>32</v>
      </c>
      <c r="M97">
        <v>68</v>
      </c>
      <c r="N97">
        <v>1000000</v>
      </c>
      <c r="O97">
        <f>VLOOKUP($B97&amp;O$1,Data!$A$2:$D$3723,4,FALSE)</f>
        <v>0.31552000000000002</v>
      </c>
      <c r="P97">
        <f>VLOOKUP($B97&amp;P$1,Data!$A$2:$D$3723,4,FALSE)</f>
        <v>0.59899999999999998</v>
      </c>
      <c r="Q97">
        <f>VLOOKUP($B97&amp;Q$1,Data!$A$2:$D$3723,4,FALSE)</f>
        <v>697</v>
      </c>
      <c r="R97">
        <f>VLOOKUP($B97&amp;R$1,Data!$A$2:$D$3723,4,FALSE)</f>
        <v>0.1084</v>
      </c>
      <c r="S97">
        <f>VLOOKUP($B97&amp;S$1,Data!$A$2:$D$3723,4,FALSE)</f>
        <v>-7.6399999999999996E-2</v>
      </c>
      <c r="T97">
        <f>VLOOKUP($B97&amp;T$1,Data!$A$2:$D$3723,4,FALSE)</f>
        <v>0.21239</v>
      </c>
      <c r="U97">
        <f>VLOOKUP($B97&amp;U$1,Data!$A$2:$D$3723,4,FALSE)</f>
        <v>0.40899999999999997</v>
      </c>
      <c r="V97">
        <f>VLOOKUP($B97&amp;V$1,Data!$A$2:$D$3723,4,FALSE)</f>
        <v>0.157</v>
      </c>
      <c r="W97">
        <f>VLOOKUP($B97&amp;W$1,Data!$A$2:$D$3723,4,FALSE)</f>
        <v>0.13259000000000001</v>
      </c>
      <c r="X97">
        <f>VLOOKUP($B97&amp;X$1,Data!$A$2:$D$3723,4,FALSE)</f>
        <v>0.52</v>
      </c>
      <c r="Y97">
        <f>VLOOKUP($B97&amp;Y$1,Data!$A$2:$D$3723,4,FALSE)</f>
        <v>0.48</v>
      </c>
      <c r="Z97">
        <f>VLOOKUP($B97&amp;Z$1,Data!$A$2:$D$3723,4,FALSE)</f>
        <v>1.42</v>
      </c>
      <c r="AA97">
        <f>VLOOKUP($B97&amp;AA$1,Data!$A$2:$D$3723,4,FALSE)</f>
        <v>0.13700000000000001</v>
      </c>
      <c r="AB97">
        <f>VLOOKUP($B97&amp;AB$1,Data!$A$2:$D$3723,4,FALSE)</f>
        <v>3.4239999999999999</v>
      </c>
      <c r="AC97">
        <f>VLOOKUP($B97&amp;AC$1,Data!$A$2:$D$3723,4,FALSE)</f>
        <v>0.59299999999999997</v>
      </c>
      <c r="AD97">
        <f>VLOOKUP($B97&amp;AD$1,Data!$A$2:$D$3723,4,FALSE)</f>
        <v>0.35199999999999998</v>
      </c>
      <c r="AE97">
        <f>VLOOKUP($B97&amp;AE$1,Data!$A$2:$D$3723,4,FALSE)</f>
        <v>0.51</v>
      </c>
      <c r="AF97">
        <f>VLOOKUP($B97&amp;AF$1,Data!$A$2:$D$3723,4,FALSE)</f>
        <v>0.57099999999999995</v>
      </c>
      <c r="AG97">
        <f>VLOOKUP($B97&amp;AG$1,Data!$A$2:$D$3723,4,FALSE)</f>
        <v>0.104</v>
      </c>
      <c r="AH97">
        <f>VLOOKUP($B97&amp;AH$1,Data!$A$2:$D$3723,4,FALSE)</f>
        <v>0</v>
      </c>
      <c r="AI97">
        <f>VLOOKUP($B97&amp;AI$1,Data!$A$2:$D$3723,4,FALSE)</f>
        <v>41000000</v>
      </c>
    </row>
    <row r="98" spans="2:35" hidden="1">
      <c r="B98" s="13">
        <v>97</v>
      </c>
      <c r="C98" s="13" t="s">
        <v>55</v>
      </c>
      <c r="D98" t="s">
        <v>7</v>
      </c>
      <c r="E98" t="s">
        <v>22</v>
      </c>
      <c r="F98">
        <v>100</v>
      </c>
      <c r="G98" t="s">
        <v>17</v>
      </c>
      <c r="H98" s="5">
        <v>43831</v>
      </c>
      <c r="I98" s="5">
        <v>44562</v>
      </c>
      <c r="J98">
        <v>14</v>
      </c>
      <c r="K98">
        <v>9</v>
      </c>
      <c r="L98">
        <v>32</v>
      </c>
      <c r="M98">
        <v>68</v>
      </c>
      <c r="N98">
        <v>1000000</v>
      </c>
      <c r="O98">
        <f>VLOOKUP($B98&amp;O$1,Data!$A$2:$D$3723,4,FALSE)</f>
        <v>5.1400000000000001E-2</v>
      </c>
      <c r="P98">
        <f>VLOOKUP($B98&amp;P$1,Data!$A$2:$D$3723,4,FALSE)</f>
        <v>-0.629</v>
      </c>
      <c r="Q98">
        <f>VLOOKUP($B98&amp;Q$1,Data!$A$2:$D$3723,4,FALSE)</f>
        <v>472</v>
      </c>
      <c r="R98">
        <f>VLOOKUP($B98&amp;R$1,Data!$A$2:$D$3723,4,FALSE)</f>
        <v>2.3E-3</v>
      </c>
      <c r="S98">
        <f>VLOOKUP($B98&amp;S$1,Data!$A$2:$D$3723,4,FALSE)</f>
        <v>-2.5999999999999999E-3</v>
      </c>
      <c r="T98">
        <f>VLOOKUP($B98&amp;T$1,Data!$A$2:$D$3723,4,FALSE)</f>
        <v>-1.6199999999999999E-2</v>
      </c>
      <c r="U98">
        <f>VLOOKUP($B98&amp;U$1,Data!$A$2:$D$3723,4,FALSE)</f>
        <v>2.3E-2</v>
      </c>
      <c r="V98">
        <f>VLOOKUP($B98&amp;V$1,Data!$A$2:$D$3723,4,FALSE)</f>
        <v>-0.23599999999999999</v>
      </c>
      <c r="W98">
        <f>VLOOKUP($B98&amp;W$1,Data!$A$2:$D$3723,4,FALSE)</f>
        <v>-1.0500000000000001E-2</v>
      </c>
      <c r="X98">
        <f>VLOOKUP($B98&amp;X$1,Data!$A$2:$D$3723,4,FALSE)</f>
        <v>0.6</v>
      </c>
      <c r="Y98">
        <f>VLOOKUP($B98&amp;Y$1,Data!$A$2:$D$3723,4,FALSE)</f>
        <v>0.4</v>
      </c>
      <c r="Z98">
        <f>VLOOKUP($B98&amp;Z$1,Data!$A$2:$D$3723,4,FALSE)</f>
        <v>0.91</v>
      </c>
      <c r="AA98">
        <f>VLOOKUP($B98&amp;AA$1,Data!$A$2:$D$3723,4,FALSE)</f>
        <v>-1.7000000000000001E-2</v>
      </c>
      <c r="AB98">
        <f>VLOOKUP($B98&amp;AB$1,Data!$A$2:$D$3723,4,FALSE)</f>
        <v>9.4E-2</v>
      </c>
      <c r="AC98">
        <f>VLOOKUP($B98&amp;AC$1,Data!$A$2:$D$3723,4,FALSE)</f>
        <v>1.7999999999999999E-2</v>
      </c>
      <c r="AD98">
        <f>VLOOKUP($B98&amp;AD$1,Data!$A$2:$D$3723,4,FALSE)</f>
        <v>0</v>
      </c>
      <c r="AE98">
        <f>VLOOKUP($B98&amp;AE$1,Data!$A$2:$D$3723,4,FALSE)</f>
        <v>-1.1930000000000001</v>
      </c>
      <c r="AF98">
        <f>VLOOKUP($B98&amp;AF$1,Data!$A$2:$D$3723,4,FALSE)</f>
        <v>6.3E-2</v>
      </c>
      <c r="AG98">
        <f>VLOOKUP($B98&amp;AG$1,Data!$A$2:$D$3723,4,FALSE)</f>
        <v>-0.11899999999999999</v>
      </c>
      <c r="AH98">
        <f>VLOOKUP($B98&amp;AH$1,Data!$A$2:$D$3723,4,FALSE)</f>
        <v>0</v>
      </c>
      <c r="AI98">
        <f>VLOOKUP($B98&amp;AI$1,Data!$A$2:$D$3723,4,FALSE)</f>
        <v>49000000</v>
      </c>
    </row>
    <row r="99" spans="2:35" hidden="1">
      <c r="B99" s="13">
        <v>98</v>
      </c>
      <c r="C99" s="13" t="s">
        <v>55</v>
      </c>
      <c r="D99" t="s">
        <v>7</v>
      </c>
      <c r="E99" t="s">
        <v>22</v>
      </c>
      <c r="F99">
        <v>1000</v>
      </c>
      <c r="G99" t="s">
        <v>17</v>
      </c>
      <c r="H99" s="5">
        <v>43831</v>
      </c>
      <c r="I99" s="5">
        <v>44562</v>
      </c>
      <c r="J99">
        <v>14</v>
      </c>
      <c r="K99">
        <v>9</v>
      </c>
      <c r="L99">
        <v>32</v>
      </c>
      <c r="M99">
        <v>68</v>
      </c>
      <c r="N99">
        <v>1000000</v>
      </c>
      <c r="O99">
        <f>VLOOKUP($B99&amp;O$1,Data!$A$2:$D$3723,4,FALSE)</f>
        <v>6.9080000000000003E-2</v>
      </c>
      <c r="P99">
        <f>VLOOKUP($B99&amp;P$1,Data!$A$2:$D$3723,4,FALSE)</f>
        <v>-0.48899999999999999</v>
      </c>
      <c r="Q99">
        <f>VLOOKUP($B99&amp;Q$1,Data!$A$2:$D$3723,4,FALSE)</f>
        <v>472</v>
      </c>
      <c r="R99">
        <f>VLOOKUP($B99&amp;R$1,Data!$A$2:$D$3723,4,FALSE)</f>
        <v>2.7300000000000001E-2</v>
      </c>
      <c r="S99">
        <f>VLOOKUP($B99&amp;S$1,Data!$A$2:$D$3723,4,FALSE)</f>
        <v>-2.7799999999999998E-2</v>
      </c>
      <c r="T99">
        <f>VLOOKUP($B99&amp;T$1,Data!$A$2:$D$3723,4,FALSE)</f>
        <v>-0.15773000000000001</v>
      </c>
      <c r="U99">
        <f>VLOOKUP($B99&amp;U$1,Data!$A$2:$D$3723,4,FALSE)</f>
        <v>0.223</v>
      </c>
      <c r="V99">
        <f>VLOOKUP($B99&amp;V$1,Data!$A$2:$D$3723,4,FALSE)</f>
        <v>-0.20799999999999999</v>
      </c>
      <c r="W99">
        <f>VLOOKUP($B99&amp;W$1,Data!$A$2:$D$3723,4,FALSE)</f>
        <v>-0.10503</v>
      </c>
      <c r="X99">
        <f>VLOOKUP($B99&amp;X$1,Data!$A$2:$D$3723,4,FALSE)</f>
        <v>0.6</v>
      </c>
      <c r="Y99">
        <f>VLOOKUP($B99&amp;Y$1,Data!$A$2:$D$3723,4,FALSE)</f>
        <v>0.4</v>
      </c>
      <c r="Z99">
        <f>VLOOKUP($B99&amp;Z$1,Data!$A$2:$D$3723,4,FALSE)</f>
        <v>0.98</v>
      </c>
      <c r="AA99">
        <f>VLOOKUP($B99&amp;AA$1,Data!$A$2:$D$3723,4,FALSE)</f>
        <v>-0.161</v>
      </c>
      <c r="AB99">
        <f>VLOOKUP($B99&amp;AB$1,Data!$A$2:$D$3723,4,FALSE)</f>
        <v>1.03</v>
      </c>
      <c r="AC99">
        <f>VLOOKUP($B99&amp;AC$1,Data!$A$2:$D$3723,4,FALSE)</f>
        <v>0.19400000000000001</v>
      </c>
      <c r="AD99">
        <f>VLOOKUP($B99&amp;AD$1,Data!$A$2:$D$3723,4,FALSE)</f>
        <v>3.7999999999999999E-2</v>
      </c>
      <c r="AE99">
        <f>VLOOKUP($B99&amp;AE$1,Data!$A$2:$D$3723,4,FALSE)</f>
        <v>-0.872</v>
      </c>
      <c r="AF99">
        <f>VLOOKUP($B99&amp;AF$1,Data!$A$2:$D$3723,4,FALSE)</f>
        <v>0.182</v>
      </c>
      <c r="AG99">
        <f>VLOOKUP($B99&amp;AG$1,Data!$A$2:$D$3723,4,FALSE)</f>
        <v>-9.1999999999999998E-2</v>
      </c>
      <c r="AH99">
        <f>VLOOKUP($B99&amp;AH$1,Data!$A$2:$D$3723,4,FALSE)</f>
        <v>0</v>
      </c>
      <c r="AI99">
        <f>VLOOKUP($B99&amp;AI$1,Data!$A$2:$D$3723,4,FALSE)</f>
        <v>7500000</v>
      </c>
    </row>
    <row r="100" spans="2:35" hidden="1">
      <c r="B100" s="13">
        <v>99</v>
      </c>
      <c r="C100" s="13" t="s">
        <v>55</v>
      </c>
      <c r="D100" t="s">
        <v>7</v>
      </c>
      <c r="E100" t="s">
        <v>22</v>
      </c>
      <c r="F100">
        <v>5000</v>
      </c>
      <c r="G100" t="s">
        <v>17</v>
      </c>
      <c r="H100" s="5">
        <v>43831</v>
      </c>
      <c r="I100" s="5">
        <v>44562</v>
      </c>
      <c r="J100">
        <v>14</v>
      </c>
      <c r="K100">
        <v>9</v>
      </c>
      <c r="L100">
        <v>32</v>
      </c>
      <c r="M100">
        <v>68</v>
      </c>
      <c r="N100">
        <v>1000000</v>
      </c>
      <c r="O100">
        <f>VLOOKUP($B100&amp;O$1,Data!$A$2:$D$3723,4,FALSE)</f>
        <v>0.12551999999999999</v>
      </c>
      <c r="P100">
        <f>VLOOKUP($B100&amp;P$1,Data!$A$2:$D$3723,4,FALSE)</f>
        <v>-0.17499999999999999</v>
      </c>
      <c r="Q100">
        <f>VLOOKUP($B100&amp;Q$1,Data!$A$2:$D$3723,4,FALSE)</f>
        <v>439</v>
      </c>
      <c r="R100">
        <f>VLOOKUP($B100&amp;R$1,Data!$A$2:$D$3723,4,FALSE)</f>
        <v>0.29949999999999999</v>
      </c>
      <c r="S100">
        <f>VLOOKUP($B100&amp;S$1,Data!$A$2:$D$3723,4,FALSE)</f>
        <v>-9.1200000000000003E-2</v>
      </c>
      <c r="T100">
        <f>VLOOKUP($B100&amp;T$1,Data!$A$2:$D$3723,4,FALSE)</f>
        <v>-0.67689999999999995</v>
      </c>
      <c r="U100">
        <f>VLOOKUP($B100&amp;U$1,Data!$A$2:$D$3723,4,FALSE)</f>
        <v>0.78700000000000003</v>
      </c>
      <c r="V100">
        <f>VLOOKUP($B100&amp;V$1,Data!$A$2:$D$3723,4,FALSE)</f>
        <v>-6.9000000000000006E-2</v>
      </c>
      <c r="W100">
        <f>VLOOKUP($B100&amp;W$1,Data!$A$2:$D$3723,4,FALSE)</f>
        <v>-0.51827000000000001</v>
      </c>
      <c r="X100">
        <f>VLOOKUP($B100&amp;X$1,Data!$A$2:$D$3723,4,FALSE)</f>
        <v>0.78</v>
      </c>
      <c r="Y100">
        <f>VLOOKUP($B100&amp;Y$1,Data!$A$2:$D$3723,4,FALSE)</f>
        <v>0.22</v>
      </c>
      <c r="Z100">
        <f>VLOOKUP($B100&amp;Z$1,Data!$A$2:$D$3723,4,FALSE)</f>
        <v>3.28</v>
      </c>
      <c r="AA100">
        <f>VLOOKUP($B100&amp;AA$1,Data!$A$2:$D$3723,4,FALSE)</f>
        <v>-0.59099999999999997</v>
      </c>
      <c r="AB100">
        <f>VLOOKUP($B100&amp;AB$1,Data!$A$2:$D$3723,4,FALSE)</f>
        <v>6.4169999999999998</v>
      </c>
      <c r="AC100">
        <f>VLOOKUP($B100&amp;AC$1,Data!$A$2:$D$3723,4,FALSE)</f>
        <v>1.0449999999999999</v>
      </c>
      <c r="AD100">
        <f>VLOOKUP($B100&amp;AD$1,Data!$A$2:$D$3723,4,FALSE)</f>
        <v>1.0920000000000001</v>
      </c>
      <c r="AE100">
        <f>VLOOKUP($B100&amp;AE$1,Data!$A$2:$D$3723,4,FALSE)</f>
        <v>-0.24099999999999999</v>
      </c>
      <c r="AF100">
        <f>VLOOKUP($B100&amp;AF$1,Data!$A$2:$D$3723,4,FALSE)</f>
        <v>1.02</v>
      </c>
      <c r="AG100">
        <f>VLOOKUP($B100&amp;AG$1,Data!$A$2:$D$3723,4,FALSE)</f>
        <v>-2.8000000000000001E-2</v>
      </c>
      <c r="AH100">
        <f>VLOOKUP($B100&amp;AH$1,Data!$A$2:$D$3723,4,FALSE)</f>
        <v>0</v>
      </c>
      <c r="AI100">
        <f>VLOOKUP($B100&amp;AI$1,Data!$A$2:$D$3723,4,FALSE)</f>
        <v>2100000</v>
      </c>
    </row>
    <row r="101" spans="2:35" hidden="1">
      <c r="B101" s="13">
        <v>100</v>
      </c>
      <c r="C101" s="13" t="s">
        <v>55</v>
      </c>
      <c r="D101" t="s">
        <v>7</v>
      </c>
      <c r="E101" t="s">
        <v>3</v>
      </c>
      <c r="F101">
        <v>100</v>
      </c>
      <c r="G101" t="s">
        <v>17</v>
      </c>
      <c r="H101" s="5">
        <v>43831</v>
      </c>
      <c r="I101" s="5">
        <v>44562</v>
      </c>
      <c r="J101">
        <v>14</v>
      </c>
      <c r="K101">
        <v>9</v>
      </c>
      <c r="L101">
        <v>28</v>
      </c>
      <c r="M101">
        <v>72</v>
      </c>
      <c r="N101">
        <v>1000000</v>
      </c>
      <c r="O101">
        <f>VLOOKUP($B101&amp;O$1,Data!$A$2:$D$3723,4,FALSE)</f>
        <v>0.33544000000000002</v>
      </c>
      <c r="P101">
        <f>VLOOKUP($B101&amp;P$1,Data!$A$2:$D$3723,4,FALSE)</f>
        <v>0.56899999999999995</v>
      </c>
      <c r="Q101">
        <f>VLOOKUP($B101&amp;Q$1,Data!$A$2:$D$3723,4,FALSE)</f>
        <v>687</v>
      </c>
      <c r="R101">
        <f>VLOOKUP($B101&amp;R$1,Data!$A$2:$D$3723,4,FALSE)</f>
        <v>2.5000000000000001E-3</v>
      </c>
      <c r="S101">
        <f>VLOOKUP($B101&amp;S$1,Data!$A$2:$D$3723,4,FALSE)</f>
        <v>-1.6000000000000001E-3</v>
      </c>
      <c r="T101">
        <f>VLOOKUP($B101&amp;T$1,Data!$A$2:$D$3723,4,FALSE)</f>
        <v>9.5399999999999999E-3</v>
      </c>
      <c r="U101">
        <f>VLOOKUP($B101&amp;U$1,Data!$A$2:$D$3723,4,FALSE)</f>
        <v>7.0000000000000001E-3</v>
      </c>
      <c r="V101">
        <f>VLOOKUP($B101&amp;V$1,Data!$A$2:$D$3723,4,FALSE)</f>
        <v>0.30399999999999999</v>
      </c>
      <c r="W101">
        <f>VLOOKUP($B101&amp;W$1,Data!$A$2:$D$3723,4,FALSE)</f>
        <v>6.1599999999999997E-3</v>
      </c>
      <c r="X101">
        <f>VLOOKUP($B101&amp;X$1,Data!$A$2:$D$3723,4,FALSE)</f>
        <v>0.5</v>
      </c>
      <c r="Y101">
        <f>VLOOKUP($B101&amp;Y$1,Data!$A$2:$D$3723,4,FALSE)</f>
        <v>0.5</v>
      </c>
      <c r="Z101">
        <f>VLOOKUP($B101&amp;Z$1,Data!$A$2:$D$3723,4,FALSE)</f>
        <v>1.61</v>
      </c>
      <c r="AA101">
        <f>VLOOKUP($B101&amp;AA$1,Data!$A$2:$D$3723,4,FALSE)</f>
        <v>2E-3</v>
      </c>
      <c r="AB101">
        <f>VLOOKUP($B101&amp;AB$1,Data!$A$2:$D$3723,4,FALSE)</f>
        <v>7.0000000000000007E-2</v>
      </c>
      <c r="AC101">
        <f>VLOOKUP($B101&amp;AC$1,Data!$A$2:$D$3723,4,FALSE)</f>
        <v>1.2E-2</v>
      </c>
      <c r="AD101">
        <f>VLOOKUP($B101&amp;AD$1,Data!$A$2:$D$3723,4,FALSE)</f>
        <v>0</v>
      </c>
      <c r="AE101">
        <f>VLOOKUP($B101&amp;AE$1,Data!$A$2:$D$3723,4,FALSE)</f>
        <v>-0.90500000000000003</v>
      </c>
      <c r="AF101">
        <f>VLOOKUP($B101&amp;AF$1,Data!$A$2:$D$3723,4,FALSE)</f>
        <v>6.3E-2</v>
      </c>
      <c r="AG101">
        <f>VLOOKUP($B101&amp;AG$1,Data!$A$2:$D$3723,4,FALSE)</f>
        <v>9.5000000000000001E-2</v>
      </c>
      <c r="AH101">
        <f>VLOOKUP($B101&amp;AH$1,Data!$A$2:$D$3723,4,FALSE)</f>
        <v>0</v>
      </c>
      <c r="AI101">
        <f>VLOOKUP($B101&amp;AI$1,Data!$A$2:$D$3723,4,FALSE)</f>
        <v>150000000</v>
      </c>
    </row>
    <row r="102" spans="2:35" hidden="1">
      <c r="B102" s="13">
        <v>101</v>
      </c>
      <c r="C102" s="13" t="s">
        <v>55</v>
      </c>
      <c r="D102" t="s">
        <v>7</v>
      </c>
      <c r="E102" t="s">
        <v>3</v>
      </c>
      <c r="F102">
        <v>1000</v>
      </c>
      <c r="G102" t="s">
        <v>17</v>
      </c>
      <c r="H102" s="5">
        <v>43831</v>
      </c>
      <c r="I102" s="5">
        <v>44562</v>
      </c>
      <c r="J102">
        <v>14</v>
      </c>
      <c r="K102">
        <v>9</v>
      </c>
      <c r="L102">
        <v>28</v>
      </c>
      <c r="M102">
        <v>72</v>
      </c>
      <c r="N102">
        <v>1000000</v>
      </c>
      <c r="O102">
        <f>VLOOKUP($B102&amp;O$1,Data!$A$2:$D$3723,4,FALSE)</f>
        <v>0.41305999999999998</v>
      </c>
      <c r="P102">
        <f>VLOOKUP($B102&amp;P$1,Data!$A$2:$D$3723,4,FALSE)</f>
        <v>0.81299999999999994</v>
      </c>
      <c r="Q102">
        <f>VLOOKUP($B102&amp;Q$1,Data!$A$2:$D$3723,4,FALSE)</f>
        <v>687</v>
      </c>
      <c r="R102">
        <f>VLOOKUP($B102&amp;R$1,Data!$A$2:$D$3723,4,FALSE)</f>
        <v>2.5000000000000001E-2</v>
      </c>
      <c r="S102">
        <f>VLOOKUP($B102&amp;S$1,Data!$A$2:$D$3723,4,FALSE)</f>
        <v>-1.5299999999999999E-2</v>
      </c>
      <c r="T102">
        <f>VLOOKUP($B102&amp;T$1,Data!$A$2:$D$3723,4,FALSE)</f>
        <v>0.12267</v>
      </c>
      <c r="U102">
        <f>VLOOKUP($B102&amp;U$1,Data!$A$2:$D$3723,4,FALSE)</f>
        <v>6.9000000000000006E-2</v>
      </c>
      <c r="V102">
        <f>VLOOKUP($B102&amp;V$1,Data!$A$2:$D$3723,4,FALSE)</f>
        <v>0.31900000000000001</v>
      </c>
      <c r="W102">
        <f>VLOOKUP($B102&amp;W$1,Data!$A$2:$D$3723,4,FALSE)</f>
        <v>7.7670000000000003E-2</v>
      </c>
      <c r="X102">
        <f>VLOOKUP($B102&amp;X$1,Data!$A$2:$D$3723,4,FALSE)</f>
        <v>0.5</v>
      </c>
      <c r="Y102">
        <f>VLOOKUP($B102&amp;Y$1,Data!$A$2:$D$3723,4,FALSE)</f>
        <v>0.5</v>
      </c>
      <c r="Z102">
        <f>VLOOKUP($B102&amp;Z$1,Data!$A$2:$D$3723,4,FALSE)</f>
        <v>1.64</v>
      </c>
      <c r="AA102">
        <f>VLOOKUP($B102&amp;AA$1,Data!$A$2:$D$3723,4,FALSE)</f>
        <v>4.7E-2</v>
      </c>
      <c r="AB102">
        <f>VLOOKUP($B102&amp;AB$1,Data!$A$2:$D$3723,4,FALSE)</f>
        <v>0.67300000000000004</v>
      </c>
      <c r="AC102">
        <f>VLOOKUP($B102&amp;AC$1,Data!$A$2:$D$3723,4,FALSE)</f>
        <v>0.111</v>
      </c>
      <c r="AD102">
        <f>VLOOKUP($B102&amp;AD$1,Data!$A$2:$D$3723,4,FALSE)</f>
        <v>1.2E-2</v>
      </c>
      <c r="AE102">
        <f>VLOOKUP($B102&amp;AE$1,Data!$A$2:$D$3723,4,FALSE)</f>
        <v>0.255</v>
      </c>
      <c r="AF102">
        <f>VLOOKUP($B102&amp;AF$1,Data!$A$2:$D$3723,4,FALSE)</f>
        <v>0.104</v>
      </c>
      <c r="AG102">
        <f>VLOOKUP($B102&amp;AG$1,Data!$A$2:$D$3723,4,FALSE)</f>
        <v>0.13400000000000001</v>
      </c>
      <c r="AH102">
        <f>VLOOKUP($B102&amp;AH$1,Data!$A$2:$D$3723,4,FALSE)</f>
        <v>0</v>
      </c>
      <c r="AI102">
        <f>VLOOKUP($B102&amp;AI$1,Data!$A$2:$D$3723,4,FALSE)</f>
        <v>17000000</v>
      </c>
    </row>
    <row r="103" spans="2:35" hidden="1">
      <c r="B103" s="13">
        <v>102</v>
      </c>
      <c r="C103" s="13" t="s">
        <v>55</v>
      </c>
      <c r="D103" t="s">
        <v>7</v>
      </c>
      <c r="E103" t="s">
        <v>3</v>
      </c>
      <c r="F103">
        <v>5000</v>
      </c>
      <c r="G103" t="s">
        <v>17</v>
      </c>
      <c r="H103" s="5">
        <v>43831</v>
      </c>
      <c r="I103" s="5">
        <v>44562</v>
      </c>
      <c r="J103">
        <v>14</v>
      </c>
      <c r="K103">
        <v>9</v>
      </c>
      <c r="L103">
        <v>28</v>
      </c>
      <c r="M103">
        <v>72</v>
      </c>
      <c r="N103">
        <v>1000000</v>
      </c>
      <c r="O103">
        <f>VLOOKUP($B103&amp;O$1,Data!$A$2:$D$3723,4,FALSE)</f>
        <v>0.48737999999999998</v>
      </c>
      <c r="P103">
        <f>VLOOKUP($B103&amp;P$1,Data!$A$2:$D$3723,4,FALSE)</f>
        <v>1.23</v>
      </c>
      <c r="Q103">
        <f>VLOOKUP($B103&amp;Q$1,Data!$A$2:$D$3723,4,FALSE)</f>
        <v>687</v>
      </c>
      <c r="R103">
        <f>VLOOKUP($B103&amp;R$1,Data!$A$2:$D$3723,4,FALSE)</f>
        <v>0.1163</v>
      </c>
      <c r="S103">
        <f>VLOOKUP($B103&amp;S$1,Data!$A$2:$D$3723,4,FALSE)</f>
        <v>-6.5799999999999997E-2</v>
      </c>
      <c r="T103">
        <f>VLOOKUP($B103&amp;T$1,Data!$A$2:$D$3723,4,FALSE)</f>
        <v>0.66122999999999998</v>
      </c>
      <c r="U103">
        <f>VLOOKUP($B103&amp;U$1,Data!$A$2:$D$3723,4,FALSE)</f>
        <v>0.27700000000000002</v>
      </c>
      <c r="V103">
        <f>VLOOKUP($B103&amp;V$1,Data!$A$2:$D$3723,4,FALSE)</f>
        <v>0.38300000000000001</v>
      </c>
      <c r="W103">
        <f>VLOOKUP($B103&amp;W$1,Data!$A$2:$D$3723,4,FALSE)</f>
        <v>0.38834999999999997</v>
      </c>
      <c r="X103">
        <f>VLOOKUP($B103&amp;X$1,Data!$A$2:$D$3723,4,FALSE)</f>
        <v>0.5</v>
      </c>
      <c r="Y103">
        <f>VLOOKUP($B103&amp;Y$1,Data!$A$2:$D$3723,4,FALSE)</f>
        <v>0.5</v>
      </c>
      <c r="Z103">
        <f>VLOOKUP($B103&amp;Z$1,Data!$A$2:$D$3723,4,FALSE)</f>
        <v>1.77</v>
      </c>
      <c r="AA103">
        <f>VLOOKUP($B103&amp;AA$1,Data!$A$2:$D$3723,4,FALSE)</f>
        <v>0.40400000000000003</v>
      </c>
      <c r="AB103">
        <f>VLOOKUP($B103&amp;AB$1,Data!$A$2:$D$3723,4,FALSE)</f>
        <v>2.8980000000000001</v>
      </c>
      <c r="AC103">
        <f>VLOOKUP($B103&amp;AC$1,Data!$A$2:$D$3723,4,FALSE)</f>
        <v>0.47799999999999998</v>
      </c>
      <c r="AD103">
        <f>VLOOKUP($B103&amp;AD$1,Data!$A$2:$D$3723,4,FALSE)</f>
        <v>0.22900000000000001</v>
      </c>
      <c r="AE103">
        <f>VLOOKUP($B103&amp;AE$1,Data!$A$2:$D$3723,4,FALSE)</f>
        <v>1.1519999999999999</v>
      </c>
      <c r="AF103">
        <f>VLOOKUP($B103&amp;AF$1,Data!$A$2:$D$3723,4,FALSE)</f>
        <v>0.45500000000000002</v>
      </c>
      <c r="AG103">
        <f>VLOOKUP($B103&amp;AG$1,Data!$A$2:$D$3723,4,FALSE)</f>
        <v>0.20300000000000001</v>
      </c>
      <c r="AH103">
        <f>VLOOKUP($B103&amp;AH$1,Data!$A$2:$D$3723,4,FALSE)</f>
        <v>0</v>
      </c>
      <c r="AI103">
        <f>VLOOKUP($B103&amp;AI$1,Data!$A$2:$D$3723,4,FALSE)</f>
        <v>5100000</v>
      </c>
    </row>
    <row r="104" spans="2:35" hidden="1">
      <c r="B104" s="13">
        <v>103</v>
      </c>
      <c r="C104" s="13" t="s">
        <v>55</v>
      </c>
      <c r="D104" t="s">
        <v>7</v>
      </c>
      <c r="E104" t="s">
        <v>2</v>
      </c>
      <c r="F104">
        <v>100</v>
      </c>
      <c r="G104" t="s">
        <v>17</v>
      </c>
      <c r="H104" s="5">
        <v>43831</v>
      </c>
      <c r="I104" s="5">
        <v>44562</v>
      </c>
      <c r="J104">
        <v>14</v>
      </c>
      <c r="K104">
        <v>9</v>
      </c>
      <c r="L104">
        <v>28</v>
      </c>
      <c r="M104">
        <v>72</v>
      </c>
      <c r="N104">
        <v>1000000</v>
      </c>
      <c r="O104">
        <f>VLOOKUP($B104&amp;O$1,Data!$A$2:$D$3723,4,FALSE)</f>
        <v>0.47492000000000001</v>
      </c>
      <c r="P104">
        <f>VLOOKUP($B104&amp;P$1,Data!$A$2:$D$3723,4,FALSE)</f>
        <v>0.93899999999999995</v>
      </c>
      <c r="Q104">
        <f>VLOOKUP($B104&amp;Q$1,Data!$A$2:$D$3723,4,FALSE)</f>
        <v>413</v>
      </c>
      <c r="R104">
        <f>VLOOKUP($B104&amp;R$1,Data!$A$2:$D$3723,4,FALSE)</f>
        <v>4.7000000000000002E-3</v>
      </c>
      <c r="S104">
        <f>VLOOKUP($B104&amp;S$1,Data!$A$2:$D$3723,4,FALSE)</f>
        <v>-2.8999999999999998E-3</v>
      </c>
      <c r="T104">
        <f>VLOOKUP($B104&amp;T$1,Data!$A$2:$D$3723,4,FALSE)</f>
        <v>2.281E-2</v>
      </c>
      <c r="U104">
        <f>VLOOKUP($B104&amp;U$1,Data!$A$2:$D$3723,4,FALSE)</f>
        <v>1.2999999999999999E-2</v>
      </c>
      <c r="V104">
        <f>VLOOKUP($B104&amp;V$1,Data!$A$2:$D$3723,4,FALSE)</f>
        <v>0.41899999999999998</v>
      </c>
      <c r="W104">
        <f>VLOOKUP($B104&amp;W$1,Data!$A$2:$D$3723,4,FALSE)</f>
        <v>1.469E-2</v>
      </c>
      <c r="X104">
        <f>VLOOKUP($B104&amp;X$1,Data!$A$2:$D$3723,4,FALSE)</f>
        <v>0.46</v>
      </c>
      <c r="Y104">
        <f>VLOOKUP($B104&amp;Y$1,Data!$A$2:$D$3723,4,FALSE)</f>
        <v>0.54</v>
      </c>
      <c r="Z104">
        <f>VLOOKUP($B104&amp;Z$1,Data!$A$2:$D$3723,4,FALSE)</f>
        <v>1.63</v>
      </c>
      <c r="AA104">
        <f>VLOOKUP($B104&amp;AA$1,Data!$A$2:$D$3723,4,FALSE)</f>
        <v>0.01</v>
      </c>
      <c r="AB104">
        <f>VLOOKUP($B104&amp;AB$1,Data!$A$2:$D$3723,4,FALSE)</f>
        <v>8.6999999999999994E-2</v>
      </c>
      <c r="AC104">
        <f>VLOOKUP($B104&amp;AC$1,Data!$A$2:$D$3723,4,FALSE)</f>
        <v>1.7000000000000001E-2</v>
      </c>
      <c r="AD104">
        <f>VLOOKUP($B104&amp;AD$1,Data!$A$2:$D$3723,4,FALSE)</f>
        <v>0</v>
      </c>
      <c r="AE104">
        <f>VLOOKUP($B104&amp;AE$1,Data!$A$2:$D$3723,4,FALSE)</f>
        <v>-0.75800000000000001</v>
      </c>
      <c r="AF104">
        <f>VLOOKUP($B104&amp;AF$1,Data!$A$2:$D$3723,4,FALSE)</f>
        <v>6.3E-2</v>
      </c>
      <c r="AG104">
        <f>VLOOKUP($B104&amp;AG$1,Data!$A$2:$D$3723,4,FALSE)</f>
        <v>0.184</v>
      </c>
      <c r="AH104">
        <f>VLOOKUP($B104&amp;AH$1,Data!$A$2:$D$3723,4,FALSE)</f>
        <v>0</v>
      </c>
      <c r="AI104">
        <f>VLOOKUP($B104&amp;AI$1,Data!$A$2:$D$3723,4,FALSE)</f>
        <v>31000000</v>
      </c>
    </row>
    <row r="105" spans="2:35" hidden="1">
      <c r="B105" s="13">
        <v>104</v>
      </c>
      <c r="C105" s="13" t="s">
        <v>55</v>
      </c>
      <c r="D105" t="s">
        <v>7</v>
      </c>
      <c r="E105" t="s">
        <v>2</v>
      </c>
      <c r="F105">
        <v>1000</v>
      </c>
      <c r="G105" t="s">
        <v>17</v>
      </c>
      <c r="H105" s="5">
        <v>43831</v>
      </c>
      <c r="I105" s="5">
        <v>44562</v>
      </c>
      <c r="J105">
        <v>14</v>
      </c>
      <c r="K105">
        <v>9</v>
      </c>
      <c r="L105">
        <v>28</v>
      </c>
      <c r="M105">
        <v>72</v>
      </c>
      <c r="N105">
        <v>1000000</v>
      </c>
      <c r="O105">
        <f>VLOOKUP($B105&amp;O$1,Data!$A$2:$D$3723,4,FALSE)</f>
        <v>0.50126000000000004</v>
      </c>
      <c r="P105">
        <f>VLOOKUP($B105&amp;P$1,Data!$A$2:$D$3723,4,FALSE)</f>
        <v>1.0880000000000001</v>
      </c>
      <c r="Q105">
        <f>VLOOKUP($B105&amp;Q$1,Data!$A$2:$D$3723,4,FALSE)</f>
        <v>413</v>
      </c>
      <c r="R105">
        <f>VLOOKUP($B105&amp;R$1,Data!$A$2:$D$3723,4,FALSE)</f>
        <v>4.5999999999999999E-2</v>
      </c>
      <c r="S105">
        <f>VLOOKUP($B105&amp;S$1,Data!$A$2:$D$3723,4,FALSE)</f>
        <v>-2.69E-2</v>
      </c>
      <c r="T105">
        <f>VLOOKUP($B105&amp;T$1,Data!$A$2:$D$3723,4,FALSE)</f>
        <v>0.23613000000000001</v>
      </c>
      <c r="U105">
        <f>VLOOKUP($B105&amp;U$1,Data!$A$2:$D$3723,4,FALSE)</f>
        <v>0.12</v>
      </c>
      <c r="V105">
        <f>VLOOKUP($B105&amp;V$1,Data!$A$2:$D$3723,4,FALSE)</f>
        <v>0.46</v>
      </c>
      <c r="W105">
        <f>VLOOKUP($B105&amp;W$1,Data!$A$2:$D$3723,4,FALSE)</f>
        <v>0.14687</v>
      </c>
      <c r="X105">
        <f>VLOOKUP($B105&amp;X$1,Data!$A$2:$D$3723,4,FALSE)</f>
        <v>0.46</v>
      </c>
      <c r="Y105">
        <f>VLOOKUP($B105&amp;Y$1,Data!$A$2:$D$3723,4,FALSE)</f>
        <v>0.54</v>
      </c>
      <c r="Z105">
        <f>VLOOKUP($B105&amp;Z$1,Data!$A$2:$D$3723,4,FALSE)</f>
        <v>1.71</v>
      </c>
      <c r="AA105">
        <f>VLOOKUP($B105&amp;AA$1,Data!$A$2:$D$3723,4,FALSE)</f>
        <v>0.122</v>
      </c>
      <c r="AB105">
        <f>VLOOKUP($B105&amp;AB$1,Data!$A$2:$D$3723,4,FALSE)</f>
        <v>0.80100000000000005</v>
      </c>
      <c r="AC105">
        <f>VLOOKUP($B105&amp;AC$1,Data!$A$2:$D$3723,4,FALSE)</f>
        <v>0.159</v>
      </c>
      <c r="AD105">
        <f>VLOOKUP($B105&amp;AD$1,Data!$A$2:$D$3723,4,FALSE)</f>
        <v>2.5000000000000001E-2</v>
      </c>
      <c r="AE105">
        <f>VLOOKUP($B105&amp;AE$1,Data!$A$2:$D$3723,4,FALSE)</f>
        <v>0.72699999999999998</v>
      </c>
      <c r="AF105">
        <f>VLOOKUP($B105&amp;AF$1,Data!$A$2:$D$3723,4,FALSE)</f>
        <v>0.151</v>
      </c>
      <c r="AG105">
        <f>VLOOKUP($B105&amp;AG$1,Data!$A$2:$D$3723,4,FALSE)</f>
        <v>0.216</v>
      </c>
      <c r="AH105">
        <f>VLOOKUP($B105&amp;AH$1,Data!$A$2:$D$3723,4,FALSE)</f>
        <v>0</v>
      </c>
      <c r="AI105">
        <f>VLOOKUP($B105&amp;AI$1,Data!$A$2:$D$3723,4,FALSE)</f>
        <v>6300000</v>
      </c>
    </row>
    <row r="106" spans="2:35" hidden="1">
      <c r="B106" s="13">
        <v>105</v>
      </c>
      <c r="C106" s="13" t="s">
        <v>55</v>
      </c>
      <c r="D106" t="s">
        <v>7</v>
      </c>
      <c r="E106" t="s">
        <v>2</v>
      </c>
      <c r="F106">
        <v>5000</v>
      </c>
      <c r="G106" t="s">
        <v>17</v>
      </c>
      <c r="H106" s="5">
        <v>43831</v>
      </c>
      <c r="I106" s="5">
        <v>44562</v>
      </c>
      <c r="J106">
        <v>14</v>
      </c>
      <c r="K106">
        <v>9</v>
      </c>
      <c r="L106">
        <v>28</v>
      </c>
      <c r="M106">
        <v>72</v>
      </c>
      <c r="N106">
        <v>1000000</v>
      </c>
      <c r="O106">
        <f>VLOOKUP($B106&amp;O$1,Data!$A$2:$D$3723,4,FALSE)</f>
        <v>0.47092000000000001</v>
      </c>
      <c r="P106">
        <f>VLOOKUP($B106&amp;P$1,Data!$A$2:$D$3723,4,FALSE)</f>
        <v>1.4159999999999999</v>
      </c>
      <c r="Q106">
        <f>VLOOKUP($B106&amp;Q$1,Data!$A$2:$D$3723,4,FALSE)</f>
        <v>283</v>
      </c>
      <c r="R106">
        <f>VLOOKUP($B106&amp;R$1,Data!$A$2:$D$3723,4,FALSE)</f>
        <v>0.1166</v>
      </c>
      <c r="S106">
        <f>VLOOKUP($B106&amp;S$1,Data!$A$2:$D$3723,4,FALSE)</f>
        <v>-7.51E-2</v>
      </c>
      <c r="T106">
        <f>VLOOKUP($B106&amp;T$1,Data!$A$2:$D$3723,4,FALSE)</f>
        <v>0.86343000000000003</v>
      </c>
      <c r="U106">
        <f>VLOOKUP($B106&amp;U$1,Data!$A$2:$D$3723,4,FALSE)</f>
        <v>0.49099999999999999</v>
      </c>
      <c r="V106">
        <f>VLOOKUP($B106&amp;V$1,Data!$A$2:$D$3723,4,FALSE)</f>
        <v>0.70099999999999996</v>
      </c>
      <c r="W106">
        <f>VLOOKUP($B106&amp;W$1,Data!$A$2:$D$3723,4,FALSE)</f>
        <v>0.49281000000000003</v>
      </c>
      <c r="X106">
        <f>VLOOKUP($B106&amp;X$1,Data!$A$2:$D$3723,4,FALSE)</f>
        <v>0.33</v>
      </c>
      <c r="Y106">
        <f>VLOOKUP($B106&amp;Y$1,Data!$A$2:$D$3723,4,FALSE)</f>
        <v>0.67</v>
      </c>
      <c r="Z106">
        <f>VLOOKUP($B106&amp;Z$1,Data!$A$2:$D$3723,4,FALSE)</f>
        <v>1.55</v>
      </c>
      <c r="AA106">
        <f>VLOOKUP($B106&amp;AA$1,Data!$A$2:$D$3723,4,FALSE)</f>
        <v>0.92400000000000004</v>
      </c>
      <c r="AB106">
        <f>VLOOKUP($B106&amp;AB$1,Data!$A$2:$D$3723,4,FALSE)</f>
        <v>4.7430000000000003</v>
      </c>
      <c r="AC106">
        <f>VLOOKUP($B106&amp;AC$1,Data!$A$2:$D$3723,4,FALSE)</f>
        <v>0.86699999999999999</v>
      </c>
      <c r="AD106">
        <f>VLOOKUP($B106&amp;AD$1,Data!$A$2:$D$3723,4,FALSE)</f>
        <v>0.751</v>
      </c>
      <c r="AE106">
        <f>VLOOKUP($B106&amp;AE$1,Data!$A$2:$D$3723,4,FALSE)</f>
        <v>1.3779999999999999</v>
      </c>
      <c r="AF106">
        <f>VLOOKUP($B106&amp;AF$1,Data!$A$2:$D$3723,4,FALSE)</f>
        <v>0.84499999999999997</v>
      </c>
      <c r="AG106">
        <f>VLOOKUP($B106&amp;AG$1,Data!$A$2:$D$3723,4,FALSE)</f>
        <v>0.25900000000000001</v>
      </c>
      <c r="AH106">
        <f>VLOOKUP($B106&amp;AH$1,Data!$A$2:$D$3723,4,FALSE)</f>
        <v>0</v>
      </c>
      <c r="AI106">
        <f>VLOOKUP($B106&amp;AI$1,Data!$A$2:$D$3723,4,FALSE)</f>
        <v>12000000</v>
      </c>
    </row>
    <row r="107" spans="2:35" hidden="1">
      <c r="B107" s="13">
        <v>106</v>
      </c>
      <c r="C107" s="13" t="s">
        <v>55</v>
      </c>
      <c r="D107" t="s">
        <v>7</v>
      </c>
      <c r="E107" t="s">
        <v>22</v>
      </c>
      <c r="F107">
        <v>100</v>
      </c>
      <c r="G107" t="s">
        <v>17</v>
      </c>
      <c r="H107" s="5">
        <v>43831</v>
      </c>
      <c r="I107" s="5">
        <v>44562</v>
      </c>
      <c r="J107">
        <v>14</v>
      </c>
      <c r="K107">
        <v>9</v>
      </c>
      <c r="L107">
        <v>28</v>
      </c>
      <c r="M107">
        <v>72</v>
      </c>
      <c r="N107">
        <v>1000000</v>
      </c>
      <c r="O107">
        <f>VLOOKUP($B107&amp;O$1,Data!$A$2:$D$3723,4,FALSE)</f>
        <v>0.33343</v>
      </c>
      <c r="P107">
        <f>VLOOKUP($B107&amp;P$1,Data!$A$2:$D$3723,4,FALSE)</f>
        <v>0.55400000000000005</v>
      </c>
      <c r="Q107">
        <f>VLOOKUP($B107&amp;Q$1,Data!$A$2:$D$3723,4,FALSE)</f>
        <v>283</v>
      </c>
      <c r="R107">
        <f>VLOOKUP($B107&amp;R$1,Data!$A$2:$D$3723,4,FALSE)</f>
        <v>2.5000000000000001E-3</v>
      </c>
      <c r="S107">
        <f>VLOOKUP($B107&amp;S$1,Data!$A$2:$D$3723,4,FALSE)</f>
        <v>-1.6999999999999999E-3</v>
      </c>
      <c r="T107">
        <f>VLOOKUP($B107&amp;T$1,Data!$A$2:$D$3723,4,FALSE)</f>
        <v>1.529E-2</v>
      </c>
      <c r="U107">
        <f>VLOOKUP($B107&amp;U$1,Data!$A$2:$D$3723,4,FALSE)</f>
        <v>1.4E-2</v>
      </c>
      <c r="V107">
        <f>VLOOKUP($B107&amp;V$1,Data!$A$2:$D$3723,4,FALSE)</f>
        <v>0.64700000000000002</v>
      </c>
      <c r="W107">
        <f>VLOOKUP($B107&amp;W$1,Data!$A$2:$D$3723,4,FALSE)</f>
        <v>9.8600000000000007E-3</v>
      </c>
      <c r="X107">
        <f>VLOOKUP($B107&amp;X$1,Data!$A$2:$D$3723,4,FALSE)</f>
        <v>0.33</v>
      </c>
      <c r="Y107">
        <f>VLOOKUP($B107&amp;Y$1,Data!$A$2:$D$3723,4,FALSE)</f>
        <v>0.67</v>
      </c>
      <c r="Z107">
        <f>VLOOKUP($B107&amp;Z$1,Data!$A$2:$D$3723,4,FALSE)</f>
        <v>1.47</v>
      </c>
      <c r="AA107">
        <f>VLOOKUP($B107&amp;AA$1,Data!$A$2:$D$3723,4,FALSE)</f>
        <v>4.0000000000000001E-3</v>
      </c>
      <c r="AB107">
        <f>VLOOKUP($B107&amp;AB$1,Data!$A$2:$D$3723,4,FALSE)</f>
        <v>0.111</v>
      </c>
      <c r="AC107">
        <f>VLOOKUP($B107&amp;AC$1,Data!$A$2:$D$3723,4,FALSE)</f>
        <v>1.9E-2</v>
      </c>
      <c r="AD107">
        <f>VLOOKUP($B107&amp;AD$1,Data!$A$2:$D$3723,4,FALSE)</f>
        <v>0</v>
      </c>
      <c r="AE107">
        <f>VLOOKUP($B107&amp;AE$1,Data!$A$2:$D$3723,4,FALSE)</f>
        <v>-0.85399999999999998</v>
      </c>
      <c r="AF107">
        <f>VLOOKUP($B107&amp;AF$1,Data!$A$2:$D$3723,4,FALSE)</f>
        <v>6.2E-2</v>
      </c>
      <c r="AG107">
        <f>VLOOKUP($B107&amp;AG$1,Data!$A$2:$D$3723,4,FALSE)</f>
        <v>9.7000000000000003E-2</v>
      </c>
      <c r="AH107">
        <f>VLOOKUP($B107&amp;AH$1,Data!$A$2:$D$3723,4,FALSE)</f>
        <v>0</v>
      </c>
      <c r="AI107">
        <f>VLOOKUP($B107&amp;AI$1,Data!$A$2:$D$3723,4,FALSE)</f>
        <v>360000000</v>
      </c>
    </row>
    <row r="108" spans="2:35" hidden="1">
      <c r="B108" s="13">
        <v>107</v>
      </c>
      <c r="C108" s="13" t="s">
        <v>55</v>
      </c>
      <c r="D108" t="s">
        <v>7</v>
      </c>
      <c r="E108" t="s">
        <v>22</v>
      </c>
      <c r="F108">
        <v>1000</v>
      </c>
      <c r="G108" t="s">
        <v>17</v>
      </c>
      <c r="H108" s="5">
        <v>43831</v>
      </c>
      <c r="I108" s="5">
        <v>44562</v>
      </c>
      <c r="J108">
        <v>14</v>
      </c>
      <c r="K108">
        <v>9</v>
      </c>
      <c r="L108">
        <v>28</v>
      </c>
      <c r="M108">
        <v>72</v>
      </c>
      <c r="N108">
        <v>1000000</v>
      </c>
      <c r="O108">
        <f>VLOOKUP($B108&amp;O$1,Data!$A$2:$D$3723,4,FALSE)</f>
        <v>0.36147000000000001</v>
      </c>
      <c r="P108">
        <f>VLOOKUP($B108&amp;P$1,Data!$A$2:$D$3723,4,FALSE)</f>
        <v>0.67</v>
      </c>
      <c r="Q108">
        <f>VLOOKUP($B108&amp;Q$1,Data!$A$2:$D$3723,4,FALSE)</f>
        <v>283</v>
      </c>
      <c r="R108">
        <f>VLOOKUP($B108&amp;R$1,Data!$A$2:$D$3723,4,FALSE)</f>
        <v>2.46E-2</v>
      </c>
      <c r="S108">
        <f>VLOOKUP($B108&amp;S$1,Data!$A$2:$D$3723,4,FALSE)</f>
        <v>-1.66E-2</v>
      </c>
      <c r="T108">
        <f>VLOOKUP($B108&amp;T$1,Data!$A$2:$D$3723,4,FALSE)</f>
        <v>0.15651999999999999</v>
      </c>
      <c r="U108">
        <f>VLOOKUP($B108&amp;U$1,Data!$A$2:$D$3723,4,FALSE)</f>
        <v>0.13100000000000001</v>
      </c>
      <c r="V108">
        <f>VLOOKUP($B108&amp;V$1,Data!$A$2:$D$3723,4,FALSE)</f>
        <v>0.65600000000000003</v>
      </c>
      <c r="W108">
        <f>VLOOKUP($B108&amp;W$1,Data!$A$2:$D$3723,4,FALSE)</f>
        <v>9.8559999999999995E-2</v>
      </c>
      <c r="X108">
        <f>VLOOKUP($B108&amp;X$1,Data!$A$2:$D$3723,4,FALSE)</f>
        <v>0.33</v>
      </c>
      <c r="Y108">
        <f>VLOOKUP($B108&amp;Y$1,Data!$A$2:$D$3723,4,FALSE)</f>
        <v>0.67</v>
      </c>
      <c r="Z108">
        <f>VLOOKUP($B108&amp;Z$1,Data!$A$2:$D$3723,4,FALSE)</f>
        <v>1.48</v>
      </c>
      <c r="AA108">
        <f>VLOOKUP($B108&amp;AA$1,Data!$A$2:$D$3723,4,FALSE)</f>
        <v>5.8000000000000003E-2</v>
      </c>
      <c r="AB108">
        <f>VLOOKUP($B108&amp;AB$1,Data!$A$2:$D$3723,4,FALSE)</f>
        <v>1.0669999999999999</v>
      </c>
      <c r="AC108">
        <f>VLOOKUP($B108&amp;AC$1,Data!$A$2:$D$3723,4,FALSE)</f>
        <v>0.188</v>
      </c>
      <c r="AD108">
        <f>VLOOKUP($B108&amp;AD$1,Data!$A$2:$D$3723,4,FALSE)</f>
        <v>3.5000000000000003E-2</v>
      </c>
      <c r="AE108">
        <f>VLOOKUP($B108&amp;AE$1,Data!$A$2:$D$3723,4,FALSE)</f>
        <v>0.35699999999999998</v>
      </c>
      <c r="AF108">
        <f>VLOOKUP($B108&amp;AF$1,Data!$A$2:$D$3723,4,FALSE)</f>
        <v>0.17399999999999999</v>
      </c>
      <c r="AG108">
        <f>VLOOKUP($B108&amp;AG$1,Data!$A$2:$D$3723,4,FALSE)</f>
        <v>0.11799999999999999</v>
      </c>
      <c r="AH108">
        <f>VLOOKUP($B108&amp;AH$1,Data!$A$2:$D$3723,4,FALSE)</f>
        <v>0</v>
      </c>
      <c r="AI108">
        <f>VLOOKUP($B108&amp;AI$1,Data!$A$2:$D$3723,4,FALSE)</f>
        <v>43000000</v>
      </c>
    </row>
    <row r="109" spans="2:35" hidden="1">
      <c r="B109" s="13">
        <v>108</v>
      </c>
      <c r="C109" s="13" t="s">
        <v>55</v>
      </c>
      <c r="D109" t="s">
        <v>7</v>
      </c>
      <c r="E109" t="s">
        <v>22</v>
      </c>
      <c r="F109">
        <v>5000</v>
      </c>
      <c r="G109" t="s">
        <v>17</v>
      </c>
      <c r="H109" s="5">
        <v>43831</v>
      </c>
      <c r="I109" s="5">
        <v>44562</v>
      </c>
      <c r="J109">
        <v>14</v>
      </c>
      <c r="K109">
        <v>9</v>
      </c>
      <c r="L109">
        <v>28</v>
      </c>
      <c r="M109">
        <v>72</v>
      </c>
      <c r="N109">
        <v>1000000</v>
      </c>
      <c r="O109">
        <f>VLOOKUP($B109&amp;O$1,Data!$A$2:$D$3723,4,FALSE)</f>
        <v>0.47092000000000001</v>
      </c>
      <c r="P109">
        <f>VLOOKUP($B109&amp;P$1,Data!$A$2:$D$3723,4,FALSE)</f>
        <v>1.4159999999999999</v>
      </c>
      <c r="Q109">
        <f>VLOOKUP($B109&amp;Q$1,Data!$A$2:$D$3723,4,FALSE)</f>
        <v>283</v>
      </c>
      <c r="R109">
        <f>VLOOKUP($B109&amp;R$1,Data!$A$2:$D$3723,4,FALSE)</f>
        <v>0.1166</v>
      </c>
      <c r="S109">
        <f>VLOOKUP($B109&amp;S$1,Data!$A$2:$D$3723,4,FALSE)</f>
        <v>-7.51E-2</v>
      </c>
      <c r="T109">
        <f>VLOOKUP($B109&amp;T$1,Data!$A$2:$D$3723,4,FALSE)</f>
        <v>0.86343000000000003</v>
      </c>
      <c r="U109">
        <f>VLOOKUP($B109&amp;U$1,Data!$A$2:$D$3723,4,FALSE)</f>
        <v>0.49099999999999999</v>
      </c>
      <c r="V109">
        <f>VLOOKUP($B109&amp;V$1,Data!$A$2:$D$3723,4,FALSE)</f>
        <v>0.70099999999999996</v>
      </c>
      <c r="W109">
        <f>VLOOKUP($B109&amp;W$1,Data!$A$2:$D$3723,4,FALSE)</f>
        <v>0.49281000000000003</v>
      </c>
      <c r="X109">
        <f>VLOOKUP($B109&amp;X$1,Data!$A$2:$D$3723,4,FALSE)</f>
        <v>0.33</v>
      </c>
      <c r="Y109">
        <f>VLOOKUP($B109&amp;Y$1,Data!$A$2:$D$3723,4,FALSE)</f>
        <v>0.67</v>
      </c>
      <c r="Z109">
        <f>VLOOKUP($B109&amp;Z$1,Data!$A$2:$D$3723,4,FALSE)</f>
        <v>1.55</v>
      </c>
      <c r="AA109">
        <f>VLOOKUP($B109&amp;AA$1,Data!$A$2:$D$3723,4,FALSE)</f>
        <v>0.92400000000000004</v>
      </c>
      <c r="AB109">
        <f>VLOOKUP($B109&amp;AB$1,Data!$A$2:$D$3723,4,FALSE)</f>
        <v>4.7430000000000003</v>
      </c>
      <c r="AC109">
        <f>VLOOKUP($B109&amp;AC$1,Data!$A$2:$D$3723,4,FALSE)</f>
        <v>0.86699999999999999</v>
      </c>
      <c r="AD109">
        <f>VLOOKUP($B109&amp;AD$1,Data!$A$2:$D$3723,4,FALSE)</f>
        <v>0.751</v>
      </c>
      <c r="AE109">
        <f>VLOOKUP($B109&amp;AE$1,Data!$A$2:$D$3723,4,FALSE)</f>
        <v>1.3779999999999999</v>
      </c>
      <c r="AF109">
        <f>VLOOKUP($B109&amp;AF$1,Data!$A$2:$D$3723,4,FALSE)</f>
        <v>0.84499999999999997</v>
      </c>
      <c r="AG109">
        <f>VLOOKUP($B109&amp;AG$1,Data!$A$2:$D$3723,4,FALSE)</f>
        <v>0.25900000000000001</v>
      </c>
      <c r="AH109">
        <f>VLOOKUP($B109&amp;AH$1,Data!$A$2:$D$3723,4,FALSE)</f>
        <v>0</v>
      </c>
      <c r="AI109">
        <f>VLOOKUP($B109&amp;AI$1,Data!$A$2:$D$3723,4,FALSE)</f>
        <v>12000000</v>
      </c>
    </row>
    <row r="110" spans="2:35" hidden="1">
      <c r="B110" s="13">
        <v>109</v>
      </c>
      <c r="C110" s="13" t="s">
        <v>55</v>
      </c>
      <c r="D110" t="s">
        <v>19</v>
      </c>
      <c r="E110" t="s">
        <v>3</v>
      </c>
      <c r="F110">
        <v>100</v>
      </c>
      <c r="G110" t="s">
        <v>17</v>
      </c>
      <c r="H110" s="5">
        <v>43831</v>
      </c>
      <c r="I110" s="5">
        <v>44562</v>
      </c>
      <c r="J110">
        <v>14</v>
      </c>
      <c r="K110">
        <v>9</v>
      </c>
      <c r="L110">
        <v>30</v>
      </c>
      <c r="M110">
        <v>70</v>
      </c>
      <c r="N110">
        <v>1000000</v>
      </c>
      <c r="O110">
        <f>VLOOKUP($B110&amp;O$1,Data!$A$2:$D$3723,4,FALSE)</f>
        <v>1.1E-4</v>
      </c>
      <c r="P110">
        <f>VLOOKUP($B110&amp;P$1,Data!$A$2:$D$3723,4,FALSE)</f>
        <v>-2.3759999999999999</v>
      </c>
      <c r="Q110" s="7">
        <f>VLOOKUP($B110&amp;Q$1,Data!$A$2:$D$3723,4,FALSE)</f>
        <v>607</v>
      </c>
      <c r="R110">
        <f>VLOOKUP($B110&amp;R$1,Data!$A$2:$D$3723,4,FALSE)</f>
        <v>2.0000000000000001E-4</v>
      </c>
      <c r="S110">
        <f>VLOOKUP($B110&amp;S$1,Data!$A$2:$D$3723,4,FALSE)</f>
        <v>-1.1000000000000001E-3</v>
      </c>
      <c r="T110">
        <f>VLOOKUP($B110&amp;T$1,Data!$A$2:$D$3723,4,FALSE)</f>
        <v>-2.0080000000000001E-2</v>
      </c>
      <c r="U110">
        <f>VLOOKUP($B110&amp;U$1,Data!$A$2:$D$3723,4,FALSE)</f>
        <v>1.4999999999999999E-2</v>
      </c>
      <c r="V110">
        <f>VLOOKUP($B110&amp;V$1,Data!$A$2:$D$3723,4,FALSE)</f>
        <v>-0.59599999999999997</v>
      </c>
      <c r="W110">
        <f>VLOOKUP($B110&amp;W$1,Data!$A$2:$D$3723,4,FALSE)</f>
        <v>-1.303E-2</v>
      </c>
      <c r="X110">
        <f>VLOOKUP($B110&amp;X$1,Data!$A$2:$D$3723,4,FALSE)</f>
        <v>0.65</v>
      </c>
      <c r="Y110">
        <f>VLOOKUP($B110&amp;Y$1,Data!$A$2:$D$3723,4,FALSE)</f>
        <v>0.35</v>
      </c>
      <c r="Z110">
        <f>VLOOKUP($B110&amp;Z$1,Data!$A$2:$D$3723,4,FALSE)</f>
        <v>0.15</v>
      </c>
      <c r="AA110">
        <f>VLOOKUP($B110&amp;AA$1,Data!$A$2:$D$3723,4,FALSE)</f>
        <v>-1.2E-2</v>
      </c>
      <c r="AB110">
        <f>VLOOKUP($B110&amp;AB$1,Data!$A$2:$D$3723,4,FALSE)</f>
        <v>-0.03</v>
      </c>
      <c r="AC110">
        <f>VLOOKUP($B110&amp;AC$1,Data!$A$2:$D$3723,4,FALSE)</f>
        <v>6.0000000000000001E-3</v>
      </c>
      <c r="AD110">
        <f>VLOOKUP($B110&amp;AD$1,Data!$A$2:$D$3723,4,FALSE)</f>
        <v>0</v>
      </c>
      <c r="AE110">
        <f>VLOOKUP($B110&amp;AE$1,Data!$A$2:$D$3723,4,FALSE)</f>
        <v>-1.1259999999999999</v>
      </c>
      <c r="AF110">
        <f>VLOOKUP($B110&amp;AF$1,Data!$A$2:$D$3723,4,FALSE)</f>
        <v>6.9000000000000006E-2</v>
      </c>
      <c r="AG110">
        <f>VLOOKUP($B110&amp;AG$1,Data!$A$2:$D$3723,4,FALSE)</f>
        <v>0.46899999999999997</v>
      </c>
      <c r="AH110">
        <f>VLOOKUP($B110&amp;AH$1,Data!$A$2:$D$3723,4,FALSE)</f>
        <v>0</v>
      </c>
      <c r="AI110">
        <f>VLOOKUP($B110&amp;AI$1,Data!$A$2:$D$3723,4,FALSE)</f>
        <v>3000000000</v>
      </c>
    </row>
    <row r="111" spans="2:35" hidden="1">
      <c r="B111" s="13">
        <v>110</v>
      </c>
      <c r="C111" s="13" t="s">
        <v>55</v>
      </c>
      <c r="D111" t="s">
        <v>19</v>
      </c>
      <c r="E111" t="s">
        <v>3</v>
      </c>
      <c r="F111">
        <v>1000</v>
      </c>
      <c r="G111" t="s">
        <v>17</v>
      </c>
      <c r="H111" s="5">
        <v>43831</v>
      </c>
      <c r="I111" s="5">
        <v>44562</v>
      </c>
      <c r="J111">
        <v>14</v>
      </c>
      <c r="K111">
        <v>9</v>
      </c>
      <c r="L111">
        <v>30</v>
      </c>
      <c r="M111">
        <v>70</v>
      </c>
      <c r="N111">
        <v>1000000</v>
      </c>
      <c r="O111">
        <f>VLOOKUP($B111&amp;O$1,Data!$A$2:$D$3723,4,FALSE)</f>
        <v>1.4999999999999999E-4</v>
      </c>
      <c r="P111">
        <f>VLOOKUP($B111&amp;P$1,Data!$A$2:$D$3723,4,FALSE)</f>
        <v>-2.19</v>
      </c>
      <c r="Q111" s="7">
        <f>VLOOKUP($B111&amp;Q$1,Data!$A$2:$D$3723,4,FALSE)</f>
        <v>607</v>
      </c>
      <c r="R111">
        <f>VLOOKUP($B111&amp;R$1,Data!$A$2:$D$3723,4,FALSE)</f>
        <v>1.6999999999999999E-3</v>
      </c>
      <c r="S111">
        <f>VLOOKUP($B111&amp;S$1,Data!$A$2:$D$3723,4,FALSE)</f>
        <v>-1.12E-2</v>
      </c>
      <c r="T111">
        <f>VLOOKUP($B111&amp;T$1,Data!$A$2:$D$3723,4,FALSE)</f>
        <v>-0.19416</v>
      </c>
      <c r="U111">
        <f>VLOOKUP($B111&amp;U$1,Data!$A$2:$D$3723,4,FALSE)</f>
        <v>0.14499999999999999</v>
      </c>
      <c r="V111">
        <f>VLOOKUP($B111&amp;V$1,Data!$A$2:$D$3723,4,FALSE)</f>
        <v>-0.59699999999999998</v>
      </c>
      <c r="W111">
        <f>VLOOKUP($B111&amp;W$1,Data!$A$2:$D$3723,4,FALSE)</f>
        <v>-0.13025</v>
      </c>
      <c r="X111">
        <f>VLOOKUP($B111&amp;X$1,Data!$A$2:$D$3723,4,FALSE)</f>
        <v>0.65</v>
      </c>
      <c r="Y111">
        <f>VLOOKUP($B111&amp;Y$1,Data!$A$2:$D$3723,4,FALSE)</f>
        <v>0.35</v>
      </c>
      <c r="Z111">
        <f>VLOOKUP($B111&amp;Z$1,Data!$A$2:$D$3723,4,FALSE)</f>
        <v>0.15</v>
      </c>
      <c r="AA111">
        <f>VLOOKUP($B111&amp;AA$1,Data!$A$2:$D$3723,4,FALSE)</f>
        <v>-0.11700000000000001</v>
      </c>
      <c r="AB111">
        <f>VLOOKUP($B111&amp;AB$1,Data!$A$2:$D$3723,4,FALSE)</f>
        <v>-0.318</v>
      </c>
      <c r="AC111">
        <f>VLOOKUP($B111&amp;AC$1,Data!$A$2:$D$3723,4,FALSE)</f>
        <v>6.3E-2</v>
      </c>
      <c r="AD111">
        <f>VLOOKUP($B111&amp;AD$1,Data!$A$2:$D$3723,4,FALSE)</f>
        <v>4.0000000000000001E-3</v>
      </c>
      <c r="AE111">
        <f>VLOOKUP($B111&amp;AE$1,Data!$A$2:$D$3723,4,FALSE)</f>
        <v>-1.8979999999999999</v>
      </c>
      <c r="AF111">
        <f>VLOOKUP($B111&amp;AF$1,Data!$A$2:$D$3723,4,FALSE)</f>
        <v>0.106</v>
      </c>
      <c r="AG111">
        <f>VLOOKUP($B111&amp;AG$1,Data!$A$2:$D$3723,4,FALSE)</f>
        <v>0.432</v>
      </c>
      <c r="AH111">
        <f>VLOOKUP($B111&amp;AH$1,Data!$A$2:$D$3723,4,FALSE)</f>
        <v>0</v>
      </c>
      <c r="AI111">
        <f>VLOOKUP($B111&amp;AI$1,Data!$A$2:$D$3723,4,FALSE)</f>
        <v>270000000</v>
      </c>
    </row>
    <row r="112" spans="2:35" hidden="1">
      <c r="B112" s="13">
        <v>111</v>
      </c>
      <c r="C112" s="13" t="s">
        <v>55</v>
      </c>
      <c r="D112" t="s">
        <v>19</v>
      </c>
      <c r="E112" t="s">
        <v>3</v>
      </c>
      <c r="F112">
        <v>5000</v>
      </c>
      <c r="G112" t="s">
        <v>17</v>
      </c>
      <c r="H112" s="5">
        <v>43831</v>
      </c>
      <c r="I112" s="5">
        <v>44562</v>
      </c>
      <c r="J112">
        <v>14</v>
      </c>
      <c r="K112">
        <v>9</v>
      </c>
      <c r="L112">
        <v>30</v>
      </c>
      <c r="M112">
        <v>70</v>
      </c>
      <c r="N112">
        <v>1000000</v>
      </c>
      <c r="O112">
        <f>VLOOKUP($B112&amp;O$1,Data!$A$2:$D$3723,4,FALSE)</f>
        <v>1.6900000000000001E-3</v>
      </c>
      <c r="P112">
        <f>VLOOKUP($B112&amp;P$1,Data!$A$2:$D$3723,4,FALSE)</f>
        <v>-1.252</v>
      </c>
      <c r="Q112" s="7">
        <f>VLOOKUP($B112&amp;Q$1,Data!$A$2:$D$3723,4,FALSE)</f>
        <v>600</v>
      </c>
      <c r="R112">
        <f>VLOOKUP($B112&amp;R$1,Data!$A$2:$D$3723,4,FALSE)</f>
        <v>1.18E-2</v>
      </c>
      <c r="S112">
        <f>VLOOKUP($B112&amp;S$1,Data!$A$2:$D$3723,4,FALSE)</f>
        <v>-6.4899999999999999E-2</v>
      </c>
      <c r="T112">
        <f>VLOOKUP($B112&amp;T$1,Data!$A$2:$D$3723,4,FALSE)</f>
        <v>-0.77429999999999999</v>
      </c>
      <c r="U112">
        <f>VLOOKUP($B112&amp;U$1,Data!$A$2:$D$3723,4,FALSE)</f>
        <v>0.65900000000000003</v>
      </c>
      <c r="V112">
        <f>VLOOKUP($B112&amp;V$1,Data!$A$2:$D$3723,4,FALSE)</f>
        <v>-0.64500000000000002</v>
      </c>
      <c r="W112">
        <f>VLOOKUP($B112&amp;W$1,Data!$A$2:$D$3723,4,FALSE)</f>
        <v>-0.61799000000000004</v>
      </c>
      <c r="X112">
        <f>VLOOKUP($B112&amp;X$1,Data!$A$2:$D$3723,4,FALSE)</f>
        <v>0.7</v>
      </c>
      <c r="Y112">
        <f>VLOOKUP($B112&amp;Y$1,Data!$A$2:$D$3723,4,FALSE)</f>
        <v>0.3</v>
      </c>
      <c r="Z112">
        <f>VLOOKUP($B112&amp;Z$1,Data!$A$2:$D$3723,4,FALSE)</f>
        <v>0.18</v>
      </c>
      <c r="AA112">
        <f>VLOOKUP($B112&amp;AA$1,Data!$A$2:$D$3723,4,FALSE)</f>
        <v>-0.45</v>
      </c>
      <c r="AB112">
        <f>VLOOKUP($B112&amp;AB$1,Data!$A$2:$D$3723,4,FALSE)</f>
        <v>-2.35</v>
      </c>
      <c r="AC112">
        <f>VLOOKUP($B112&amp;AC$1,Data!$A$2:$D$3723,4,FALSE)</f>
        <v>0.47799999999999998</v>
      </c>
      <c r="AD112">
        <f>VLOOKUP($B112&amp;AD$1,Data!$A$2:$D$3723,4,FALSE)</f>
        <v>0.22900000000000001</v>
      </c>
      <c r="AE112">
        <f>VLOOKUP($B112&amp;AE$1,Data!$A$2:$D$3723,4,FALSE)</f>
        <v>-1.3149999999999999</v>
      </c>
      <c r="AF112">
        <f>VLOOKUP($B112&amp;AF$1,Data!$A$2:$D$3723,4,FALSE)</f>
        <v>0.504</v>
      </c>
      <c r="AG112">
        <f>VLOOKUP($B112&amp;AG$1,Data!$A$2:$D$3723,4,FALSE)</f>
        <v>0.255</v>
      </c>
      <c r="AH112">
        <f>VLOOKUP($B112&amp;AH$1,Data!$A$2:$D$3723,4,FALSE)</f>
        <v>0</v>
      </c>
      <c r="AI112">
        <f>VLOOKUP($B112&amp;AI$1,Data!$A$2:$D$3723,4,FALSE)</f>
        <v>23000000</v>
      </c>
    </row>
    <row r="113" spans="2:35" hidden="1">
      <c r="B113" s="13">
        <v>112</v>
      </c>
      <c r="C113" s="13" t="s">
        <v>55</v>
      </c>
      <c r="D113" t="s">
        <v>19</v>
      </c>
      <c r="E113" t="s">
        <v>2</v>
      </c>
      <c r="F113">
        <v>100</v>
      </c>
      <c r="G113" t="s">
        <v>17</v>
      </c>
      <c r="H113" s="5">
        <v>43831</v>
      </c>
      <c r="I113" s="5">
        <v>44562</v>
      </c>
      <c r="J113">
        <v>14</v>
      </c>
      <c r="K113">
        <v>9</v>
      </c>
      <c r="L113">
        <v>30</v>
      </c>
      <c r="M113">
        <v>70</v>
      </c>
      <c r="N113">
        <v>1000000</v>
      </c>
      <c r="O113">
        <f>VLOOKUP($B113&amp;O$1,Data!$A$2:$D$3723,4,FALSE)</f>
        <v>0.56274000000000002</v>
      </c>
      <c r="P113">
        <f>VLOOKUP($B113&amp;P$1,Data!$A$2:$D$3723,4,FALSE)</f>
        <v>1.1579999999999999</v>
      </c>
      <c r="Q113" s="7">
        <f>VLOOKUP($B113&amp;Q$1,Data!$A$2:$D$3723,4,FALSE)</f>
        <v>359</v>
      </c>
      <c r="R113">
        <f>VLOOKUP($B113&amp;R$1,Data!$A$2:$D$3723,4,FALSE)</f>
        <v>2.2000000000000001E-3</v>
      </c>
      <c r="S113">
        <f>VLOOKUP($B113&amp;S$1,Data!$A$2:$D$3723,4,FALSE)</f>
        <v>-5.9999999999999995E-4</v>
      </c>
      <c r="T113">
        <f>VLOOKUP($B113&amp;T$1,Data!$A$2:$D$3723,4,FALSE)</f>
        <v>2.223E-2</v>
      </c>
      <c r="U113">
        <f>VLOOKUP($B113&amp;U$1,Data!$A$2:$D$3723,4,FALSE)</f>
        <v>8.9999999999999993E-3</v>
      </c>
      <c r="V113">
        <f>VLOOKUP($B113&amp;V$1,Data!$A$2:$D$3723,4,FALSE)</f>
        <v>2.948</v>
      </c>
      <c r="W113">
        <f>VLOOKUP($B113&amp;W$1,Data!$A$2:$D$3723,4,FALSE)</f>
        <v>1.4319999999999999E-2</v>
      </c>
      <c r="X113">
        <f>VLOOKUP($B113&amp;X$1,Data!$A$2:$D$3723,4,FALSE)</f>
        <v>0.18</v>
      </c>
      <c r="Y113">
        <f>VLOOKUP($B113&amp;Y$1,Data!$A$2:$D$3723,4,FALSE)</f>
        <v>0.82</v>
      </c>
      <c r="Z113">
        <f>VLOOKUP($B113&amp;Z$1,Data!$A$2:$D$3723,4,FALSE)</f>
        <v>3.83</v>
      </c>
      <c r="AA113">
        <f>VLOOKUP($B113&amp;AA$1,Data!$A$2:$D$3723,4,FALSE)</f>
        <v>1.9E-2</v>
      </c>
      <c r="AB113">
        <f>VLOOKUP($B113&amp;AB$1,Data!$A$2:$D$3723,4,FALSE)</f>
        <v>-5.6000000000000001E-2</v>
      </c>
      <c r="AC113">
        <f>VLOOKUP($B113&amp;AC$1,Data!$A$2:$D$3723,4,FALSE)</f>
        <v>1.2999999999999999E-2</v>
      </c>
      <c r="AD113">
        <f>VLOOKUP($B113&amp;AD$1,Data!$A$2:$D$3723,4,FALSE)</f>
        <v>0</v>
      </c>
      <c r="AE113">
        <f>VLOOKUP($B113&amp;AE$1,Data!$A$2:$D$3723,4,FALSE)</f>
        <v>-0.67400000000000004</v>
      </c>
      <c r="AF113">
        <f>VLOOKUP($B113&amp;AF$1,Data!$A$2:$D$3723,4,FALSE)</f>
        <v>7.1999999999999995E-2</v>
      </c>
      <c r="AG113">
        <f>VLOOKUP($B113&amp;AG$1,Data!$A$2:$D$3723,4,FALSE)</f>
        <v>-0.27700000000000002</v>
      </c>
      <c r="AH113">
        <f>VLOOKUP($B113&amp;AH$1,Data!$A$2:$D$3723,4,FALSE)</f>
        <v>0</v>
      </c>
      <c r="AI113">
        <f>VLOOKUP($B113&amp;AI$1,Data!$A$2:$D$3723,4,FALSE)</f>
        <v>28000000</v>
      </c>
    </row>
    <row r="114" spans="2:35" hidden="1">
      <c r="B114" s="13">
        <v>113</v>
      </c>
      <c r="C114" s="13" t="s">
        <v>55</v>
      </c>
      <c r="D114" t="s">
        <v>19</v>
      </c>
      <c r="E114" t="s">
        <v>2</v>
      </c>
      <c r="F114">
        <v>1000</v>
      </c>
      <c r="G114" t="s">
        <v>17</v>
      </c>
      <c r="H114" s="5">
        <v>43831</v>
      </c>
      <c r="I114" s="5">
        <v>44562</v>
      </c>
      <c r="J114">
        <v>14</v>
      </c>
      <c r="K114">
        <v>9</v>
      </c>
      <c r="L114">
        <v>30</v>
      </c>
      <c r="M114">
        <v>70</v>
      </c>
      <c r="N114">
        <v>1000000</v>
      </c>
      <c r="O114">
        <f>VLOOKUP($B114&amp;O$1,Data!$A$2:$D$3723,4,FALSE)</f>
        <v>0.59633000000000003</v>
      </c>
      <c r="P114">
        <f>VLOOKUP($B114&amp;P$1,Data!$A$2:$D$3723,4,FALSE)</f>
        <v>1.325</v>
      </c>
      <c r="Q114" s="7">
        <f>VLOOKUP($B114&amp;Q$1,Data!$A$2:$D$3723,4,FALSE)</f>
        <v>359</v>
      </c>
      <c r="R114">
        <f>VLOOKUP($B114&amp;R$1,Data!$A$2:$D$3723,4,FALSE)</f>
        <v>2.1100000000000001E-2</v>
      </c>
      <c r="S114">
        <f>VLOOKUP($B114&amp;S$1,Data!$A$2:$D$3723,4,FALSE)</f>
        <v>-5.7000000000000002E-3</v>
      </c>
      <c r="T114">
        <f>VLOOKUP($B114&amp;T$1,Data!$A$2:$D$3723,4,FALSE)</f>
        <v>0.22996</v>
      </c>
      <c r="U114">
        <f>VLOOKUP($B114&amp;U$1,Data!$A$2:$D$3723,4,FALSE)</f>
        <v>0.08</v>
      </c>
      <c r="V114">
        <f>VLOOKUP($B114&amp;V$1,Data!$A$2:$D$3723,4,FALSE)</f>
        <v>2.8580000000000001</v>
      </c>
      <c r="W114">
        <f>VLOOKUP($B114&amp;W$1,Data!$A$2:$D$3723,4,FALSE)</f>
        <v>0.14316999999999999</v>
      </c>
      <c r="X114">
        <f>VLOOKUP($B114&amp;X$1,Data!$A$2:$D$3723,4,FALSE)</f>
        <v>0.18</v>
      </c>
      <c r="Y114">
        <f>VLOOKUP($B114&amp;Y$1,Data!$A$2:$D$3723,4,FALSE)</f>
        <v>0.82</v>
      </c>
      <c r="Z114">
        <f>VLOOKUP($B114&amp;Z$1,Data!$A$2:$D$3723,4,FALSE)</f>
        <v>3.71</v>
      </c>
      <c r="AA114">
        <f>VLOOKUP($B114&amp;AA$1,Data!$A$2:$D$3723,4,FALSE)</f>
        <v>0.19500000000000001</v>
      </c>
      <c r="AB114">
        <f>VLOOKUP($B114&amp;AB$1,Data!$A$2:$D$3723,4,FALSE)</f>
        <v>-0.51</v>
      </c>
      <c r="AC114">
        <f>VLOOKUP($B114&amp;AC$1,Data!$A$2:$D$3723,4,FALSE)</f>
        <v>0.123</v>
      </c>
      <c r="AD114">
        <f>VLOOKUP($B114&amp;AD$1,Data!$A$2:$D$3723,4,FALSE)</f>
        <v>1.4999999999999999E-2</v>
      </c>
      <c r="AE114">
        <f>VLOOKUP($B114&amp;AE$1,Data!$A$2:$D$3723,4,FALSE)</f>
        <v>0.63900000000000001</v>
      </c>
      <c r="AF114">
        <f>VLOOKUP($B114&amp;AF$1,Data!$A$2:$D$3723,4,FALSE)</f>
        <v>0.155</v>
      </c>
      <c r="AG114">
        <f>VLOOKUP($B114&amp;AG$1,Data!$A$2:$D$3723,4,FALSE)</f>
        <v>-0.31900000000000001</v>
      </c>
      <c r="AH114">
        <f>VLOOKUP($B114&amp;AH$1,Data!$A$2:$D$3723,4,FALSE)</f>
        <v>0</v>
      </c>
      <c r="AI114">
        <f>VLOOKUP($B114&amp;AI$1,Data!$A$2:$D$3723,4,FALSE)</f>
        <v>3400000</v>
      </c>
    </row>
    <row r="115" spans="2:35" hidden="1">
      <c r="B115" s="13">
        <v>114</v>
      </c>
      <c r="C115" s="13" t="s">
        <v>55</v>
      </c>
      <c r="D115" t="s">
        <v>19</v>
      </c>
      <c r="E115" t="s">
        <v>2</v>
      </c>
      <c r="F115">
        <v>5000</v>
      </c>
      <c r="G115" t="s">
        <v>17</v>
      </c>
      <c r="H115" s="5">
        <v>43831</v>
      </c>
      <c r="I115" s="5">
        <v>44562</v>
      </c>
      <c r="J115">
        <v>14</v>
      </c>
      <c r="K115">
        <v>9</v>
      </c>
      <c r="L115">
        <v>30</v>
      </c>
      <c r="M115">
        <v>70</v>
      </c>
      <c r="N115">
        <v>1000000</v>
      </c>
      <c r="O115">
        <f>VLOOKUP($B115&amp;O$1,Data!$A$2:$D$3723,4,FALSE)</f>
        <v>0.68464000000000003</v>
      </c>
      <c r="P115">
        <f>VLOOKUP($B115&amp;P$1,Data!$A$2:$D$3723,4,FALSE)</f>
        <v>2.0459999999999998</v>
      </c>
      <c r="Q115" s="7">
        <f>VLOOKUP($B115&amp;Q$1,Data!$A$2:$D$3723,4,FALSE)</f>
        <v>359</v>
      </c>
      <c r="R115">
        <f>VLOOKUP($B115&amp;R$1,Data!$A$2:$D$3723,4,FALSE)</f>
        <v>8.4699999999999998E-2</v>
      </c>
      <c r="S115">
        <f>VLOOKUP($B115&amp;S$1,Data!$A$2:$D$3723,4,FALSE)</f>
        <v>-2.47E-2</v>
      </c>
      <c r="T115">
        <f>VLOOKUP($B115&amp;T$1,Data!$A$2:$D$3723,4,FALSE)</f>
        <v>1.3051999999999999</v>
      </c>
      <c r="U115">
        <f>VLOOKUP($B115&amp;U$1,Data!$A$2:$D$3723,4,FALSE)</f>
        <v>0.24199999999999999</v>
      </c>
      <c r="V115">
        <f>VLOOKUP($B115&amp;V$1,Data!$A$2:$D$3723,4,FALSE)</f>
        <v>2.6240000000000001</v>
      </c>
      <c r="W115">
        <f>VLOOKUP($B115&amp;W$1,Data!$A$2:$D$3723,4,FALSE)</f>
        <v>0.71584000000000003</v>
      </c>
      <c r="X115">
        <f>VLOOKUP($B115&amp;X$1,Data!$A$2:$D$3723,4,FALSE)</f>
        <v>0.18</v>
      </c>
      <c r="Y115">
        <f>VLOOKUP($B115&amp;Y$1,Data!$A$2:$D$3723,4,FALSE)</f>
        <v>0.82</v>
      </c>
      <c r="Z115">
        <f>VLOOKUP($B115&amp;Z$1,Data!$A$2:$D$3723,4,FALSE)</f>
        <v>3.43</v>
      </c>
      <c r="AA115">
        <f>VLOOKUP($B115&amp;AA$1,Data!$A$2:$D$3723,4,FALSE)</f>
        <v>1.109</v>
      </c>
      <c r="AB115">
        <f>VLOOKUP($B115&amp;AB$1,Data!$A$2:$D$3723,4,FALSE)</f>
        <v>-1.881</v>
      </c>
      <c r="AC115">
        <f>VLOOKUP($B115&amp;AC$1,Data!$A$2:$D$3723,4,FALSE)</f>
        <v>0.48299999999999998</v>
      </c>
      <c r="AD115">
        <f>VLOOKUP($B115&amp;AD$1,Data!$A$2:$D$3723,4,FALSE)</f>
        <v>0.23400000000000001</v>
      </c>
      <c r="AE115">
        <f>VLOOKUP($B115&amp;AE$1,Data!$A$2:$D$3723,4,FALSE)</f>
        <v>1.833</v>
      </c>
      <c r="AF115">
        <f>VLOOKUP($B115&amp;AF$1,Data!$A$2:$D$3723,4,FALSE)</f>
        <v>0.505</v>
      </c>
      <c r="AG115">
        <f>VLOOKUP($B115&amp;AG$1,Data!$A$2:$D$3723,4,FALSE)</f>
        <v>-0.52600000000000002</v>
      </c>
      <c r="AH115">
        <f>VLOOKUP($B115&amp;AH$1,Data!$A$2:$D$3723,4,FALSE)</f>
        <v>0</v>
      </c>
      <c r="AI115">
        <f>VLOOKUP($B115&amp;AI$1,Data!$A$2:$D$3723,4,FALSE)</f>
        <v>1100000</v>
      </c>
    </row>
    <row r="116" spans="2:35" hidden="1">
      <c r="B116" s="13">
        <v>115</v>
      </c>
      <c r="C116" s="13" t="s">
        <v>55</v>
      </c>
      <c r="D116" t="s">
        <v>19</v>
      </c>
      <c r="E116" t="s">
        <v>22</v>
      </c>
      <c r="F116">
        <v>100</v>
      </c>
      <c r="G116" t="s">
        <v>17</v>
      </c>
      <c r="H116" s="5">
        <v>43831</v>
      </c>
      <c r="I116" s="5">
        <v>44562</v>
      </c>
      <c r="J116">
        <v>14</v>
      </c>
      <c r="K116">
        <v>9</v>
      </c>
      <c r="L116">
        <v>30</v>
      </c>
      <c r="M116">
        <v>70</v>
      </c>
      <c r="N116">
        <v>1000000</v>
      </c>
      <c r="O116">
        <f>VLOOKUP($B116&amp;O$1,Data!$A$2:$D$3723,4,FALSE)</f>
        <v>0.51526000000000005</v>
      </c>
      <c r="P116">
        <f>VLOOKUP($B116&amp;P$1,Data!$A$2:$D$3723,4,FALSE)</f>
        <v>1.0429999999999999</v>
      </c>
      <c r="Q116" s="7">
        <f>VLOOKUP($B116&amp;Q$1,Data!$A$2:$D$3723,4,FALSE)</f>
        <v>254</v>
      </c>
      <c r="R116">
        <f>VLOOKUP($B116&amp;R$1,Data!$A$2:$D$3723,4,FALSE)</f>
        <v>2E-3</v>
      </c>
      <c r="S116">
        <f>VLOOKUP($B116&amp;S$1,Data!$A$2:$D$3723,4,FALSE)</f>
        <v>-1.2999999999999999E-3</v>
      </c>
      <c r="T116">
        <f>VLOOKUP($B116&amp;T$1,Data!$A$2:$D$3723,4,FALSE)</f>
        <v>1.503E-2</v>
      </c>
      <c r="U116">
        <f>VLOOKUP($B116&amp;U$1,Data!$A$2:$D$3723,4,FALSE)</f>
        <v>7.0000000000000001E-3</v>
      </c>
      <c r="V116">
        <f>VLOOKUP($B116&amp;V$1,Data!$A$2:$D$3723,4,FALSE)</f>
        <v>0.92300000000000004</v>
      </c>
      <c r="W116">
        <f>VLOOKUP($B116&amp;W$1,Data!$A$2:$D$3723,4,FALSE)</f>
        <v>9.6900000000000007E-3</v>
      </c>
      <c r="X116">
        <f>VLOOKUP($B116&amp;X$1,Data!$A$2:$D$3723,4,FALSE)</f>
        <v>0.25</v>
      </c>
      <c r="Y116">
        <f>VLOOKUP($B116&amp;Y$1,Data!$A$2:$D$3723,4,FALSE)</f>
        <v>0.75</v>
      </c>
      <c r="Z116">
        <f>VLOOKUP($B116&amp;Z$1,Data!$A$2:$D$3723,4,FALSE)</f>
        <v>1.56</v>
      </c>
      <c r="AA116">
        <f>VLOOKUP($B116&amp;AA$1,Data!$A$2:$D$3723,4,FALSE)</f>
        <v>1.2999999999999999E-2</v>
      </c>
      <c r="AB116">
        <f>VLOOKUP($B116&amp;AB$1,Data!$A$2:$D$3723,4,FALSE)</f>
        <v>-3.3000000000000002E-2</v>
      </c>
      <c r="AC116">
        <f>VLOOKUP($B116&amp;AC$1,Data!$A$2:$D$3723,4,FALSE)</f>
        <v>0.01</v>
      </c>
      <c r="AD116">
        <f>VLOOKUP($B116&amp;AD$1,Data!$A$2:$D$3723,4,FALSE)</f>
        <v>0</v>
      </c>
      <c r="AE116">
        <f>VLOOKUP($B116&amp;AE$1,Data!$A$2:$D$3723,4,FALSE)</f>
        <v>-0.76400000000000001</v>
      </c>
      <c r="AF116">
        <f>VLOOKUP($B116&amp;AF$1,Data!$A$2:$D$3723,4,FALSE)</f>
        <v>7.0000000000000007E-2</v>
      </c>
      <c r="AG116">
        <f>VLOOKUP($B116&amp;AG$1,Data!$A$2:$D$3723,4,FALSE)</f>
        <v>-0.312</v>
      </c>
      <c r="AH116">
        <f>VLOOKUP($B116&amp;AH$1,Data!$A$2:$D$3723,4,FALSE)</f>
        <v>0</v>
      </c>
      <c r="AI116">
        <f>VLOOKUP($B116&amp;AI$1,Data!$A$2:$D$3723,4,FALSE)</f>
        <v>1300000000</v>
      </c>
    </row>
    <row r="117" spans="2:35" hidden="1">
      <c r="B117" s="13">
        <v>116</v>
      </c>
      <c r="C117" s="13" t="s">
        <v>55</v>
      </c>
      <c r="D117" t="s">
        <v>19</v>
      </c>
      <c r="E117" t="s">
        <v>22</v>
      </c>
      <c r="F117">
        <v>1000</v>
      </c>
      <c r="G117" t="s">
        <v>17</v>
      </c>
      <c r="H117" s="5">
        <v>43831</v>
      </c>
      <c r="I117" s="5">
        <v>44562</v>
      </c>
      <c r="J117">
        <v>14</v>
      </c>
      <c r="K117">
        <v>9</v>
      </c>
      <c r="L117">
        <v>30</v>
      </c>
      <c r="M117">
        <v>70</v>
      </c>
      <c r="N117">
        <v>1000000</v>
      </c>
      <c r="O117">
        <f>VLOOKUP($B117&amp;O$1,Data!$A$2:$D$3723,4,FALSE)</f>
        <v>0.52122000000000002</v>
      </c>
      <c r="P117">
        <f>VLOOKUP($B117&amp;P$1,Data!$A$2:$D$3723,4,FALSE)</f>
        <v>1.109</v>
      </c>
      <c r="Q117" s="7">
        <f>VLOOKUP($B117&amp;Q$1,Data!$A$2:$D$3723,4,FALSE)</f>
        <v>254</v>
      </c>
      <c r="R117">
        <f>VLOOKUP($B117&amp;R$1,Data!$A$2:$D$3723,4,FALSE)</f>
        <v>1.9699999999999999E-2</v>
      </c>
      <c r="S117">
        <f>VLOOKUP($B117&amp;S$1,Data!$A$2:$D$3723,4,FALSE)</f>
        <v>-1.2699999999999999E-2</v>
      </c>
      <c r="T117">
        <f>VLOOKUP($B117&amp;T$1,Data!$A$2:$D$3723,4,FALSE)</f>
        <v>0.15382999999999999</v>
      </c>
      <c r="U117">
        <f>VLOOKUP($B117&amp;U$1,Data!$A$2:$D$3723,4,FALSE)</f>
        <v>6.4000000000000001E-2</v>
      </c>
      <c r="V117">
        <f>VLOOKUP($B117&amp;V$1,Data!$A$2:$D$3723,4,FALSE)</f>
        <v>0.91300000000000003</v>
      </c>
      <c r="W117">
        <f>VLOOKUP($B117&amp;W$1,Data!$A$2:$D$3723,4,FALSE)</f>
        <v>9.6909999999999996E-2</v>
      </c>
      <c r="X117">
        <f>VLOOKUP($B117&amp;X$1,Data!$A$2:$D$3723,4,FALSE)</f>
        <v>0.25</v>
      </c>
      <c r="Y117">
        <f>VLOOKUP($B117&amp;Y$1,Data!$A$2:$D$3723,4,FALSE)</f>
        <v>0.75</v>
      </c>
      <c r="Z117">
        <f>VLOOKUP($B117&amp;Z$1,Data!$A$2:$D$3723,4,FALSE)</f>
        <v>1.55</v>
      </c>
      <c r="AA117">
        <f>VLOOKUP($B117&amp;AA$1,Data!$A$2:$D$3723,4,FALSE)</f>
        <v>0.13100000000000001</v>
      </c>
      <c r="AB117">
        <f>VLOOKUP($B117&amp;AB$1,Data!$A$2:$D$3723,4,FALSE)</f>
        <v>-0.33</v>
      </c>
      <c r="AC117">
        <f>VLOOKUP($B117&amp;AC$1,Data!$A$2:$D$3723,4,FALSE)</f>
        <v>9.9000000000000005E-2</v>
      </c>
      <c r="AD117">
        <f>VLOOKUP($B117&amp;AD$1,Data!$A$2:$D$3723,4,FALSE)</f>
        <v>0.01</v>
      </c>
      <c r="AE117">
        <f>VLOOKUP($B117&amp;AE$1,Data!$A$2:$D$3723,4,FALSE)</f>
        <v>0.35099999999999998</v>
      </c>
      <c r="AF117">
        <f>VLOOKUP($B117&amp;AF$1,Data!$A$2:$D$3723,4,FALSE)</f>
        <v>0.13100000000000001</v>
      </c>
      <c r="AG117">
        <f>VLOOKUP($B117&amp;AG$1,Data!$A$2:$D$3723,4,FALSE)</f>
        <v>-0.33300000000000002</v>
      </c>
      <c r="AH117">
        <f>VLOOKUP($B117&amp;AH$1,Data!$A$2:$D$3723,4,FALSE)</f>
        <v>0</v>
      </c>
      <c r="AI117">
        <f>VLOOKUP($B117&amp;AI$1,Data!$A$2:$D$3723,4,FALSE)</f>
        <v>140000000</v>
      </c>
    </row>
    <row r="118" spans="2:35" hidden="1">
      <c r="B118" s="13">
        <v>117</v>
      </c>
      <c r="C118" s="13" t="s">
        <v>55</v>
      </c>
      <c r="D118" t="s">
        <v>19</v>
      </c>
      <c r="E118" t="s">
        <v>22</v>
      </c>
      <c r="F118">
        <v>5000</v>
      </c>
      <c r="G118" t="s">
        <v>17</v>
      </c>
      <c r="H118" s="5">
        <v>43831</v>
      </c>
      <c r="I118" s="5">
        <v>44562</v>
      </c>
      <c r="J118">
        <v>14</v>
      </c>
      <c r="K118">
        <v>9</v>
      </c>
      <c r="L118">
        <v>30</v>
      </c>
      <c r="M118">
        <v>70</v>
      </c>
      <c r="N118">
        <v>1000000</v>
      </c>
      <c r="O118">
        <f>VLOOKUP($B118&amp;O$1,Data!$A$2:$D$3723,4,FALSE)</f>
        <v>0.54954999999999998</v>
      </c>
      <c r="P118">
        <f>VLOOKUP($B118&amp;P$1,Data!$A$2:$D$3723,4,FALSE)</f>
        <v>1.4750000000000001</v>
      </c>
      <c r="Q118" s="7">
        <f>VLOOKUP($B118&amp;Q$1,Data!$A$2:$D$3723,4,FALSE)</f>
        <v>254</v>
      </c>
      <c r="R118">
        <f>VLOOKUP($B118&amp;R$1,Data!$A$2:$D$3723,4,FALSE)</f>
        <v>9.8900000000000002E-2</v>
      </c>
      <c r="S118">
        <f>VLOOKUP($B118&amp;S$1,Data!$A$2:$D$3723,4,FALSE)</f>
        <v>-6.5100000000000005E-2</v>
      </c>
      <c r="T118">
        <f>VLOOKUP($B118&amp;T$1,Data!$A$2:$D$3723,4,FALSE)</f>
        <v>0.84267000000000003</v>
      </c>
      <c r="U118">
        <f>VLOOKUP($B118&amp;U$1,Data!$A$2:$D$3723,4,FALSE)</f>
        <v>0.23599999999999999</v>
      </c>
      <c r="V118">
        <f>VLOOKUP($B118&amp;V$1,Data!$A$2:$D$3723,4,FALSE)</f>
        <v>0.88900000000000001</v>
      </c>
      <c r="W118">
        <f>VLOOKUP($B118&amp;W$1,Data!$A$2:$D$3723,4,FALSE)</f>
        <v>0.48457</v>
      </c>
      <c r="X118">
        <f>VLOOKUP($B118&amp;X$1,Data!$A$2:$D$3723,4,FALSE)</f>
        <v>0.25</v>
      </c>
      <c r="Y118">
        <f>VLOOKUP($B118&amp;Y$1,Data!$A$2:$D$3723,4,FALSE)</f>
        <v>0.75</v>
      </c>
      <c r="Z118">
        <f>VLOOKUP($B118&amp;Z$1,Data!$A$2:$D$3723,4,FALSE)</f>
        <v>1.52</v>
      </c>
      <c r="AA118">
        <f>VLOOKUP($B118&amp;AA$1,Data!$A$2:$D$3723,4,FALSE)</f>
        <v>0.80100000000000005</v>
      </c>
      <c r="AB118">
        <f>VLOOKUP($B118&amp;AB$1,Data!$A$2:$D$3723,4,FALSE)</f>
        <v>-1.571</v>
      </c>
      <c r="AC118">
        <f>VLOOKUP($B118&amp;AC$1,Data!$A$2:$D$3723,4,FALSE)</f>
        <v>0.47499999999999998</v>
      </c>
      <c r="AD118">
        <f>VLOOKUP($B118&amp;AD$1,Data!$A$2:$D$3723,4,FALSE)</f>
        <v>0.22600000000000001</v>
      </c>
      <c r="AE118">
        <f>VLOOKUP($B118&amp;AE$1,Data!$A$2:$D$3723,4,FALSE)</f>
        <v>1.2889999999999999</v>
      </c>
      <c r="AF118">
        <f>VLOOKUP($B118&amp;AF$1,Data!$A$2:$D$3723,4,FALSE)</f>
        <v>0.49399999999999999</v>
      </c>
      <c r="AG118">
        <f>VLOOKUP($B118&amp;AG$1,Data!$A$2:$D$3723,4,FALSE)</f>
        <v>-0.44600000000000001</v>
      </c>
      <c r="AH118">
        <f>VLOOKUP($B118&amp;AH$1,Data!$A$2:$D$3723,4,FALSE)</f>
        <v>0</v>
      </c>
      <c r="AI118">
        <f>VLOOKUP($B118&amp;AI$1,Data!$A$2:$D$3723,4,FALSE)</f>
        <v>38000000</v>
      </c>
    </row>
    <row r="119" spans="2:35" hidden="1">
      <c r="B119" s="13">
        <v>118</v>
      </c>
      <c r="C119" s="13" t="s">
        <v>55</v>
      </c>
      <c r="D119" t="s">
        <v>19</v>
      </c>
      <c r="E119" t="s">
        <v>3</v>
      </c>
      <c r="F119">
        <v>100</v>
      </c>
      <c r="G119" t="s">
        <v>17</v>
      </c>
      <c r="H119" s="5">
        <v>43831</v>
      </c>
      <c r="I119" s="5">
        <v>44562</v>
      </c>
      <c r="J119">
        <v>14</v>
      </c>
      <c r="K119">
        <v>9</v>
      </c>
      <c r="L119">
        <v>32</v>
      </c>
      <c r="M119">
        <v>68</v>
      </c>
      <c r="N119">
        <v>1000000</v>
      </c>
      <c r="O119">
        <f>VLOOKUP($B119&amp;O$1,Data!$A$2:$D$3723,4,FALSE)</f>
        <v>5.1599999999999997E-3</v>
      </c>
      <c r="P119">
        <f>VLOOKUP($B119&amp;P$1,Data!$A$2:$D$3723,4,FALSE)</f>
        <v>-1.4870000000000001</v>
      </c>
      <c r="Q119">
        <f>VLOOKUP($B119&amp;Q$1,Data!$A$2:$D$3723,4,FALSE)</f>
        <v>781</v>
      </c>
      <c r="R119">
        <f>VLOOKUP($B119&amp;R$1,Data!$A$2:$D$3723,4,FALSE)</f>
        <v>8.9999999999999998E-4</v>
      </c>
      <c r="S119">
        <f>VLOOKUP($B119&amp;S$1,Data!$A$2:$D$3723,4,FALSE)</f>
        <v>-1.1000000000000001E-3</v>
      </c>
      <c r="T119">
        <f>VLOOKUP($B119&amp;T$1,Data!$A$2:$D$3723,4,FALSE)</f>
        <v>-1.9720000000000001E-2</v>
      </c>
      <c r="U119">
        <f>VLOOKUP($B119&amp;U$1,Data!$A$2:$D$3723,4,FALSE)</f>
        <v>1.4999999999999999E-2</v>
      </c>
      <c r="V119">
        <f>VLOOKUP($B119&amp;V$1,Data!$A$2:$D$3723,4,FALSE)</f>
        <v>-0.44500000000000001</v>
      </c>
      <c r="W119">
        <f>VLOOKUP($B119&amp;W$1,Data!$A$2:$D$3723,4,FALSE)</f>
        <v>-1.2789999999999999E-2</v>
      </c>
      <c r="X119">
        <f>VLOOKUP($B119&amp;X$1,Data!$A$2:$D$3723,4,FALSE)</f>
        <v>0.69</v>
      </c>
      <c r="Y119">
        <f>VLOOKUP($B119&amp;Y$1,Data!$A$2:$D$3723,4,FALSE)</f>
        <v>0.31</v>
      </c>
      <c r="Z119">
        <f>VLOOKUP($B119&amp;Z$1,Data!$A$2:$D$3723,4,FALSE)</f>
        <v>0.8</v>
      </c>
      <c r="AA119">
        <f>VLOOKUP($B119&amp;AA$1,Data!$A$2:$D$3723,4,FALSE)</f>
        <v>-1.0999999999999999E-2</v>
      </c>
      <c r="AB119">
        <f>VLOOKUP($B119&amp;AB$1,Data!$A$2:$D$3723,4,FALSE)</f>
        <v>-3.7999999999999999E-2</v>
      </c>
      <c r="AC119">
        <f>VLOOKUP($B119&amp;AC$1,Data!$A$2:$D$3723,4,FALSE)</f>
        <v>8.9999999999999993E-3</v>
      </c>
      <c r="AD119">
        <f>VLOOKUP($B119&amp;AD$1,Data!$A$2:$D$3723,4,FALSE)</f>
        <v>0</v>
      </c>
      <c r="AE119">
        <f>VLOOKUP($B119&amp;AE$1,Data!$A$2:$D$3723,4,FALSE)</f>
        <v>-1.107</v>
      </c>
      <c r="AF119">
        <f>VLOOKUP($B119&amp;AF$1,Data!$A$2:$D$3723,4,FALSE)</f>
        <v>7.0000000000000007E-2</v>
      </c>
      <c r="AG119">
        <f>VLOOKUP($B119&amp;AG$1,Data!$A$2:$D$3723,4,FALSE)</f>
        <v>0.35499999999999998</v>
      </c>
      <c r="AH119">
        <f>VLOOKUP($B119&amp;AH$1,Data!$A$2:$D$3723,4,FALSE)</f>
        <v>0</v>
      </c>
      <c r="AI119">
        <f>VLOOKUP($B119&amp;AI$1,Data!$A$2:$D$3723,4,FALSE)</f>
        <v>43000000000</v>
      </c>
    </row>
    <row r="120" spans="2:35" hidden="1">
      <c r="B120" s="13">
        <v>119</v>
      </c>
      <c r="C120" s="13" t="s">
        <v>55</v>
      </c>
      <c r="D120" t="s">
        <v>19</v>
      </c>
      <c r="E120" t="s">
        <v>3</v>
      </c>
      <c r="F120">
        <v>1000</v>
      </c>
      <c r="G120" t="s">
        <v>17</v>
      </c>
      <c r="H120" s="5">
        <v>43831</v>
      </c>
      <c r="I120" s="5">
        <v>44562</v>
      </c>
      <c r="J120">
        <v>14</v>
      </c>
      <c r="K120">
        <v>9</v>
      </c>
      <c r="L120">
        <v>32</v>
      </c>
      <c r="M120">
        <v>68</v>
      </c>
      <c r="N120">
        <v>1000000</v>
      </c>
      <c r="O120">
        <f>VLOOKUP($B120&amp;O$1,Data!$A$2:$D$3723,4,FALSE)</f>
        <v>5.5199999999999997E-3</v>
      </c>
      <c r="P120">
        <f>VLOOKUP($B120&amp;P$1,Data!$A$2:$D$3723,4,FALSE)</f>
        <v>-1.37</v>
      </c>
      <c r="Q120">
        <f>VLOOKUP($B120&amp;Q$1,Data!$A$2:$D$3723,4,FALSE)</f>
        <v>781</v>
      </c>
      <c r="R120">
        <f>VLOOKUP($B120&amp;R$1,Data!$A$2:$D$3723,4,FALSE)</f>
        <v>8.8999999999999999E-3</v>
      </c>
      <c r="S120">
        <f>VLOOKUP($B120&amp;S$1,Data!$A$2:$D$3723,4,FALSE)</f>
        <v>-1.12E-2</v>
      </c>
      <c r="T120">
        <f>VLOOKUP($B120&amp;T$1,Data!$A$2:$D$3723,4,FALSE)</f>
        <v>-0.19083</v>
      </c>
      <c r="U120">
        <f>VLOOKUP($B120&amp;U$1,Data!$A$2:$D$3723,4,FALSE)</f>
        <v>0.14699999999999999</v>
      </c>
      <c r="V120">
        <f>VLOOKUP($B120&amp;V$1,Data!$A$2:$D$3723,4,FALSE)</f>
        <v>-0.44900000000000001</v>
      </c>
      <c r="W120">
        <f>VLOOKUP($B120&amp;W$1,Data!$A$2:$D$3723,4,FALSE)</f>
        <v>-0.12792999999999999</v>
      </c>
      <c r="X120">
        <f>VLOOKUP($B120&amp;X$1,Data!$A$2:$D$3723,4,FALSE)</f>
        <v>0.69</v>
      </c>
      <c r="Y120">
        <f>VLOOKUP($B120&amp;Y$1,Data!$A$2:$D$3723,4,FALSE)</f>
        <v>0.31</v>
      </c>
      <c r="Z120">
        <f>VLOOKUP($B120&amp;Z$1,Data!$A$2:$D$3723,4,FALSE)</f>
        <v>0.79</v>
      </c>
      <c r="AA120">
        <f>VLOOKUP($B120&amp;AA$1,Data!$A$2:$D$3723,4,FALSE)</f>
        <v>-0.107</v>
      </c>
      <c r="AB120">
        <f>VLOOKUP($B120&amp;AB$1,Data!$A$2:$D$3723,4,FALSE)</f>
        <v>-0.40699999999999997</v>
      </c>
      <c r="AC120">
        <f>VLOOKUP($B120&amp;AC$1,Data!$A$2:$D$3723,4,FALSE)</f>
        <v>9.7000000000000003E-2</v>
      </c>
      <c r="AD120">
        <f>VLOOKUP($B120&amp;AD$1,Data!$A$2:$D$3723,4,FALSE)</f>
        <v>8.9999999999999993E-3</v>
      </c>
      <c r="AE120">
        <f>VLOOKUP($B120&amp;AE$1,Data!$A$2:$D$3723,4,FALSE)</f>
        <v>-1.4850000000000001</v>
      </c>
      <c r="AF120">
        <f>VLOOKUP($B120&amp;AF$1,Data!$A$2:$D$3723,4,FALSE)</f>
        <v>0.13200000000000001</v>
      </c>
      <c r="AG120">
        <f>VLOOKUP($B120&amp;AG$1,Data!$A$2:$D$3723,4,FALSE)</f>
        <v>0.32500000000000001</v>
      </c>
      <c r="AH120">
        <f>VLOOKUP($B120&amp;AH$1,Data!$A$2:$D$3723,4,FALSE)</f>
        <v>0</v>
      </c>
      <c r="AI120">
        <f>VLOOKUP($B120&amp;AI$1,Data!$A$2:$D$3723,4,FALSE)</f>
        <v>3800000000</v>
      </c>
    </row>
    <row r="121" spans="2:35" hidden="1">
      <c r="B121" s="13">
        <v>120</v>
      </c>
      <c r="C121" s="13" t="s">
        <v>55</v>
      </c>
      <c r="D121" t="s">
        <v>19</v>
      </c>
      <c r="E121" t="s">
        <v>3</v>
      </c>
      <c r="F121">
        <v>5000</v>
      </c>
      <c r="G121" t="s">
        <v>17</v>
      </c>
      <c r="H121" s="5">
        <v>43831</v>
      </c>
      <c r="I121" s="5">
        <v>44562</v>
      </c>
      <c r="J121">
        <v>14</v>
      </c>
      <c r="K121">
        <v>9</v>
      </c>
      <c r="L121">
        <v>32</v>
      </c>
      <c r="M121">
        <v>68</v>
      </c>
      <c r="N121">
        <v>1000000</v>
      </c>
      <c r="O121">
        <f>VLOOKUP($B121&amp;O$1,Data!$A$2:$D$3723,4,FALSE)</f>
        <v>1.243E-2</v>
      </c>
      <c r="P121">
        <f>VLOOKUP($B121&amp;P$1,Data!$A$2:$D$3723,4,FALSE)</f>
        <v>-0.83599999999999997</v>
      </c>
      <c r="Q121">
        <f>VLOOKUP($B121&amp;Q$1,Data!$A$2:$D$3723,4,FALSE)</f>
        <v>777</v>
      </c>
      <c r="R121">
        <f>VLOOKUP($B121&amp;R$1,Data!$A$2:$D$3723,4,FALSE)</f>
        <v>0.05</v>
      </c>
      <c r="S121">
        <f>VLOOKUP($B121&amp;S$1,Data!$A$2:$D$3723,4,FALSE)</f>
        <v>-6.4100000000000004E-2</v>
      </c>
      <c r="T121">
        <f>VLOOKUP($B121&amp;T$1,Data!$A$2:$D$3723,4,FALSE)</f>
        <v>-0.76720999999999995</v>
      </c>
      <c r="U121">
        <f>VLOOKUP($B121&amp;U$1,Data!$A$2:$D$3723,4,FALSE)</f>
        <v>0.65100000000000002</v>
      </c>
      <c r="V121">
        <f>VLOOKUP($B121&amp;V$1,Data!$A$2:$D$3723,4,FALSE)</f>
        <v>-0.47199999999999998</v>
      </c>
      <c r="W121">
        <f>VLOOKUP($B121&amp;W$1,Data!$A$2:$D$3723,4,FALSE)</f>
        <v>-0.61026999999999998</v>
      </c>
      <c r="X121">
        <f>VLOOKUP($B121&amp;X$1,Data!$A$2:$D$3723,4,FALSE)</f>
        <v>0.7</v>
      </c>
      <c r="Y121">
        <f>VLOOKUP($B121&amp;Y$1,Data!$A$2:$D$3723,4,FALSE)</f>
        <v>0.3</v>
      </c>
      <c r="Z121">
        <f>VLOOKUP($B121&amp;Z$1,Data!$A$2:$D$3723,4,FALSE)</f>
        <v>0.78</v>
      </c>
      <c r="AA121">
        <f>VLOOKUP($B121&amp;AA$1,Data!$A$2:$D$3723,4,FALSE)</f>
        <v>-0.36599999999999999</v>
      </c>
      <c r="AB121">
        <f>VLOOKUP($B121&amp;AB$1,Data!$A$2:$D$3723,4,FALSE)</f>
        <v>-2.7879999999999998</v>
      </c>
      <c r="AC121">
        <f>VLOOKUP($B121&amp;AC$1,Data!$A$2:$D$3723,4,FALSE)</f>
        <v>0.65100000000000002</v>
      </c>
      <c r="AD121">
        <f>VLOOKUP($B121&amp;AD$1,Data!$A$2:$D$3723,4,FALSE)</f>
        <v>0.42299999999999999</v>
      </c>
      <c r="AE121">
        <f>VLOOKUP($B121&amp;AE$1,Data!$A$2:$D$3723,4,FALSE)</f>
        <v>-0.90300000000000002</v>
      </c>
      <c r="AF121">
        <f>VLOOKUP($B121&amp;AF$1,Data!$A$2:$D$3723,4,FALSE)</f>
        <v>0.67300000000000004</v>
      </c>
      <c r="AG121">
        <f>VLOOKUP($B121&amp;AG$1,Data!$A$2:$D$3723,4,FALSE)</f>
        <v>0.19500000000000001</v>
      </c>
      <c r="AH121">
        <f>VLOOKUP($B121&amp;AH$1,Data!$A$2:$D$3723,4,FALSE)</f>
        <v>0</v>
      </c>
      <c r="AI121">
        <f>VLOOKUP($B121&amp;AI$1,Data!$A$2:$D$3723,4,FALSE)</f>
        <v>370000000</v>
      </c>
    </row>
    <row r="122" spans="2:35" hidden="1">
      <c r="B122" s="13">
        <v>121</v>
      </c>
      <c r="C122" s="13" t="s">
        <v>55</v>
      </c>
      <c r="D122" t="s">
        <v>19</v>
      </c>
      <c r="E122" t="s">
        <v>2</v>
      </c>
      <c r="F122">
        <v>100</v>
      </c>
      <c r="G122" t="s">
        <v>17</v>
      </c>
      <c r="H122" s="5">
        <v>43831</v>
      </c>
      <c r="I122" s="5">
        <v>44562</v>
      </c>
      <c r="J122">
        <v>14</v>
      </c>
      <c r="K122">
        <v>9</v>
      </c>
      <c r="L122">
        <v>32</v>
      </c>
      <c r="M122">
        <v>68</v>
      </c>
      <c r="N122">
        <v>1000000</v>
      </c>
      <c r="O122">
        <f>VLOOKUP($B122&amp;O$1,Data!$A$2:$D$3723,4,FALSE)</f>
        <v>6.8339999999999998E-2</v>
      </c>
      <c r="P122">
        <f>VLOOKUP($B122&amp;P$1,Data!$A$2:$D$3723,4,FALSE)</f>
        <v>-0.52</v>
      </c>
      <c r="Q122">
        <f>VLOOKUP($B122&amp;Q$1,Data!$A$2:$D$3723,4,FALSE)</f>
        <v>453</v>
      </c>
      <c r="R122">
        <f>VLOOKUP($B122&amp;R$1,Data!$A$2:$D$3723,4,FALSE)</f>
        <v>1.6999999999999999E-3</v>
      </c>
      <c r="S122">
        <f>VLOOKUP($B122&amp;S$1,Data!$A$2:$D$3723,4,FALSE)</f>
        <v>-1.8E-3</v>
      </c>
      <c r="T122">
        <f>VLOOKUP($B122&amp;T$1,Data!$A$2:$D$3723,4,FALSE)</f>
        <v>-9.5099999999999994E-3</v>
      </c>
      <c r="U122">
        <f>VLOOKUP($B122&amp;U$1,Data!$A$2:$D$3723,4,FALSE)</f>
        <v>1.9E-2</v>
      </c>
      <c r="V122">
        <f>VLOOKUP($B122&amp;V$1,Data!$A$2:$D$3723,4,FALSE)</f>
        <v>-0.224</v>
      </c>
      <c r="W122">
        <f>VLOOKUP($B122&amp;W$1,Data!$A$2:$D$3723,4,FALSE)</f>
        <v>-6.1599999999999997E-3</v>
      </c>
      <c r="X122">
        <f>VLOOKUP($B122&amp;X$1,Data!$A$2:$D$3723,4,FALSE)</f>
        <v>0.6</v>
      </c>
      <c r="Y122">
        <f>VLOOKUP($B122&amp;Y$1,Data!$A$2:$D$3723,4,FALSE)</f>
        <v>0.4</v>
      </c>
      <c r="Z122">
        <f>VLOOKUP($B122&amp;Z$1,Data!$A$2:$D$3723,4,FALSE)</f>
        <v>0.94</v>
      </c>
      <c r="AA122">
        <f>VLOOKUP($B122&amp;AA$1,Data!$A$2:$D$3723,4,FALSE)</f>
        <v>-3.0000000000000001E-3</v>
      </c>
      <c r="AB122">
        <f>VLOOKUP($B122&amp;AB$1,Data!$A$2:$D$3723,4,FALSE)</f>
        <v>-5.7000000000000002E-2</v>
      </c>
      <c r="AC122">
        <f>VLOOKUP($B122&amp;AC$1,Data!$A$2:$D$3723,4,FALSE)</f>
        <v>1.2999999999999999E-2</v>
      </c>
      <c r="AD122">
        <f>VLOOKUP($B122&amp;AD$1,Data!$A$2:$D$3723,4,FALSE)</f>
        <v>0</v>
      </c>
      <c r="AE122">
        <f>VLOOKUP($B122&amp;AE$1,Data!$A$2:$D$3723,4,FALSE)</f>
        <v>-0.98099999999999998</v>
      </c>
      <c r="AF122">
        <f>VLOOKUP($B122&amp;AF$1,Data!$A$2:$D$3723,4,FALSE)</f>
        <v>7.1999999999999995E-2</v>
      </c>
      <c r="AG122">
        <f>VLOOKUP($B122&amp;AG$1,Data!$A$2:$D$3723,4,FALSE)</f>
        <v>0.114</v>
      </c>
      <c r="AH122">
        <f>VLOOKUP($B122&amp;AH$1,Data!$A$2:$D$3723,4,FALSE)</f>
        <v>0</v>
      </c>
      <c r="AI122">
        <f>VLOOKUP($B122&amp;AI$1,Data!$A$2:$D$3723,4,FALSE)</f>
        <v>13000000000</v>
      </c>
    </row>
    <row r="123" spans="2:35" hidden="1">
      <c r="B123" s="13">
        <v>122</v>
      </c>
      <c r="C123" s="13" t="s">
        <v>55</v>
      </c>
      <c r="D123" t="s">
        <v>19</v>
      </c>
      <c r="E123" t="s">
        <v>2</v>
      </c>
      <c r="F123">
        <v>1000</v>
      </c>
      <c r="G123" t="s">
        <v>17</v>
      </c>
      <c r="H123" s="5">
        <v>43831</v>
      </c>
      <c r="I123" s="5">
        <v>44562</v>
      </c>
      <c r="J123">
        <v>14</v>
      </c>
      <c r="K123">
        <v>9</v>
      </c>
      <c r="L123">
        <v>32</v>
      </c>
      <c r="M123">
        <v>68</v>
      </c>
      <c r="N123">
        <v>1000000</v>
      </c>
      <c r="O123">
        <f>VLOOKUP($B123&amp;O$1,Data!$A$2:$D$3723,4,FALSE)</f>
        <v>7.9750000000000001E-2</v>
      </c>
      <c r="P123">
        <f>VLOOKUP($B123&amp;P$1,Data!$A$2:$D$3723,4,FALSE)</f>
        <v>-0.42899999999999999</v>
      </c>
      <c r="Q123">
        <f>VLOOKUP($B123&amp;Q$1,Data!$A$2:$D$3723,4,FALSE)</f>
        <v>453</v>
      </c>
      <c r="R123">
        <f>VLOOKUP($B123&amp;R$1,Data!$A$2:$D$3723,4,FALSE)</f>
        <v>1.7899999999999999E-2</v>
      </c>
      <c r="S123">
        <f>VLOOKUP($B123&amp;S$1,Data!$A$2:$D$3723,4,FALSE)</f>
        <v>-1.84E-2</v>
      </c>
      <c r="T123">
        <f>VLOOKUP($B123&amp;T$1,Data!$A$2:$D$3723,4,FALSE)</f>
        <v>-9.3659999999999993E-2</v>
      </c>
      <c r="U123">
        <f>VLOOKUP($B123&amp;U$1,Data!$A$2:$D$3723,4,FALSE)</f>
        <v>0.188</v>
      </c>
      <c r="V123">
        <f>VLOOKUP($B123&amp;V$1,Data!$A$2:$D$3723,4,FALSE)</f>
        <v>-0.21199999999999999</v>
      </c>
      <c r="W123">
        <f>VLOOKUP($B123&amp;W$1,Data!$A$2:$D$3723,4,FALSE)</f>
        <v>-6.1589999999999999E-2</v>
      </c>
      <c r="X123">
        <f>VLOOKUP($B123&amp;X$1,Data!$A$2:$D$3723,4,FALSE)</f>
        <v>0.6</v>
      </c>
      <c r="Y123">
        <f>VLOOKUP($B123&amp;Y$1,Data!$A$2:$D$3723,4,FALSE)</f>
        <v>0.4</v>
      </c>
      <c r="Z123">
        <f>VLOOKUP($B123&amp;Z$1,Data!$A$2:$D$3723,4,FALSE)</f>
        <v>0.97</v>
      </c>
      <c r="AA123">
        <f>VLOOKUP($B123&amp;AA$1,Data!$A$2:$D$3723,4,FALSE)</f>
        <v>-1.9E-2</v>
      </c>
      <c r="AB123">
        <f>VLOOKUP($B123&amp;AB$1,Data!$A$2:$D$3723,4,FALSE)</f>
        <v>-0.61</v>
      </c>
      <c r="AC123">
        <f>VLOOKUP($B123&amp;AC$1,Data!$A$2:$D$3723,4,FALSE)</f>
        <v>0.13400000000000001</v>
      </c>
      <c r="AD123">
        <f>VLOOKUP($B123&amp;AD$1,Data!$A$2:$D$3723,4,FALSE)</f>
        <v>1.7999999999999999E-2</v>
      </c>
      <c r="AE123">
        <f>VLOOKUP($B123&amp;AE$1,Data!$A$2:$D$3723,4,FALSE)</f>
        <v>-0.72599999999999998</v>
      </c>
      <c r="AF123">
        <f>VLOOKUP($B123&amp;AF$1,Data!$A$2:$D$3723,4,FALSE)</f>
        <v>0.16700000000000001</v>
      </c>
      <c r="AG123">
        <f>VLOOKUP($B123&amp;AG$1,Data!$A$2:$D$3723,4,FALSE)</f>
        <v>9.4E-2</v>
      </c>
      <c r="AH123">
        <f>VLOOKUP($B123&amp;AH$1,Data!$A$2:$D$3723,4,FALSE)</f>
        <v>0</v>
      </c>
      <c r="AI123">
        <f>VLOOKUP($B123&amp;AI$1,Data!$A$2:$D$3723,4,FALSE)</f>
        <v>1300000000</v>
      </c>
    </row>
    <row r="124" spans="2:35" hidden="1">
      <c r="B124" s="13">
        <v>123</v>
      </c>
      <c r="C124" s="13" t="s">
        <v>55</v>
      </c>
      <c r="D124" t="s">
        <v>19</v>
      </c>
      <c r="E124" t="s">
        <v>2</v>
      </c>
      <c r="F124">
        <v>5000</v>
      </c>
      <c r="G124" t="s">
        <v>17</v>
      </c>
      <c r="H124" s="5">
        <v>43831</v>
      </c>
      <c r="I124" s="5">
        <v>44562</v>
      </c>
      <c r="J124">
        <v>14</v>
      </c>
      <c r="K124">
        <v>9</v>
      </c>
      <c r="L124">
        <v>32</v>
      </c>
      <c r="M124">
        <v>68</v>
      </c>
      <c r="N124">
        <v>1000000</v>
      </c>
      <c r="O124">
        <f>VLOOKUP($B124&amp;O$1,Data!$A$2:$D$3723,4,FALSE)</f>
        <v>8.7029999999999996E-2</v>
      </c>
      <c r="P124">
        <f>VLOOKUP($B124&amp;P$1,Data!$A$2:$D$3723,4,FALSE)</f>
        <v>-0.34</v>
      </c>
      <c r="Q124">
        <f>VLOOKUP($B124&amp;Q$1,Data!$A$2:$D$3723,4,FALSE)</f>
        <v>456</v>
      </c>
      <c r="R124">
        <f>VLOOKUP($B124&amp;R$1,Data!$A$2:$D$3723,4,FALSE)</f>
        <v>0.122</v>
      </c>
      <c r="S124">
        <f>VLOOKUP($B124&amp;S$1,Data!$A$2:$D$3723,4,FALSE)</f>
        <v>-7.3400000000000007E-2</v>
      </c>
      <c r="T124">
        <f>VLOOKUP($B124&amp;T$1,Data!$A$2:$D$3723,4,FALSE)</f>
        <v>-0.60485</v>
      </c>
      <c r="U124">
        <f>VLOOKUP($B124&amp;U$1,Data!$A$2:$D$3723,4,FALSE)</f>
        <v>0.72599999999999998</v>
      </c>
      <c r="V124">
        <f>VLOOKUP($B124&amp;V$1,Data!$A$2:$D$3723,4,FALSE)</f>
        <v>-0.27400000000000002</v>
      </c>
      <c r="W124">
        <f>VLOOKUP($B124&amp;W$1,Data!$A$2:$D$3723,4,FALSE)</f>
        <v>-0.45130999999999999</v>
      </c>
      <c r="X124">
        <f>VLOOKUP($B124&amp;X$1,Data!$A$2:$D$3723,4,FALSE)</f>
        <v>0.73</v>
      </c>
      <c r="Y124">
        <f>VLOOKUP($B124&amp;Y$1,Data!$A$2:$D$3723,4,FALSE)</f>
        <v>0.27</v>
      </c>
      <c r="Z124">
        <f>VLOOKUP($B124&amp;Z$1,Data!$A$2:$D$3723,4,FALSE)</f>
        <v>1.66</v>
      </c>
      <c r="AA124">
        <f>VLOOKUP($B124&amp;AA$1,Data!$A$2:$D$3723,4,FALSE)</f>
        <v>-2.3E-2</v>
      </c>
      <c r="AB124">
        <f>VLOOKUP($B124&amp;AB$1,Data!$A$2:$D$3723,4,FALSE)</f>
        <v>-3.8479999999999999</v>
      </c>
      <c r="AC124">
        <f>VLOOKUP($B124&amp;AC$1,Data!$A$2:$D$3723,4,FALSE)</f>
        <v>0.78800000000000003</v>
      </c>
      <c r="AD124">
        <f>VLOOKUP($B124&amp;AD$1,Data!$A$2:$D$3723,4,FALSE)</f>
        <v>0.621</v>
      </c>
      <c r="AE124">
        <f>VLOOKUP($B124&amp;AE$1,Data!$A$2:$D$3723,4,FALSE)</f>
        <v>-0.40899999999999997</v>
      </c>
      <c r="AF124">
        <f>VLOOKUP($B124&amp;AF$1,Data!$A$2:$D$3723,4,FALSE)</f>
        <v>0.81200000000000006</v>
      </c>
      <c r="AG124">
        <f>VLOOKUP($B124&amp;AG$1,Data!$A$2:$D$3723,4,FALSE)</f>
        <v>7.0000000000000007E-2</v>
      </c>
      <c r="AH124">
        <f>VLOOKUP($B124&amp;AH$1,Data!$A$2:$D$3723,4,FALSE)</f>
        <v>0</v>
      </c>
      <c r="AI124">
        <f>VLOOKUP($B124&amp;AI$1,Data!$A$2:$D$3723,4,FALSE)</f>
        <v>140000000</v>
      </c>
    </row>
    <row r="125" spans="2:35" hidden="1">
      <c r="B125" s="13">
        <v>124</v>
      </c>
      <c r="C125" s="13" t="s">
        <v>55</v>
      </c>
      <c r="D125" t="s">
        <v>19</v>
      </c>
      <c r="E125" t="s">
        <v>22</v>
      </c>
      <c r="F125">
        <v>100</v>
      </c>
      <c r="G125" t="s">
        <v>17</v>
      </c>
      <c r="H125" s="5">
        <v>43831</v>
      </c>
      <c r="I125" s="5">
        <v>44562</v>
      </c>
      <c r="J125">
        <v>14</v>
      </c>
      <c r="K125">
        <v>9</v>
      </c>
      <c r="L125">
        <v>32</v>
      </c>
      <c r="M125">
        <v>68</v>
      </c>
      <c r="N125">
        <v>1000000</v>
      </c>
      <c r="O125">
        <f>VLOOKUP($B125&amp;O$1,Data!$A$2:$D$3723,4,FALSE)</f>
        <v>3.0300000000000001E-3</v>
      </c>
      <c r="P125">
        <f>VLOOKUP($B125&amp;P$1,Data!$A$2:$D$3723,4,FALSE)</f>
        <v>-1.524</v>
      </c>
      <c r="Q125">
        <f>VLOOKUP($B125&amp;Q$1,Data!$A$2:$D$3723,4,FALSE)</f>
        <v>330</v>
      </c>
      <c r="R125">
        <f>VLOOKUP($B125&amp;R$1,Data!$A$2:$D$3723,4,FALSE)</f>
        <v>1E-3</v>
      </c>
      <c r="S125">
        <f>VLOOKUP($B125&amp;S$1,Data!$A$2:$D$3723,4,FALSE)</f>
        <v>-2.2000000000000001E-3</v>
      </c>
      <c r="T125">
        <f>VLOOKUP($B125&amp;T$1,Data!$A$2:$D$3723,4,FALSE)</f>
        <v>-2.2839999999999999E-2</v>
      </c>
      <c r="U125">
        <f>VLOOKUP($B125&amp;U$1,Data!$A$2:$D$3723,4,FALSE)</f>
        <v>1.7000000000000001E-2</v>
      </c>
      <c r="V125">
        <f>VLOOKUP($B125&amp;V$1,Data!$A$2:$D$3723,4,FALSE)</f>
        <v>-0.60299999999999998</v>
      </c>
      <c r="W125">
        <f>VLOOKUP($B125&amp;W$1,Data!$A$2:$D$3723,4,FALSE)</f>
        <v>-1.4829999999999999E-2</v>
      </c>
      <c r="X125">
        <f>VLOOKUP($B125&amp;X$1,Data!$A$2:$D$3723,4,FALSE)</f>
        <v>0.73</v>
      </c>
      <c r="Y125">
        <f>VLOOKUP($B125&amp;Y$1,Data!$A$2:$D$3723,4,FALSE)</f>
        <v>0.27</v>
      </c>
      <c r="Z125">
        <f>VLOOKUP($B125&amp;Z$1,Data!$A$2:$D$3723,4,FALSE)</f>
        <v>0.46</v>
      </c>
      <c r="AA125">
        <f>VLOOKUP($B125&amp;AA$1,Data!$A$2:$D$3723,4,FALSE)</f>
        <v>-1.4E-2</v>
      </c>
      <c r="AB125">
        <f>VLOOKUP($B125&amp;AB$1,Data!$A$2:$D$3723,4,FALSE)</f>
        <v>-2.8000000000000001E-2</v>
      </c>
      <c r="AC125">
        <f>VLOOKUP($B125&amp;AC$1,Data!$A$2:$D$3723,4,FALSE)</f>
        <v>0.01</v>
      </c>
      <c r="AD125">
        <f>VLOOKUP($B125&amp;AD$1,Data!$A$2:$D$3723,4,FALSE)</f>
        <v>0</v>
      </c>
      <c r="AE125">
        <f>VLOOKUP($B125&amp;AE$1,Data!$A$2:$D$3723,4,FALSE)</f>
        <v>-1.147</v>
      </c>
      <c r="AF125">
        <f>VLOOKUP($B125&amp;AF$1,Data!$A$2:$D$3723,4,FALSE)</f>
        <v>6.9000000000000006E-2</v>
      </c>
      <c r="AG125">
        <f>VLOOKUP($B125&amp;AG$1,Data!$A$2:$D$3723,4,FALSE)</f>
        <v>0.56499999999999995</v>
      </c>
      <c r="AH125">
        <f>VLOOKUP($B125&amp;AH$1,Data!$A$2:$D$3723,4,FALSE)</f>
        <v>0</v>
      </c>
      <c r="AI125">
        <f>VLOOKUP($B125&amp;AI$1,Data!$A$2:$D$3723,4,FALSE)</f>
        <v>57000000</v>
      </c>
    </row>
    <row r="126" spans="2:35" hidden="1">
      <c r="B126" s="13">
        <v>125</v>
      </c>
      <c r="C126" s="13" t="s">
        <v>55</v>
      </c>
      <c r="D126" t="s">
        <v>19</v>
      </c>
      <c r="E126" t="s">
        <v>22</v>
      </c>
      <c r="F126">
        <v>1000</v>
      </c>
      <c r="G126" t="s">
        <v>17</v>
      </c>
      <c r="H126" s="5">
        <v>43831</v>
      </c>
      <c r="I126" s="5">
        <v>44562</v>
      </c>
      <c r="J126">
        <v>14</v>
      </c>
      <c r="K126">
        <v>9</v>
      </c>
      <c r="L126">
        <v>32</v>
      </c>
      <c r="M126">
        <v>68</v>
      </c>
      <c r="N126">
        <v>1000000</v>
      </c>
      <c r="O126">
        <f>VLOOKUP($B126&amp;O$1,Data!$A$2:$D$3723,4,FALSE)</f>
        <v>4.1000000000000003E-3</v>
      </c>
      <c r="P126">
        <f>VLOOKUP($B126&amp;P$1,Data!$A$2:$D$3723,4,FALSE)</f>
        <v>-1.3759999999999999</v>
      </c>
      <c r="Q126">
        <f>VLOOKUP($B126&amp;Q$1,Data!$A$2:$D$3723,4,FALSE)</f>
        <v>330</v>
      </c>
      <c r="R126">
        <f>VLOOKUP($B126&amp;R$1,Data!$A$2:$D$3723,4,FALSE)</f>
        <v>1.12E-2</v>
      </c>
      <c r="S126">
        <f>VLOOKUP($B126&amp;S$1,Data!$A$2:$D$3723,4,FALSE)</f>
        <v>-2.35E-2</v>
      </c>
      <c r="T126">
        <f>VLOOKUP($B126&amp;T$1,Data!$A$2:$D$3723,4,FALSE)</f>
        <v>-0.21981000000000001</v>
      </c>
      <c r="U126">
        <f>VLOOKUP($B126&amp;U$1,Data!$A$2:$D$3723,4,FALSE)</f>
        <v>0.16600000000000001</v>
      </c>
      <c r="V126">
        <f>VLOOKUP($B126&amp;V$1,Data!$A$2:$D$3723,4,FALSE)</f>
        <v>-0.59799999999999998</v>
      </c>
      <c r="W126">
        <f>VLOOKUP($B126&amp;W$1,Data!$A$2:$D$3723,4,FALSE)</f>
        <v>-0.14824999999999999</v>
      </c>
      <c r="X126">
        <f>VLOOKUP($B126&amp;X$1,Data!$A$2:$D$3723,4,FALSE)</f>
        <v>0.73</v>
      </c>
      <c r="Y126">
        <f>VLOOKUP($B126&amp;Y$1,Data!$A$2:$D$3723,4,FALSE)</f>
        <v>0.27</v>
      </c>
      <c r="Z126">
        <f>VLOOKUP($B126&amp;Z$1,Data!$A$2:$D$3723,4,FALSE)</f>
        <v>0.47</v>
      </c>
      <c r="AA126">
        <f>VLOOKUP($B126&amp;AA$1,Data!$A$2:$D$3723,4,FALSE)</f>
        <v>-0.13300000000000001</v>
      </c>
      <c r="AB126">
        <f>VLOOKUP($B126&amp;AB$1,Data!$A$2:$D$3723,4,FALSE)</f>
        <v>-0.313</v>
      </c>
      <c r="AC126">
        <f>VLOOKUP($B126&amp;AC$1,Data!$A$2:$D$3723,4,FALSE)</f>
        <v>0.111</v>
      </c>
      <c r="AD126">
        <f>VLOOKUP($B126&amp;AD$1,Data!$A$2:$D$3723,4,FALSE)</f>
        <v>1.2E-2</v>
      </c>
      <c r="AE126">
        <f>VLOOKUP($B126&amp;AE$1,Data!$A$2:$D$3723,4,FALSE)</f>
        <v>-1.548</v>
      </c>
      <c r="AF126">
        <f>VLOOKUP($B126&amp;AF$1,Data!$A$2:$D$3723,4,FALSE)</f>
        <v>0.14000000000000001</v>
      </c>
      <c r="AG126">
        <f>VLOOKUP($B126&amp;AG$1,Data!$A$2:$D$3723,4,FALSE)</f>
        <v>0.48899999999999999</v>
      </c>
      <c r="AH126">
        <f>VLOOKUP($B126&amp;AH$1,Data!$A$2:$D$3723,4,FALSE)</f>
        <v>0</v>
      </c>
      <c r="AI126">
        <f>VLOOKUP($B126&amp;AI$1,Data!$A$2:$D$3723,4,FALSE)</f>
        <v>7900000</v>
      </c>
    </row>
    <row r="127" spans="2:35" hidden="1">
      <c r="B127" s="13">
        <v>126</v>
      </c>
      <c r="C127" s="13" t="s">
        <v>55</v>
      </c>
      <c r="D127" t="s">
        <v>19</v>
      </c>
      <c r="E127" t="s">
        <v>22</v>
      </c>
      <c r="F127">
        <v>5000</v>
      </c>
      <c r="G127" t="s">
        <v>17</v>
      </c>
      <c r="H127" s="5">
        <v>43831</v>
      </c>
      <c r="I127" s="5">
        <v>44562</v>
      </c>
      <c r="J127">
        <v>14</v>
      </c>
      <c r="K127">
        <v>9</v>
      </c>
      <c r="L127">
        <v>32</v>
      </c>
      <c r="M127">
        <v>68</v>
      </c>
      <c r="N127">
        <v>1000000</v>
      </c>
      <c r="O127">
        <f>VLOOKUP($B127&amp;O$1,Data!$A$2:$D$3723,4,FALSE)</f>
        <v>1.6219999999999998E-2</v>
      </c>
      <c r="P127">
        <f>VLOOKUP($B127&amp;P$1,Data!$A$2:$D$3723,4,FALSE)</f>
        <v>-0.71599999999999997</v>
      </c>
      <c r="Q127">
        <f>VLOOKUP($B127&amp;Q$1,Data!$A$2:$D$3723,4,FALSE)</f>
        <v>327</v>
      </c>
      <c r="R127">
        <f>VLOOKUP($B127&amp;R$1,Data!$A$2:$D$3723,4,FALSE)</f>
        <v>8.2900000000000001E-2</v>
      </c>
      <c r="S127">
        <f>VLOOKUP($B127&amp;S$1,Data!$A$2:$D$3723,4,FALSE)</f>
        <v>-9.4500000000000001E-2</v>
      </c>
      <c r="T127">
        <f>VLOOKUP($B127&amp;T$1,Data!$A$2:$D$3723,4,FALSE)</f>
        <v>-0.88102000000000003</v>
      </c>
      <c r="U127">
        <f>VLOOKUP($B127&amp;U$1,Data!$A$2:$D$3723,4,FALSE)</f>
        <v>0.78400000000000003</v>
      </c>
      <c r="V127">
        <f>VLOOKUP($B127&amp;V$1,Data!$A$2:$D$3723,4,FALSE)</f>
        <v>-0.68700000000000006</v>
      </c>
      <c r="W127">
        <f>VLOOKUP($B127&amp;W$1,Data!$A$2:$D$3723,4,FALSE)</f>
        <v>-0.74746000000000001</v>
      </c>
      <c r="X127">
        <f>VLOOKUP($B127&amp;X$1,Data!$A$2:$D$3723,4,FALSE)</f>
        <v>0.83</v>
      </c>
      <c r="Y127">
        <f>VLOOKUP($B127&amp;Y$1,Data!$A$2:$D$3723,4,FALSE)</f>
        <v>0.17</v>
      </c>
      <c r="Z127">
        <f>VLOOKUP($B127&amp;Z$1,Data!$A$2:$D$3723,4,FALSE)</f>
        <v>0.88</v>
      </c>
      <c r="AA127">
        <f>VLOOKUP($B127&amp;AA$1,Data!$A$2:$D$3723,4,FALSE)</f>
        <v>-0.42899999999999999</v>
      </c>
      <c r="AB127">
        <f>VLOOKUP($B127&amp;AB$1,Data!$A$2:$D$3723,4,FALSE)</f>
        <v>-3.3980000000000001</v>
      </c>
      <c r="AC127">
        <f>VLOOKUP($B127&amp;AC$1,Data!$A$2:$D$3723,4,FALSE)</f>
        <v>0.90200000000000002</v>
      </c>
      <c r="AD127">
        <f>VLOOKUP($B127&amp;AD$1,Data!$A$2:$D$3723,4,FALSE)</f>
        <v>0.81399999999999995</v>
      </c>
      <c r="AE127">
        <f>VLOOKUP($B127&amp;AE$1,Data!$A$2:$D$3723,4,FALSE)</f>
        <v>-0.77</v>
      </c>
      <c r="AF127">
        <f>VLOOKUP($B127&amp;AF$1,Data!$A$2:$D$3723,4,FALSE)</f>
        <v>0.92100000000000004</v>
      </c>
      <c r="AG127">
        <f>VLOOKUP($B127&amp;AG$1,Data!$A$2:$D$3723,4,FALSE)</f>
        <v>0.19</v>
      </c>
      <c r="AH127">
        <f>VLOOKUP($B127&amp;AH$1,Data!$A$2:$D$3723,4,FALSE)</f>
        <v>0</v>
      </c>
      <c r="AI127">
        <f>VLOOKUP($B127&amp;AI$1,Data!$A$2:$D$3723,4,FALSE)</f>
        <v>3100000</v>
      </c>
    </row>
    <row r="128" spans="2:35" hidden="1">
      <c r="B128" s="13">
        <v>127</v>
      </c>
      <c r="C128" s="13" t="s">
        <v>55</v>
      </c>
      <c r="D128" t="s">
        <v>19</v>
      </c>
      <c r="E128" t="s">
        <v>3</v>
      </c>
      <c r="F128">
        <v>100</v>
      </c>
      <c r="G128" t="s">
        <v>17</v>
      </c>
      <c r="H128" s="5">
        <v>43831</v>
      </c>
      <c r="I128" s="5">
        <v>44562</v>
      </c>
      <c r="J128">
        <v>14</v>
      </c>
      <c r="K128">
        <v>9</v>
      </c>
      <c r="L128">
        <v>28</v>
      </c>
      <c r="M128">
        <v>72</v>
      </c>
      <c r="N128">
        <v>1000000</v>
      </c>
      <c r="O128">
        <f>VLOOKUP($B128&amp;O$1,Data!$A$2:$D$3723,4,FALSE)</f>
        <v>4.1869999999999997E-2</v>
      </c>
      <c r="P128">
        <f>VLOOKUP($B128&amp;P$1,Data!$A$2:$D$3723,4,FALSE)</f>
        <v>-0.78600000000000003</v>
      </c>
      <c r="Q128">
        <f>VLOOKUP($B128&amp;Q$1,Data!$A$2:$D$3723,4,FALSE)</f>
        <v>467</v>
      </c>
      <c r="R128">
        <f>VLOOKUP($B128&amp;R$1,Data!$A$2:$D$3723,4,FALSE)</f>
        <v>8.9999999999999998E-4</v>
      </c>
      <c r="S128">
        <f>VLOOKUP($B128&amp;S$1,Data!$A$2:$D$3723,4,FALSE)</f>
        <v>-8.0000000000000004E-4</v>
      </c>
      <c r="T128">
        <f>VLOOKUP($B128&amp;T$1,Data!$A$2:$D$3723,4,FALSE)</f>
        <v>-6.0800000000000003E-3</v>
      </c>
      <c r="U128">
        <f>VLOOKUP($B128&amp;U$1,Data!$A$2:$D$3723,4,FALSE)</f>
        <v>6.0000000000000001E-3</v>
      </c>
      <c r="V128">
        <f>VLOOKUP($B128&amp;V$1,Data!$A$2:$D$3723,4,FALSE)</f>
        <v>-0.29899999999999999</v>
      </c>
      <c r="W128">
        <f>VLOOKUP($B128&amp;W$1,Data!$A$2:$D$3723,4,FALSE)</f>
        <v>-3.9300000000000003E-3</v>
      </c>
      <c r="X128">
        <f>VLOOKUP($B128&amp;X$1,Data!$A$2:$D$3723,4,FALSE)</f>
        <v>0.67</v>
      </c>
      <c r="Y128">
        <f>VLOOKUP($B128&amp;Y$1,Data!$A$2:$D$3723,4,FALSE)</f>
        <v>0.33</v>
      </c>
      <c r="Z128">
        <f>VLOOKUP($B128&amp;Z$1,Data!$A$2:$D$3723,4,FALSE)</f>
        <v>1.1000000000000001</v>
      </c>
      <c r="AA128">
        <f>VLOOKUP($B128&amp;AA$1,Data!$A$2:$D$3723,4,FALSE)</f>
        <v>-3.0000000000000001E-3</v>
      </c>
      <c r="AB128">
        <f>VLOOKUP($B128&amp;AB$1,Data!$A$2:$D$3723,4,FALSE)</f>
        <v>-2.1999999999999999E-2</v>
      </c>
      <c r="AC128">
        <f>VLOOKUP($B128&amp;AC$1,Data!$A$2:$D$3723,4,FALSE)</f>
        <v>5.0000000000000001E-3</v>
      </c>
      <c r="AD128">
        <f>VLOOKUP($B128&amp;AD$1,Data!$A$2:$D$3723,4,FALSE)</f>
        <v>0</v>
      </c>
      <c r="AE128">
        <f>VLOOKUP($B128&amp;AE$1,Data!$A$2:$D$3723,4,FALSE)</f>
        <v>-0.99299999999999999</v>
      </c>
      <c r="AF128">
        <f>VLOOKUP($B128&amp;AF$1,Data!$A$2:$D$3723,4,FALSE)</f>
        <v>6.8000000000000005E-2</v>
      </c>
      <c r="AG128">
        <f>VLOOKUP($B128&amp;AG$1,Data!$A$2:$D$3723,4,FALSE)</f>
        <v>0.19500000000000001</v>
      </c>
      <c r="AH128">
        <f>VLOOKUP($B128&amp;AH$1,Data!$A$2:$D$3723,4,FALSE)</f>
        <v>0</v>
      </c>
      <c r="AI128">
        <f>VLOOKUP($B128&amp;AI$1,Data!$A$2:$D$3723,4,FALSE)</f>
        <v>1100000000</v>
      </c>
    </row>
    <row r="129" spans="2:35" hidden="1">
      <c r="B129" s="13">
        <v>128</v>
      </c>
      <c r="C129" s="13" t="s">
        <v>55</v>
      </c>
      <c r="D129" t="s">
        <v>19</v>
      </c>
      <c r="E129" t="s">
        <v>3</v>
      </c>
      <c r="F129">
        <v>1000</v>
      </c>
      <c r="G129" t="s">
        <v>17</v>
      </c>
      <c r="H129" s="5">
        <v>43831</v>
      </c>
      <c r="I129" s="5">
        <v>44562</v>
      </c>
      <c r="J129">
        <v>14</v>
      </c>
      <c r="K129">
        <v>9</v>
      </c>
      <c r="L129">
        <v>28</v>
      </c>
      <c r="M129">
        <v>72</v>
      </c>
      <c r="N129">
        <v>1000000</v>
      </c>
      <c r="O129">
        <f>VLOOKUP($B129&amp;O$1,Data!$A$2:$D$3723,4,FALSE)</f>
        <v>4.3709999999999999E-2</v>
      </c>
      <c r="P129">
        <f>VLOOKUP($B129&amp;P$1,Data!$A$2:$D$3723,4,FALSE)</f>
        <v>-0.753</v>
      </c>
      <c r="Q129">
        <f>VLOOKUP($B129&amp;Q$1,Data!$A$2:$D$3723,4,FALSE)</f>
        <v>467</v>
      </c>
      <c r="R129">
        <f>VLOOKUP($B129&amp;R$1,Data!$A$2:$D$3723,4,FALSE)</f>
        <v>9.5999999999999992E-3</v>
      </c>
      <c r="S129">
        <f>VLOOKUP($B129&amp;S$1,Data!$A$2:$D$3723,4,FALSE)</f>
        <v>-8.6E-3</v>
      </c>
      <c r="T129">
        <f>VLOOKUP($B129&amp;T$1,Data!$A$2:$D$3723,4,FALSE)</f>
        <v>-6.0199999999999997E-2</v>
      </c>
      <c r="U129">
        <f>VLOOKUP($B129&amp;U$1,Data!$A$2:$D$3723,4,FALSE)</f>
        <v>5.8999999999999997E-2</v>
      </c>
      <c r="V129">
        <f>VLOOKUP($B129&amp;V$1,Data!$A$2:$D$3723,4,FALSE)</f>
        <v>-0.29399999999999998</v>
      </c>
      <c r="W129">
        <f>VLOOKUP($B129&amp;W$1,Data!$A$2:$D$3723,4,FALSE)</f>
        <v>-3.934E-2</v>
      </c>
      <c r="X129">
        <f>VLOOKUP($B129&amp;X$1,Data!$A$2:$D$3723,4,FALSE)</f>
        <v>0.67</v>
      </c>
      <c r="Y129">
        <f>VLOOKUP($B129&amp;Y$1,Data!$A$2:$D$3723,4,FALSE)</f>
        <v>0.33</v>
      </c>
      <c r="Z129">
        <f>VLOOKUP($B129&amp;Z$1,Data!$A$2:$D$3723,4,FALSE)</f>
        <v>1.1200000000000001</v>
      </c>
      <c r="AA129">
        <f>VLOOKUP($B129&amp;AA$1,Data!$A$2:$D$3723,4,FALSE)</f>
        <v>-2.7E-2</v>
      </c>
      <c r="AB129">
        <f>VLOOKUP($B129&amp;AB$1,Data!$A$2:$D$3723,4,FALSE)</f>
        <v>-0.218</v>
      </c>
      <c r="AC129">
        <f>VLOOKUP($B129&amp;AC$1,Data!$A$2:$D$3723,4,FALSE)</f>
        <v>5.3999999999999999E-2</v>
      </c>
      <c r="AD129">
        <f>VLOOKUP($B129&amp;AD$1,Data!$A$2:$D$3723,4,FALSE)</f>
        <v>3.0000000000000001E-3</v>
      </c>
      <c r="AE129">
        <f>VLOOKUP($B129&amp;AE$1,Data!$A$2:$D$3723,4,FALSE)</f>
        <v>-1.0820000000000001</v>
      </c>
      <c r="AF129">
        <f>VLOOKUP($B129&amp;AF$1,Data!$A$2:$D$3723,4,FALSE)</f>
        <v>9.7000000000000003E-2</v>
      </c>
      <c r="AG129">
        <f>VLOOKUP($B129&amp;AG$1,Data!$A$2:$D$3723,4,FALSE)</f>
        <v>0.187</v>
      </c>
      <c r="AH129">
        <f>VLOOKUP($B129&amp;AH$1,Data!$A$2:$D$3723,4,FALSE)</f>
        <v>0</v>
      </c>
      <c r="AI129">
        <f>VLOOKUP($B129&amp;AI$1,Data!$A$2:$D$3723,4,FALSE)</f>
        <v>100000000</v>
      </c>
    </row>
    <row r="130" spans="2:35" hidden="1">
      <c r="B130" s="13">
        <v>129</v>
      </c>
      <c r="C130" s="13" t="s">
        <v>55</v>
      </c>
      <c r="D130" t="s">
        <v>19</v>
      </c>
      <c r="E130" t="s">
        <v>3</v>
      </c>
      <c r="F130">
        <v>5000</v>
      </c>
      <c r="G130" t="s">
        <v>17</v>
      </c>
      <c r="H130" s="5">
        <v>43831</v>
      </c>
      <c r="I130" s="5">
        <v>44562</v>
      </c>
      <c r="J130">
        <v>14</v>
      </c>
      <c r="K130">
        <v>9</v>
      </c>
      <c r="L130">
        <v>28</v>
      </c>
      <c r="M130">
        <v>72</v>
      </c>
      <c r="N130">
        <v>1000000</v>
      </c>
      <c r="O130">
        <f>VLOOKUP($B130&amp;O$1,Data!$A$2:$D$3723,4,FALSE)</f>
        <v>5.3260000000000002E-2</v>
      </c>
      <c r="P130">
        <f>VLOOKUP($B130&amp;P$1,Data!$A$2:$D$3723,4,FALSE)</f>
        <v>-0.61799999999999999</v>
      </c>
      <c r="Q130">
        <f>VLOOKUP($B130&amp;Q$1,Data!$A$2:$D$3723,4,FALSE)</f>
        <v>467</v>
      </c>
      <c r="R130">
        <f>VLOOKUP($B130&amp;R$1,Data!$A$2:$D$3723,4,FALSE)</f>
        <v>5.2999999999999999E-2</v>
      </c>
      <c r="S130">
        <f>VLOOKUP($B130&amp;S$1,Data!$A$2:$D$3723,4,FALSE)</f>
        <v>-4.4299999999999999E-2</v>
      </c>
      <c r="T130">
        <f>VLOOKUP($B130&amp;T$1,Data!$A$2:$D$3723,4,FALSE)</f>
        <v>-0.28738000000000002</v>
      </c>
      <c r="U130">
        <f>VLOOKUP($B130&amp;U$1,Data!$A$2:$D$3723,4,FALSE)</f>
        <v>0.27700000000000002</v>
      </c>
      <c r="V130">
        <f>VLOOKUP($B130&amp;V$1,Data!$A$2:$D$3723,4,FALSE)</f>
        <v>-0.26800000000000002</v>
      </c>
      <c r="W130">
        <f>VLOOKUP($B130&amp;W$1,Data!$A$2:$D$3723,4,FALSE)</f>
        <v>-0.19670000000000001</v>
      </c>
      <c r="X130">
        <f>VLOOKUP($B130&amp;X$1,Data!$A$2:$D$3723,4,FALSE)</f>
        <v>0.67</v>
      </c>
      <c r="Y130">
        <f>VLOOKUP($B130&amp;Y$1,Data!$A$2:$D$3723,4,FALSE)</f>
        <v>0.33</v>
      </c>
      <c r="Z130">
        <f>VLOOKUP($B130&amp;Z$1,Data!$A$2:$D$3723,4,FALSE)</f>
        <v>1.2</v>
      </c>
      <c r="AA130">
        <f>VLOOKUP($B130&amp;AA$1,Data!$A$2:$D$3723,4,FALSE)</f>
        <v>-0.10299999999999999</v>
      </c>
      <c r="AB130">
        <f>VLOOKUP($B130&amp;AB$1,Data!$A$2:$D$3723,4,FALSE)</f>
        <v>-1.1559999999999999</v>
      </c>
      <c r="AC130">
        <f>VLOOKUP($B130&amp;AC$1,Data!$A$2:$D$3723,4,FALSE)</f>
        <v>0.28599999999999998</v>
      </c>
      <c r="AD130">
        <f>VLOOKUP($B130&amp;AD$1,Data!$A$2:$D$3723,4,FALSE)</f>
        <v>8.2000000000000003E-2</v>
      </c>
      <c r="AE130">
        <f>VLOOKUP($B130&amp;AE$1,Data!$A$2:$D$3723,4,FALSE)</f>
        <v>-0.77400000000000002</v>
      </c>
      <c r="AF130">
        <f>VLOOKUP($B130&amp;AF$1,Data!$A$2:$D$3723,4,FALSE)</f>
        <v>0.31</v>
      </c>
      <c r="AG130">
        <f>VLOOKUP($B130&amp;AG$1,Data!$A$2:$D$3723,4,FALSE)</f>
        <v>0.153</v>
      </c>
      <c r="AH130">
        <f>VLOOKUP($B130&amp;AH$1,Data!$A$2:$D$3723,4,FALSE)</f>
        <v>0</v>
      </c>
      <c r="AI130">
        <f>VLOOKUP($B130&amp;AI$1,Data!$A$2:$D$3723,4,FALSE)</f>
        <v>18000000</v>
      </c>
    </row>
    <row r="131" spans="2:35" hidden="1">
      <c r="B131" s="13">
        <v>130</v>
      </c>
      <c r="C131" s="13" t="s">
        <v>55</v>
      </c>
      <c r="D131" t="s">
        <v>19</v>
      </c>
      <c r="E131" t="s">
        <v>2</v>
      </c>
      <c r="F131">
        <v>100</v>
      </c>
      <c r="G131" t="s">
        <v>17</v>
      </c>
      <c r="H131" s="5">
        <v>43831</v>
      </c>
      <c r="I131" s="5">
        <v>44562</v>
      </c>
      <c r="J131">
        <v>14</v>
      </c>
      <c r="K131">
        <v>9</v>
      </c>
      <c r="L131">
        <v>28</v>
      </c>
      <c r="M131">
        <v>72</v>
      </c>
      <c r="N131">
        <v>1000000</v>
      </c>
      <c r="O131">
        <f>VLOOKUP($B131&amp;O$1,Data!$A$2:$D$3723,4,FALSE)</f>
        <v>5.8E-4</v>
      </c>
      <c r="P131">
        <f>VLOOKUP($B131&amp;P$1,Data!$A$2:$D$3723,4,FALSE)</f>
        <v>-1.5660000000000001</v>
      </c>
      <c r="Q131">
        <f>VLOOKUP($B131&amp;Q$1,Data!$A$2:$D$3723,4,FALSE)</f>
        <v>278</v>
      </c>
      <c r="R131">
        <f>VLOOKUP($B131&amp;R$1,Data!$A$2:$D$3723,4,FALSE)</f>
        <v>1.8E-3</v>
      </c>
      <c r="S131">
        <f>VLOOKUP($B131&amp;S$1,Data!$A$2:$D$3723,4,FALSE)</f>
        <v>-2.0999999999999999E-3</v>
      </c>
      <c r="T131">
        <f>VLOOKUP($B131&amp;T$1,Data!$A$2:$D$3723,4,FALSE)</f>
        <v>-1.712E-2</v>
      </c>
      <c r="U131">
        <f>VLOOKUP($B131&amp;U$1,Data!$A$2:$D$3723,4,FALSE)</f>
        <v>1.2E-2</v>
      </c>
      <c r="V131">
        <f>VLOOKUP($B131&amp;V$1,Data!$A$2:$D$3723,4,FALSE)</f>
        <v>-0.58599999999999997</v>
      </c>
      <c r="W131">
        <f>VLOOKUP($B131&amp;W$1,Data!$A$2:$D$3723,4,FALSE)</f>
        <v>-1.11E-2</v>
      </c>
      <c r="X131">
        <f>VLOOKUP($B131&amp;X$1,Data!$A$2:$D$3723,4,FALSE)</f>
        <v>0.78</v>
      </c>
      <c r="Y131">
        <f>VLOOKUP($B131&amp;Y$1,Data!$A$2:$D$3723,4,FALSE)</f>
        <v>0.22</v>
      </c>
      <c r="Z131">
        <f>VLOOKUP($B131&amp;Z$1,Data!$A$2:$D$3723,4,FALSE)</f>
        <v>0.86</v>
      </c>
      <c r="AA131">
        <f>VLOOKUP($B131&amp;AA$1,Data!$A$2:$D$3723,4,FALSE)</f>
        <v>-0.01</v>
      </c>
      <c r="AB131">
        <f>VLOOKUP($B131&amp;AB$1,Data!$A$2:$D$3723,4,FALSE)</f>
        <v>-3.4000000000000002E-2</v>
      </c>
      <c r="AC131">
        <f>VLOOKUP($B131&amp;AC$1,Data!$A$2:$D$3723,4,FALSE)</f>
        <v>8.0000000000000002E-3</v>
      </c>
      <c r="AD131">
        <f>VLOOKUP($B131&amp;AD$1,Data!$A$2:$D$3723,4,FALSE)</f>
        <v>0</v>
      </c>
      <c r="AE131">
        <f>VLOOKUP($B131&amp;AE$1,Data!$A$2:$D$3723,4,FALSE)</f>
        <v>-1.089</v>
      </c>
      <c r="AF131">
        <f>VLOOKUP($B131&amp;AF$1,Data!$A$2:$D$3723,4,FALSE)</f>
        <v>6.9000000000000006E-2</v>
      </c>
      <c r="AG131">
        <f>VLOOKUP($B131&amp;AG$1,Data!$A$2:$D$3723,4,FALSE)</f>
        <v>0.35</v>
      </c>
      <c r="AH131">
        <f>VLOOKUP($B131&amp;AH$1,Data!$A$2:$D$3723,4,FALSE)</f>
        <v>0</v>
      </c>
      <c r="AI131">
        <f>VLOOKUP($B131&amp;AI$1,Data!$A$2:$D$3723,4,FALSE)</f>
        <v>2700000000</v>
      </c>
    </row>
    <row r="132" spans="2:35" hidden="1">
      <c r="B132" s="13">
        <v>131</v>
      </c>
      <c r="C132" s="13" t="s">
        <v>55</v>
      </c>
      <c r="D132" t="s">
        <v>19</v>
      </c>
      <c r="E132" t="s">
        <v>2</v>
      </c>
      <c r="F132">
        <v>1000</v>
      </c>
      <c r="G132" t="s">
        <v>17</v>
      </c>
      <c r="H132" s="5">
        <v>43831</v>
      </c>
      <c r="I132" s="5">
        <v>44562</v>
      </c>
      <c r="J132">
        <v>14</v>
      </c>
      <c r="K132">
        <v>9</v>
      </c>
      <c r="L132">
        <v>28</v>
      </c>
      <c r="M132">
        <v>72</v>
      </c>
      <c r="N132">
        <v>1000000</v>
      </c>
      <c r="O132">
        <f>VLOOKUP($B132&amp;O$1,Data!$A$2:$D$3723,4,FALSE)</f>
        <v>5.9000000000000003E-4</v>
      </c>
      <c r="P132">
        <f>VLOOKUP($B132&amp;P$1,Data!$A$2:$D$3723,4,FALSE)</f>
        <v>-1.47</v>
      </c>
      <c r="Q132">
        <f>VLOOKUP($B132&amp;Q$1,Data!$A$2:$D$3723,4,FALSE)</f>
        <v>278</v>
      </c>
      <c r="R132">
        <f>VLOOKUP($B132&amp;R$1,Data!$A$2:$D$3723,4,FALSE)</f>
        <v>1.8499999999999999E-2</v>
      </c>
      <c r="S132">
        <f>VLOOKUP($B132&amp;S$1,Data!$A$2:$D$3723,4,FALSE)</f>
        <v>-2.1299999999999999E-2</v>
      </c>
      <c r="T132">
        <f>VLOOKUP($B132&amp;T$1,Data!$A$2:$D$3723,4,FALSE)</f>
        <v>-0.16638</v>
      </c>
      <c r="U132">
        <f>VLOOKUP($B132&amp;U$1,Data!$A$2:$D$3723,4,FALSE)</f>
        <v>0.11700000000000001</v>
      </c>
      <c r="V132">
        <f>VLOOKUP($B132&amp;V$1,Data!$A$2:$D$3723,4,FALSE)</f>
        <v>-0.58499999999999996</v>
      </c>
      <c r="W132">
        <f>VLOOKUP($B132&amp;W$1,Data!$A$2:$D$3723,4,FALSE)</f>
        <v>-0.11099000000000001</v>
      </c>
      <c r="X132">
        <f>VLOOKUP($B132&amp;X$1,Data!$A$2:$D$3723,4,FALSE)</f>
        <v>0.78</v>
      </c>
      <c r="Y132">
        <f>VLOOKUP($B132&amp;Y$1,Data!$A$2:$D$3723,4,FALSE)</f>
        <v>0.22</v>
      </c>
      <c r="Z132">
        <f>VLOOKUP($B132&amp;Z$1,Data!$A$2:$D$3723,4,FALSE)</f>
        <v>0.87</v>
      </c>
      <c r="AA132">
        <f>VLOOKUP($B132&amp;AA$1,Data!$A$2:$D$3723,4,FALSE)</f>
        <v>-9.2999999999999999E-2</v>
      </c>
      <c r="AB132">
        <f>VLOOKUP($B132&amp;AB$1,Data!$A$2:$D$3723,4,FALSE)</f>
        <v>-0.35299999999999998</v>
      </c>
      <c r="AC132">
        <f>VLOOKUP($B132&amp;AC$1,Data!$A$2:$D$3723,4,FALSE)</f>
        <v>7.9000000000000001E-2</v>
      </c>
      <c r="AD132">
        <f>VLOOKUP($B132&amp;AD$1,Data!$A$2:$D$3723,4,FALSE)</f>
        <v>6.0000000000000001E-3</v>
      </c>
      <c r="AE132">
        <f>VLOOKUP($B132&amp;AE$1,Data!$A$2:$D$3723,4,FALSE)</f>
        <v>-1.528</v>
      </c>
      <c r="AF132">
        <f>VLOOKUP($B132&amp;AF$1,Data!$A$2:$D$3723,4,FALSE)</f>
        <v>0.11700000000000001</v>
      </c>
      <c r="AG132">
        <f>VLOOKUP($B132&amp;AG$1,Data!$A$2:$D$3723,4,FALSE)</f>
        <v>0.32800000000000001</v>
      </c>
      <c r="AH132">
        <f>VLOOKUP($B132&amp;AH$1,Data!$A$2:$D$3723,4,FALSE)</f>
        <v>0</v>
      </c>
      <c r="AI132">
        <f>VLOOKUP($B132&amp;AI$1,Data!$A$2:$D$3723,4,FALSE)</f>
        <v>250000000</v>
      </c>
    </row>
    <row r="133" spans="2:35" hidden="1">
      <c r="B133" s="13">
        <v>132</v>
      </c>
      <c r="C133" s="13" t="s">
        <v>55</v>
      </c>
      <c r="D133" t="s">
        <v>19</v>
      </c>
      <c r="E133" t="s">
        <v>2</v>
      </c>
      <c r="F133">
        <v>5000</v>
      </c>
      <c r="G133" t="s">
        <v>17</v>
      </c>
      <c r="H133" s="5">
        <v>43831</v>
      </c>
      <c r="I133" s="5">
        <v>44562</v>
      </c>
      <c r="J133">
        <v>14</v>
      </c>
      <c r="K133">
        <v>9</v>
      </c>
      <c r="L133">
        <v>28</v>
      </c>
      <c r="M133">
        <v>72</v>
      </c>
      <c r="N133">
        <v>1000000</v>
      </c>
      <c r="O133">
        <f>VLOOKUP($B133&amp;O$1,Data!$A$2:$D$3723,4,FALSE)</f>
        <v>9.3999999999999997E-4</v>
      </c>
      <c r="P133">
        <f>VLOOKUP($B133&amp;P$1,Data!$A$2:$D$3723,4,FALSE)</f>
        <v>-1.08</v>
      </c>
      <c r="Q133">
        <f>VLOOKUP($B133&amp;Q$1,Data!$A$2:$D$3723,4,FALSE)</f>
        <v>277</v>
      </c>
      <c r="R133">
        <f>VLOOKUP($B133&amp;R$1,Data!$A$2:$D$3723,4,FALSE)</f>
        <v>0.1123</v>
      </c>
      <c r="S133">
        <f>VLOOKUP($B133&amp;S$1,Data!$A$2:$D$3723,4,FALSE)</f>
        <v>-0.11940000000000001</v>
      </c>
      <c r="T133">
        <f>VLOOKUP($B133&amp;T$1,Data!$A$2:$D$3723,4,FALSE)</f>
        <v>-0.68932000000000004</v>
      </c>
      <c r="U133">
        <f>VLOOKUP($B133&amp;U$1,Data!$A$2:$D$3723,4,FALSE)</f>
        <v>0.54800000000000004</v>
      </c>
      <c r="V133">
        <f>VLOOKUP($B133&amp;V$1,Data!$A$2:$D$3723,4,FALSE)</f>
        <v>-0.56899999999999995</v>
      </c>
      <c r="W133">
        <f>VLOOKUP($B133&amp;W$1,Data!$A$2:$D$3723,4,FALSE)</f>
        <v>-0.53032999999999997</v>
      </c>
      <c r="X133">
        <f>VLOOKUP($B133&amp;X$1,Data!$A$2:$D$3723,4,FALSE)</f>
        <v>0.78</v>
      </c>
      <c r="Y133">
        <f>VLOOKUP($B133&amp;Y$1,Data!$A$2:$D$3723,4,FALSE)</f>
        <v>0.22</v>
      </c>
      <c r="Z133">
        <f>VLOOKUP($B133&amp;Z$1,Data!$A$2:$D$3723,4,FALSE)</f>
        <v>0.94</v>
      </c>
      <c r="AA133">
        <f>VLOOKUP($B133&amp;AA$1,Data!$A$2:$D$3723,4,FALSE)</f>
        <v>-0.36299999999999999</v>
      </c>
      <c r="AB133">
        <f>VLOOKUP($B133&amp;AB$1,Data!$A$2:$D$3723,4,FALSE)</f>
        <v>-2.1120000000000001</v>
      </c>
      <c r="AC133">
        <f>VLOOKUP($B133&amp;AC$1,Data!$A$2:$D$3723,4,FALSE)</f>
        <v>0.46100000000000002</v>
      </c>
      <c r="AD133">
        <f>VLOOKUP($B133&amp;AD$1,Data!$A$2:$D$3723,4,FALSE)</f>
        <v>0.21199999999999999</v>
      </c>
      <c r="AE133">
        <f>VLOOKUP($B133&amp;AE$1,Data!$A$2:$D$3723,4,FALSE)</f>
        <v>-1.157</v>
      </c>
      <c r="AF133">
        <f>VLOOKUP($B133&amp;AF$1,Data!$A$2:$D$3723,4,FALSE)</f>
        <v>0.48499999999999999</v>
      </c>
      <c r="AG133">
        <f>VLOOKUP($B133&amp;AG$1,Data!$A$2:$D$3723,4,FALSE)</f>
        <v>0.23599999999999999</v>
      </c>
      <c r="AH133">
        <f>VLOOKUP($B133&amp;AH$1,Data!$A$2:$D$3723,4,FALSE)</f>
        <v>0</v>
      </c>
      <c r="AI133">
        <f>VLOOKUP($B133&amp;AI$1,Data!$A$2:$D$3723,4,FALSE)</f>
        <v>28000000</v>
      </c>
    </row>
    <row r="134" spans="2:35" hidden="1">
      <c r="B134" s="13">
        <v>133</v>
      </c>
      <c r="C134" s="13" t="s">
        <v>55</v>
      </c>
      <c r="D134" t="s">
        <v>19</v>
      </c>
      <c r="E134" t="s">
        <v>22</v>
      </c>
      <c r="F134">
        <v>100</v>
      </c>
      <c r="G134" t="s">
        <v>17</v>
      </c>
      <c r="H134" s="5">
        <v>43831</v>
      </c>
      <c r="I134" s="5">
        <v>44562</v>
      </c>
      <c r="J134">
        <v>14</v>
      </c>
      <c r="K134">
        <v>9</v>
      </c>
      <c r="L134">
        <v>28</v>
      </c>
      <c r="M134">
        <v>72</v>
      </c>
      <c r="N134">
        <v>1000000</v>
      </c>
      <c r="O134">
        <f>VLOOKUP($B134&amp;O$1,Data!$A$2:$D$3723,4,FALSE)</f>
        <v>0.44779999999999998</v>
      </c>
      <c r="P134">
        <f>VLOOKUP($B134&amp;P$1,Data!$A$2:$D$3723,4,FALSE)</f>
        <v>0.89100000000000001</v>
      </c>
      <c r="Q134">
        <f>VLOOKUP($B134&amp;Q$1,Data!$A$2:$D$3723,4,FALSE)</f>
        <v>194</v>
      </c>
      <c r="R134">
        <f>VLOOKUP($B134&amp;R$1,Data!$A$2:$D$3723,4,FALSE)</f>
        <v>3.7000000000000002E-3</v>
      </c>
      <c r="S134">
        <f>VLOOKUP($B134&amp;S$1,Data!$A$2:$D$3723,4,FALSE)</f>
        <v>-1.6000000000000001E-3</v>
      </c>
      <c r="T134">
        <f>VLOOKUP($B134&amp;T$1,Data!$A$2:$D$3723,4,FALSE)</f>
        <v>9.9699999999999997E-3</v>
      </c>
      <c r="U134">
        <f>VLOOKUP($B134&amp;U$1,Data!$A$2:$D$3723,4,FALSE)</f>
        <v>6.0000000000000001E-3</v>
      </c>
      <c r="V134">
        <f>VLOOKUP($B134&amp;V$1,Data!$A$2:$D$3723,4,FALSE)</f>
        <v>0.66700000000000004</v>
      </c>
      <c r="W134">
        <f>VLOOKUP($B134&amp;W$1,Data!$A$2:$D$3723,4,FALSE)</f>
        <v>6.43E-3</v>
      </c>
      <c r="X134">
        <f>VLOOKUP($B134&amp;X$1,Data!$A$2:$D$3723,4,FALSE)</f>
        <v>0.5</v>
      </c>
      <c r="Y134">
        <f>VLOOKUP($B134&amp;Y$1,Data!$A$2:$D$3723,4,FALSE)</f>
        <v>0.5</v>
      </c>
      <c r="Z134">
        <f>VLOOKUP($B134&amp;Z$1,Data!$A$2:$D$3723,4,FALSE)</f>
        <v>2.33</v>
      </c>
      <c r="AA134">
        <f>VLOOKUP($B134&amp;AA$1,Data!$A$2:$D$3723,4,FALSE)</f>
        <v>8.9999999999999993E-3</v>
      </c>
      <c r="AB134">
        <f>VLOOKUP($B134&amp;AB$1,Data!$A$2:$D$3723,4,FALSE)</f>
        <v>-2.8000000000000001E-2</v>
      </c>
      <c r="AC134">
        <f>VLOOKUP($B134&amp;AC$1,Data!$A$2:$D$3723,4,FALSE)</f>
        <v>8.0000000000000002E-3</v>
      </c>
      <c r="AD134">
        <f>VLOOKUP($B134&amp;AD$1,Data!$A$2:$D$3723,4,FALSE)</f>
        <v>0</v>
      </c>
      <c r="AE134">
        <f>VLOOKUP($B134&amp;AE$1,Data!$A$2:$D$3723,4,FALSE)</f>
        <v>-0.82299999999999995</v>
      </c>
      <c r="AF134">
        <f>VLOOKUP($B134&amp;AF$1,Data!$A$2:$D$3723,4,FALSE)</f>
        <v>6.9000000000000006E-2</v>
      </c>
      <c r="AG134">
        <f>VLOOKUP($B134&amp;AG$1,Data!$A$2:$D$3723,4,FALSE)</f>
        <v>-0.25</v>
      </c>
      <c r="AH134">
        <f>VLOOKUP($B134&amp;AH$1,Data!$A$2:$D$3723,4,FALSE)</f>
        <v>0</v>
      </c>
      <c r="AI134">
        <f>VLOOKUP($B134&amp;AI$1,Data!$A$2:$D$3723,4,FALSE)</f>
        <v>1100000000</v>
      </c>
    </row>
    <row r="135" spans="2:35" hidden="1">
      <c r="B135" s="13">
        <v>134</v>
      </c>
      <c r="C135" s="13" t="s">
        <v>55</v>
      </c>
      <c r="D135" t="s">
        <v>19</v>
      </c>
      <c r="E135" t="s">
        <v>22</v>
      </c>
      <c r="F135">
        <v>1000</v>
      </c>
      <c r="G135" t="s">
        <v>17</v>
      </c>
      <c r="H135" s="5">
        <v>43831</v>
      </c>
      <c r="I135" s="5">
        <v>44562</v>
      </c>
      <c r="J135">
        <v>14</v>
      </c>
      <c r="K135">
        <v>9</v>
      </c>
      <c r="L135">
        <v>28</v>
      </c>
      <c r="M135">
        <v>72</v>
      </c>
      <c r="N135">
        <v>1000000</v>
      </c>
      <c r="O135">
        <f>VLOOKUP($B135&amp;O$1,Data!$A$2:$D$3723,4,FALSE)</f>
        <v>0.46274999999999999</v>
      </c>
      <c r="P135">
        <f>VLOOKUP($B135&amp;P$1,Data!$A$2:$D$3723,4,FALSE)</f>
        <v>0.95399999999999996</v>
      </c>
      <c r="Q135">
        <f>VLOOKUP($B135&amp;Q$1,Data!$A$2:$D$3723,4,FALSE)</f>
        <v>194</v>
      </c>
      <c r="R135">
        <f>VLOOKUP($B135&amp;R$1,Data!$A$2:$D$3723,4,FALSE)</f>
        <v>3.5999999999999997E-2</v>
      </c>
      <c r="S135">
        <f>VLOOKUP($B135&amp;S$1,Data!$A$2:$D$3723,4,FALSE)</f>
        <v>-1.47E-2</v>
      </c>
      <c r="T135">
        <f>VLOOKUP($B135&amp;T$1,Data!$A$2:$D$3723,4,FALSE)</f>
        <v>0.10122</v>
      </c>
      <c r="U135">
        <f>VLOOKUP($B135&amp;U$1,Data!$A$2:$D$3723,4,FALSE)</f>
        <v>5.0999999999999997E-2</v>
      </c>
      <c r="V135">
        <f>VLOOKUP($B135&amp;V$1,Data!$A$2:$D$3723,4,FALSE)</f>
        <v>0.72599999999999998</v>
      </c>
      <c r="W135">
        <f>VLOOKUP($B135&amp;W$1,Data!$A$2:$D$3723,4,FALSE)</f>
        <v>6.4320000000000002E-2</v>
      </c>
      <c r="X135">
        <f>VLOOKUP($B135&amp;X$1,Data!$A$2:$D$3723,4,FALSE)</f>
        <v>0.5</v>
      </c>
      <c r="Y135">
        <f>VLOOKUP($B135&amp;Y$1,Data!$A$2:$D$3723,4,FALSE)</f>
        <v>0.5</v>
      </c>
      <c r="Z135">
        <f>VLOOKUP($B135&amp;Z$1,Data!$A$2:$D$3723,4,FALSE)</f>
        <v>2.4500000000000002</v>
      </c>
      <c r="AA135">
        <f>VLOOKUP($B135&amp;AA$1,Data!$A$2:$D$3723,4,FALSE)</f>
        <v>8.8999999999999996E-2</v>
      </c>
      <c r="AB135">
        <f>VLOOKUP($B135&amp;AB$1,Data!$A$2:$D$3723,4,FALSE)</f>
        <v>-0.27</v>
      </c>
      <c r="AC135">
        <f>VLOOKUP($B135&amp;AC$1,Data!$A$2:$D$3723,4,FALSE)</f>
        <v>7.5999999999999998E-2</v>
      </c>
      <c r="AD135">
        <f>VLOOKUP($B135&amp;AD$1,Data!$A$2:$D$3723,4,FALSE)</f>
        <v>6.0000000000000001E-3</v>
      </c>
      <c r="AE135">
        <f>VLOOKUP($B135&amp;AE$1,Data!$A$2:$D$3723,4,FALSE)</f>
        <v>7.4999999999999997E-2</v>
      </c>
      <c r="AF135">
        <f>VLOOKUP($B135&amp;AF$1,Data!$A$2:$D$3723,4,FALSE)</f>
        <v>0.112</v>
      </c>
      <c r="AG135">
        <f>VLOOKUP($B135&amp;AG$1,Data!$A$2:$D$3723,4,FALSE)</f>
        <v>-0.26700000000000002</v>
      </c>
      <c r="AH135">
        <f>VLOOKUP($B135&amp;AH$1,Data!$A$2:$D$3723,4,FALSE)</f>
        <v>0</v>
      </c>
      <c r="AI135">
        <f>VLOOKUP($B135&amp;AI$1,Data!$A$2:$D$3723,4,FALSE)</f>
        <v>120000000</v>
      </c>
    </row>
    <row r="136" spans="2:35" hidden="1">
      <c r="B136" s="13">
        <v>135</v>
      </c>
      <c r="C136" s="13" t="s">
        <v>55</v>
      </c>
      <c r="D136" t="s">
        <v>19</v>
      </c>
      <c r="E136" t="s">
        <v>22</v>
      </c>
      <c r="F136">
        <v>5000</v>
      </c>
      <c r="G136" t="s">
        <v>17</v>
      </c>
      <c r="H136" s="5">
        <v>43831</v>
      </c>
      <c r="I136" s="5">
        <v>44562</v>
      </c>
      <c r="J136">
        <v>14</v>
      </c>
      <c r="K136">
        <v>9</v>
      </c>
      <c r="L136">
        <v>28</v>
      </c>
      <c r="M136">
        <v>72</v>
      </c>
      <c r="N136">
        <v>1000000</v>
      </c>
      <c r="O136">
        <f>VLOOKUP($B136&amp;O$1,Data!$A$2:$D$3723,4,FALSE)</f>
        <v>0.51597999999999999</v>
      </c>
      <c r="P136">
        <f>VLOOKUP($B136&amp;P$1,Data!$A$2:$D$3723,4,FALSE)</f>
        <v>1.236</v>
      </c>
      <c r="Q136">
        <f>VLOOKUP($B136&amp;Q$1,Data!$A$2:$D$3723,4,FALSE)</f>
        <v>194</v>
      </c>
      <c r="R136">
        <f>VLOOKUP($B136&amp;R$1,Data!$A$2:$D$3723,4,FALSE)</f>
        <v>0.16889999999999999</v>
      </c>
      <c r="S136">
        <f>VLOOKUP($B136&amp;S$1,Data!$A$2:$D$3723,4,FALSE)</f>
        <v>-5.79E-2</v>
      </c>
      <c r="T136">
        <f>VLOOKUP($B136&amp;T$1,Data!$A$2:$D$3723,4,FALSE)</f>
        <v>0.53927000000000003</v>
      </c>
      <c r="U136">
        <f>VLOOKUP($B136&amp;U$1,Data!$A$2:$D$3723,4,FALSE)</f>
        <v>0.182</v>
      </c>
      <c r="V136">
        <f>VLOOKUP($B136&amp;V$1,Data!$A$2:$D$3723,4,FALSE)</f>
        <v>0.96</v>
      </c>
      <c r="W136">
        <f>VLOOKUP($B136&amp;W$1,Data!$A$2:$D$3723,4,FALSE)</f>
        <v>0.32157999999999998</v>
      </c>
      <c r="X136">
        <f>VLOOKUP($B136&amp;X$1,Data!$A$2:$D$3723,4,FALSE)</f>
        <v>0.5</v>
      </c>
      <c r="Y136">
        <f>VLOOKUP($B136&amp;Y$1,Data!$A$2:$D$3723,4,FALSE)</f>
        <v>0.5</v>
      </c>
      <c r="Z136">
        <f>VLOOKUP($B136&amp;Z$1,Data!$A$2:$D$3723,4,FALSE)</f>
        <v>2.92</v>
      </c>
      <c r="AA136">
        <f>VLOOKUP($B136&amp;AA$1,Data!$A$2:$D$3723,4,FALSE)</f>
        <v>0.499</v>
      </c>
      <c r="AB136">
        <f>VLOOKUP($B136&amp;AB$1,Data!$A$2:$D$3723,4,FALSE)</f>
        <v>-1.222</v>
      </c>
      <c r="AC136">
        <f>VLOOKUP($B136&amp;AC$1,Data!$A$2:$D$3723,4,FALSE)</f>
        <v>0.34100000000000003</v>
      </c>
      <c r="AD136">
        <f>VLOOKUP($B136&amp;AD$1,Data!$A$2:$D$3723,4,FALSE)</f>
        <v>0.11600000000000001</v>
      </c>
      <c r="AE136">
        <f>VLOOKUP($B136&amp;AE$1,Data!$A$2:$D$3723,4,FALSE)</f>
        <v>0.98599999999999999</v>
      </c>
      <c r="AF136">
        <f>VLOOKUP($B136&amp;AF$1,Data!$A$2:$D$3723,4,FALSE)</f>
        <v>0.36299999999999999</v>
      </c>
      <c r="AG136">
        <f>VLOOKUP($B136&amp;AG$1,Data!$A$2:$D$3723,4,FALSE)</f>
        <v>-0.34399999999999997</v>
      </c>
      <c r="AH136">
        <f>VLOOKUP($B136&amp;AH$1,Data!$A$2:$D$3723,4,FALSE)</f>
        <v>0</v>
      </c>
      <c r="AI136">
        <f>VLOOKUP($B136&amp;AI$1,Data!$A$2:$D$3723,4,FALSE)</f>
        <v>30000000</v>
      </c>
    </row>
    <row r="137" spans="2:35" hidden="1">
      <c r="B137" s="13">
        <v>136</v>
      </c>
      <c r="C137" s="13" t="s">
        <v>55</v>
      </c>
      <c r="D137" t="s">
        <v>20</v>
      </c>
      <c r="E137" t="s">
        <v>3</v>
      </c>
      <c r="F137">
        <v>100</v>
      </c>
      <c r="G137" t="s">
        <v>17</v>
      </c>
      <c r="H137" s="5">
        <v>43831</v>
      </c>
      <c r="I137" s="5">
        <v>44562</v>
      </c>
      <c r="J137">
        <v>14</v>
      </c>
      <c r="K137">
        <v>9</v>
      </c>
      <c r="L137">
        <v>30</v>
      </c>
      <c r="M137">
        <v>70</v>
      </c>
      <c r="N137">
        <v>1000000</v>
      </c>
      <c r="O137">
        <f>VLOOKUP($B137&amp;O$1,Data!$A$2:$D$3723,4,FALSE)</f>
        <v>1.9040000000000001E-2</v>
      </c>
      <c r="P137">
        <f>VLOOKUP($B137&amp;P$1,Data!$A$2:$D$3723,4,FALSE)</f>
        <v>-1.2030000000000001</v>
      </c>
      <c r="Q137">
        <f>VLOOKUP($B137&amp;Q$1,Data!$A$2:$D$3723,4,FALSE)</f>
        <v>366</v>
      </c>
      <c r="R137">
        <f>VLOOKUP($B137&amp;R$1,Data!$A$2:$D$3723,4,FALSE)</f>
        <v>1.6000000000000001E-3</v>
      </c>
      <c r="S137">
        <f>VLOOKUP($B137&amp;S$1,Data!$A$2:$D$3723,4,FALSE)</f>
        <v>-3.8999999999999998E-3</v>
      </c>
      <c r="T137">
        <f>VLOOKUP($B137&amp;T$1,Data!$A$2:$D$3723,4,FALSE)</f>
        <v>-3.099E-2</v>
      </c>
      <c r="U137">
        <f>VLOOKUP($B137&amp;U$1,Data!$A$2:$D$3723,4,FALSE)</f>
        <v>2.5000000000000001E-2</v>
      </c>
      <c r="V137">
        <f>VLOOKUP($B137&amp;V$1,Data!$A$2:$D$3723,4,FALSE)</f>
        <v>-0.41699999999999998</v>
      </c>
      <c r="W137">
        <f>VLOOKUP($B137&amp;W$1,Data!$A$2:$D$3723,4,FALSE)</f>
        <v>-2.0140000000000002E-2</v>
      </c>
      <c r="X137">
        <f>VLOOKUP($B137&amp;X$1,Data!$A$2:$D$3723,4,FALSE)</f>
        <v>0.57999999999999996</v>
      </c>
      <c r="Y137">
        <f>VLOOKUP($B137&amp;Y$1,Data!$A$2:$D$3723,4,FALSE)</f>
        <v>0.42</v>
      </c>
      <c r="Z137">
        <f>VLOOKUP($B137&amp;Z$1,Data!$A$2:$D$3723,4,FALSE)</f>
        <v>0.4</v>
      </c>
      <c r="AA137">
        <f>VLOOKUP($B137&amp;AA$1,Data!$A$2:$D$3723,4,FALSE)</f>
        <v>-1.2E-2</v>
      </c>
      <c r="AB137">
        <f>VLOOKUP($B137&amp;AB$1,Data!$A$2:$D$3723,4,FALSE)</f>
        <v>-0.14399999999999999</v>
      </c>
      <c r="AC137">
        <f>VLOOKUP($B137&amp;AC$1,Data!$A$2:$D$3723,4,FALSE)</f>
        <v>1.7999999999999999E-2</v>
      </c>
      <c r="AD137">
        <f>VLOOKUP($B137&amp;AD$1,Data!$A$2:$D$3723,4,FALSE)</f>
        <v>0</v>
      </c>
      <c r="AE137">
        <f>VLOOKUP($B137&amp;AE$1,Data!$A$2:$D$3723,4,FALSE)</f>
        <v>-1.0940000000000001</v>
      </c>
      <c r="AF137">
        <f>VLOOKUP($B137&amp;AF$1,Data!$A$2:$D$3723,4,FALSE)</f>
        <v>7.8E-2</v>
      </c>
      <c r="AG137">
        <f>VLOOKUP($B137&amp;AG$1,Data!$A$2:$D$3723,4,FALSE)</f>
        <v>0.14899999999999999</v>
      </c>
      <c r="AH137">
        <f>VLOOKUP($B137&amp;AH$1,Data!$A$2:$D$3723,4,FALSE)</f>
        <v>0</v>
      </c>
      <c r="AI137">
        <f>VLOOKUP($B137&amp;AI$1,Data!$A$2:$D$3723,4,FALSE)</f>
        <v>4200000000</v>
      </c>
    </row>
    <row r="138" spans="2:35" hidden="1">
      <c r="B138" s="13">
        <v>137</v>
      </c>
      <c r="C138" s="13" t="s">
        <v>55</v>
      </c>
      <c r="D138" t="s">
        <v>20</v>
      </c>
      <c r="E138" t="s">
        <v>3</v>
      </c>
      <c r="F138">
        <v>1000</v>
      </c>
      <c r="G138" t="s">
        <v>17</v>
      </c>
      <c r="H138" s="5">
        <v>43831</v>
      </c>
      <c r="I138" s="5">
        <v>44562</v>
      </c>
      <c r="J138">
        <v>14</v>
      </c>
      <c r="K138">
        <v>9</v>
      </c>
      <c r="L138">
        <v>30</v>
      </c>
      <c r="M138">
        <v>70</v>
      </c>
      <c r="N138">
        <v>1000000</v>
      </c>
      <c r="O138">
        <f>VLOOKUP($B138&amp;O$1,Data!$A$2:$D$3723,4,FALSE)</f>
        <v>3.5409999999999997E-2</v>
      </c>
      <c r="P138">
        <f>VLOOKUP($B138&amp;P$1,Data!$A$2:$D$3723,4,FALSE)</f>
        <v>-0.47499999999999998</v>
      </c>
      <c r="Q138">
        <f>VLOOKUP($B138&amp;Q$1,Data!$A$2:$D$3723,4,FALSE)</f>
        <v>349</v>
      </c>
      <c r="R138">
        <f>VLOOKUP($B138&amp;R$1,Data!$A$2:$D$3723,4,FALSE)</f>
        <v>0.11799999999999999</v>
      </c>
      <c r="S138">
        <f>VLOOKUP($B138&amp;S$1,Data!$A$2:$D$3723,4,FALSE)</f>
        <v>-0.109</v>
      </c>
      <c r="T138">
        <f>VLOOKUP($B138&amp;T$1,Data!$A$2:$D$3723,4,FALSE)</f>
        <v>-0.98458999999999997</v>
      </c>
      <c r="U138">
        <f>VLOOKUP($B138&amp;U$1,Data!$A$2:$D$3723,4,FALSE)</f>
        <v>0.95399999999999996</v>
      </c>
      <c r="V138">
        <f>VLOOKUP($B138&amp;V$1,Data!$A$2:$D$3723,4,FALSE)</f>
        <v>-0.69199999999999995</v>
      </c>
      <c r="W138">
        <f>VLOOKUP($B138&amp;W$1,Data!$A$2:$D$3723,4,FALSE)</f>
        <v>-0.93262999999999996</v>
      </c>
      <c r="X138">
        <f>VLOOKUP($B138&amp;X$1,Data!$A$2:$D$3723,4,FALSE)</f>
        <v>0.85</v>
      </c>
      <c r="Y138">
        <f>VLOOKUP($B138&amp;Y$1,Data!$A$2:$D$3723,4,FALSE)</f>
        <v>0.15</v>
      </c>
      <c r="Z138">
        <f>VLOOKUP($B138&amp;Z$1,Data!$A$2:$D$3723,4,FALSE)</f>
        <v>1.08</v>
      </c>
      <c r="AA138">
        <f>VLOOKUP($B138&amp;AA$1,Data!$A$2:$D$3723,4,FALSE)</f>
        <v>0.13100000000000001</v>
      </c>
      <c r="AB138">
        <f>VLOOKUP($B138&amp;AB$1,Data!$A$2:$D$3723,4,FALSE)</f>
        <v>-14.295</v>
      </c>
      <c r="AC138">
        <f>VLOOKUP($B138&amp;AC$1,Data!$A$2:$D$3723,4,FALSE)</f>
        <v>1.64</v>
      </c>
      <c r="AD138">
        <f>VLOOKUP($B138&amp;AD$1,Data!$A$2:$D$3723,4,FALSE)</f>
        <v>2.69</v>
      </c>
      <c r="AE138">
        <f>VLOOKUP($B138&amp;AE$1,Data!$A$2:$D$3723,4,FALSE)</f>
        <v>-0.502</v>
      </c>
      <c r="AF138">
        <f>VLOOKUP($B138&amp;AF$1,Data!$A$2:$D$3723,4,FALSE)</f>
        <v>1.68</v>
      </c>
      <c r="AG138">
        <f>VLOOKUP($B138&amp;AG$1,Data!$A$2:$D$3723,4,FALSE)</f>
        <v>5.5E-2</v>
      </c>
      <c r="AH138">
        <f>VLOOKUP($B138&amp;AH$1,Data!$A$2:$D$3723,4,FALSE)</f>
        <v>0</v>
      </c>
      <c r="AI138">
        <f>VLOOKUP($B138&amp;AI$1,Data!$A$2:$D$3723,4,FALSE)</f>
        <v>7500000</v>
      </c>
    </row>
    <row r="139" spans="2:35" hidden="1">
      <c r="B139" s="13">
        <v>138</v>
      </c>
      <c r="C139" s="13" t="s">
        <v>55</v>
      </c>
      <c r="D139" t="s">
        <v>20</v>
      </c>
      <c r="E139" t="s">
        <v>3</v>
      </c>
      <c r="F139">
        <v>5000</v>
      </c>
      <c r="G139" t="s">
        <v>17</v>
      </c>
      <c r="H139" s="5">
        <v>43831</v>
      </c>
      <c r="I139" s="5">
        <v>44562</v>
      </c>
      <c r="J139">
        <v>14</v>
      </c>
      <c r="K139">
        <v>9</v>
      </c>
      <c r="L139">
        <v>30</v>
      </c>
      <c r="M139">
        <v>70</v>
      </c>
      <c r="N139">
        <v>1000000</v>
      </c>
      <c r="O139">
        <f>VLOOKUP($B139&amp;O$1,Data!$A$2:$D$3723,4,FALSE)</f>
        <v>9.3880000000000005E-2</v>
      </c>
      <c r="P139">
        <f>VLOOKUP($B139&amp;P$1,Data!$A$2:$D$3723,4,FALSE)</f>
        <v>-0.36699999999999999</v>
      </c>
      <c r="Q139">
        <f>VLOOKUP($B139&amp;Q$1,Data!$A$2:$D$3723,4,FALSE)</f>
        <v>459</v>
      </c>
      <c r="R139">
        <f>VLOOKUP($B139&amp;R$1,Data!$A$2:$D$3723,4,FALSE)</f>
        <v>4.1099999999999998E-2</v>
      </c>
      <c r="S139">
        <f>VLOOKUP($B139&amp;S$1,Data!$A$2:$D$3723,4,FALSE)</f>
        <v>-7.9299999999999995E-2</v>
      </c>
      <c r="T139">
        <f>VLOOKUP($B139&amp;T$1,Data!$A$2:$D$3723,4,FALSE)</f>
        <v>-0.46013999999999999</v>
      </c>
      <c r="U139">
        <f>VLOOKUP($B139&amp;U$1,Data!$A$2:$D$3723,4,FALSE)</f>
        <v>0.59299999999999997</v>
      </c>
      <c r="V139">
        <f>VLOOKUP($B139&amp;V$1,Data!$A$2:$D$3723,4,FALSE)</f>
        <v>-0.29099999999999998</v>
      </c>
      <c r="W139">
        <f>VLOOKUP($B139&amp;W$1,Data!$A$2:$D$3723,4,FALSE)</f>
        <v>-0.32754</v>
      </c>
      <c r="X139">
        <f>VLOOKUP($B139&amp;X$1,Data!$A$2:$D$3723,4,FALSE)</f>
        <v>0.53</v>
      </c>
      <c r="Y139">
        <f>VLOOKUP($B139&amp;Y$1,Data!$A$2:$D$3723,4,FALSE)</f>
        <v>0.47</v>
      </c>
      <c r="Z139">
        <f>VLOOKUP($B139&amp;Z$1,Data!$A$2:$D$3723,4,FALSE)</f>
        <v>0.52</v>
      </c>
      <c r="AA139">
        <f>VLOOKUP($B139&amp;AA$1,Data!$A$2:$D$3723,4,FALSE)</f>
        <v>-0.36</v>
      </c>
      <c r="AB139">
        <f>VLOOKUP($B139&amp;AB$1,Data!$A$2:$D$3723,4,FALSE)</f>
        <v>2.1549999999999998</v>
      </c>
      <c r="AC139">
        <f>VLOOKUP($B139&amp;AC$1,Data!$A$2:$D$3723,4,FALSE)</f>
        <v>0.60599999999999998</v>
      </c>
      <c r="AD139">
        <f>VLOOKUP($B139&amp;AD$1,Data!$A$2:$D$3723,4,FALSE)</f>
        <v>0.36699999999999999</v>
      </c>
      <c r="AE139">
        <f>VLOOKUP($B139&amp;AE$1,Data!$A$2:$D$3723,4,FALSE)</f>
        <v>-0.48199999999999998</v>
      </c>
      <c r="AF139">
        <f>VLOOKUP($B139&amp;AF$1,Data!$A$2:$D$3723,4,FALSE)</f>
        <v>0.59299999999999997</v>
      </c>
      <c r="AG139">
        <f>VLOOKUP($B139&amp;AG$1,Data!$A$2:$D$3723,4,FALSE)</f>
        <v>-0.10299999999999999</v>
      </c>
      <c r="AH139">
        <f>VLOOKUP($B139&amp;AH$1,Data!$A$2:$D$3723,4,FALSE)</f>
        <v>0</v>
      </c>
      <c r="AI139">
        <f>VLOOKUP($B139&amp;AI$1,Data!$A$2:$D$3723,4,FALSE)</f>
        <v>19000000</v>
      </c>
    </row>
    <row r="140" spans="2:35" hidden="1">
      <c r="B140" s="13">
        <v>139</v>
      </c>
      <c r="C140" s="13" t="s">
        <v>55</v>
      </c>
      <c r="D140" t="s">
        <v>20</v>
      </c>
      <c r="E140" t="s">
        <v>2</v>
      </c>
      <c r="F140">
        <v>100</v>
      </c>
      <c r="G140" t="s">
        <v>17</v>
      </c>
      <c r="H140" s="5">
        <v>43831</v>
      </c>
      <c r="I140" s="5">
        <v>44562</v>
      </c>
      <c r="J140">
        <v>14</v>
      </c>
      <c r="K140">
        <v>9</v>
      </c>
      <c r="L140">
        <v>30</v>
      </c>
      <c r="M140">
        <v>70</v>
      </c>
      <c r="N140">
        <v>1000000</v>
      </c>
      <c r="O140">
        <f>VLOOKUP($B140&amp;O$1,Data!$A$2:$D$3723,4,FALSE)</f>
        <v>2.9389999999999999E-2</v>
      </c>
      <c r="P140">
        <f>VLOOKUP($B140&amp;P$1,Data!$A$2:$D$3723,4,FALSE)</f>
        <v>-1.014</v>
      </c>
      <c r="Q140">
        <f>VLOOKUP($B140&amp;Q$1,Data!$A$2:$D$3723,4,FALSE)</f>
        <v>222</v>
      </c>
      <c r="R140">
        <f>VLOOKUP($B140&amp;R$1,Data!$A$2:$D$3723,4,FALSE)</f>
        <v>2.5000000000000001E-3</v>
      </c>
      <c r="S140">
        <f>VLOOKUP($B140&amp;S$1,Data!$A$2:$D$3723,4,FALSE)</f>
        <v>-3.5000000000000001E-3</v>
      </c>
      <c r="T140">
        <f>VLOOKUP($B140&amp;T$1,Data!$A$2:$D$3723,4,FALSE)</f>
        <v>-1.9630000000000002E-2</v>
      </c>
      <c r="U140">
        <f>VLOOKUP($B140&amp;U$1,Data!$A$2:$D$3723,4,FALSE)</f>
        <v>1.7999999999999999E-2</v>
      </c>
      <c r="V140">
        <f>VLOOKUP($B140&amp;V$1,Data!$A$2:$D$3723,4,FALSE)</f>
        <v>-0.50700000000000001</v>
      </c>
      <c r="W140">
        <f>VLOOKUP($B140&amp;W$1,Data!$A$2:$D$3723,4,FALSE)</f>
        <v>-1.273E-2</v>
      </c>
      <c r="X140">
        <f>VLOOKUP($B140&amp;X$1,Data!$A$2:$D$3723,4,FALSE)</f>
        <v>0.71</v>
      </c>
      <c r="Y140">
        <f>VLOOKUP($B140&amp;Y$1,Data!$A$2:$D$3723,4,FALSE)</f>
        <v>0.28999999999999998</v>
      </c>
      <c r="Z140">
        <f>VLOOKUP($B140&amp;Z$1,Data!$A$2:$D$3723,4,FALSE)</f>
        <v>0.73</v>
      </c>
      <c r="AA140">
        <f>VLOOKUP($B140&amp;AA$1,Data!$A$2:$D$3723,4,FALSE)</f>
        <v>-7.0000000000000001E-3</v>
      </c>
      <c r="AB140">
        <f>VLOOKUP($B140&amp;AB$1,Data!$A$2:$D$3723,4,FALSE)</f>
        <v>-9.7000000000000003E-2</v>
      </c>
      <c r="AC140">
        <f>VLOOKUP($B140&amp;AC$1,Data!$A$2:$D$3723,4,FALSE)</f>
        <v>1.2999999999999999E-2</v>
      </c>
      <c r="AD140">
        <f>VLOOKUP($B140&amp;AD$1,Data!$A$2:$D$3723,4,FALSE)</f>
        <v>0</v>
      </c>
      <c r="AE140">
        <f>VLOOKUP($B140&amp;AE$1,Data!$A$2:$D$3723,4,FALSE)</f>
        <v>-1.042</v>
      </c>
      <c r="AF140">
        <f>VLOOKUP($B140&amp;AF$1,Data!$A$2:$D$3723,4,FALSE)</f>
        <v>7.3999999999999996E-2</v>
      </c>
      <c r="AG140">
        <f>VLOOKUP($B140&amp;AG$1,Data!$A$2:$D$3723,4,FALSE)</f>
        <v>0.14000000000000001</v>
      </c>
      <c r="AH140">
        <f>VLOOKUP($B140&amp;AH$1,Data!$A$2:$D$3723,4,FALSE)</f>
        <v>0</v>
      </c>
      <c r="AI140">
        <f>VLOOKUP($B140&amp;AI$1,Data!$A$2:$D$3723,4,FALSE)</f>
        <v>680000000</v>
      </c>
    </row>
    <row r="141" spans="2:35" hidden="1">
      <c r="B141" s="13">
        <v>140</v>
      </c>
      <c r="C141" s="13" t="s">
        <v>55</v>
      </c>
      <c r="D141" t="s">
        <v>20</v>
      </c>
      <c r="E141" t="s">
        <v>2</v>
      </c>
      <c r="F141">
        <v>1000</v>
      </c>
      <c r="G141" t="s">
        <v>17</v>
      </c>
      <c r="H141" s="5">
        <v>43831</v>
      </c>
      <c r="I141" s="5">
        <v>44562</v>
      </c>
      <c r="J141">
        <v>14</v>
      </c>
      <c r="K141">
        <v>9</v>
      </c>
      <c r="L141">
        <v>30</v>
      </c>
      <c r="M141">
        <v>70</v>
      </c>
      <c r="N141">
        <v>1000000</v>
      </c>
      <c r="O141">
        <f>VLOOKUP($B141&amp;O$1,Data!$A$2:$D$3723,4,FALSE)</f>
        <v>3.4819999999999997E-2</v>
      </c>
      <c r="P141">
        <f>VLOOKUP($B141&amp;P$1,Data!$A$2:$D$3723,4,FALSE)</f>
        <v>-0.873</v>
      </c>
      <c r="Q141">
        <f>VLOOKUP($B141&amp;Q$1,Data!$A$2:$D$3723,4,FALSE)</f>
        <v>222</v>
      </c>
      <c r="R141">
        <f>VLOOKUP($B141&amp;R$1,Data!$A$2:$D$3723,4,FALSE)</f>
        <v>2.69E-2</v>
      </c>
      <c r="S141">
        <f>VLOOKUP($B141&amp;S$1,Data!$A$2:$D$3723,4,FALSE)</f>
        <v>-3.49E-2</v>
      </c>
      <c r="T141">
        <f>VLOOKUP($B141&amp;T$1,Data!$A$2:$D$3723,4,FALSE)</f>
        <v>-0.18998999999999999</v>
      </c>
      <c r="U141">
        <f>VLOOKUP($B141&amp;U$1,Data!$A$2:$D$3723,4,FALSE)</f>
        <v>0.17599999999999999</v>
      </c>
      <c r="V141">
        <f>VLOOKUP($B141&amp;V$1,Data!$A$2:$D$3723,4,FALSE)</f>
        <v>-0.49399999999999999</v>
      </c>
      <c r="W141">
        <f>VLOOKUP($B141&amp;W$1,Data!$A$2:$D$3723,4,FALSE)</f>
        <v>-0.12734000000000001</v>
      </c>
      <c r="X141">
        <f>VLOOKUP($B141&amp;X$1,Data!$A$2:$D$3723,4,FALSE)</f>
        <v>0.71</v>
      </c>
      <c r="Y141">
        <f>VLOOKUP($B141&amp;Y$1,Data!$A$2:$D$3723,4,FALSE)</f>
        <v>0.28999999999999998</v>
      </c>
      <c r="Z141">
        <f>VLOOKUP($B141&amp;Z$1,Data!$A$2:$D$3723,4,FALSE)</f>
        <v>0.77</v>
      </c>
      <c r="AA141">
        <f>VLOOKUP($B141&amp;AA$1,Data!$A$2:$D$3723,4,FALSE)</f>
        <v>-0.06</v>
      </c>
      <c r="AB141">
        <f>VLOOKUP($B141&amp;AB$1,Data!$A$2:$D$3723,4,FALSE)</f>
        <v>-1.0509999999999999</v>
      </c>
      <c r="AC141">
        <f>VLOOKUP($B141&amp;AC$1,Data!$A$2:$D$3723,4,FALSE)</f>
        <v>0.14499999999999999</v>
      </c>
      <c r="AD141">
        <f>VLOOKUP($B141&amp;AD$1,Data!$A$2:$D$3723,4,FALSE)</f>
        <v>2.1000000000000001E-2</v>
      </c>
      <c r="AE141">
        <f>VLOOKUP($B141&amp;AE$1,Data!$A$2:$D$3723,4,FALSE)</f>
        <v>-1.02</v>
      </c>
      <c r="AF141">
        <f>VLOOKUP($B141&amp;AF$1,Data!$A$2:$D$3723,4,FALSE)</f>
        <v>0.187</v>
      </c>
      <c r="AG141">
        <f>VLOOKUP($B141&amp;AG$1,Data!$A$2:$D$3723,4,FALSE)</f>
        <v>0.121</v>
      </c>
      <c r="AH141">
        <f>VLOOKUP($B141&amp;AH$1,Data!$A$2:$D$3723,4,FALSE)</f>
        <v>0</v>
      </c>
      <c r="AI141">
        <f>VLOOKUP($B141&amp;AI$1,Data!$A$2:$D$3723,4,FALSE)</f>
        <v>62000000</v>
      </c>
    </row>
    <row r="142" spans="2:35" hidden="1">
      <c r="B142" s="13">
        <v>141</v>
      </c>
      <c r="C142" s="13" t="s">
        <v>55</v>
      </c>
      <c r="D142" t="s">
        <v>20</v>
      </c>
      <c r="E142" t="s">
        <v>2</v>
      </c>
      <c r="F142">
        <v>5000</v>
      </c>
      <c r="G142" t="s">
        <v>17</v>
      </c>
      <c r="H142" s="5">
        <v>43831</v>
      </c>
      <c r="I142" s="5">
        <v>44562</v>
      </c>
      <c r="J142">
        <v>14</v>
      </c>
      <c r="K142">
        <v>9</v>
      </c>
      <c r="L142">
        <v>30</v>
      </c>
      <c r="M142">
        <v>70</v>
      </c>
      <c r="N142">
        <v>1000000</v>
      </c>
      <c r="O142">
        <f>VLOOKUP($B142&amp;O$1,Data!$A$2:$D$3723,4,FALSE)</f>
        <v>7.8109999999999999E-2</v>
      </c>
      <c r="P142">
        <f>VLOOKUP($B142&amp;P$1,Data!$A$2:$D$3723,4,FALSE)</f>
        <v>-0.36299999999999999</v>
      </c>
      <c r="Q142">
        <f>VLOOKUP($B142&amp;Q$1,Data!$A$2:$D$3723,4,FALSE)</f>
        <v>215</v>
      </c>
      <c r="R142">
        <f>VLOOKUP($B142&amp;R$1,Data!$A$2:$D$3723,4,FALSE)</f>
        <v>0.13170000000000001</v>
      </c>
      <c r="S142">
        <f>VLOOKUP($B142&amp;S$1,Data!$A$2:$D$3723,4,FALSE)</f>
        <v>-0.1108</v>
      </c>
      <c r="T142">
        <f>VLOOKUP($B142&amp;T$1,Data!$A$2:$D$3723,4,FALSE)</f>
        <v>-0.87075999999999998</v>
      </c>
      <c r="U142">
        <f>VLOOKUP($B142&amp;U$1,Data!$A$2:$D$3723,4,FALSE)</f>
        <v>0.83699999999999997</v>
      </c>
      <c r="V142">
        <f>VLOOKUP($B142&amp;V$1,Data!$A$2:$D$3723,4,FALSE)</f>
        <v>-0.66300000000000003</v>
      </c>
      <c r="W142">
        <f>VLOOKUP($B142&amp;W$1,Data!$A$2:$D$3723,4,FALSE)</f>
        <v>-0.73358000000000001</v>
      </c>
      <c r="X142">
        <f>VLOOKUP($B142&amp;X$1,Data!$A$2:$D$3723,4,FALSE)</f>
        <v>0.85</v>
      </c>
      <c r="Y142">
        <f>VLOOKUP($B142&amp;Y$1,Data!$A$2:$D$3723,4,FALSE)</f>
        <v>0.15</v>
      </c>
      <c r="Z142">
        <f>VLOOKUP($B142&amp;Z$1,Data!$A$2:$D$3723,4,FALSE)</f>
        <v>1.19</v>
      </c>
      <c r="AA142">
        <f>VLOOKUP($B142&amp;AA$1,Data!$A$2:$D$3723,4,FALSE)</f>
        <v>0.15</v>
      </c>
      <c r="AB142">
        <f>VLOOKUP($B142&amp;AB$1,Data!$A$2:$D$3723,4,FALSE)</f>
        <v>-9.5239999999999991</v>
      </c>
      <c r="AC142">
        <f>VLOOKUP($B142&amp;AC$1,Data!$A$2:$D$3723,4,FALSE)</f>
        <v>1.258</v>
      </c>
      <c r="AD142">
        <f>VLOOKUP($B142&amp;AD$1,Data!$A$2:$D$3723,4,FALSE)</f>
        <v>1.5820000000000001</v>
      </c>
      <c r="AE142">
        <f>VLOOKUP($B142&amp;AE$1,Data!$A$2:$D$3723,4,FALSE)</f>
        <v>-0.40200000000000002</v>
      </c>
      <c r="AF142">
        <f>VLOOKUP($B142&amp;AF$1,Data!$A$2:$D$3723,4,FALSE)</f>
        <v>1.2929999999999999</v>
      </c>
      <c r="AG142">
        <f>VLOOKUP($B142&amp;AG$1,Data!$A$2:$D$3723,4,FALSE)</f>
        <v>4.8000000000000001E-2</v>
      </c>
      <c r="AH142">
        <f>VLOOKUP($B142&amp;AH$1,Data!$A$2:$D$3723,4,FALSE)</f>
        <v>0</v>
      </c>
      <c r="AI142">
        <f>VLOOKUP($B142&amp;AI$1,Data!$A$2:$D$3723,4,FALSE)</f>
        <v>4800000</v>
      </c>
    </row>
    <row r="143" spans="2:35" hidden="1">
      <c r="B143" s="13">
        <v>142</v>
      </c>
      <c r="C143" s="13" t="s">
        <v>55</v>
      </c>
      <c r="D143" t="s">
        <v>20</v>
      </c>
      <c r="E143" t="s">
        <v>22</v>
      </c>
      <c r="F143">
        <v>100</v>
      </c>
      <c r="G143" t="s">
        <v>17</v>
      </c>
      <c r="H143" s="5">
        <v>43831</v>
      </c>
      <c r="I143" s="5">
        <v>44562</v>
      </c>
      <c r="J143">
        <v>14</v>
      </c>
      <c r="K143">
        <v>9</v>
      </c>
      <c r="L143">
        <v>30</v>
      </c>
      <c r="M143">
        <v>70</v>
      </c>
      <c r="N143">
        <v>1000000</v>
      </c>
      <c r="O143">
        <f>VLOOKUP($B143&amp;O$1,Data!$A$2:$D$3723,4,FALSE)</f>
        <v>8.1240000000000007E-2</v>
      </c>
      <c r="P143">
        <f>VLOOKUP($B143&amp;P$1,Data!$A$2:$D$3723,4,FALSE)</f>
        <v>-0.42</v>
      </c>
      <c r="Q143">
        <f>VLOOKUP($B143&amp;Q$1,Data!$A$2:$D$3723,4,FALSE)</f>
        <v>165</v>
      </c>
      <c r="R143">
        <f>VLOOKUP($B143&amp;R$1,Data!$A$2:$D$3723,4,FALSE)</f>
        <v>1.2999999999999999E-3</v>
      </c>
      <c r="S143">
        <f>VLOOKUP($B143&amp;S$1,Data!$A$2:$D$3723,4,FALSE)</f>
        <v>-1.9E-3</v>
      </c>
      <c r="T143">
        <f>VLOOKUP($B143&amp;T$1,Data!$A$2:$D$3723,4,FALSE)</f>
        <v>-5.4999999999999997E-3</v>
      </c>
      <c r="U143">
        <f>VLOOKUP($B143&amp;U$1,Data!$A$2:$D$3723,4,FALSE)</f>
        <v>8.0000000000000002E-3</v>
      </c>
      <c r="V143">
        <f>VLOOKUP($B143&amp;V$1,Data!$A$2:$D$3723,4,FALSE)</f>
        <v>-0.32500000000000001</v>
      </c>
      <c r="W143">
        <f>VLOOKUP($B143&amp;W$1,Data!$A$2:$D$3723,4,FALSE)</f>
        <v>-3.5599999999999998E-3</v>
      </c>
      <c r="X143">
        <f>VLOOKUP($B143&amp;X$1,Data!$A$2:$D$3723,4,FALSE)</f>
        <v>0.6</v>
      </c>
      <c r="Y143">
        <f>VLOOKUP($B143&amp;Y$1,Data!$A$2:$D$3723,4,FALSE)</f>
        <v>0.4</v>
      </c>
      <c r="Z143">
        <f>VLOOKUP($B143&amp;Z$1,Data!$A$2:$D$3723,4,FALSE)</f>
        <v>0.69</v>
      </c>
      <c r="AA143">
        <f>VLOOKUP($B143&amp;AA$1,Data!$A$2:$D$3723,4,FALSE)</f>
        <v>0</v>
      </c>
      <c r="AB143">
        <f>VLOOKUP($B143&amp;AB$1,Data!$A$2:$D$3723,4,FALSE)</f>
        <v>-5.3999999999999999E-2</v>
      </c>
      <c r="AC143">
        <f>VLOOKUP($B143&amp;AC$1,Data!$A$2:$D$3723,4,FALSE)</f>
        <v>8.9999999999999993E-3</v>
      </c>
      <c r="AD143">
        <f>VLOOKUP($B143&amp;AD$1,Data!$A$2:$D$3723,4,FALSE)</f>
        <v>0</v>
      </c>
      <c r="AE143">
        <f>VLOOKUP($B143&amp;AE$1,Data!$A$2:$D$3723,4,FALSE)</f>
        <v>-0.95299999999999996</v>
      </c>
      <c r="AF143">
        <f>VLOOKUP($B143&amp;AF$1,Data!$A$2:$D$3723,4,FALSE)</f>
        <v>7.0999999999999994E-2</v>
      </c>
      <c r="AG143">
        <f>VLOOKUP($B143&amp;AG$1,Data!$A$2:$D$3723,4,FALSE)</f>
        <v>7.0000000000000007E-2</v>
      </c>
      <c r="AH143">
        <f>VLOOKUP($B143&amp;AH$1,Data!$A$2:$D$3723,4,FALSE)</f>
        <v>0</v>
      </c>
      <c r="AI143">
        <f>VLOOKUP($B143&amp;AI$1,Data!$A$2:$D$3723,4,FALSE)</f>
        <v>270000000</v>
      </c>
    </row>
    <row r="144" spans="2:35" hidden="1">
      <c r="B144" s="13">
        <v>143</v>
      </c>
      <c r="C144" s="13" t="s">
        <v>55</v>
      </c>
      <c r="D144" t="s">
        <v>20</v>
      </c>
      <c r="E144" t="s">
        <v>22</v>
      </c>
      <c r="F144">
        <v>1000</v>
      </c>
      <c r="G144" t="s">
        <v>17</v>
      </c>
      <c r="H144" s="5">
        <v>43831</v>
      </c>
      <c r="I144" s="5">
        <v>44562</v>
      </c>
      <c r="J144">
        <v>14</v>
      </c>
      <c r="K144">
        <v>9</v>
      </c>
      <c r="L144">
        <v>30</v>
      </c>
      <c r="M144">
        <v>70</v>
      </c>
      <c r="N144">
        <v>1000000</v>
      </c>
      <c r="O144">
        <f>VLOOKUP($B144&amp;O$1,Data!$A$2:$D$3723,4,FALSE)</f>
        <v>8.8220000000000007E-2</v>
      </c>
      <c r="P144">
        <f>VLOOKUP($B144&amp;P$1,Data!$A$2:$D$3723,4,FALSE)</f>
        <v>-0.376</v>
      </c>
      <c r="Q144">
        <f>VLOOKUP($B144&amp;Q$1,Data!$A$2:$D$3723,4,FALSE)</f>
        <v>165</v>
      </c>
      <c r="R144">
        <f>VLOOKUP($B144&amp;R$1,Data!$A$2:$D$3723,4,FALSE)</f>
        <v>1.3299999999999999E-2</v>
      </c>
      <c r="S144">
        <f>VLOOKUP($B144&amp;S$1,Data!$A$2:$D$3723,4,FALSE)</f>
        <v>-1.89E-2</v>
      </c>
      <c r="T144">
        <f>VLOOKUP($B144&amp;T$1,Data!$A$2:$D$3723,4,FALSE)</f>
        <v>-5.4539999999999998E-2</v>
      </c>
      <c r="U144">
        <f>VLOOKUP($B144&amp;U$1,Data!$A$2:$D$3723,4,FALSE)</f>
        <v>8.1000000000000003E-2</v>
      </c>
      <c r="V144">
        <f>VLOOKUP($B144&amp;V$1,Data!$A$2:$D$3723,4,FALSE)</f>
        <v>-0.318</v>
      </c>
      <c r="W144">
        <f>VLOOKUP($B144&amp;W$1,Data!$A$2:$D$3723,4,FALSE)</f>
        <v>-3.5610000000000003E-2</v>
      </c>
      <c r="X144">
        <f>VLOOKUP($B144&amp;X$1,Data!$A$2:$D$3723,4,FALSE)</f>
        <v>0.6</v>
      </c>
      <c r="Y144">
        <f>VLOOKUP($B144&amp;Y$1,Data!$A$2:$D$3723,4,FALSE)</f>
        <v>0.4</v>
      </c>
      <c r="Z144">
        <f>VLOOKUP($B144&amp;Z$1,Data!$A$2:$D$3723,4,FALSE)</f>
        <v>0.71</v>
      </c>
      <c r="AA144">
        <f>VLOOKUP($B144&amp;AA$1,Data!$A$2:$D$3723,4,FALSE)</f>
        <v>1E-3</v>
      </c>
      <c r="AB144">
        <f>VLOOKUP($B144&amp;AB$1,Data!$A$2:$D$3723,4,FALSE)</f>
        <v>-0.55500000000000005</v>
      </c>
      <c r="AC144">
        <f>VLOOKUP($B144&amp;AC$1,Data!$A$2:$D$3723,4,FALSE)</f>
        <v>9.0999999999999998E-2</v>
      </c>
      <c r="AD144">
        <f>VLOOKUP($B144&amp;AD$1,Data!$A$2:$D$3723,4,FALSE)</f>
        <v>8.0000000000000002E-3</v>
      </c>
      <c r="AE144">
        <f>VLOOKUP($B144&amp;AE$1,Data!$A$2:$D$3723,4,FALSE)</f>
        <v>-0.73599999999999999</v>
      </c>
      <c r="AF144">
        <f>VLOOKUP($B144&amp;AF$1,Data!$A$2:$D$3723,4,FALSE)</f>
        <v>0.13300000000000001</v>
      </c>
      <c r="AG144">
        <f>VLOOKUP($B144&amp;AG$1,Data!$A$2:$D$3723,4,FALSE)</f>
        <v>6.2E-2</v>
      </c>
      <c r="AH144">
        <f>VLOOKUP($B144&amp;AH$1,Data!$A$2:$D$3723,4,FALSE)</f>
        <v>0</v>
      </c>
      <c r="AI144">
        <f>VLOOKUP($B144&amp;AI$1,Data!$A$2:$D$3723,4,FALSE)</f>
        <v>28000000</v>
      </c>
    </row>
    <row r="145" spans="2:35" hidden="1">
      <c r="B145" s="13">
        <v>144</v>
      </c>
      <c r="C145" s="13" t="s">
        <v>55</v>
      </c>
      <c r="D145" t="s">
        <v>20</v>
      </c>
      <c r="E145" t="s">
        <v>22</v>
      </c>
      <c r="F145">
        <v>5000</v>
      </c>
      <c r="G145" t="s">
        <v>17</v>
      </c>
      <c r="H145" s="5">
        <v>43831</v>
      </c>
      <c r="I145" s="5">
        <v>44562</v>
      </c>
      <c r="J145">
        <v>14</v>
      </c>
      <c r="K145">
        <v>9</v>
      </c>
      <c r="L145">
        <v>30</v>
      </c>
      <c r="M145">
        <v>70</v>
      </c>
      <c r="N145">
        <v>1000000</v>
      </c>
      <c r="O145">
        <f>VLOOKUP($B145&amp;O$1,Data!$A$2:$D$3723,4,FALSE)</f>
        <v>0.12673999999999999</v>
      </c>
      <c r="P145">
        <f>VLOOKUP($B145&amp;P$1,Data!$A$2:$D$3723,4,FALSE)</f>
        <v>-0.17599999999999999</v>
      </c>
      <c r="Q145">
        <f>VLOOKUP($B145&amp;Q$1,Data!$A$2:$D$3723,4,FALSE)</f>
        <v>165</v>
      </c>
      <c r="R145">
        <f>VLOOKUP($B145&amp;R$1,Data!$A$2:$D$3723,4,FALSE)</f>
        <v>7.8700000000000006E-2</v>
      </c>
      <c r="S145">
        <f>VLOOKUP($B145&amp;S$1,Data!$A$2:$D$3723,4,FALSE)</f>
        <v>-9.69E-2</v>
      </c>
      <c r="T145">
        <f>VLOOKUP($B145&amp;T$1,Data!$A$2:$D$3723,4,FALSE)</f>
        <v>-0.2616</v>
      </c>
      <c r="U145">
        <f>VLOOKUP($B145&amp;U$1,Data!$A$2:$D$3723,4,FALSE)</f>
        <v>0.375</v>
      </c>
      <c r="V145">
        <f>VLOOKUP($B145&amp;V$1,Data!$A$2:$D$3723,4,FALSE)</f>
        <v>-0.27500000000000002</v>
      </c>
      <c r="W145">
        <f>VLOOKUP($B145&amp;W$1,Data!$A$2:$D$3723,4,FALSE)</f>
        <v>-0.17802999999999999</v>
      </c>
      <c r="X145">
        <f>VLOOKUP($B145&amp;X$1,Data!$A$2:$D$3723,4,FALSE)</f>
        <v>0.6</v>
      </c>
      <c r="Y145">
        <f>VLOOKUP($B145&amp;Y$1,Data!$A$2:$D$3723,4,FALSE)</f>
        <v>0.4</v>
      </c>
      <c r="Z145">
        <f>VLOOKUP($B145&amp;Z$1,Data!$A$2:$D$3723,4,FALSE)</f>
        <v>0.81</v>
      </c>
      <c r="AA145">
        <f>VLOOKUP($B145&amp;AA$1,Data!$A$2:$D$3723,4,FALSE)</f>
        <v>0.115</v>
      </c>
      <c r="AB145">
        <f>VLOOKUP($B145&amp;AB$1,Data!$A$2:$D$3723,4,FALSE)</f>
        <v>-3.1469999999999998</v>
      </c>
      <c r="AC145">
        <f>VLOOKUP($B145&amp;AC$1,Data!$A$2:$D$3723,4,FALSE)</f>
        <v>0.48699999999999999</v>
      </c>
      <c r="AD145">
        <f>VLOOKUP($B145&amp;AD$1,Data!$A$2:$D$3723,4,FALSE)</f>
        <v>0.23799999999999999</v>
      </c>
      <c r="AE145">
        <f>VLOOKUP($B145&amp;AE$1,Data!$A$2:$D$3723,4,FALSE)</f>
        <v>-0.28799999999999998</v>
      </c>
      <c r="AF145">
        <f>VLOOKUP($B145&amp;AF$1,Data!$A$2:$D$3723,4,FALSE)</f>
        <v>0.52</v>
      </c>
      <c r="AG145">
        <f>VLOOKUP($B145&amp;AG$1,Data!$A$2:$D$3723,4,FALSE)</f>
        <v>2.7E-2</v>
      </c>
      <c r="AH145">
        <f>VLOOKUP($B145&amp;AH$1,Data!$A$2:$D$3723,4,FALSE)</f>
        <v>0</v>
      </c>
      <c r="AI145">
        <f>VLOOKUP($B145&amp;AI$1,Data!$A$2:$D$3723,4,FALSE)</f>
        <v>5700000</v>
      </c>
    </row>
    <row r="146" spans="2:35" hidden="1">
      <c r="B146" s="13">
        <v>145</v>
      </c>
      <c r="C146" s="13" t="s">
        <v>55</v>
      </c>
      <c r="D146" t="s">
        <v>20</v>
      </c>
      <c r="E146" t="s">
        <v>3</v>
      </c>
      <c r="F146">
        <v>100</v>
      </c>
      <c r="G146" t="s">
        <v>17</v>
      </c>
      <c r="H146" s="5">
        <v>43831</v>
      </c>
      <c r="I146" s="5">
        <v>44562</v>
      </c>
      <c r="J146">
        <v>14</v>
      </c>
      <c r="K146">
        <v>9</v>
      </c>
      <c r="L146">
        <v>32</v>
      </c>
      <c r="M146">
        <v>68</v>
      </c>
      <c r="N146">
        <v>1000000</v>
      </c>
      <c r="O146">
        <f>VLOOKUP($B146&amp;O$1,Data!$A$2:$D$3723,4,FALSE)</f>
        <v>3.3939999999999998E-2</v>
      </c>
      <c r="P146">
        <f>VLOOKUP($B146&amp;P$1,Data!$A$2:$D$3723,4,FALSE)</f>
        <v>-0.86</v>
      </c>
      <c r="Q146">
        <f>VLOOKUP($B146&amp;Q$1,Data!$A$2:$D$3723,4,FALSE)</f>
        <v>483</v>
      </c>
      <c r="R146">
        <f>VLOOKUP($B146&amp;R$1,Data!$A$2:$D$3723,4,FALSE)</f>
        <v>1.6000000000000001E-3</v>
      </c>
      <c r="S146">
        <f>VLOOKUP($B146&amp;S$1,Data!$A$2:$D$3723,4,FALSE)</f>
        <v>-2.0999999999999999E-3</v>
      </c>
      <c r="T146">
        <f>VLOOKUP($B146&amp;T$1,Data!$A$2:$D$3723,4,FALSE)</f>
        <v>-1.729E-2</v>
      </c>
      <c r="U146">
        <f>VLOOKUP($B146&amp;U$1,Data!$A$2:$D$3723,4,FALSE)</f>
        <v>1.4E-2</v>
      </c>
      <c r="V146">
        <f>VLOOKUP($B146&amp;V$1,Data!$A$2:$D$3723,4,FALSE)</f>
        <v>-0.32700000000000001</v>
      </c>
      <c r="W146">
        <f>VLOOKUP($B146&amp;W$1,Data!$A$2:$D$3723,4,FALSE)</f>
        <v>-1.1209999999999999E-2</v>
      </c>
      <c r="X146">
        <f>VLOOKUP($B146&amp;X$1,Data!$A$2:$D$3723,4,FALSE)</f>
        <v>0.62</v>
      </c>
      <c r="Y146">
        <f>VLOOKUP($B146&amp;Y$1,Data!$A$2:$D$3723,4,FALSE)</f>
        <v>0.38</v>
      </c>
      <c r="Z146">
        <f>VLOOKUP($B146&amp;Z$1,Data!$A$2:$D$3723,4,FALSE)</f>
        <v>0.79</v>
      </c>
      <c r="AA146">
        <f>VLOOKUP($B146&amp;AA$1,Data!$A$2:$D$3723,4,FALSE)</f>
        <v>-8.0000000000000002E-3</v>
      </c>
      <c r="AB146">
        <f>VLOOKUP($B146&amp;AB$1,Data!$A$2:$D$3723,4,FALSE)</f>
        <v>-6.5000000000000002E-2</v>
      </c>
      <c r="AC146">
        <f>VLOOKUP($B146&amp;AC$1,Data!$A$2:$D$3723,4,FALSE)</f>
        <v>1.4E-2</v>
      </c>
      <c r="AD146">
        <f>VLOOKUP($B146&amp;AD$1,Data!$A$2:$D$3723,4,FALSE)</f>
        <v>0</v>
      </c>
      <c r="AE146">
        <f>VLOOKUP($B146&amp;AE$1,Data!$A$2:$D$3723,4,FALSE)</f>
        <v>-1.046</v>
      </c>
      <c r="AF146">
        <f>VLOOKUP($B146&amp;AF$1,Data!$A$2:$D$3723,4,FALSE)</f>
        <v>7.1999999999999995E-2</v>
      </c>
      <c r="AG146">
        <f>VLOOKUP($B146&amp;AG$1,Data!$A$2:$D$3723,4,FALSE)</f>
        <v>0.184</v>
      </c>
      <c r="AH146">
        <f>VLOOKUP($B146&amp;AH$1,Data!$A$2:$D$3723,4,FALSE)</f>
        <v>0</v>
      </c>
      <c r="AI146">
        <f>VLOOKUP($B146&amp;AI$1,Data!$A$2:$D$3723,4,FALSE)</f>
        <v>8900000000</v>
      </c>
    </row>
    <row r="147" spans="2:35" hidden="1">
      <c r="B147" s="13">
        <v>146</v>
      </c>
      <c r="C147" s="13" t="s">
        <v>55</v>
      </c>
      <c r="D147" t="s">
        <v>20</v>
      </c>
      <c r="E147" t="s">
        <v>3</v>
      </c>
      <c r="F147">
        <v>1000</v>
      </c>
      <c r="G147" t="s">
        <v>17</v>
      </c>
      <c r="H147" s="5">
        <v>43831</v>
      </c>
      <c r="I147" s="5">
        <v>44562</v>
      </c>
      <c r="J147">
        <v>14</v>
      </c>
      <c r="K147">
        <v>9</v>
      </c>
      <c r="L147">
        <v>32</v>
      </c>
      <c r="M147">
        <v>68</v>
      </c>
      <c r="N147">
        <v>1000000</v>
      </c>
      <c r="O147">
        <f>VLOOKUP($B147&amp;O$1,Data!$A$2:$D$3723,4,FALSE)</f>
        <v>3.916E-2</v>
      </c>
      <c r="P147">
        <f>VLOOKUP($B147&amp;P$1,Data!$A$2:$D$3723,4,FALSE)</f>
        <v>-0.76300000000000001</v>
      </c>
      <c r="Q147">
        <f>VLOOKUP($B147&amp;Q$1,Data!$A$2:$D$3723,4,FALSE)</f>
        <v>483</v>
      </c>
      <c r="R147">
        <f>VLOOKUP($B147&amp;R$1,Data!$A$2:$D$3723,4,FALSE)</f>
        <v>1.7500000000000002E-2</v>
      </c>
      <c r="S147">
        <f>VLOOKUP($B147&amp;S$1,Data!$A$2:$D$3723,4,FALSE)</f>
        <v>-2.1499999999999998E-2</v>
      </c>
      <c r="T147">
        <f>VLOOKUP($B147&amp;T$1,Data!$A$2:$D$3723,4,FALSE)</f>
        <v>-0.16803999999999999</v>
      </c>
      <c r="U147">
        <f>VLOOKUP($B147&amp;U$1,Data!$A$2:$D$3723,4,FALSE)</f>
        <v>0.13700000000000001</v>
      </c>
      <c r="V147">
        <f>VLOOKUP($B147&amp;V$1,Data!$A$2:$D$3723,4,FALSE)</f>
        <v>-0.31900000000000001</v>
      </c>
      <c r="W147">
        <f>VLOOKUP($B147&amp;W$1,Data!$A$2:$D$3723,4,FALSE)</f>
        <v>-0.11212999999999999</v>
      </c>
      <c r="X147">
        <f>VLOOKUP($B147&amp;X$1,Data!$A$2:$D$3723,4,FALSE)</f>
        <v>0.62</v>
      </c>
      <c r="Y147">
        <f>VLOOKUP($B147&amp;Y$1,Data!$A$2:$D$3723,4,FALSE)</f>
        <v>0.38</v>
      </c>
      <c r="Z147">
        <f>VLOOKUP($B147&amp;Z$1,Data!$A$2:$D$3723,4,FALSE)</f>
        <v>0.82</v>
      </c>
      <c r="AA147">
        <f>VLOOKUP($B147&amp;AA$1,Data!$A$2:$D$3723,4,FALSE)</f>
        <v>-6.7000000000000004E-2</v>
      </c>
      <c r="AB147">
        <f>VLOOKUP($B147&amp;AB$1,Data!$A$2:$D$3723,4,FALSE)</f>
        <v>-0.67600000000000005</v>
      </c>
      <c r="AC147">
        <f>VLOOKUP($B147&amp;AC$1,Data!$A$2:$D$3723,4,FALSE)</f>
        <v>0.14499999999999999</v>
      </c>
      <c r="AD147">
        <f>VLOOKUP($B147&amp;AD$1,Data!$A$2:$D$3723,4,FALSE)</f>
        <v>2.1000000000000001E-2</v>
      </c>
      <c r="AE147">
        <f>VLOOKUP($B147&amp;AE$1,Data!$A$2:$D$3723,4,FALSE)</f>
        <v>-0.98199999999999998</v>
      </c>
      <c r="AF147">
        <f>VLOOKUP($B147&amp;AF$1,Data!$A$2:$D$3723,4,FALSE)</f>
        <v>0.17699999999999999</v>
      </c>
      <c r="AG147">
        <f>VLOOKUP($B147&amp;AG$1,Data!$A$2:$D$3723,4,FALSE)</f>
        <v>0.16300000000000001</v>
      </c>
      <c r="AH147">
        <f>VLOOKUP($B147&amp;AH$1,Data!$A$2:$D$3723,4,FALSE)</f>
        <v>0</v>
      </c>
      <c r="AI147">
        <f>VLOOKUP($B147&amp;AI$1,Data!$A$2:$D$3723,4,FALSE)</f>
        <v>800000000</v>
      </c>
    </row>
    <row r="148" spans="2:35" hidden="1">
      <c r="B148" s="13">
        <v>147</v>
      </c>
      <c r="C148" s="13" t="s">
        <v>55</v>
      </c>
      <c r="D148" t="s">
        <v>20</v>
      </c>
      <c r="E148" t="s">
        <v>3</v>
      </c>
      <c r="F148">
        <v>5000</v>
      </c>
      <c r="G148" t="s">
        <v>17</v>
      </c>
      <c r="H148" s="5">
        <v>43831</v>
      </c>
      <c r="I148" s="5">
        <v>44562</v>
      </c>
      <c r="J148">
        <v>14</v>
      </c>
      <c r="K148">
        <v>9</v>
      </c>
      <c r="L148">
        <v>32</v>
      </c>
      <c r="M148">
        <v>68</v>
      </c>
      <c r="N148">
        <v>1000000</v>
      </c>
      <c r="O148">
        <f>VLOOKUP($B148&amp;O$1,Data!$A$2:$D$3723,4,FALSE)</f>
        <v>4.5839999999999999E-2</v>
      </c>
      <c r="P148">
        <f>VLOOKUP($B148&amp;P$1,Data!$A$2:$D$3723,4,FALSE)</f>
        <v>-0.55400000000000005</v>
      </c>
      <c r="Q148">
        <f>VLOOKUP($B148&amp;Q$1,Data!$A$2:$D$3723,4,FALSE)</f>
        <v>474</v>
      </c>
      <c r="R148">
        <f>VLOOKUP($B148&amp;R$1,Data!$A$2:$D$3723,4,FALSE)</f>
        <v>0.11650000000000001</v>
      </c>
      <c r="S148">
        <f>VLOOKUP($B148&amp;S$1,Data!$A$2:$D$3723,4,FALSE)</f>
        <v>-0.1164</v>
      </c>
      <c r="T148">
        <f>VLOOKUP($B148&amp;T$1,Data!$A$2:$D$3723,4,FALSE)</f>
        <v>-0.77100000000000002</v>
      </c>
      <c r="U148">
        <f>VLOOKUP($B148&amp;U$1,Data!$A$2:$D$3723,4,FALSE)</f>
        <v>0.66800000000000004</v>
      </c>
      <c r="V148">
        <f>VLOOKUP($B148&amp;V$1,Data!$A$2:$D$3723,4,FALSE)</f>
        <v>-0.33300000000000002</v>
      </c>
      <c r="W148">
        <f>VLOOKUP($B148&amp;W$1,Data!$A$2:$D$3723,4,FALSE)</f>
        <v>-0.61438999999999999</v>
      </c>
      <c r="X148">
        <f>VLOOKUP($B148&amp;X$1,Data!$A$2:$D$3723,4,FALSE)</f>
        <v>0.67</v>
      </c>
      <c r="Y148">
        <f>VLOOKUP($B148&amp;Y$1,Data!$A$2:$D$3723,4,FALSE)</f>
        <v>0.33</v>
      </c>
      <c r="Z148">
        <f>VLOOKUP($B148&amp;Z$1,Data!$A$2:$D$3723,4,FALSE)</f>
        <v>1</v>
      </c>
      <c r="AA148">
        <f>VLOOKUP($B148&amp;AA$1,Data!$A$2:$D$3723,4,FALSE)</f>
        <v>-0.20699999999999999</v>
      </c>
      <c r="AB148">
        <f>VLOOKUP($B148&amp;AB$1,Data!$A$2:$D$3723,4,FALSE)</f>
        <v>-4.2039999999999997</v>
      </c>
      <c r="AC148">
        <f>VLOOKUP($B148&amp;AC$1,Data!$A$2:$D$3723,4,FALSE)</f>
        <v>0.85699999999999998</v>
      </c>
      <c r="AD148">
        <f>VLOOKUP($B148&amp;AD$1,Data!$A$2:$D$3723,4,FALSE)</f>
        <v>0.73399999999999999</v>
      </c>
      <c r="AE148">
        <f>VLOOKUP($B148&amp;AE$1,Data!$A$2:$D$3723,4,FALSE)</f>
        <v>-0.61099999999999999</v>
      </c>
      <c r="AF148">
        <f>VLOOKUP($B148&amp;AF$1,Data!$A$2:$D$3723,4,FALSE)</f>
        <v>0.88100000000000001</v>
      </c>
      <c r="AG148">
        <f>VLOOKUP($B148&amp;AG$1,Data!$A$2:$D$3723,4,FALSE)</f>
        <v>0.113</v>
      </c>
      <c r="AH148">
        <f>VLOOKUP($B148&amp;AH$1,Data!$A$2:$D$3723,4,FALSE)</f>
        <v>0</v>
      </c>
      <c r="AI148">
        <f>VLOOKUP($B148&amp;AI$1,Data!$A$2:$D$3723,4,FALSE)</f>
        <v>75000000</v>
      </c>
    </row>
    <row r="149" spans="2:35" hidden="1">
      <c r="B149" s="13">
        <v>148</v>
      </c>
      <c r="C149" s="13" t="s">
        <v>55</v>
      </c>
      <c r="D149" t="s">
        <v>20</v>
      </c>
      <c r="E149" t="s">
        <v>2</v>
      </c>
      <c r="F149">
        <v>100</v>
      </c>
      <c r="G149" t="s">
        <v>17</v>
      </c>
      <c r="H149" s="5">
        <v>43831</v>
      </c>
      <c r="I149" s="5">
        <v>44562</v>
      </c>
      <c r="J149">
        <v>14</v>
      </c>
      <c r="K149">
        <v>9</v>
      </c>
      <c r="L149">
        <v>32</v>
      </c>
      <c r="M149">
        <v>68</v>
      </c>
      <c r="N149">
        <v>1000000</v>
      </c>
      <c r="O149">
        <f>VLOOKUP($B149&amp;O$1,Data!$A$2:$D$3723,4,FALSE)</f>
        <v>2.0029999999999999E-2</v>
      </c>
      <c r="P149">
        <f>VLOOKUP($B149&amp;P$1,Data!$A$2:$D$3723,4,FALSE)</f>
        <v>-1.1379999999999999</v>
      </c>
      <c r="Q149">
        <f>VLOOKUP($B149&amp;Q$1,Data!$A$2:$D$3723,4,FALSE)</f>
        <v>281</v>
      </c>
      <c r="R149">
        <f>VLOOKUP($B149&amp;R$1,Data!$A$2:$D$3723,4,FALSE)</f>
        <v>1.8E-3</v>
      </c>
      <c r="S149">
        <f>VLOOKUP($B149&amp;S$1,Data!$A$2:$D$3723,4,FALSE)</f>
        <v>-3.3999999999999998E-3</v>
      </c>
      <c r="T149">
        <f>VLOOKUP($B149&amp;T$1,Data!$A$2:$D$3723,4,FALSE)</f>
        <v>-2.3980000000000001E-2</v>
      </c>
      <c r="U149">
        <f>VLOOKUP($B149&amp;U$1,Data!$A$2:$D$3723,4,FALSE)</f>
        <v>2.3E-2</v>
      </c>
      <c r="V149">
        <f>VLOOKUP($B149&amp;V$1,Data!$A$2:$D$3723,4,FALSE)</f>
        <v>-0.49199999999999999</v>
      </c>
      <c r="W149">
        <f>VLOOKUP($B149&amp;W$1,Data!$A$2:$D$3723,4,FALSE)</f>
        <v>-1.5570000000000001E-2</v>
      </c>
      <c r="X149">
        <f>VLOOKUP($B149&amp;X$1,Data!$A$2:$D$3723,4,FALSE)</f>
        <v>0.67</v>
      </c>
      <c r="Y149">
        <f>VLOOKUP($B149&amp;Y$1,Data!$A$2:$D$3723,4,FALSE)</f>
        <v>0.33</v>
      </c>
      <c r="Z149">
        <f>VLOOKUP($B149&amp;Z$1,Data!$A$2:$D$3723,4,FALSE)</f>
        <v>0.52</v>
      </c>
      <c r="AA149">
        <f>VLOOKUP($B149&amp;AA$1,Data!$A$2:$D$3723,4,FALSE)</f>
        <v>-8.9999999999999993E-3</v>
      </c>
      <c r="AB149">
        <f>VLOOKUP($B149&amp;AB$1,Data!$A$2:$D$3723,4,FALSE)</f>
        <v>-0.121</v>
      </c>
      <c r="AC149">
        <f>VLOOKUP($B149&amp;AC$1,Data!$A$2:$D$3723,4,FALSE)</f>
        <v>1.4999999999999999E-2</v>
      </c>
      <c r="AD149">
        <f>VLOOKUP($B149&amp;AD$1,Data!$A$2:$D$3723,4,FALSE)</f>
        <v>0</v>
      </c>
      <c r="AE149">
        <f>VLOOKUP($B149&amp;AE$1,Data!$A$2:$D$3723,4,FALSE)</f>
        <v>-1.0589999999999999</v>
      </c>
      <c r="AF149">
        <f>VLOOKUP($B149&amp;AF$1,Data!$A$2:$D$3723,4,FALSE)</f>
        <v>7.5999999999999998E-2</v>
      </c>
      <c r="AG149">
        <f>VLOOKUP($B149&amp;AG$1,Data!$A$2:$D$3723,4,FALSE)</f>
        <v>0.13700000000000001</v>
      </c>
      <c r="AH149">
        <f>VLOOKUP($B149&amp;AH$1,Data!$A$2:$D$3723,4,FALSE)</f>
        <v>0</v>
      </c>
      <c r="AI149">
        <f>VLOOKUP($B149&amp;AI$1,Data!$A$2:$D$3723,4,FALSE)</f>
        <v>940000000</v>
      </c>
    </row>
    <row r="150" spans="2:35" hidden="1">
      <c r="B150" s="13">
        <v>149</v>
      </c>
      <c r="C150" s="13" t="s">
        <v>55</v>
      </c>
      <c r="D150" t="s">
        <v>20</v>
      </c>
      <c r="E150" t="s">
        <v>2</v>
      </c>
      <c r="F150">
        <v>1000</v>
      </c>
      <c r="G150" t="s">
        <v>17</v>
      </c>
      <c r="H150" s="5">
        <v>43831</v>
      </c>
      <c r="I150" s="5">
        <v>44562</v>
      </c>
      <c r="J150">
        <v>14</v>
      </c>
      <c r="K150">
        <v>9</v>
      </c>
      <c r="L150">
        <v>32</v>
      </c>
      <c r="M150">
        <v>68</v>
      </c>
      <c r="N150">
        <v>1000000</v>
      </c>
      <c r="O150">
        <f>VLOOKUP($B150&amp;O$1,Data!$A$2:$D$3723,4,FALSE)</f>
        <v>2.6950000000000002E-2</v>
      </c>
      <c r="P150">
        <f>VLOOKUP($B150&amp;P$1,Data!$A$2:$D$3723,4,FALSE)</f>
        <v>-0.94199999999999995</v>
      </c>
      <c r="Q150">
        <f>VLOOKUP($B150&amp;Q$1,Data!$A$2:$D$3723,4,FALSE)</f>
        <v>281</v>
      </c>
      <c r="R150">
        <f>VLOOKUP($B150&amp;R$1,Data!$A$2:$D$3723,4,FALSE)</f>
        <v>0.02</v>
      </c>
      <c r="S150">
        <f>VLOOKUP($B150&amp;S$1,Data!$A$2:$D$3723,4,FALSE)</f>
        <v>-3.5000000000000003E-2</v>
      </c>
      <c r="T150">
        <f>VLOOKUP($B150&amp;T$1,Data!$A$2:$D$3723,4,FALSE)</f>
        <v>-0.23028999999999999</v>
      </c>
      <c r="U150">
        <f>VLOOKUP($B150&amp;U$1,Data!$A$2:$D$3723,4,FALSE)</f>
        <v>0.22800000000000001</v>
      </c>
      <c r="V150">
        <f>VLOOKUP($B150&amp;V$1,Data!$A$2:$D$3723,4,FALSE)</f>
        <v>-0.47599999999999998</v>
      </c>
      <c r="W150">
        <f>VLOOKUP($B150&amp;W$1,Data!$A$2:$D$3723,4,FALSE)</f>
        <v>-0.15565999999999999</v>
      </c>
      <c r="X150">
        <f>VLOOKUP($B150&amp;X$1,Data!$A$2:$D$3723,4,FALSE)</f>
        <v>0.67</v>
      </c>
      <c r="Y150">
        <f>VLOOKUP($B150&amp;Y$1,Data!$A$2:$D$3723,4,FALSE)</f>
        <v>0.33</v>
      </c>
      <c r="Z150">
        <f>VLOOKUP($B150&amp;Z$1,Data!$A$2:$D$3723,4,FALSE)</f>
        <v>0.56999999999999995</v>
      </c>
      <c r="AA150">
        <f>VLOOKUP($B150&amp;AA$1,Data!$A$2:$D$3723,4,FALSE)</f>
        <v>-6.8000000000000005E-2</v>
      </c>
      <c r="AB150">
        <f>VLOOKUP($B150&amp;AB$1,Data!$A$2:$D$3723,4,FALSE)</f>
        <v>-1.3620000000000001</v>
      </c>
      <c r="AC150">
        <f>VLOOKUP($B150&amp;AC$1,Data!$A$2:$D$3723,4,FALSE)</f>
        <v>0.16400000000000001</v>
      </c>
      <c r="AD150">
        <f>VLOOKUP($B150&amp;AD$1,Data!$A$2:$D$3723,4,FALSE)</f>
        <v>2.7E-2</v>
      </c>
      <c r="AE150">
        <f>VLOOKUP($B150&amp;AE$1,Data!$A$2:$D$3723,4,FALSE)</f>
        <v>-1.046</v>
      </c>
      <c r="AF150">
        <f>VLOOKUP($B150&amp;AF$1,Data!$A$2:$D$3723,4,FALSE)</f>
        <v>0.20899999999999999</v>
      </c>
      <c r="AG150">
        <f>VLOOKUP($B150&amp;AG$1,Data!$A$2:$D$3723,4,FALSE)</f>
        <v>0.114</v>
      </c>
      <c r="AH150">
        <f>VLOOKUP($B150&amp;AH$1,Data!$A$2:$D$3723,4,FALSE)</f>
        <v>0</v>
      </c>
      <c r="AI150">
        <f>VLOOKUP($B150&amp;AI$1,Data!$A$2:$D$3723,4,FALSE)</f>
        <v>82000000</v>
      </c>
    </row>
    <row r="151" spans="2:35" hidden="1">
      <c r="B151" s="13">
        <v>150</v>
      </c>
      <c r="C151" s="13" t="s">
        <v>55</v>
      </c>
      <c r="D151" t="s">
        <v>20</v>
      </c>
      <c r="E151" t="s">
        <v>2</v>
      </c>
      <c r="F151">
        <v>5000</v>
      </c>
      <c r="G151" t="s">
        <v>17</v>
      </c>
      <c r="H151" s="5">
        <v>43831</v>
      </c>
      <c r="I151" s="5">
        <v>44562</v>
      </c>
      <c r="J151">
        <v>14</v>
      </c>
      <c r="K151">
        <v>9</v>
      </c>
      <c r="L151">
        <v>32</v>
      </c>
      <c r="M151">
        <v>68</v>
      </c>
      <c r="N151">
        <v>1000000</v>
      </c>
      <c r="O151">
        <f>VLOOKUP($B151&amp;O$1,Data!$A$2:$D$3723,4,FALSE)</f>
        <v>8.0699999999999994E-2</v>
      </c>
      <c r="P151">
        <f>VLOOKUP($B151&amp;P$1,Data!$A$2:$D$3723,4,FALSE)</f>
        <v>-0.32</v>
      </c>
      <c r="Q151">
        <f>VLOOKUP($B151&amp;Q$1,Data!$A$2:$D$3723,4,FALSE)</f>
        <v>267</v>
      </c>
      <c r="R151">
        <f>VLOOKUP($B151&amp;R$1,Data!$A$2:$D$3723,4,FALSE)</f>
        <v>0.14990000000000001</v>
      </c>
      <c r="S151">
        <f>VLOOKUP($B151&amp;S$1,Data!$A$2:$D$3723,4,FALSE)</f>
        <v>-0.1085</v>
      </c>
      <c r="T151">
        <f>VLOOKUP($B151&amp;T$1,Data!$A$2:$D$3723,4,FALSE)</f>
        <v>-0.96850000000000003</v>
      </c>
      <c r="U151">
        <f>VLOOKUP($B151&amp;U$1,Data!$A$2:$D$3723,4,FALSE)</f>
        <v>0.94299999999999995</v>
      </c>
      <c r="V151">
        <f>VLOOKUP($B151&amp;V$1,Data!$A$2:$D$3723,4,FALSE)</f>
        <v>-0.60299999999999998</v>
      </c>
      <c r="W151">
        <f>VLOOKUP($B151&amp;W$1,Data!$A$2:$D$3723,4,FALSE)</f>
        <v>-0.89305000000000001</v>
      </c>
      <c r="X151">
        <f>VLOOKUP($B151&amp;X$1,Data!$A$2:$D$3723,4,FALSE)</f>
        <v>0.83</v>
      </c>
      <c r="Y151">
        <f>VLOOKUP($B151&amp;Y$1,Data!$A$2:$D$3723,4,FALSE)</f>
        <v>0.17</v>
      </c>
      <c r="Z151">
        <f>VLOOKUP($B151&amp;Z$1,Data!$A$2:$D$3723,4,FALSE)</f>
        <v>1.38</v>
      </c>
      <c r="AA151">
        <f>VLOOKUP($B151&amp;AA$1,Data!$A$2:$D$3723,4,FALSE)</f>
        <v>0.39200000000000002</v>
      </c>
      <c r="AB151">
        <f>VLOOKUP($B151&amp;AB$1,Data!$A$2:$D$3723,4,FALSE)</f>
        <v>-14.928000000000001</v>
      </c>
      <c r="AC151">
        <f>VLOOKUP($B151&amp;AC$1,Data!$A$2:$D$3723,4,FALSE)</f>
        <v>1.746</v>
      </c>
      <c r="AD151">
        <f>VLOOKUP($B151&amp;AD$1,Data!$A$2:$D$3723,4,FALSE)</f>
        <v>3.048</v>
      </c>
      <c r="AE151">
        <f>VLOOKUP($B151&amp;AE$1,Data!$A$2:$D$3723,4,FALSE)</f>
        <v>-0.34899999999999998</v>
      </c>
      <c r="AF151">
        <f>VLOOKUP($B151&amp;AF$1,Data!$A$2:$D$3723,4,FALSE)</f>
        <v>1.7849999999999999</v>
      </c>
      <c r="AG151">
        <f>VLOOKUP($B151&amp;AG$1,Data!$A$2:$D$3723,4,FALSE)</f>
        <v>3.6999999999999998E-2</v>
      </c>
      <c r="AH151">
        <f>VLOOKUP($B151&amp;AH$1,Data!$A$2:$D$3723,4,FALSE)</f>
        <v>0</v>
      </c>
      <c r="AI151">
        <f>VLOOKUP($B151&amp;AI$1,Data!$A$2:$D$3723,4,FALSE)</f>
        <v>2900000</v>
      </c>
    </row>
    <row r="152" spans="2:35" hidden="1">
      <c r="B152" s="13">
        <v>151</v>
      </c>
      <c r="C152" s="13" t="s">
        <v>55</v>
      </c>
      <c r="D152" t="s">
        <v>20</v>
      </c>
      <c r="E152" t="s">
        <v>22</v>
      </c>
      <c r="F152">
        <v>100</v>
      </c>
      <c r="G152" t="s">
        <v>17</v>
      </c>
      <c r="H152" s="5">
        <v>43831</v>
      </c>
      <c r="I152" s="5">
        <v>44562</v>
      </c>
      <c r="J152">
        <v>14</v>
      </c>
      <c r="K152">
        <v>9</v>
      </c>
      <c r="L152">
        <v>32</v>
      </c>
      <c r="M152">
        <v>68</v>
      </c>
      <c r="N152">
        <v>1000000</v>
      </c>
      <c r="O152">
        <f>VLOOKUP($B152&amp;O$1,Data!$A$2:$D$3723,4,FALSE)</f>
        <v>0.29361999999999999</v>
      </c>
      <c r="P152">
        <f>VLOOKUP($B152&amp;P$1,Data!$A$2:$D$3723,4,FALSE)</f>
        <v>0.441</v>
      </c>
      <c r="Q152">
        <f>VLOOKUP($B152&amp;Q$1,Data!$A$2:$D$3723,4,FALSE)</f>
        <v>199</v>
      </c>
      <c r="R152">
        <f>VLOOKUP($B152&amp;R$1,Data!$A$2:$D$3723,4,FALSE)</f>
        <v>2.7000000000000001E-3</v>
      </c>
      <c r="S152">
        <f>VLOOKUP($B152&amp;S$1,Data!$A$2:$D$3723,4,FALSE)</f>
        <v>-1.1000000000000001E-3</v>
      </c>
      <c r="T152">
        <f>VLOOKUP($B152&amp;T$1,Data!$A$2:$D$3723,4,FALSE)</f>
        <v>6.1599999999999997E-3</v>
      </c>
      <c r="U152">
        <f>VLOOKUP($B152&amp;U$1,Data!$A$2:$D$3723,4,FALSE)</f>
        <v>7.0000000000000001E-3</v>
      </c>
      <c r="V152">
        <f>VLOOKUP($B152&amp;V$1,Data!$A$2:$D$3723,4,FALSE)</f>
        <v>0.73799999999999999</v>
      </c>
      <c r="W152">
        <f>VLOOKUP($B152&amp;W$1,Data!$A$2:$D$3723,4,FALSE)</f>
        <v>3.98E-3</v>
      </c>
      <c r="X152">
        <f>VLOOKUP($B152&amp;X$1,Data!$A$2:$D$3723,4,FALSE)</f>
        <v>0.5</v>
      </c>
      <c r="Y152">
        <f>VLOOKUP($B152&amp;Y$1,Data!$A$2:$D$3723,4,FALSE)</f>
        <v>0.5</v>
      </c>
      <c r="Z152">
        <f>VLOOKUP($B152&amp;Z$1,Data!$A$2:$D$3723,4,FALSE)</f>
        <v>2.48</v>
      </c>
      <c r="AA152">
        <f>VLOOKUP($B152&amp;AA$1,Data!$A$2:$D$3723,4,FALSE)</f>
        <v>7.0000000000000001E-3</v>
      </c>
      <c r="AB152">
        <f>VLOOKUP($B152&amp;AB$1,Data!$A$2:$D$3723,4,FALSE)</f>
        <v>-4.8000000000000001E-2</v>
      </c>
      <c r="AC152">
        <f>VLOOKUP($B152&amp;AC$1,Data!$A$2:$D$3723,4,FALSE)</f>
        <v>0.01</v>
      </c>
      <c r="AD152">
        <f>VLOOKUP($B152&amp;AD$1,Data!$A$2:$D$3723,4,FALSE)</f>
        <v>0</v>
      </c>
      <c r="AE152">
        <f>VLOOKUP($B152&amp;AE$1,Data!$A$2:$D$3723,4,FALSE)</f>
        <v>-0.84199999999999997</v>
      </c>
      <c r="AF152">
        <f>VLOOKUP($B152&amp;AF$1,Data!$A$2:$D$3723,4,FALSE)</f>
        <v>7.0999999999999994E-2</v>
      </c>
      <c r="AG152">
        <f>VLOOKUP($B152&amp;AG$1,Data!$A$2:$D$3723,4,FALSE)</f>
        <v>-0.09</v>
      </c>
      <c r="AH152">
        <f>VLOOKUP($B152&amp;AH$1,Data!$A$2:$D$3723,4,FALSE)</f>
        <v>0</v>
      </c>
      <c r="AI152">
        <f>VLOOKUP($B152&amp;AI$1,Data!$A$2:$D$3723,4,FALSE)</f>
        <v>120000000</v>
      </c>
    </row>
    <row r="153" spans="2:35" hidden="1">
      <c r="B153" s="13">
        <v>152</v>
      </c>
      <c r="C153" s="13" t="s">
        <v>55</v>
      </c>
      <c r="D153" t="s">
        <v>20</v>
      </c>
      <c r="E153" t="s">
        <v>22</v>
      </c>
      <c r="F153">
        <v>1000</v>
      </c>
      <c r="G153" t="s">
        <v>17</v>
      </c>
      <c r="H153" s="5">
        <v>43831</v>
      </c>
      <c r="I153" s="5">
        <v>44562</v>
      </c>
      <c r="J153">
        <v>14</v>
      </c>
      <c r="K153">
        <v>9</v>
      </c>
      <c r="L153">
        <v>32</v>
      </c>
      <c r="M153">
        <v>68</v>
      </c>
      <c r="N153">
        <v>1000000</v>
      </c>
      <c r="O153">
        <f>VLOOKUP($B153&amp;O$1,Data!$A$2:$D$3723,4,FALSE)</f>
        <v>0.30834</v>
      </c>
      <c r="P153">
        <f>VLOOKUP($B153&amp;P$1,Data!$A$2:$D$3723,4,FALSE)</f>
        <v>0.495</v>
      </c>
      <c r="Q153">
        <f>VLOOKUP($B153&amp;Q$1,Data!$A$2:$D$3723,4,FALSE)</f>
        <v>199</v>
      </c>
      <c r="R153">
        <f>VLOOKUP($B153&amp;R$1,Data!$A$2:$D$3723,4,FALSE)</f>
        <v>2.6599999999999999E-2</v>
      </c>
      <c r="S153">
        <f>VLOOKUP($B153&amp;S$1,Data!$A$2:$D$3723,4,FALSE)</f>
        <v>-1.04E-2</v>
      </c>
      <c r="T153">
        <f>VLOOKUP($B153&amp;T$1,Data!$A$2:$D$3723,4,FALSE)</f>
        <v>6.2190000000000002E-2</v>
      </c>
      <c r="U153">
        <f>VLOOKUP($B153&amp;U$1,Data!$A$2:$D$3723,4,FALSE)</f>
        <v>6.8000000000000005E-2</v>
      </c>
      <c r="V153">
        <f>VLOOKUP($B153&amp;V$1,Data!$A$2:$D$3723,4,FALSE)</f>
        <v>0.78200000000000003</v>
      </c>
      <c r="W153">
        <f>VLOOKUP($B153&amp;W$1,Data!$A$2:$D$3723,4,FALSE)</f>
        <v>3.977E-2</v>
      </c>
      <c r="X153">
        <f>VLOOKUP($B153&amp;X$1,Data!$A$2:$D$3723,4,FALSE)</f>
        <v>0.5</v>
      </c>
      <c r="Y153">
        <f>VLOOKUP($B153&amp;Y$1,Data!$A$2:$D$3723,4,FALSE)</f>
        <v>0.5</v>
      </c>
      <c r="Z153">
        <f>VLOOKUP($B153&amp;Z$1,Data!$A$2:$D$3723,4,FALSE)</f>
        <v>2.56</v>
      </c>
      <c r="AA153">
        <f>VLOOKUP($B153&amp;AA$1,Data!$A$2:$D$3723,4,FALSE)</f>
        <v>7.6999999999999999E-2</v>
      </c>
      <c r="AB153">
        <f>VLOOKUP($B153&amp;AB$1,Data!$A$2:$D$3723,4,FALSE)</f>
        <v>-0.46300000000000002</v>
      </c>
      <c r="AC153">
        <f>VLOOKUP($B153&amp;AC$1,Data!$A$2:$D$3723,4,FALSE)</f>
        <v>9.6000000000000002E-2</v>
      </c>
      <c r="AD153">
        <f>VLOOKUP($B153&amp;AD$1,Data!$A$2:$D$3723,4,FALSE)</f>
        <v>8.9999999999999993E-3</v>
      </c>
      <c r="AE153">
        <f>VLOOKUP($B153&amp;AE$1,Data!$A$2:$D$3723,4,FALSE)</f>
        <v>-0.122</v>
      </c>
      <c r="AF153">
        <f>VLOOKUP($B153&amp;AF$1,Data!$A$2:$D$3723,4,FALSE)</f>
        <v>0.13300000000000001</v>
      </c>
      <c r="AG153">
        <f>VLOOKUP($B153&amp;AG$1,Data!$A$2:$D$3723,4,FALSE)</f>
        <v>-0.10199999999999999</v>
      </c>
      <c r="AH153">
        <f>VLOOKUP($B153&amp;AH$1,Data!$A$2:$D$3723,4,FALSE)</f>
        <v>0</v>
      </c>
      <c r="AI153">
        <f>VLOOKUP($B153&amp;AI$1,Data!$A$2:$D$3723,4,FALSE)</f>
        <v>13000000</v>
      </c>
    </row>
    <row r="154" spans="2:35" hidden="1">
      <c r="B154" s="13">
        <v>153</v>
      </c>
      <c r="C154" s="13" t="s">
        <v>55</v>
      </c>
      <c r="D154" t="s">
        <v>20</v>
      </c>
      <c r="E154" t="s">
        <v>22</v>
      </c>
      <c r="F154">
        <v>5000</v>
      </c>
      <c r="G154" t="s">
        <v>17</v>
      </c>
      <c r="H154" s="5">
        <v>43831</v>
      </c>
      <c r="I154" s="5">
        <v>44562</v>
      </c>
      <c r="J154">
        <v>14</v>
      </c>
      <c r="K154">
        <v>9</v>
      </c>
      <c r="L154">
        <v>32</v>
      </c>
      <c r="M154">
        <v>68</v>
      </c>
      <c r="N154">
        <v>1000000</v>
      </c>
      <c r="O154">
        <f>VLOOKUP($B154&amp;O$1,Data!$A$2:$D$3723,4,FALSE)</f>
        <v>0.36874000000000001</v>
      </c>
      <c r="P154">
        <f>VLOOKUP($B154&amp;P$1,Data!$A$2:$D$3723,4,FALSE)</f>
        <v>0.76200000000000001</v>
      </c>
      <c r="Q154">
        <f>VLOOKUP($B154&amp;Q$1,Data!$A$2:$D$3723,4,FALSE)</f>
        <v>199</v>
      </c>
      <c r="R154">
        <f>VLOOKUP($B154&amp;R$1,Data!$A$2:$D$3723,4,FALSE)</f>
        <v>0.12470000000000001</v>
      </c>
      <c r="S154">
        <f>VLOOKUP($B154&amp;S$1,Data!$A$2:$D$3723,4,FALSE)</f>
        <v>-4.2500000000000003E-2</v>
      </c>
      <c r="T154">
        <f>VLOOKUP($B154&amp;T$1,Data!$A$2:$D$3723,4,FALSE)</f>
        <v>0.32389000000000001</v>
      </c>
      <c r="U154">
        <f>VLOOKUP($B154&amp;U$1,Data!$A$2:$D$3723,4,FALSE)</f>
        <v>0.33300000000000002</v>
      </c>
      <c r="V154">
        <f>VLOOKUP($B154&amp;V$1,Data!$A$2:$D$3723,4,FALSE)</f>
        <v>0.96799999999999997</v>
      </c>
      <c r="W154">
        <f>VLOOKUP($B154&amp;W$1,Data!$A$2:$D$3723,4,FALSE)</f>
        <v>0.19886999999999999</v>
      </c>
      <c r="X154">
        <f>VLOOKUP($B154&amp;X$1,Data!$A$2:$D$3723,4,FALSE)</f>
        <v>0.5</v>
      </c>
      <c r="Y154">
        <f>VLOOKUP($B154&amp;Y$1,Data!$A$2:$D$3723,4,FALSE)</f>
        <v>0.5</v>
      </c>
      <c r="Z154">
        <f>VLOOKUP($B154&amp;Z$1,Data!$A$2:$D$3723,4,FALSE)</f>
        <v>2.94</v>
      </c>
      <c r="AA154">
        <f>VLOOKUP($B154&amp;AA$1,Data!$A$2:$D$3723,4,FALSE)</f>
        <v>0.47399999999999998</v>
      </c>
      <c r="AB154">
        <f>VLOOKUP($B154&amp;AB$1,Data!$A$2:$D$3723,4,FALSE)</f>
        <v>-2.0539999999999998</v>
      </c>
      <c r="AC154">
        <f>VLOOKUP($B154&amp;AC$1,Data!$A$2:$D$3723,4,FALSE)</f>
        <v>0.45100000000000001</v>
      </c>
      <c r="AD154">
        <f>VLOOKUP($B154&amp;AD$1,Data!$A$2:$D$3723,4,FALSE)</f>
        <v>0.20300000000000001</v>
      </c>
      <c r="AE154">
        <f>VLOOKUP($B154&amp;AE$1,Data!$A$2:$D$3723,4,FALSE)</f>
        <v>0.58899999999999997</v>
      </c>
      <c r="AF154">
        <f>VLOOKUP($B154&amp;AF$1,Data!$A$2:$D$3723,4,FALSE)</f>
        <v>0.47499999999999998</v>
      </c>
      <c r="AG154">
        <f>VLOOKUP($B154&amp;AG$1,Data!$A$2:$D$3723,4,FALSE)</f>
        <v>-0.16700000000000001</v>
      </c>
      <c r="AH154">
        <f>VLOOKUP($B154&amp;AH$1,Data!$A$2:$D$3723,4,FALSE)</f>
        <v>0</v>
      </c>
      <c r="AI154">
        <f>VLOOKUP($B154&amp;AI$1,Data!$A$2:$D$3723,4,FALSE)</f>
        <v>3700000</v>
      </c>
    </row>
    <row r="155" spans="2:35" hidden="1">
      <c r="B155" s="13">
        <v>154</v>
      </c>
      <c r="C155" s="13" t="s">
        <v>55</v>
      </c>
      <c r="D155" t="s">
        <v>20</v>
      </c>
      <c r="E155" t="s">
        <v>3</v>
      </c>
      <c r="F155">
        <v>100</v>
      </c>
      <c r="G155" t="s">
        <v>17</v>
      </c>
      <c r="H155" s="5">
        <v>43831</v>
      </c>
      <c r="I155" s="5">
        <v>44562</v>
      </c>
      <c r="J155">
        <v>14</v>
      </c>
      <c r="K155">
        <v>9</v>
      </c>
      <c r="L155">
        <v>28</v>
      </c>
      <c r="M155">
        <v>72</v>
      </c>
      <c r="N155">
        <v>1000000</v>
      </c>
      <c r="O155">
        <f>VLOOKUP($B155&amp;O$1,Data!$A$2:$D$3723,4,FALSE)</f>
        <v>0.2969</v>
      </c>
      <c r="P155">
        <f>VLOOKUP($B155&amp;P$1,Data!$A$2:$D$3723,4,FALSE)</f>
        <v>0.42399999999999999</v>
      </c>
      <c r="Q155">
        <f>VLOOKUP($B155&amp;Q$1,Data!$A$2:$D$3723,4,FALSE)</f>
        <v>285</v>
      </c>
      <c r="R155">
        <f>VLOOKUP($B155&amp;R$1,Data!$A$2:$D$3723,4,FALSE)</f>
        <v>1.6000000000000001E-3</v>
      </c>
      <c r="S155">
        <f>VLOOKUP($B155&amp;S$1,Data!$A$2:$D$3723,4,FALSE)</f>
        <v>-2.0999999999999999E-3</v>
      </c>
      <c r="T155">
        <f>VLOOKUP($B155&amp;T$1,Data!$A$2:$D$3723,4,FALSE)</f>
        <v>4.9399999999999999E-3</v>
      </c>
      <c r="U155">
        <f>VLOOKUP($B155&amp;U$1,Data!$A$2:$D$3723,4,FALSE)</f>
        <v>7.0000000000000001E-3</v>
      </c>
      <c r="V155">
        <f>VLOOKUP($B155&amp;V$1,Data!$A$2:$D$3723,4,FALSE)</f>
        <v>0.19</v>
      </c>
      <c r="W155">
        <f>VLOOKUP($B155&amp;W$1,Data!$A$2:$D$3723,4,FALSE)</f>
        <v>3.1900000000000001E-3</v>
      </c>
      <c r="X155">
        <f>VLOOKUP($B155&amp;X$1,Data!$A$2:$D$3723,4,FALSE)</f>
        <v>0.33</v>
      </c>
      <c r="Y155">
        <f>VLOOKUP($B155&amp;Y$1,Data!$A$2:$D$3723,4,FALSE)</f>
        <v>0.67</v>
      </c>
      <c r="Z155">
        <f>VLOOKUP($B155&amp;Z$1,Data!$A$2:$D$3723,4,FALSE)</f>
        <v>0.79</v>
      </c>
      <c r="AA155">
        <f>VLOOKUP($B155&amp;AA$1,Data!$A$2:$D$3723,4,FALSE)</f>
        <v>5.0000000000000001E-3</v>
      </c>
      <c r="AB155">
        <f>VLOOKUP($B155&amp;AB$1,Data!$A$2:$D$3723,4,FALSE)</f>
        <v>-1.9E-2</v>
      </c>
      <c r="AC155">
        <f>VLOOKUP($B155&amp;AC$1,Data!$A$2:$D$3723,4,FALSE)</f>
        <v>8.0000000000000002E-3</v>
      </c>
      <c r="AD155">
        <f>VLOOKUP($B155&amp;AD$1,Data!$A$2:$D$3723,4,FALSE)</f>
        <v>0</v>
      </c>
      <c r="AE155">
        <f>VLOOKUP($B155&amp;AE$1,Data!$A$2:$D$3723,4,FALSE)</f>
        <v>-0.879</v>
      </c>
      <c r="AF155">
        <f>VLOOKUP($B155&amp;AF$1,Data!$A$2:$D$3723,4,FALSE)</f>
        <v>6.8000000000000005E-2</v>
      </c>
      <c r="AG155">
        <f>VLOOKUP($B155&amp;AG$1,Data!$A$2:$D$3723,4,FALSE)</f>
        <v>-0.18</v>
      </c>
      <c r="AH155">
        <f>VLOOKUP($B155&amp;AH$1,Data!$A$2:$D$3723,4,FALSE)</f>
        <v>0</v>
      </c>
      <c r="AI155">
        <f>VLOOKUP($B155&amp;AI$1,Data!$A$2:$D$3723,4,FALSE)</f>
        <v>320000000</v>
      </c>
    </row>
    <row r="156" spans="2:35" hidden="1">
      <c r="B156" s="13">
        <v>155</v>
      </c>
      <c r="C156" s="13" t="s">
        <v>55</v>
      </c>
      <c r="D156" t="s">
        <v>20</v>
      </c>
      <c r="E156" t="s">
        <v>3</v>
      </c>
      <c r="F156">
        <v>1000</v>
      </c>
      <c r="G156" t="s">
        <v>17</v>
      </c>
      <c r="H156" s="5">
        <v>43831</v>
      </c>
      <c r="I156" s="5">
        <v>44562</v>
      </c>
      <c r="J156">
        <v>14</v>
      </c>
      <c r="K156">
        <v>9</v>
      </c>
      <c r="L156">
        <v>28</v>
      </c>
      <c r="M156">
        <v>72</v>
      </c>
      <c r="N156">
        <v>1000000</v>
      </c>
      <c r="O156">
        <f>VLOOKUP($B156&amp;O$1,Data!$A$2:$D$3723,4,FALSE)</f>
        <v>0.30656</v>
      </c>
      <c r="P156">
        <f>VLOOKUP($B156&amp;P$1,Data!$A$2:$D$3723,4,FALSE)</f>
        <v>0.46</v>
      </c>
      <c r="Q156">
        <f>VLOOKUP($B156&amp;Q$1,Data!$A$2:$D$3723,4,FALSE)</f>
        <v>285</v>
      </c>
      <c r="R156">
        <f>VLOOKUP($B156&amp;R$1,Data!$A$2:$D$3723,4,FALSE)</f>
        <v>1.66E-2</v>
      </c>
      <c r="S156">
        <f>VLOOKUP($B156&amp;S$1,Data!$A$2:$D$3723,4,FALSE)</f>
        <v>-2.1000000000000001E-2</v>
      </c>
      <c r="T156">
        <f>VLOOKUP($B156&amp;T$1,Data!$A$2:$D$3723,4,FALSE)</f>
        <v>4.9790000000000001E-2</v>
      </c>
      <c r="U156">
        <f>VLOOKUP($B156&amp;U$1,Data!$A$2:$D$3723,4,FALSE)</f>
        <v>6.5000000000000002E-2</v>
      </c>
      <c r="V156">
        <f>VLOOKUP($B156&amp;V$1,Data!$A$2:$D$3723,4,FALSE)</f>
        <v>0.19500000000000001</v>
      </c>
      <c r="W156">
        <f>VLOOKUP($B156&amp;W$1,Data!$A$2:$D$3723,4,FALSE)</f>
        <v>3.1910000000000001E-2</v>
      </c>
      <c r="X156">
        <f>VLOOKUP($B156&amp;X$1,Data!$A$2:$D$3723,4,FALSE)</f>
        <v>0.33</v>
      </c>
      <c r="Y156">
        <f>VLOOKUP($B156&amp;Y$1,Data!$A$2:$D$3723,4,FALSE)</f>
        <v>0.67</v>
      </c>
      <c r="Z156">
        <f>VLOOKUP($B156&amp;Z$1,Data!$A$2:$D$3723,4,FALSE)</f>
        <v>0.79</v>
      </c>
      <c r="AA156">
        <f>VLOOKUP($B156&amp;AA$1,Data!$A$2:$D$3723,4,FALSE)</f>
        <v>0.05</v>
      </c>
      <c r="AB156">
        <f>VLOOKUP($B156&amp;AB$1,Data!$A$2:$D$3723,4,FALSE)</f>
        <v>-0.19400000000000001</v>
      </c>
      <c r="AC156">
        <f>VLOOKUP($B156&amp;AC$1,Data!$A$2:$D$3723,4,FALSE)</f>
        <v>8.2000000000000003E-2</v>
      </c>
      <c r="AD156">
        <f>VLOOKUP($B156&amp;AD$1,Data!$A$2:$D$3723,4,FALSE)</f>
        <v>7.0000000000000001E-3</v>
      </c>
      <c r="AE156">
        <f>VLOOKUP($B156&amp;AE$1,Data!$A$2:$D$3723,4,FALSE)</f>
        <v>-0.22800000000000001</v>
      </c>
      <c r="AF156">
        <f>VLOOKUP($B156&amp;AF$1,Data!$A$2:$D$3723,4,FALSE)</f>
        <v>0.114</v>
      </c>
      <c r="AG156">
        <f>VLOOKUP($B156&amp;AG$1,Data!$A$2:$D$3723,4,FALSE)</f>
        <v>-0.19500000000000001</v>
      </c>
      <c r="AH156">
        <f>VLOOKUP($B156&amp;AH$1,Data!$A$2:$D$3723,4,FALSE)</f>
        <v>0</v>
      </c>
      <c r="AI156">
        <f>VLOOKUP($B156&amp;AI$1,Data!$A$2:$D$3723,4,FALSE)</f>
        <v>34000000</v>
      </c>
    </row>
    <row r="157" spans="2:35" hidden="1">
      <c r="B157" s="13">
        <v>156</v>
      </c>
      <c r="C157" s="13" t="s">
        <v>55</v>
      </c>
      <c r="D157" t="s">
        <v>20</v>
      </c>
      <c r="E157" t="s">
        <v>3</v>
      </c>
      <c r="F157">
        <v>5000</v>
      </c>
      <c r="G157" t="s">
        <v>17</v>
      </c>
      <c r="H157" s="5">
        <v>43831</v>
      </c>
      <c r="I157" s="5">
        <v>44562</v>
      </c>
      <c r="J157">
        <v>14</v>
      </c>
      <c r="K157">
        <v>9</v>
      </c>
      <c r="L157">
        <v>28</v>
      </c>
      <c r="M157">
        <v>72</v>
      </c>
      <c r="N157">
        <v>1000000</v>
      </c>
      <c r="O157">
        <f>VLOOKUP($B157&amp;O$1,Data!$A$2:$D$3723,4,FALSE)</f>
        <v>0.35598999999999997</v>
      </c>
      <c r="P157">
        <f>VLOOKUP($B157&amp;P$1,Data!$A$2:$D$3723,4,FALSE)</f>
        <v>0.68</v>
      </c>
      <c r="Q157">
        <f>VLOOKUP($B157&amp;Q$1,Data!$A$2:$D$3723,4,FALSE)</f>
        <v>285</v>
      </c>
      <c r="R157">
        <f>VLOOKUP($B157&amp;R$1,Data!$A$2:$D$3723,4,FALSE)</f>
        <v>9.1800000000000007E-2</v>
      </c>
      <c r="S157">
        <f>VLOOKUP($B157&amp;S$1,Data!$A$2:$D$3723,4,FALSE)</f>
        <v>-0.1095</v>
      </c>
      <c r="T157">
        <f>VLOOKUP($B157&amp;T$1,Data!$A$2:$D$3723,4,FALSE)</f>
        <v>0.25733</v>
      </c>
      <c r="U157">
        <f>VLOOKUP($B157&amp;U$1,Data!$A$2:$D$3723,4,FALSE)</f>
        <v>0.312</v>
      </c>
      <c r="V157">
        <f>VLOOKUP($B157&amp;V$1,Data!$A$2:$D$3723,4,FALSE)</f>
        <v>0.22600000000000001</v>
      </c>
      <c r="W157">
        <f>VLOOKUP($B157&amp;W$1,Data!$A$2:$D$3723,4,FALSE)</f>
        <v>0.15955</v>
      </c>
      <c r="X157">
        <f>VLOOKUP($B157&amp;X$1,Data!$A$2:$D$3723,4,FALSE)</f>
        <v>0.33</v>
      </c>
      <c r="Y157">
        <f>VLOOKUP($B157&amp;Y$1,Data!$A$2:$D$3723,4,FALSE)</f>
        <v>0.67</v>
      </c>
      <c r="Z157">
        <f>VLOOKUP($B157&amp;Z$1,Data!$A$2:$D$3723,4,FALSE)</f>
        <v>0.84</v>
      </c>
      <c r="AA157">
        <f>VLOOKUP($B157&amp;AA$1,Data!$A$2:$D$3723,4,FALSE)</f>
        <v>0.35399999999999998</v>
      </c>
      <c r="AB157">
        <f>VLOOKUP($B157&amp;AB$1,Data!$A$2:$D$3723,4,FALSE)</f>
        <v>-1.0369999999999999</v>
      </c>
      <c r="AC157">
        <f>VLOOKUP($B157&amp;AC$1,Data!$A$2:$D$3723,4,FALSE)</f>
        <v>0.42299999999999999</v>
      </c>
      <c r="AD157">
        <f>VLOOKUP($B157&amp;AD$1,Data!$A$2:$D$3723,4,FALSE)</f>
        <v>0.17899999999999999</v>
      </c>
      <c r="AE157">
        <f>VLOOKUP($B157&amp;AE$1,Data!$A$2:$D$3723,4,FALSE)</f>
        <v>0.51</v>
      </c>
      <c r="AF157">
        <f>VLOOKUP($B157&amp;AF$1,Data!$A$2:$D$3723,4,FALSE)</f>
        <v>0.439</v>
      </c>
      <c r="AG157">
        <f>VLOOKUP($B157&amp;AG$1,Data!$A$2:$D$3723,4,FALSE)</f>
        <v>-0.27700000000000002</v>
      </c>
      <c r="AH157">
        <f>VLOOKUP($B157&amp;AH$1,Data!$A$2:$D$3723,4,FALSE)</f>
        <v>0</v>
      </c>
      <c r="AI157">
        <f>VLOOKUP($B157&amp;AI$1,Data!$A$2:$D$3723,4,FALSE)</f>
        <v>8600000</v>
      </c>
    </row>
    <row r="158" spans="2:35" hidden="1">
      <c r="B158" s="13">
        <v>157</v>
      </c>
      <c r="C158" s="13" t="s">
        <v>55</v>
      </c>
      <c r="D158" t="s">
        <v>20</v>
      </c>
      <c r="E158" t="s">
        <v>2</v>
      </c>
      <c r="F158">
        <v>100</v>
      </c>
      <c r="G158" t="s">
        <v>17</v>
      </c>
      <c r="H158" s="5">
        <v>43831</v>
      </c>
      <c r="I158" s="5">
        <v>44562</v>
      </c>
      <c r="J158">
        <v>14</v>
      </c>
      <c r="K158">
        <v>9</v>
      </c>
      <c r="L158">
        <v>28</v>
      </c>
      <c r="M158">
        <v>72</v>
      </c>
      <c r="N158">
        <v>1000000</v>
      </c>
      <c r="O158">
        <f>VLOOKUP($B158&amp;O$1,Data!$A$2:$D$3723,4,FALSE)</f>
        <v>2.5930000000000002E-2</v>
      </c>
      <c r="P158">
        <f>VLOOKUP($B158&amp;P$1,Data!$A$2:$D$3723,4,FALSE)</f>
        <v>-0.95599999999999996</v>
      </c>
      <c r="Q158">
        <f>VLOOKUP($B158&amp;Q$1,Data!$A$2:$D$3723,4,FALSE)</f>
        <v>164</v>
      </c>
      <c r="R158">
        <f>VLOOKUP($B158&amp;R$1,Data!$A$2:$D$3723,4,FALSE)</f>
        <v>2.9999999999999997E-4</v>
      </c>
      <c r="S158">
        <f>VLOOKUP($B158&amp;S$1,Data!$A$2:$D$3723,4,FALSE)</f>
        <v>-2.3999999999999998E-3</v>
      </c>
      <c r="T158">
        <f>VLOOKUP($B158&amp;T$1,Data!$A$2:$D$3723,4,FALSE)</f>
        <v>-1.5559999999999999E-2</v>
      </c>
      <c r="U158">
        <f>VLOOKUP($B158&amp;U$1,Data!$A$2:$D$3723,4,FALSE)</f>
        <v>1.2E-2</v>
      </c>
      <c r="V158">
        <f>VLOOKUP($B158&amp;V$1,Data!$A$2:$D$3723,4,FALSE)</f>
        <v>-0.77900000000000003</v>
      </c>
      <c r="W158">
        <f>VLOOKUP($B158&amp;W$1,Data!$A$2:$D$3723,4,FALSE)</f>
        <v>-1.009E-2</v>
      </c>
      <c r="X158">
        <f>VLOOKUP($B158&amp;X$1,Data!$A$2:$D$3723,4,FALSE)</f>
        <v>0.8</v>
      </c>
      <c r="Y158">
        <f>VLOOKUP($B158&amp;Y$1,Data!$A$2:$D$3723,4,FALSE)</f>
        <v>0.2</v>
      </c>
      <c r="Z158">
        <f>VLOOKUP($B158&amp;Z$1,Data!$A$2:$D$3723,4,FALSE)</f>
        <v>0.11</v>
      </c>
      <c r="AA158">
        <f>VLOOKUP($B158&amp;AA$1,Data!$A$2:$D$3723,4,FALSE)</f>
        <v>-5.0000000000000001E-3</v>
      </c>
      <c r="AB158">
        <f>VLOOKUP($B158&amp;AB$1,Data!$A$2:$D$3723,4,FALSE)</f>
        <v>-8.8999999999999996E-2</v>
      </c>
      <c r="AC158">
        <f>VLOOKUP($B158&amp;AC$1,Data!$A$2:$D$3723,4,FALSE)</f>
        <v>1.0999999999999999E-2</v>
      </c>
      <c r="AD158">
        <f>VLOOKUP($B158&amp;AD$1,Data!$A$2:$D$3723,4,FALSE)</f>
        <v>0</v>
      </c>
      <c r="AE158">
        <f>VLOOKUP($B158&amp;AE$1,Data!$A$2:$D$3723,4,FALSE)</f>
        <v>-1.0149999999999999</v>
      </c>
      <c r="AF158">
        <f>VLOOKUP($B158&amp;AF$1,Data!$A$2:$D$3723,4,FALSE)</f>
        <v>7.2999999999999995E-2</v>
      </c>
      <c r="AG158">
        <f>VLOOKUP($B158&amp;AG$1,Data!$A$2:$D$3723,4,FALSE)</f>
        <v>0.121</v>
      </c>
      <c r="AH158">
        <f>VLOOKUP($B158&amp;AH$1,Data!$A$2:$D$3723,4,FALSE)</f>
        <v>0</v>
      </c>
      <c r="AI158">
        <f>VLOOKUP($B158&amp;AI$1,Data!$A$2:$D$3723,4,FALSE)</f>
        <v>540000000</v>
      </c>
    </row>
    <row r="159" spans="2:35" hidden="1">
      <c r="B159" s="13">
        <v>158</v>
      </c>
      <c r="C159" s="13" t="s">
        <v>55</v>
      </c>
      <c r="D159" t="s">
        <v>20</v>
      </c>
      <c r="E159" t="s">
        <v>2</v>
      </c>
      <c r="F159">
        <v>1000</v>
      </c>
      <c r="G159" t="s">
        <v>17</v>
      </c>
      <c r="H159" s="5">
        <v>43831</v>
      </c>
      <c r="I159" s="5">
        <v>44562</v>
      </c>
      <c r="J159">
        <v>14</v>
      </c>
      <c r="K159">
        <v>9</v>
      </c>
      <c r="L159">
        <v>28</v>
      </c>
      <c r="M159">
        <v>72</v>
      </c>
      <c r="N159">
        <v>1000000</v>
      </c>
      <c r="O159">
        <f>VLOOKUP($B159&amp;O$1,Data!$A$2:$D$3723,4,FALSE)</f>
        <v>3.0179999999999998E-2</v>
      </c>
      <c r="P159">
        <f>VLOOKUP($B159&amp;P$1,Data!$A$2:$D$3723,4,FALSE)</f>
        <v>-0.85799999999999998</v>
      </c>
      <c r="Q159">
        <f>VLOOKUP($B159&amp;Q$1,Data!$A$2:$D$3723,4,FALSE)</f>
        <v>164</v>
      </c>
      <c r="R159">
        <f>VLOOKUP($B159&amp;R$1,Data!$A$2:$D$3723,4,FALSE)</f>
        <v>2.5999999999999999E-3</v>
      </c>
      <c r="S159">
        <f>VLOOKUP($B159&amp;S$1,Data!$A$2:$D$3723,4,FALSE)</f>
        <v>-2.46E-2</v>
      </c>
      <c r="T159">
        <f>VLOOKUP($B159&amp;T$1,Data!$A$2:$D$3723,4,FALSE)</f>
        <v>-0.15165999999999999</v>
      </c>
      <c r="U159">
        <f>VLOOKUP($B159&amp;U$1,Data!$A$2:$D$3723,4,FALSE)</f>
        <v>0.12</v>
      </c>
      <c r="V159">
        <f>VLOOKUP($B159&amp;V$1,Data!$A$2:$D$3723,4,FALSE)</f>
        <v>-0.77900000000000003</v>
      </c>
      <c r="W159">
        <f>VLOOKUP($B159&amp;W$1,Data!$A$2:$D$3723,4,FALSE)</f>
        <v>-0.10087</v>
      </c>
      <c r="X159">
        <f>VLOOKUP($B159&amp;X$1,Data!$A$2:$D$3723,4,FALSE)</f>
        <v>0.8</v>
      </c>
      <c r="Y159">
        <f>VLOOKUP($B159&amp;Y$1,Data!$A$2:$D$3723,4,FALSE)</f>
        <v>0.2</v>
      </c>
      <c r="Z159">
        <f>VLOOKUP($B159&amp;Z$1,Data!$A$2:$D$3723,4,FALSE)</f>
        <v>0.11</v>
      </c>
      <c r="AA159">
        <f>VLOOKUP($B159&amp;AA$1,Data!$A$2:$D$3723,4,FALSE)</f>
        <v>-4.1000000000000002E-2</v>
      </c>
      <c r="AB159">
        <f>VLOOKUP($B159&amp;AB$1,Data!$A$2:$D$3723,4,FALSE)</f>
        <v>-0.94399999999999995</v>
      </c>
      <c r="AC159">
        <f>VLOOKUP($B159&amp;AC$1,Data!$A$2:$D$3723,4,FALSE)</f>
        <v>0.11799999999999999</v>
      </c>
      <c r="AD159">
        <f>VLOOKUP($B159&amp;AD$1,Data!$A$2:$D$3723,4,FALSE)</f>
        <v>1.4E-2</v>
      </c>
      <c r="AE159">
        <f>VLOOKUP($B159&amp;AE$1,Data!$A$2:$D$3723,4,FALSE)</f>
        <v>-1.008</v>
      </c>
      <c r="AF159">
        <f>VLOOKUP($B159&amp;AF$1,Data!$A$2:$D$3723,4,FALSE)</f>
        <v>0.16400000000000001</v>
      </c>
      <c r="AG159">
        <f>VLOOKUP($B159&amp;AG$1,Data!$A$2:$D$3723,4,FALSE)</f>
        <v>0.107</v>
      </c>
      <c r="AH159">
        <f>VLOOKUP($B159&amp;AH$1,Data!$A$2:$D$3723,4,FALSE)</f>
        <v>0</v>
      </c>
      <c r="AI159">
        <f>VLOOKUP($B159&amp;AI$1,Data!$A$2:$D$3723,4,FALSE)</f>
        <v>50000000</v>
      </c>
    </row>
    <row r="160" spans="2:35" hidden="1">
      <c r="B160" s="13">
        <v>159</v>
      </c>
      <c r="C160" s="13" t="s">
        <v>55</v>
      </c>
      <c r="D160" t="s">
        <v>20</v>
      </c>
      <c r="E160" t="s">
        <v>2</v>
      </c>
      <c r="F160">
        <v>5000</v>
      </c>
      <c r="G160" t="s">
        <v>17</v>
      </c>
      <c r="H160" s="5">
        <v>43831</v>
      </c>
      <c r="I160" s="5">
        <v>44562</v>
      </c>
      <c r="J160">
        <v>14</v>
      </c>
      <c r="K160">
        <v>9</v>
      </c>
      <c r="L160">
        <v>28</v>
      </c>
      <c r="M160">
        <v>72</v>
      </c>
      <c r="N160">
        <v>1000000</v>
      </c>
      <c r="O160">
        <f>VLOOKUP($B160&amp;O$1,Data!$A$2:$D$3723,4,FALSE)</f>
        <v>7.3630000000000001E-2</v>
      </c>
      <c r="P160">
        <f>VLOOKUP($B160&amp;P$1,Data!$A$2:$D$3723,4,FALSE)</f>
        <v>-0.41399999999999998</v>
      </c>
      <c r="Q160">
        <f>VLOOKUP($B160&amp;Q$1,Data!$A$2:$D$3723,4,FALSE)</f>
        <v>162</v>
      </c>
      <c r="R160">
        <f>VLOOKUP($B160&amp;R$1,Data!$A$2:$D$3723,4,FALSE)</f>
        <v>1.47E-2</v>
      </c>
      <c r="S160">
        <f>VLOOKUP($B160&amp;S$1,Data!$A$2:$D$3723,4,FALSE)</f>
        <v>-0.14199999999999999</v>
      </c>
      <c r="T160">
        <f>VLOOKUP($B160&amp;T$1,Data!$A$2:$D$3723,4,FALSE)</f>
        <v>-0.64961999999999998</v>
      </c>
      <c r="U160">
        <f>VLOOKUP($B160&amp;U$1,Data!$A$2:$D$3723,4,FALSE)</f>
        <v>0.57099999999999995</v>
      </c>
      <c r="V160">
        <f>VLOOKUP($B160&amp;V$1,Data!$A$2:$D$3723,4,FALSE)</f>
        <v>-0.77900000000000003</v>
      </c>
      <c r="W160">
        <f>VLOOKUP($B160&amp;W$1,Data!$A$2:$D$3723,4,FALSE)</f>
        <v>-0.49235000000000001</v>
      </c>
      <c r="X160">
        <f>VLOOKUP($B160&amp;X$1,Data!$A$2:$D$3723,4,FALSE)</f>
        <v>0.8</v>
      </c>
      <c r="Y160">
        <f>VLOOKUP($B160&amp;Y$1,Data!$A$2:$D$3723,4,FALSE)</f>
        <v>0.2</v>
      </c>
      <c r="Z160">
        <f>VLOOKUP($B160&amp;Z$1,Data!$A$2:$D$3723,4,FALSE)</f>
        <v>0.1</v>
      </c>
      <c r="AA160">
        <f>VLOOKUP($B160&amp;AA$1,Data!$A$2:$D$3723,4,FALSE)</f>
        <v>8.5000000000000006E-2</v>
      </c>
      <c r="AB160">
        <f>VLOOKUP($B160&amp;AB$1,Data!$A$2:$D$3723,4,FALSE)</f>
        <v>-6.5289999999999999</v>
      </c>
      <c r="AC160">
        <f>VLOOKUP($B160&amp;AC$1,Data!$A$2:$D$3723,4,FALSE)</f>
        <v>0.79800000000000004</v>
      </c>
      <c r="AD160">
        <f>VLOOKUP($B160&amp;AD$1,Data!$A$2:$D$3723,4,FALSE)</f>
        <v>0.63700000000000001</v>
      </c>
      <c r="AE160">
        <f>VLOOKUP($B160&amp;AE$1,Data!$A$2:$D$3723,4,FALSE)</f>
        <v>-0.47099999999999997</v>
      </c>
      <c r="AF160">
        <f>VLOOKUP($B160&amp;AF$1,Data!$A$2:$D$3723,4,FALSE)</f>
        <v>0.83699999999999997</v>
      </c>
      <c r="AG160">
        <f>VLOOKUP($B160&amp;AG$1,Data!$A$2:$D$3723,4,FALSE)</f>
        <v>5.0999999999999997E-2</v>
      </c>
      <c r="AH160">
        <f>VLOOKUP($B160&amp;AH$1,Data!$A$2:$D$3723,4,FALSE)</f>
        <v>0</v>
      </c>
      <c r="AI160">
        <f>VLOOKUP($B160&amp;AI$1,Data!$A$2:$D$3723,4,FALSE)</f>
        <v>6900000</v>
      </c>
    </row>
    <row r="161" spans="2:35" hidden="1">
      <c r="B161" s="13">
        <v>160</v>
      </c>
      <c r="C161" s="13" t="s">
        <v>55</v>
      </c>
      <c r="D161" t="s">
        <v>20</v>
      </c>
      <c r="E161" t="s">
        <v>22</v>
      </c>
      <c r="F161">
        <v>100</v>
      </c>
      <c r="G161" t="s">
        <v>17</v>
      </c>
      <c r="H161" s="5">
        <v>43831</v>
      </c>
      <c r="I161" s="5">
        <v>44562</v>
      </c>
      <c r="J161">
        <v>14</v>
      </c>
      <c r="K161">
        <v>9</v>
      </c>
      <c r="L161">
        <v>28</v>
      </c>
      <c r="M161">
        <v>72</v>
      </c>
      <c r="N161">
        <v>1000000</v>
      </c>
      <c r="O161">
        <f>VLOOKUP($B161&amp;O$1,Data!$A$2:$D$3723,4,FALSE)</f>
        <v>0.1074</v>
      </c>
      <c r="P161">
        <f>VLOOKUP($B161&amp;P$1,Data!$A$2:$D$3723,4,FALSE)</f>
        <v>-0.26400000000000001</v>
      </c>
      <c r="Q161">
        <f>VLOOKUP($B161&amp;Q$1,Data!$A$2:$D$3723,4,FALSE)</f>
        <v>127</v>
      </c>
      <c r="R161">
        <f>VLOOKUP($B161&amp;R$1,Data!$A$2:$D$3723,4,FALSE)</f>
        <v>6.9999999999999999E-4</v>
      </c>
      <c r="S161">
        <f>VLOOKUP($B161&amp;S$1,Data!$A$2:$D$3723,4,FALSE)</f>
        <v>-4.1000000000000003E-3</v>
      </c>
      <c r="T161">
        <f>VLOOKUP($B161&amp;T$1,Data!$A$2:$D$3723,4,FALSE)</f>
        <v>-3.65E-3</v>
      </c>
      <c r="U161">
        <f>VLOOKUP($B161&amp;U$1,Data!$A$2:$D$3723,4,FALSE)</f>
        <v>8.0000000000000002E-3</v>
      </c>
      <c r="V161">
        <f>VLOOKUP($B161&amp;V$1,Data!$A$2:$D$3723,4,FALSE)</f>
        <v>-0.129</v>
      </c>
      <c r="W161">
        <f>VLOOKUP($B161&amp;W$1,Data!$A$2:$D$3723,4,FALSE)</f>
        <v>-2.3600000000000001E-3</v>
      </c>
      <c r="X161">
        <f>VLOOKUP($B161&amp;X$1,Data!$A$2:$D$3723,4,FALSE)</f>
        <v>0.25</v>
      </c>
      <c r="Y161">
        <f>VLOOKUP($B161&amp;Y$1,Data!$A$2:$D$3723,4,FALSE)</f>
        <v>0.75</v>
      </c>
      <c r="Z161">
        <f>VLOOKUP($B161&amp;Z$1,Data!$A$2:$D$3723,4,FALSE)</f>
        <v>0.16</v>
      </c>
      <c r="AA161">
        <f>VLOOKUP($B161&amp;AA$1,Data!$A$2:$D$3723,4,FALSE)</f>
        <v>1E-3</v>
      </c>
      <c r="AB161">
        <f>VLOOKUP($B161&amp;AB$1,Data!$A$2:$D$3723,4,FALSE)</f>
        <v>-4.9000000000000002E-2</v>
      </c>
      <c r="AC161">
        <f>VLOOKUP($B161&amp;AC$1,Data!$A$2:$D$3723,4,FALSE)</f>
        <v>8.9999999999999993E-3</v>
      </c>
      <c r="AD161">
        <f>VLOOKUP($B161&amp;AD$1,Data!$A$2:$D$3723,4,FALSE)</f>
        <v>0</v>
      </c>
      <c r="AE161">
        <f>VLOOKUP($B161&amp;AE$1,Data!$A$2:$D$3723,4,FALSE)</f>
        <v>-0.93799999999999994</v>
      </c>
      <c r="AF161">
        <f>VLOOKUP($B161&amp;AF$1,Data!$A$2:$D$3723,4,FALSE)</f>
        <v>7.0999999999999994E-2</v>
      </c>
      <c r="AG161">
        <f>VLOOKUP($B161&amp;AG$1,Data!$A$2:$D$3723,4,FALSE)</f>
        <v>5.0999999999999997E-2</v>
      </c>
      <c r="AH161">
        <f>VLOOKUP($B161&amp;AH$1,Data!$A$2:$D$3723,4,FALSE)</f>
        <v>0</v>
      </c>
      <c r="AI161">
        <f>VLOOKUP($B161&amp;AI$1,Data!$A$2:$D$3723,4,FALSE)</f>
        <v>3700000000</v>
      </c>
    </row>
    <row r="162" spans="2:35" hidden="1">
      <c r="B162" s="13">
        <v>161</v>
      </c>
      <c r="C162" s="13" t="s">
        <v>55</v>
      </c>
      <c r="D162" t="s">
        <v>20</v>
      </c>
      <c r="E162" t="s">
        <v>22</v>
      </c>
      <c r="F162">
        <v>1000</v>
      </c>
      <c r="G162" t="s">
        <v>17</v>
      </c>
      <c r="H162" s="5">
        <v>43831</v>
      </c>
      <c r="I162" s="5">
        <v>44562</v>
      </c>
      <c r="J162">
        <v>14</v>
      </c>
      <c r="K162">
        <v>9</v>
      </c>
      <c r="L162">
        <v>28</v>
      </c>
      <c r="M162">
        <v>72</v>
      </c>
      <c r="N162">
        <v>1000000</v>
      </c>
      <c r="O162">
        <f>VLOOKUP($B162&amp;O$1,Data!$A$2:$D$3723,4,FALSE)</f>
        <v>0.11582000000000001</v>
      </c>
      <c r="P162">
        <f>VLOOKUP($B162&amp;P$1,Data!$A$2:$D$3723,4,FALSE)</f>
        <v>-0.222</v>
      </c>
      <c r="Q162">
        <f>VLOOKUP($B162&amp;Q$1,Data!$A$2:$D$3723,4,FALSE)</f>
        <v>127</v>
      </c>
      <c r="R162">
        <f>VLOOKUP($B162&amp;R$1,Data!$A$2:$D$3723,4,FALSE)</f>
        <v>6.7000000000000002E-3</v>
      </c>
      <c r="S162">
        <f>VLOOKUP($B162&amp;S$1,Data!$A$2:$D$3723,4,FALSE)</f>
        <v>-4.0599999999999997E-2</v>
      </c>
      <c r="T162">
        <f>VLOOKUP($B162&amp;T$1,Data!$A$2:$D$3723,4,FALSE)</f>
        <v>-3.6249999999999998E-2</v>
      </c>
      <c r="U162">
        <f>VLOOKUP($B162&amp;U$1,Data!$A$2:$D$3723,4,FALSE)</f>
        <v>7.8E-2</v>
      </c>
      <c r="V162">
        <f>VLOOKUP($B162&amp;V$1,Data!$A$2:$D$3723,4,FALSE)</f>
        <v>-0.126</v>
      </c>
      <c r="W162">
        <f>VLOOKUP($B162&amp;W$1,Data!$A$2:$D$3723,4,FALSE)</f>
        <v>-2.359E-2</v>
      </c>
      <c r="X162">
        <f>VLOOKUP($B162&amp;X$1,Data!$A$2:$D$3723,4,FALSE)</f>
        <v>0.25</v>
      </c>
      <c r="Y162">
        <f>VLOOKUP($B162&amp;Y$1,Data!$A$2:$D$3723,4,FALSE)</f>
        <v>0.75</v>
      </c>
      <c r="Z162">
        <f>VLOOKUP($B162&amp;Z$1,Data!$A$2:$D$3723,4,FALSE)</f>
        <v>0.17</v>
      </c>
      <c r="AA162">
        <f>VLOOKUP($B162&amp;AA$1,Data!$A$2:$D$3723,4,FALSE)</f>
        <v>1.0999999999999999E-2</v>
      </c>
      <c r="AB162">
        <f>VLOOKUP($B162&amp;AB$1,Data!$A$2:$D$3723,4,FALSE)</f>
        <v>-0.496</v>
      </c>
      <c r="AC162">
        <f>VLOOKUP($B162&amp;AC$1,Data!$A$2:$D$3723,4,FALSE)</f>
        <v>9.4E-2</v>
      </c>
      <c r="AD162">
        <f>VLOOKUP($B162&amp;AD$1,Data!$A$2:$D$3723,4,FALSE)</f>
        <v>8.9999999999999993E-3</v>
      </c>
      <c r="AE162">
        <f>VLOOKUP($B162&amp;AE$1,Data!$A$2:$D$3723,4,FALSE)</f>
        <v>-0.63500000000000001</v>
      </c>
      <c r="AF162">
        <f>VLOOKUP($B162&amp;AF$1,Data!$A$2:$D$3723,4,FALSE)</f>
        <v>0.13300000000000001</v>
      </c>
      <c r="AG162">
        <f>VLOOKUP($B162&amp;AG$1,Data!$A$2:$D$3723,4,FALSE)</f>
        <v>4.2000000000000003E-2</v>
      </c>
      <c r="AH162">
        <f>VLOOKUP($B162&amp;AH$1,Data!$A$2:$D$3723,4,FALSE)</f>
        <v>0</v>
      </c>
      <c r="AI162">
        <f>VLOOKUP($B162&amp;AI$1,Data!$A$2:$D$3723,4,FALSE)</f>
        <v>370000000</v>
      </c>
    </row>
    <row r="163" spans="2:35" hidden="1">
      <c r="B163" s="13">
        <v>162</v>
      </c>
      <c r="C163" s="13" t="s">
        <v>55</v>
      </c>
      <c r="D163" t="s">
        <v>20</v>
      </c>
      <c r="E163" t="s">
        <v>22</v>
      </c>
      <c r="F163">
        <v>5000</v>
      </c>
      <c r="G163" t="s">
        <v>17</v>
      </c>
      <c r="H163" s="5">
        <v>43831</v>
      </c>
      <c r="I163" s="5">
        <v>44562</v>
      </c>
      <c r="J163">
        <v>14</v>
      </c>
      <c r="K163">
        <v>9</v>
      </c>
      <c r="L163">
        <v>28</v>
      </c>
      <c r="M163">
        <v>72</v>
      </c>
      <c r="N163">
        <v>1000000</v>
      </c>
      <c r="O163">
        <f>VLOOKUP($B163&amp;O$1,Data!$A$2:$D$3723,4,FALSE)</f>
        <v>0.15939999999999999</v>
      </c>
      <c r="P163">
        <f>VLOOKUP($B163&amp;P$1,Data!$A$2:$D$3723,4,FALSE)</f>
        <v>-3.3000000000000002E-2</v>
      </c>
      <c r="Q163">
        <f>VLOOKUP($B163&amp;Q$1,Data!$A$2:$D$3723,4,FALSE)</f>
        <v>127</v>
      </c>
      <c r="R163">
        <f>VLOOKUP($B163&amp;R$1,Data!$A$2:$D$3723,4,FALSE)</f>
        <v>3.6499999999999998E-2</v>
      </c>
      <c r="S163">
        <f>VLOOKUP($B163&amp;S$1,Data!$A$2:$D$3723,4,FALSE)</f>
        <v>-0.19650000000000001</v>
      </c>
      <c r="T163">
        <f>VLOOKUP($B163&amp;T$1,Data!$A$2:$D$3723,4,FALSE)</f>
        <v>-0.17645</v>
      </c>
      <c r="U163">
        <f>VLOOKUP($B163&amp;U$1,Data!$A$2:$D$3723,4,FALSE)</f>
        <v>0.33800000000000002</v>
      </c>
      <c r="V163">
        <f>VLOOKUP($B163&amp;V$1,Data!$A$2:$D$3723,4,FALSE)</f>
        <v>-0.111</v>
      </c>
      <c r="W163">
        <f>VLOOKUP($B163&amp;W$1,Data!$A$2:$D$3723,4,FALSE)</f>
        <v>-0.11794</v>
      </c>
      <c r="X163">
        <f>VLOOKUP($B163&amp;X$1,Data!$A$2:$D$3723,4,FALSE)</f>
        <v>0.25</v>
      </c>
      <c r="Y163">
        <f>VLOOKUP($B163&amp;Y$1,Data!$A$2:$D$3723,4,FALSE)</f>
        <v>0.75</v>
      </c>
      <c r="Z163">
        <f>VLOOKUP($B163&amp;Z$1,Data!$A$2:$D$3723,4,FALSE)</f>
        <v>0.19</v>
      </c>
      <c r="AA163">
        <f>VLOOKUP($B163&amp;AA$1,Data!$A$2:$D$3723,4,FALSE)</f>
        <v>0.15</v>
      </c>
      <c r="AB163">
        <f>VLOOKUP($B163&amp;AB$1,Data!$A$2:$D$3723,4,FALSE)</f>
        <v>-2.5979999999999999</v>
      </c>
      <c r="AC163">
        <f>VLOOKUP($B163&amp;AC$1,Data!$A$2:$D$3723,4,FALSE)</f>
        <v>0.48</v>
      </c>
      <c r="AD163">
        <f>VLOOKUP($B163&amp;AD$1,Data!$A$2:$D$3723,4,FALSE)</f>
        <v>0.23</v>
      </c>
      <c r="AE163">
        <f>VLOOKUP($B163&amp;AE$1,Data!$A$2:$D$3723,4,FALSE)</f>
        <v>-0.157</v>
      </c>
      <c r="AF163">
        <f>VLOOKUP($B163&amp;AF$1,Data!$A$2:$D$3723,4,FALSE)</f>
        <v>0.50700000000000001</v>
      </c>
      <c r="AG163">
        <f>VLOOKUP($B163&amp;AG$1,Data!$A$2:$D$3723,4,FALSE)</f>
        <v>6.0000000000000001E-3</v>
      </c>
      <c r="AH163">
        <f>VLOOKUP($B163&amp;AH$1,Data!$A$2:$D$3723,4,FALSE)</f>
        <v>0</v>
      </c>
      <c r="AI163">
        <f>VLOOKUP($B163&amp;AI$1,Data!$A$2:$D$3723,4,FALSE)</f>
        <v>67000000</v>
      </c>
    </row>
    <row r="164" spans="2:35" hidden="1">
      <c r="B164" s="13">
        <v>163</v>
      </c>
      <c r="C164" s="13" t="s">
        <v>55</v>
      </c>
      <c r="D164" t="s">
        <v>21</v>
      </c>
      <c r="E164" t="s">
        <v>3</v>
      </c>
      <c r="F164">
        <v>100</v>
      </c>
      <c r="G164" t="s">
        <v>17</v>
      </c>
      <c r="H164" s="5">
        <v>43831</v>
      </c>
      <c r="I164" s="5">
        <v>44562</v>
      </c>
      <c r="J164">
        <v>14</v>
      </c>
      <c r="K164">
        <v>9</v>
      </c>
      <c r="L164">
        <v>30</v>
      </c>
      <c r="M164">
        <v>70</v>
      </c>
      <c r="N164">
        <v>1000000</v>
      </c>
      <c r="O164">
        <f>VLOOKUP($B164&amp;O$1,Data!$A$2:$D$3723,4,FALSE)</f>
        <v>0.66979</v>
      </c>
      <c r="P164">
        <f>VLOOKUP($B164&amp;P$1,Data!$A$2:$D$3723,4,FALSE)</f>
        <v>1.4079999999999999</v>
      </c>
      <c r="Q164">
        <f>VLOOKUP($B164&amp;Q$1,Data!$A$2:$D$3723,4,FALSE)</f>
        <v>1016</v>
      </c>
      <c r="R164">
        <f>VLOOKUP($B164&amp;R$1,Data!$A$2:$D$3723,4,FALSE)</f>
        <v>1.6999999999999999E-3</v>
      </c>
      <c r="S164">
        <f>VLOOKUP($B164&amp;S$1,Data!$A$2:$D$3723,4,FALSE)</f>
        <v>-8.9999999999999998E-4</v>
      </c>
      <c r="T164">
        <f>VLOOKUP($B164&amp;T$1,Data!$A$2:$D$3723,4,FALSE)</f>
        <v>2.0559999999999998E-2</v>
      </c>
      <c r="U164">
        <f>VLOOKUP($B164&amp;U$1,Data!$A$2:$D$3723,4,FALSE)</f>
        <v>6.0000000000000001E-3</v>
      </c>
      <c r="V164">
        <f>VLOOKUP($B164&amp;V$1,Data!$A$2:$D$3723,4,FALSE)</f>
        <v>0.42</v>
      </c>
      <c r="W164">
        <f>VLOOKUP($B164&amp;W$1,Data!$A$2:$D$3723,4,FALSE)</f>
        <v>1.324E-2</v>
      </c>
      <c r="X164">
        <f>VLOOKUP($B164&amp;X$1,Data!$A$2:$D$3723,4,FALSE)</f>
        <v>0.48</v>
      </c>
      <c r="Y164">
        <f>VLOOKUP($B164&amp;Y$1,Data!$A$2:$D$3723,4,FALSE)</f>
        <v>0.52</v>
      </c>
      <c r="Z164">
        <f>VLOOKUP($B164&amp;Z$1,Data!$A$2:$D$3723,4,FALSE)</f>
        <v>1.76</v>
      </c>
      <c r="AA164">
        <f>VLOOKUP($B164&amp;AA$1,Data!$A$2:$D$3723,4,FALSE)</f>
        <v>1.6E-2</v>
      </c>
      <c r="AB164">
        <f>VLOOKUP($B164&amp;AB$1,Data!$A$2:$D$3723,4,FALSE)</f>
        <v>-0.02</v>
      </c>
      <c r="AC164">
        <f>VLOOKUP($B164&amp;AC$1,Data!$A$2:$D$3723,4,FALSE)</f>
        <v>0.01</v>
      </c>
      <c r="AD164">
        <f>VLOOKUP($B164&amp;AD$1,Data!$A$2:$D$3723,4,FALSE)</f>
        <v>0</v>
      </c>
      <c r="AE164">
        <f>VLOOKUP($B164&amp;AE$1,Data!$A$2:$D$3723,4,FALSE)</f>
        <v>-0.71799999999999997</v>
      </c>
      <c r="AF164">
        <f>VLOOKUP($B164&amp;AF$1,Data!$A$2:$D$3723,4,FALSE)</f>
        <v>6.9000000000000006E-2</v>
      </c>
      <c r="AG164">
        <f>VLOOKUP($B164&amp;AG$1,Data!$A$2:$D$3723,4,FALSE)</f>
        <v>-0.71499999999999997</v>
      </c>
      <c r="AH164">
        <f>VLOOKUP($B164&amp;AH$1,Data!$A$2:$D$3723,4,FALSE)</f>
        <v>0</v>
      </c>
      <c r="AI164">
        <f>VLOOKUP($B164&amp;AI$1,Data!$A$2:$D$3723,4,FALSE)</f>
        <v>56000000</v>
      </c>
    </row>
    <row r="165" spans="2:35" hidden="1">
      <c r="B165" s="13">
        <v>164</v>
      </c>
      <c r="C165" s="13" t="s">
        <v>55</v>
      </c>
      <c r="D165" t="s">
        <v>21</v>
      </c>
      <c r="E165" t="s">
        <v>3</v>
      </c>
      <c r="F165">
        <v>1000</v>
      </c>
      <c r="G165" t="s">
        <v>17</v>
      </c>
      <c r="H165" s="5">
        <v>43831</v>
      </c>
      <c r="I165" s="5">
        <v>44562</v>
      </c>
      <c r="J165">
        <v>14</v>
      </c>
      <c r="K165">
        <v>9</v>
      </c>
      <c r="L165">
        <v>30</v>
      </c>
      <c r="M165">
        <v>70</v>
      </c>
      <c r="N165">
        <v>1000000</v>
      </c>
      <c r="O165">
        <f>VLOOKUP($B165&amp;O$1,Data!$A$2:$D$3723,4,FALSE)</f>
        <v>0.55000000000000004</v>
      </c>
      <c r="P165">
        <f>VLOOKUP($B165&amp;P$1,Data!$A$2:$D$3723,4,FALSE)</f>
        <v>1.5469999999999999</v>
      </c>
      <c r="Q165">
        <f>VLOOKUP($B165&amp;Q$1,Data!$A$2:$D$3723,4,FALSE)</f>
        <v>1016</v>
      </c>
      <c r="R165">
        <f>VLOOKUP($B165&amp;R$1,Data!$A$2:$D$3723,4,FALSE)</f>
        <v>1.5800000000000002E-2</v>
      </c>
      <c r="S165">
        <f>VLOOKUP($B165&amp;S$1,Data!$A$2:$D$3723,4,FALSE)</f>
        <v>-8.8000000000000005E-3</v>
      </c>
      <c r="T165">
        <f>VLOOKUP($B165&amp;T$1,Data!$A$2:$D$3723,4,FALSE)</f>
        <v>0.21215999999999999</v>
      </c>
      <c r="U165">
        <f>VLOOKUP($B165&amp;U$1,Data!$A$2:$D$3723,4,FALSE)</f>
        <v>5.3999999999999999E-2</v>
      </c>
      <c r="V165">
        <f>VLOOKUP($B165&amp;V$1,Data!$A$2:$D$3723,4,FALSE)</f>
        <v>0.443</v>
      </c>
      <c r="W165">
        <f>VLOOKUP($B165&amp;W$1,Data!$A$2:$D$3723,4,FALSE)</f>
        <v>0.13245000000000001</v>
      </c>
      <c r="X165">
        <f>VLOOKUP($B165&amp;X$1,Data!$A$2:$D$3723,4,FALSE)</f>
        <v>0.48</v>
      </c>
      <c r="Y165">
        <f>VLOOKUP($B165&amp;Y$1,Data!$A$2:$D$3723,4,FALSE)</f>
        <v>0.52</v>
      </c>
      <c r="Z165">
        <f>VLOOKUP($B165&amp;Z$1,Data!$A$2:$D$3723,4,FALSE)</f>
        <v>1.8</v>
      </c>
      <c r="AA165">
        <f>VLOOKUP($B165&amp;AA$1,Data!$A$2:$D$3723,4,FALSE)</f>
        <v>0.16</v>
      </c>
      <c r="AB165">
        <f>VLOOKUP($B165&amp;AB$1,Data!$A$2:$D$3723,4,FALSE)</f>
        <v>-0.184</v>
      </c>
      <c r="AC165">
        <f>VLOOKUP($B165&amp;AC$1,Data!$A$2:$D$3723,4,FALSE)</f>
        <v>9.6000000000000002E-2</v>
      </c>
      <c r="AD165">
        <f>VLOOKUP($B165&amp;AD$1,Data!$A$2:$D$3723,4,FALSE)</f>
        <v>8.9999999999999993E-3</v>
      </c>
      <c r="AE165">
        <f>VLOOKUP($B165&amp;AE$1,Data!$A$2:$D$3723,4,FALSE)</f>
        <v>0.68200000000000005</v>
      </c>
      <c r="AF165">
        <f>VLOOKUP($B165&amp;AF$1,Data!$A$2:$D$3723,4,FALSE)</f>
        <v>0.123</v>
      </c>
      <c r="AG165">
        <f>VLOOKUP($B165&amp;AG$1,Data!$A$2:$D$3723,4,FALSE)</f>
        <v>-0.80200000000000005</v>
      </c>
      <c r="AH165">
        <f>VLOOKUP($B165&amp;AH$1,Data!$A$2:$D$3723,4,FALSE)</f>
        <v>0</v>
      </c>
      <c r="AI165">
        <f>VLOOKUP($B165&amp;AI$1,Data!$A$2:$D$3723,4,FALSE)</f>
        <v>7300000</v>
      </c>
    </row>
    <row r="166" spans="2:35" hidden="1">
      <c r="B166" s="13">
        <v>165</v>
      </c>
      <c r="C166" s="13" t="s">
        <v>55</v>
      </c>
      <c r="D166" t="s">
        <v>21</v>
      </c>
      <c r="E166" t="s">
        <v>3</v>
      </c>
      <c r="F166">
        <v>5000</v>
      </c>
      <c r="G166" t="s">
        <v>17</v>
      </c>
      <c r="H166" s="5">
        <v>43831</v>
      </c>
      <c r="I166" s="5">
        <v>44562</v>
      </c>
      <c r="J166">
        <v>14</v>
      </c>
      <c r="K166">
        <v>9</v>
      </c>
      <c r="L166">
        <v>30</v>
      </c>
      <c r="M166">
        <v>70</v>
      </c>
      <c r="N166">
        <v>1000000</v>
      </c>
      <c r="O166">
        <f>VLOOKUP($B166&amp;O$1,Data!$A$2:$D$3723,4,FALSE)</f>
        <v>0.74877000000000005</v>
      </c>
      <c r="P166">
        <f>VLOOKUP($B166&amp;P$1,Data!$A$2:$D$3723,4,FALSE)</f>
        <v>2.17</v>
      </c>
      <c r="Q166">
        <f>VLOOKUP($B166&amp;Q$1,Data!$A$2:$D$3723,4,FALSE)</f>
        <v>1016</v>
      </c>
      <c r="R166">
        <f>VLOOKUP($B166&amp;R$1,Data!$A$2:$D$3723,4,FALSE)</f>
        <v>6.6699999999999995E-2</v>
      </c>
      <c r="S166">
        <f>VLOOKUP($B166&amp;S$1,Data!$A$2:$D$3723,4,FALSE)</f>
        <v>-3.4099999999999998E-2</v>
      </c>
      <c r="T166">
        <f>VLOOKUP($B166&amp;T$1,Data!$A$2:$D$3723,4,FALSE)</f>
        <v>1.19475</v>
      </c>
      <c r="U166">
        <f>VLOOKUP($B166&amp;U$1,Data!$A$2:$D$3723,4,FALSE)</f>
        <v>0.24099999999999999</v>
      </c>
      <c r="V166">
        <f>VLOOKUP($B166&amp;V$1,Data!$A$2:$D$3723,4,FALSE)</f>
        <v>0.52400000000000002</v>
      </c>
      <c r="W166">
        <f>VLOOKUP($B166&amp;W$1,Data!$A$2:$D$3723,4,FALSE)</f>
        <v>0.66222999999999999</v>
      </c>
      <c r="X166">
        <f>VLOOKUP($B166&amp;X$1,Data!$A$2:$D$3723,4,FALSE)</f>
        <v>0.48</v>
      </c>
      <c r="Y166">
        <f>VLOOKUP($B166&amp;Y$1,Data!$A$2:$D$3723,4,FALSE)</f>
        <v>0.52</v>
      </c>
      <c r="Z166">
        <f>VLOOKUP($B166&amp;Z$1,Data!$A$2:$D$3723,4,FALSE)</f>
        <v>1.96</v>
      </c>
      <c r="AA166">
        <f>VLOOKUP($B166&amp;AA$1,Data!$A$2:$D$3723,4,FALSE)</f>
        <v>0.89800000000000002</v>
      </c>
      <c r="AB166">
        <f>VLOOKUP($B166&amp;AB$1,Data!$A$2:$D$3723,4,FALSE)</f>
        <v>-0.70199999999999996</v>
      </c>
      <c r="AC166">
        <f>VLOOKUP($B166&amp;AC$1,Data!$A$2:$D$3723,4,FALSE)</f>
        <v>0.39300000000000002</v>
      </c>
      <c r="AD166">
        <f>VLOOKUP($B166&amp;AD$1,Data!$A$2:$D$3723,4,FALSE)</f>
        <v>0.155</v>
      </c>
      <c r="AE166">
        <f>VLOOKUP($B166&amp;AE$1,Data!$A$2:$D$3723,4,FALSE)</f>
        <v>1.9419999999999999</v>
      </c>
      <c r="AF166">
        <f>VLOOKUP($B166&amp;AF$1,Data!$A$2:$D$3723,4,FALSE)</f>
        <v>0.40699999999999997</v>
      </c>
      <c r="AG166">
        <f>VLOOKUP($B166&amp;AG$1,Data!$A$2:$D$3723,4,FALSE)</f>
        <v>-1.2170000000000001</v>
      </c>
      <c r="AH166">
        <f>VLOOKUP($B166&amp;AH$1,Data!$A$2:$D$3723,4,FALSE)</f>
        <v>0</v>
      </c>
      <c r="AI166">
        <f>VLOOKUP($B166&amp;AI$1,Data!$A$2:$D$3723,4,FALSE)</f>
        <v>2500000</v>
      </c>
    </row>
    <row r="167" spans="2:35" hidden="1">
      <c r="B167" s="13">
        <v>166</v>
      </c>
      <c r="C167" s="13" t="s">
        <v>55</v>
      </c>
      <c r="D167" t="s">
        <v>21</v>
      </c>
      <c r="E167" t="s">
        <v>2</v>
      </c>
      <c r="F167">
        <v>100</v>
      </c>
      <c r="G167" t="s">
        <v>17</v>
      </c>
      <c r="H167" s="5">
        <v>43831</v>
      </c>
      <c r="I167" s="5">
        <v>44562</v>
      </c>
      <c r="J167">
        <v>14</v>
      </c>
      <c r="K167">
        <v>9</v>
      </c>
      <c r="L167">
        <v>30</v>
      </c>
      <c r="M167">
        <v>70</v>
      </c>
      <c r="N167">
        <v>1000000</v>
      </c>
      <c r="O167">
        <f>VLOOKUP($B167&amp;O$1,Data!$A$2:$D$3723,4,FALSE)</f>
        <v>0.31459999999999999</v>
      </c>
      <c r="P167">
        <f>VLOOKUP($B167&amp;P$1,Data!$A$2:$D$3723,4,FALSE)</f>
        <v>0.497</v>
      </c>
      <c r="Q167">
        <f>VLOOKUP($B167&amp;Q$1,Data!$A$2:$D$3723,4,FALSE)</f>
        <v>514</v>
      </c>
      <c r="R167">
        <f>VLOOKUP($B167&amp;R$1,Data!$A$2:$D$3723,4,FALSE)</f>
        <v>1.9E-3</v>
      </c>
      <c r="S167">
        <f>VLOOKUP($B167&amp;S$1,Data!$A$2:$D$3723,4,FALSE)</f>
        <v>-2.3E-3</v>
      </c>
      <c r="T167">
        <f>VLOOKUP($B167&amp;T$1,Data!$A$2:$D$3723,4,FALSE)</f>
        <v>1.6400000000000001E-2</v>
      </c>
      <c r="U167">
        <f>VLOOKUP($B167&amp;U$1,Data!$A$2:$D$3723,4,FALSE)</f>
        <v>2.9000000000000001E-2</v>
      </c>
      <c r="V167">
        <f>VLOOKUP($B167&amp;V$1,Data!$A$2:$D$3723,4,FALSE)</f>
        <v>0.28499999999999998</v>
      </c>
      <c r="W167">
        <f>VLOOKUP($B167&amp;W$1,Data!$A$2:$D$3723,4,FALSE)</f>
        <v>1.057E-2</v>
      </c>
      <c r="X167">
        <f>VLOOKUP($B167&amp;X$1,Data!$A$2:$D$3723,4,FALSE)</f>
        <v>0.28999999999999998</v>
      </c>
      <c r="Y167">
        <f>VLOOKUP($B167&amp;Y$1,Data!$A$2:$D$3723,4,FALSE)</f>
        <v>0.71</v>
      </c>
      <c r="Z167">
        <f>VLOOKUP($B167&amp;Z$1,Data!$A$2:$D$3723,4,FALSE)</f>
        <v>0.82</v>
      </c>
      <c r="AA167">
        <f>VLOOKUP($B167&amp;AA$1,Data!$A$2:$D$3723,4,FALSE)</f>
        <v>1.7000000000000001E-2</v>
      </c>
      <c r="AB167">
        <f>VLOOKUP($B167&amp;AB$1,Data!$A$2:$D$3723,4,FALSE)</f>
        <v>-8.5999999999999993E-2</v>
      </c>
      <c r="AC167">
        <f>VLOOKUP($B167&amp;AC$1,Data!$A$2:$D$3723,4,FALSE)</f>
        <v>2.3E-2</v>
      </c>
      <c r="AD167">
        <f>VLOOKUP($B167&amp;AD$1,Data!$A$2:$D$3723,4,FALSE)</f>
        <v>1E-3</v>
      </c>
      <c r="AE167">
        <f>VLOOKUP($B167&amp;AE$1,Data!$A$2:$D$3723,4,FALSE)</f>
        <v>-0.68600000000000005</v>
      </c>
      <c r="AF167">
        <f>VLOOKUP($B167&amp;AF$1,Data!$A$2:$D$3723,4,FALSE)</f>
        <v>7.5999999999999998E-2</v>
      </c>
      <c r="AG167">
        <f>VLOOKUP($B167&amp;AG$1,Data!$A$2:$D$3723,4,FALSE)</f>
        <v>-0.13500000000000001</v>
      </c>
      <c r="AH167">
        <f>VLOOKUP($B167&amp;AH$1,Data!$A$2:$D$3723,4,FALSE)</f>
        <v>0</v>
      </c>
      <c r="AI167">
        <f>VLOOKUP($B167&amp;AI$1,Data!$A$2:$D$3723,4,FALSE)</f>
        <v>3900000000</v>
      </c>
    </row>
    <row r="168" spans="2:35" hidden="1">
      <c r="B168" s="13">
        <v>167</v>
      </c>
      <c r="C168" s="13" t="s">
        <v>55</v>
      </c>
      <c r="D168" t="s">
        <v>21</v>
      </c>
      <c r="E168" t="s">
        <v>2</v>
      </c>
      <c r="F168">
        <v>1000</v>
      </c>
      <c r="G168" t="s">
        <v>17</v>
      </c>
      <c r="H168" s="5">
        <v>43831</v>
      </c>
      <c r="I168" s="5">
        <v>44562</v>
      </c>
      <c r="J168">
        <v>14</v>
      </c>
      <c r="K168">
        <v>9</v>
      </c>
      <c r="L168">
        <v>30</v>
      </c>
      <c r="M168">
        <v>70</v>
      </c>
      <c r="N168">
        <v>1000000</v>
      </c>
      <c r="O168">
        <f>VLOOKUP($B168&amp;O$1,Data!$A$2:$D$3723,4,FALSE)</f>
        <v>0.34744000000000003</v>
      </c>
      <c r="P168">
        <f>VLOOKUP($B168&amp;P$1,Data!$A$2:$D$3723,4,FALSE)</f>
        <v>0.63200000000000001</v>
      </c>
      <c r="Q168">
        <f>VLOOKUP($B168&amp;Q$1,Data!$A$2:$D$3723,4,FALSE)</f>
        <v>514</v>
      </c>
      <c r="R168">
        <f>VLOOKUP($B168&amp;R$1,Data!$A$2:$D$3723,4,FALSE)</f>
        <v>1.7999999999999999E-2</v>
      </c>
      <c r="S168">
        <f>VLOOKUP($B168&amp;S$1,Data!$A$2:$D$3723,4,FALSE)</f>
        <v>-2.0799999999999999E-2</v>
      </c>
      <c r="T168">
        <f>VLOOKUP($B168&amp;T$1,Data!$A$2:$D$3723,4,FALSE)</f>
        <v>0.16818</v>
      </c>
      <c r="U168">
        <f>VLOOKUP($B168&amp;U$1,Data!$A$2:$D$3723,4,FALSE)</f>
        <v>0.246</v>
      </c>
      <c r="V168">
        <f>VLOOKUP($B168&amp;V$1,Data!$A$2:$D$3723,4,FALSE)</f>
        <v>0.318</v>
      </c>
      <c r="W168">
        <f>VLOOKUP($B168&amp;W$1,Data!$A$2:$D$3723,4,FALSE)</f>
        <v>0.10571</v>
      </c>
      <c r="X168">
        <f>VLOOKUP($B168&amp;X$1,Data!$A$2:$D$3723,4,FALSE)</f>
        <v>0.28999999999999998</v>
      </c>
      <c r="Y168">
        <f>VLOOKUP($B168&amp;Y$1,Data!$A$2:$D$3723,4,FALSE)</f>
        <v>0.71</v>
      </c>
      <c r="Z168">
        <f>VLOOKUP($B168&amp;Z$1,Data!$A$2:$D$3723,4,FALSE)</f>
        <v>0.87</v>
      </c>
      <c r="AA168">
        <f>VLOOKUP($B168&amp;AA$1,Data!$A$2:$D$3723,4,FALSE)</f>
        <v>0.19500000000000001</v>
      </c>
      <c r="AB168">
        <f>VLOOKUP($B168&amp;AB$1,Data!$A$2:$D$3723,4,FALSE)</f>
        <v>-0.82899999999999996</v>
      </c>
      <c r="AC168">
        <f>VLOOKUP($B168&amp;AC$1,Data!$A$2:$D$3723,4,FALSE)</f>
        <v>0.22500000000000001</v>
      </c>
      <c r="AD168">
        <f>VLOOKUP($B168&amp;AD$1,Data!$A$2:$D$3723,4,FALSE)</f>
        <v>5.0999999999999997E-2</v>
      </c>
      <c r="AE168">
        <f>VLOOKUP($B168&amp;AE$1,Data!$A$2:$D$3723,4,FALSE)</f>
        <v>0.314</v>
      </c>
      <c r="AF168">
        <f>VLOOKUP($B168&amp;AF$1,Data!$A$2:$D$3723,4,FALSE)</f>
        <v>0.25</v>
      </c>
      <c r="AG168">
        <f>VLOOKUP($B168&amp;AG$1,Data!$A$2:$D$3723,4,FALSE)</f>
        <v>-0.17199999999999999</v>
      </c>
      <c r="AH168">
        <f>VLOOKUP($B168&amp;AH$1,Data!$A$2:$D$3723,4,FALSE)</f>
        <v>0</v>
      </c>
      <c r="AI168">
        <f>VLOOKUP($B168&amp;AI$1,Data!$A$2:$D$3723,4,FALSE)</f>
        <v>430000000</v>
      </c>
    </row>
    <row r="169" spans="2:35" hidden="1">
      <c r="B169" s="13">
        <v>168</v>
      </c>
      <c r="C169" s="13" t="s">
        <v>55</v>
      </c>
      <c r="D169" t="s">
        <v>21</v>
      </c>
      <c r="E169" t="s">
        <v>2</v>
      </c>
      <c r="F169">
        <v>5000</v>
      </c>
      <c r="G169" t="s">
        <v>17</v>
      </c>
      <c r="H169" s="5">
        <v>43831</v>
      </c>
      <c r="I169" s="5">
        <v>44562</v>
      </c>
      <c r="J169">
        <v>14</v>
      </c>
      <c r="K169">
        <v>9</v>
      </c>
      <c r="L169">
        <v>30</v>
      </c>
      <c r="M169">
        <v>70</v>
      </c>
      <c r="N169">
        <v>1000000</v>
      </c>
      <c r="O169">
        <f>VLOOKUP($B169&amp;O$1,Data!$A$2:$D$3723,4,FALSE)</f>
        <v>0.41891</v>
      </c>
      <c r="P169">
        <f>VLOOKUP($B169&amp;P$1,Data!$A$2:$D$3723,4,FALSE)</f>
        <v>1.224</v>
      </c>
      <c r="Q169">
        <f>VLOOKUP($B169&amp;Q$1,Data!$A$2:$D$3723,4,FALSE)</f>
        <v>516</v>
      </c>
      <c r="R169">
        <f>VLOOKUP($B169&amp;R$1,Data!$A$2:$D$3723,4,FALSE)</f>
        <v>7.4499999999999997E-2</v>
      </c>
      <c r="S169">
        <f>VLOOKUP($B169&amp;S$1,Data!$A$2:$D$3723,4,FALSE)</f>
        <v>-7.4700000000000003E-2</v>
      </c>
      <c r="T169">
        <f>VLOOKUP($B169&amp;T$1,Data!$A$2:$D$3723,4,FALSE)</f>
        <v>0.51556999999999997</v>
      </c>
      <c r="U169">
        <f>VLOOKUP($B169&amp;U$1,Data!$A$2:$D$3723,4,FALSE)</f>
        <v>0.73799999999999999</v>
      </c>
      <c r="V169">
        <f>VLOOKUP($B169&amp;V$1,Data!$A$2:$D$3723,4,FALSE)</f>
        <v>0.26100000000000001</v>
      </c>
      <c r="W169">
        <f>VLOOKUP($B169&amp;W$1,Data!$A$2:$D$3723,4,FALSE)</f>
        <v>0.30837999999999999</v>
      </c>
      <c r="X169">
        <f>VLOOKUP($B169&amp;X$1,Data!$A$2:$D$3723,4,FALSE)</f>
        <v>0.37</v>
      </c>
      <c r="Y169">
        <f>VLOOKUP($B169&amp;Y$1,Data!$A$2:$D$3723,4,FALSE)</f>
        <v>0.63</v>
      </c>
      <c r="Z169">
        <f>VLOOKUP($B169&amp;Z$1,Data!$A$2:$D$3723,4,FALSE)</f>
        <v>1</v>
      </c>
      <c r="AA169">
        <f>VLOOKUP($B169&amp;AA$1,Data!$A$2:$D$3723,4,FALSE)</f>
        <v>1.5</v>
      </c>
      <c r="AB169">
        <f>VLOOKUP($B169&amp;AB$1,Data!$A$2:$D$3723,4,FALSE)</f>
        <v>-3.633</v>
      </c>
      <c r="AC169">
        <f>VLOOKUP($B169&amp;AC$1,Data!$A$2:$D$3723,4,FALSE)</f>
        <v>1.0369999999999999</v>
      </c>
      <c r="AD169">
        <f>VLOOKUP($B169&amp;AD$1,Data!$A$2:$D$3723,4,FALSE)</f>
        <v>1.0740000000000001</v>
      </c>
      <c r="AE169">
        <f>VLOOKUP($B169&amp;AE$1,Data!$A$2:$D$3723,4,FALSE)</f>
        <v>1.143</v>
      </c>
      <c r="AF169">
        <f>VLOOKUP($B169&amp;AF$1,Data!$A$2:$D$3723,4,FALSE)</f>
        <v>1.054</v>
      </c>
      <c r="AG169">
        <f>VLOOKUP($B169&amp;AG$1,Data!$A$2:$D$3723,4,FALSE)</f>
        <v>-0.34899999999999998</v>
      </c>
      <c r="AH169">
        <f>VLOOKUP($B169&amp;AH$1,Data!$A$2:$D$3723,4,FALSE)</f>
        <v>0</v>
      </c>
      <c r="AI169">
        <f>VLOOKUP($B169&amp;AI$1,Data!$A$2:$D$3723,4,FALSE)</f>
        <v>100000000</v>
      </c>
    </row>
    <row r="170" spans="2:35" hidden="1">
      <c r="B170" s="13">
        <v>169</v>
      </c>
      <c r="C170" s="13" t="s">
        <v>55</v>
      </c>
      <c r="D170" t="s">
        <v>21</v>
      </c>
      <c r="E170" t="s">
        <v>22</v>
      </c>
      <c r="F170">
        <v>100</v>
      </c>
      <c r="G170" t="s">
        <v>17</v>
      </c>
      <c r="H170" s="5">
        <v>43831</v>
      </c>
      <c r="I170" s="5">
        <v>44562</v>
      </c>
      <c r="J170">
        <v>14</v>
      </c>
      <c r="K170">
        <v>9</v>
      </c>
      <c r="L170">
        <v>30</v>
      </c>
      <c r="M170">
        <v>70</v>
      </c>
      <c r="N170">
        <v>1000000</v>
      </c>
      <c r="O170">
        <f>VLOOKUP($B170&amp;O$1,Data!$A$2:$D$3723,4,FALSE)</f>
        <v>0.73838000000000004</v>
      </c>
      <c r="P170">
        <f>VLOOKUP($B170&amp;P$1,Data!$A$2:$D$3723,4,FALSE)</f>
        <v>1.569</v>
      </c>
      <c r="Q170">
        <f>VLOOKUP($B170&amp;Q$1,Data!$A$2:$D$3723,4,FALSE)</f>
        <v>368</v>
      </c>
      <c r="R170">
        <f>VLOOKUP($B170&amp;R$1,Data!$A$2:$D$3723,4,FALSE)</f>
        <v>4.4000000000000003E-3</v>
      </c>
      <c r="S170">
        <f>VLOOKUP($B170&amp;S$1,Data!$A$2:$D$3723,4,FALSE)</f>
        <v>-1.6000000000000001E-3</v>
      </c>
      <c r="T170">
        <f>VLOOKUP($B170&amp;T$1,Data!$A$2:$D$3723,4,FALSE)</f>
        <v>3.4750000000000003E-2</v>
      </c>
      <c r="U170">
        <f>VLOOKUP($B170&amp;U$1,Data!$A$2:$D$3723,4,FALSE)</f>
        <v>7.0000000000000001E-3</v>
      </c>
      <c r="V170">
        <f>VLOOKUP($B170&amp;V$1,Data!$A$2:$D$3723,4,FALSE)</f>
        <v>1.2190000000000001</v>
      </c>
      <c r="W170">
        <f>VLOOKUP($B170&amp;W$1,Data!$A$2:$D$3723,4,FALSE)</f>
        <v>2.2329999999999999E-2</v>
      </c>
      <c r="X170">
        <f>VLOOKUP($B170&amp;X$1,Data!$A$2:$D$3723,4,FALSE)</f>
        <v>0.42</v>
      </c>
      <c r="Y170">
        <f>VLOOKUP($B170&amp;Y$1,Data!$A$2:$D$3723,4,FALSE)</f>
        <v>0.57999999999999996</v>
      </c>
      <c r="Z170">
        <f>VLOOKUP($B170&amp;Z$1,Data!$A$2:$D$3723,4,FALSE)</f>
        <v>2.8</v>
      </c>
      <c r="AA170">
        <f>VLOOKUP($B170&amp;AA$1,Data!$A$2:$D$3723,4,FALSE)</f>
        <v>2.8000000000000001E-2</v>
      </c>
      <c r="AB170">
        <f>VLOOKUP($B170&amp;AB$1,Data!$A$2:$D$3723,4,FALSE)</f>
        <v>-6.3E-2</v>
      </c>
      <c r="AC170">
        <f>VLOOKUP($B170&amp;AC$1,Data!$A$2:$D$3723,4,FALSE)</f>
        <v>1.4999999999999999E-2</v>
      </c>
      <c r="AD170">
        <f>VLOOKUP($B170&amp;AD$1,Data!$A$2:$D$3723,4,FALSE)</f>
        <v>0</v>
      </c>
      <c r="AE170">
        <f>VLOOKUP($B170&amp;AE$1,Data!$A$2:$D$3723,4,FALSE)</f>
        <v>-0.54600000000000004</v>
      </c>
      <c r="AF170">
        <f>VLOOKUP($B170&amp;AF$1,Data!$A$2:$D$3723,4,FALSE)</f>
        <v>7.1999999999999995E-2</v>
      </c>
      <c r="AG170">
        <f>VLOOKUP($B170&amp;AG$1,Data!$A$2:$D$3723,4,FALSE)</f>
        <v>-0.38100000000000001</v>
      </c>
      <c r="AH170">
        <f>VLOOKUP($B170&amp;AH$1,Data!$A$2:$D$3723,4,FALSE)</f>
        <v>0</v>
      </c>
      <c r="AI170">
        <f>VLOOKUP($B170&amp;AI$1,Data!$A$2:$D$3723,4,FALSE)</f>
        <v>2700000000</v>
      </c>
    </row>
    <row r="171" spans="2:35" hidden="1">
      <c r="B171" s="13">
        <v>170</v>
      </c>
      <c r="C171" s="13" t="s">
        <v>55</v>
      </c>
      <c r="D171" t="s">
        <v>21</v>
      </c>
      <c r="E171" t="s">
        <v>22</v>
      </c>
      <c r="F171">
        <v>1000</v>
      </c>
      <c r="G171" t="s">
        <v>17</v>
      </c>
      <c r="H171" s="5">
        <v>43831</v>
      </c>
      <c r="I171" s="5">
        <v>44562</v>
      </c>
      <c r="J171">
        <v>14</v>
      </c>
      <c r="K171">
        <v>9</v>
      </c>
      <c r="L171">
        <v>30</v>
      </c>
      <c r="M171">
        <v>70</v>
      </c>
      <c r="N171">
        <v>1000000</v>
      </c>
      <c r="O171">
        <f>VLOOKUP($B171&amp;O$1,Data!$A$2:$D$3723,4,FALSE)</f>
        <v>0.74775000000000003</v>
      </c>
      <c r="P171">
        <f>VLOOKUP($B171&amp;P$1,Data!$A$2:$D$3723,4,FALSE)</f>
        <v>1.7569999999999999</v>
      </c>
      <c r="Q171">
        <f>VLOOKUP($B171&amp;Q$1,Data!$A$2:$D$3723,4,FALSE)</f>
        <v>368</v>
      </c>
      <c r="R171">
        <f>VLOOKUP($B171&amp;R$1,Data!$A$2:$D$3723,4,FALSE)</f>
        <v>4.1000000000000002E-2</v>
      </c>
      <c r="S171">
        <f>VLOOKUP($B171&amp;S$1,Data!$A$2:$D$3723,4,FALSE)</f>
        <v>-1.44E-2</v>
      </c>
      <c r="T171">
        <f>VLOOKUP($B171&amp;T$1,Data!$A$2:$D$3723,4,FALSE)</f>
        <v>0.36585000000000001</v>
      </c>
      <c r="U171">
        <f>VLOOKUP($B171&amp;U$1,Data!$A$2:$D$3723,4,FALSE)</f>
        <v>5.8999999999999997E-2</v>
      </c>
      <c r="V171">
        <f>VLOOKUP($B171&amp;V$1,Data!$A$2:$D$3723,4,FALSE)</f>
        <v>1.2390000000000001</v>
      </c>
      <c r="W171">
        <f>VLOOKUP($B171&amp;W$1,Data!$A$2:$D$3723,4,FALSE)</f>
        <v>0.2233</v>
      </c>
      <c r="X171">
        <f>VLOOKUP($B171&amp;X$1,Data!$A$2:$D$3723,4,FALSE)</f>
        <v>0.42</v>
      </c>
      <c r="Y171">
        <f>VLOOKUP($B171&amp;Y$1,Data!$A$2:$D$3723,4,FALSE)</f>
        <v>0.57999999999999996</v>
      </c>
      <c r="Z171">
        <f>VLOOKUP($B171&amp;Z$1,Data!$A$2:$D$3723,4,FALSE)</f>
        <v>2.84</v>
      </c>
      <c r="AA171">
        <f>VLOOKUP($B171&amp;AA$1,Data!$A$2:$D$3723,4,FALSE)</f>
        <v>0.29199999999999998</v>
      </c>
      <c r="AB171">
        <f>VLOOKUP($B171&amp;AB$1,Data!$A$2:$D$3723,4,FALSE)</f>
        <v>-0.59399999999999997</v>
      </c>
      <c r="AC171">
        <f>VLOOKUP($B171&amp;AC$1,Data!$A$2:$D$3723,4,FALSE)</f>
        <v>0.14499999999999999</v>
      </c>
      <c r="AD171">
        <f>VLOOKUP($B171&amp;AD$1,Data!$A$2:$D$3723,4,FALSE)</f>
        <v>2.1000000000000001E-2</v>
      </c>
      <c r="AE171">
        <f>VLOOKUP($B171&amp;AE$1,Data!$A$2:$D$3723,4,FALSE)</f>
        <v>1.087</v>
      </c>
      <c r="AF171">
        <f>VLOOKUP($B171&amp;AF$1,Data!$A$2:$D$3723,4,FALSE)</f>
        <v>0.17499999999999999</v>
      </c>
      <c r="AG171">
        <f>VLOOKUP($B171&amp;AG$1,Data!$A$2:$D$3723,4,FALSE)</f>
        <v>-0.42699999999999999</v>
      </c>
      <c r="AH171">
        <f>VLOOKUP($B171&amp;AH$1,Data!$A$2:$D$3723,4,FALSE)</f>
        <v>0</v>
      </c>
      <c r="AI171">
        <f>VLOOKUP($B171&amp;AI$1,Data!$A$2:$D$3723,4,FALSE)</f>
        <v>330000000</v>
      </c>
    </row>
    <row r="172" spans="2:35" hidden="1">
      <c r="B172" s="13">
        <v>171</v>
      </c>
      <c r="C172" s="13" t="s">
        <v>55</v>
      </c>
      <c r="D172" t="s">
        <v>21</v>
      </c>
      <c r="E172" t="s">
        <v>22</v>
      </c>
      <c r="F172">
        <v>5000</v>
      </c>
      <c r="G172" t="s">
        <v>17</v>
      </c>
      <c r="H172" s="5">
        <v>43831</v>
      </c>
      <c r="I172" s="5">
        <v>44562</v>
      </c>
      <c r="J172">
        <v>14</v>
      </c>
      <c r="K172">
        <v>9</v>
      </c>
      <c r="L172">
        <v>30</v>
      </c>
      <c r="M172">
        <v>70</v>
      </c>
      <c r="N172">
        <v>1000000</v>
      </c>
      <c r="O172">
        <f>VLOOKUP($B172&amp;O$1,Data!$A$2:$D$5000,4,FALSE)</f>
        <v>0.77110999999999996</v>
      </c>
      <c r="P172">
        <f>VLOOKUP($B172&amp;P$1,Data!$A$2:$D$5000,4,FALSE)</f>
        <v>2.7010000000000001</v>
      </c>
      <c r="Q172">
        <f>VLOOKUP($B172&amp;Q$1,Data!$A$2:$D$5000,4,FALSE)</f>
        <v>368</v>
      </c>
      <c r="R172">
        <f>VLOOKUP($B172&amp;R$1,Data!$A$2:$D$5000,4,FALSE)</f>
        <v>0.17030000000000001</v>
      </c>
      <c r="S172">
        <f>VLOOKUP($B172&amp;S$1,Data!$A$2:$D$5000,4,FALSE)</f>
        <v>-5.7599999999999998E-2</v>
      </c>
      <c r="T172">
        <f>VLOOKUP($B172&amp;T$1,Data!$A$2:$D$5000,4,FALSE)</f>
        <v>2.1892800000000001</v>
      </c>
      <c r="U172">
        <f>VLOOKUP($B172&amp;U$1,Data!$A$2:$D$5000,4,FALSE)</f>
        <v>0.252</v>
      </c>
      <c r="V172">
        <f>VLOOKUP($B172&amp;V$1,Data!$A$2:$D$5000,4,FALSE)</f>
        <v>1.3089999999999999</v>
      </c>
      <c r="W172">
        <f>VLOOKUP($B172&amp;W$1,Data!$A$2:$D$5000,4,FALSE)</f>
        <v>1.1165</v>
      </c>
      <c r="X172">
        <f>VLOOKUP($B172&amp;X$1,Data!$A$2:$D$5000,4,FALSE)</f>
        <v>0.42</v>
      </c>
      <c r="Y172">
        <f>VLOOKUP($B172&amp;Y$1,Data!$A$2:$D$5000,4,FALSE)</f>
        <v>0.57999999999999996</v>
      </c>
      <c r="Z172">
        <f>VLOOKUP($B172&amp;Z$1,Data!$A$2:$D$5000,4,FALSE)</f>
        <v>2.96</v>
      </c>
      <c r="AA172">
        <f>VLOOKUP($B172&amp;AA$1,Data!$A$2:$D$5000,4,FALSE)</f>
        <v>1.7809999999999999</v>
      </c>
      <c r="AB172">
        <f>VLOOKUP($B172&amp;AB$1,Data!$A$2:$D$5000,4,FALSE)</f>
        <v>-2.403</v>
      </c>
      <c r="AC172">
        <f>VLOOKUP($B172&amp;AC$1,Data!$A$2:$D$5000,4,FALSE)</f>
        <v>0.60299999999999998</v>
      </c>
      <c r="AD172">
        <f>VLOOKUP($B172&amp;AD$1,Data!$A$2:$D$5000,4,FALSE)</f>
        <v>0.36399999999999999</v>
      </c>
      <c r="AE172">
        <f>VLOOKUP($B172&amp;AE$1,Data!$A$2:$D$5000,4,FALSE)</f>
        <v>2.5070000000000001</v>
      </c>
      <c r="AF172">
        <f>VLOOKUP($B172&amp;AF$1,Data!$A$2:$D$5000,4,FALSE)</f>
        <v>0.624</v>
      </c>
      <c r="AG172">
        <f>VLOOKUP($B172&amp;AG$1,Data!$A$2:$D$5000,4,FALSE)</f>
        <v>-0.67700000000000005</v>
      </c>
      <c r="AH172">
        <f>VLOOKUP($B172&amp;AH$1,Data!$A$2:$D$5000,4,FALSE)</f>
        <v>0</v>
      </c>
      <c r="AI172">
        <f>VLOOKUP($B172&amp;AI$1,Data!$A$2:$D$5000,4,FALSE)</f>
        <v>120000000</v>
      </c>
    </row>
    <row r="173" spans="2:35" hidden="1">
      <c r="B173" s="13">
        <v>172</v>
      </c>
      <c r="C173" s="13" t="s">
        <v>55</v>
      </c>
      <c r="D173" t="s">
        <v>21</v>
      </c>
      <c r="E173" t="s">
        <v>3</v>
      </c>
      <c r="F173">
        <v>100</v>
      </c>
      <c r="G173" t="s">
        <v>17</v>
      </c>
      <c r="H173" s="5">
        <v>43831</v>
      </c>
      <c r="I173" s="5">
        <v>44562</v>
      </c>
      <c r="J173">
        <v>14</v>
      </c>
      <c r="K173">
        <v>9</v>
      </c>
      <c r="L173">
        <v>32</v>
      </c>
      <c r="M173">
        <v>68</v>
      </c>
      <c r="N173">
        <v>1000000</v>
      </c>
      <c r="O173">
        <f>VLOOKUP($B173&amp;O$1,Data!$A$2:$D$3723,4,FALSE)</f>
        <v>0.10909000000000001</v>
      </c>
      <c r="P173">
        <f>VLOOKUP($B173&amp;P$1,Data!$A$2:$D$3723,4,FALSE)</f>
        <v>-0.28199999999999997</v>
      </c>
      <c r="Q173">
        <f>VLOOKUP($B173&amp;Q$1,Data!$A$2:$D$3723,4,FALSE)</f>
        <v>1285</v>
      </c>
      <c r="R173">
        <f>VLOOKUP($B173&amp;R$1,Data!$A$2:$D$3723,4,FALSE)</f>
        <v>8.5000000000000006E-3</v>
      </c>
      <c r="S173">
        <f>VLOOKUP($B173&amp;S$1,Data!$A$2:$D$3723,4,FALSE)</f>
        <v>-9.2999999999999992E-3</v>
      </c>
      <c r="T173">
        <f>VLOOKUP($B173&amp;T$1,Data!$A$2:$D$3723,4,FALSE)</f>
        <v>-4.3029999999999999E-2</v>
      </c>
      <c r="U173">
        <f>VLOOKUP($B173&amp;U$1,Data!$A$2:$D$3723,4,FALSE)</f>
        <v>0.10299999999999999</v>
      </c>
      <c r="V173">
        <f>VLOOKUP($B173&amp;V$1,Data!$A$2:$D$3723,4,FALSE)</f>
        <v>-8.8999999999999996E-2</v>
      </c>
      <c r="W173">
        <f>VLOOKUP($B173&amp;W$1,Data!$A$2:$D$3723,4,FALSE)</f>
        <v>-2.8029999999999999E-2</v>
      </c>
      <c r="X173">
        <f>VLOOKUP($B173&amp;X$1,Data!$A$2:$D$3723,4,FALSE)</f>
        <v>0.52</v>
      </c>
      <c r="Y173">
        <f>VLOOKUP($B173&amp;Y$1,Data!$A$2:$D$3723,4,FALSE)</f>
        <v>0.48</v>
      </c>
      <c r="Z173">
        <f>VLOOKUP($B173&amp;Z$1,Data!$A$2:$D$3723,4,FALSE)</f>
        <v>0.91</v>
      </c>
      <c r="AA173">
        <f>VLOOKUP($B173&amp;AA$1,Data!$A$2:$D$3723,4,FALSE)</f>
        <v>0</v>
      </c>
      <c r="AB173">
        <f>VLOOKUP($B173&amp;AB$1,Data!$A$2:$D$3723,4,FALSE)</f>
        <v>-0.41</v>
      </c>
      <c r="AC173">
        <f>VLOOKUP($B173&amp;AC$1,Data!$A$2:$D$3723,4,FALSE)</f>
        <v>9.1999999999999998E-2</v>
      </c>
      <c r="AD173">
        <f>VLOOKUP($B173&amp;AD$1,Data!$A$2:$D$3723,4,FALSE)</f>
        <v>8.0000000000000002E-3</v>
      </c>
      <c r="AE173">
        <f>VLOOKUP($B173&amp;AE$1,Data!$A$2:$D$3723,4,FALSE)</f>
        <v>-0.69599999999999995</v>
      </c>
      <c r="AF173">
        <f>VLOOKUP($B173&amp;AF$1,Data!$A$2:$D$3723,4,FALSE)</f>
        <v>0.129</v>
      </c>
      <c r="AG173">
        <f>VLOOKUP($B173&amp;AG$1,Data!$A$2:$D$3723,4,FALSE)</f>
        <v>6.3E-2</v>
      </c>
      <c r="AH173">
        <f>VLOOKUP($B173&amp;AH$1,Data!$A$2:$D$3723,4,FALSE)</f>
        <v>0</v>
      </c>
      <c r="AI173">
        <f>VLOOKUP($B173&amp;AI$1,Data!$A$2:$D$3723,4,FALSE)</f>
        <v>7900000</v>
      </c>
    </row>
    <row r="174" spans="2:35" hidden="1">
      <c r="B174" s="13">
        <v>173</v>
      </c>
      <c r="C174" s="13" t="s">
        <v>55</v>
      </c>
      <c r="D174" t="s">
        <v>21</v>
      </c>
      <c r="E174" t="s">
        <v>3</v>
      </c>
      <c r="F174">
        <v>1000</v>
      </c>
      <c r="G174" t="s">
        <v>17</v>
      </c>
      <c r="H174" s="5">
        <v>43831</v>
      </c>
      <c r="I174" s="5">
        <v>44562</v>
      </c>
      <c r="J174">
        <v>14</v>
      </c>
      <c r="K174">
        <v>9</v>
      </c>
      <c r="L174">
        <v>32</v>
      </c>
      <c r="M174">
        <v>68</v>
      </c>
      <c r="N174">
        <v>1000000</v>
      </c>
      <c r="O174">
        <f>VLOOKUP($B174&amp;O$1,Data!$A$2:$D$3723,4,FALSE)</f>
        <v>0.10909000000000001</v>
      </c>
      <c r="P174">
        <f>VLOOKUP($B174&amp;P$1,Data!$A$2:$D$3723,4,FALSE)</f>
        <v>-0.28199999999999997</v>
      </c>
      <c r="Q174">
        <f>VLOOKUP($B174&amp;Q$1,Data!$A$2:$D$3723,4,FALSE)</f>
        <v>1285</v>
      </c>
      <c r="R174">
        <f>VLOOKUP($B174&amp;R$1,Data!$A$2:$D$3723,4,FALSE)</f>
        <v>8.5000000000000006E-3</v>
      </c>
      <c r="S174">
        <f>VLOOKUP($B174&amp;S$1,Data!$A$2:$D$3723,4,FALSE)</f>
        <v>-9.2999999999999992E-3</v>
      </c>
      <c r="T174">
        <f>VLOOKUP($B174&amp;T$1,Data!$A$2:$D$3723,4,FALSE)</f>
        <v>-4.3029999999999999E-2</v>
      </c>
      <c r="U174">
        <f>VLOOKUP($B174&amp;U$1,Data!$A$2:$D$3723,4,FALSE)</f>
        <v>0.10299999999999999</v>
      </c>
      <c r="V174">
        <f>VLOOKUP($B174&amp;V$1,Data!$A$2:$D$3723,4,FALSE)</f>
        <v>-8.8999999999999996E-2</v>
      </c>
      <c r="W174">
        <f>VLOOKUP($B174&amp;W$1,Data!$A$2:$D$3723,4,FALSE)</f>
        <v>-2.8029999999999999E-2</v>
      </c>
      <c r="X174">
        <f>VLOOKUP($B174&amp;X$1,Data!$A$2:$D$3723,4,FALSE)</f>
        <v>0.52</v>
      </c>
      <c r="Y174">
        <f>VLOOKUP($B174&amp;Y$1,Data!$A$2:$D$3723,4,FALSE)</f>
        <v>0.48</v>
      </c>
      <c r="Z174">
        <f>VLOOKUP($B174&amp;Z$1,Data!$A$2:$D$3723,4,FALSE)</f>
        <v>0.91</v>
      </c>
      <c r="AA174">
        <f>VLOOKUP($B174&amp;AA$1,Data!$A$2:$D$3723,4,FALSE)</f>
        <v>0</v>
      </c>
      <c r="AB174">
        <f>VLOOKUP($B174&amp;AB$1,Data!$A$2:$D$3723,4,FALSE)</f>
        <v>-0.41</v>
      </c>
      <c r="AC174">
        <f>VLOOKUP($B174&amp;AC$1,Data!$A$2:$D$3723,4,FALSE)</f>
        <v>9.1999999999999998E-2</v>
      </c>
      <c r="AD174">
        <f>VLOOKUP($B174&amp;AD$1,Data!$A$2:$D$3723,4,FALSE)</f>
        <v>8.0000000000000002E-3</v>
      </c>
      <c r="AE174">
        <f>VLOOKUP($B174&amp;AE$1,Data!$A$2:$D$3723,4,FALSE)</f>
        <v>-0.69599999999999995</v>
      </c>
      <c r="AF174">
        <f>VLOOKUP($B174&amp;AF$1,Data!$A$2:$D$3723,4,FALSE)</f>
        <v>0.129</v>
      </c>
      <c r="AG174">
        <f>VLOOKUP($B174&amp;AG$1,Data!$A$2:$D$3723,4,FALSE)</f>
        <v>6.3E-2</v>
      </c>
      <c r="AH174">
        <f>VLOOKUP($B174&amp;AH$1,Data!$A$2:$D$3723,4,FALSE)</f>
        <v>0</v>
      </c>
      <c r="AI174">
        <f>VLOOKUP($B174&amp;AI$1,Data!$A$2:$D$3723,4,FALSE)</f>
        <v>7900000</v>
      </c>
    </row>
    <row r="175" spans="2:35" hidden="1">
      <c r="B175" s="13">
        <v>174</v>
      </c>
      <c r="C175" s="13" t="s">
        <v>55</v>
      </c>
      <c r="D175" t="s">
        <v>21</v>
      </c>
      <c r="E175" t="s">
        <v>3</v>
      </c>
      <c r="F175">
        <v>5000</v>
      </c>
      <c r="G175" t="s">
        <v>17</v>
      </c>
      <c r="H175" s="5">
        <v>43831</v>
      </c>
      <c r="I175" s="5">
        <v>44562</v>
      </c>
      <c r="J175">
        <v>14</v>
      </c>
      <c r="K175">
        <v>9</v>
      </c>
      <c r="L175">
        <v>32</v>
      </c>
      <c r="M175">
        <v>68</v>
      </c>
      <c r="N175">
        <v>1000000</v>
      </c>
      <c r="O175">
        <f>VLOOKUP($B175&amp;O$1,Data!$A$2:$D$3723,4,FALSE)</f>
        <v>0.12884999999999999</v>
      </c>
      <c r="P175">
        <f>VLOOKUP($B175&amp;P$1,Data!$A$2:$D$3723,4,FALSE)</f>
        <v>-0.17100000000000001</v>
      </c>
      <c r="Q175">
        <f>VLOOKUP($B175&amp;Q$1,Data!$A$2:$D$3723,4,FALSE)</f>
        <v>1277</v>
      </c>
      <c r="R175">
        <f>VLOOKUP($B175&amp;R$1,Data!$A$2:$D$3723,4,FALSE)</f>
        <v>5.33E-2</v>
      </c>
      <c r="S175">
        <f>VLOOKUP($B175&amp;S$1,Data!$A$2:$D$3723,4,FALSE)</f>
        <v>-5.2200000000000003E-2</v>
      </c>
      <c r="T175">
        <f>VLOOKUP($B175&amp;T$1,Data!$A$2:$D$3723,4,FALSE)</f>
        <v>-0.29631000000000002</v>
      </c>
      <c r="U175">
        <f>VLOOKUP($B175&amp;U$1,Data!$A$2:$D$3723,4,FALSE)</f>
        <v>0.497</v>
      </c>
      <c r="V175">
        <f>VLOOKUP($B175&amp;V$1,Data!$A$2:$D$3723,4,FALSE)</f>
        <v>-8.5999999999999993E-2</v>
      </c>
      <c r="W175">
        <f>VLOOKUP($B175&amp;W$1,Data!$A$2:$D$3723,4,FALSE)</f>
        <v>-0.20322000000000001</v>
      </c>
      <c r="X175">
        <f>VLOOKUP($B175&amp;X$1,Data!$A$2:$D$3723,4,FALSE)</f>
        <v>0.55000000000000004</v>
      </c>
      <c r="Y175">
        <f>VLOOKUP($B175&amp;Y$1,Data!$A$2:$D$3723,4,FALSE)</f>
        <v>0.45</v>
      </c>
      <c r="Z175">
        <f>VLOOKUP($B175&amp;Z$1,Data!$A$2:$D$3723,4,FALSE)</f>
        <v>1.02</v>
      </c>
      <c r="AA175">
        <f>VLOOKUP($B175&amp;AA$1,Data!$A$2:$D$3723,4,FALSE)</f>
        <v>6.2E-2</v>
      </c>
      <c r="AB175">
        <f>VLOOKUP($B175&amp;AB$1,Data!$A$2:$D$3723,4,FALSE)</f>
        <v>-2.4380000000000002</v>
      </c>
      <c r="AC175">
        <f>VLOOKUP($B175&amp;AC$1,Data!$A$2:$D$3723,4,FALSE)</f>
        <v>0.54400000000000004</v>
      </c>
      <c r="AD175">
        <f>VLOOKUP($B175&amp;AD$1,Data!$A$2:$D$3723,4,FALSE)</f>
        <v>0.29599999999999999</v>
      </c>
      <c r="AE175">
        <f>VLOOKUP($B175&amp;AE$1,Data!$A$2:$D$3723,4,FALSE)</f>
        <v>-0.27600000000000002</v>
      </c>
      <c r="AF175">
        <f>VLOOKUP($B175&amp;AF$1,Data!$A$2:$D$3723,4,FALSE)</f>
        <v>0.56699999999999995</v>
      </c>
      <c r="AG175">
        <f>VLOOKUP($B175&amp;AG$1,Data!$A$2:$D$3723,4,FALSE)</f>
        <v>3.7999999999999999E-2</v>
      </c>
      <c r="AH175">
        <f>VLOOKUP($B175&amp;AH$1,Data!$A$2:$D$3723,4,FALSE)</f>
        <v>0</v>
      </c>
      <c r="AI175">
        <f>VLOOKUP($B175&amp;AI$1,Data!$A$2:$D$3723,4,FALSE)</f>
        <v>1700000</v>
      </c>
    </row>
    <row r="176" spans="2:35" hidden="1">
      <c r="B176" s="13">
        <v>175</v>
      </c>
      <c r="C176" s="13" t="s">
        <v>55</v>
      </c>
      <c r="D176" t="s">
        <v>21</v>
      </c>
      <c r="E176" t="s">
        <v>2</v>
      </c>
      <c r="F176">
        <v>100</v>
      </c>
      <c r="G176" t="s">
        <v>17</v>
      </c>
      <c r="H176" s="5">
        <v>43831</v>
      </c>
      <c r="I176" s="5">
        <v>44562</v>
      </c>
      <c r="J176">
        <v>14</v>
      </c>
      <c r="K176">
        <v>9</v>
      </c>
      <c r="L176">
        <v>32</v>
      </c>
      <c r="M176">
        <v>68</v>
      </c>
      <c r="N176">
        <v>1000000</v>
      </c>
      <c r="O176">
        <f>VLOOKUP($B176&amp;O$1,Data!$A$2:$D$3723,4,FALSE)</f>
        <v>3.7479999999999999E-2</v>
      </c>
      <c r="P176">
        <f>VLOOKUP($B176&amp;P$1,Data!$A$2:$D$3723,4,FALSE)</f>
        <v>-0.746</v>
      </c>
      <c r="Q176">
        <f>VLOOKUP($B176&amp;Q$1,Data!$A$2:$D$3723,4,FALSE)</f>
        <v>690</v>
      </c>
      <c r="R176">
        <f>VLOOKUP($B176&amp;R$1,Data!$A$2:$D$3723,4,FALSE)</f>
        <v>2E-3</v>
      </c>
      <c r="S176">
        <f>VLOOKUP($B176&amp;S$1,Data!$A$2:$D$3723,4,FALSE)</f>
        <v>-1.8E-3</v>
      </c>
      <c r="T176">
        <f>VLOOKUP($B176&amp;T$1,Data!$A$2:$D$3723,4,FALSE)</f>
        <v>-1.4670000000000001E-2</v>
      </c>
      <c r="U176">
        <f>VLOOKUP($B176&amp;U$1,Data!$A$2:$D$3723,4,FALSE)</f>
        <v>1.7000000000000001E-2</v>
      </c>
      <c r="V176">
        <f>VLOOKUP($B176&amp;V$1,Data!$A$2:$D$3723,4,FALSE)</f>
        <v>-0.25800000000000001</v>
      </c>
      <c r="W176">
        <f>VLOOKUP($B176&amp;W$1,Data!$A$2:$D$3723,4,FALSE)</f>
        <v>-9.5099999999999994E-3</v>
      </c>
      <c r="X176">
        <f>VLOOKUP($B176&amp;X$1,Data!$A$2:$D$3723,4,FALSE)</f>
        <v>0.65</v>
      </c>
      <c r="Y176">
        <f>VLOOKUP($B176&amp;Y$1,Data!$A$2:$D$3723,4,FALSE)</f>
        <v>0.35</v>
      </c>
      <c r="Z176">
        <f>VLOOKUP($B176&amp;Z$1,Data!$A$2:$D$3723,4,FALSE)</f>
        <v>1.1299999999999999</v>
      </c>
      <c r="AA176">
        <f>VLOOKUP($B176&amp;AA$1,Data!$A$2:$D$3723,4,FALSE)</f>
        <v>-6.0000000000000001E-3</v>
      </c>
      <c r="AB176">
        <f>VLOOKUP($B176&amp;AB$1,Data!$A$2:$D$3723,4,FALSE)</f>
        <v>-5.8000000000000003E-2</v>
      </c>
      <c r="AC176">
        <f>VLOOKUP($B176&amp;AC$1,Data!$A$2:$D$3723,4,FALSE)</f>
        <v>1.4E-2</v>
      </c>
      <c r="AD176">
        <f>VLOOKUP($B176&amp;AD$1,Data!$A$2:$D$3723,4,FALSE)</f>
        <v>0</v>
      </c>
      <c r="AE176">
        <f>VLOOKUP($B176&amp;AE$1,Data!$A$2:$D$3723,4,FALSE)</f>
        <v>-1.028</v>
      </c>
      <c r="AF176">
        <f>VLOOKUP($B176&amp;AF$1,Data!$A$2:$D$3723,4,FALSE)</f>
        <v>7.1999999999999995E-2</v>
      </c>
      <c r="AG176">
        <f>VLOOKUP($B176&amp;AG$1,Data!$A$2:$D$3723,4,FALSE)</f>
        <v>0.17399999999999999</v>
      </c>
      <c r="AH176">
        <f>VLOOKUP($B176&amp;AH$1,Data!$A$2:$D$3723,4,FALSE)</f>
        <v>0</v>
      </c>
      <c r="AI176">
        <f>VLOOKUP($B176&amp;AI$1,Data!$A$2:$D$3723,4,FALSE)</f>
        <v>19000000</v>
      </c>
    </row>
    <row r="177" spans="2:35" hidden="1">
      <c r="B177" s="13">
        <v>176</v>
      </c>
      <c r="C177" s="13" t="s">
        <v>55</v>
      </c>
      <c r="D177" t="s">
        <v>21</v>
      </c>
      <c r="E177" t="s">
        <v>2</v>
      </c>
      <c r="F177">
        <v>1000</v>
      </c>
      <c r="G177" t="s">
        <v>17</v>
      </c>
      <c r="H177" s="5">
        <v>43831</v>
      </c>
      <c r="I177" s="5">
        <v>44562</v>
      </c>
      <c r="J177">
        <v>14</v>
      </c>
      <c r="K177">
        <v>9</v>
      </c>
      <c r="L177">
        <v>32</v>
      </c>
      <c r="M177">
        <v>68</v>
      </c>
      <c r="N177">
        <v>1000000</v>
      </c>
      <c r="O177">
        <f>VLOOKUP($B177&amp;O$1,Data!$A$2:$D$3723,4,FALSE)</f>
        <v>4.759E-2</v>
      </c>
      <c r="P177">
        <f>VLOOKUP($B177&amp;P$1,Data!$A$2:$D$3723,4,FALSE)</f>
        <v>-0.63400000000000001</v>
      </c>
      <c r="Q177">
        <f>VLOOKUP($B177&amp;Q$1,Data!$A$2:$D$3723,4,FALSE)</f>
        <v>690</v>
      </c>
      <c r="R177">
        <f>VLOOKUP($B177&amp;R$1,Data!$A$2:$D$3723,4,FALSE)</f>
        <v>2.23E-2</v>
      </c>
      <c r="S177">
        <f>VLOOKUP($B177&amp;S$1,Data!$A$2:$D$3723,4,FALSE)</f>
        <v>-1.8800000000000001E-2</v>
      </c>
      <c r="T177">
        <f>VLOOKUP($B177&amp;T$1,Data!$A$2:$D$3723,4,FALSE)</f>
        <v>-0.14321999999999999</v>
      </c>
      <c r="U177">
        <f>VLOOKUP($B177&amp;U$1,Data!$A$2:$D$3723,4,FALSE)</f>
        <v>0.17</v>
      </c>
      <c r="V177">
        <f>VLOOKUP($B177&amp;V$1,Data!$A$2:$D$3723,4,FALSE)</f>
        <v>-0.23899999999999999</v>
      </c>
      <c r="W177">
        <f>VLOOKUP($B177&amp;W$1,Data!$A$2:$D$3723,4,FALSE)</f>
        <v>-9.5089999999999994E-2</v>
      </c>
      <c r="X177">
        <f>VLOOKUP($B177&amp;X$1,Data!$A$2:$D$3723,4,FALSE)</f>
        <v>0.65</v>
      </c>
      <c r="Y177">
        <f>VLOOKUP($B177&amp;Y$1,Data!$A$2:$D$3723,4,FALSE)</f>
        <v>0.35</v>
      </c>
      <c r="Z177">
        <f>VLOOKUP($B177&amp;Z$1,Data!$A$2:$D$3723,4,FALSE)</f>
        <v>1.19</v>
      </c>
      <c r="AA177">
        <f>VLOOKUP($B177&amp;AA$1,Data!$A$2:$D$3723,4,FALSE)</f>
        <v>-5.1999999999999998E-2</v>
      </c>
      <c r="AB177">
        <f>VLOOKUP($B177&amp;AB$1,Data!$A$2:$D$3723,4,FALSE)</f>
        <v>-0.625</v>
      </c>
      <c r="AC177">
        <f>VLOOKUP($B177&amp;AC$1,Data!$A$2:$D$3723,4,FALSE)</f>
        <v>0.14499999999999999</v>
      </c>
      <c r="AD177">
        <f>VLOOKUP($B177&amp;AD$1,Data!$A$2:$D$3723,4,FALSE)</f>
        <v>2.1000000000000001E-2</v>
      </c>
      <c r="AE177">
        <f>VLOOKUP($B177&amp;AE$1,Data!$A$2:$D$3723,4,FALSE)</f>
        <v>-0.88300000000000001</v>
      </c>
      <c r="AF177">
        <f>VLOOKUP($B177&amp;AF$1,Data!$A$2:$D$3723,4,FALSE)</f>
        <v>0.17599999999999999</v>
      </c>
      <c r="AG177">
        <f>VLOOKUP($B177&amp;AG$1,Data!$A$2:$D$3723,4,FALSE)</f>
        <v>0.14699999999999999</v>
      </c>
      <c r="AH177">
        <f>VLOOKUP($B177&amp;AH$1,Data!$A$2:$D$3723,4,FALSE)</f>
        <v>0</v>
      </c>
      <c r="AI177">
        <f>VLOOKUP($B177&amp;AI$1,Data!$A$2:$D$3723,4,FALSE)</f>
        <v>5100000</v>
      </c>
    </row>
    <row r="178" spans="2:35" hidden="1">
      <c r="B178" s="13">
        <v>177</v>
      </c>
      <c r="C178" s="13" t="s">
        <v>55</v>
      </c>
      <c r="D178" t="s">
        <v>21</v>
      </c>
      <c r="E178" t="s">
        <v>2</v>
      </c>
      <c r="F178">
        <v>5000</v>
      </c>
      <c r="G178" t="s">
        <v>17</v>
      </c>
      <c r="H178" s="5">
        <v>43831</v>
      </c>
      <c r="I178" s="5">
        <v>44562</v>
      </c>
      <c r="J178">
        <v>14</v>
      </c>
      <c r="K178">
        <v>9</v>
      </c>
      <c r="L178">
        <v>32</v>
      </c>
      <c r="M178">
        <v>68</v>
      </c>
      <c r="N178">
        <v>1000000</v>
      </c>
      <c r="O178">
        <f>VLOOKUP($B178&amp;O$1,Data!$A$2:$D$3723,4,FALSE)</f>
        <v>0.17058999999999999</v>
      </c>
      <c r="P178">
        <f>VLOOKUP($B178&amp;P$1,Data!$A$2:$D$3723,4,FALSE)</f>
        <v>1.2E-2</v>
      </c>
      <c r="Q178">
        <f>VLOOKUP($B178&amp;Q$1,Data!$A$2:$D$3723,4,FALSE)</f>
        <v>664</v>
      </c>
      <c r="R178">
        <f>VLOOKUP($B178&amp;R$1,Data!$A$2:$D$3723,4,FALSE)</f>
        <v>0.22009999999999999</v>
      </c>
      <c r="S178">
        <f>VLOOKUP($B178&amp;S$1,Data!$A$2:$D$3723,4,FALSE)</f>
        <v>-0.1124</v>
      </c>
      <c r="T178">
        <f>VLOOKUP($B178&amp;T$1,Data!$A$2:$D$3723,4,FALSE)</f>
        <v>-0.63017999999999996</v>
      </c>
      <c r="U178">
        <f>VLOOKUP($B178&amp;U$1,Data!$A$2:$D$3723,4,FALSE)</f>
        <v>0.77900000000000003</v>
      </c>
      <c r="V178">
        <f>VLOOKUP($B178&amp;V$1,Data!$A$2:$D$3723,4,FALSE)</f>
        <v>-0.09</v>
      </c>
      <c r="W178">
        <f>VLOOKUP($B178&amp;W$1,Data!$A$2:$D$3723,4,FALSE)</f>
        <v>-0.47432000000000002</v>
      </c>
      <c r="X178">
        <f>VLOOKUP($B178&amp;X$1,Data!$A$2:$D$3723,4,FALSE)</f>
        <v>0.69</v>
      </c>
      <c r="Y178">
        <f>VLOOKUP($B178&amp;Y$1,Data!$A$2:$D$3723,4,FALSE)</f>
        <v>0.31</v>
      </c>
      <c r="Z178">
        <f>VLOOKUP($B178&amp;Z$1,Data!$A$2:$D$3723,4,FALSE)</f>
        <v>1.96</v>
      </c>
      <c r="AA178">
        <f>VLOOKUP($B178&amp;AA$1,Data!$A$2:$D$3723,4,FALSE)</f>
        <v>0.34</v>
      </c>
      <c r="AB178">
        <f>VLOOKUP($B178&amp;AB$1,Data!$A$2:$D$3723,4,FALSE)</f>
        <v>-5.1150000000000002</v>
      </c>
      <c r="AC178">
        <f>VLOOKUP($B178&amp;AC$1,Data!$A$2:$D$3723,4,FALSE)</f>
        <v>1.165</v>
      </c>
      <c r="AD178">
        <f>VLOOKUP($B178&amp;AD$1,Data!$A$2:$D$3723,4,FALSE)</f>
        <v>1.3580000000000001</v>
      </c>
      <c r="AE178">
        <f>VLOOKUP($B178&amp;AE$1,Data!$A$2:$D$3723,4,FALSE)</f>
        <v>-4.1000000000000002E-2</v>
      </c>
      <c r="AF178">
        <f>VLOOKUP($B178&amp;AF$1,Data!$A$2:$D$3723,4,FALSE)</f>
        <v>1.1870000000000001</v>
      </c>
      <c r="AG178">
        <f>VLOOKUP($B178&amp;AG$1,Data!$A$2:$D$3723,4,FALSE)</f>
        <v>-3.0000000000000001E-3</v>
      </c>
      <c r="AH178">
        <f>VLOOKUP($B178&amp;AH$1,Data!$A$2:$D$3723,4,FALSE)</f>
        <v>0</v>
      </c>
      <c r="AI178">
        <f>VLOOKUP($B178&amp;AI$1,Data!$A$2:$D$3723,4,FALSE)</f>
        <v>3700000</v>
      </c>
    </row>
    <row r="179" spans="2:35" hidden="1">
      <c r="B179" s="13">
        <v>178</v>
      </c>
      <c r="C179" s="13" t="s">
        <v>55</v>
      </c>
      <c r="D179" t="s">
        <v>21</v>
      </c>
      <c r="E179" t="s">
        <v>22</v>
      </c>
      <c r="F179">
        <v>100</v>
      </c>
      <c r="G179" t="s">
        <v>17</v>
      </c>
      <c r="H179" s="5">
        <v>43831</v>
      </c>
      <c r="I179" s="5">
        <v>44562</v>
      </c>
      <c r="J179">
        <v>14</v>
      </c>
      <c r="K179">
        <v>9</v>
      </c>
      <c r="L179">
        <v>32</v>
      </c>
      <c r="M179">
        <v>68</v>
      </c>
      <c r="N179">
        <v>1000000</v>
      </c>
      <c r="O179">
        <f>VLOOKUP($B179&amp;O$1,Data!$A$2:$D$3723,4,FALSE)</f>
        <v>0.31640000000000001</v>
      </c>
      <c r="P179">
        <f>VLOOKUP($B179&amp;P$1,Data!$A$2:$D$3723,4,FALSE)</f>
        <v>0.53</v>
      </c>
      <c r="Q179">
        <f>VLOOKUP($B179&amp;Q$1,Data!$A$2:$D$3723,4,FALSE)</f>
        <v>482</v>
      </c>
      <c r="R179">
        <f>VLOOKUP($B179&amp;R$1,Data!$A$2:$D$3723,4,FALSE)</f>
        <v>2.6499999999999999E-2</v>
      </c>
      <c r="S179">
        <f>VLOOKUP($B179&amp;S$1,Data!$A$2:$D$3723,4,FALSE)</f>
        <v>-2.4400000000000002E-2</v>
      </c>
      <c r="T179">
        <f>VLOOKUP($B179&amp;T$1,Data!$A$2:$D$3723,4,FALSE)</f>
        <v>9.2289999999999997E-2</v>
      </c>
      <c r="U179">
        <f>VLOOKUP($B179&amp;U$1,Data!$A$2:$D$3723,4,FALSE)</f>
        <v>0.1</v>
      </c>
      <c r="V179">
        <f>VLOOKUP($B179&amp;V$1,Data!$A$2:$D$3723,4,FALSE)</f>
        <v>0.17399999999999999</v>
      </c>
      <c r="W179">
        <f>VLOOKUP($B179&amp;W$1,Data!$A$2:$D$3723,4,FALSE)</f>
        <v>5.8729999999999997E-2</v>
      </c>
      <c r="X179">
        <f>VLOOKUP($B179&amp;X$1,Data!$A$2:$D$3723,4,FALSE)</f>
        <v>0.44</v>
      </c>
      <c r="Y179">
        <f>VLOOKUP($B179&amp;Y$1,Data!$A$2:$D$3723,4,FALSE)</f>
        <v>0.56000000000000005</v>
      </c>
      <c r="Z179">
        <f>VLOOKUP($B179&amp;Z$1,Data!$A$2:$D$3723,4,FALSE)</f>
        <v>1.0900000000000001</v>
      </c>
      <c r="AA179">
        <f>VLOOKUP($B179&amp;AA$1,Data!$A$2:$D$3723,4,FALSE)</f>
        <v>9.7000000000000003E-2</v>
      </c>
      <c r="AB179">
        <f>VLOOKUP($B179&amp;AB$1,Data!$A$2:$D$3723,4,FALSE)</f>
        <v>-0.38</v>
      </c>
      <c r="AC179">
        <f>VLOOKUP($B179&amp;AC$1,Data!$A$2:$D$3723,4,FALSE)</f>
        <v>0.13800000000000001</v>
      </c>
      <c r="AD179">
        <f>VLOOKUP($B179&amp;AD$1,Data!$A$2:$D$3723,4,FALSE)</f>
        <v>1.9E-2</v>
      </c>
      <c r="AE179">
        <f>VLOOKUP($B179&amp;AE$1,Data!$A$2:$D$3723,4,FALSE)</f>
        <v>5.8000000000000003E-2</v>
      </c>
      <c r="AF179">
        <f>VLOOKUP($B179&amp;AF$1,Data!$A$2:$D$3723,4,FALSE)</f>
        <v>0.16400000000000001</v>
      </c>
      <c r="AG179">
        <f>VLOOKUP($B179&amp;AG$1,Data!$A$2:$D$3723,4,FALSE)</f>
        <v>-0.193</v>
      </c>
      <c r="AH179">
        <f>VLOOKUP($B179&amp;AH$1,Data!$A$2:$D$3723,4,FALSE)</f>
        <v>0</v>
      </c>
      <c r="AI179">
        <f>VLOOKUP($B179&amp;AI$1,Data!$A$2:$D$3723,4,FALSE)</f>
        <v>1500000000</v>
      </c>
    </row>
    <row r="180" spans="2:35" hidden="1">
      <c r="B180" s="13">
        <v>179</v>
      </c>
      <c r="C180" s="13" t="s">
        <v>55</v>
      </c>
      <c r="D180" t="s">
        <v>21</v>
      </c>
      <c r="E180" t="s">
        <v>22</v>
      </c>
      <c r="F180">
        <v>1000</v>
      </c>
      <c r="G180" t="s">
        <v>17</v>
      </c>
      <c r="H180" s="5">
        <v>43831</v>
      </c>
      <c r="I180" s="5">
        <v>44562</v>
      </c>
      <c r="J180">
        <v>14</v>
      </c>
      <c r="K180">
        <v>9</v>
      </c>
      <c r="L180">
        <v>32</v>
      </c>
      <c r="M180">
        <v>68</v>
      </c>
      <c r="N180">
        <v>1000000</v>
      </c>
      <c r="O180">
        <f>VLOOKUP($B180&amp;O$1,Data!$A$2:$D$3723,4,FALSE)</f>
        <v>0.29929</v>
      </c>
      <c r="P180">
        <f>VLOOKUP($B180&amp;P$1,Data!$A$2:$D$3723,4,FALSE)</f>
        <v>0.45900000000000002</v>
      </c>
      <c r="Q180">
        <f>VLOOKUP($B180&amp;Q$1,Data!$A$2:$D$3723,4,FALSE)</f>
        <v>482</v>
      </c>
      <c r="R180">
        <f>VLOOKUP($B180&amp;R$1,Data!$A$2:$D$3723,4,FALSE)</f>
        <v>2.5999999999999999E-3</v>
      </c>
      <c r="S180">
        <f>VLOOKUP($B180&amp;S$1,Data!$A$2:$D$3723,4,FALSE)</f>
        <v>-2.5000000000000001E-3</v>
      </c>
      <c r="T180">
        <f>VLOOKUP($B180&amp;T$1,Data!$A$2:$D$3723,4,FALSE)</f>
        <v>9.1000000000000004E-3</v>
      </c>
      <c r="U180">
        <f>VLOOKUP($B180&amp;U$1,Data!$A$2:$D$3723,4,FALSE)</f>
        <v>0.01</v>
      </c>
      <c r="V180">
        <f>VLOOKUP($B180&amp;V$1,Data!$A$2:$D$3723,4,FALSE)</f>
        <v>0.151</v>
      </c>
      <c r="W180">
        <f>VLOOKUP($B180&amp;W$1,Data!$A$2:$D$3723,4,FALSE)</f>
        <v>5.8700000000000002E-3</v>
      </c>
      <c r="X180">
        <f>VLOOKUP($B180&amp;X$1,Data!$A$2:$D$3723,4,FALSE)</f>
        <v>0.44</v>
      </c>
      <c r="Y180">
        <f>VLOOKUP($B180&amp;Y$1,Data!$A$2:$D$3723,4,FALSE)</f>
        <v>0.56000000000000005</v>
      </c>
      <c r="Z180">
        <f>VLOOKUP($B180&amp;Z$1,Data!$A$2:$D$3723,4,FALSE)</f>
        <v>1.05</v>
      </c>
      <c r="AA180">
        <f>VLOOKUP($B180&amp;AA$1,Data!$A$2:$D$3723,4,FALSE)</f>
        <v>8.9999999999999993E-3</v>
      </c>
      <c r="AB180">
        <f>VLOOKUP($B180&amp;AB$1,Data!$A$2:$D$3723,4,FALSE)</f>
        <v>-3.9E-2</v>
      </c>
      <c r="AC180">
        <f>VLOOKUP($B180&amp;AC$1,Data!$A$2:$D$3723,4,FALSE)</f>
        <v>1.4E-2</v>
      </c>
      <c r="AD180">
        <f>VLOOKUP($B180&amp;AD$1,Data!$A$2:$D$3723,4,FALSE)</f>
        <v>0</v>
      </c>
      <c r="AE180">
        <f>VLOOKUP($B180&amp;AE$1,Data!$A$2:$D$3723,4,FALSE)</f>
        <v>-0.81100000000000005</v>
      </c>
      <c r="AF180">
        <f>VLOOKUP($B180&amp;AF$1,Data!$A$2:$D$3723,4,FALSE)</f>
        <v>7.0999999999999994E-2</v>
      </c>
      <c r="AG180">
        <f>VLOOKUP($B180&amp;AG$1,Data!$A$2:$D$3723,4,FALSE)</f>
        <v>-0.16500000000000001</v>
      </c>
      <c r="AH180">
        <f>VLOOKUP($B180&amp;AH$1,Data!$A$2:$D$3723,4,FALSE)</f>
        <v>0</v>
      </c>
      <c r="AI180">
        <f>VLOOKUP($B180&amp;AI$1,Data!$A$2:$D$3723,4,FALSE)</f>
        <v>14000000000</v>
      </c>
    </row>
    <row r="181" spans="2:35" hidden="1">
      <c r="B181" s="13">
        <v>180</v>
      </c>
      <c r="C181" s="13" t="s">
        <v>55</v>
      </c>
      <c r="D181" t="s">
        <v>21</v>
      </c>
      <c r="E181" t="s">
        <v>22</v>
      </c>
      <c r="F181">
        <v>5000</v>
      </c>
      <c r="G181" t="s">
        <v>17</v>
      </c>
      <c r="H181" s="5">
        <v>43831</v>
      </c>
      <c r="I181" s="5">
        <v>44562</v>
      </c>
      <c r="J181">
        <v>14</v>
      </c>
      <c r="K181">
        <v>9</v>
      </c>
      <c r="L181">
        <v>32</v>
      </c>
      <c r="M181">
        <v>68</v>
      </c>
      <c r="N181">
        <v>1000000</v>
      </c>
      <c r="O181">
        <f>VLOOKUP($B181&amp;O$1,Data!$A$2:$D$3723,4,FALSE)</f>
        <v>0.39317999999999997</v>
      </c>
      <c r="P181">
        <f>VLOOKUP($B181&amp;P$1,Data!$A$2:$D$3723,4,FALSE)</f>
        <v>0.96499999999999997</v>
      </c>
      <c r="Q181">
        <f>VLOOKUP($B181&amp;Q$1,Data!$A$2:$D$3723,4,FALSE)</f>
        <v>481</v>
      </c>
      <c r="R181">
        <f>VLOOKUP($B181&amp;R$1,Data!$A$2:$D$3723,4,FALSE)</f>
        <v>0.14130000000000001</v>
      </c>
      <c r="S181">
        <f>VLOOKUP($B181&amp;S$1,Data!$A$2:$D$3723,4,FALSE)</f>
        <v>-0.1089</v>
      </c>
      <c r="T181">
        <f>VLOOKUP($B181&amp;T$1,Data!$A$2:$D$3723,4,FALSE)</f>
        <v>0.50692000000000004</v>
      </c>
      <c r="U181">
        <f>VLOOKUP($B181&amp;U$1,Data!$A$2:$D$3723,4,FALSE)</f>
        <v>0.45800000000000002</v>
      </c>
      <c r="V181">
        <f>VLOOKUP($B181&amp;V$1,Data!$A$2:$D$3723,4,FALSE)</f>
        <v>0.29199999999999998</v>
      </c>
      <c r="W181">
        <f>VLOOKUP($B181&amp;W$1,Data!$A$2:$D$3723,4,FALSE)</f>
        <v>0.30354999999999999</v>
      </c>
      <c r="X181">
        <f>VLOOKUP($B181&amp;X$1,Data!$A$2:$D$3723,4,FALSE)</f>
        <v>0.44</v>
      </c>
      <c r="Y181">
        <f>VLOOKUP($B181&amp;Y$1,Data!$A$2:$D$3723,4,FALSE)</f>
        <v>0.56000000000000005</v>
      </c>
      <c r="Z181">
        <f>VLOOKUP($B181&amp;Z$1,Data!$A$2:$D$3723,4,FALSE)</f>
        <v>1.3</v>
      </c>
      <c r="AA181">
        <f>VLOOKUP($B181&amp;AA$1,Data!$A$2:$D$3723,4,FALSE)</f>
        <v>0.80700000000000005</v>
      </c>
      <c r="AB181">
        <f>VLOOKUP($B181&amp;AB$1,Data!$A$2:$D$3723,4,FALSE)</f>
        <v>-1.802</v>
      </c>
      <c r="AC181">
        <f>VLOOKUP($B181&amp;AC$1,Data!$A$2:$D$3723,4,FALSE)</f>
        <v>0.71699999999999997</v>
      </c>
      <c r="AD181">
        <f>VLOOKUP($B181&amp;AD$1,Data!$A$2:$D$3723,4,FALSE)</f>
        <v>0.51400000000000001</v>
      </c>
      <c r="AE181">
        <f>VLOOKUP($B181&amp;AE$1,Data!$A$2:$D$3723,4,FALSE)</f>
        <v>0.86</v>
      </c>
      <c r="AF181">
        <f>VLOOKUP($B181&amp;AF$1,Data!$A$2:$D$3723,4,FALSE)</f>
        <v>0.73099999999999998</v>
      </c>
      <c r="AG181">
        <f>VLOOKUP($B181&amp;AG$1,Data!$A$2:$D$3723,4,FALSE)</f>
        <v>-0.38400000000000001</v>
      </c>
      <c r="AH181">
        <f>VLOOKUP($B181&amp;AH$1,Data!$A$2:$D$3723,4,FALSE)</f>
        <v>0</v>
      </c>
      <c r="AI181">
        <f>VLOOKUP($B181&amp;AI$1,Data!$A$2:$D$3723,4,FALSE)</f>
        <v>380000000</v>
      </c>
    </row>
    <row r="182" spans="2:35" hidden="1">
      <c r="B182" s="13">
        <v>181</v>
      </c>
      <c r="C182" s="13" t="s">
        <v>55</v>
      </c>
      <c r="D182" t="s">
        <v>21</v>
      </c>
      <c r="E182" t="s">
        <v>3</v>
      </c>
      <c r="F182">
        <v>100</v>
      </c>
      <c r="G182" t="s">
        <v>17</v>
      </c>
      <c r="H182" s="5">
        <v>43831</v>
      </c>
      <c r="I182" s="5">
        <v>44562</v>
      </c>
      <c r="J182">
        <v>14</v>
      </c>
      <c r="K182">
        <v>9</v>
      </c>
      <c r="L182">
        <v>28</v>
      </c>
      <c r="M182">
        <v>72</v>
      </c>
      <c r="N182">
        <v>1000000</v>
      </c>
      <c r="O182">
        <f>VLOOKUP($B182&amp;O$1,Data!$A$2:$D$3723,4,FALSE)</f>
        <v>0.56884999999999997</v>
      </c>
      <c r="P182">
        <f>VLOOKUP($B182&amp;P$1,Data!$A$2:$D$3723,4,FALSE)</f>
        <v>1.1830000000000001</v>
      </c>
      <c r="Q182">
        <f>VLOOKUP($B182&amp;Q$1,Data!$A$2:$D$3723,4,FALSE)</f>
        <v>759</v>
      </c>
      <c r="R182">
        <f>VLOOKUP($B182&amp;R$1,Data!$A$2:$D$3723,4,FALSE)</f>
        <v>2.2000000000000001E-3</v>
      </c>
      <c r="S182">
        <f>VLOOKUP($B182&amp;S$1,Data!$A$2:$D$3723,4,FALSE)</f>
        <v>-1.4E-3</v>
      </c>
      <c r="T182">
        <f>VLOOKUP($B182&amp;T$1,Data!$A$2:$D$3723,4,FALSE)</f>
        <v>2.3060000000000001E-2</v>
      </c>
      <c r="U182">
        <f>VLOOKUP($B182&amp;U$1,Data!$A$2:$D$3723,4,FALSE)</f>
        <v>6.0000000000000001E-3</v>
      </c>
      <c r="V182">
        <f>VLOOKUP($B182&amp;V$1,Data!$A$2:$D$3723,4,FALSE)</f>
        <v>0.43</v>
      </c>
      <c r="W182">
        <f>VLOOKUP($B182&amp;W$1,Data!$A$2:$D$3723,4,FALSE)</f>
        <v>1.485E-2</v>
      </c>
      <c r="X182">
        <f>VLOOKUP($B182&amp;X$1,Data!$A$2:$D$3723,4,FALSE)</f>
        <v>0.44</v>
      </c>
      <c r="Y182">
        <f>VLOOKUP($B182&amp;Y$1,Data!$A$2:$D$3723,4,FALSE)</f>
        <v>0.56000000000000005</v>
      </c>
      <c r="Z182">
        <f>VLOOKUP($B182&amp;Z$1,Data!$A$2:$D$3723,4,FALSE)</f>
        <v>1.55</v>
      </c>
      <c r="AA182">
        <f>VLOOKUP($B182&amp;AA$1,Data!$A$2:$D$3723,4,FALSE)</f>
        <v>1.7999999999999999E-2</v>
      </c>
      <c r="AB182">
        <f>VLOOKUP($B182&amp;AB$1,Data!$A$2:$D$3723,4,FALSE)</f>
        <v>-3.5999999999999997E-2</v>
      </c>
      <c r="AC182">
        <f>VLOOKUP($B182&amp;AC$1,Data!$A$2:$D$3723,4,FALSE)</f>
        <v>1.4E-2</v>
      </c>
      <c r="AD182">
        <f>VLOOKUP($B182&amp;AD$1,Data!$A$2:$D$3723,4,FALSE)</f>
        <v>0</v>
      </c>
      <c r="AE182">
        <f>VLOOKUP($B182&amp;AE$1,Data!$A$2:$D$3723,4,FALSE)</f>
        <v>-0.67700000000000005</v>
      </c>
      <c r="AF182">
        <f>VLOOKUP($B182&amp;AF$1,Data!$A$2:$D$3723,4,FALSE)</f>
        <v>7.0000000000000007E-2</v>
      </c>
      <c r="AG182">
        <f>VLOOKUP($B182&amp;AG$1,Data!$A$2:$D$3723,4,FALSE)</f>
        <v>-0.44600000000000001</v>
      </c>
      <c r="AH182">
        <f>VLOOKUP($B182&amp;AH$1,Data!$A$2:$D$3723,4,FALSE)</f>
        <v>0</v>
      </c>
      <c r="AI182">
        <f>VLOOKUP($B182&amp;AI$1,Data!$A$2:$D$3723,4,FALSE)</f>
        <v>1300000000</v>
      </c>
    </row>
    <row r="183" spans="2:35" hidden="1">
      <c r="B183" s="13">
        <v>182</v>
      </c>
      <c r="C183" s="13" t="s">
        <v>55</v>
      </c>
      <c r="D183" t="s">
        <v>21</v>
      </c>
      <c r="E183" t="s">
        <v>3</v>
      </c>
      <c r="F183">
        <v>1000</v>
      </c>
      <c r="G183" t="s">
        <v>17</v>
      </c>
      <c r="H183" s="5">
        <v>43831</v>
      </c>
      <c r="I183" s="5">
        <v>44562</v>
      </c>
      <c r="J183">
        <v>14</v>
      </c>
      <c r="K183">
        <v>9</v>
      </c>
      <c r="L183">
        <v>28</v>
      </c>
      <c r="M183">
        <v>72</v>
      </c>
      <c r="N183">
        <v>1000000</v>
      </c>
      <c r="O183">
        <f>VLOOKUP($B183&amp;O$1,Data!$A$2:$D$3723,4,FALSE)</f>
        <v>0.59408000000000005</v>
      </c>
      <c r="P183">
        <f>VLOOKUP($B183&amp;P$1,Data!$A$2:$D$3723,4,FALSE)</f>
        <v>1.34</v>
      </c>
      <c r="Q183">
        <f>VLOOKUP($B183&amp;Q$1,Data!$A$2:$D$3723,4,FALSE)</f>
        <v>769</v>
      </c>
      <c r="R183">
        <f>VLOOKUP($B183&amp;R$1,Data!$A$2:$D$3723,4,FALSE)</f>
        <v>2.12E-2</v>
      </c>
      <c r="S183">
        <f>VLOOKUP($B183&amp;S$1,Data!$A$2:$D$3723,4,FALSE)</f>
        <v>-1.34E-2</v>
      </c>
      <c r="T183">
        <f>VLOOKUP($B183&amp;T$1,Data!$A$2:$D$3723,4,FALSE)</f>
        <v>0.24113999999999999</v>
      </c>
      <c r="U183">
        <f>VLOOKUP($B183&amp;U$1,Data!$A$2:$D$3723,4,FALSE)</f>
        <v>5.2999999999999999E-2</v>
      </c>
      <c r="V183">
        <f>VLOOKUP($B183&amp;V$1,Data!$A$2:$D$3723,4,FALSE)</f>
        <v>0.44700000000000001</v>
      </c>
      <c r="W183">
        <f>VLOOKUP($B183&amp;W$1,Data!$A$2:$D$3723,4,FALSE)</f>
        <v>0.14988000000000001</v>
      </c>
      <c r="X183">
        <f>VLOOKUP($B183&amp;X$1,Data!$A$2:$D$3723,4,FALSE)</f>
        <v>0.44</v>
      </c>
      <c r="Y183">
        <f>VLOOKUP($B183&amp;Y$1,Data!$A$2:$D$3723,4,FALSE)</f>
        <v>0.56000000000000005</v>
      </c>
      <c r="Z183">
        <f>VLOOKUP($B183&amp;Z$1,Data!$A$2:$D$3723,4,FALSE)</f>
        <v>1.58</v>
      </c>
      <c r="AA183">
        <f>VLOOKUP($B183&amp;AA$1,Data!$A$2:$D$3723,4,FALSE)</f>
        <v>0.192</v>
      </c>
      <c r="AB183">
        <f>VLOOKUP($B183&amp;AB$1,Data!$A$2:$D$3723,4,FALSE)</f>
        <v>-0.33400000000000002</v>
      </c>
      <c r="AC183">
        <f>VLOOKUP($B183&amp;AC$1,Data!$A$2:$D$3723,4,FALSE)</f>
        <v>0.128</v>
      </c>
      <c r="AD183">
        <f>VLOOKUP($B183&amp;AD$1,Data!$A$2:$D$3723,4,FALSE)</f>
        <v>1.6E-2</v>
      </c>
      <c r="AE183">
        <f>VLOOKUP($B183&amp;AE$1,Data!$A$2:$D$3723,4,FALSE)</f>
        <v>0.69699999999999995</v>
      </c>
      <c r="AF183">
        <f>VLOOKUP($B183&amp;AF$1,Data!$A$2:$D$3723,4,FALSE)</f>
        <v>0.154</v>
      </c>
      <c r="AG183">
        <f>VLOOKUP($B183&amp;AG$1,Data!$A$2:$D$3723,4,FALSE)</f>
        <v>-0.51200000000000001</v>
      </c>
      <c r="AH183">
        <f>VLOOKUP($B183&amp;AH$1,Data!$A$2:$D$3723,4,FALSE)</f>
        <v>0</v>
      </c>
      <c r="AI183">
        <f>VLOOKUP($B183&amp;AI$1,Data!$A$2:$D$3723,4,FALSE)</f>
        <v>50000000</v>
      </c>
    </row>
    <row r="184" spans="2:35" hidden="1">
      <c r="B184" s="13">
        <v>183</v>
      </c>
      <c r="C184" s="13" t="s">
        <v>55</v>
      </c>
      <c r="D184" t="s">
        <v>21</v>
      </c>
      <c r="E184" t="s">
        <v>3</v>
      </c>
      <c r="F184">
        <v>5000</v>
      </c>
      <c r="G184" t="s">
        <v>17</v>
      </c>
      <c r="H184" s="5">
        <v>43831</v>
      </c>
      <c r="I184" s="5">
        <v>44562</v>
      </c>
      <c r="J184">
        <v>14</v>
      </c>
      <c r="K184">
        <v>9</v>
      </c>
      <c r="L184">
        <v>28</v>
      </c>
      <c r="M184">
        <v>72</v>
      </c>
      <c r="N184">
        <v>1000000</v>
      </c>
      <c r="O184">
        <f>VLOOKUP($B184&amp;O$1,Data!$A$2:$D$3723,4,FALSE)</f>
        <v>0.65119000000000005</v>
      </c>
      <c r="P184">
        <f>VLOOKUP($B184&amp;P$1,Data!$A$2:$D$3723,4,FALSE)</f>
        <v>2.032</v>
      </c>
      <c r="Q184">
        <f>VLOOKUP($B184&amp;Q$1,Data!$A$2:$D$3723,4,FALSE)</f>
        <v>759</v>
      </c>
      <c r="R184">
        <f>VLOOKUP($B184&amp;R$1,Data!$A$2:$D$3723,4,FALSE)</f>
        <v>9.2200000000000004E-2</v>
      </c>
      <c r="S184">
        <f>VLOOKUP($B184&amp;S$1,Data!$A$2:$D$3723,4,FALSE)</f>
        <v>-5.4899999999999997E-2</v>
      </c>
      <c r="T184">
        <f>VLOOKUP($B184&amp;T$1,Data!$A$2:$D$3723,4,FALSE)</f>
        <v>1.36084</v>
      </c>
      <c r="U184">
        <f>VLOOKUP($B184&amp;U$1,Data!$A$2:$D$3723,4,FALSE)</f>
        <v>0.191</v>
      </c>
      <c r="V184">
        <f>VLOOKUP($B184&amp;V$1,Data!$A$2:$D$3723,4,FALSE)</f>
        <v>0.5</v>
      </c>
      <c r="W184">
        <f>VLOOKUP($B184&amp;W$1,Data!$A$2:$D$3723,4,FALSE)</f>
        <v>0.74250000000000005</v>
      </c>
      <c r="X184">
        <f>VLOOKUP($B184&amp;X$1,Data!$A$2:$D$3723,4,FALSE)</f>
        <v>0.44</v>
      </c>
      <c r="Y184">
        <f>VLOOKUP($B184&amp;Y$1,Data!$A$2:$D$3723,4,FALSE)</f>
        <v>0.56000000000000005</v>
      </c>
      <c r="Z184">
        <f>VLOOKUP($B184&amp;Z$1,Data!$A$2:$D$3723,4,FALSE)</f>
        <v>1.68</v>
      </c>
      <c r="AA184">
        <f>VLOOKUP($B184&amp;AA$1,Data!$A$2:$D$3723,4,FALSE)</f>
        <v>1.1619999999999999</v>
      </c>
      <c r="AB184">
        <f>VLOOKUP($B184&amp;AB$1,Data!$A$2:$D$3723,4,FALSE)</f>
        <v>-1.321</v>
      </c>
      <c r="AC184">
        <f>VLOOKUP($B184&amp;AC$1,Data!$A$2:$D$3723,4,FALSE)</f>
        <v>0.53</v>
      </c>
      <c r="AD184">
        <f>VLOOKUP($B184&amp;AD$1,Data!$A$2:$D$3723,4,FALSE)</f>
        <v>0.28100000000000003</v>
      </c>
      <c r="AE184">
        <f>VLOOKUP($B184&amp;AE$1,Data!$A$2:$D$3723,4,FALSE)</f>
        <v>1.859</v>
      </c>
      <c r="AF184">
        <f>VLOOKUP($B184&amp;AF$1,Data!$A$2:$D$3723,4,FALSE)</f>
        <v>0.54600000000000004</v>
      </c>
      <c r="AG184">
        <f>VLOOKUP($B184&amp;AG$1,Data!$A$2:$D$3723,4,FALSE)</f>
        <v>-0.81599999999999995</v>
      </c>
      <c r="AH184">
        <f>VLOOKUP($B184&amp;AH$1,Data!$A$2:$D$3723,4,FALSE)</f>
        <v>0</v>
      </c>
      <c r="AI184">
        <f>VLOOKUP($B184&amp;AI$1,Data!$A$2:$D$3723,4,FALSE)</f>
        <v>44000000</v>
      </c>
    </row>
    <row r="185" spans="2:35" hidden="1">
      <c r="B185" s="13">
        <v>184</v>
      </c>
      <c r="C185" s="13" t="s">
        <v>55</v>
      </c>
      <c r="D185" t="s">
        <v>21</v>
      </c>
      <c r="E185" t="s">
        <v>2</v>
      </c>
      <c r="F185">
        <v>100</v>
      </c>
      <c r="G185" t="s">
        <v>17</v>
      </c>
      <c r="H185" s="5">
        <v>43831</v>
      </c>
      <c r="I185" s="5">
        <v>44562</v>
      </c>
      <c r="J185">
        <v>14</v>
      </c>
      <c r="K185">
        <v>9</v>
      </c>
      <c r="L185">
        <v>28</v>
      </c>
      <c r="M185">
        <v>72</v>
      </c>
      <c r="N185">
        <v>1000000</v>
      </c>
      <c r="O185">
        <f>VLOOKUP($B185&amp;O$1,Data!$A$2:$D$3723,4,FALSE)</f>
        <v>0.7389</v>
      </c>
      <c r="P185">
        <f>VLOOKUP($B185&amp;P$1,Data!$A$2:$D$3723,4,FALSE)</f>
        <v>1.577</v>
      </c>
      <c r="Q185">
        <f>VLOOKUP($B185&amp;Q$1,Data!$A$2:$D$3723,4,FALSE)</f>
        <v>386</v>
      </c>
      <c r="R185">
        <f>VLOOKUP($B185&amp;R$1,Data!$A$2:$D$3723,4,FALSE)</f>
        <v>4.1000000000000003E-3</v>
      </c>
      <c r="S185">
        <f>VLOOKUP($B185&amp;S$1,Data!$A$2:$D$3723,4,FALSE)</f>
        <v>-1.6000000000000001E-3</v>
      </c>
      <c r="T185">
        <f>VLOOKUP($B185&amp;T$1,Data!$A$2:$D$3723,4,FALSE)</f>
        <v>3.6429999999999997E-2</v>
      </c>
      <c r="U185">
        <f>VLOOKUP($B185&amp;U$1,Data!$A$2:$D$3723,4,FALSE)</f>
        <v>1.2E-2</v>
      </c>
      <c r="V185">
        <f>VLOOKUP($B185&amp;V$1,Data!$A$2:$D$3723,4,FALSE)</f>
        <v>1.3420000000000001</v>
      </c>
      <c r="W185">
        <f>VLOOKUP($B185&amp;W$1,Data!$A$2:$D$3723,4,FALSE)</f>
        <v>2.3400000000000001E-2</v>
      </c>
      <c r="X185">
        <f>VLOOKUP($B185&amp;X$1,Data!$A$2:$D$3723,4,FALSE)</f>
        <v>0.33</v>
      </c>
      <c r="Y185">
        <f>VLOOKUP($B185&amp;Y$1,Data!$A$2:$D$3723,4,FALSE)</f>
        <v>0.67</v>
      </c>
      <c r="Z185">
        <f>VLOOKUP($B185&amp;Z$1,Data!$A$2:$D$3723,4,FALSE)</f>
        <v>2.5099999999999998</v>
      </c>
      <c r="AA185">
        <f>VLOOKUP($B185&amp;AA$1,Data!$A$2:$D$3723,4,FALSE)</f>
        <v>2.9000000000000001E-2</v>
      </c>
      <c r="AB185">
        <f>VLOOKUP($B185&amp;AB$1,Data!$A$2:$D$3723,4,FALSE)</f>
        <v>-6.2E-2</v>
      </c>
      <c r="AC185">
        <f>VLOOKUP($B185&amp;AC$1,Data!$A$2:$D$3723,4,FALSE)</f>
        <v>1.6E-2</v>
      </c>
      <c r="AD185">
        <f>VLOOKUP($B185&amp;AD$1,Data!$A$2:$D$3723,4,FALSE)</f>
        <v>0</v>
      </c>
      <c r="AE185">
        <f>VLOOKUP($B185&amp;AE$1,Data!$A$2:$D$3723,4,FALSE)</f>
        <v>-0.53</v>
      </c>
      <c r="AF185">
        <f>VLOOKUP($B185&amp;AF$1,Data!$A$2:$D$3723,4,FALSE)</f>
        <v>7.2999999999999995E-2</v>
      </c>
      <c r="AG185">
        <f>VLOOKUP($B185&amp;AG$1,Data!$A$2:$D$3723,4,FALSE)</f>
        <v>-0.40600000000000003</v>
      </c>
      <c r="AH185">
        <f>VLOOKUP($B185&amp;AH$1,Data!$A$2:$D$3723,4,FALSE)</f>
        <v>0</v>
      </c>
      <c r="AI185">
        <f>VLOOKUP($B185&amp;AI$1,Data!$A$2:$D$3723,4,FALSE)</f>
        <v>19000000</v>
      </c>
    </row>
    <row r="186" spans="2:35" hidden="1">
      <c r="B186" s="13">
        <v>185</v>
      </c>
      <c r="C186" s="13" t="s">
        <v>55</v>
      </c>
      <c r="D186" t="s">
        <v>21</v>
      </c>
      <c r="E186" t="s">
        <v>2</v>
      </c>
      <c r="F186">
        <v>1000</v>
      </c>
      <c r="G186" t="s">
        <v>17</v>
      </c>
      <c r="H186" s="5">
        <v>43831</v>
      </c>
      <c r="I186" s="5">
        <v>44562</v>
      </c>
      <c r="J186">
        <v>14</v>
      </c>
      <c r="K186">
        <v>9</v>
      </c>
      <c r="L186">
        <v>28</v>
      </c>
      <c r="M186">
        <v>72</v>
      </c>
      <c r="N186">
        <v>1000000</v>
      </c>
      <c r="O186">
        <f>VLOOKUP($B186&amp;O$1,Data!$A$2:$D$3723,4,FALSE)</f>
        <v>0.75388999999999995</v>
      </c>
      <c r="P186">
        <f>VLOOKUP($B186&amp;P$1,Data!$A$2:$D$3723,4,FALSE)</f>
        <v>1.7749999999999999</v>
      </c>
      <c r="Q186">
        <f>VLOOKUP($B186&amp;Q$1,Data!$A$2:$D$3723,4,FALSE)</f>
        <v>386</v>
      </c>
      <c r="R186">
        <f>VLOOKUP($B186&amp;R$1,Data!$A$2:$D$3723,4,FALSE)</f>
        <v>3.9100000000000003E-2</v>
      </c>
      <c r="S186">
        <f>VLOOKUP($B186&amp;S$1,Data!$A$2:$D$3723,4,FALSE)</f>
        <v>-1.61E-2</v>
      </c>
      <c r="T186">
        <f>VLOOKUP($B186&amp;T$1,Data!$A$2:$D$3723,4,FALSE)</f>
        <v>0.38435999999999998</v>
      </c>
      <c r="U186">
        <f>VLOOKUP($B186&amp;U$1,Data!$A$2:$D$3723,4,FALSE)</f>
        <v>9.9000000000000005E-2</v>
      </c>
      <c r="V186">
        <f>VLOOKUP($B186&amp;V$1,Data!$A$2:$D$3723,4,FALSE)</f>
        <v>1.2829999999999999</v>
      </c>
      <c r="W186">
        <f>VLOOKUP($B186&amp;W$1,Data!$A$2:$D$3723,4,FALSE)</f>
        <v>0.23399</v>
      </c>
      <c r="X186">
        <f>VLOOKUP($B186&amp;X$1,Data!$A$2:$D$3723,4,FALSE)</f>
        <v>0.33</v>
      </c>
      <c r="Y186">
        <f>VLOOKUP($B186&amp;Y$1,Data!$A$2:$D$3723,4,FALSE)</f>
        <v>0.67</v>
      </c>
      <c r="Z186">
        <f>VLOOKUP($B186&amp;Z$1,Data!$A$2:$D$3723,4,FALSE)</f>
        <v>2.42</v>
      </c>
      <c r="AA186">
        <f>VLOOKUP($B186&amp;AA$1,Data!$A$2:$D$3723,4,FALSE)</f>
        <v>0.30299999999999999</v>
      </c>
      <c r="AB186">
        <f>VLOOKUP($B186&amp;AB$1,Data!$A$2:$D$3723,4,FALSE)</f>
        <v>-0.57299999999999995</v>
      </c>
      <c r="AC186">
        <f>VLOOKUP($B186&amp;AC$1,Data!$A$2:$D$3723,4,FALSE)</f>
        <v>0.15</v>
      </c>
      <c r="AD186">
        <f>VLOOKUP($B186&amp;AD$1,Data!$A$2:$D$3723,4,FALSE)</f>
        <v>2.3E-2</v>
      </c>
      <c r="AE186">
        <f>VLOOKUP($B186&amp;AE$1,Data!$A$2:$D$3723,4,FALSE)</f>
        <v>1.133</v>
      </c>
      <c r="AF186">
        <f>VLOOKUP($B186&amp;AF$1,Data!$A$2:$D$3723,4,FALSE)</f>
        <v>0.17899999999999999</v>
      </c>
      <c r="AG186">
        <f>VLOOKUP($B186&amp;AG$1,Data!$A$2:$D$3723,4,FALSE)</f>
        <v>-0.46600000000000003</v>
      </c>
      <c r="AH186">
        <f>VLOOKUP($B186&amp;AH$1,Data!$A$2:$D$3723,4,FALSE)</f>
        <v>0</v>
      </c>
      <c r="AI186">
        <f>VLOOKUP($B186&amp;AI$1,Data!$A$2:$D$3723,4,FALSE)</f>
        <v>3300000</v>
      </c>
    </row>
    <row r="187" spans="2:35" hidden="1">
      <c r="B187" s="13">
        <v>186</v>
      </c>
      <c r="C187" s="13" t="s">
        <v>55</v>
      </c>
      <c r="D187" t="s">
        <v>21</v>
      </c>
      <c r="E187" t="s">
        <v>2</v>
      </c>
      <c r="F187">
        <v>5000</v>
      </c>
      <c r="G187" t="s">
        <v>17</v>
      </c>
      <c r="H187" s="5">
        <v>43831</v>
      </c>
      <c r="I187" s="5">
        <v>44562</v>
      </c>
      <c r="J187">
        <v>14</v>
      </c>
      <c r="K187">
        <v>9</v>
      </c>
      <c r="L187">
        <v>28</v>
      </c>
      <c r="M187">
        <v>72</v>
      </c>
      <c r="N187">
        <v>1000000</v>
      </c>
      <c r="O187">
        <f>VLOOKUP($B187&amp;O$1,Data!$A$2:$D$3723,4,FALSE)</f>
        <v>0.77017000000000002</v>
      </c>
      <c r="P187">
        <f>VLOOKUP($B187&amp;P$1,Data!$A$2:$D$3723,4,FALSE)</f>
        <v>2.6789999999999998</v>
      </c>
      <c r="Q187">
        <f>VLOOKUP($B187&amp;Q$1,Data!$A$2:$D$3723,4,FALSE)</f>
        <v>386</v>
      </c>
      <c r="R187">
        <f>VLOOKUP($B187&amp;R$1,Data!$A$2:$D$3723,4,FALSE)</f>
        <v>0.17280000000000001</v>
      </c>
      <c r="S187">
        <f>VLOOKUP($B187&amp;S$1,Data!$A$2:$D$3723,4,FALSE)</f>
        <v>-7.6300000000000007E-2</v>
      </c>
      <c r="T187">
        <f>VLOOKUP($B187&amp;T$1,Data!$A$2:$D$3723,4,FALSE)</f>
        <v>2.3147700000000002</v>
      </c>
      <c r="U187">
        <f>VLOOKUP($B187&amp;U$1,Data!$A$2:$D$3723,4,FALSE)</f>
        <v>0.28299999999999997</v>
      </c>
      <c r="V187">
        <f>VLOOKUP($B187&amp;V$1,Data!$A$2:$D$3723,4,FALSE)</f>
        <v>1.1759999999999999</v>
      </c>
      <c r="W187">
        <f>VLOOKUP($B187&amp;W$1,Data!$A$2:$D$3723,4,FALSE)</f>
        <v>1.16997</v>
      </c>
      <c r="X187">
        <f>VLOOKUP($B187&amp;X$1,Data!$A$2:$D$3723,4,FALSE)</f>
        <v>0.33</v>
      </c>
      <c r="Y187">
        <f>VLOOKUP($B187&amp;Y$1,Data!$A$2:$D$3723,4,FALSE)</f>
        <v>0.67</v>
      </c>
      <c r="Z187">
        <f>VLOOKUP($B187&amp;Z$1,Data!$A$2:$D$3723,4,FALSE)</f>
        <v>2.2599999999999998</v>
      </c>
      <c r="AA187">
        <f>VLOOKUP($B187&amp;AA$1,Data!$A$2:$D$3723,4,FALSE)</f>
        <v>1.899</v>
      </c>
      <c r="AB187">
        <f>VLOOKUP($B187&amp;AB$1,Data!$A$2:$D$3723,4,FALSE)</f>
        <v>-2.2629999999999999</v>
      </c>
      <c r="AC187">
        <f>VLOOKUP($B187&amp;AC$1,Data!$A$2:$D$3723,4,FALSE)</f>
        <v>0.65500000000000003</v>
      </c>
      <c r="AD187">
        <f>VLOOKUP($B187&amp;AD$1,Data!$A$2:$D$3723,4,FALSE)</f>
        <v>0.42899999999999999</v>
      </c>
      <c r="AE187">
        <f>VLOOKUP($B187&amp;AE$1,Data!$A$2:$D$3723,4,FALSE)</f>
        <v>2.5099999999999998</v>
      </c>
      <c r="AF187">
        <f>VLOOKUP($B187&amp;AF$1,Data!$A$2:$D$3723,4,FALSE)</f>
        <v>0.67400000000000004</v>
      </c>
      <c r="AG187">
        <f>VLOOKUP($B187&amp;AG$1,Data!$A$2:$D$3723,4,FALSE)</f>
        <v>-0.77600000000000002</v>
      </c>
      <c r="AH187">
        <f>VLOOKUP($B187&amp;AH$1,Data!$A$2:$D$3723,4,FALSE)</f>
        <v>0</v>
      </c>
      <c r="AI187">
        <f>VLOOKUP($B187&amp;AI$1,Data!$A$2:$D$3723,4,FALSE)</f>
        <v>1700000</v>
      </c>
    </row>
    <row r="188" spans="2:35" hidden="1">
      <c r="B188" s="13">
        <v>187</v>
      </c>
      <c r="C188" s="13" t="s">
        <v>55</v>
      </c>
      <c r="D188" t="s">
        <v>21</v>
      </c>
      <c r="E188" t="s">
        <v>22</v>
      </c>
      <c r="F188">
        <v>100</v>
      </c>
      <c r="G188" t="s">
        <v>17</v>
      </c>
      <c r="H188" s="5">
        <v>43831</v>
      </c>
      <c r="I188" s="5">
        <v>44562</v>
      </c>
      <c r="J188">
        <v>14</v>
      </c>
      <c r="K188">
        <v>9</v>
      </c>
      <c r="L188">
        <v>28</v>
      </c>
      <c r="M188">
        <v>72</v>
      </c>
      <c r="N188">
        <v>1000000</v>
      </c>
      <c r="O188">
        <f>VLOOKUP($B188&amp;O$1,Data!$A$2:$D$3723,4,FALSE)</f>
        <v>0.28816000000000003</v>
      </c>
      <c r="P188">
        <f>VLOOKUP($B188&amp;P$1,Data!$A$2:$D$3723,4,FALSE)</f>
        <v>0.42299999999999999</v>
      </c>
      <c r="Q188">
        <f>VLOOKUP($B188&amp;Q$1,Data!$A$2:$D$3723,4,FALSE)</f>
        <v>268</v>
      </c>
      <c r="R188">
        <f>VLOOKUP($B188&amp;R$1,Data!$A$2:$D$3723,4,FALSE)</f>
        <v>4.1999999999999997E-3</v>
      </c>
      <c r="S188">
        <f>VLOOKUP($B188&amp;S$1,Data!$A$2:$D$3723,4,FALSE)</f>
        <v>-2.5000000000000001E-3</v>
      </c>
      <c r="T188">
        <f>VLOOKUP($B188&amp;T$1,Data!$A$2:$D$3723,4,FALSE)</f>
        <v>1.1010000000000001E-2</v>
      </c>
      <c r="U188">
        <f>VLOOKUP($B188&amp;U$1,Data!$A$2:$D$3723,4,FALSE)</f>
        <v>2.4E-2</v>
      </c>
      <c r="V188">
        <f>VLOOKUP($B188&amp;V$1,Data!$A$2:$D$3723,4,FALSE)</f>
        <v>0.65800000000000003</v>
      </c>
      <c r="W188">
        <f>VLOOKUP($B188&amp;W$1,Data!$A$2:$D$3723,4,FALSE)</f>
        <v>7.11E-3</v>
      </c>
      <c r="X188">
        <f>VLOOKUP($B188&amp;X$1,Data!$A$2:$D$3723,4,FALSE)</f>
        <v>0.38</v>
      </c>
      <c r="Y188">
        <f>VLOOKUP($B188&amp;Y$1,Data!$A$2:$D$3723,4,FALSE)</f>
        <v>0.62</v>
      </c>
      <c r="Z188">
        <f>VLOOKUP($B188&amp;Z$1,Data!$A$2:$D$3723,4,FALSE)</f>
        <v>1.65</v>
      </c>
      <c r="AA188">
        <f>VLOOKUP($B188&amp;AA$1,Data!$A$2:$D$3723,4,FALSE)</f>
        <v>1.2999999999999999E-2</v>
      </c>
      <c r="AB188">
        <f>VLOOKUP($B188&amp;AB$1,Data!$A$2:$D$3723,4,FALSE)</f>
        <v>-8.5999999999999993E-2</v>
      </c>
      <c r="AC188">
        <f>VLOOKUP($B188&amp;AC$1,Data!$A$2:$D$3723,4,FALSE)</f>
        <v>1.7999999999999999E-2</v>
      </c>
      <c r="AD188">
        <f>VLOOKUP($B188&amp;AD$1,Data!$A$2:$D$3723,4,FALSE)</f>
        <v>0</v>
      </c>
      <c r="AE188">
        <f>VLOOKUP($B188&amp;AE$1,Data!$A$2:$D$3723,4,FALSE)</f>
        <v>-0.75</v>
      </c>
      <c r="AF188">
        <f>VLOOKUP($B188&amp;AF$1,Data!$A$2:$D$3723,4,FALSE)</f>
        <v>7.4999999999999997E-2</v>
      </c>
      <c r="AG188">
        <f>VLOOKUP($B188&amp;AG$1,Data!$A$2:$D$3723,4,FALSE)</f>
        <v>-0.09</v>
      </c>
      <c r="AH188">
        <f>VLOOKUP($B188&amp;AH$1,Data!$A$2:$D$3723,4,FALSE)</f>
        <v>0</v>
      </c>
      <c r="AI188">
        <f>VLOOKUP($B188&amp;AI$1,Data!$A$2:$D$3723,4,FALSE)</f>
        <v>88000000</v>
      </c>
    </row>
    <row r="189" spans="2:35" hidden="1">
      <c r="B189" s="13">
        <v>188</v>
      </c>
      <c r="C189" s="13" t="s">
        <v>55</v>
      </c>
      <c r="D189" t="s">
        <v>21</v>
      </c>
      <c r="E189" t="s">
        <v>22</v>
      </c>
      <c r="F189">
        <v>1000</v>
      </c>
      <c r="G189" t="s">
        <v>17</v>
      </c>
      <c r="H189" s="5">
        <v>43831</v>
      </c>
      <c r="I189" s="5">
        <v>44562</v>
      </c>
      <c r="J189">
        <v>14</v>
      </c>
      <c r="K189">
        <v>9</v>
      </c>
      <c r="L189">
        <v>28</v>
      </c>
      <c r="M189">
        <v>72</v>
      </c>
      <c r="N189">
        <v>1000000</v>
      </c>
      <c r="O189">
        <f>VLOOKUP($B189&amp;O$1,Data!$A$2:$D$3723,4,FALSE)</f>
        <v>0.31263000000000002</v>
      </c>
      <c r="P189">
        <f>VLOOKUP($B189&amp;P$1,Data!$A$2:$D$3723,4,FALSE)</f>
        <v>0.52100000000000002</v>
      </c>
      <c r="Q189">
        <f>VLOOKUP($B189&amp;Q$1,Data!$A$2:$D$3723,4,FALSE)</f>
        <v>268</v>
      </c>
      <c r="R189">
        <f>VLOOKUP($B189&amp;R$1,Data!$A$2:$D$3723,4,FALSE)</f>
        <v>4.0599999999999997E-2</v>
      </c>
      <c r="S189">
        <f>VLOOKUP($B189&amp;S$1,Data!$A$2:$D$3723,4,FALSE)</f>
        <v>-2.3400000000000001E-2</v>
      </c>
      <c r="T189">
        <f>VLOOKUP($B189&amp;T$1,Data!$A$2:$D$3723,4,FALSE)</f>
        <v>0.11203</v>
      </c>
      <c r="U189">
        <f>VLOOKUP($B189&amp;U$1,Data!$A$2:$D$3723,4,FALSE)</f>
        <v>0.20899999999999999</v>
      </c>
      <c r="V189">
        <f>VLOOKUP($B189&amp;V$1,Data!$A$2:$D$3723,4,FALSE)</f>
        <v>0.71</v>
      </c>
      <c r="W189">
        <f>VLOOKUP($B189&amp;W$1,Data!$A$2:$D$3723,4,FALSE)</f>
        <v>7.1059999999999998E-2</v>
      </c>
      <c r="X189">
        <f>VLOOKUP($B189&amp;X$1,Data!$A$2:$D$3723,4,FALSE)</f>
        <v>0.38</v>
      </c>
      <c r="Y189">
        <f>VLOOKUP($B189&amp;Y$1,Data!$A$2:$D$3723,4,FALSE)</f>
        <v>0.62</v>
      </c>
      <c r="Z189">
        <f>VLOOKUP($B189&amp;Z$1,Data!$A$2:$D$3723,4,FALSE)</f>
        <v>1.74</v>
      </c>
      <c r="AA189">
        <f>VLOOKUP($B189&amp;AA$1,Data!$A$2:$D$3723,4,FALSE)</f>
        <v>0.14799999999999999</v>
      </c>
      <c r="AB189">
        <f>VLOOKUP($B189&amp;AB$1,Data!$A$2:$D$3723,4,FALSE)</f>
        <v>-0.84599999999999997</v>
      </c>
      <c r="AC189">
        <f>VLOOKUP($B189&amp;AC$1,Data!$A$2:$D$3723,4,FALSE)</f>
        <v>0.18</v>
      </c>
      <c r="AD189">
        <f>VLOOKUP($B189&amp;AD$1,Data!$A$2:$D$3723,4,FALSE)</f>
        <v>3.2000000000000001E-2</v>
      </c>
      <c r="AE189">
        <f>VLOOKUP($B189&amp;AE$1,Data!$A$2:$D$3723,4,FALSE)</f>
        <v>0.14299999999999999</v>
      </c>
      <c r="AF189">
        <f>VLOOKUP($B189&amp;AF$1,Data!$A$2:$D$3723,4,FALSE)</f>
        <v>0.21099999999999999</v>
      </c>
      <c r="AG189">
        <f>VLOOKUP($B189&amp;AG$1,Data!$A$2:$D$3723,4,FALSE)</f>
        <v>-0.111</v>
      </c>
      <c r="AH189">
        <f>VLOOKUP($B189&amp;AH$1,Data!$A$2:$D$3723,4,FALSE)</f>
        <v>0</v>
      </c>
      <c r="AI189">
        <f>VLOOKUP($B189&amp;AI$1,Data!$A$2:$D$3723,4,FALSE)</f>
        <v>9900000</v>
      </c>
    </row>
    <row r="190" spans="2:35" hidden="1">
      <c r="B190" s="13">
        <v>189</v>
      </c>
      <c r="C190" s="13" t="s">
        <v>55</v>
      </c>
      <c r="D190" t="s">
        <v>21</v>
      </c>
      <c r="E190" t="s">
        <v>22</v>
      </c>
      <c r="F190">
        <v>5000</v>
      </c>
      <c r="G190" t="s">
        <v>17</v>
      </c>
      <c r="H190" s="5">
        <v>43831</v>
      </c>
      <c r="I190" s="5">
        <v>44562</v>
      </c>
      <c r="J190">
        <v>14</v>
      </c>
      <c r="K190">
        <v>9</v>
      </c>
      <c r="L190">
        <v>28</v>
      </c>
      <c r="M190">
        <v>72</v>
      </c>
      <c r="N190">
        <v>1000000</v>
      </c>
      <c r="O190" s="7">
        <f>VLOOKUP($B190&amp;O$1,Data!$A$2:$D$3723,4,FALSE)</f>
        <v>0.41333999999999999</v>
      </c>
      <c r="P190" s="7">
        <f>VLOOKUP($B190&amp;P$1,Data!$A$2:$D$3723,4,FALSE)</f>
        <v>1.1559999999999999</v>
      </c>
      <c r="Q190" s="7">
        <f>VLOOKUP($B190&amp;Q$1,Data!$A$2:$D$3723,4,FALSE)</f>
        <v>268</v>
      </c>
      <c r="R190">
        <f>VLOOKUP($B190&amp;R$1,Data!$A$2:$D$3723,4,FALSE)</f>
        <v>0.1784</v>
      </c>
      <c r="S190">
        <f>VLOOKUP($B190&amp;S$1,Data!$A$2:$D$3723,4,FALSE)</f>
        <v>-8.6199999999999999E-2</v>
      </c>
      <c r="T190">
        <f>VLOOKUP($B190&amp;T$1,Data!$A$2:$D$3723,4,FALSE)</f>
        <v>0.60363999999999995</v>
      </c>
      <c r="U190">
        <f>VLOOKUP($B190&amp;U$1,Data!$A$2:$D$3723,4,FALSE)</f>
        <v>0.69099999999999995</v>
      </c>
      <c r="V190">
        <f>VLOOKUP($B190&amp;V$1,Data!$A$2:$D$3723,4,FALSE)</f>
        <v>0.91900000000000004</v>
      </c>
      <c r="W190">
        <f>VLOOKUP($B190&amp;W$1,Data!$A$2:$D$3723,4,FALSE)</f>
        <v>0.35528999999999999</v>
      </c>
      <c r="X190">
        <f>VLOOKUP($B190&amp;X$1,Data!$A$2:$D$3723,4,FALSE)</f>
        <v>0.38</v>
      </c>
      <c r="Y190">
        <f>VLOOKUP($B190&amp;Y$1,Data!$A$2:$D$3723,4,FALSE)</f>
        <v>0.62</v>
      </c>
      <c r="Z190">
        <f>VLOOKUP($B190&amp;Z$1,Data!$A$2:$D$3723,4,FALSE)</f>
        <v>2.0699999999999998</v>
      </c>
      <c r="AA190">
        <f>VLOOKUP($B190&amp;AA$1,Data!$A$2:$D$3723,4,FALSE)</f>
        <v>1.34</v>
      </c>
      <c r="AB190">
        <f>VLOOKUP($B190&amp;AB$1,Data!$A$2:$D$3723,4,FALSE)</f>
        <v>-4.1079999999999997</v>
      </c>
      <c r="AC190">
        <f>VLOOKUP($B190&amp;AC$1,Data!$A$2:$D$3723,4,FALSE)</f>
        <v>0.93200000000000005</v>
      </c>
      <c r="AD190">
        <f>VLOOKUP($B190&amp;AD$1,Data!$A$2:$D$3723,4,FALSE)</f>
        <v>0.86799999999999999</v>
      </c>
      <c r="AE190">
        <f>VLOOKUP($B190&amp;AE$1,Data!$A$2:$D$3723,4,FALSE)</f>
        <v>1.0629999999999999</v>
      </c>
      <c r="AF190">
        <f>VLOOKUP($B190&amp;AF$1,Data!$A$2:$D$3723,4,FALSE)</f>
        <v>0.95399999999999996</v>
      </c>
      <c r="AG190">
        <f>VLOOKUP($B190&amp;AG$1,Data!$A$2:$D$3723,4,FALSE)</f>
        <v>-0.26200000000000001</v>
      </c>
      <c r="AH190">
        <f>VLOOKUP($B190&amp;AH$1,Data!$A$2:$D$3723,4,FALSE)</f>
        <v>0</v>
      </c>
      <c r="AI190">
        <f>VLOOKUP($B190&amp;AI$1,Data!$A$2:$D$3723,4,FALSE)</f>
        <v>2800000</v>
      </c>
    </row>
    <row r="191" spans="2:35" hidden="1">
      <c r="B191" s="13">
        <v>190</v>
      </c>
      <c r="C191" s="13" t="s">
        <v>55</v>
      </c>
      <c r="D191" t="s">
        <v>0</v>
      </c>
      <c r="E191" t="s">
        <v>3</v>
      </c>
      <c r="F191">
        <v>10</v>
      </c>
      <c r="G191" t="s">
        <v>17</v>
      </c>
      <c r="H191" s="5">
        <v>43831</v>
      </c>
      <c r="I191" s="5">
        <v>44562</v>
      </c>
      <c r="J191">
        <v>14</v>
      </c>
      <c r="K191">
        <v>9</v>
      </c>
      <c r="L191">
        <v>30</v>
      </c>
      <c r="M191">
        <v>70</v>
      </c>
      <c r="N191">
        <v>10000</v>
      </c>
      <c r="O191">
        <f>VLOOKUP($B191&amp;O$1,Data!$A$2:$D$5000,4,FALSE)</f>
        <v>0.1132</v>
      </c>
      <c r="P191">
        <f>VLOOKUP($B191&amp;P$1,Data!$A$2:$D$5000,4,FALSE)</f>
        <v>-0.24199999999999999</v>
      </c>
      <c r="Q191">
        <f>VLOOKUP($B191&amp;Q$1,Data!$A$2:$D$5000,4,FALSE)</f>
        <v>318</v>
      </c>
      <c r="R191">
        <f>VLOOKUP($B191&amp;R$1,Data!$A$2:$D$5000,4,FALSE)</f>
        <v>1.43E-2</v>
      </c>
      <c r="S191">
        <f>VLOOKUP($B191&amp;S$1,Data!$A$2:$D$5000,4,FALSE)</f>
        <v>-1.67E-2</v>
      </c>
      <c r="T191">
        <f>VLOOKUP($B191&amp;T$1,Data!$A$2:$D$5000,4,FALSE)</f>
        <v>-2.3640000000000001E-2</v>
      </c>
      <c r="U191">
        <f>VLOOKUP($B191&amp;U$1,Data!$A$2:$D$5000,4,FALSE)</f>
        <v>9.9000000000000005E-2</v>
      </c>
      <c r="V191">
        <f>VLOOKUP($B191&amp;V$1,Data!$A$2:$D$5000,4,FALSE)</f>
        <v>-7.0000000000000007E-2</v>
      </c>
      <c r="W191">
        <f>VLOOKUP($B191&amp;W$1,Data!$A$2:$D$5000,4,FALSE)</f>
        <v>-1.541E-2</v>
      </c>
      <c r="X191">
        <f>VLOOKUP($B191&amp;X$1,Data!$A$2:$D$5000,4,FALSE)</f>
        <v>0.5</v>
      </c>
      <c r="Y191">
        <f>VLOOKUP($B191&amp;Y$1,Data!$A$2:$D$5000,4,FALSE)</f>
        <v>0.5</v>
      </c>
      <c r="Z191">
        <f>VLOOKUP($B191&amp;Z$1,Data!$A$2:$D$5000,4,FALSE)</f>
        <v>0.86</v>
      </c>
      <c r="AA191">
        <f>VLOOKUP($B191&amp;AA$1,Data!$A$2:$D$5000,4,FALSE)</f>
        <v>-1.4999999999999999E-2</v>
      </c>
      <c r="AB191">
        <f>VLOOKUP($B191&amp;AB$1,Data!$A$2:$D$5000,4,FALSE)</f>
        <v>1.0999999999999999E-2</v>
      </c>
      <c r="AC191">
        <f>VLOOKUP($B191&amp;AC$1,Data!$A$2:$D$5000,4,FALSE)</f>
        <v>0.06</v>
      </c>
      <c r="AD191">
        <f>VLOOKUP($B191&amp;AD$1,Data!$A$2:$D$5000,4,FALSE)</f>
        <v>4.0000000000000001E-3</v>
      </c>
      <c r="AE191">
        <f>VLOOKUP($B191&amp;AE$1,Data!$A$2:$D$5000,4,FALSE)</f>
        <v>-0.80200000000000005</v>
      </c>
      <c r="AF191">
        <f>VLOOKUP($B191&amp;AF$1,Data!$A$2:$D$5000,4,FALSE)</f>
        <v>0.09</v>
      </c>
      <c r="AG191">
        <f>VLOOKUP($B191&amp;AG$1,Data!$A$2:$D$5000,4,FALSE)</f>
        <v>-1.284</v>
      </c>
      <c r="AH191">
        <f>VLOOKUP($B191&amp;AH$1,Data!$A$2:$D$5000,4,FALSE)</f>
        <v>0</v>
      </c>
      <c r="AI191">
        <f>VLOOKUP($B191&amp;AI$1,Data!$A$2:$D$5000,4,FALSE)</f>
        <v>13000000</v>
      </c>
    </row>
    <row r="192" spans="2:35" hidden="1">
      <c r="B192" s="13">
        <v>191</v>
      </c>
      <c r="C192" s="13" t="s">
        <v>55</v>
      </c>
      <c r="D192" t="s">
        <v>0</v>
      </c>
      <c r="E192" t="s">
        <v>3</v>
      </c>
      <c r="F192">
        <v>100</v>
      </c>
      <c r="G192" t="s">
        <v>17</v>
      </c>
      <c r="H192" s="5">
        <v>43831</v>
      </c>
      <c r="I192" s="5">
        <v>44562</v>
      </c>
      <c r="J192">
        <v>14</v>
      </c>
      <c r="K192">
        <v>9</v>
      </c>
      <c r="L192">
        <v>30</v>
      </c>
      <c r="M192">
        <v>70</v>
      </c>
      <c r="N192">
        <v>10000</v>
      </c>
      <c r="O192">
        <f>VLOOKUP($B192&amp;O$1,Data!$A$2:$D$5000,4,FALSE)</f>
        <v>0.17876</v>
      </c>
      <c r="P192">
        <f>VLOOKUP($B192&amp;P$1,Data!$A$2:$D$5000,4,FALSE)</f>
        <v>4.9000000000000002E-2</v>
      </c>
      <c r="Q192">
        <f>VLOOKUP($B192&amp;Q$1,Data!$A$2:$D$5000,4,FALSE)</f>
        <v>297</v>
      </c>
      <c r="R192">
        <f>VLOOKUP($B192&amp;R$1,Data!$A$2:$D$5000,4,FALSE)</f>
        <v>0.15409999999999999</v>
      </c>
      <c r="S192">
        <f>VLOOKUP($B192&amp;S$1,Data!$A$2:$D$5000,4,FALSE)</f>
        <v>-0.14599999999999999</v>
      </c>
      <c r="T192">
        <f>VLOOKUP($B192&amp;T$1,Data!$A$2:$D$5000,4,FALSE)</f>
        <v>-0.18079000000000001</v>
      </c>
      <c r="U192">
        <f>VLOOKUP($B192&amp;U$1,Data!$A$2:$D$5000,4,FALSE)</f>
        <v>0.64100000000000001</v>
      </c>
      <c r="V192">
        <f>VLOOKUP($B192&amp;V$1,Data!$A$2:$D$5000,4,FALSE)</f>
        <v>2.8000000000000001E-2</v>
      </c>
      <c r="W192">
        <f>VLOOKUP($B192&amp;W$1,Data!$A$2:$D$5000,4,FALSE)</f>
        <v>-0.12143</v>
      </c>
      <c r="X192">
        <f>VLOOKUP($B192&amp;X$1,Data!$A$2:$D$5000,4,FALSE)</f>
        <v>0.5</v>
      </c>
      <c r="Y192">
        <f>VLOOKUP($B192&amp;Y$1,Data!$A$2:$D$5000,4,FALSE)</f>
        <v>0.5</v>
      </c>
      <c r="Z192">
        <f>VLOOKUP($B192&amp;Z$1,Data!$A$2:$D$5000,4,FALSE)</f>
        <v>1.06</v>
      </c>
      <c r="AA192">
        <f>VLOOKUP($B192&amp;AA$1,Data!$A$2:$D$5000,4,FALSE)</f>
        <v>0</v>
      </c>
      <c r="AB192">
        <f>VLOOKUP($B192&amp;AB$1,Data!$A$2:$D$5000,4,FALSE)</f>
        <v>0.497</v>
      </c>
      <c r="AC192">
        <f>VLOOKUP($B192&amp;AC$1,Data!$A$2:$D$5000,4,FALSE)</f>
        <v>0.57899999999999996</v>
      </c>
      <c r="AD192">
        <f>VLOOKUP($B192&amp;AD$1,Data!$A$2:$D$5000,4,FALSE)</f>
        <v>0.33500000000000002</v>
      </c>
      <c r="AE192">
        <f>VLOOKUP($B192&amp;AE$1,Data!$A$2:$D$5000,4,FALSE)</f>
        <v>-0.05</v>
      </c>
      <c r="AF192">
        <f>VLOOKUP($B192&amp;AF$1,Data!$A$2:$D$5000,4,FALSE)</f>
        <v>0.57899999999999996</v>
      </c>
      <c r="AG192">
        <f>VLOOKUP($B192&amp;AG$1,Data!$A$2:$D$5000,4,FALSE)</f>
        <v>5.7000000000000002E-2</v>
      </c>
      <c r="AH192">
        <f>VLOOKUP($B192&amp;AH$1,Data!$A$2:$D$5000,4,FALSE)</f>
        <v>0</v>
      </c>
      <c r="AI192">
        <f>VLOOKUP($B192&amp;AI$1,Data!$A$2:$D$5000,4,FALSE)</f>
        <v>3000000</v>
      </c>
    </row>
    <row r="193" spans="2:35" hidden="1">
      <c r="B193" s="13">
        <v>192</v>
      </c>
      <c r="C193" s="13" t="s">
        <v>55</v>
      </c>
      <c r="D193" t="s">
        <v>0</v>
      </c>
      <c r="E193" t="s">
        <v>3</v>
      </c>
      <c r="F193">
        <v>200</v>
      </c>
      <c r="G193" t="s">
        <v>17</v>
      </c>
      <c r="H193" s="5">
        <v>43831</v>
      </c>
      <c r="I193" s="5">
        <v>44562</v>
      </c>
      <c r="J193">
        <v>14</v>
      </c>
      <c r="K193">
        <v>9</v>
      </c>
      <c r="L193">
        <v>30</v>
      </c>
      <c r="M193">
        <v>70</v>
      </c>
      <c r="N193">
        <v>10000</v>
      </c>
      <c r="O193">
        <f>VLOOKUP($B193&amp;O$1,Data!$A$2:$D$5000,4,FALSE)</f>
        <v>0.23416999999999999</v>
      </c>
      <c r="P193">
        <f>VLOOKUP($B193&amp;P$1,Data!$A$2:$D$5000,4,FALSE)</f>
        <v>0.28399999999999997</v>
      </c>
      <c r="Q193">
        <f>VLOOKUP($B193&amp;Q$1,Data!$A$2:$D$5000,4,FALSE)</f>
        <v>277</v>
      </c>
      <c r="R193">
        <f>VLOOKUP($B193&amp;R$1,Data!$A$2:$D$5000,4,FALSE)</f>
        <v>0.2379</v>
      </c>
      <c r="S193">
        <f>VLOOKUP($B193&amp;S$1,Data!$A$2:$D$5000,4,FALSE)</f>
        <v>-0.14530000000000001</v>
      </c>
      <c r="T193">
        <f>VLOOKUP($B193&amp;T$1,Data!$A$2:$D$5000,4,FALSE)</f>
        <v>-0.15842999999999999</v>
      </c>
      <c r="U193">
        <f>VLOOKUP($B193&amp;U$1,Data!$A$2:$D$5000,4,FALSE)</f>
        <v>0.78200000000000003</v>
      </c>
      <c r="V193">
        <f>VLOOKUP($B193&amp;V$1,Data!$A$2:$D$5000,4,FALSE)</f>
        <v>9.9000000000000005E-2</v>
      </c>
      <c r="W193">
        <f>VLOOKUP($B193&amp;W$1,Data!$A$2:$D$5000,4,FALSE)</f>
        <v>-0.10594000000000001</v>
      </c>
      <c r="X193">
        <f>VLOOKUP($B193&amp;X$1,Data!$A$2:$D$5000,4,FALSE)</f>
        <v>0.57999999999999996</v>
      </c>
      <c r="Y193">
        <f>VLOOKUP($B193&amp;Y$1,Data!$A$2:$D$5000,4,FALSE)</f>
        <v>0.42</v>
      </c>
      <c r="Z193">
        <f>VLOOKUP($B193&amp;Z$1,Data!$A$2:$D$5000,4,FALSE)</f>
        <v>1.64</v>
      </c>
      <c r="AA193">
        <f>VLOOKUP($B193&amp;AA$1,Data!$A$2:$D$5000,4,FALSE)</f>
        <v>0.16400000000000001</v>
      </c>
      <c r="AB193">
        <f>VLOOKUP($B193&amp;AB$1,Data!$A$2:$D$5000,4,FALSE)</f>
        <v>1.2210000000000001</v>
      </c>
      <c r="AC193">
        <f>VLOOKUP($B193&amp;AC$1,Data!$A$2:$D$5000,4,FALSE)</f>
        <v>0.82299999999999995</v>
      </c>
      <c r="AD193">
        <f>VLOOKUP($B193&amp;AD$1,Data!$A$2:$D$5000,4,FALSE)</f>
        <v>0.67700000000000005</v>
      </c>
      <c r="AE193">
        <f>VLOOKUP($B193&amp;AE$1,Data!$A$2:$D$5000,4,FALSE)</f>
        <v>0.216</v>
      </c>
      <c r="AF193">
        <f>VLOOKUP($B193&amp;AF$1,Data!$A$2:$D$5000,4,FALSE)</f>
        <v>0.81899999999999995</v>
      </c>
      <c r="AG193">
        <f>VLOOKUP($B193&amp;AG$1,Data!$A$2:$D$5000,4,FALSE)</f>
        <v>0.192</v>
      </c>
      <c r="AH193">
        <f>VLOOKUP($B193&amp;AH$1,Data!$A$2:$D$5000,4,FALSE)</f>
        <v>0</v>
      </c>
      <c r="AI193">
        <f>VLOOKUP($B193&amp;AI$1,Data!$A$2:$D$5000,4,FALSE)</f>
        <v>2300000</v>
      </c>
    </row>
    <row r="194" spans="2:35" hidden="1">
      <c r="B194" s="13">
        <v>193</v>
      </c>
      <c r="C194" s="13" t="s">
        <v>55</v>
      </c>
      <c r="D194" t="s">
        <v>0</v>
      </c>
      <c r="E194" t="s">
        <v>2</v>
      </c>
      <c r="F194">
        <v>10</v>
      </c>
      <c r="G194" t="s">
        <v>17</v>
      </c>
      <c r="H194" s="5">
        <v>43831</v>
      </c>
      <c r="I194" s="5">
        <v>44562</v>
      </c>
      <c r="J194">
        <v>14</v>
      </c>
      <c r="K194">
        <v>9</v>
      </c>
      <c r="L194">
        <v>30</v>
      </c>
      <c r="M194">
        <v>70</v>
      </c>
      <c r="N194">
        <v>10000</v>
      </c>
      <c r="O194">
        <f>VLOOKUP($B194&amp;O$1,Data!$A$2:$D$5000,4,FALSE)</f>
        <v>5.7499999999999999E-3</v>
      </c>
      <c r="P194">
        <f>VLOOKUP($B194&amp;P$1,Data!$A$2:$D$5000,4,FALSE)</f>
        <v>-1.464</v>
      </c>
      <c r="Q194">
        <f>VLOOKUP($B194&amp;Q$1,Data!$A$2:$D$5000,4,FALSE)</f>
        <v>203</v>
      </c>
      <c r="R194">
        <f>VLOOKUP($B194&amp;R$1,Data!$A$2:$D$5000,4,FALSE)</f>
        <v>1.17E-2</v>
      </c>
      <c r="S194">
        <f>VLOOKUP($B194&amp;S$1,Data!$A$2:$D$5000,4,FALSE)</f>
        <v>-3.8199999999999998E-2</v>
      </c>
      <c r="T194">
        <f>VLOOKUP($B194&amp;T$1,Data!$A$2:$D$5000,4,FALSE)</f>
        <v>-0.19031999999999999</v>
      </c>
      <c r="U194">
        <f>VLOOKUP($B194&amp;U$1,Data!$A$2:$D$5000,4,FALSE)</f>
        <v>0.159</v>
      </c>
      <c r="V194">
        <f>VLOOKUP($B194&amp;V$1,Data!$A$2:$D$5000,4,FALSE)</f>
        <v>-0.56499999999999995</v>
      </c>
      <c r="W194">
        <f>VLOOKUP($B194&amp;W$1,Data!$A$2:$D$5000,4,FALSE)</f>
        <v>-0.12808</v>
      </c>
      <c r="X194">
        <f>VLOOKUP($B194&amp;X$1,Data!$A$2:$D$5000,4,FALSE)</f>
        <v>0.67</v>
      </c>
      <c r="Y194">
        <f>VLOOKUP($B194&amp;Y$1,Data!$A$2:$D$5000,4,FALSE)</f>
        <v>0.33</v>
      </c>
      <c r="Z194">
        <f>VLOOKUP($B194&amp;Z$1,Data!$A$2:$D$5000,4,FALSE)</f>
        <v>0.31</v>
      </c>
      <c r="AA194">
        <f>VLOOKUP($B194&amp;AA$1,Data!$A$2:$D$5000,4,FALSE)</f>
        <v>-0.14599999999999999</v>
      </c>
      <c r="AB194">
        <f>VLOOKUP($B194&amp;AB$1,Data!$A$2:$D$5000,4,FALSE)</f>
        <v>0.24099999999999999</v>
      </c>
      <c r="AC194">
        <f>VLOOKUP($B194&amp;AC$1,Data!$A$2:$D$5000,4,FALSE)</f>
        <v>9.0999999999999998E-2</v>
      </c>
      <c r="AD194">
        <f>VLOOKUP($B194&amp;AD$1,Data!$A$2:$D$5000,4,FALSE)</f>
        <v>8.0000000000000002E-3</v>
      </c>
      <c r="AE194">
        <f>VLOOKUP($B194&amp;AE$1,Data!$A$2:$D$5000,4,FALSE)</f>
        <v>-1.851</v>
      </c>
      <c r="AF194">
        <f>VLOOKUP($B194&amp;AF$1,Data!$A$2:$D$5000,4,FALSE)</f>
        <v>0.10299999999999999</v>
      </c>
      <c r="AG194">
        <f>VLOOKUP($B194&amp;AG$1,Data!$A$2:$D$5000,4,FALSE)</f>
        <v>-0.54900000000000004</v>
      </c>
      <c r="AH194">
        <f>VLOOKUP($B194&amp;AH$1,Data!$A$2:$D$5000,4,FALSE)</f>
        <v>0</v>
      </c>
      <c r="AI194">
        <f>VLOOKUP($B194&amp;AI$1,Data!$A$2:$D$5000,4,FALSE)</f>
        <v>6100000</v>
      </c>
    </row>
    <row r="195" spans="2:35" hidden="1">
      <c r="B195" s="13">
        <v>194</v>
      </c>
      <c r="C195" s="13" t="s">
        <v>55</v>
      </c>
      <c r="D195" t="s">
        <v>0</v>
      </c>
      <c r="E195" t="s">
        <v>2</v>
      </c>
      <c r="F195">
        <v>100</v>
      </c>
      <c r="G195" t="s">
        <v>17</v>
      </c>
      <c r="H195" s="5">
        <v>43831</v>
      </c>
      <c r="I195" s="5">
        <v>44562</v>
      </c>
      <c r="J195">
        <v>14</v>
      </c>
      <c r="K195">
        <v>9</v>
      </c>
      <c r="L195">
        <v>30</v>
      </c>
      <c r="M195">
        <v>70</v>
      </c>
      <c r="N195">
        <v>10000</v>
      </c>
      <c r="O195">
        <f>VLOOKUP($B195&amp;O$1,Data!$A$2:$D$5000,4,FALSE)</f>
        <v>7.92E-3</v>
      </c>
      <c r="P195">
        <f>VLOOKUP($B195&amp;P$1,Data!$A$2:$D$5000,4,FALSE)</f>
        <v>-0.73199999999999998</v>
      </c>
      <c r="Q195">
        <f>VLOOKUP($B195&amp;Q$1,Data!$A$2:$D$5000,4,FALSE)</f>
        <v>198</v>
      </c>
      <c r="R195">
        <f>VLOOKUP($B195&amp;R$1,Data!$A$2:$D$5000,4,FALSE)</f>
        <v>0.22309999999999999</v>
      </c>
      <c r="S195">
        <f>VLOOKUP($B195&amp;S$1,Data!$A$2:$D$5000,4,FALSE)</f>
        <v>-7.8E-2</v>
      </c>
      <c r="T195">
        <f>VLOOKUP($B195&amp;T$1,Data!$A$2:$D$5000,4,FALSE)</f>
        <v>-0.96894000000000002</v>
      </c>
      <c r="U195">
        <f>VLOOKUP($B195&amp;U$1,Data!$A$2:$D$5000,4,FALSE)</f>
        <v>0.92900000000000005</v>
      </c>
      <c r="V195">
        <f>VLOOKUP($B195&amp;V$1,Data!$A$2:$D$5000,4,FALSE)</f>
        <v>-0.84599999999999997</v>
      </c>
      <c r="W195">
        <f>VLOOKUP($B195&amp;W$1,Data!$A$2:$D$5000,4,FALSE)</f>
        <v>-0.89500000000000002</v>
      </c>
      <c r="X195">
        <f>VLOOKUP($B195&amp;X$1,Data!$A$2:$D$5000,4,FALSE)</f>
        <v>0.96</v>
      </c>
      <c r="Y195">
        <f>VLOOKUP($B195&amp;Y$1,Data!$A$2:$D$5000,4,FALSE)</f>
        <v>0.04</v>
      </c>
      <c r="Z195">
        <f>VLOOKUP($B195&amp;Z$1,Data!$A$2:$D$5000,4,FALSE)</f>
        <v>2.86</v>
      </c>
      <c r="AA195">
        <f>VLOOKUP($B195&amp;AA$1,Data!$A$2:$D$5000,4,FALSE)</f>
        <v>-0.96</v>
      </c>
      <c r="AB195">
        <f>VLOOKUP($B195&amp;AB$1,Data!$A$2:$D$5000,4,FALSE)</f>
        <v>2.3279999999999998</v>
      </c>
      <c r="AC195">
        <f>VLOOKUP($B195&amp;AC$1,Data!$A$2:$D$5000,4,FALSE)</f>
        <v>1.1299999999999999</v>
      </c>
      <c r="AD195">
        <f>VLOOKUP($B195&amp;AD$1,Data!$A$2:$D$5000,4,FALSE)</f>
        <v>1.276</v>
      </c>
      <c r="AE195">
        <f>VLOOKUP($B195&amp;AE$1,Data!$A$2:$D$5000,4,FALSE)</f>
        <v>-0.78700000000000003</v>
      </c>
      <c r="AF195">
        <f>VLOOKUP($B195&amp;AF$1,Data!$A$2:$D$5000,4,FALSE)</f>
        <v>1.1220000000000001</v>
      </c>
      <c r="AG195">
        <f>VLOOKUP($B195&amp;AG$1,Data!$A$2:$D$5000,4,FALSE)</f>
        <v>-0.35499999999999998</v>
      </c>
      <c r="AH195">
        <f>VLOOKUP($B195&amp;AH$1,Data!$A$2:$D$5000,4,FALSE)</f>
        <v>0</v>
      </c>
      <c r="AI195">
        <f>VLOOKUP($B195&amp;AI$1,Data!$A$2:$D$5000,4,FALSE)</f>
        <v>1200000</v>
      </c>
    </row>
    <row r="196" spans="2:35" hidden="1">
      <c r="B196" s="13">
        <v>195</v>
      </c>
      <c r="C196" s="13" t="s">
        <v>55</v>
      </c>
      <c r="D196" t="s">
        <v>0</v>
      </c>
      <c r="E196" t="s">
        <v>2</v>
      </c>
      <c r="F196">
        <v>200</v>
      </c>
      <c r="G196" t="s">
        <v>17</v>
      </c>
      <c r="H196" s="5">
        <v>43831</v>
      </c>
      <c r="I196" s="5">
        <v>44562</v>
      </c>
      <c r="J196">
        <v>14</v>
      </c>
      <c r="K196">
        <v>9</v>
      </c>
      <c r="L196">
        <v>30</v>
      </c>
      <c r="M196">
        <v>70</v>
      </c>
      <c r="N196">
        <v>10000</v>
      </c>
      <c r="O196">
        <f>VLOOKUP($B196&amp;O$1,Data!$A$2:$D$5000,4,FALSE)</f>
        <v>7.2100000000000003E-3</v>
      </c>
      <c r="P196">
        <f>VLOOKUP($B196&amp;P$1,Data!$A$2:$D$5000,4,FALSE)</f>
        <v>-0.60099999999999998</v>
      </c>
      <c r="Q196">
        <f>VLOOKUP($B196&amp;Q$1,Data!$A$2:$D$5000,4,FALSE)</f>
        <v>184</v>
      </c>
      <c r="R196">
        <f>VLOOKUP($B196&amp;R$1,Data!$A$2:$D$5000,4,FALSE)</f>
        <v>3.2000000000000002E-3</v>
      </c>
      <c r="S196">
        <f>VLOOKUP($B196&amp;S$1,Data!$A$2:$D$5000,4,FALSE)</f>
        <v>-5.7500000000000002E-2</v>
      </c>
      <c r="T196">
        <f>VLOOKUP($B196&amp;T$1,Data!$A$2:$D$5000,4,FALSE)</f>
        <v>-0.99353000000000002</v>
      </c>
      <c r="U196">
        <f>VLOOKUP($B196&amp;U$1,Data!$A$2:$D$5000,4,FALSE)</f>
        <v>0.98299999999999998</v>
      </c>
      <c r="V196">
        <f>VLOOKUP($B196&amp;V$1,Data!$A$2:$D$5000,4,FALSE)</f>
        <v>-0.95</v>
      </c>
      <c r="W196">
        <f>VLOOKUP($B196&amp;W$1,Data!$A$2:$D$5000,4,FALSE)</f>
        <v>-0.96209</v>
      </c>
      <c r="X196">
        <f>VLOOKUP($B196&amp;X$1,Data!$A$2:$D$5000,4,FALSE)</f>
        <v>0.95</v>
      </c>
      <c r="Y196">
        <f>VLOOKUP($B196&amp;Y$1,Data!$A$2:$D$5000,4,FALSE)</f>
        <v>0.05</v>
      </c>
      <c r="Z196">
        <f>VLOOKUP($B196&amp;Z$1,Data!$A$2:$D$5000,4,FALSE)</f>
        <v>0.06</v>
      </c>
      <c r="AA196">
        <f>VLOOKUP($B196&amp;AA$1,Data!$A$2:$D$5000,4,FALSE)</f>
        <v>-0.95199999999999996</v>
      </c>
      <c r="AB196">
        <f>VLOOKUP($B196&amp;AB$1,Data!$A$2:$D$5000,4,FALSE)</f>
        <v>0.88600000000000001</v>
      </c>
      <c r="AC196">
        <f>VLOOKUP($B196&amp;AC$1,Data!$A$2:$D$5000,4,FALSE)</f>
        <v>1.498</v>
      </c>
      <c r="AD196">
        <f>VLOOKUP($B196&amp;AD$1,Data!$A$2:$D$5000,4,FALSE)</f>
        <v>2.2450000000000001</v>
      </c>
      <c r="AE196">
        <f>VLOOKUP($B196&amp;AE$1,Data!$A$2:$D$5000,4,FALSE)</f>
        <v>-0.64</v>
      </c>
      <c r="AF196">
        <f>VLOOKUP($B196&amp;AF$1,Data!$A$2:$D$5000,4,FALSE)</f>
        <v>1.4970000000000001</v>
      </c>
      <c r="AG196">
        <f>VLOOKUP($B196&amp;AG$1,Data!$A$2:$D$5000,4,FALSE)</f>
        <v>-1.0169999999999999</v>
      </c>
      <c r="AH196">
        <f>VLOOKUP($B196&amp;AH$1,Data!$A$2:$D$5000,4,FALSE)</f>
        <v>0</v>
      </c>
      <c r="AI196">
        <f>VLOOKUP($B196&amp;AI$1,Data!$A$2:$D$5000,4,FALSE)</f>
        <v>560000</v>
      </c>
    </row>
    <row r="197" spans="2:35" hidden="1">
      <c r="B197" s="13">
        <v>196</v>
      </c>
      <c r="C197" s="13" t="s">
        <v>55</v>
      </c>
      <c r="D197" t="s">
        <v>0</v>
      </c>
      <c r="E197" t="s">
        <v>22</v>
      </c>
      <c r="F197">
        <v>10</v>
      </c>
      <c r="G197" t="s">
        <v>17</v>
      </c>
      <c r="H197" s="5">
        <v>43831</v>
      </c>
      <c r="I197" s="5">
        <v>44562</v>
      </c>
      <c r="J197">
        <v>14</v>
      </c>
      <c r="K197">
        <v>9</v>
      </c>
      <c r="L197">
        <v>30</v>
      </c>
      <c r="M197">
        <v>70</v>
      </c>
      <c r="N197">
        <v>10000</v>
      </c>
      <c r="O197">
        <f>VLOOKUP($B197&amp;O$1,Data!$A$2:$D$5000,4,FALSE)</f>
        <v>0.31396000000000002</v>
      </c>
      <c r="P197">
        <f>VLOOKUP($B197&amp;P$1,Data!$A$2:$D$5000,4,FALSE)</f>
        <v>0.51700000000000002</v>
      </c>
      <c r="Q197">
        <f>VLOOKUP($B197&amp;Q$1,Data!$A$2:$D$5000,4,FALSE)</f>
        <v>141</v>
      </c>
      <c r="R197">
        <f>VLOOKUP($B197&amp;R$1,Data!$A$2:$D$5000,4,FALSE)</f>
        <v>4.4499999999999998E-2</v>
      </c>
      <c r="S197">
        <f>VLOOKUP($B197&amp;S$1,Data!$A$2:$D$5000,4,FALSE)</f>
        <v>-2.81E-2</v>
      </c>
      <c r="T197">
        <f>VLOOKUP($B197&amp;T$1,Data!$A$2:$D$5000,4,FALSE)</f>
        <v>5.3249999999999999E-2</v>
      </c>
      <c r="U197">
        <f>VLOOKUP($B197&amp;U$1,Data!$A$2:$D$5000,4,FALSE)</f>
        <v>0.06</v>
      </c>
      <c r="V197">
        <f>VLOOKUP($B197&amp;V$1,Data!$A$2:$D$5000,4,FALSE)</f>
        <v>0.29199999999999998</v>
      </c>
      <c r="W197">
        <f>VLOOKUP($B197&amp;W$1,Data!$A$2:$D$5000,4,FALSE)</f>
        <v>3.4250000000000003E-2</v>
      </c>
      <c r="X197">
        <f>VLOOKUP($B197&amp;X$1,Data!$A$2:$D$5000,4,FALSE)</f>
        <v>0.5</v>
      </c>
      <c r="Y197">
        <f>VLOOKUP($B197&amp;Y$1,Data!$A$2:$D$5000,4,FALSE)</f>
        <v>0.5</v>
      </c>
      <c r="Z197">
        <f>VLOOKUP($B197&amp;Z$1,Data!$A$2:$D$5000,4,FALSE)</f>
        <v>1.58</v>
      </c>
      <c r="AA197">
        <f>VLOOKUP($B197&amp;AA$1,Data!$A$2:$D$5000,4,FALSE)</f>
        <v>3.1E-2</v>
      </c>
      <c r="AB197">
        <f>VLOOKUP($B197&amp;AB$1,Data!$A$2:$D$5000,4,FALSE)</f>
        <v>0.14499999999999999</v>
      </c>
      <c r="AC197">
        <f>VLOOKUP($B197&amp;AC$1,Data!$A$2:$D$5000,4,FALSE)</f>
        <v>7.6999999999999999E-2</v>
      </c>
      <c r="AD197">
        <f>VLOOKUP($B197&amp;AD$1,Data!$A$2:$D$5000,4,FALSE)</f>
        <v>6.0000000000000001E-3</v>
      </c>
      <c r="AE197">
        <f>VLOOKUP($B197&amp;AE$1,Data!$A$2:$D$5000,4,FALSE)</f>
        <v>-0.184</v>
      </c>
      <c r="AF197">
        <f>VLOOKUP($B197&amp;AF$1,Data!$A$2:$D$5000,4,FALSE)</f>
        <v>9.5000000000000001E-2</v>
      </c>
      <c r="AG197">
        <f>VLOOKUP($B197&amp;AG$1,Data!$A$2:$D$5000,4,FALSE)</f>
        <v>0.27300000000000002</v>
      </c>
      <c r="AH197">
        <f>VLOOKUP($B197&amp;AH$1,Data!$A$2:$D$5000,4,FALSE)</f>
        <v>0</v>
      </c>
      <c r="AI197">
        <f>VLOOKUP($B197&amp;AI$1,Data!$A$2:$D$5000,4,FALSE)</f>
        <v>12000000</v>
      </c>
    </row>
    <row r="198" spans="2:35" hidden="1">
      <c r="B198" s="13">
        <v>197</v>
      </c>
      <c r="C198" s="13" t="s">
        <v>55</v>
      </c>
      <c r="D198" t="s">
        <v>0</v>
      </c>
      <c r="E198" t="s">
        <v>22</v>
      </c>
      <c r="F198">
        <v>100</v>
      </c>
      <c r="G198" t="s">
        <v>17</v>
      </c>
      <c r="H198" s="5">
        <v>43831</v>
      </c>
      <c r="I198" s="5">
        <v>44562</v>
      </c>
      <c r="J198">
        <v>14</v>
      </c>
      <c r="K198">
        <v>9</v>
      </c>
      <c r="L198">
        <v>30</v>
      </c>
      <c r="M198">
        <v>70</v>
      </c>
      <c r="N198">
        <v>10000</v>
      </c>
      <c r="O198">
        <f>VLOOKUP($B198&amp;O$1,Data!$A$2:$D$5000,4,FALSE)</f>
        <v>0.43468000000000001</v>
      </c>
      <c r="P198">
        <f>VLOOKUP($B198&amp;P$1,Data!$A$2:$D$5000,4,FALSE)</f>
        <v>1.073</v>
      </c>
      <c r="Q198">
        <f>VLOOKUP($B198&amp;Q$1,Data!$A$2:$D$5000,4,FALSE)</f>
        <v>140</v>
      </c>
      <c r="R198">
        <f>VLOOKUP($B198&amp;R$1,Data!$A$2:$D$5000,4,FALSE)</f>
        <v>0.40960000000000002</v>
      </c>
      <c r="S198">
        <f>VLOOKUP($B198&amp;S$1,Data!$A$2:$D$5000,4,FALSE)</f>
        <v>-0.1704</v>
      </c>
      <c r="T198">
        <f>VLOOKUP($B198&amp;T$1,Data!$A$2:$D$5000,4,FALSE)</f>
        <v>0.59323999999999999</v>
      </c>
      <c r="U198">
        <f>VLOOKUP($B198&amp;U$1,Data!$A$2:$D$5000,4,FALSE)</f>
        <v>0.32400000000000001</v>
      </c>
      <c r="V198">
        <f>VLOOKUP($B198&amp;V$1,Data!$A$2:$D$5000,4,FALSE)</f>
        <v>0.70199999999999996</v>
      </c>
      <c r="W198">
        <f>VLOOKUP($B198&amp;W$1,Data!$A$2:$D$5000,4,FALSE)</f>
        <v>0.35306999999999999</v>
      </c>
      <c r="X198">
        <f>VLOOKUP($B198&amp;X$1,Data!$A$2:$D$5000,4,FALSE)</f>
        <v>0.5</v>
      </c>
      <c r="Y198">
        <f>VLOOKUP($B198&amp;Y$1,Data!$A$2:$D$5000,4,FALSE)</f>
        <v>0.5</v>
      </c>
      <c r="Z198">
        <f>VLOOKUP($B198&amp;Z$1,Data!$A$2:$D$5000,4,FALSE)</f>
        <v>2.4</v>
      </c>
      <c r="AA198">
        <f>VLOOKUP($B198&amp;AA$1,Data!$A$2:$D$5000,4,FALSE)</f>
        <v>0.52400000000000002</v>
      </c>
      <c r="AB198">
        <f>VLOOKUP($B198&amp;AB$1,Data!$A$2:$D$5000,4,FALSE)</f>
        <v>1.2</v>
      </c>
      <c r="AC198">
        <f>VLOOKUP($B198&amp;AC$1,Data!$A$2:$D$5000,4,FALSE)</f>
        <v>0.55300000000000005</v>
      </c>
      <c r="AD198">
        <f>VLOOKUP($B198&amp;AD$1,Data!$A$2:$D$5000,4,FALSE)</f>
        <v>0.30499999999999999</v>
      </c>
      <c r="AE198">
        <f>VLOOKUP($B198&amp;AE$1,Data!$A$2:$D$5000,4,FALSE)</f>
        <v>0.98</v>
      </c>
      <c r="AF198">
        <f>VLOOKUP($B198&amp;AF$1,Data!$A$2:$D$5000,4,FALSE)</f>
        <v>0.54700000000000004</v>
      </c>
      <c r="AG198">
        <f>VLOOKUP($B198&amp;AG$1,Data!$A$2:$D$5000,4,FALSE)</f>
        <v>0.49399999999999999</v>
      </c>
      <c r="AH198">
        <f>VLOOKUP($B198&amp;AH$1,Data!$A$2:$D$5000,4,FALSE)</f>
        <v>0</v>
      </c>
      <c r="AI198">
        <f>VLOOKUP($B198&amp;AI$1,Data!$A$2:$D$5000,4,FALSE)</f>
        <v>3700000</v>
      </c>
    </row>
    <row r="199" spans="2:35" hidden="1">
      <c r="B199" s="13">
        <v>198</v>
      </c>
      <c r="C199" s="13" t="s">
        <v>55</v>
      </c>
      <c r="D199" t="s">
        <v>0</v>
      </c>
      <c r="E199" t="s">
        <v>22</v>
      </c>
      <c r="F199">
        <v>200</v>
      </c>
      <c r="G199" t="s">
        <v>17</v>
      </c>
      <c r="H199" s="5">
        <v>43831</v>
      </c>
      <c r="I199" s="5">
        <v>44562</v>
      </c>
      <c r="J199">
        <v>14</v>
      </c>
      <c r="K199">
        <v>9</v>
      </c>
      <c r="L199">
        <v>30</v>
      </c>
      <c r="M199">
        <v>70</v>
      </c>
      <c r="N199">
        <v>10000</v>
      </c>
      <c r="O199">
        <f>VLOOKUP($B199&amp;O$1,Data!$A$2:$D$5000,4,FALSE)</f>
        <v>0.34200999999999998</v>
      </c>
      <c r="P199">
        <f>VLOOKUP($B199&amp;P$1,Data!$A$2:$D$5000,4,FALSE)</f>
        <v>0.74</v>
      </c>
      <c r="Q199">
        <f>VLOOKUP($B199&amp;Q$1,Data!$A$2:$D$5000,4,FALSE)</f>
        <v>133</v>
      </c>
      <c r="R199">
        <f>VLOOKUP($B199&amp;R$1,Data!$A$2:$D$5000,4,FALSE)</f>
        <v>0.4556</v>
      </c>
      <c r="S199">
        <f>VLOOKUP($B199&amp;S$1,Data!$A$2:$D$5000,4,FALSE)</f>
        <v>-0.1053</v>
      </c>
      <c r="T199">
        <f>VLOOKUP($B199&amp;T$1,Data!$A$2:$D$5000,4,FALSE)</f>
        <v>0.27972000000000002</v>
      </c>
      <c r="U199">
        <f>VLOOKUP($B199&amp;U$1,Data!$A$2:$D$5000,4,FALSE)</f>
        <v>0.45800000000000002</v>
      </c>
      <c r="V199">
        <f>VLOOKUP($B199&amp;V$1,Data!$A$2:$D$5000,4,FALSE)</f>
        <v>0.52200000000000002</v>
      </c>
      <c r="W199">
        <f>VLOOKUP($B199&amp;W$1,Data!$A$2:$D$5000,4,FALSE)</f>
        <v>0.17365</v>
      </c>
      <c r="X199">
        <f>VLOOKUP($B199&amp;X$1,Data!$A$2:$D$5000,4,FALSE)</f>
        <v>0.71</v>
      </c>
      <c r="Y199">
        <f>VLOOKUP($B199&amp;Y$1,Data!$A$2:$D$5000,4,FALSE)</f>
        <v>0.28999999999999998</v>
      </c>
      <c r="Z199">
        <f>VLOOKUP($B199&amp;Z$1,Data!$A$2:$D$5000,4,FALSE)</f>
        <v>4.33</v>
      </c>
      <c r="AA199">
        <f>VLOOKUP($B199&amp;AA$1,Data!$A$2:$D$5000,4,FALSE)</f>
        <v>0.48099999999999998</v>
      </c>
      <c r="AB199">
        <f>VLOOKUP($B199&amp;AB$1,Data!$A$2:$D$5000,4,FALSE)</f>
        <v>1.2609999999999999</v>
      </c>
      <c r="AC199">
        <f>VLOOKUP($B199&amp;AC$1,Data!$A$2:$D$5000,4,FALSE)</f>
        <v>0.747</v>
      </c>
      <c r="AD199">
        <f>VLOOKUP($B199&amp;AD$1,Data!$A$2:$D$5000,4,FALSE)</f>
        <v>0.55900000000000005</v>
      </c>
      <c r="AE199">
        <f>VLOOKUP($B199&amp;AE$1,Data!$A$2:$D$5000,4,FALSE)</f>
        <v>0.66800000000000004</v>
      </c>
      <c r="AF199">
        <f>VLOOKUP($B199&amp;AF$1,Data!$A$2:$D$5000,4,FALSE)</f>
        <v>0.74299999999999999</v>
      </c>
      <c r="AG199">
        <f>VLOOKUP($B199&amp;AG$1,Data!$A$2:$D$5000,4,FALSE)</f>
        <v>0.439</v>
      </c>
      <c r="AH199">
        <f>VLOOKUP($B199&amp;AH$1,Data!$A$2:$D$5000,4,FALSE)</f>
        <v>0</v>
      </c>
      <c r="AI199">
        <f>VLOOKUP($B199&amp;AI$1,Data!$A$2:$D$5000,4,FALSE)</f>
        <v>2900000</v>
      </c>
    </row>
    <row r="200" spans="2:35" hidden="1">
      <c r="B200">
        <v>199</v>
      </c>
      <c r="C200" s="13" t="s">
        <v>55</v>
      </c>
      <c r="D200" t="s">
        <v>0</v>
      </c>
      <c r="E200" t="s">
        <v>3</v>
      </c>
      <c r="F200">
        <v>10</v>
      </c>
      <c r="G200" t="s">
        <v>17</v>
      </c>
      <c r="H200" s="5">
        <v>43831</v>
      </c>
      <c r="I200" s="5">
        <v>44562</v>
      </c>
      <c r="J200">
        <v>14</v>
      </c>
      <c r="K200">
        <v>9</v>
      </c>
      <c r="L200">
        <v>32</v>
      </c>
      <c r="M200">
        <v>68</v>
      </c>
      <c r="N200">
        <v>10000</v>
      </c>
    </row>
    <row r="201" spans="2:35" hidden="1">
      <c r="B201">
        <v>200</v>
      </c>
      <c r="C201" s="13" t="s">
        <v>55</v>
      </c>
      <c r="D201" t="s">
        <v>0</v>
      </c>
      <c r="E201" t="s">
        <v>3</v>
      </c>
      <c r="F201">
        <v>100</v>
      </c>
      <c r="G201" t="s">
        <v>17</v>
      </c>
      <c r="H201" s="5">
        <v>43831</v>
      </c>
      <c r="I201" s="5">
        <v>44562</v>
      </c>
      <c r="J201">
        <v>14</v>
      </c>
      <c r="K201">
        <v>9</v>
      </c>
      <c r="L201">
        <v>32</v>
      </c>
      <c r="M201">
        <v>68</v>
      </c>
      <c r="N201">
        <v>10000</v>
      </c>
    </row>
    <row r="202" spans="2:35" hidden="1">
      <c r="B202">
        <v>201</v>
      </c>
      <c r="C202" s="13" t="s">
        <v>55</v>
      </c>
      <c r="D202" t="s">
        <v>0</v>
      </c>
      <c r="E202" t="s">
        <v>3</v>
      </c>
      <c r="F202">
        <v>200</v>
      </c>
      <c r="G202" t="s">
        <v>17</v>
      </c>
      <c r="H202" s="5">
        <v>43831</v>
      </c>
      <c r="I202" s="5">
        <v>44562</v>
      </c>
      <c r="J202">
        <v>14</v>
      </c>
      <c r="K202">
        <v>9</v>
      </c>
      <c r="L202">
        <v>32</v>
      </c>
      <c r="M202">
        <v>68</v>
      </c>
      <c r="N202">
        <v>10000</v>
      </c>
    </row>
    <row r="203" spans="2:35" hidden="1">
      <c r="B203">
        <v>202</v>
      </c>
      <c r="C203" s="13" t="s">
        <v>55</v>
      </c>
      <c r="D203" t="s">
        <v>0</v>
      </c>
      <c r="E203" t="s">
        <v>2</v>
      </c>
      <c r="F203">
        <v>10</v>
      </c>
      <c r="G203" t="s">
        <v>17</v>
      </c>
      <c r="H203" s="5">
        <v>43831</v>
      </c>
      <c r="I203" s="5">
        <v>44562</v>
      </c>
      <c r="J203">
        <v>14</v>
      </c>
      <c r="K203">
        <v>9</v>
      </c>
      <c r="L203">
        <v>32</v>
      </c>
      <c r="M203">
        <v>68</v>
      </c>
      <c r="N203">
        <v>10000</v>
      </c>
    </row>
    <row r="204" spans="2:35" hidden="1">
      <c r="B204">
        <v>203</v>
      </c>
      <c r="C204" s="13" t="s">
        <v>55</v>
      </c>
      <c r="D204" t="s">
        <v>0</v>
      </c>
      <c r="E204" t="s">
        <v>2</v>
      </c>
      <c r="F204">
        <v>100</v>
      </c>
      <c r="G204" t="s">
        <v>17</v>
      </c>
      <c r="H204" s="5">
        <v>43831</v>
      </c>
      <c r="I204" s="5">
        <v>44562</v>
      </c>
      <c r="J204">
        <v>14</v>
      </c>
      <c r="K204">
        <v>9</v>
      </c>
      <c r="L204">
        <v>32</v>
      </c>
      <c r="M204">
        <v>68</v>
      </c>
      <c r="N204">
        <v>10000</v>
      </c>
    </row>
    <row r="205" spans="2:35" hidden="1">
      <c r="B205">
        <v>204</v>
      </c>
      <c r="C205" s="13" t="s">
        <v>55</v>
      </c>
      <c r="D205" t="s">
        <v>0</v>
      </c>
      <c r="E205" t="s">
        <v>2</v>
      </c>
      <c r="F205">
        <v>200</v>
      </c>
      <c r="G205" t="s">
        <v>17</v>
      </c>
      <c r="H205" s="5">
        <v>43831</v>
      </c>
      <c r="I205" s="5">
        <v>44562</v>
      </c>
      <c r="J205">
        <v>14</v>
      </c>
      <c r="K205">
        <v>9</v>
      </c>
      <c r="L205">
        <v>32</v>
      </c>
      <c r="M205">
        <v>68</v>
      </c>
      <c r="N205">
        <v>10000</v>
      </c>
    </row>
    <row r="206" spans="2:35" hidden="1">
      <c r="B206">
        <v>205</v>
      </c>
      <c r="C206" s="13" t="s">
        <v>55</v>
      </c>
      <c r="D206" t="s">
        <v>0</v>
      </c>
      <c r="E206" t="s">
        <v>22</v>
      </c>
      <c r="F206">
        <v>10</v>
      </c>
      <c r="G206" t="s">
        <v>17</v>
      </c>
      <c r="H206" s="5">
        <v>43831</v>
      </c>
      <c r="I206" s="5">
        <v>44562</v>
      </c>
      <c r="J206">
        <v>14</v>
      </c>
      <c r="K206">
        <v>9</v>
      </c>
      <c r="L206">
        <v>32</v>
      </c>
      <c r="M206">
        <v>68</v>
      </c>
      <c r="N206">
        <v>10000</v>
      </c>
    </row>
    <row r="207" spans="2:35" hidden="1">
      <c r="B207">
        <v>206</v>
      </c>
      <c r="C207" s="13" t="s">
        <v>55</v>
      </c>
      <c r="D207" t="s">
        <v>0</v>
      </c>
      <c r="E207" t="s">
        <v>22</v>
      </c>
      <c r="F207">
        <v>100</v>
      </c>
      <c r="G207" t="s">
        <v>17</v>
      </c>
      <c r="H207" s="5">
        <v>43831</v>
      </c>
      <c r="I207" s="5">
        <v>44562</v>
      </c>
      <c r="J207">
        <v>14</v>
      </c>
      <c r="K207">
        <v>9</v>
      </c>
      <c r="L207">
        <v>32</v>
      </c>
      <c r="M207">
        <v>68</v>
      </c>
      <c r="N207">
        <v>10000</v>
      </c>
    </row>
    <row r="208" spans="2:35" hidden="1">
      <c r="B208">
        <v>207</v>
      </c>
      <c r="C208" s="13" t="s">
        <v>55</v>
      </c>
      <c r="D208" t="s">
        <v>0</v>
      </c>
      <c r="E208" t="s">
        <v>22</v>
      </c>
      <c r="F208">
        <v>200</v>
      </c>
      <c r="G208" t="s">
        <v>17</v>
      </c>
      <c r="H208" s="5">
        <v>43831</v>
      </c>
      <c r="I208" s="5">
        <v>44562</v>
      </c>
      <c r="J208">
        <v>14</v>
      </c>
      <c r="K208">
        <v>9</v>
      </c>
      <c r="L208">
        <v>32</v>
      </c>
      <c r="M208">
        <v>68</v>
      </c>
      <c r="N208">
        <v>10000</v>
      </c>
    </row>
    <row r="209" spans="2:35" hidden="1">
      <c r="B209">
        <v>208</v>
      </c>
      <c r="C209" s="13" t="s">
        <v>55</v>
      </c>
      <c r="D209" t="s">
        <v>0</v>
      </c>
      <c r="E209" t="s">
        <v>3</v>
      </c>
      <c r="F209">
        <v>10</v>
      </c>
      <c r="G209" t="s">
        <v>17</v>
      </c>
      <c r="H209" s="5">
        <v>43831</v>
      </c>
      <c r="I209" s="5">
        <v>44562</v>
      </c>
      <c r="J209">
        <v>14</v>
      </c>
      <c r="K209">
        <v>9</v>
      </c>
      <c r="L209">
        <v>28</v>
      </c>
      <c r="M209">
        <v>72</v>
      </c>
      <c r="N209">
        <v>10000</v>
      </c>
    </row>
    <row r="210" spans="2:35" hidden="1">
      <c r="B210">
        <v>209</v>
      </c>
      <c r="C210" s="13" t="s">
        <v>55</v>
      </c>
      <c r="D210" t="s">
        <v>0</v>
      </c>
      <c r="E210" t="s">
        <v>3</v>
      </c>
      <c r="F210">
        <v>100</v>
      </c>
      <c r="G210" t="s">
        <v>17</v>
      </c>
      <c r="H210" s="5">
        <v>43831</v>
      </c>
      <c r="I210" s="5">
        <v>44562</v>
      </c>
      <c r="J210">
        <v>14</v>
      </c>
      <c r="K210">
        <v>9</v>
      </c>
      <c r="L210">
        <v>28</v>
      </c>
      <c r="M210">
        <v>72</v>
      </c>
      <c r="N210">
        <v>10000</v>
      </c>
    </row>
    <row r="211" spans="2:35" hidden="1">
      <c r="B211">
        <v>210</v>
      </c>
      <c r="C211" s="13" t="s">
        <v>55</v>
      </c>
      <c r="D211" t="s">
        <v>0</v>
      </c>
      <c r="E211" t="s">
        <v>3</v>
      </c>
      <c r="F211">
        <v>200</v>
      </c>
      <c r="G211" t="s">
        <v>17</v>
      </c>
      <c r="H211" s="5">
        <v>43831</v>
      </c>
      <c r="I211" s="5">
        <v>44562</v>
      </c>
      <c r="J211">
        <v>14</v>
      </c>
      <c r="K211">
        <v>9</v>
      </c>
      <c r="L211">
        <v>28</v>
      </c>
      <c r="M211">
        <v>72</v>
      </c>
      <c r="N211">
        <v>10000</v>
      </c>
    </row>
    <row r="212" spans="2:35" hidden="1">
      <c r="B212">
        <v>211</v>
      </c>
      <c r="C212" s="13" t="s">
        <v>55</v>
      </c>
      <c r="D212" t="s">
        <v>0</v>
      </c>
      <c r="E212" t="s">
        <v>2</v>
      </c>
      <c r="F212">
        <v>10</v>
      </c>
      <c r="G212" t="s">
        <v>17</v>
      </c>
      <c r="H212" s="5">
        <v>43831</v>
      </c>
      <c r="I212" s="5">
        <v>44562</v>
      </c>
      <c r="J212">
        <v>14</v>
      </c>
      <c r="K212">
        <v>9</v>
      </c>
      <c r="L212">
        <v>28</v>
      </c>
      <c r="M212">
        <v>72</v>
      </c>
      <c r="N212">
        <v>10000</v>
      </c>
    </row>
    <row r="213" spans="2:35" hidden="1">
      <c r="B213">
        <v>212</v>
      </c>
      <c r="C213" s="13" t="s">
        <v>55</v>
      </c>
      <c r="D213" t="s">
        <v>0</v>
      </c>
      <c r="E213" t="s">
        <v>2</v>
      </c>
      <c r="F213">
        <v>10</v>
      </c>
      <c r="G213" t="s">
        <v>17</v>
      </c>
      <c r="H213" s="5">
        <v>43831</v>
      </c>
      <c r="I213" s="5">
        <v>44562</v>
      </c>
      <c r="J213">
        <v>14</v>
      </c>
      <c r="K213">
        <v>9</v>
      </c>
      <c r="L213">
        <v>28</v>
      </c>
      <c r="M213">
        <v>72</v>
      </c>
      <c r="N213">
        <v>10000</v>
      </c>
    </row>
    <row r="214" spans="2:35" hidden="1">
      <c r="B214">
        <v>213</v>
      </c>
      <c r="C214" s="13" t="s">
        <v>55</v>
      </c>
      <c r="D214" t="s">
        <v>0</v>
      </c>
      <c r="E214" t="s">
        <v>2</v>
      </c>
      <c r="F214">
        <v>100</v>
      </c>
      <c r="G214" t="s">
        <v>17</v>
      </c>
      <c r="H214" s="5">
        <v>43831</v>
      </c>
      <c r="I214" s="5">
        <v>44562</v>
      </c>
      <c r="J214">
        <v>14</v>
      </c>
      <c r="K214">
        <v>9</v>
      </c>
      <c r="L214">
        <v>28</v>
      </c>
      <c r="M214">
        <v>72</v>
      </c>
      <c r="N214">
        <v>10000</v>
      </c>
    </row>
    <row r="215" spans="2:35" hidden="1">
      <c r="B215">
        <v>214</v>
      </c>
      <c r="C215" s="13" t="s">
        <v>55</v>
      </c>
      <c r="D215" t="s">
        <v>0</v>
      </c>
      <c r="E215" t="s">
        <v>22</v>
      </c>
      <c r="F215">
        <v>10</v>
      </c>
      <c r="G215" t="s">
        <v>17</v>
      </c>
      <c r="H215" s="5">
        <v>43831</v>
      </c>
      <c r="I215" s="5">
        <v>44562</v>
      </c>
      <c r="J215">
        <v>14</v>
      </c>
      <c r="K215">
        <v>9</v>
      </c>
      <c r="L215">
        <v>28</v>
      </c>
      <c r="M215">
        <v>72</v>
      </c>
      <c r="N215">
        <v>10000</v>
      </c>
    </row>
    <row r="216" spans="2:35" hidden="1">
      <c r="B216">
        <v>215</v>
      </c>
      <c r="C216" s="13" t="s">
        <v>55</v>
      </c>
      <c r="D216" t="s">
        <v>0</v>
      </c>
      <c r="E216" t="s">
        <v>22</v>
      </c>
      <c r="F216">
        <v>100</v>
      </c>
      <c r="G216" t="s">
        <v>17</v>
      </c>
      <c r="H216" s="5">
        <v>43831</v>
      </c>
      <c r="I216" s="5">
        <v>44562</v>
      </c>
      <c r="J216">
        <v>14</v>
      </c>
      <c r="K216">
        <v>9</v>
      </c>
      <c r="L216">
        <v>28</v>
      </c>
      <c r="M216">
        <v>72</v>
      </c>
      <c r="N216">
        <v>10000</v>
      </c>
    </row>
    <row r="217" spans="2:35" hidden="1">
      <c r="B217">
        <v>216</v>
      </c>
      <c r="C217" s="13" t="s">
        <v>55</v>
      </c>
      <c r="D217" t="s">
        <v>0</v>
      </c>
      <c r="E217" t="s">
        <v>22</v>
      </c>
      <c r="F217">
        <v>200</v>
      </c>
      <c r="G217" t="s">
        <v>17</v>
      </c>
      <c r="H217" s="5">
        <v>43831</v>
      </c>
      <c r="I217" s="5">
        <v>44562</v>
      </c>
      <c r="J217">
        <v>14</v>
      </c>
      <c r="K217">
        <v>9</v>
      </c>
      <c r="L217">
        <v>28</v>
      </c>
      <c r="M217">
        <v>72</v>
      </c>
      <c r="N217">
        <v>10000</v>
      </c>
    </row>
    <row r="218" spans="2:35" hidden="1">
      <c r="B218" s="13">
        <v>217</v>
      </c>
      <c r="C218" s="13" t="s">
        <v>55</v>
      </c>
      <c r="D218" t="s">
        <v>5</v>
      </c>
      <c r="E218" t="s">
        <v>3</v>
      </c>
      <c r="F218">
        <v>10</v>
      </c>
      <c r="G218" t="s">
        <v>17</v>
      </c>
      <c r="H218" s="5">
        <v>43831</v>
      </c>
      <c r="I218" s="5">
        <v>44562</v>
      </c>
      <c r="J218">
        <v>14</v>
      </c>
      <c r="K218">
        <v>9</v>
      </c>
      <c r="L218">
        <v>30</v>
      </c>
      <c r="M218">
        <v>70</v>
      </c>
      <c r="N218">
        <v>10000</v>
      </c>
      <c r="O218">
        <f>VLOOKUP($B218&amp;O$1,Data!$A$2:$D$5000,4,FALSE)</f>
        <v>0.27661000000000002</v>
      </c>
      <c r="P218">
        <f>VLOOKUP($B218&amp;P$1,Data!$A$2:$D$5000,4,FALSE)</f>
        <v>0.44700000000000001</v>
      </c>
      <c r="Q218">
        <f>VLOOKUP($B218&amp;Q$1,Data!$A$2:$D$5000,4,FALSE)</f>
        <v>318</v>
      </c>
      <c r="R218">
        <f>VLOOKUP($B218&amp;R$1,Data!$A$2:$D$5000,4,FALSE)</f>
        <v>1.46E-2</v>
      </c>
      <c r="S218">
        <f>VLOOKUP($B218&amp;S$1,Data!$A$2:$D$5000,4,FALSE)</f>
        <v>-1.09E-2</v>
      </c>
      <c r="T218">
        <f>VLOOKUP($B218&amp;T$1,Data!$A$2:$D$5000,4,FALSE)</f>
        <v>6.5659999999999996E-2</v>
      </c>
      <c r="U218">
        <f>VLOOKUP($B218&amp;U$1,Data!$A$2:$D$5000,4,FALSE)</f>
        <v>6.0999999999999999E-2</v>
      </c>
      <c r="V218">
        <f>VLOOKUP($B218&amp;V$1,Data!$A$2:$D$5000,4,FALSE)</f>
        <v>0.40500000000000003</v>
      </c>
      <c r="W218">
        <f>VLOOKUP($B218&amp;W$1,Data!$A$2:$D$5000,4,FALSE)</f>
        <v>4.215E-2</v>
      </c>
      <c r="X218">
        <f>VLOOKUP($B218&amp;X$1,Data!$A$2:$D$5000,4,FALSE)</f>
        <v>0.4</v>
      </c>
      <c r="Y218">
        <f>VLOOKUP($B218&amp;Y$1,Data!$A$2:$D$5000,4,FALSE)</f>
        <v>0.6</v>
      </c>
      <c r="Z218">
        <f>VLOOKUP($B218&amp;Z$1,Data!$A$2:$D$5000,4,FALSE)</f>
        <v>1.34</v>
      </c>
      <c r="AA218">
        <f>VLOOKUP($B218&amp;AA$1,Data!$A$2:$D$5000,4,FALSE)</f>
        <v>0.02</v>
      </c>
      <c r="AB218">
        <f>VLOOKUP($B218&amp;AB$1,Data!$A$2:$D$5000,4,FALSE)</f>
        <v>0.55800000000000005</v>
      </c>
      <c r="AC218">
        <f>VLOOKUP($B218&amp;AC$1,Data!$A$2:$D$5000,4,FALSE)</f>
        <v>0.11600000000000001</v>
      </c>
      <c r="AD218">
        <f>VLOOKUP($B218&amp;AD$1,Data!$A$2:$D$5000,4,FALSE)</f>
        <v>1.2999999999999999E-2</v>
      </c>
      <c r="AE218">
        <f>VLOOKUP($B218&amp;AE$1,Data!$A$2:$D$5000,4,FALSE)</f>
        <v>-4.5999999999999999E-2</v>
      </c>
      <c r="AF218">
        <f>VLOOKUP($B218&amp;AF$1,Data!$A$2:$D$5000,4,FALSE)</f>
        <v>0.114</v>
      </c>
      <c r="AG218">
        <f>VLOOKUP($B218&amp;AG$1,Data!$A$2:$D$5000,4,FALSE)</f>
        <v>9.2999999999999999E-2</v>
      </c>
      <c r="AH218">
        <f>VLOOKUP($B218&amp;AH$1,Data!$A$2:$D$5000,4,FALSE)</f>
        <v>0</v>
      </c>
      <c r="AI218">
        <f>VLOOKUP($B218&amp;AI$1,Data!$A$2:$D$5000,4,FALSE)</f>
        <v>20000000</v>
      </c>
    </row>
    <row r="219" spans="2:35" hidden="1">
      <c r="B219" s="13">
        <v>218</v>
      </c>
      <c r="C219" s="13" t="s">
        <v>55</v>
      </c>
      <c r="D219" t="s">
        <v>5</v>
      </c>
      <c r="E219" t="s">
        <v>3</v>
      </c>
      <c r="F219">
        <v>100</v>
      </c>
      <c r="G219" t="s">
        <v>17</v>
      </c>
      <c r="H219" s="5">
        <v>43831</v>
      </c>
      <c r="I219" s="5">
        <v>44562</v>
      </c>
      <c r="J219">
        <v>14</v>
      </c>
      <c r="K219">
        <v>9</v>
      </c>
      <c r="L219">
        <v>30</v>
      </c>
      <c r="M219">
        <v>70</v>
      </c>
      <c r="N219">
        <v>10000</v>
      </c>
      <c r="O219">
        <f>VLOOKUP($B219&amp;O$1,Data!$A$2:$D$5000,4,FALSE)</f>
        <v>0.36575999999999997</v>
      </c>
      <c r="P219">
        <f>VLOOKUP($B219&amp;P$1,Data!$A$2:$D$5000,4,FALSE)</f>
        <v>1.079</v>
      </c>
      <c r="Q219">
        <f>VLOOKUP($B219&amp;Q$1,Data!$A$2:$D$5000,4,FALSE)</f>
        <v>317</v>
      </c>
      <c r="R219">
        <f>VLOOKUP($B219&amp;R$1,Data!$A$2:$D$5000,4,FALSE)</f>
        <v>0.11269999999999999</v>
      </c>
      <c r="S219">
        <f>VLOOKUP($B219&amp;S$1,Data!$A$2:$D$5000,4,FALSE)</f>
        <v>-8.3400000000000002E-2</v>
      </c>
      <c r="T219">
        <f>VLOOKUP($B219&amp;T$1,Data!$A$2:$D$5000,4,FALSE)</f>
        <v>0.49086000000000002</v>
      </c>
      <c r="U219">
        <f>VLOOKUP($B219&amp;U$1,Data!$A$2:$D$5000,4,FALSE)</f>
        <v>0.46100000000000002</v>
      </c>
      <c r="V219">
        <f>VLOOKUP($B219&amp;V$1,Data!$A$2:$D$5000,4,FALSE)</f>
        <v>0.41099999999999998</v>
      </c>
      <c r="W219">
        <f>VLOOKUP($B219&amp;W$1,Data!$A$2:$D$5000,4,FALSE)</f>
        <v>0.29597000000000001</v>
      </c>
      <c r="X219">
        <f>VLOOKUP($B219&amp;X$1,Data!$A$2:$D$5000,4,FALSE)</f>
        <v>0.4</v>
      </c>
      <c r="Y219">
        <f>VLOOKUP($B219&amp;Y$1,Data!$A$2:$D$5000,4,FALSE)</f>
        <v>0.6</v>
      </c>
      <c r="Z219">
        <f>VLOOKUP($B219&amp;Z$1,Data!$A$2:$D$5000,4,FALSE)</f>
        <v>1.35</v>
      </c>
      <c r="AA219">
        <f>VLOOKUP($B219&amp;AA$1,Data!$A$2:$D$5000,4,FALSE)</f>
        <v>0.93</v>
      </c>
      <c r="AB219">
        <f>VLOOKUP($B219&amp;AB$1,Data!$A$2:$D$5000,4,FALSE)</f>
        <v>6.085</v>
      </c>
      <c r="AC219">
        <f>VLOOKUP($B219&amp;AC$1,Data!$A$2:$D$5000,4,FALSE)</f>
        <v>1.1850000000000001</v>
      </c>
      <c r="AD219">
        <f>VLOOKUP($B219&amp;AD$1,Data!$A$2:$D$5000,4,FALSE)</f>
        <v>1.4039999999999999</v>
      </c>
      <c r="AE219">
        <f>VLOOKUP($B219&amp;AE$1,Data!$A$2:$D$5000,4,FALSE)</f>
        <v>1.0489999999999999</v>
      </c>
      <c r="AF219">
        <f>VLOOKUP($B219&amp;AF$1,Data!$A$2:$D$5000,4,FALSE)</f>
        <v>1.1639999999999999</v>
      </c>
      <c r="AG219">
        <f>VLOOKUP($B219&amp;AG$1,Data!$A$2:$D$5000,4,FALSE)</f>
        <v>0.21</v>
      </c>
      <c r="AH219">
        <f>VLOOKUP($B219&amp;AH$1,Data!$A$2:$D$5000,4,FALSE)</f>
        <v>0</v>
      </c>
      <c r="AI219">
        <f>VLOOKUP($B219&amp;AI$1,Data!$A$2:$D$5000,4,FALSE)</f>
        <v>3200000</v>
      </c>
    </row>
    <row r="220" spans="2:35" hidden="1">
      <c r="B220" s="13">
        <v>219</v>
      </c>
      <c r="C220" s="13" t="s">
        <v>55</v>
      </c>
      <c r="D220" t="s">
        <v>5</v>
      </c>
      <c r="E220" t="s">
        <v>3</v>
      </c>
      <c r="F220">
        <v>200</v>
      </c>
      <c r="G220" t="s">
        <v>17</v>
      </c>
      <c r="H220" s="5">
        <v>43831</v>
      </c>
      <c r="I220" s="5">
        <v>44562</v>
      </c>
      <c r="J220">
        <v>14</v>
      </c>
      <c r="K220">
        <v>9</v>
      </c>
      <c r="L220">
        <v>30</v>
      </c>
      <c r="M220">
        <v>70</v>
      </c>
      <c r="N220">
        <v>10000</v>
      </c>
      <c r="O220">
        <f>VLOOKUP($B220&amp;O$1,Data!$A$2:$D$5000,4,FALSE)</f>
        <v>0.25441000000000003</v>
      </c>
      <c r="P220">
        <f>VLOOKUP($B220&amp;P$1,Data!$A$2:$D$5000,4,FALSE)</f>
        <v>0.45800000000000002</v>
      </c>
      <c r="Q220">
        <f>VLOOKUP($B220&amp;Q$1,Data!$A$2:$D$5000,4,FALSE)</f>
        <v>284</v>
      </c>
      <c r="R220">
        <f>VLOOKUP($B220&amp;R$1,Data!$A$2:$D$5000,4,FALSE)</f>
        <v>0.27229999999999999</v>
      </c>
      <c r="S220">
        <f>VLOOKUP($B220&amp;S$1,Data!$A$2:$D$5000,4,FALSE)</f>
        <v>-9.0200000000000002E-2</v>
      </c>
      <c r="T220">
        <f>VLOOKUP($B220&amp;T$1,Data!$A$2:$D$5000,4,FALSE)</f>
        <v>-0.77278999999999998</v>
      </c>
      <c r="U220">
        <f>VLOOKUP($B220&amp;U$1,Data!$A$2:$D$5000,4,FALSE)</f>
        <v>0.76500000000000001</v>
      </c>
      <c r="V220">
        <f>VLOOKUP($B220&amp;V$1,Data!$A$2:$D$5000,4,FALSE)</f>
        <v>-0.23499999999999999</v>
      </c>
      <c r="W220">
        <f>VLOOKUP($B220&amp;W$1,Data!$A$2:$D$5000,4,FALSE)</f>
        <v>-0.61789000000000005</v>
      </c>
      <c r="X220">
        <f>VLOOKUP($B220&amp;X$1,Data!$A$2:$D$5000,4,FALSE)</f>
        <v>0.81</v>
      </c>
      <c r="Y220">
        <f>VLOOKUP($B220&amp;Y$1,Data!$A$2:$D$5000,4,FALSE)</f>
        <v>0.19</v>
      </c>
      <c r="Z220">
        <f>VLOOKUP($B220&amp;Z$1,Data!$A$2:$D$5000,4,FALSE)</f>
        <v>3.02</v>
      </c>
      <c r="AA220">
        <f>VLOOKUP($B220&amp;AA$1,Data!$A$2:$D$5000,4,FALSE)</f>
        <v>0.11</v>
      </c>
      <c r="AB220">
        <f>VLOOKUP($B220&amp;AB$1,Data!$A$2:$D$5000,4,FALSE)</f>
        <v>13.24</v>
      </c>
      <c r="AC220">
        <f>VLOOKUP($B220&amp;AC$1,Data!$A$2:$D$5000,4,FALSE)</f>
        <v>1.893</v>
      </c>
      <c r="AD220">
        <f>VLOOKUP($B220&amp;AD$1,Data!$A$2:$D$5000,4,FALSE)</f>
        <v>3.5830000000000002</v>
      </c>
      <c r="AE220">
        <f>VLOOKUP($B220&amp;AE$1,Data!$A$2:$D$5000,4,FALSE)</f>
        <v>0.435</v>
      </c>
      <c r="AF220">
        <f>VLOOKUP($B220&amp;AF$1,Data!$A$2:$D$5000,4,FALSE)</f>
        <v>1.863</v>
      </c>
      <c r="AG220">
        <f>VLOOKUP($B220&amp;AG$1,Data!$A$2:$D$5000,4,FALSE)</f>
        <v>6.5000000000000002E-2</v>
      </c>
      <c r="AH220">
        <f>VLOOKUP($B220&amp;AH$1,Data!$A$2:$D$5000,4,FALSE)</f>
        <v>0</v>
      </c>
      <c r="AI220">
        <f>VLOOKUP($B220&amp;AI$1,Data!$A$2:$D$5000,4,FALSE)</f>
        <v>610000</v>
      </c>
    </row>
    <row r="221" spans="2:35" hidden="1">
      <c r="B221" s="13">
        <v>220</v>
      </c>
      <c r="C221" s="13" t="s">
        <v>55</v>
      </c>
      <c r="D221" t="s">
        <v>5</v>
      </c>
      <c r="E221" t="s">
        <v>2</v>
      </c>
      <c r="F221">
        <v>10</v>
      </c>
      <c r="G221" t="s">
        <v>17</v>
      </c>
      <c r="H221" s="5">
        <v>43831</v>
      </c>
      <c r="I221" s="5">
        <v>44562</v>
      </c>
      <c r="J221">
        <v>14</v>
      </c>
      <c r="K221">
        <v>9</v>
      </c>
      <c r="L221">
        <v>30</v>
      </c>
      <c r="M221">
        <v>70</v>
      </c>
      <c r="N221">
        <v>10000</v>
      </c>
      <c r="O221">
        <f>VLOOKUP($B221&amp;O$1,Data!$A$2:$D$5000,4,FALSE)</f>
        <v>5.101E-2</v>
      </c>
      <c r="P221">
        <f>VLOOKUP($B221&amp;P$1,Data!$A$2:$D$5000,4,FALSE)</f>
        <v>-0.69699999999999995</v>
      </c>
      <c r="Q221">
        <f>VLOOKUP($B221&amp;Q$1,Data!$A$2:$D$5000,4,FALSE)</f>
        <v>459</v>
      </c>
      <c r="R221">
        <f>VLOOKUP($B221&amp;R$1,Data!$A$2:$D$5000,4,FALSE)</f>
        <v>7.3000000000000001E-3</v>
      </c>
      <c r="S221">
        <f>VLOOKUP($B221&amp;S$1,Data!$A$2:$D$5000,4,FALSE)</f>
        <v>-1.47E-2</v>
      </c>
      <c r="T221">
        <f>VLOOKUP($B221&amp;T$1,Data!$A$2:$D$5000,4,FALSE)</f>
        <v>-9.9080000000000001E-2</v>
      </c>
      <c r="U221">
        <f>VLOOKUP($B221&amp;U$1,Data!$A$2:$D$5000,4,FALSE)</f>
        <v>0.13800000000000001</v>
      </c>
      <c r="V221">
        <f>VLOOKUP($B221&amp;V$1,Data!$A$2:$D$5000,4,FALSE)</f>
        <v>-0.3</v>
      </c>
      <c r="W221">
        <f>VLOOKUP($B221&amp;W$1,Data!$A$2:$D$5000,4,FALSE)</f>
        <v>-6.5490000000000007E-2</v>
      </c>
      <c r="X221">
        <f>VLOOKUP($B221&amp;X$1,Data!$A$2:$D$5000,4,FALSE)</f>
        <v>0.53</v>
      </c>
      <c r="Y221">
        <f>VLOOKUP($B221&amp;Y$1,Data!$A$2:$D$5000,4,FALSE)</f>
        <v>0.47</v>
      </c>
      <c r="Z221">
        <f>VLOOKUP($B221&amp;Z$1,Data!$A$2:$D$5000,4,FALSE)</f>
        <v>0.5</v>
      </c>
      <c r="AA221">
        <f>VLOOKUP($B221&amp;AA$1,Data!$A$2:$D$5000,4,FALSE)</f>
        <v>-8.6999999999999994E-2</v>
      </c>
      <c r="AB221">
        <f>VLOOKUP($B221&amp;AB$1,Data!$A$2:$D$5000,4,FALSE)</f>
        <v>0.376</v>
      </c>
      <c r="AC221">
        <f>VLOOKUP($B221&amp;AC$1,Data!$A$2:$D$5000,4,FALSE)</f>
        <v>9.4E-2</v>
      </c>
      <c r="AD221">
        <f>VLOOKUP($B221&amp;AD$1,Data!$A$2:$D$5000,4,FALSE)</f>
        <v>8.9999999999999993E-3</v>
      </c>
      <c r="AE221">
        <f>VLOOKUP($B221&amp;AE$1,Data!$A$2:$D$5000,4,FALSE)</f>
        <v>-1.2290000000000001</v>
      </c>
      <c r="AF221">
        <f>VLOOKUP($B221&amp;AF$1,Data!$A$2:$D$5000,4,FALSE)</f>
        <v>0.1</v>
      </c>
      <c r="AG221">
        <f>VLOOKUP($B221&amp;AG$1,Data!$A$2:$D$5000,4,FALSE)</f>
        <v>-0.17399999999999999</v>
      </c>
      <c r="AH221">
        <f>VLOOKUP($B221&amp;AH$1,Data!$A$2:$D$5000,4,FALSE)</f>
        <v>0</v>
      </c>
      <c r="AI221">
        <f>VLOOKUP($B221&amp;AI$1,Data!$A$2:$D$5000,4,FALSE)</f>
        <v>120000000</v>
      </c>
    </row>
    <row r="222" spans="2:35" hidden="1">
      <c r="B222" s="13">
        <v>221</v>
      </c>
      <c r="C222" s="13" t="s">
        <v>55</v>
      </c>
      <c r="D222" t="s">
        <v>5</v>
      </c>
      <c r="E222" t="s">
        <v>2</v>
      </c>
      <c r="F222">
        <v>100</v>
      </c>
      <c r="G222" t="s">
        <v>17</v>
      </c>
      <c r="H222" s="5">
        <v>43831</v>
      </c>
      <c r="I222" s="5">
        <v>44562</v>
      </c>
      <c r="J222">
        <v>14</v>
      </c>
      <c r="K222">
        <v>9</v>
      </c>
      <c r="L222">
        <v>30</v>
      </c>
      <c r="M222">
        <v>70</v>
      </c>
      <c r="N222">
        <v>10000</v>
      </c>
      <c r="O222">
        <f>VLOOKUP($B222&amp;O$1,Data!$A$2:$D$5000,4,FALSE)</f>
        <v>1.8460000000000001E-2</v>
      </c>
      <c r="P222">
        <f>VLOOKUP($B222&amp;P$1,Data!$A$2:$D$5000,4,FALSE)</f>
        <v>-0.65300000000000002</v>
      </c>
      <c r="Q222">
        <f>VLOOKUP($B222&amp;Q$1,Data!$A$2:$D$5000,4,FALSE)</f>
        <v>451</v>
      </c>
      <c r="R222">
        <f>VLOOKUP($B222&amp;R$1,Data!$A$2:$D$5000,4,FALSE)</f>
        <v>7.6200000000000004E-2</v>
      </c>
      <c r="S222">
        <f>VLOOKUP($B222&amp;S$1,Data!$A$2:$D$5000,4,FALSE)</f>
        <v>-6.8599999999999994E-2</v>
      </c>
      <c r="T222">
        <f>VLOOKUP($B222&amp;T$1,Data!$A$2:$D$5000,4,FALSE)</f>
        <v>-0.95057000000000003</v>
      </c>
      <c r="U222">
        <f>VLOOKUP($B222&amp;U$1,Data!$A$2:$D$5000,4,FALSE)</f>
        <v>0.92600000000000005</v>
      </c>
      <c r="V222">
        <f>VLOOKUP($B222&amp;V$1,Data!$A$2:$D$5000,4,FALSE)</f>
        <v>-0.70699999999999996</v>
      </c>
      <c r="W222">
        <f>VLOOKUP($B222&amp;W$1,Data!$A$2:$D$5000,4,FALSE)</f>
        <v>-0.85804000000000002</v>
      </c>
      <c r="X222">
        <f>VLOOKUP($B222&amp;X$1,Data!$A$2:$D$5000,4,FALSE)</f>
        <v>0.86</v>
      </c>
      <c r="Y222">
        <f>VLOOKUP($B222&amp;Y$1,Data!$A$2:$D$5000,4,FALSE)</f>
        <v>0.14000000000000001</v>
      </c>
      <c r="Z222">
        <f>VLOOKUP($B222&amp;Z$1,Data!$A$2:$D$5000,4,FALSE)</f>
        <v>1.1100000000000001</v>
      </c>
      <c r="AA222">
        <f>VLOOKUP($B222&amp;AA$1,Data!$A$2:$D$5000,4,FALSE)</f>
        <v>-0.99099999999999999</v>
      </c>
      <c r="AB222">
        <f>VLOOKUP($B222&amp;AB$1,Data!$A$2:$D$5000,4,FALSE)</f>
        <v>4.2370000000000001</v>
      </c>
      <c r="AC222">
        <f>VLOOKUP($B222&amp;AC$1,Data!$A$2:$D$5000,4,FALSE)</f>
        <v>1.1459999999999999</v>
      </c>
      <c r="AD222">
        <f>VLOOKUP($B222&amp;AD$1,Data!$A$2:$D$5000,4,FALSE)</f>
        <v>1.3129999999999999</v>
      </c>
      <c r="AE222">
        <f>VLOOKUP($B222&amp;AE$1,Data!$A$2:$D$5000,4,FALSE)</f>
        <v>-0.71199999999999997</v>
      </c>
      <c r="AF222">
        <f>VLOOKUP($B222&amp;AF$1,Data!$A$2:$D$5000,4,FALSE)</f>
        <v>1.131</v>
      </c>
      <c r="AG222">
        <f>VLOOKUP($B222&amp;AG$1,Data!$A$2:$D$5000,4,FALSE)</f>
        <v>-0.17699999999999999</v>
      </c>
      <c r="AH222">
        <f>VLOOKUP($B222&amp;AH$1,Data!$A$2:$D$5000,4,FALSE)</f>
        <v>0</v>
      </c>
      <c r="AI222">
        <f>VLOOKUP($B222&amp;AI$1,Data!$A$2:$D$5000,4,FALSE)</f>
        <v>2900000</v>
      </c>
    </row>
    <row r="223" spans="2:35" hidden="1">
      <c r="B223" s="13">
        <v>222</v>
      </c>
      <c r="C223" s="13" t="s">
        <v>55</v>
      </c>
      <c r="D223" t="s">
        <v>5</v>
      </c>
      <c r="E223" t="s">
        <v>2</v>
      </c>
      <c r="F223">
        <v>200</v>
      </c>
      <c r="G223" t="s">
        <v>17</v>
      </c>
      <c r="H223" s="5">
        <v>43831</v>
      </c>
      <c r="I223" s="5">
        <v>44562</v>
      </c>
      <c r="J223">
        <v>14</v>
      </c>
      <c r="K223">
        <v>9</v>
      </c>
      <c r="L223">
        <v>30</v>
      </c>
      <c r="M223">
        <v>70</v>
      </c>
      <c r="N223">
        <v>10000</v>
      </c>
      <c r="O223">
        <f>VLOOKUP($B223&amp;O$1,Data!$A$2:$D$5000,4,FALSE)</f>
        <v>2.0709999999999999E-2</v>
      </c>
      <c r="P223">
        <f>VLOOKUP($B223&amp;P$1,Data!$A$2:$D$5000,4,FALSE)</f>
        <v>-0.58299999999999996</v>
      </c>
      <c r="Q223">
        <f>VLOOKUP($B223&amp;Q$1,Data!$A$2:$D$5000,4,FALSE)</f>
        <v>411</v>
      </c>
      <c r="R223">
        <f>VLOOKUP($B223&amp;R$1,Data!$A$2:$D$5000,4,FALSE)</f>
        <v>0.14269999999999999</v>
      </c>
      <c r="S223">
        <f>VLOOKUP($B223&amp;S$1,Data!$A$2:$D$5000,4,FALSE)</f>
        <v>-8.0199999999999994E-2</v>
      </c>
      <c r="T223">
        <f>VLOOKUP($B223&amp;T$1,Data!$A$2:$D$5000,4,FALSE)</f>
        <v>-0.97353000000000001</v>
      </c>
      <c r="U223">
        <f>VLOOKUP($B223&amp;U$1,Data!$A$2:$D$5000,4,FALSE)</f>
        <v>0.96299999999999997</v>
      </c>
      <c r="V223">
        <f>VLOOKUP($B223&amp;V$1,Data!$A$2:$D$5000,4,FALSE)</f>
        <v>-0.59299999999999997</v>
      </c>
      <c r="W223">
        <f>VLOOKUP($B223&amp;W$1,Data!$A$2:$D$5000,4,FALSE)</f>
        <v>-0.90534999999999999</v>
      </c>
      <c r="X223">
        <f>VLOOKUP($B223&amp;X$1,Data!$A$2:$D$5000,4,FALSE)</f>
        <v>0.85</v>
      </c>
      <c r="Y223">
        <f>VLOOKUP($B223&amp;Y$1,Data!$A$2:$D$5000,4,FALSE)</f>
        <v>0.15</v>
      </c>
      <c r="Z223">
        <f>VLOOKUP($B223&amp;Z$1,Data!$A$2:$D$5000,4,FALSE)</f>
        <v>1.78</v>
      </c>
      <c r="AA223">
        <f>VLOOKUP($B223&amp;AA$1,Data!$A$2:$D$5000,4,FALSE)</f>
        <v>-1.17</v>
      </c>
      <c r="AB223">
        <f>VLOOKUP($B223&amp;AB$1,Data!$A$2:$D$5000,4,FALSE)</f>
        <v>6.6920000000000002</v>
      </c>
      <c r="AC223">
        <f>VLOOKUP($B223&amp;AC$1,Data!$A$2:$D$5000,4,FALSE)</f>
        <v>1.3520000000000001</v>
      </c>
      <c r="AD223">
        <f>VLOOKUP($B223&amp;AD$1,Data!$A$2:$D$5000,4,FALSE)</f>
        <v>1.8280000000000001</v>
      </c>
      <c r="AE223">
        <f>VLOOKUP($B223&amp;AE$1,Data!$A$2:$D$5000,4,FALSE)</f>
        <v>-0.63500000000000001</v>
      </c>
      <c r="AF223">
        <f>VLOOKUP($B223&amp;AF$1,Data!$A$2:$D$5000,4,FALSE)</f>
        <v>1.331</v>
      </c>
      <c r="AG223">
        <f>VLOOKUP($B223&amp;AG$1,Data!$A$2:$D$5000,4,FALSE)</f>
        <v>-0.11799999999999999</v>
      </c>
      <c r="AH223">
        <f>VLOOKUP($B223&amp;AH$1,Data!$A$2:$D$5000,4,FALSE)</f>
        <v>0</v>
      </c>
      <c r="AI223">
        <f>VLOOKUP($B223&amp;AI$1,Data!$A$2:$D$5000,4,FALSE)</f>
        <v>1100000</v>
      </c>
    </row>
    <row r="224" spans="2:35" hidden="1">
      <c r="B224" s="13">
        <v>223</v>
      </c>
      <c r="C224" s="13" t="s">
        <v>55</v>
      </c>
      <c r="D224" t="s">
        <v>5</v>
      </c>
      <c r="E224" t="s">
        <v>22</v>
      </c>
      <c r="F224">
        <v>10</v>
      </c>
      <c r="G224" t="s">
        <v>17</v>
      </c>
      <c r="H224" s="5">
        <v>43831</v>
      </c>
      <c r="I224" s="5">
        <v>44562</v>
      </c>
      <c r="J224">
        <v>14</v>
      </c>
      <c r="K224">
        <v>9</v>
      </c>
      <c r="L224">
        <v>30</v>
      </c>
      <c r="M224">
        <v>70</v>
      </c>
      <c r="N224">
        <v>10000</v>
      </c>
      <c r="O224">
        <f>VLOOKUP($B224&amp;O$1,Data!$A$2:$D$5000,4,FALSE)</f>
        <v>0.27661000000000002</v>
      </c>
      <c r="P224">
        <f>VLOOKUP($B224&amp;P$1,Data!$A$2:$D$5000,4,FALSE)</f>
        <v>0.44700000000000001</v>
      </c>
      <c r="Q224">
        <f>VLOOKUP($B224&amp;Q$1,Data!$A$2:$D$5000,4,FALSE)</f>
        <v>318</v>
      </c>
      <c r="R224">
        <f>VLOOKUP($B224&amp;R$1,Data!$A$2:$D$5000,4,FALSE)</f>
        <v>1.46E-2</v>
      </c>
      <c r="S224">
        <f>VLOOKUP($B224&amp;S$1,Data!$A$2:$D$5000,4,FALSE)</f>
        <v>-1.09E-2</v>
      </c>
      <c r="T224">
        <f>VLOOKUP($B224&amp;T$1,Data!$A$2:$D$5000,4,FALSE)</f>
        <v>6.5659999999999996E-2</v>
      </c>
      <c r="U224">
        <f>VLOOKUP($B224&amp;U$1,Data!$A$2:$D$5000,4,FALSE)</f>
        <v>6.0999999999999999E-2</v>
      </c>
      <c r="V224">
        <f>VLOOKUP($B224&amp;V$1,Data!$A$2:$D$5000,4,FALSE)</f>
        <v>0.40500000000000003</v>
      </c>
      <c r="W224">
        <f>VLOOKUP($B224&amp;W$1,Data!$A$2:$D$5000,4,FALSE)</f>
        <v>4.215E-2</v>
      </c>
      <c r="X224">
        <f>VLOOKUP($B224&amp;X$1,Data!$A$2:$D$5000,4,FALSE)</f>
        <v>0.4</v>
      </c>
      <c r="Y224">
        <f>VLOOKUP($B224&amp;Y$1,Data!$A$2:$D$5000,4,FALSE)</f>
        <v>0.6</v>
      </c>
      <c r="Z224">
        <f>VLOOKUP($B224&amp;Z$1,Data!$A$2:$D$5000,4,FALSE)</f>
        <v>1.34</v>
      </c>
      <c r="AA224">
        <f>VLOOKUP($B224&amp;AA$1,Data!$A$2:$D$5000,4,FALSE)</f>
        <v>0.02</v>
      </c>
      <c r="AB224">
        <f>VLOOKUP($B224&amp;AB$1,Data!$A$2:$D$5000,4,FALSE)</f>
        <v>0.55800000000000005</v>
      </c>
      <c r="AC224">
        <f>VLOOKUP($B224&amp;AC$1,Data!$A$2:$D$5000,4,FALSE)</f>
        <v>0.11600000000000001</v>
      </c>
      <c r="AD224">
        <f>VLOOKUP($B224&amp;AD$1,Data!$A$2:$D$5000,4,FALSE)</f>
        <v>1.2999999999999999E-2</v>
      </c>
      <c r="AE224">
        <f>VLOOKUP($B224&amp;AE$1,Data!$A$2:$D$5000,4,FALSE)</f>
        <v>-4.5999999999999999E-2</v>
      </c>
      <c r="AF224">
        <f>VLOOKUP($B224&amp;AF$1,Data!$A$2:$D$5000,4,FALSE)</f>
        <v>0.114</v>
      </c>
      <c r="AG224">
        <f>VLOOKUP($B224&amp;AG$1,Data!$A$2:$D$5000,4,FALSE)</f>
        <v>9.2999999999999999E-2</v>
      </c>
      <c r="AH224">
        <f>VLOOKUP($B224&amp;AH$1,Data!$A$2:$D$5000,4,FALSE)</f>
        <v>0</v>
      </c>
      <c r="AI224">
        <f>VLOOKUP($B224&amp;AI$1,Data!$A$2:$D$5000,4,FALSE)</f>
        <v>20000000</v>
      </c>
    </row>
    <row r="225" spans="2:35" hidden="1">
      <c r="B225" s="13">
        <v>224</v>
      </c>
      <c r="C225" s="13" t="s">
        <v>55</v>
      </c>
      <c r="D225" t="s">
        <v>5</v>
      </c>
      <c r="E225" t="s">
        <v>22</v>
      </c>
      <c r="F225">
        <v>100</v>
      </c>
      <c r="G225" t="s">
        <v>17</v>
      </c>
      <c r="H225" s="5">
        <v>43831</v>
      </c>
      <c r="I225" s="5">
        <v>44562</v>
      </c>
      <c r="J225">
        <v>14</v>
      </c>
      <c r="K225">
        <v>9</v>
      </c>
      <c r="L225">
        <v>30</v>
      </c>
      <c r="M225">
        <v>70</v>
      </c>
      <c r="N225">
        <v>10000</v>
      </c>
      <c r="O225">
        <f>VLOOKUP($B225&amp;O$1,Data!$A$2:$D$5000,4,FALSE)</f>
        <v>0.36575999999999997</v>
      </c>
      <c r="P225">
        <f>VLOOKUP($B225&amp;P$1,Data!$A$2:$D$5000,4,FALSE)</f>
        <v>1.079</v>
      </c>
      <c r="Q225">
        <f>VLOOKUP($B225&amp;Q$1,Data!$A$2:$D$5000,4,FALSE)</f>
        <v>317</v>
      </c>
      <c r="R225">
        <f>VLOOKUP($B225&amp;R$1,Data!$A$2:$D$5000,4,FALSE)</f>
        <v>0.11269999999999999</v>
      </c>
      <c r="S225">
        <f>VLOOKUP($B225&amp;S$1,Data!$A$2:$D$5000,4,FALSE)</f>
        <v>-8.3400000000000002E-2</v>
      </c>
      <c r="T225">
        <f>VLOOKUP($B225&amp;T$1,Data!$A$2:$D$5000,4,FALSE)</f>
        <v>0.49086000000000002</v>
      </c>
      <c r="U225">
        <f>VLOOKUP($B225&amp;U$1,Data!$A$2:$D$5000,4,FALSE)</f>
        <v>0.46100000000000002</v>
      </c>
      <c r="V225">
        <f>VLOOKUP($B225&amp;V$1,Data!$A$2:$D$5000,4,FALSE)</f>
        <v>0.41099999999999998</v>
      </c>
      <c r="W225">
        <f>VLOOKUP($B225&amp;W$1,Data!$A$2:$D$5000,4,FALSE)</f>
        <v>0.29597000000000001</v>
      </c>
      <c r="X225">
        <f>VLOOKUP($B225&amp;X$1,Data!$A$2:$D$5000,4,FALSE)</f>
        <v>0.4</v>
      </c>
      <c r="Y225">
        <f>VLOOKUP($B225&amp;Y$1,Data!$A$2:$D$5000,4,FALSE)</f>
        <v>0.6</v>
      </c>
      <c r="Z225">
        <f>VLOOKUP($B225&amp;Z$1,Data!$A$2:$D$5000,4,FALSE)</f>
        <v>1.35</v>
      </c>
      <c r="AA225">
        <f>VLOOKUP($B225&amp;AA$1,Data!$A$2:$D$5000,4,FALSE)</f>
        <v>0.93</v>
      </c>
      <c r="AB225">
        <f>VLOOKUP($B225&amp;AB$1,Data!$A$2:$D$5000,4,FALSE)</f>
        <v>6.085</v>
      </c>
      <c r="AC225">
        <f>VLOOKUP($B225&amp;AC$1,Data!$A$2:$D$5000,4,FALSE)</f>
        <v>1.1850000000000001</v>
      </c>
      <c r="AD225">
        <f>VLOOKUP($B225&amp;AD$1,Data!$A$2:$D$5000,4,FALSE)</f>
        <v>1.4039999999999999</v>
      </c>
      <c r="AE225">
        <f>VLOOKUP($B225&amp;AE$1,Data!$A$2:$D$5000,4,FALSE)</f>
        <v>1.0489999999999999</v>
      </c>
      <c r="AF225">
        <f>VLOOKUP($B225&amp;AF$1,Data!$A$2:$D$5000,4,FALSE)</f>
        <v>1.1639999999999999</v>
      </c>
      <c r="AG225">
        <f>VLOOKUP($B225&amp;AG$1,Data!$A$2:$D$5000,4,FALSE)</f>
        <v>0.21</v>
      </c>
      <c r="AH225">
        <f>VLOOKUP($B225&amp;AH$1,Data!$A$2:$D$5000,4,FALSE)</f>
        <v>0</v>
      </c>
      <c r="AI225">
        <f>VLOOKUP($B225&amp;AI$1,Data!$A$2:$D$5000,4,FALSE)</f>
        <v>3200000</v>
      </c>
    </row>
    <row r="226" spans="2:35" hidden="1">
      <c r="B226" s="13">
        <v>225</v>
      </c>
      <c r="C226" s="13" t="s">
        <v>55</v>
      </c>
      <c r="D226" t="s">
        <v>5</v>
      </c>
      <c r="E226" t="s">
        <v>22</v>
      </c>
      <c r="F226">
        <v>200</v>
      </c>
      <c r="G226" t="s">
        <v>17</v>
      </c>
      <c r="H226" s="5">
        <v>43831</v>
      </c>
      <c r="I226" s="5">
        <v>44562</v>
      </c>
      <c r="J226">
        <v>14</v>
      </c>
      <c r="K226">
        <v>9</v>
      </c>
      <c r="L226">
        <v>30</v>
      </c>
      <c r="M226">
        <v>70</v>
      </c>
      <c r="N226">
        <v>10000</v>
      </c>
      <c r="O226">
        <f>VLOOKUP($B226&amp;O$1,Data!$A$2:$D$5000,4,FALSE)</f>
        <v>0.25441000000000003</v>
      </c>
      <c r="P226">
        <f>VLOOKUP($B226&amp;P$1,Data!$A$2:$D$5000,4,FALSE)</f>
        <v>0.45800000000000002</v>
      </c>
      <c r="Q226">
        <f>VLOOKUP($B226&amp;Q$1,Data!$A$2:$D$5000,4,FALSE)</f>
        <v>284</v>
      </c>
      <c r="R226">
        <f>VLOOKUP($B226&amp;R$1,Data!$A$2:$D$5000,4,FALSE)</f>
        <v>0.27229999999999999</v>
      </c>
      <c r="S226">
        <f>VLOOKUP($B226&amp;S$1,Data!$A$2:$D$5000,4,FALSE)</f>
        <v>-9.0200000000000002E-2</v>
      </c>
      <c r="T226">
        <f>VLOOKUP($B226&amp;T$1,Data!$A$2:$D$5000,4,FALSE)</f>
        <v>-0.77278999999999998</v>
      </c>
      <c r="U226">
        <f>VLOOKUP($B226&amp;U$1,Data!$A$2:$D$5000,4,FALSE)</f>
        <v>0.76500000000000001</v>
      </c>
      <c r="V226">
        <f>VLOOKUP($B226&amp;V$1,Data!$A$2:$D$5000,4,FALSE)</f>
        <v>-0.23499999999999999</v>
      </c>
      <c r="W226">
        <f>VLOOKUP($B226&amp;W$1,Data!$A$2:$D$5000,4,FALSE)</f>
        <v>-0.61789000000000005</v>
      </c>
      <c r="X226">
        <f>VLOOKUP($B226&amp;X$1,Data!$A$2:$D$5000,4,FALSE)</f>
        <v>0.81</v>
      </c>
      <c r="Y226">
        <f>VLOOKUP($B226&amp;Y$1,Data!$A$2:$D$5000,4,FALSE)</f>
        <v>0.19</v>
      </c>
      <c r="Z226">
        <f>VLOOKUP($B226&amp;Z$1,Data!$A$2:$D$5000,4,FALSE)</f>
        <v>3.02</v>
      </c>
      <c r="AA226">
        <f>VLOOKUP($B226&amp;AA$1,Data!$A$2:$D$5000,4,FALSE)</f>
        <v>0.11</v>
      </c>
      <c r="AB226">
        <f>VLOOKUP($B226&amp;AB$1,Data!$A$2:$D$5000,4,FALSE)</f>
        <v>13.24</v>
      </c>
      <c r="AC226">
        <f>VLOOKUP($B226&amp;AC$1,Data!$A$2:$D$5000,4,FALSE)</f>
        <v>1.893</v>
      </c>
      <c r="AD226">
        <f>VLOOKUP($B226&amp;AD$1,Data!$A$2:$D$5000,4,FALSE)</f>
        <v>3.5830000000000002</v>
      </c>
      <c r="AE226">
        <f>VLOOKUP($B226&amp;AE$1,Data!$A$2:$D$5000,4,FALSE)</f>
        <v>0.435</v>
      </c>
      <c r="AF226">
        <f>VLOOKUP($B226&amp;AF$1,Data!$A$2:$D$5000,4,FALSE)</f>
        <v>1.863</v>
      </c>
      <c r="AG226">
        <f>VLOOKUP($B226&amp;AG$1,Data!$A$2:$D$5000,4,FALSE)</f>
        <v>6.5000000000000002E-2</v>
      </c>
      <c r="AH226">
        <f>VLOOKUP($B226&amp;AH$1,Data!$A$2:$D$5000,4,FALSE)</f>
        <v>0</v>
      </c>
      <c r="AI226">
        <f>VLOOKUP($B226&amp;AI$1,Data!$A$2:$D$5000,4,FALSE)</f>
        <v>610000</v>
      </c>
    </row>
    <row r="227" spans="2:35" hidden="1">
      <c r="B227">
        <v>226</v>
      </c>
      <c r="C227" s="13" t="s">
        <v>55</v>
      </c>
      <c r="D227" t="s">
        <v>5</v>
      </c>
      <c r="E227" t="s">
        <v>3</v>
      </c>
      <c r="F227">
        <v>10</v>
      </c>
      <c r="G227" t="s">
        <v>17</v>
      </c>
      <c r="H227" s="5">
        <v>43831</v>
      </c>
      <c r="I227" s="5">
        <v>44562</v>
      </c>
      <c r="J227">
        <v>14</v>
      </c>
      <c r="K227">
        <v>9</v>
      </c>
      <c r="L227">
        <v>32</v>
      </c>
      <c r="M227">
        <v>68</v>
      </c>
      <c r="N227">
        <v>10000</v>
      </c>
    </row>
    <row r="228" spans="2:35" hidden="1">
      <c r="B228">
        <v>227</v>
      </c>
      <c r="C228" s="13" t="s">
        <v>55</v>
      </c>
      <c r="D228" t="s">
        <v>5</v>
      </c>
      <c r="E228" t="s">
        <v>3</v>
      </c>
      <c r="F228">
        <v>100</v>
      </c>
      <c r="G228" t="s">
        <v>17</v>
      </c>
      <c r="H228" s="5">
        <v>43831</v>
      </c>
      <c r="I228" s="5">
        <v>44562</v>
      </c>
      <c r="J228">
        <v>14</v>
      </c>
      <c r="K228">
        <v>9</v>
      </c>
      <c r="L228">
        <v>32</v>
      </c>
      <c r="M228">
        <v>68</v>
      </c>
      <c r="N228">
        <v>10000</v>
      </c>
    </row>
    <row r="229" spans="2:35" hidden="1">
      <c r="B229">
        <v>228</v>
      </c>
      <c r="C229" s="13" t="s">
        <v>55</v>
      </c>
      <c r="D229" t="s">
        <v>5</v>
      </c>
      <c r="E229" t="s">
        <v>3</v>
      </c>
      <c r="F229">
        <v>200</v>
      </c>
      <c r="G229" t="s">
        <v>17</v>
      </c>
      <c r="H229" s="5">
        <v>43831</v>
      </c>
      <c r="I229" s="5">
        <v>44562</v>
      </c>
      <c r="J229">
        <v>14</v>
      </c>
      <c r="K229">
        <v>9</v>
      </c>
      <c r="L229">
        <v>32</v>
      </c>
      <c r="M229">
        <v>68</v>
      </c>
      <c r="N229">
        <v>10000</v>
      </c>
    </row>
    <row r="230" spans="2:35" hidden="1">
      <c r="B230">
        <v>229</v>
      </c>
      <c r="C230" s="13" t="s">
        <v>55</v>
      </c>
      <c r="D230" t="s">
        <v>5</v>
      </c>
      <c r="E230" t="s">
        <v>2</v>
      </c>
      <c r="F230">
        <v>10</v>
      </c>
      <c r="G230" t="s">
        <v>17</v>
      </c>
      <c r="H230" s="5">
        <v>43831</v>
      </c>
      <c r="I230" s="5">
        <v>44562</v>
      </c>
      <c r="J230">
        <v>14</v>
      </c>
      <c r="K230">
        <v>9</v>
      </c>
      <c r="L230">
        <v>32</v>
      </c>
      <c r="M230">
        <v>68</v>
      </c>
      <c r="N230">
        <v>10000</v>
      </c>
    </row>
    <row r="231" spans="2:35" hidden="1">
      <c r="B231">
        <v>230</v>
      </c>
      <c r="C231" s="13" t="s">
        <v>55</v>
      </c>
      <c r="D231" t="s">
        <v>5</v>
      </c>
      <c r="E231" t="s">
        <v>2</v>
      </c>
      <c r="F231">
        <v>100</v>
      </c>
      <c r="G231" t="s">
        <v>17</v>
      </c>
      <c r="H231" s="5">
        <v>43831</v>
      </c>
      <c r="I231" s="5">
        <v>44562</v>
      </c>
      <c r="J231">
        <v>14</v>
      </c>
      <c r="K231">
        <v>9</v>
      </c>
      <c r="L231">
        <v>32</v>
      </c>
      <c r="M231">
        <v>68</v>
      </c>
      <c r="N231">
        <v>10000</v>
      </c>
    </row>
    <row r="232" spans="2:35" hidden="1">
      <c r="B232">
        <v>231</v>
      </c>
      <c r="C232" s="13" t="s">
        <v>55</v>
      </c>
      <c r="D232" t="s">
        <v>5</v>
      </c>
      <c r="E232" t="s">
        <v>2</v>
      </c>
      <c r="F232">
        <v>200</v>
      </c>
      <c r="G232" t="s">
        <v>17</v>
      </c>
      <c r="H232" s="5">
        <v>43831</v>
      </c>
      <c r="I232" s="5">
        <v>44562</v>
      </c>
      <c r="J232">
        <v>14</v>
      </c>
      <c r="K232">
        <v>9</v>
      </c>
      <c r="L232">
        <v>32</v>
      </c>
      <c r="M232">
        <v>68</v>
      </c>
      <c r="N232">
        <v>10000</v>
      </c>
    </row>
    <row r="233" spans="2:35" hidden="1">
      <c r="B233">
        <v>232</v>
      </c>
      <c r="C233" s="13" t="s">
        <v>55</v>
      </c>
      <c r="D233" t="s">
        <v>5</v>
      </c>
      <c r="E233" t="s">
        <v>22</v>
      </c>
      <c r="F233">
        <v>10</v>
      </c>
      <c r="G233" t="s">
        <v>17</v>
      </c>
      <c r="H233" s="5">
        <v>43831</v>
      </c>
      <c r="I233" s="5">
        <v>44562</v>
      </c>
      <c r="J233">
        <v>14</v>
      </c>
      <c r="K233">
        <v>9</v>
      </c>
      <c r="L233">
        <v>32</v>
      </c>
      <c r="M233">
        <v>68</v>
      </c>
      <c r="N233">
        <v>10000</v>
      </c>
    </row>
    <row r="234" spans="2:35" hidden="1">
      <c r="B234">
        <v>233</v>
      </c>
      <c r="C234" s="13" t="s">
        <v>55</v>
      </c>
      <c r="D234" t="s">
        <v>5</v>
      </c>
      <c r="E234" t="s">
        <v>22</v>
      </c>
      <c r="F234">
        <v>100</v>
      </c>
      <c r="G234" t="s">
        <v>17</v>
      </c>
      <c r="H234" s="5">
        <v>43831</v>
      </c>
      <c r="I234" s="5">
        <v>44562</v>
      </c>
      <c r="J234">
        <v>14</v>
      </c>
      <c r="K234">
        <v>9</v>
      </c>
      <c r="L234">
        <v>32</v>
      </c>
      <c r="M234">
        <v>68</v>
      </c>
      <c r="N234">
        <v>10000</v>
      </c>
    </row>
    <row r="235" spans="2:35" hidden="1">
      <c r="B235">
        <v>234</v>
      </c>
      <c r="C235" s="13" t="s">
        <v>55</v>
      </c>
      <c r="D235" t="s">
        <v>5</v>
      </c>
      <c r="E235" t="s">
        <v>22</v>
      </c>
      <c r="F235">
        <v>200</v>
      </c>
      <c r="G235" t="s">
        <v>17</v>
      </c>
      <c r="H235" s="5">
        <v>43831</v>
      </c>
      <c r="I235" s="5">
        <v>44562</v>
      </c>
      <c r="J235">
        <v>14</v>
      </c>
      <c r="K235">
        <v>9</v>
      </c>
      <c r="L235">
        <v>32</v>
      </c>
      <c r="M235">
        <v>68</v>
      </c>
      <c r="N235">
        <v>10000</v>
      </c>
    </row>
    <row r="236" spans="2:35" hidden="1">
      <c r="B236">
        <v>235</v>
      </c>
      <c r="C236" s="13" t="s">
        <v>55</v>
      </c>
      <c r="D236" t="s">
        <v>5</v>
      </c>
      <c r="E236" t="s">
        <v>3</v>
      </c>
      <c r="F236">
        <v>10</v>
      </c>
      <c r="G236" t="s">
        <v>17</v>
      </c>
      <c r="H236" s="5">
        <v>43831</v>
      </c>
      <c r="I236" s="5">
        <v>44562</v>
      </c>
      <c r="J236">
        <v>14</v>
      </c>
      <c r="K236">
        <v>9</v>
      </c>
      <c r="L236">
        <v>28</v>
      </c>
      <c r="M236">
        <v>72</v>
      </c>
      <c r="N236">
        <v>10000</v>
      </c>
    </row>
    <row r="237" spans="2:35" hidden="1">
      <c r="B237">
        <v>236</v>
      </c>
      <c r="C237" s="13" t="s">
        <v>55</v>
      </c>
      <c r="D237" t="s">
        <v>5</v>
      </c>
      <c r="E237" t="s">
        <v>3</v>
      </c>
      <c r="F237">
        <v>100</v>
      </c>
      <c r="G237" t="s">
        <v>17</v>
      </c>
      <c r="H237" s="5">
        <v>43831</v>
      </c>
      <c r="I237" s="5">
        <v>44562</v>
      </c>
      <c r="J237">
        <v>14</v>
      </c>
      <c r="K237">
        <v>9</v>
      </c>
      <c r="L237">
        <v>28</v>
      </c>
      <c r="M237">
        <v>72</v>
      </c>
      <c r="N237">
        <v>10000</v>
      </c>
    </row>
    <row r="238" spans="2:35" hidden="1">
      <c r="B238">
        <v>237</v>
      </c>
      <c r="C238" s="13" t="s">
        <v>55</v>
      </c>
      <c r="D238" t="s">
        <v>5</v>
      </c>
      <c r="E238" t="s">
        <v>3</v>
      </c>
      <c r="F238">
        <v>200</v>
      </c>
      <c r="G238" t="s">
        <v>17</v>
      </c>
      <c r="H238" s="5">
        <v>43831</v>
      </c>
      <c r="I238" s="5">
        <v>44562</v>
      </c>
      <c r="J238">
        <v>14</v>
      </c>
      <c r="K238">
        <v>9</v>
      </c>
      <c r="L238">
        <v>28</v>
      </c>
      <c r="M238">
        <v>72</v>
      </c>
      <c r="N238">
        <v>10000</v>
      </c>
    </row>
    <row r="239" spans="2:35" hidden="1">
      <c r="B239">
        <v>238</v>
      </c>
      <c r="C239" s="13" t="s">
        <v>55</v>
      </c>
      <c r="D239" t="s">
        <v>5</v>
      </c>
      <c r="E239" t="s">
        <v>2</v>
      </c>
      <c r="F239">
        <v>10</v>
      </c>
      <c r="G239" t="s">
        <v>17</v>
      </c>
      <c r="H239" s="5">
        <v>43831</v>
      </c>
      <c r="I239" s="5">
        <v>44562</v>
      </c>
      <c r="J239">
        <v>14</v>
      </c>
      <c r="K239">
        <v>9</v>
      </c>
      <c r="L239">
        <v>28</v>
      </c>
      <c r="M239">
        <v>72</v>
      </c>
      <c r="N239">
        <v>10000</v>
      </c>
    </row>
    <row r="240" spans="2:35" hidden="1">
      <c r="B240">
        <v>239</v>
      </c>
      <c r="C240" s="13" t="s">
        <v>55</v>
      </c>
      <c r="D240" t="s">
        <v>5</v>
      </c>
      <c r="E240" t="s">
        <v>2</v>
      </c>
      <c r="F240">
        <v>100</v>
      </c>
      <c r="G240" t="s">
        <v>17</v>
      </c>
      <c r="H240" s="5">
        <v>43831</v>
      </c>
      <c r="I240" s="5">
        <v>44562</v>
      </c>
      <c r="J240">
        <v>14</v>
      </c>
      <c r="K240">
        <v>9</v>
      </c>
      <c r="L240">
        <v>28</v>
      </c>
      <c r="M240">
        <v>72</v>
      </c>
      <c r="N240">
        <v>10000</v>
      </c>
    </row>
    <row r="241" spans="2:35" hidden="1">
      <c r="B241">
        <v>240</v>
      </c>
      <c r="C241" s="13" t="s">
        <v>55</v>
      </c>
      <c r="D241" t="s">
        <v>5</v>
      </c>
      <c r="E241" t="s">
        <v>2</v>
      </c>
      <c r="F241">
        <v>200</v>
      </c>
      <c r="G241" t="s">
        <v>17</v>
      </c>
      <c r="H241" s="5">
        <v>43831</v>
      </c>
      <c r="I241" s="5">
        <v>44562</v>
      </c>
      <c r="J241">
        <v>14</v>
      </c>
      <c r="K241">
        <v>9</v>
      </c>
      <c r="L241">
        <v>28</v>
      </c>
      <c r="M241">
        <v>72</v>
      </c>
      <c r="N241">
        <v>10000</v>
      </c>
    </row>
    <row r="242" spans="2:35" hidden="1">
      <c r="B242">
        <v>241</v>
      </c>
      <c r="C242" s="13" t="s">
        <v>55</v>
      </c>
      <c r="D242" t="s">
        <v>5</v>
      </c>
      <c r="E242" t="s">
        <v>22</v>
      </c>
      <c r="F242">
        <v>10</v>
      </c>
      <c r="G242" t="s">
        <v>17</v>
      </c>
      <c r="H242" s="5">
        <v>43831</v>
      </c>
      <c r="I242" s="5">
        <v>44562</v>
      </c>
      <c r="J242">
        <v>14</v>
      </c>
      <c r="K242">
        <v>9</v>
      </c>
      <c r="L242">
        <v>28</v>
      </c>
      <c r="M242">
        <v>72</v>
      </c>
      <c r="N242">
        <v>10000</v>
      </c>
    </row>
    <row r="243" spans="2:35" hidden="1">
      <c r="B243">
        <v>242</v>
      </c>
      <c r="C243" s="13" t="s">
        <v>55</v>
      </c>
      <c r="D243" t="s">
        <v>5</v>
      </c>
      <c r="E243" t="s">
        <v>22</v>
      </c>
      <c r="F243">
        <v>100</v>
      </c>
      <c r="G243" t="s">
        <v>17</v>
      </c>
      <c r="H243" s="5">
        <v>43831</v>
      </c>
      <c r="I243" s="5">
        <v>44562</v>
      </c>
      <c r="J243">
        <v>14</v>
      </c>
      <c r="K243">
        <v>9</v>
      </c>
      <c r="L243">
        <v>28</v>
      </c>
      <c r="M243">
        <v>72</v>
      </c>
      <c r="N243">
        <v>10000</v>
      </c>
    </row>
    <row r="244" spans="2:35" hidden="1">
      <c r="B244">
        <v>243</v>
      </c>
      <c r="C244" s="13" t="s">
        <v>55</v>
      </c>
      <c r="D244" t="s">
        <v>5</v>
      </c>
      <c r="E244" t="s">
        <v>22</v>
      </c>
      <c r="F244">
        <v>200</v>
      </c>
      <c r="G244" t="s">
        <v>17</v>
      </c>
      <c r="H244" s="5">
        <v>43831</v>
      </c>
      <c r="I244" s="5">
        <v>44562</v>
      </c>
      <c r="J244">
        <v>14</v>
      </c>
      <c r="K244">
        <v>9</v>
      </c>
      <c r="L244">
        <v>28</v>
      </c>
      <c r="M244">
        <v>72</v>
      </c>
      <c r="N244">
        <v>10000</v>
      </c>
    </row>
    <row r="245" spans="2:35" hidden="1">
      <c r="B245" s="13">
        <v>244</v>
      </c>
      <c r="C245" s="13" t="s">
        <v>55</v>
      </c>
      <c r="D245" t="s">
        <v>6</v>
      </c>
      <c r="E245" t="s">
        <v>3</v>
      </c>
      <c r="F245">
        <v>10</v>
      </c>
      <c r="G245" t="s">
        <v>17</v>
      </c>
      <c r="H245" s="5">
        <v>43831</v>
      </c>
      <c r="I245" s="5">
        <v>44562</v>
      </c>
      <c r="J245">
        <v>14</v>
      </c>
      <c r="K245">
        <v>9</v>
      </c>
      <c r="L245">
        <v>30</v>
      </c>
      <c r="M245">
        <v>70</v>
      </c>
      <c r="N245">
        <v>10000</v>
      </c>
      <c r="O245">
        <f>VLOOKUP($B245&amp;O$1,Data!$A$2:$D$5000,4,FALSE)</f>
        <v>0.53481999999999996</v>
      </c>
      <c r="P245">
        <f>VLOOKUP($B245&amp;P$1,Data!$A$2:$D$5000,4,FALSE)</f>
        <v>1.1830000000000001</v>
      </c>
      <c r="Q245">
        <f>VLOOKUP($B245&amp;Q$1,Data!$A$2:$D$5000,4,FALSE)</f>
        <v>896</v>
      </c>
      <c r="R245">
        <f>VLOOKUP($B245&amp;R$1,Data!$A$2:$D$5000,4,FALSE)</f>
        <v>2.46E-2</v>
      </c>
      <c r="S245">
        <f>VLOOKUP($B245&amp;S$1,Data!$A$2:$D$5000,4,FALSE)</f>
        <v>-1.4999999999999999E-2</v>
      </c>
      <c r="T245">
        <f>VLOOKUP($B245&amp;T$1,Data!$A$2:$D$5000,4,FALSE)</f>
        <v>0.25446000000000002</v>
      </c>
      <c r="U245">
        <f>VLOOKUP($B245&amp;U$1,Data!$A$2:$D$5000,4,FALSE)</f>
        <v>6.9000000000000006E-2</v>
      </c>
      <c r="V245">
        <f>VLOOKUP($B245&amp;V$1,Data!$A$2:$D$5000,4,FALSE)</f>
        <v>0.36599999999999999</v>
      </c>
      <c r="W245">
        <f>VLOOKUP($B245&amp;W$1,Data!$A$2:$D$5000,4,FALSE)</f>
        <v>0.15856000000000001</v>
      </c>
      <c r="X245">
        <f>VLOOKUP($B245&amp;X$1,Data!$A$2:$D$5000,4,FALSE)</f>
        <v>0.48</v>
      </c>
      <c r="Y245">
        <f>VLOOKUP($B245&amp;Y$1,Data!$A$2:$D$5000,4,FALSE)</f>
        <v>0.52</v>
      </c>
      <c r="Z245">
        <f>VLOOKUP($B245&amp;Z$1,Data!$A$2:$D$5000,4,FALSE)</f>
        <v>1.64</v>
      </c>
      <c r="AA245">
        <f>VLOOKUP($B245&amp;AA$1,Data!$A$2:$D$5000,4,FALSE)</f>
        <v>0.183</v>
      </c>
      <c r="AB245">
        <f>VLOOKUP($B245&amp;AB$1,Data!$A$2:$D$5000,4,FALSE)</f>
        <v>2.9000000000000001E-2</v>
      </c>
      <c r="AC245">
        <f>VLOOKUP($B245&amp;AC$1,Data!$A$2:$D$5000,4,FALSE)</f>
        <v>0.156</v>
      </c>
      <c r="AD245">
        <f>VLOOKUP($B245&amp;AD$1,Data!$A$2:$D$5000,4,FALSE)</f>
        <v>2.4E-2</v>
      </c>
      <c r="AE245">
        <f>VLOOKUP($B245&amp;AE$1,Data!$A$2:$D$5000,4,FALSE)</f>
        <v>0.753</v>
      </c>
      <c r="AF245">
        <f>VLOOKUP($B245&amp;AF$1,Data!$A$2:$D$5000,4,FALSE)</f>
        <v>0.16900000000000001</v>
      </c>
      <c r="AG245">
        <f>VLOOKUP($B245&amp;AG$1,Data!$A$2:$D$5000,4,FALSE)</f>
        <v>6.2690000000000001</v>
      </c>
      <c r="AH245">
        <f>VLOOKUP($B245&amp;AH$1,Data!$A$2:$D$5000,4,FALSE)</f>
        <v>0</v>
      </c>
      <c r="AI245">
        <f>VLOOKUP($B245&amp;AI$1,Data!$A$2:$D$5000,4,FALSE)</f>
        <v>10000000</v>
      </c>
    </row>
    <row r="246" spans="2:35" hidden="1">
      <c r="B246" s="13">
        <v>245</v>
      </c>
      <c r="C246" s="13" t="s">
        <v>55</v>
      </c>
      <c r="D246" t="s">
        <v>6</v>
      </c>
      <c r="E246" t="s">
        <v>3</v>
      </c>
      <c r="F246">
        <v>100</v>
      </c>
      <c r="G246" t="s">
        <v>17</v>
      </c>
      <c r="H246" s="5">
        <v>43831</v>
      </c>
      <c r="I246" s="5">
        <v>44562</v>
      </c>
      <c r="J246">
        <v>14</v>
      </c>
      <c r="K246">
        <v>9</v>
      </c>
      <c r="L246">
        <v>30</v>
      </c>
      <c r="M246">
        <v>70</v>
      </c>
      <c r="N246">
        <v>10000</v>
      </c>
      <c r="O246">
        <f>VLOOKUP($B246&amp;O$1,Data!$A$2:$D$5000,4,FALSE)</f>
        <v>0.71192</v>
      </c>
      <c r="P246">
        <f>VLOOKUP($B246&amp;P$1,Data!$A$2:$D$5000,4,FALSE)</f>
        <v>3.944</v>
      </c>
      <c r="Q246">
        <f>VLOOKUP($B246&amp;Q$1,Data!$A$2:$D$5000,4,FALSE)</f>
        <v>891</v>
      </c>
      <c r="R246">
        <f>VLOOKUP($B246&amp;R$1,Data!$A$2:$D$5000,4,FALSE)</f>
        <v>0.15260000000000001</v>
      </c>
      <c r="S246">
        <f>VLOOKUP($B246&amp;S$1,Data!$A$2:$D$5000,4,FALSE)</f>
        <v>-6.7100000000000007E-2</v>
      </c>
      <c r="T246">
        <f>VLOOKUP($B246&amp;T$1,Data!$A$2:$D$5000,4,FALSE)</f>
        <v>3.9276300000000002</v>
      </c>
      <c r="U246">
        <f>VLOOKUP($B246&amp;U$1,Data!$A$2:$D$5000,4,FALSE)</f>
        <v>0.53900000000000003</v>
      </c>
      <c r="V246">
        <f>VLOOKUP($B246&amp;V$1,Data!$A$2:$D$5000,4,FALSE)</f>
        <v>0.63800000000000001</v>
      </c>
      <c r="W246">
        <f>VLOOKUP($B246&amp;W$1,Data!$A$2:$D$5000,4,FALSE)</f>
        <v>1.81619</v>
      </c>
      <c r="X246">
        <f>VLOOKUP($B246&amp;X$1,Data!$A$2:$D$5000,4,FALSE)</f>
        <v>0.5</v>
      </c>
      <c r="Y246">
        <f>VLOOKUP($B246&amp;Y$1,Data!$A$2:$D$5000,4,FALSE)</f>
        <v>0.5</v>
      </c>
      <c r="Z246">
        <f>VLOOKUP($B246&amp;Z$1,Data!$A$2:$D$5000,4,FALSE)</f>
        <v>2.2799999999999998</v>
      </c>
      <c r="AA246">
        <f>VLOOKUP($B246&amp;AA$1,Data!$A$2:$D$5000,4,FALSE)</f>
        <v>4.2290000000000001</v>
      </c>
      <c r="AB246">
        <f>VLOOKUP($B246&amp;AB$1,Data!$A$2:$D$5000,4,FALSE)</f>
        <v>0.19400000000000001</v>
      </c>
      <c r="AC246">
        <f>VLOOKUP($B246&amp;AC$1,Data!$A$2:$D$5000,4,FALSE)</f>
        <v>1.075</v>
      </c>
      <c r="AD246">
        <f>VLOOKUP($B246&amp;AD$1,Data!$A$2:$D$5000,4,FALSE)</f>
        <v>1.1559999999999999</v>
      </c>
      <c r="AE246">
        <f>VLOOKUP($B246&amp;AE$1,Data!$A$2:$D$5000,4,FALSE)</f>
        <v>3.8860000000000001</v>
      </c>
      <c r="AF246">
        <f>VLOOKUP($B246&amp;AF$1,Data!$A$2:$D$5000,4,FALSE)</f>
        <v>1.0760000000000001</v>
      </c>
      <c r="AG246">
        <f>VLOOKUP($B246&amp;AG$1,Data!$A$2:$D$5000,4,FALSE)</f>
        <v>21.882000000000001</v>
      </c>
      <c r="AH246">
        <f>VLOOKUP($B246&amp;AH$1,Data!$A$2:$D$5000,4,FALSE)</f>
        <v>0</v>
      </c>
      <c r="AI246">
        <f>VLOOKUP($B246&amp;AI$1,Data!$A$2:$D$5000,4,FALSE)</f>
        <v>3900000</v>
      </c>
    </row>
    <row r="247" spans="2:35" hidden="1">
      <c r="B247" s="20">
        <v>246</v>
      </c>
      <c r="C247" s="13" t="s">
        <v>55</v>
      </c>
      <c r="D247" s="7" t="s">
        <v>6</v>
      </c>
      <c r="E247" s="7" t="s">
        <v>3</v>
      </c>
      <c r="F247" s="7">
        <v>200</v>
      </c>
      <c r="G247" s="7" t="s">
        <v>17</v>
      </c>
      <c r="H247" s="21">
        <v>43831</v>
      </c>
      <c r="I247" s="21">
        <v>44562</v>
      </c>
      <c r="J247" s="7">
        <v>14</v>
      </c>
      <c r="K247" s="7">
        <v>9</v>
      </c>
      <c r="L247" s="7">
        <v>30</v>
      </c>
      <c r="M247" s="7">
        <v>70</v>
      </c>
      <c r="N247" s="7">
        <v>10000</v>
      </c>
      <c r="O247">
        <f>VLOOKUP($B247&amp;O$1,Data!$A$2:$D$5000,4,FALSE)</f>
        <v>0.75007999999999997</v>
      </c>
      <c r="P247">
        <f>VLOOKUP($B247&amp;P$1,Data!$A$2:$D$5000,4,FALSE)</f>
        <v>6.8330000000000002</v>
      </c>
      <c r="Q247">
        <f>VLOOKUP($B247&amp;Q$1,Data!$A$2:$D$5000,4,FALSE)</f>
        <v>859</v>
      </c>
      <c r="R247">
        <f>VLOOKUP($B247&amp;R$1,Data!$A$2:$D$5000,4,FALSE)</f>
        <v>0.22819999999999999</v>
      </c>
      <c r="S247">
        <f>VLOOKUP($B247&amp;S$1,Data!$A$2:$D$5000,4,FALSE)</f>
        <v>-7.3800000000000004E-2</v>
      </c>
      <c r="T247">
        <f>VLOOKUP($B247&amp;T$1,Data!$A$2:$D$5000,4,FALSE)</f>
        <v>6.2493600000000002</v>
      </c>
      <c r="U247">
        <f>VLOOKUP($B247&amp;U$1,Data!$A$2:$D$5000,4,FALSE)</f>
        <v>0.67800000000000005</v>
      </c>
      <c r="V247">
        <f>VLOOKUP($B247&amp;V$1,Data!$A$2:$D$5000,4,FALSE)</f>
        <v>0.70499999999999996</v>
      </c>
      <c r="W247">
        <f>VLOOKUP($B247&amp;W$1,Data!$A$2:$D$5000,4,FALSE)</f>
        <v>2.6183200000000002</v>
      </c>
      <c r="X247">
        <f>VLOOKUP($B247&amp;X$1,Data!$A$2:$D$5000,4,FALSE)</f>
        <v>0.57999999999999996</v>
      </c>
      <c r="Y247">
        <f>VLOOKUP($B247&amp;Y$1,Data!$A$2:$D$5000,4,FALSE)</f>
        <v>0.42</v>
      </c>
      <c r="Z247">
        <f>VLOOKUP($B247&amp;Z$1,Data!$A$2:$D$5000,4,FALSE)</f>
        <v>3.09</v>
      </c>
      <c r="AA247">
        <f>VLOOKUP($B247&amp;AA$1,Data!$A$2:$D$5000,4,FALSE)</f>
        <v>9.7910000000000004</v>
      </c>
      <c r="AB247">
        <f>VLOOKUP($B247&amp;AB$1,Data!$A$2:$D$5000,4,FALSE)</f>
        <v>0.34599999999999997</v>
      </c>
      <c r="AC247">
        <f>VLOOKUP($B247&amp;AC$1,Data!$A$2:$D$5000,4,FALSE)</f>
        <v>1.4359999999999999</v>
      </c>
      <c r="AD247">
        <f>VLOOKUP($B247&amp;AD$1,Data!$A$2:$D$5000,4,FALSE)</f>
        <v>2.0609999999999999</v>
      </c>
      <c r="AE247">
        <f>VLOOKUP($B247&amp;AE$1,Data!$A$2:$D$5000,4,FALSE)</f>
        <v>6.7919999999999998</v>
      </c>
      <c r="AF247">
        <f>VLOOKUP($B247&amp;AF$1,Data!$A$2:$D$5000,4,FALSE)</f>
        <v>1.4359999999999999</v>
      </c>
      <c r="AG247">
        <f>VLOOKUP($B247&amp;AG$1,Data!$A$2:$D$5000,4,FALSE)</f>
        <v>28.376999999999999</v>
      </c>
      <c r="AH247">
        <f>VLOOKUP($B247&amp;AH$1,Data!$A$2:$D$5000,4,FALSE)</f>
        <v>0</v>
      </c>
      <c r="AI247">
        <f>VLOOKUP($B247&amp;AI$1,Data!$A$2:$D$5000,4,FALSE)</f>
        <v>3200000</v>
      </c>
    </row>
    <row r="248" spans="2:35" hidden="1">
      <c r="B248" s="20">
        <v>247</v>
      </c>
      <c r="C248" s="13" t="s">
        <v>55</v>
      </c>
      <c r="D248" s="7" t="s">
        <v>6</v>
      </c>
      <c r="E248" s="7" t="s">
        <v>2</v>
      </c>
      <c r="F248" s="7">
        <v>10</v>
      </c>
      <c r="G248" s="7" t="s">
        <v>17</v>
      </c>
      <c r="H248" s="21">
        <v>43831</v>
      </c>
      <c r="I248" s="21">
        <v>44562</v>
      </c>
      <c r="J248" s="7">
        <v>14</v>
      </c>
      <c r="K248" s="7">
        <v>9</v>
      </c>
      <c r="L248" s="7">
        <v>30</v>
      </c>
      <c r="M248" s="7">
        <v>70</v>
      </c>
      <c r="N248" s="7">
        <v>10000</v>
      </c>
      <c r="O248">
        <f>VLOOKUP($B248&amp;O$1,Data!$A$2:$D$5000,4,FALSE)</f>
        <v>0.87436999999999998</v>
      </c>
      <c r="P248">
        <f>VLOOKUP($B248&amp;P$1,Data!$A$2:$D$5000,4,FALSE)</f>
        <v>2.218</v>
      </c>
      <c r="Q248">
        <f>VLOOKUP($B248&amp;Q$1,Data!$A$2:$D$5000,4,FALSE)</f>
        <v>504</v>
      </c>
      <c r="R248">
        <f>VLOOKUP($B248&amp;R$1,Data!$A$2:$D$5000,4,FALSE)</f>
        <v>2.6599999999999999E-2</v>
      </c>
      <c r="S248">
        <f>VLOOKUP($B248&amp;S$1,Data!$A$2:$D$5000,4,FALSE)</f>
        <v>-0.01</v>
      </c>
      <c r="T248">
        <f>VLOOKUP($B248&amp;T$1,Data!$A$2:$D$5000,4,FALSE)</f>
        <v>0.35386000000000001</v>
      </c>
      <c r="U248">
        <f>VLOOKUP($B248&amp;U$1,Data!$A$2:$D$5000,4,FALSE)</f>
        <v>6.0999999999999999E-2</v>
      </c>
      <c r="V248">
        <f>VLOOKUP($B248&amp;V$1,Data!$A$2:$D$5000,4,FALSE)</f>
        <v>1.2849999999999999</v>
      </c>
      <c r="W248">
        <f>VLOOKUP($B248&amp;W$1,Data!$A$2:$D$5000,4,FALSE)</f>
        <v>0.21734999999999999</v>
      </c>
      <c r="X248">
        <f>VLOOKUP($B248&amp;X$1,Data!$A$2:$D$5000,4,FALSE)</f>
        <v>0.38</v>
      </c>
      <c r="Y248">
        <f>VLOOKUP($B248&amp;Y$1,Data!$A$2:$D$5000,4,FALSE)</f>
        <v>0.62</v>
      </c>
      <c r="Z248">
        <f>VLOOKUP($B248&amp;Z$1,Data!$A$2:$D$5000,4,FALSE)</f>
        <v>2.66</v>
      </c>
      <c r="AA248">
        <f>VLOOKUP($B248&amp;AA$1,Data!$A$2:$D$5000,4,FALSE)</f>
        <v>0.23699999999999999</v>
      </c>
      <c r="AB248">
        <f>VLOOKUP($B248&amp;AB$1,Data!$A$2:$D$5000,4,FALSE)</f>
        <v>6.0999999999999999E-2</v>
      </c>
      <c r="AC248">
        <f>VLOOKUP($B248&amp;AC$1,Data!$A$2:$D$5000,4,FALSE)</f>
        <v>0.109</v>
      </c>
      <c r="AD248">
        <f>VLOOKUP($B248&amp;AD$1,Data!$A$2:$D$5000,4,FALSE)</f>
        <v>1.2E-2</v>
      </c>
      <c r="AE248">
        <f>VLOOKUP($B248&amp;AE$1,Data!$A$2:$D$5000,4,FALSE)</f>
        <v>1.476</v>
      </c>
      <c r="AF248">
        <f>VLOOKUP($B248&amp;AF$1,Data!$A$2:$D$5000,4,FALSE)</f>
        <v>0.125</v>
      </c>
      <c r="AG248">
        <f>VLOOKUP($B248&amp;AG$1,Data!$A$2:$D$5000,4,FALSE)</f>
        <v>3.976</v>
      </c>
      <c r="AH248">
        <f>VLOOKUP($B248&amp;AH$1,Data!$A$2:$D$5000,4,FALSE)</f>
        <v>0</v>
      </c>
      <c r="AI248">
        <f>VLOOKUP($B248&amp;AI$1,Data!$A$2:$D$5000,4,FALSE)</f>
        <v>9000000</v>
      </c>
    </row>
    <row r="249" spans="2:35" hidden="1">
      <c r="B249" s="13">
        <v>248</v>
      </c>
      <c r="C249" s="13" t="s">
        <v>55</v>
      </c>
      <c r="D249" t="s">
        <v>6</v>
      </c>
      <c r="E249" t="s">
        <v>2</v>
      </c>
      <c r="F249">
        <v>100</v>
      </c>
      <c r="G249" t="s">
        <v>17</v>
      </c>
      <c r="H249" s="5">
        <v>43831</v>
      </c>
      <c r="I249" s="5">
        <v>44562</v>
      </c>
      <c r="J249">
        <v>14</v>
      </c>
      <c r="K249">
        <v>9</v>
      </c>
      <c r="L249">
        <v>30</v>
      </c>
      <c r="M249">
        <v>70</v>
      </c>
      <c r="N249">
        <v>10000</v>
      </c>
      <c r="O249">
        <f>VLOOKUP($B249&amp;O$1,Data!$A$2:$D$5000,4,FALSE)</f>
        <v>0.80354999999999999</v>
      </c>
      <c r="P249">
        <f>VLOOKUP($B249&amp;P$1,Data!$A$2:$D$5000,4,FALSE)</f>
        <v>3.5830000000000002</v>
      </c>
      <c r="Q249">
        <f>VLOOKUP($B249&amp;Q$1,Data!$A$2:$D$5000,4,FALSE)</f>
        <v>493</v>
      </c>
      <c r="R249">
        <f>VLOOKUP($B249&amp;R$1,Data!$A$2:$D$5000,4,FALSE)</f>
        <v>0.1517</v>
      </c>
      <c r="S249">
        <f>VLOOKUP($B249&amp;S$1,Data!$A$2:$D$5000,4,FALSE)</f>
        <v>-5.7099999999999998E-2</v>
      </c>
      <c r="T249">
        <f>VLOOKUP($B249&amp;T$1,Data!$A$2:$D$5000,4,FALSE)</f>
        <v>3.4684200000000001</v>
      </c>
      <c r="U249">
        <f>VLOOKUP($B249&amp;U$1,Data!$A$2:$D$5000,4,FALSE)</f>
        <v>0.36699999999999999</v>
      </c>
      <c r="V249">
        <f>VLOOKUP($B249&amp;V$1,Data!$A$2:$D$5000,4,FALSE)</f>
        <v>1.119</v>
      </c>
      <c r="W249">
        <f>VLOOKUP($B249&amp;W$1,Data!$A$2:$D$5000,4,FALSE)</f>
        <v>1.6429</v>
      </c>
      <c r="X249">
        <f>VLOOKUP($B249&amp;X$1,Data!$A$2:$D$5000,4,FALSE)</f>
        <v>0.42</v>
      </c>
      <c r="Y249">
        <f>VLOOKUP($B249&amp;Y$1,Data!$A$2:$D$5000,4,FALSE)</f>
        <v>0.57999999999999996</v>
      </c>
      <c r="Z249">
        <f>VLOOKUP($B249&amp;Z$1,Data!$A$2:$D$5000,4,FALSE)</f>
        <v>2.66</v>
      </c>
      <c r="AA249">
        <f>VLOOKUP($B249&amp;AA$1,Data!$A$2:$D$5000,4,FALSE)</f>
        <v>2.58</v>
      </c>
      <c r="AB249">
        <f>VLOOKUP($B249&amp;AB$1,Data!$A$2:$D$5000,4,FALSE)</f>
        <v>0.36299999999999999</v>
      </c>
      <c r="AC249">
        <f>VLOOKUP($B249&amp;AC$1,Data!$A$2:$D$5000,4,FALSE)</f>
        <v>0.72599999999999998</v>
      </c>
      <c r="AD249">
        <f>VLOOKUP($B249&amp;AD$1,Data!$A$2:$D$5000,4,FALSE)</f>
        <v>0.52700000000000002</v>
      </c>
      <c r="AE249">
        <f>VLOOKUP($B249&amp;AE$1,Data!$A$2:$D$5000,4,FALSE)</f>
        <v>3.5</v>
      </c>
      <c r="AF249">
        <f>VLOOKUP($B249&amp;AF$1,Data!$A$2:$D$5000,4,FALSE)</f>
        <v>0.72699999999999998</v>
      </c>
      <c r="AG249">
        <f>VLOOKUP($B249&amp;AG$1,Data!$A$2:$D$5000,4,FALSE)</f>
        <v>7.1580000000000004</v>
      </c>
      <c r="AH249">
        <f>VLOOKUP($B249&amp;AH$1,Data!$A$2:$D$5000,4,FALSE)</f>
        <v>0</v>
      </c>
      <c r="AI249">
        <f>VLOOKUP($B249&amp;AI$1,Data!$A$2:$D$5000,4,FALSE)</f>
        <v>3100000</v>
      </c>
    </row>
    <row r="250" spans="2:35" hidden="1">
      <c r="B250" s="13">
        <v>249</v>
      </c>
      <c r="C250" s="13" t="s">
        <v>55</v>
      </c>
      <c r="D250" t="s">
        <v>6</v>
      </c>
      <c r="E250" t="s">
        <v>2</v>
      </c>
      <c r="F250">
        <v>200</v>
      </c>
      <c r="G250" t="s">
        <v>17</v>
      </c>
      <c r="H250" s="5">
        <v>43831</v>
      </c>
      <c r="I250" s="5">
        <v>44562</v>
      </c>
      <c r="J250">
        <v>14</v>
      </c>
      <c r="K250">
        <v>9</v>
      </c>
      <c r="L250">
        <v>30</v>
      </c>
      <c r="M250">
        <v>70</v>
      </c>
      <c r="N250">
        <v>10000</v>
      </c>
      <c r="O250">
        <f>VLOOKUP($B250&amp;O$1,Data!$A$2:$D$5000,4,FALSE)</f>
        <v>0.84875</v>
      </c>
      <c r="P250">
        <f>VLOOKUP($B250&amp;P$1,Data!$A$2:$D$5000,4,FALSE)</f>
        <v>5.7190000000000003</v>
      </c>
      <c r="Q250">
        <f>VLOOKUP($B250&amp;Q$1,Data!$A$2:$D$5000,4,FALSE)</f>
        <v>477</v>
      </c>
      <c r="R250">
        <f>VLOOKUP($B250&amp;R$1,Data!$A$2:$D$5000,4,FALSE)</f>
        <v>0.16389999999999999</v>
      </c>
      <c r="S250">
        <f>VLOOKUP($B250&amp;S$1,Data!$A$2:$D$5000,4,FALSE)</f>
        <v>-5.7799999999999997E-2</v>
      </c>
      <c r="T250">
        <f>VLOOKUP($B250&amp;T$1,Data!$A$2:$D$5000,4,FALSE)</f>
        <v>6.8448900000000004</v>
      </c>
      <c r="U250">
        <f>VLOOKUP($B250&amp;U$1,Data!$A$2:$D$5000,4,FALSE)</f>
        <v>0.48899999999999999</v>
      </c>
      <c r="V250">
        <f>VLOOKUP($B250&amp;V$1,Data!$A$2:$D$5000,4,FALSE)</f>
        <v>1.238</v>
      </c>
      <c r="W250">
        <f>VLOOKUP($B250&amp;W$1,Data!$A$2:$D$5000,4,FALSE)</f>
        <v>2.8086099999999998</v>
      </c>
      <c r="X250">
        <f>VLOOKUP($B250&amp;X$1,Data!$A$2:$D$5000,4,FALSE)</f>
        <v>0.42</v>
      </c>
      <c r="Y250">
        <f>VLOOKUP($B250&amp;Y$1,Data!$A$2:$D$5000,4,FALSE)</f>
        <v>0.57999999999999996</v>
      </c>
      <c r="Z250">
        <f>VLOOKUP($B250&amp;Z$1,Data!$A$2:$D$5000,4,FALSE)</f>
        <v>2.84</v>
      </c>
      <c r="AA250">
        <f>VLOOKUP($B250&amp;AA$1,Data!$A$2:$D$5000,4,FALSE)</f>
        <v>5.1639999999999997</v>
      </c>
      <c r="AB250">
        <f>VLOOKUP($B250&amp;AB$1,Data!$A$2:$D$5000,4,FALSE)</f>
        <v>0.879</v>
      </c>
      <c r="AC250">
        <f>VLOOKUP($B250&amp;AC$1,Data!$A$2:$D$5000,4,FALSE)</f>
        <v>0.91200000000000003</v>
      </c>
      <c r="AD250">
        <f>VLOOKUP($B250&amp;AD$1,Data!$A$2:$D$5000,4,FALSE)</f>
        <v>0.83099999999999996</v>
      </c>
      <c r="AE250">
        <f>VLOOKUP($B250&amp;AE$1,Data!$A$2:$D$5000,4,FALSE)</f>
        <v>5.6680000000000001</v>
      </c>
      <c r="AF250">
        <f>VLOOKUP($B250&amp;AF$1,Data!$A$2:$D$5000,4,FALSE)</f>
        <v>0.91</v>
      </c>
      <c r="AG250">
        <f>VLOOKUP($B250&amp;AG$1,Data!$A$2:$D$5000,4,FALSE)</f>
        <v>5.9340000000000002</v>
      </c>
      <c r="AH250">
        <f>VLOOKUP($B250&amp;AH$1,Data!$A$2:$D$5000,4,FALSE)</f>
        <v>0</v>
      </c>
      <c r="AI250">
        <f>VLOOKUP($B250&amp;AI$1,Data!$A$2:$D$5000,4,FALSE)</f>
        <v>2500000</v>
      </c>
    </row>
    <row r="251" spans="2:35" hidden="1">
      <c r="B251" s="13">
        <v>250</v>
      </c>
      <c r="C251" s="13" t="s">
        <v>55</v>
      </c>
      <c r="D251" t="s">
        <v>6</v>
      </c>
      <c r="E251" t="s">
        <v>22</v>
      </c>
      <c r="F251">
        <v>10</v>
      </c>
      <c r="G251" t="s">
        <v>17</v>
      </c>
      <c r="H251" s="5">
        <v>43831</v>
      </c>
      <c r="I251" s="5">
        <v>44562</v>
      </c>
      <c r="J251">
        <v>14</v>
      </c>
      <c r="K251">
        <v>9</v>
      </c>
      <c r="L251">
        <v>30</v>
      </c>
      <c r="M251">
        <v>70</v>
      </c>
      <c r="N251">
        <v>10000</v>
      </c>
      <c r="O251">
        <f>VLOOKUP($B251&amp;O$1,Data!$A$2:$D$5000,4,FALSE)</f>
        <v>0.52515999999999996</v>
      </c>
      <c r="P251">
        <f>VLOOKUP($B251&amp;P$1,Data!$A$2:$D$5000,4,FALSE)</f>
        <v>1.1479999999999999</v>
      </c>
      <c r="Q251">
        <f>VLOOKUP($B251&amp;Q$1,Data!$A$2:$D$5000,4,FALSE)</f>
        <v>387</v>
      </c>
      <c r="R251">
        <f>VLOOKUP($B251&amp;R$1,Data!$A$2:$D$5000,4,FALSE)</f>
        <v>4.4900000000000002E-2</v>
      </c>
      <c r="S251">
        <f>VLOOKUP($B251&amp;S$1,Data!$A$2:$D$5000,4,FALSE)</f>
        <v>-2.23E-2</v>
      </c>
      <c r="T251">
        <f>VLOOKUP($B251&amp;T$1,Data!$A$2:$D$5000,4,FALSE)</f>
        <v>0.22270000000000001</v>
      </c>
      <c r="U251">
        <f>VLOOKUP($B251&amp;U$1,Data!$A$2:$D$5000,4,FALSE)</f>
        <v>6.8000000000000005E-2</v>
      </c>
      <c r="V251">
        <f>VLOOKUP($B251&amp;V$1,Data!$A$2:$D$5000,4,FALSE)</f>
        <v>0.50700000000000001</v>
      </c>
      <c r="W251">
        <f>VLOOKUP($B251&amp;W$1,Data!$A$2:$D$5000,4,FALSE)</f>
        <v>0.13943</v>
      </c>
      <c r="X251">
        <f>VLOOKUP($B251&amp;X$1,Data!$A$2:$D$5000,4,FALSE)</f>
        <v>0.5</v>
      </c>
      <c r="Y251">
        <f>VLOOKUP($B251&amp;Y$1,Data!$A$2:$D$5000,4,FALSE)</f>
        <v>0.5</v>
      </c>
      <c r="Z251">
        <f>VLOOKUP($B251&amp;Z$1,Data!$A$2:$D$5000,4,FALSE)</f>
        <v>2.0099999999999998</v>
      </c>
      <c r="AA251">
        <f>VLOOKUP($B251&amp;AA$1,Data!$A$2:$D$5000,4,FALSE)</f>
        <v>0.152</v>
      </c>
      <c r="AB251">
        <f>VLOOKUP($B251&amp;AB$1,Data!$A$2:$D$5000,4,FALSE)</f>
        <v>0.16400000000000001</v>
      </c>
      <c r="AC251">
        <f>VLOOKUP($B251&amp;AC$1,Data!$A$2:$D$5000,4,FALSE)</f>
        <v>0.14000000000000001</v>
      </c>
      <c r="AD251">
        <f>VLOOKUP($B251&amp;AD$1,Data!$A$2:$D$5000,4,FALSE)</f>
        <v>0.02</v>
      </c>
      <c r="AE251">
        <f>VLOOKUP($B251&amp;AE$1,Data!$A$2:$D$5000,4,FALSE)</f>
        <v>0.69799999999999995</v>
      </c>
      <c r="AF251">
        <f>VLOOKUP($B251&amp;AF$1,Data!$A$2:$D$5000,4,FALSE)</f>
        <v>0.15</v>
      </c>
      <c r="AG251">
        <f>VLOOKUP($B251&amp;AG$1,Data!$A$2:$D$5000,4,FALSE)</f>
        <v>0.97799999999999998</v>
      </c>
      <c r="AH251">
        <f>VLOOKUP($B251&amp;AH$1,Data!$A$2:$D$5000,4,FALSE)</f>
        <v>0</v>
      </c>
      <c r="AI251">
        <f>VLOOKUP($B251&amp;AI$1,Data!$A$2:$D$5000,4,FALSE)</f>
        <v>3900000</v>
      </c>
    </row>
    <row r="252" spans="2:35" hidden="1">
      <c r="B252" s="13">
        <v>251</v>
      </c>
      <c r="C252" s="13" t="s">
        <v>55</v>
      </c>
      <c r="D252" t="s">
        <v>6</v>
      </c>
      <c r="E252" t="s">
        <v>22</v>
      </c>
      <c r="F252">
        <v>100</v>
      </c>
      <c r="G252" t="s">
        <v>17</v>
      </c>
      <c r="H252" s="5">
        <v>43831</v>
      </c>
      <c r="I252" s="5">
        <v>44562</v>
      </c>
      <c r="J252">
        <v>14</v>
      </c>
      <c r="K252">
        <v>9</v>
      </c>
      <c r="L252">
        <v>30</v>
      </c>
      <c r="M252">
        <v>70</v>
      </c>
      <c r="N252">
        <v>10000</v>
      </c>
      <c r="O252">
        <f>VLOOKUP($B252&amp;O$1,Data!$A$2:$D$5000,4,FALSE)</f>
        <v>0.63382000000000005</v>
      </c>
      <c r="P252">
        <f>VLOOKUP($B252&amp;P$1,Data!$A$2:$D$5000,4,FALSE)</f>
        <v>2.8050000000000002</v>
      </c>
      <c r="Q252">
        <f>VLOOKUP($B252&amp;Q$1,Data!$A$2:$D$5000,4,FALSE)</f>
        <v>367</v>
      </c>
      <c r="R252">
        <f>VLOOKUP($B252&amp;R$1,Data!$A$2:$D$5000,4,FALSE)</f>
        <v>0.3407</v>
      </c>
      <c r="S252">
        <f>VLOOKUP($B252&amp;S$1,Data!$A$2:$D$5000,4,FALSE)</f>
        <v>-0.1081</v>
      </c>
      <c r="T252">
        <f>VLOOKUP($B252&amp;T$1,Data!$A$2:$D$5000,4,FALSE)</f>
        <v>2.3747699999999998</v>
      </c>
      <c r="U252">
        <f>VLOOKUP($B252&amp;U$1,Data!$A$2:$D$5000,4,FALSE)</f>
        <v>0.48599999999999999</v>
      </c>
      <c r="V252">
        <f>VLOOKUP($B252&amp;V$1,Data!$A$2:$D$5000,4,FALSE)</f>
        <v>0.77900000000000003</v>
      </c>
      <c r="W252">
        <f>VLOOKUP($B252&amp;W$1,Data!$A$2:$D$5000,4,FALSE)</f>
        <v>1.20261</v>
      </c>
      <c r="X252">
        <f>VLOOKUP($B252&amp;X$1,Data!$A$2:$D$5000,4,FALSE)</f>
        <v>0.56999999999999995</v>
      </c>
      <c r="Y252">
        <f>VLOOKUP($B252&amp;Y$1,Data!$A$2:$D$5000,4,FALSE)</f>
        <v>0.43</v>
      </c>
      <c r="Z252">
        <f>VLOOKUP($B252&amp;Z$1,Data!$A$2:$D$5000,4,FALSE)</f>
        <v>3.15</v>
      </c>
      <c r="AA252">
        <f>VLOOKUP($B252&amp;AA$1,Data!$A$2:$D$5000,4,FALSE)</f>
        <v>2.6880000000000002</v>
      </c>
      <c r="AB252">
        <f>VLOOKUP($B252&amp;AB$1,Data!$A$2:$D$5000,4,FALSE)</f>
        <v>1.145</v>
      </c>
      <c r="AC252">
        <f>VLOOKUP($B252&amp;AC$1,Data!$A$2:$D$5000,4,FALSE)</f>
        <v>0.98099999999999998</v>
      </c>
      <c r="AD252">
        <f>VLOOKUP($B252&amp;AD$1,Data!$A$2:$D$5000,4,FALSE)</f>
        <v>0.96299999999999997</v>
      </c>
      <c r="AE252">
        <f>VLOOKUP($B252&amp;AE$1,Data!$A$2:$D$5000,4,FALSE)</f>
        <v>2.7549999999999999</v>
      </c>
      <c r="AF252">
        <f>VLOOKUP($B252&amp;AF$1,Data!$A$2:$D$5000,4,FALSE)</f>
        <v>0.97899999999999998</v>
      </c>
      <c r="AG252">
        <f>VLOOKUP($B252&amp;AG$1,Data!$A$2:$D$5000,4,FALSE)</f>
        <v>2.4039999999999999</v>
      </c>
      <c r="AH252">
        <f>VLOOKUP($B252&amp;AH$1,Data!$A$2:$D$5000,4,FALSE)</f>
        <v>0</v>
      </c>
      <c r="AI252">
        <f>VLOOKUP($B252&amp;AI$1,Data!$A$2:$D$5000,4,FALSE)</f>
        <v>1700000</v>
      </c>
    </row>
    <row r="253" spans="2:35" hidden="1">
      <c r="B253" s="13">
        <v>252</v>
      </c>
      <c r="C253" s="13" t="s">
        <v>55</v>
      </c>
      <c r="D253" t="s">
        <v>6</v>
      </c>
      <c r="E253" t="s">
        <v>22</v>
      </c>
      <c r="F253">
        <v>200</v>
      </c>
      <c r="G253" t="s">
        <v>17</v>
      </c>
      <c r="H253" s="5">
        <v>43831</v>
      </c>
      <c r="I253" s="5">
        <v>44562</v>
      </c>
      <c r="J253">
        <v>14</v>
      </c>
      <c r="K253">
        <v>9</v>
      </c>
      <c r="L253">
        <v>30</v>
      </c>
      <c r="M253">
        <v>70</v>
      </c>
      <c r="N253">
        <v>10000</v>
      </c>
      <c r="O253">
        <f>VLOOKUP($B253&amp;O$1,Data!$A$2:$D$5000,4,FALSE)</f>
        <v>0.64390999999999998</v>
      </c>
      <c r="P253">
        <f>VLOOKUP($B253&amp;P$1,Data!$A$2:$D$5000,4,FALSE)</f>
        <v>4.0780000000000003</v>
      </c>
      <c r="Q253">
        <f>VLOOKUP($B253&amp;Q$1,Data!$A$2:$D$5000,4,FALSE)</f>
        <v>348</v>
      </c>
      <c r="R253">
        <f>VLOOKUP($B253&amp;R$1,Data!$A$2:$D$5000,4,FALSE)</f>
        <v>0.19939999999999999</v>
      </c>
      <c r="S253">
        <f>VLOOKUP($B253&amp;S$1,Data!$A$2:$D$5000,4,FALSE)</f>
        <v>-7.2700000000000001E-2</v>
      </c>
      <c r="T253">
        <f>VLOOKUP($B253&amp;T$1,Data!$A$2:$D$5000,4,FALSE)</f>
        <v>2.8515299999999999</v>
      </c>
      <c r="U253">
        <f>VLOOKUP($B253&amp;U$1,Data!$A$2:$D$5000,4,FALSE)</f>
        <v>0.69799999999999995</v>
      </c>
      <c r="V253">
        <f>VLOOKUP($B253&amp;V$1,Data!$A$2:$D$5000,4,FALSE)</f>
        <v>0.63700000000000001</v>
      </c>
      <c r="W253">
        <f>VLOOKUP($B253&amp;W$1,Data!$A$2:$D$5000,4,FALSE)</f>
        <v>1.3998999999999999</v>
      </c>
      <c r="X253">
        <f>VLOOKUP($B253&amp;X$1,Data!$A$2:$D$5000,4,FALSE)</f>
        <v>0.56000000000000005</v>
      </c>
      <c r="Y253">
        <f>VLOOKUP($B253&amp;Y$1,Data!$A$2:$D$5000,4,FALSE)</f>
        <v>0.44</v>
      </c>
      <c r="Z253">
        <f>VLOOKUP($B253&amp;Z$1,Data!$A$2:$D$5000,4,FALSE)</f>
        <v>2.74</v>
      </c>
      <c r="AA253">
        <f>VLOOKUP($B253&amp;AA$1,Data!$A$2:$D$5000,4,FALSE)</f>
        <v>5.4729999999999999</v>
      </c>
      <c r="AB253">
        <f>VLOOKUP($B253&amp;AB$1,Data!$A$2:$D$5000,4,FALSE)</f>
        <v>2.226</v>
      </c>
      <c r="AC253">
        <f>VLOOKUP($B253&amp;AC$1,Data!$A$2:$D$5000,4,FALSE)</f>
        <v>1.373</v>
      </c>
      <c r="AD253">
        <f>VLOOKUP($B253&amp;AD$1,Data!$A$2:$D$5000,4,FALSE)</f>
        <v>1.8859999999999999</v>
      </c>
      <c r="AE253">
        <f>VLOOKUP($B253&amp;AE$1,Data!$A$2:$D$5000,4,FALSE)</f>
        <v>4.0529999999999999</v>
      </c>
      <c r="AF253">
        <f>VLOOKUP($B253&amp;AF$1,Data!$A$2:$D$5000,4,FALSE)</f>
        <v>1.3680000000000001</v>
      </c>
      <c r="AG253">
        <f>VLOOKUP($B253&amp;AG$1,Data!$A$2:$D$5000,4,FALSE)</f>
        <v>2.516</v>
      </c>
      <c r="AH253">
        <f>VLOOKUP($B253&amp;AH$1,Data!$A$2:$D$5000,4,FALSE)</f>
        <v>0</v>
      </c>
      <c r="AI253">
        <f>VLOOKUP($B253&amp;AI$1,Data!$A$2:$D$5000,4,FALSE)</f>
        <v>1200000</v>
      </c>
    </row>
    <row r="254" spans="2:35" hidden="1">
      <c r="B254">
        <v>253</v>
      </c>
      <c r="C254" s="13" t="s">
        <v>55</v>
      </c>
      <c r="D254" t="s">
        <v>6</v>
      </c>
      <c r="E254" t="s">
        <v>3</v>
      </c>
      <c r="F254">
        <v>10</v>
      </c>
      <c r="G254" t="s">
        <v>17</v>
      </c>
      <c r="H254" s="5">
        <v>43831</v>
      </c>
      <c r="I254" s="5">
        <v>44562</v>
      </c>
      <c r="J254">
        <v>14</v>
      </c>
      <c r="K254">
        <v>9</v>
      </c>
      <c r="L254">
        <v>32</v>
      </c>
      <c r="M254">
        <v>68</v>
      </c>
      <c r="N254">
        <v>10000</v>
      </c>
    </row>
    <row r="255" spans="2:35" hidden="1">
      <c r="B255">
        <v>254</v>
      </c>
      <c r="C255" s="13" t="s">
        <v>55</v>
      </c>
      <c r="D255" t="s">
        <v>6</v>
      </c>
      <c r="E255" t="s">
        <v>3</v>
      </c>
      <c r="F255">
        <v>100</v>
      </c>
      <c r="G255" t="s">
        <v>17</v>
      </c>
      <c r="H255" s="5">
        <v>43831</v>
      </c>
      <c r="I255" s="5">
        <v>44562</v>
      </c>
      <c r="J255">
        <v>14</v>
      </c>
      <c r="K255">
        <v>9</v>
      </c>
      <c r="L255">
        <v>32</v>
      </c>
      <c r="M255">
        <v>68</v>
      </c>
      <c r="N255">
        <v>10000</v>
      </c>
    </row>
    <row r="256" spans="2:35" hidden="1">
      <c r="B256">
        <v>255</v>
      </c>
      <c r="C256" s="13" t="s">
        <v>55</v>
      </c>
      <c r="D256" t="s">
        <v>6</v>
      </c>
      <c r="E256" t="s">
        <v>3</v>
      </c>
      <c r="F256">
        <v>200</v>
      </c>
      <c r="G256" t="s">
        <v>17</v>
      </c>
      <c r="H256" s="5">
        <v>43831</v>
      </c>
      <c r="I256" s="5">
        <v>44562</v>
      </c>
      <c r="J256">
        <v>14</v>
      </c>
      <c r="K256">
        <v>9</v>
      </c>
      <c r="L256">
        <v>32</v>
      </c>
      <c r="M256">
        <v>68</v>
      </c>
      <c r="N256">
        <v>10000</v>
      </c>
    </row>
    <row r="257" spans="2:35" hidden="1">
      <c r="B257">
        <v>256</v>
      </c>
      <c r="C257" s="13" t="s">
        <v>55</v>
      </c>
      <c r="D257" t="s">
        <v>6</v>
      </c>
      <c r="E257" t="s">
        <v>2</v>
      </c>
      <c r="F257">
        <v>10</v>
      </c>
      <c r="G257" t="s">
        <v>17</v>
      </c>
      <c r="H257" s="5">
        <v>43831</v>
      </c>
      <c r="I257" s="5">
        <v>44562</v>
      </c>
      <c r="J257">
        <v>14</v>
      </c>
      <c r="K257">
        <v>9</v>
      </c>
      <c r="L257">
        <v>32</v>
      </c>
      <c r="M257">
        <v>68</v>
      </c>
      <c r="N257">
        <v>10000</v>
      </c>
    </row>
    <row r="258" spans="2:35" hidden="1">
      <c r="B258">
        <v>257</v>
      </c>
      <c r="C258" s="13" t="s">
        <v>55</v>
      </c>
      <c r="D258" t="s">
        <v>6</v>
      </c>
      <c r="E258" t="s">
        <v>2</v>
      </c>
      <c r="F258">
        <v>100</v>
      </c>
      <c r="G258" t="s">
        <v>17</v>
      </c>
      <c r="H258" s="5">
        <v>43831</v>
      </c>
      <c r="I258" s="5">
        <v>44562</v>
      </c>
      <c r="J258">
        <v>14</v>
      </c>
      <c r="K258">
        <v>9</v>
      </c>
      <c r="L258">
        <v>32</v>
      </c>
      <c r="M258">
        <v>68</v>
      </c>
      <c r="N258">
        <v>10000</v>
      </c>
    </row>
    <row r="259" spans="2:35" hidden="1">
      <c r="B259">
        <v>258</v>
      </c>
      <c r="C259" s="13" t="s">
        <v>55</v>
      </c>
      <c r="D259" t="s">
        <v>6</v>
      </c>
      <c r="E259" t="s">
        <v>2</v>
      </c>
      <c r="F259">
        <v>200</v>
      </c>
      <c r="G259" t="s">
        <v>17</v>
      </c>
      <c r="H259" s="5">
        <v>43831</v>
      </c>
      <c r="I259" s="5">
        <v>44562</v>
      </c>
      <c r="J259">
        <v>14</v>
      </c>
      <c r="K259">
        <v>9</v>
      </c>
      <c r="L259">
        <v>32</v>
      </c>
      <c r="M259">
        <v>68</v>
      </c>
      <c r="N259">
        <v>10000</v>
      </c>
    </row>
    <row r="260" spans="2:35" hidden="1">
      <c r="B260">
        <v>259</v>
      </c>
      <c r="C260" s="13" t="s">
        <v>55</v>
      </c>
      <c r="D260" t="s">
        <v>6</v>
      </c>
      <c r="E260" t="s">
        <v>22</v>
      </c>
      <c r="F260">
        <v>10</v>
      </c>
      <c r="G260" t="s">
        <v>17</v>
      </c>
      <c r="H260" s="5">
        <v>43831</v>
      </c>
      <c r="I260" s="5">
        <v>44562</v>
      </c>
      <c r="J260">
        <v>14</v>
      </c>
      <c r="K260">
        <v>9</v>
      </c>
      <c r="L260">
        <v>32</v>
      </c>
      <c r="M260">
        <v>68</v>
      </c>
      <c r="N260">
        <v>10000</v>
      </c>
    </row>
    <row r="261" spans="2:35" hidden="1">
      <c r="B261">
        <v>260</v>
      </c>
      <c r="C261" s="13" t="s">
        <v>55</v>
      </c>
      <c r="D261" t="s">
        <v>6</v>
      </c>
      <c r="E261" t="s">
        <v>22</v>
      </c>
      <c r="F261">
        <v>100</v>
      </c>
      <c r="G261" t="s">
        <v>17</v>
      </c>
      <c r="H261" s="5">
        <v>43831</v>
      </c>
      <c r="I261" s="5">
        <v>44562</v>
      </c>
      <c r="J261">
        <v>14</v>
      </c>
      <c r="K261">
        <v>9</v>
      </c>
      <c r="L261">
        <v>32</v>
      </c>
      <c r="M261">
        <v>68</v>
      </c>
      <c r="N261">
        <v>10000</v>
      </c>
    </row>
    <row r="262" spans="2:35" hidden="1">
      <c r="B262">
        <v>261</v>
      </c>
      <c r="C262" s="13" t="s">
        <v>55</v>
      </c>
      <c r="D262" t="s">
        <v>6</v>
      </c>
      <c r="E262" t="s">
        <v>22</v>
      </c>
      <c r="F262">
        <v>200</v>
      </c>
      <c r="G262" t="s">
        <v>17</v>
      </c>
      <c r="H262" s="5">
        <v>43831</v>
      </c>
      <c r="I262" s="5">
        <v>44562</v>
      </c>
      <c r="J262">
        <v>14</v>
      </c>
      <c r="K262">
        <v>9</v>
      </c>
      <c r="L262">
        <v>32</v>
      </c>
      <c r="M262">
        <v>68</v>
      </c>
      <c r="N262">
        <v>10000</v>
      </c>
    </row>
    <row r="263" spans="2:35" hidden="1">
      <c r="B263">
        <v>262</v>
      </c>
      <c r="C263" s="13" t="s">
        <v>55</v>
      </c>
      <c r="D263" t="s">
        <v>6</v>
      </c>
      <c r="E263" t="s">
        <v>3</v>
      </c>
      <c r="F263">
        <v>10</v>
      </c>
      <c r="G263" t="s">
        <v>17</v>
      </c>
      <c r="H263" s="5">
        <v>43831</v>
      </c>
      <c r="I263" s="5">
        <v>44562</v>
      </c>
      <c r="J263">
        <v>14</v>
      </c>
      <c r="K263">
        <v>9</v>
      </c>
      <c r="L263">
        <v>28</v>
      </c>
      <c r="M263">
        <v>72</v>
      </c>
      <c r="N263">
        <v>10000</v>
      </c>
    </row>
    <row r="264" spans="2:35" hidden="1">
      <c r="B264">
        <v>263</v>
      </c>
      <c r="C264" s="13" t="s">
        <v>55</v>
      </c>
      <c r="D264" t="s">
        <v>6</v>
      </c>
      <c r="E264" t="s">
        <v>3</v>
      </c>
      <c r="F264">
        <v>100</v>
      </c>
      <c r="G264" t="s">
        <v>17</v>
      </c>
      <c r="H264" s="5">
        <v>43831</v>
      </c>
      <c r="I264" s="5">
        <v>44562</v>
      </c>
      <c r="J264">
        <v>14</v>
      </c>
      <c r="K264">
        <v>9</v>
      </c>
      <c r="L264">
        <v>28</v>
      </c>
      <c r="M264">
        <v>72</v>
      </c>
      <c r="N264">
        <v>10000</v>
      </c>
    </row>
    <row r="265" spans="2:35" hidden="1">
      <c r="B265">
        <v>264</v>
      </c>
      <c r="C265" s="13" t="s">
        <v>55</v>
      </c>
      <c r="D265" t="s">
        <v>6</v>
      </c>
      <c r="E265" t="s">
        <v>3</v>
      </c>
      <c r="F265">
        <v>200</v>
      </c>
      <c r="G265" t="s">
        <v>17</v>
      </c>
      <c r="H265" s="5">
        <v>43831</v>
      </c>
      <c r="I265" s="5">
        <v>44562</v>
      </c>
      <c r="J265">
        <v>14</v>
      </c>
      <c r="K265">
        <v>9</v>
      </c>
      <c r="L265">
        <v>28</v>
      </c>
      <c r="M265">
        <v>72</v>
      </c>
      <c r="N265">
        <v>10000</v>
      </c>
    </row>
    <row r="266" spans="2:35" hidden="1">
      <c r="B266">
        <v>265</v>
      </c>
      <c r="C266" s="13" t="s">
        <v>55</v>
      </c>
      <c r="D266" t="s">
        <v>6</v>
      </c>
      <c r="E266" t="s">
        <v>2</v>
      </c>
      <c r="F266">
        <v>10</v>
      </c>
      <c r="G266" t="s">
        <v>17</v>
      </c>
      <c r="H266" s="5">
        <v>43831</v>
      </c>
      <c r="I266" s="5">
        <v>44562</v>
      </c>
      <c r="J266">
        <v>14</v>
      </c>
      <c r="K266">
        <v>9</v>
      </c>
      <c r="L266">
        <v>28</v>
      </c>
      <c r="M266">
        <v>72</v>
      </c>
      <c r="N266">
        <v>10000</v>
      </c>
    </row>
    <row r="267" spans="2:35" hidden="1">
      <c r="B267">
        <v>266</v>
      </c>
      <c r="C267" s="13" t="s">
        <v>55</v>
      </c>
      <c r="D267" t="s">
        <v>6</v>
      </c>
      <c r="E267" t="s">
        <v>2</v>
      </c>
      <c r="F267">
        <v>100</v>
      </c>
      <c r="G267" t="s">
        <v>17</v>
      </c>
      <c r="H267" s="5">
        <v>43831</v>
      </c>
      <c r="I267" s="5">
        <v>44562</v>
      </c>
      <c r="J267">
        <v>14</v>
      </c>
      <c r="K267">
        <v>9</v>
      </c>
      <c r="L267">
        <v>28</v>
      </c>
      <c r="M267">
        <v>72</v>
      </c>
      <c r="N267">
        <v>10000</v>
      </c>
    </row>
    <row r="268" spans="2:35" hidden="1">
      <c r="B268">
        <v>267</v>
      </c>
      <c r="C268" s="13" t="s">
        <v>55</v>
      </c>
      <c r="D268" t="s">
        <v>6</v>
      </c>
      <c r="E268" t="s">
        <v>2</v>
      </c>
      <c r="F268">
        <v>200</v>
      </c>
      <c r="G268" t="s">
        <v>17</v>
      </c>
      <c r="H268" s="5">
        <v>43831</v>
      </c>
      <c r="I268" s="5">
        <v>44562</v>
      </c>
      <c r="J268">
        <v>14</v>
      </c>
      <c r="K268">
        <v>9</v>
      </c>
      <c r="L268">
        <v>28</v>
      </c>
      <c r="M268">
        <v>72</v>
      </c>
      <c r="N268">
        <v>10000</v>
      </c>
    </row>
    <row r="269" spans="2:35" hidden="1">
      <c r="B269">
        <v>268</v>
      </c>
      <c r="C269" s="13" t="s">
        <v>55</v>
      </c>
      <c r="D269" t="s">
        <v>6</v>
      </c>
      <c r="E269" t="s">
        <v>22</v>
      </c>
      <c r="F269">
        <v>10</v>
      </c>
      <c r="G269" t="s">
        <v>17</v>
      </c>
      <c r="H269" s="5">
        <v>43831</v>
      </c>
      <c r="I269" s="5">
        <v>44562</v>
      </c>
      <c r="J269">
        <v>14</v>
      </c>
      <c r="K269">
        <v>9</v>
      </c>
      <c r="L269">
        <v>28</v>
      </c>
      <c r="M269">
        <v>72</v>
      </c>
      <c r="N269">
        <v>10000</v>
      </c>
    </row>
    <row r="270" spans="2:35" hidden="1">
      <c r="B270">
        <v>269</v>
      </c>
      <c r="C270" s="13" t="s">
        <v>55</v>
      </c>
      <c r="D270" t="s">
        <v>6</v>
      </c>
      <c r="E270" t="s">
        <v>22</v>
      </c>
      <c r="F270">
        <v>100</v>
      </c>
      <c r="G270" t="s">
        <v>17</v>
      </c>
      <c r="H270" s="5">
        <v>43831</v>
      </c>
      <c r="I270" s="5">
        <v>44562</v>
      </c>
      <c r="J270">
        <v>14</v>
      </c>
      <c r="K270">
        <v>9</v>
      </c>
      <c r="L270">
        <v>28</v>
      </c>
      <c r="M270">
        <v>72</v>
      </c>
      <c r="N270">
        <v>10000</v>
      </c>
    </row>
    <row r="271" spans="2:35" hidden="1">
      <c r="B271">
        <v>270</v>
      </c>
      <c r="C271" s="13" t="s">
        <v>55</v>
      </c>
      <c r="D271" t="s">
        <v>6</v>
      </c>
      <c r="E271" t="s">
        <v>22</v>
      </c>
      <c r="F271">
        <v>200</v>
      </c>
      <c r="G271" t="s">
        <v>17</v>
      </c>
      <c r="H271" s="5">
        <v>43831</v>
      </c>
      <c r="I271" s="5">
        <v>44562</v>
      </c>
      <c r="J271">
        <v>14</v>
      </c>
      <c r="K271">
        <v>9</v>
      </c>
      <c r="L271">
        <v>28</v>
      </c>
      <c r="M271">
        <v>72</v>
      </c>
      <c r="N271">
        <v>10000</v>
      </c>
    </row>
    <row r="272" spans="2:35" hidden="1">
      <c r="B272" s="13">
        <v>271</v>
      </c>
      <c r="C272" s="13" t="s">
        <v>55</v>
      </c>
      <c r="D272" t="s">
        <v>7</v>
      </c>
      <c r="E272" t="s">
        <v>3</v>
      </c>
      <c r="F272">
        <v>10</v>
      </c>
      <c r="G272" t="s">
        <v>17</v>
      </c>
      <c r="H272" s="5">
        <v>43831</v>
      </c>
      <c r="I272" s="5">
        <v>44562</v>
      </c>
      <c r="J272">
        <v>14</v>
      </c>
      <c r="K272">
        <v>9</v>
      </c>
      <c r="L272">
        <v>30</v>
      </c>
      <c r="M272">
        <v>70</v>
      </c>
      <c r="N272">
        <v>10000</v>
      </c>
      <c r="O272">
        <f>VLOOKUP($B272&amp;O$1,Data!$A$2:$D$5000,4,FALSE)</f>
        <v>0.79584999999999995</v>
      </c>
      <c r="P272">
        <f>VLOOKUP($B272&amp;P$1,Data!$A$2:$D$5000,4,FALSE)</f>
        <v>2.0270000000000001</v>
      </c>
      <c r="Q272">
        <f>VLOOKUP($B272&amp;Q$1,Data!$A$2:$D$5000,4,FALSE)</f>
        <v>893</v>
      </c>
      <c r="R272">
        <f>VLOOKUP($B272&amp;R$1,Data!$A$2:$D$5000,4,FALSE)</f>
        <v>2.0299999999999999E-2</v>
      </c>
      <c r="S272">
        <f>VLOOKUP($B272&amp;S$1,Data!$A$2:$D$5000,4,FALSE)</f>
        <v>-1.34E-2</v>
      </c>
      <c r="T272">
        <f>VLOOKUP($B272&amp;T$1,Data!$A$2:$D$5000,4,FALSE)</f>
        <v>0.37667</v>
      </c>
      <c r="U272">
        <f>VLOOKUP($B272&amp;U$1,Data!$A$2:$D$5000,4,FALSE)</f>
        <v>8.2000000000000003E-2</v>
      </c>
      <c r="V272">
        <f>VLOOKUP($B272&amp;V$1,Data!$A$2:$D$5000,4,FALSE)</f>
        <v>0.56299999999999994</v>
      </c>
      <c r="W272">
        <f>VLOOKUP($B272&amp;W$1,Data!$A$2:$D$5000,4,FALSE)</f>
        <v>0.23063</v>
      </c>
      <c r="X272">
        <f>VLOOKUP($B272&amp;X$1,Data!$A$2:$D$5000,4,FALSE)</f>
        <v>0.38</v>
      </c>
      <c r="Y272">
        <f>VLOOKUP($B272&amp;Y$1,Data!$A$2:$D$5000,4,FALSE)</f>
        <v>0.62</v>
      </c>
      <c r="Z272">
        <f>VLOOKUP($B272&amp;Z$1,Data!$A$2:$D$5000,4,FALSE)</f>
        <v>1.52</v>
      </c>
      <c r="AA272">
        <f>VLOOKUP($B272&amp;AA$1,Data!$A$2:$D$5000,4,FALSE)</f>
        <v>0.221</v>
      </c>
      <c r="AB272">
        <f>VLOOKUP($B272&amp;AB$1,Data!$A$2:$D$5000,4,FALSE)</f>
        <v>0.65800000000000003</v>
      </c>
      <c r="AC272">
        <f>VLOOKUP($B272&amp;AC$1,Data!$A$2:$D$5000,4,FALSE)</f>
        <v>0.127</v>
      </c>
      <c r="AD272">
        <f>VLOOKUP($B272&amp;AD$1,Data!$A$2:$D$5000,4,FALSE)</f>
        <v>1.6E-2</v>
      </c>
      <c r="AE272">
        <f>VLOOKUP($B272&amp;AE$1,Data!$A$2:$D$5000,4,FALSE)</f>
        <v>1.651</v>
      </c>
      <c r="AF272">
        <f>VLOOKUP($B272&amp;AF$1,Data!$A$2:$D$5000,4,FALSE)</f>
        <v>0.122</v>
      </c>
      <c r="AG272">
        <f>VLOOKUP($B272&amp;AG$1,Data!$A$2:$D$5000,4,FALSE)</f>
        <v>0.39200000000000002</v>
      </c>
      <c r="AH272">
        <f>VLOOKUP($B272&amp;AH$1,Data!$A$2:$D$5000,4,FALSE)</f>
        <v>0</v>
      </c>
      <c r="AI272">
        <f>VLOOKUP($B272&amp;AI$1,Data!$A$2:$D$5000,4,FALSE)</f>
        <v>5000000</v>
      </c>
    </row>
    <row r="273" spans="2:35" hidden="1">
      <c r="B273" s="20">
        <v>272</v>
      </c>
      <c r="C273" s="13" t="s">
        <v>55</v>
      </c>
      <c r="D273" s="7" t="s">
        <v>7</v>
      </c>
      <c r="E273" s="7" t="s">
        <v>3</v>
      </c>
      <c r="F273" s="7">
        <v>100</v>
      </c>
      <c r="G273" s="7" t="s">
        <v>17</v>
      </c>
      <c r="H273" s="21">
        <v>43831</v>
      </c>
      <c r="I273" s="21">
        <v>44562</v>
      </c>
      <c r="J273" s="7">
        <v>14</v>
      </c>
      <c r="K273" s="7">
        <v>9</v>
      </c>
      <c r="L273" s="7">
        <v>30</v>
      </c>
      <c r="M273" s="7">
        <v>70</v>
      </c>
      <c r="N273" s="7">
        <v>10000</v>
      </c>
      <c r="O273">
        <f>VLOOKUP($B273&amp;O$1,Data!$A$2:$D$5000,4,FALSE)</f>
        <v>0.82501000000000002</v>
      </c>
      <c r="P273">
        <f>VLOOKUP($B273&amp;P$1,Data!$A$2:$D$5000,4,FALSE)</f>
        <v>4.399</v>
      </c>
      <c r="Q273">
        <f>VLOOKUP($B273&amp;Q$1,Data!$A$2:$D$5000,4,FALSE)</f>
        <v>876</v>
      </c>
      <c r="R273">
        <f>VLOOKUP($B273&amp;R$1,Data!$A$2:$D$5000,4,FALSE)</f>
        <v>0.13550000000000001</v>
      </c>
      <c r="S273">
        <f>VLOOKUP($B273&amp;S$1,Data!$A$2:$D$5000,4,FALSE)</f>
        <v>-7.3700000000000002E-2</v>
      </c>
      <c r="T273">
        <f>VLOOKUP($B273&amp;T$1,Data!$A$2:$D$5000,4,FALSE)</f>
        <v>4.5813699999999997</v>
      </c>
      <c r="U273">
        <f>VLOOKUP($B273&amp;U$1,Data!$A$2:$D$5000,4,FALSE)</f>
        <v>0.46</v>
      </c>
      <c r="V273">
        <f>VLOOKUP($B273&amp;V$1,Data!$A$2:$D$5000,4,FALSE)</f>
        <v>0.66400000000000003</v>
      </c>
      <c r="W273">
        <f>VLOOKUP($B273&amp;W$1,Data!$A$2:$D$5000,4,FALSE)</f>
        <v>2.05341</v>
      </c>
      <c r="X273">
        <f>VLOOKUP($B273&amp;X$1,Data!$A$2:$D$5000,4,FALSE)</f>
        <v>0.41</v>
      </c>
      <c r="Y273">
        <f>VLOOKUP($B273&amp;Y$1,Data!$A$2:$D$5000,4,FALSE)</f>
        <v>0.59</v>
      </c>
      <c r="Z273">
        <f>VLOOKUP($B273&amp;Z$1,Data!$A$2:$D$5000,4,FALSE)</f>
        <v>1.84</v>
      </c>
      <c r="AA273">
        <f>VLOOKUP($B273&amp;AA$1,Data!$A$2:$D$5000,4,FALSE)</f>
        <v>3.1389999999999998</v>
      </c>
      <c r="AB273">
        <f>VLOOKUP($B273&amp;AB$1,Data!$A$2:$D$5000,4,FALSE)</f>
        <v>4.3419999999999996</v>
      </c>
      <c r="AC273">
        <f>VLOOKUP($B273&amp;AC$1,Data!$A$2:$D$5000,4,FALSE)</f>
        <v>0.77</v>
      </c>
      <c r="AD273">
        <f>VLOOKUP($B273&amp;AD$1,Data!$A$2:$D$5000,4,FALSE)</f>
        <v>0.59299999999999997</v>
      </c>
      <c r="AE273">
        <f>VLOOKUP($B273&amp;AE$1,Data!$A$2:$D$5000,4,FALSE)</f>
        <v>4.4560000000000004</v>
      </c>
      <c r="AF273">
        <f>VLOOKUP($B273&amp;AF$1,Data!$A$2:$D$5000,4,FALSE)</f>
        <v>0.747</v>
      </c>
      <c r="AG273">
        <f>VLOOKUP($B273&amp;AG$1,Data!$A$2:$D$5000,4,FALSE)</f>
        <v>0.78</v>
      </c>
      <c r="AH273">
        <f>VLOOKUP($B273&amp;AH$1,Data!$A$2:$D$5000,4,FALSE)</f>
        <v>0</v>
      </c>
      <c r="AI273">
        <f>VLOOKUP($B273&amp;AI$1,Data!$A$2:$D$5000,4,FALSE)</f>
        <v>2500000</v>
      </c>
    </row>
    <row r="274" spans="2:35" hidden="1">
      <c r="B274" s="13">
        <v>273</v>
      </c>
      <c r="C274" s="13" t="s">
        <v>55</v>
      </c>
      <c r="D274" t="s">
        <v>7</v>
      </c>
      <c r="E274" t="s">
        <v>3</v>
      </c>
      <c r="F274">
        <v>200</v>
      </c>
      <c r="G274" t="s">
        <v>17</v>
      </c>
      <c r="H274" s="5">
        <v>43831</v>
      </c>
      <c r="I274" s="5">
        <v>44562</v>
      </c>
      <c r="J274">
        <v>14</v>
      </c>
      <c r="K274">
        <v>9</v>
      </c>
      <c r="L274">
        <v>30</v>
      </c>
      <c r="M274">
        <v>70</v>
      </c>
      <c r="N274">
        <v>10000</v>
      </c>
      <c r="O274">
        <f>VLOOKUP($B274&amp;O$1,Data!$A$2:$D$5000,4,FALSE)</f>
        <v>0.76468000000000003</v>
      </c>
      <c r="P274">
        <f>VLOOKUP($B274&amp;P$1,Data!$A$2:$D$5000,4,FALSE)</f>
        <v>5.4630000000000001</v>
      </c>
      <c r="Q274">
        <f>VLOOKUP($B274&amp;Q$1,Data!$A$2:$D$5000,4,FALSE)</f>
        <v>825</v>
      </c>
      <c r="R274">
        <f>VLOOKUP($B274&amp;R$1,Data!$A$2:$D$5000,4,FALSE)</f>
        <v>0.22450000000000001</v>
      </c>
      <c r="S274">
        <f>VLOOKUP($B274&amp;S$1,Data!$A$2:$D$5000,4,FALSE)</f>
        <v>-6.1800000000000001E-2</v>
      </c>
      <c r="T274">
        <f>VLOOKUP($B274&amp;T$1,Data!$A$2:$D$5000,4,FALSE)</f>
        <v>5.8875000000000002</v>
      </c>
      <c r="U274">
        <f>VLOOKUP($B274&amp;U$1,Data!$A$2:$D$5000,4,FALSE)</f>
        <v>0.68400000000000005</v>
      </c>
      <c r="V274">
        <f>VLOOKUP($B274&amp;V$1,Data!$A$2:$D$5000,4,FALSE)</f>
        <v>0.78100000000000003</v>
      </c>
      <c r="W274">
        <f>VLOOKUP($B274&amp;W$1,Data!$A$2:$D$5000,4,FALSE)</f>
        <v>2.5000200000000001</v>
      </c>
      <c r="X274">
        <f>VLOOKUP($B274&amp;X$1,Data!$A$2:$D$5000,4,FALSE)</f>
        <v>0.62</v>
      </c>
      <c r="Y274">
        <f>VLOOKUP($B274&amp;Y$1,Data!$A$2:$D$5000,4,FALSE)</f>
        <v>0.38</v>
      </c>
      <c r="Z274">
        <f>VLOOKUP($B274&amp;Z$1,Data!$A$2:$D$5000,4,FALSE)</f>
        <v>3.63</v>
      </c>
      <c r="AA274">
        <f>VLOOKUP($B274&amp;AA$1,Data!$A$2:$D$5000,4,FALSE)</f>
        <v>5.91</v>
      </c>
      <c r="AB274">
        <f>VLOOKUP($B274&amp;AB$1,Data!$A$2:$D$5000,4,FALSE)</f>
        <v>7.0309999999999997</v>
      </c>
      <c r="AC274">
        <f>VLOOKUP($B274&amp;AC$1,Data!$A$2:$D$5000,4,FALSE)</f>
        <v>1.155</v>
      </c>
      <c r="AD274">
        <f>VLOOKUP($B274&amp;AD$1,Data!$A$2:$D$5000,4,FALSE)</f>
        <v>1.335</v>
      </c>
      <c r="AE274">
        <f>VLOOKUP($B274&amp;AE$1,Data!$A$2:$D$5000,4,FALSE)</f>
        <v>5.5359999999999996</v>
      </c>
      <c r="AF274">
        <f>VLOOKUP($B274&amp;AF$1,Data!$A$2:$D$5000,4,FALSE)</f>
        <v>1.1299999999999999</v>
      </c>
      <c r="AG274">
        <f>VLOOKUP($B274&amp;AG$1,Data!$A$2:$D$5000,4,FALSE)</f>
        <v>0.89800000000000002</v>
      </c>
      <c r="AH274">
        <f>VLOOKUP($B274&amp;AH$1,Data!$A$2:$D$5000,4,FALSE)</f>
        <v>0</v>
      </c>
      <c r="AI274">
        <f>VLOOKUP($B274&amp;AI$1,Data!$A$2:$D$5000,4,FALSE)</f>
        <v>2200000</v>
      </c>
    </row>
    <row r="275" spans="2:35" hidden="1">
      <c r="B275" s="13">
        <v>274</v>
      </c>
      <c r="C275" s="13" t="s">
        <v>55</v>
      </c>
      <c r="D275" t="s">
        <v>7</v>
      </c>
      <c r="E275" t="s">
        <v>2</v>
      </c>
      <c r="F275">
        <v>10</v>
      </c>
      <c r="G275" t="s">
        <v>17</v>
      </c>
      <c r="H275" s="5">
        <v>43831</v>
      </c>
      <c r="I275" s="5">
        <v>44562</v>
      </c>
      <c r="J275">
        <v>14</v>
      </c>
      <c r="K275">
        <v>9</v>
      </c>
      <c r="L275">
        <v>30</v>
      </c>
      <c r="M275">
        <v>70</v>
      </c>
      <c r="N275">
        <v>10000</v>
      </c>
      <c r="O275">
        <f>VLOOKUP($B275&amp;O$1,Data!$A$2:$D$5000,4,FALSE)</f>
        <v>0.15468000000000001</v>
      </c>
      <c r="P275">
        <f>VLOOKUP($B275&amp;P$1,Data!$A$2:$D$5000,4,FALSE)</f>
        <v>-5.3999999999999999E-2</v>
      </c>
      <c r="Q275">
        <f>VLOOKUP($B275&amp;Q$1,Data!$A$2:$D$5000,4,FALSE)</f>
        <v>558</v>
      </c>
      <c r="R275">
        <f>VLOOKUP($B275&amp;R$1,Data!$A$2:$D$5000,4,FALSE)</f>
        <v>3.3000000000000002E-2</v>
      </c>
      <c r="S275">
        <f>VLOOKUP($B275&amp;S$1,Data!$A$2:$D$5000,4,FALSE)</f>
        <v>-1.7100000000000001E-2</v>
      </c>
      <c r="T275">
        <f>VLOOKUP($B275&amp;T$1,Data!$A$2:$D$5000,4,FALSE)</f>
        <v>-2.317E-2</v>
      </c>
      <c r="U275">
        <f>VLOOKUP($B275&amp;U$1,Data!$A$2:$D$5000,4,FALSE)</f>
        <v>8.4000000000000005E-2</v>
      </c>
      <c r="V275">
        <f>VLOOKUP($B275&amp;V$1,Data!$A$2:$D$5000,4,FALSE)</f>
        <v>-2.5000000000000001E-2</v>
      </c>
      <c r="W275">
        <f>VLOOKUP($B275&amp;W$1,Data!$A$2:$D$5000,4,FALSE)</f>
        <v>-1.5100000000000001E-2</v>
      </c>
      <c r="X275">
        <f>VLOOKUP($B275&amp;X$1,Data!$A$2:$D$5000,4,FALSE)</f>
        <v>0.67</v>
      </c>
      <c r="Y275">
        <f>VLOOKUP($B275&amp;Y$1,Data!$A$2:$D$5000,4,FALSE)</f>
        <v>0.33</v>
      </c>
      <c r="Z275">
        <f>VLOOKUP($B275&amp;Z$1,Data!$A$2:$D$5000,4,FALSE)</f>
        <v>1.93</v>
      </c>
      <c r="AA275">
        <f>VLOOKUP($B275&amp;AA$1,Data!$A$2:$D$5000,4,FALSE)</f>
        <v>-5.2999999999999999E-2</v>
      </c>
      <c r="AB275">
        <f>VLOOKUP($B275&amp;AB$1,Data!$A$2:$D$5000,4,FALSE)</f>
        <v>0.81599999999999995</v>
      </c>
      <c r="AC275">
        <f>VLOOKUP($B275&amp;AC$1,Data!$A$2:$D$5000,4,FALSE)</f>
        <v>0.13400000000000001</v>
      </c>
      <c r="AD275">
        <f>VLOOKUP($B275&amp;AD$1,Data!$A$2:$D$5000,4,FALSE)</f>
        <v>1.7999999999999999E-2</v>
      </c>
      <c r="AE275">
        <f>VLOOKUP($B275&amp;AE$1,Data!$A$2:$D$5000,4,FALSE)</f>
        <v>-0.51200000000000001</v>
      </c>
      <c r="AF275">
        <f>VLOOKUP($B275&amp;AF$1,Data!$A$2:$D$5000,4,FALSE)</f>
        <v>0.123</v>
      </c>
      <c r="AG275">
        <f>VLOOKUP($B275&amp;AG$1,Data!$A$2:$D$5000,4,FALSE)</f>
        <v>-8.9999999999999993E-3</v>
      </c>
      <c r="AH275">
        <f>VLOOKUP($B275&amp;AH$1,Data!$A$2:$D$5000,4,FALSE)</f>
        <v>0</v>
      </c>
      <c r="AI275">
        <f>VLOOKUP($B275&amp;AI$1,Data!$A$2:$D$5000,4,FALSE)</f>
        <v>12000000</v>
      </c>
    </row>
    <row r="276" spans="2:35" hidden="1">
      <c r="B276" s="13">
        <v>275</v>
      </c>
      <c r="C276" s="13" t="s">
        <v>55</v>
      </c>
      <c r="D276" t="s">
        <v>7</v>
      </c>
      <c r="E276" t="s">
        <v>2</v>
      </c>
      <c r="F276">
        <v>100</v>
      </c>
      <c r="G276" t="s">
        <v>17</v>
      </c>
      <c r="H276" s="5">
        <v>43831</v>
      </c>
      <c r="I276" s="5">
        <v>44562</v>
      </c>
      <c r="J276">
        <v>14</v>
      </c>
      <c r="K276">
        <v>9</v>
      </c>
      <c r="L276">
        <v>30</v>
      </c>
      <c r="M276">
        <v>70</v>
      </c>
      <c r="N276">
        <v>10000</v>
      </c>
      <c r="O276">
        <f>VLOOKUP($B276&amp;O$1,Data!$A$2:$D$5000,4,FALSE)</f>
        <v>0.18522</v>
      </c>
      <c r="P276">
        <f>VLOOKUP($B276&amp;P$1,Data!$A$2:$D$5000,4,FALSE)</f>
        <v>7.8E-2</v>
      </c>
      <c r="Q276">
        <f>VLOOKUP($B276&amp;Q$1,Data!$A$2:$D$5000,4,FALSE)</f>
        <v>494</v>
      </c>
      <c r="R276">
        <f>VLOOKUP($B276&amp;R$1,Data!$A$2:$D$5000,4,FALSE)</f>
        <v>0.15440000000000001</v>
      </c>
      <c r="S276">
        <f>VLOOKUP($B276&amp;S$1,Data!$A$2:$D$5000,4,FALSE)</f>
        <v>-8.0600000000000005E-2</v>
      </c>
      <c r="T276">
        <f>VLOOKUP($B276&amp;T$1,Data!$A$2:$D$5000,4,FALSE)</f>
        <v>-0.49641999999999997</v>
      </c>
      <c r="U276">
        <f>VLOOKUP($B276&amp;U$1,Data!$A$2:$D$5000,4,FALSE)</f>
        <v>0.61899999999999999</v>
      </c>
      <c r="V276">
        <f>VLOOKUP($B276&amp;V$1,Data!$A$2:$D$5000,4,FALSE)</f>
        <v>-7.1999999999999995E-2</v>
      </c>
      <c r="W276">
        <f>VLOOKUP($B276&amp;W$1,Data!$A$2:$D$5000,4,FALSE)</f>
        <v>-0.35941000000000001</v>
      </c>
      <c r="X276">
        <f>VLOOKUP($B276&amp;X$1,Data!$A$2:$D$5000,4,FALSE)</f>
        <v>0.68</v>
      </c>
      <c r="Y276">
        <f>VLOOKUP($B276&amp;Y$1,Data!$A$2:$D$5000,4,FALSE)</f>
        <v>0.32</v>
      </c>
      <c r="Z276">
        <f>VLOOKUP($B276&amp;Z$1,Data!$A$2:$D$5000,4,FALSE)</f>
        <v>1.92</v>
      </c>
      <c r="AA276">
        <f>VLOOKUP($B276&amp;AA$1,Data!$A$2:$D$5000,4,FALSE)</f>
        <v>-0.36</v>
      </c>
      <c r="AB276">
        <f>VLOOKUP($B276&amp;AB$1,Data!$A$2:$D$5000,4,FALSE)</f>
        <v>7.7720000000000002</v>
      </c>
      <c r="AC276">
        <f>VLOOKUP($B276&amp;AC$1,Data!$A$2:$D$5000,4,FALSE)</f>
        <v>1.073</v>
      </c>
      <c r="AD276">
        <f>VLOOKUP($B276&amp;AD$1,Data!$A$2:$D$5000,4,FALSE)</f>
        <v>1.1499999999999999</v>
      </c>
      <c r="AE276">
        <f>VLOOKUP($B276&amp;AE$1,Data!$A$2:$D$5000,4,FALSE)</f>
        <v>2.5999999999999999E-2</v>
      </c>
      <c r="AF276">
        <f>VLOOKUP($B276&amp;AF$1,Data!$A$2:$D$5000,4,FALSE)</f>
        <v>1.042</v>
      </c>
      <c r="AG276">
        <f>VLOOKUP($B276&amp;AG$1,Data!$A$2:$D$5000,4,FALSE)</f>
        <v>1.0999999999999999E-2</v>
      </c>
      <c r="AH276">
        <f>VLOOKUP($B276&amp;AH$1,Data!$A$2:$D$5000,4,FALSE)</f>
        <v>0</v>
      </c>
      <c r="AI276">
        <f>VLOOKUP($B276&amp;AI$1,Data!$A$2:$D$5000,4,FALSE)</f>
        <v>2600000</v>
      </c>
    </row>
    <row r="277" spans="2:35" hidden="1">
      <c r="B277" s="13">
        <v>276</v>
      </c>
      <c r="C277" s="13" t="s">
        <v>55</v>
      </c>
      <c r="D277" t="s">
        <v>7</v>
      </c>
      <c r="E277" t="s">
        <v>2</v>
      </c>
      <c r="F277">
        <v>200</v>
      </c>
      <c r="G277" t="s">
        <v>17</v>
      </c>
      <c r="H277" s="5">
        <v>43831</v>
      </c>
      <c r="I277" s="5">
        <v>44562</v>
      </c>
      <c r="J277">
        <v>14</v>
      </c>
      <c r="K277">
        <v>9</v>
      </c>
      <c r="L277">
        <v>30</v>
      </c>
      <c r="M277">
        <v>70</v>
      </c>
      <c r="N277">
        <v>10000</v>
      </c>
      <c r="O277">
        <f>VLOOKUP($B277&amp;O$1,Data!$A$2:$D$5000,4,FALSE)</f>
        <v>0.31472</v>
      </c>
      <c r="P277">
        <f>VLOOKUP($B277&amp;P$1,Data!$A$2:$D$5000,4,FALSE)</f>
        <v>0.73799999999999999</v>
      </c>
      <c r="Q277">
        <f>VLOOKUP($B277&amp;Q$1,Data!$A$2:$D$5000,4,FALSE)</f>
        <v>454</v>
      </c>
      <c r="R277">
        <f>VLOOKUP($B277&amp;R$1,Data!$A$2:$D$5000,4,FALSE)</f>
        <v>0.17330000000000001</v>
      </c>
      <c r="S277">
        <f>VLOOKUP($B277&amp;S$1,Data!$A$2:$D$5000,4,FALSE)</f>
        <v>-5.2900000000000003E-2</v>
      </c>
      <c r="T277">
        <f>VLOOKUP($B277&amp;T$1,Data!$A$2:$D$5000,4,FALSE)</f>
        <v>-0.35003000000000001</v>
      </c>
      <c r="U277">
        <f>VLOOKUP($B277&amp;U$1,Data!$A$2:$D$5000,4,FALSE)</f>
        <v>0.80500000000000005</v>
      </c>
      <c r="V277">
        <f>VLOOKUP($B277&amp;V$1,Data!$A$2:$D$5000,4,FALSE)</f>
        <v>0.125</v>
      </c>
      <c r="W277">
        <f>VLOOKUP($B277&amp;W$1,Data!$A$2:$D$5000,4,FALSE)</f>
        <v>-0.24399000000000001</v>
      </c>
      <c r="X277">
        <f>VLOOKUP($B277&amp;X$1,Data!$A$2:$D$5000,4,FALSE)</f>
        <v>0.74</v>
      </c>
      <c r="Y277">
        <f>VLOOKUP($B277&amp;Y$1,Data!$A$2:$D$5000,4,FALSE)</f>
        <v>0.26</v>
      </c>
      <c r="Z277">
        <f>VLOOKUP($B277&amp;Z$1,Data!$A$2:$D$5000,4,FALSE)</f>
        <v>3.27</v>
      </c>
      <c r="AA277">
        <f>VLOOKUP($B277&amp;AA$1,Data!$A$2:$D$5000,4,FALSE)</f>
        <v>0.441</v>
      </c>
      <c r="AB277">
        <f>VLOOKUP($B277&amp;AB$1,Data!$A$2:$D$5000,4,FALSE)</f>
        <v>11.054</v>
      </c>
      <c r="AC277">
        <f>VLOOKUP($B277&amp;AC$1,Data!$A$2:$D$5000,4,FALSE)</f>
        <v>1.4339999999999999</v>
      </c>
      <c r="AD277">
        <f>VLOOKUP($B277&amp;AD$1,Data!$A$2:$D$5000,4,FALSE)</f>
        <v>2.056</v>
      </c>
      <c r="AE277">
        <f>VLOOKUP($B277&amp;AE$1,Data!$A$2:$D$5000,4,FALSE)</f>
        <v>0.71599999999999997</v>
      </c>
      <c r="AF277">
        <f>VLOOKUP($B277&amp;AF$1,Data!$A$2:$D$5000,4,FALSE)</f>
        <v>1.401</v>
      </c>
      <c r="AG277">
        <f>VLOOKUP($B277&amp;AG$1,Data!$A$2:$D$5000,4,FALSE)</f>
        <v>9.6000000000000002E-2</v>
      </c>
      <c r="AH277">
        <f>VLOOKUP($B277&amp;AH$1,Data!$A$2:$D$5000,4,FALSE)</f>
        <v>0</v>
      </c>
      <c r="AI277">
        <f>VLOOKUP($B277&amp;AI$1,Data!$A$2:$D$5000,4,FALSE)</f>
        <v>2500000</v>
      </c>
    </row>
    <row r="278" spans="2:35" hidden="1">
      <c r="B278" s="13">
        <v>277</v>
      </c>
      <c r="C278" s="13" t="s">
        <v>55</v>
      </c>
      <c r="D278" t="s">
        <v>7</v>
      </c>
      <c r="E278" t="s">
        <v>22</v>
      </c>
      <c r="F278">
        <v>10</v>
      </c>
      <c r="G278" t="s">
        <v>17</v>
      </c>
      <c r="H278" s="5">
        <v>43831</v>
      </c>
      <c r="I278" s="5">
        <v>44562</v>
      </c>
      <c r="J278">
        <v>14</v>
      </c>
      <c r="K278">
        <v>9</v>
      </c>
      <c r="L278">
        <v>30</v>
      </c>
      <c r="M278">
        <v>70</v>
      </c>
      <c r="N278">
        <v>10000</v>
      </c>
      <c r="O278">
        <f>VLOOKUP($B278&amp;O$1,Data!$A$2:$D$5000,4,FALSE)</f>
        <v>0.14471000000000001</v>
      </c>
      <c r="P278">
        <f>VLOOKUP($B278&amp;P$1,Data!$A$2:$D$5000,4,FALSE)</f>
        <v>-9.9000000000000005E-2</v>
      </c>
      <c r="Q278">
        <f>VLOOKUP($B278&amp;Q$1,Data!$A$2:$D$5000,4,FALSE)</f>
        <v>372</v>
      </c>
      <c r="R278">
        <f>VLOOKUP($B278&amp;R$1,Data!$A$2:$D$5000,4,FALSE)</f>
        <v>2.8299999999999999E-2</v>
      </c>
      <c r="S278">
        <f>VLOOKUP($B278&amp;S$1,Data!$A$2:$D$5000,4,FALSE)</f>
        <v>-2.2499999999999999E-2</v>
      </c>
      <c r="T278">
        <f>VLOOKUP($B278&amp;T$1,Data!$A$2:$D$5000,4,FALSE)</f>
        <v>-3.4250000000000003E-2</v>
      </c>
      <c r="U278">
        <f>VLOOKUP($B278&amp;U$1,Data!$A$2:$D$5000,4,FALSE)</f>
        <v>0.16300000000000001</v>
      </c>
      <c r="V278">
        <f>VLOOKUP($B278&amp;V$1,Data!$A$2:$D$5000,4,FALSE)</f>
        <v>-0.06</v>
      </c>
      <c r="W278">
        <f>VLOOKUP($B278&amp;W$1,Data!$A$2:$D$5000,4,FALSE)</f>
        <v>-2.2370000000000001E-2</v>
      </c>
      <c r="X278">
        <f>VLOOKUP($B278&amp;X$1,Data!$A$2:$D$5000,4,FALSE)</f>
        <v>0.57999999999999996</v>
      </c>
      <c r="Y278">
        <f>VLOOKUP($B278&amp;Y$1,Data!$A$2:$D$5000,4,FALSE)</f>
        <v>0.42</v>
      </c>
      <c r="Z278">
        <f>VLOOKUP($B278&amp;Z$1,Data!$A$2:$D$5000,4,FALSE)</f>
        <v>1.26</v>
      </c>
      <c r="AA278">
        <f>VLOOKUP($B278&amp;AA$1,Data!$A$2:$D$5000,4,FALSE)</f>
        <v>-5.3999999999999999E-2</v>
      </c>
      <c r="AB278">
        <f>VLOOKUP($B278&amp;AB$1,Data!$A$2:$D$5000,4,FALSE)</f>
        <v>0.71</v>
      </c>
      <c r="AC278">
        <f>VLOOKUP($B278&amp;AC$1,Data!$A$2:$D$5000,4,FALSE)</f>
        <v>0.14199999999999999</v>
      </c>
      <c r="AD278">
        <f>VLOOKUP($B278&amp;AD$1,Data!$A$2:$D$5000,4,FALSE)</f>
        <v>0.02</v>
      </c>
      <c r="AE278">
        <f>VLOOKUP($B278&amp;AE$1,Data!$A$2:$D$5000,4,FALSE)</f>
        <v>-0.51800000000000002</v>
      </c>
      <c r="AF278">
        <f>VLOOKUP($B278&amp;AF$1,Data!$A$2:$D$5000,4,FALSE)</f>
        <v>0.13500000000000001</v>
      </c>
      <c r="AG278">
        <f>VLOOKUP($B278&amp;AG$1,Data!$A$2:$D$5000,4,FALSE)</f>
        <v>-0.02</v>
      </c>
      <c r="AH278">
        <f>VLOOKUP($B278&amp;AH$1,Data!$A$2:$D$5000,4,FALSE)</f>
        <v>0</v>
      </c>
      <c r="AI278">
        <f>VLOOKUP($B278&amp;AI$1,Data!$A$2:$D$5000,4,FALSE)</f>
        <v>51000000</v>
      </c>
    </row>
    <row r="279" spans="2:35" hidden="1">
      <c r="B279" s="13">
        <v>278</v>
      </c>
      <c r="C279" s="13" t="s">
        <v>55</v>
      </c>
      <c r="D279" t="s">
        <v>7</v>
      </c>
      <c r="E279" t="s">
        <v>22</v>
      </c>
      <c r="F279">
        <v>100</v>
      </c>
      <c r="G279" t="s">
        <v>17</v>
      </c>
      <c r="H279" s="5">
        <v>43831</v>
      </c>
      <c r="I279" s="5">
        <v>44562</v>
      </c>
      <c r="J279">
        <v>14</v>
      </c>
      <c r="K279">
        <v>9</v>
      </c>
      <c r="L279">
        <v>30</v>
      </c>
      <c r="M279">
        <v>70</v>
      </c>
      <c r="N279">
        <v>10000</v>
      </c>
      <c r="O279">
        <f>VLOOKUP($B279&amp;O$1,Data!$A$2:$D$5000,4,FALSE)</f>
        <v>0.14069999999999999</v>
      </c>
      <c r="P279">
        <f>VLOOKUP($B279&amp;P$1,Data!$A$2:$D$5000,4,FALSE)</f>
        <v>-0.107</v>
      </c>
      <c r="Q279">
        <f>VLOOKUP($B279&amp;Q$1,Data!$A$2:$D$5000,4,FALSE)</f>
        <v>325</v>
      </c>
      <c r="R279">
        <f>VLOOKUP($B279&amp;R$1,Data!$A$2:$D$5000,4,FALSE)</f>
        <v>0.1857</v>
      </c>
      <c r="S279">
        <f>VLOOKUP($B279&amp;S$1,Data!$A$2:$D$5000,4,FALSE)</f>
        <v>-0.10050000000000001</v>
      </c>
      <c r="T279">
        <f>VLOOKUP($B279&amp;T$1,Data!$A$2:$D$5000,4,FALSE)</f>
        <v>-0.62599000000000005</v>
      </c>
      <c r="U279">
        <f>VLOOKUP($B279&amp;U$1,Data!$A$2:$D$5000,4,FALSE)</f>
        <v>0.77500000000000002</v>
      </c>
      <c r="V279">
        <f>VLOOKUP($B279&amp;V$1,Data!$A$2:$D$5000,4,FALSE)</f>
        <v>-0.14599999999999999</v>
      </c>
      <c r="W279">
        <f>VLOOKUP($B279&amp;W$1,Data!$A$2:$D$5000,4,FALSE)</f>
        <v>-0.47189999999999999</v>
      </c>
      <c r="X279">
        <f>VLOOKUP($B279&amp;X$1,Data!$A$2:$D$5000,4,FALSE)</f>
        <v>0.7</v>
      </c>
      <c r="Y279">
        <f>VLOOKUP($B279&amp;Y$1,Data!$A$2:$D$5000,4,FALSE)</f>
        <v>0.3</v>
      </c>
      <c r="Z279">
        <f>VLOOKUP($B279&amp;Z$1,Data!$A$2:$D$5000,4,FALSE)</f>
        <v>1.85</v>
      </c>
      <c r="AA279">
        <f>VLOOKUP($B279&amp;AA$1,Data!$A$2:$D$5000,4,FALSE)</f>
        <v>-0.45100000000000001</v>
      </c>
      <c r="AB279">
        <f>VLOOKUP($B279&amp;AB$1,Data!$A$2:$D$5000,4,FALSE)</f>
        <v>6.09</v>
      </c>
      <c r="AC279">
        <f>VLOOKUP($B279&amp;AC$1,Data!$A$2:$D$5000,4,FALSE)</f>
        <v>1.036</v>
      </c>
      <c r="AD279">
        <f>VLOOKUP($B279&amp;AD$1,Data!$A$2:$D$5000,4,FALSE)</f>
        <v>1.073</v>
      </c>
      <c r="AE279">
        <f>VLOOKUP($B279&amp;AE$1,Data!$A$2:$D$5000,4,FALSE)</f>
        <v>-0.16500000000000001</v>
      </c>
      <c r="AF279">
        <f>VLOOKUP($B279&amp;AF$1,Data!$A$2:$D$5000,4,FALSE)</f>
        <v>1.0109999999999999</v>
      </c>
      <c r="AG279">
        <f>VLOOKUP($B279&amp;AG$1,Data!$A$2:$D$5000,4,FALSE)</f>
        <v>-1.7999999999999999E-2</v>
      </c>
      <c r="AH279">
        <f>VLOOKUP($B279&amp;AH$1,Data!$A$2:$D$5000,4,FALSE)</f>
        <v>0</v>
      </c>
      <c r="AI279">
        <f>VLOOKUP($B279&amp;AI$1,Data!$A$2:$D$5000,4,FALSE)</f>
        <v>3800000</v>
      </c>
    </row>
    <row r="280" spans="2:35" hidden="1">
      <c r="B280" s="13">
        <v>279</v>
      </c>
      <c r="C280" s="13" t="s">
        <v>55</v>
      </c>
      <c r="D280" t="s">
        <v>7</v>
      </c>
      <c r="E280" t="s">
        <v>22</v>
      </c>
      <c r="F280">
        <v>200</v>
      </c>
      <c r="G280" t="s">
        <v>17</v>
      </c>
      <c r="H280" s="5">
        <v>43831</v>
      </c>
      <c r="I280" s="5">
        <v>44562</v>
      </c>
      <c r="J280">
        <v>14</v>
      </c>
      <c r="K280">
        <v>9</v>
      </c>
      <c r="L280">
        <v>30</v>
      </c>
      <c r="M280">
        <v>70</v>
      </c>
      <c r="N280">
        <v>10000</v>
      </c>
      <c r="O280">
        <f>VLOOKUP($B280&amp;O$1,Data!$A$2:$D$5000,4,FALSE)</f>
        <v>0.28127000000000002</v>
      </c>
      <c r="P280">
        <f>VLOOKUP($B280&amp;P$1,Data!$A$2:$D$5000,4,FALSE)</f>
        <v>0.52800000000000002</v>
      </c>
      <c r="Q280">
        <f>VLOOKUP($B280&amp;Q$1,Data!$A$2:$D$5000,4,FALSE)</f>
        <v>308</v>
      </c>
      <c r="R280">
        <f>VLOOKUP($B280&amp;R$1,Data!$A$2:$D$5000,4,FALSE)</f>
        <v>0.20680000000000001</v>
      </c>
      <c r="S280">
        <f>VLOOKUP($B280&amp;S$1,Data!$A$2:$D$5000,4,FALSE)</f>
        <v>-6.4899999999999999E-2</v>
      </c>
      <c r="T280">
        <f>VLOOKUP($B280&amp;T$1,Data!$A$2:$D$5000,4,FALSE)</f>
        <v>-0.41581000000000001</v>
      </c>
      <c r="U280">
        <f>VLOOKUP($B280&amp;U$1,Data!$A$2:$D$5000,4,FALSE)</f>
        <v>0.80500000000000005</v>
      </c>
      <c r="V280">
        <f>VLOOKUP($B280&amp;V$1,Data!$A$2:$D$5000,4,FALSE)</f>
        <v>0.08</v>
      </c>
      <c r="W280">
        <f>VLOOKUP($B280&amp;W$1,Data!$A$2:$D$5000,4,FALSE)</f>
        <v>-0.29458000000000001</v>
      </c>
      <c r="X280">
        <f>VLOOKUP($B280&amp;X$1,Data!$A$2:$D$5000,4,FALSE)</f>
        <v>0.74</v>
      </c>
      <c r="Y280">
        <f>VLOOKUP($B280&amp;Y$1,Data!$A$2:$D$5000,4,FALSE)</f>
        <v>0.26</v>
      </c>
      <c r="Z280">
        <f>VLOOKUP($B280&amp;Z$1,Data!$A$2:$D$5000,4,FALSE)</f>
        <v>3.19</v>
      </c>
      <c r="AA280">
        <f>VLOOKUP($B280&amp;AA$1,Data!$A$2:$D$5000,4,FALSE)</f>
        <v>0.222</v>
      </c>
      <c r="AB280">
        <f>VLOOKUP($B280&amp;AB$1,Data!$A$2:$D$5000,4,FALSE)</f>
        <v>8.5630000000000006</v>
      </c>
      <c r="AC280">
        <f>VLOOKUP($B280&amp;AC$1,Data!$A$2:$D$5000,4,FALSE)</f>
        <v>1.3260000000000001</v>
      </c>
      <c r="AD280">
        <f>VLOOKUP($B280&amp;AD$1,Data!$A$2:$D$5000,4,FALSE)</f>
        <v>1.7569999999999999</v>
      </c>
      <c r="AE280">
        <f>VLOOKUP($B280&amp;AE$1,Data!$A$2:$D$5000,4,FALSE)</f>
        <v>0.497</v>
      </c>
      <c r="AF280">
        <f>VLOOKUP($B280&amp;AF$1,Data!$A$2:$D$5000,4,FALSE)</f>
        <v>1.298</v>
      </c>
      <c r="AG280">
        <f>VLOOKUP($B280&amp;AG$1,Data!$A$2:$D$5000,4,FALSE)</f>
        <v>8.2000000000000003E-2</v>
      </c>
      <c r="AH280">
        <f>VLOOKUP($B280&amp;AH$1,Data!$A$2:$D$5000,4,FALSE)</f>
        <v>0</v>
      </c>
      <c r="AI280">
        <f>VLOOKUP($B280&amp;AI$1,Data!$A$2:$D$5000,4,FALSE)</f>
        <v>2500000</v>
      </c>
    </row>
    <row r="281" spans="2:35" hidden="1">
      <c r="B281">
        <v>280</v>
      </c>
      <c r="C281" s="13" t="s">
        <v>55</v>
      </c>
      <c r="D281" t="s">
        <v>7</v>
      </c>
      <c r="E281" t="s">
        <v>3</v>
      </c>
      <c r="F281">
        <v>10</v>
      </c>
      <c r="G281" t="s">
        <v>17</v>
      </c>
      <c r="H281" s="5">
        <v>43831</v>
      </c>
      <c r="I281" s="5">
        <v>44562</v>
      </c>
      <c r="J281">
        <v>14</v>
      </c>
      <c r="K281">
        <v>9</v>
      </c>
      <c r="L281">
        <v>32</v>
      </c>
      <c r="M281">
        <v>68</v>
      </c>
      <c r="N281">
        <v>10000</v>
      </c>
    </row>
    <row r="282" spans="2:35" hidden="1">
      <c r="B282">
        <v>281</v>
      </c>
      <c r="C282" s="13" t="s">
        <v>55</v>
      </c>
      <c r="D282" t="s">
        <v>7</v>
      </c>
      <c r="E282" t="s">
        <v>3</v>
      </c>
      <c r="F282">
        <v>100</v>
      </c>
      <c r="G282" t="s">
        <v>17</v>
      </c>
      <c r="H282" s="5">
        <v>43831</v>
      </c>
      <c r="I282" s="5">
        <v>44562</v>
      </c>
      <c r="J282">
        <v>14</v>
      </c>
      <c r="K282">
        <v>9</v>
      </c>
      <c r="L282">
        <v>32</v>
      </c>
      <c r="M282">
        <v>68</v>
      </c>
      <c r="N282">
        <v>10000</v>
      </c>
    </row>
    <row r="283" spans="2:35" hidden="1">
      <c r="B283">
        <v>282</v>
      </c>
      <c r="C283" s="13" t="s">
        <v>55</v>
      </c>
      <c r="D283" t="s">
        <v>7</v>
      </c>
      <c r="E283" t="s">
        <v>3</v>
      </c>
      <c r="F283">
        <v>200</v>
      </c>
      <c r="G283" t="s">
        <v>17</v>
      </c>
      <c r="H283" s="5">
        <v>43831</v>
      </c>
      <c r="I283" s="5">
        <v>44562</v>
      </c>
      <c r="J283">
        <v>14</v>
      </c>
      <c r="K283">
        <v>9</v>
      </c>
      <c r="L283">
        <v>32</v>
      </c>
      <c r="M283">
        <v>68</v>
      </c>
      <c r="N283">
        <v>10000</v>
      </c>
    </row>
    <row r="284" spans="2:35" hidden="1">
      <c r="B284">
        <v>283</v>
      </c>
      <c r="C284" s="13" t="s">
        <v>55</v>
      </c>
      <c r="D284" t="s">
        <v>7</v>
      </c>
      <c r="E284" t="s">
        <v>2</v>
      </c>
      <c r="F284">
        <v>10</v>
      </c>
      <c r="G284" t="s">
        <v>17</v>
      </c>
      <c r="H284" s="5">
        <v>43831</v>
      </c>
      <c r="I284" s="5">
        <v>44562</v>
      </c>
      <c r="J284">
        <v>14</v>
      </c>
      <c r="K284">
        <v>9</v>
      </c>
      <c r="L284">
        <v>32</v>
      </c>
      <c r="M284">
        <v>68</v>
      </c>
      <c r="N284">
        <v>10000</v>
      </c>
    </row>
    <row r="285" spans="2:35" hidden="1">
      <c r="B285">
        <v>284</v>
      </c>
      <c r="C285" s="13" t="s">
        <v>55</v>
      </c>
      <c r="D285" t="s">
        <v>7</v>
      </c>
      <c r="E285" t="s">
        <v>2</v>
      </c>
      <c r="F285">
        <v>100</v>
      </c>
      <c r="G285" t="s">
        <v>17</v>
      </c>
      <c r="H285" s="5">
        <v>43831</v>
      </c>
      <c r="I285" s="5">
        <v>44562</v>
      </c>
      <c r="J285">
        <v>14</v>
      </c>
      <c r="K285">
        <v>9</v>
      </c>
      <c r="L285">
        <v>32</v>
      </c>
      <c r="M285">
        <v>68</v>
      </c>
      <c r="N285">
        <v>10000</v>
      </c>
    </row>
    <row r="286" spans="2:35" hidden="1">
      <c r="B286">
        <v>285</v>
      </c>
      <c r="C286" s="13" t="s">
        <v>55</v>
      </c>
      <c r="D286" t="s">
        <v>7</v>
      </c>
      <c r="E286" t="s">
        <v>2</v>
      </c>
      <c r="F286">
        <v>200</v>
      </c>
      <c r="G286" t="s">
        <v>17</v>
      </c>
      <c r="H286" s="5">
        <v>43831</v>
      </c>
      <c r="I286" s="5">
        <v>44562</v>
      </c>
      <c r="J286">
        <v>14</v>
      </c>
      <c r="K286">
        <v>9</v>
      </c>
      <c r="L286">
        <v>32</v>
      </c>
      <c r="M286">
        <v>68</v>
      </c>
      <c r="N286">
        <v>10000</v>
      </c>
    </row>
    <row r="287" spans="2:35" hidden="1">
      <c r="B287">
        <v>286</v>
      </c>
      <c r="C287" s="13" t="s">
        <v>55</v>
      </c>
      <c r="D287" t="s">
        <v>7</v>
      </c>
      <c r="E287" t="s">
        <v>22</v>
      </c>
      <c r="F287">
        <v>10</v>
      </c>
      <c r="G287" t="s">
        <v>17</v>
      </c>
      <c r="H287" s="5">
        <v>43831</v>
      </c>
      <c r="I287" s="5">
        <v>44562</v>
      </c>
      <c r="J287">
        <v>14</v>
      </c>
      <c r="K287">
        <v>9</v>
      </c>
      <c r="L287">
        <v>32</v>
      </c>
      <c r="M287">
        <v>68</v>
      </c>
      <c r="N287">
        <v>10000</v>
      </c>
    </row>
    <row r="288" spans="2:35" hidden="1">
      <c r="B288">
        <v>287</v>
      </c>
      <c r="C288" s="13" t="s">
        <v>55</v>
      </c>
      <c r="D288" t="s">
        <v>7</v>
      </c>
      <c r="E288" t="s">
        <v>22</v>
      </c>
      <c r="F288">
        <v>100</v>
      </c>
      <c r="G288" t="s">
        <v>17</v>
      </c>
      <c r="H288" s="5">
        <v>43831</v>
      </c>
      <c r="I288" s="5">
        <v>44562</v>
      </c>
      <c r="J288">
        <v>14</v>
      </c>
      <c r="K288">
        <v>9</v>
      </c>
      <c r="L288">
        <v>32</v>
      </c>
      <c r="M288">
        <v>68</v>
      </c>
      <c r="N288">
        <v>10000</v>
      </c>
    </row>
    <row r="289" spans="2:35" hidden="1">
      <c r="B289">
        <v>288</v>
      </c>
      <c r="C289" s="13" t="s">
        <v>55</v>
      </c>
      <c r="D289" t="s">
        <v>7</v>
      </c>
      <c r="E289" t="s">
        <v>22</v>
      </c>
      <c r="F289">
        <v>200</v>
      </c>
      <c r="G289" t="s">
        <v>17</v>
      </c>
      <c r="H289" s="5">
        <v>43831</v>
      </c>
      <c r="I289" s="5">
        <v>44562</v>
      </c>
      <c r="J289">
        <v>14</v>
      </c>
      <c r="K289">
        <v>9</v>
      </c>
      <c r="L289">
        <v>32</v>
      </c>
      <c r="M289">
        <v>68</v>
      </c>
      <c r="N289">
        <v>10000</v>
      </c>
    </row>
    <row r="290" spans="2:35" hidden="1">
      <c r="B290">
        <v>289</v>
      </c>
      <c r="C290" s="13" t="s">
        <v>55</v>
      </c>
      <c r="D290" t="s">
        <v>7</v>
      </c>
      <c r="E290" t="s">
        <v>3</v>
      </c>
      <c r="F290">
        <v>10</v>
      </c>
      <c r="G290" t="s">
        <v>17</v>
      </c>
      <c r="H290" s="5">
        <v>43831</v>
      </c>
      <c r="I290" s="5">
        <v>44562</v>
      </c>
      <c r="J290">
        <v>14</v>
      </c>
      <c r="K290">
        <v>9</v>
      </c>
      <c r="L290">
        <v>28</v>
      </c>
      <c r="M290">
        <v>72</v>
      </c>
      <c r="N290">
        <v>10000</v>
      </c>
    </row>
    <row r="291" spans="2:35" hidden="1">
      <c r="B291">
        <v>290</v>
      </c>
      <c r="C291" s="13" t="s">
        <v>55</v>
      </c>
      <c r="D291" t="s">
        <v>7</v>
      </c>
      <c r="E291" t="s">
        <v>3</v>
      </c>
      <c r="F291">
        <v>100</v>
      </c>
      <c r="G291" t="s">
        <v>17</v>
      </c>
      <c r="H291" s="5">
        <v>43831</v>
      </c>
      <c r="I291" s="5">
        <v>44562</v>
      </c>
      <c r="J291">
        <v>14</v>
      </c>
      <c r="K291">
        <v>9</v>
      </c>
      <c r="L291">
        <v>28</v>
      </c>
      <c r="M291">
        <v>72</v>
      </c>
      <c r="N291">
        <v>10000</v>
      </c>
    </row>
    <row r="292" spans="2:35" hidden="1">
      <c r="B292">
        <v>291</v>
      </c>
      <c r="C292" s="13" t="s">
        <v>55</v>
      </c>
      <c r="D292" t="s">
        <v>7</v>
      </c>
      <c r="E292" t="s">
        <v>3</v>
      </c>
      <c r="F292">
        <v>200</v>
      </c>
      <c r="G292" t="s">
        <v>17</v>
      </c>
      <c r="H292" s="5">
        <v>43831</v>
      </c>
      <c r="I292" s="5">
        <v>44562</v>
      </c>
      <c r="J292">
        <v>14</v>
      </c>
      <c r="K292">
        <v>9</v>
      </c>
      <c r="L292">
        <v>28</v>
      </c>
      <c r="M292">
        <v>72</v>
      </c>
      <c r="N292">
        <v>10000</v>
      </c>
    </row>
    <row r="293" spans="2:35" hidden="1">
      <c r="B293">
        <v>292</v>
      </c>
      <c r="C293" s="13" t="s">
        <v>55</v>
      </c>
      <c r="D293" t="s">
        <v>7</v>
      </c>
      <c r="E293" t="s">
        <v>2</v>
      </c>
      <c r="F293">
        <v>10</v>
      </c>
      <c r="G293" t="s">
        <v>17</v>
      </c>
      <c r="H293" s="5">
        <v>43831</v>
      </c>
      <c r="I293" s="5">
        <v>44562</v>
      </c>
      <c r="J293">
        <v>14</v>
      </c>
      <c r="K293">
        <v>9</v>
      </c>
      <c r="L293">
        <v>28</v>
      </c>
      <c r="M293">
        <v>72</v>
      </c>
      <c r="N293">
        <v>10000</v>
      </c>
    </row>
    <row r="294" spans="2:35" hidden="1">
      <c r="B294">
        <v>293</v>
      </c>
      <c r="C294" s="13" t="s">
        <v>55</v>
      </c>
      <c r="D294" t="s">
        <v>7</v>
      </c>
      <c r="E294" t="s">
        <v>2</v>
      </c>
      <c r="F294">
        <v>100</v>
      </c>
      <c r="G294" t="s">
        <v>17</v>
      </c>
      <c r="H294" s="5">
        <v>43831</v>
      </c>
      <c r="I294" s="5">
        <v>44562</v>
      </c>
      <c r="J294">
        <v>14</v>
      </c>
      <c r="K294">
        <v>9</v>
      </c>
      <c r="L294">
        <v>28</v>
      </c>
      <c r="M294">
        <v>72</v>
      </c>
      <c r="N294">
        <v>10000</v>
      </c>
    </row>
    <row r="295" spans="2:35" hidden="1">
      <c r="B295">
        <v>294</v>
      </c>
      <c r="C295" s="13" t="s">
        <v>55</v>
      </c>
      <c r="D295" t="s">
        <v>7</v>
      </c>
      <c r="E295" t="s">
        <v>2</v>
      </c>
      <c r="F295">
        <v>200</v>
      </c>
      <c r="G295" t="s">
        <v>17</v>
      </c>
      <c r="H295" s="5">
        <v>43831</v>
      </c>
      <c r="I295" s="5">
        <v>44562</v>
      </c>
      <c r="J295">
        <v>14</v>
      </c>
      <c r="K295">
        <v>9</v>
      </c>
      <c r="L295">
        <v>28</v>
      </c>
      <c r="M295">
        <v>72</v>
      </c>
      <c r="N295">
        <v>10000</v>
      </c>
    </row>
    <row r="296" spans="2:35" hidden="1">
      <c r="B296">
        <v>295</v>
      </c>
      <c r="C296" s="13" t="s">
        <v>55</v>
      </c>
      <c r="D296" t="s">
        <v>7</v>
      </c>
      <c r="E296" t="s">
        <v>22</v>
      </c>
      <c r="F296">
        <v>10</v>
      </c>
      <c r="G296" t="s">
        <v>17</v>
      </c>
      <c r="H296" s="5">
        <v>43831</v>
      </c>
      <c r="I296" s="5">
        <v>44562</v>
      </c>
      <c r="J296">
        <v>14</v>
      </c>
      <c r="K296">
        <v>9</v>
      </c>
      <c r="L296">
        <v>28</v>
      </c>
      <c r="M296">
        <v>72</v>
      </c>
      <c r="N296">
        <v>10000</v>
      </c>
    </row>
    <row r="297" spans="2:35" hidden="1">
      <c r="B297">
        <v>296</v>
      </c>
      <c r="C297" s="13" t="s">
        <v>55</v>
      </c>
      <c r="D297" t="s">
        <v>7</v>
      </c>
      <c r="E297" t="s">
        <v>22</v>
      </c>
      <c r="F297">
        <v>100</v>
      </c>
      <c r="G297" t="s">
        <v>17</v>
      </c>
      <c r="H297" s="5">
        <v>43831</v>
      </c>
      <c r="I297" s="5">
        <v>44562</v>
      </c>
      <c r="J297">
        <v>14</v>
      </c>
      <c r="K297">
        <v>9</v>
      </c>
      <c r="L297">
        <v>28</v>
      </c>
      <c r="M297">
        <v>72</v>
      </c>
      <c r="N297">
        <v>10000</v>
      </c>
    </row>
    <row r="298" spans="2:35" hidden="1">
      <c r="B298">
        <v>297</v>
      </c>
      <c r="C298" s="13" t="s">
        <v>55</v>
      </c>
      <c r="D298" t="s">
        <v>7</v>
      </c>
      <c r="E298" t="s">
        <v>22</v>
      </c>
      <c r="F298">
        <v>200</v>
      </c>
      <c r="G298" t="s">
        <v>17</v>
      </c>
      <c r="H298" s="5">
        <v>43831</v>
      </c>
      <c r="I298" s="5">
        <v>44562</v>
      </c>
      <c r="J298">
        <v>14</v>
      </c>
      <c r="K298">
        <v>9</v>
      </c>
      <c r="L298">
        <v>28</v>
      </c>
      <c r="M298">
        <v>72</v>
      </c>
      <c r="N298">
        <v>10000</v>
      </c>
    </row>
    <row r="299" spans="2:35" hidden="1">
      <c r="B299" s="13">
        <v>298</v>
      </c>
      <c r="C299" s="13" t="s">
        <v>55</v>
      </c>
      <c r="D299" t="s">
        <v>19</v>
      </c>
      <c r="E299" t="s">
        <v>3</v>
      </c>
      <c r="F299">
        <v>10</v>
      </c>
      <c r="G299" t="s">
        <v>17</v>
      </c>
      <c r="H299" s="5">
        <v>43831</v>
      </c>
      <c r="I299" s="5">
        <v>44562</v>
      </c>
      <c r="J299">
        <v>14</v>
      </c>
      <c r="K299">
        <v>9</v>
      </c>
      <c r="L299">
        <v>30</v>
      </c>
      <c r="M299">
        <v>70</v>
      </c>
      <c r="N299">
        <v>10000</v>
      </c>
      <c r="O299">
        <f>VLOOKUP($B299&amp;O$1,Data!$A$2:$D$5000,4,FALSE)</f>
        <v>1.4999999999999999E-4</v>
      </c>
      <c r="P299">
        <v>-6</v>
      </c>
      <c r="Q299">
        <f>VLOOKUP($B299&amp;Q$1,Data!$A$2:$D$5000,4,FALSE)</f>
        <v>607</v>
      </c>
      <c r="R299">
        <f>VLOOKUP($B299&amp;R$1,Data!$A$2:$D$5000,4,FALSE)</f>
        <v>1.6999999999999999E-3</v>
      </c>
      <c r="S299">
        <f>VLOOKUP($B299&amp;S$1,Data!$A$2:$D$5000,4,FALSE)</f>
        <v>-1.12E-2</v>
      </c>
      <c r="T299">
        <f>VLOOKUP($B299&amp;T$1,Data!$A$2:$D$5000,4,FALSE)</f>
        <v>-0.19323000000000001</v>
      </c>
      <c r="U299">
        <f>VLOOKUP($B299&amp;U$1,Data!$A$2:$D$5000,4,FALSE)</f>
        <v>0.14399999999999999</v>
      </c>
      <c r="V299">
        <f>VLOOKUP($B299&amp;V$1,Data!$A$2:$D$5000,4,FALSE)</f>
        <v>-0.59699999999999998</v>
      </c>
      <c r="W299">
        <f>VLOOKUP($B299&amp;W$1,Data!$A$2:$D$5000,4,FALSE)</f>
        <v>-0.13012000000000001</v>
      </c>
      <c r="X299">
        <f>VLOOKUP($B299&amp;X$1,Data!$A$2:$D$5000,4,FALSE)</f>
        <v>0.65</v>
      </c>
      <c r="Y299">
        <f>VLOOKUP($B299&amp;Y$1,Data!$A$2:$D$5000,4,FALSE)</f>
        <v>0.35</v>
      </c>
      <c r="Z299">
        <f>VLOOKUP($B299&amp;Z$1,Data!$A$2:$D$5000,4,FALSE)</f>
        <v>0.15</v>
      </c>
      <c r="AA299">
        <f>VLOOKUP($B299&amp;AA$1,Data!$A$2:$D$5000,4,FALSE)</f>
        <v>-0.11899999999999999</v>
      </c>
      <c r="AB299">
        <f>VLOOKUP($B299&amp;AB$1,Data!$A$2:$D$5000,4,FALSE)</f>
        <v>-0.315</v>
      </c>
      <c r="AC299">
        <f>VLOOKUP($B299&amp;AC$1,Data!$A$2:$D$5000,4,FALSE)</f>
        <v>6.3E-2</v>
      </c>
      <c r="AD299">
        <f>VLOOKUP($B299&amp;AD$1,Data!$A$2:$D$5000,4,FALSE)</f>
        <v>4.0000000000000001E-3</v>
      </c>
      <c r="AE299">
        <f>VLOOKUP($B299&amp;AE$1,Data!$A$2:$D$5000,4,FALSE)</f>
        <v>-1.831</v>
      </c>
      <c r="AF299">
        <f>VLOOKUP($B299&amp;AF$1,Data!$A$2:$D$5000,4,FALSE)</f>
        <v>0.106</v>
      </c>
      <c r="AG299">
        <f>VLOOKUP($B299&amp;AG$1,Data!$A$2:$D$5000,4,FALSE)</f>
        <v>0.434</v>
      </c>
      <c r="AH299">
        <f>VLOOKUP($B299&amp;AH$1,Data!$A$2:$D$5000,4,FALSE)</f>
        <v>0</v>
      </c>
      <c r="AI299">
        <f>VLOOKUP($B299&amp;AI$1,Data!$A$2:$D$5000,4,FALSE)</f>
        <v>270000000</v>
      </c>
    </row>
    <row r="300" spans="2:35" hidden="1">
      <c r="B300" s="13">
        <v>299</v>
      </c>
      <c r="C300" s="13" t="s">
        <v>55</v>
      </c>
      <c r="D300" t="s">
        <v>19</v>
      </c>
      <c r="E300" t="s">
        <v>3</v>
      </c>
      <c r="F300">
        <v>100</v>
      </c>
      <c r="G300" t="s">
        <v>17</v>
      </c>
      <c r="H300" s="5">
        <v>43831</v>
      </c>
      <c r="I300" s="5">
        <v>44562</v>
      </c>
      <c r="J300">
        <v>14</v>
      </c>
      <c r="K300">
        <v>9</v>
      </c>
      <c r="L300">
        <v>30</v>
      </c>
      <c r="M300">
        <v>70</v>
      </c>
      <c r="N300">
        <v>10000</v>
      </c>
      <c r="O300">
        <f>VLOOKUP($B300&amp;O$1,Data!$A$2:$D$5000,4,FALSE)</f>
        <v>1.0840000000000001E-2</v>
      </c>
      <c r="P300">
        <f>VLOOKUP($B300&amp;P$1,Data!$A$2:$D$5000,4,FALSE)</f>
        <v>-0.71799999999999997</v>
      </c>
      <c r="Q300">
        <f>VLOOKUP($B300&amp;Q$1,Data!$A$2:$D$5000,4,FALSE)</f>
        <v>563</v>
      </c>
      <c r="R300">
        <f>VLOOKUP($B300&amp;R$1,Data!$A$2:$D$5000,4,FALSE)</f>
        <v>4.8599999999999997E-2</v>
      </c>
      <c r="S300">
        <f>VLOOKUP($B300&amp;S$1,Data!$A$2:$D$5000,4,FALSE)</f>
        <v>-7.2900000000000006E-2</v>
      </c>
      <c r="T300">
        <f>VLOOKUP($B300&amp;T$1,Data!$A$2:$D$5000,4,FALSE)</f>
        <v>-0.95528000000000002</v>
      </c>
      <c r="U300">
        <f>VLOOKUP($B300&amp;U$1,Data!$A$2:$D$5000,4,FALSE)</f>
        <v>0.90400000000000003</v>
      </c>
      <c r="V300">
        <f>VLOOKUP($B300&amp;V$1,Data!$A$2:$D$5000,4,FALSE)</f>
        <v>-0.69699999999999995</v>
      </c>
      <c r="W300">
        <f>VLOOKUP($B300&amp;W$1,Data!$A$2:$D$5000,4,FALSE)</f>
        <v>-0.86697999999999997</v>
      </c>
      <c r="X300">
        <f>VLOOKUP($B300&amp;X$1,Data!$A$2:$D$5000,4,FALSE)</f>
        <v>0.82</v>
      </c>
      <c r="Y300">
        <f>VLOOKUP($B300&amp;Y$1,Data!$A$2:$D$5000,4,FALSE)</f>
        <v>0.18</v>
      </c>
      <c r="Z300">
        <f>VLOOKUP($B300&amp;Z$1,Data!$A$2:$D$5000,4,FALSE)</f>
        <v>0.67</v>
      </c>
      <c r="AA300">
        <f>VLOOKUP($B300&amp;AA$1,Data!$A$2:$D$5000,4,FALSE)</f>
        <v>-0.49199999999999999</v>
      </c>
      <c r="AB300">
        <f>VLOOKUP($B300&amp;AB$1,Data!$A$2:$D$5000,4,FALSE)</f>
        <v>-5.2329999999999997</v>
      </c>
      <c r="AC300">
        <f>VLOOKUP($B300&amp;AC$1,Data!$A$2:$D$5000,4,FALSE)</f>
        <v>1.0920000000000001</v>
      </c>
      <c r="AD300">
        <f>VLOOKUP($B300&amp;AD$1,Data!$A$2:$D$5000,4,FALSE)</f>
        <v>1.194</v>
      </c>
      <c r="AE300">
        <f>VLOOKUP($B300&amp;AE$1,Data!$A$2:$D$5000,4,FALSE)</f>
        <v>-0.753</v>
      </c>
      <c r="AF300">
        <f>VLOOKUP($B300&amp;AF$1,Data!$A$2:$D$5000,4,FALSE)</f>
        <v>1.1160000000000001</v>
      </c>
      <c r="AG300">
        <f>VLOOKUP($B300&amp;AG$1,Data!$A$2:$D$5000,4,FALSE)</f>
        <v>0.15</v>
      </c>
      <c r="AH300">
        <f>VLOOKUP($B300&amp;AH$1,Data!$A$2:$D$5000,4,FALSE)</f>
        <v>0</v>
      </c>
      <c r="AI300">
        <f>VLOOKUP($B300&amp;AI$1,Data!$A$2:$D$5000,4,FALSE)</f>
        <v>4800000</v>
      </c>
    </row>
    <row r="301" spans="2:35" hidden="1">
      <c r="B301" s="13">
        <v>300</v>
      </c>
      <c r="C301" s="13" t="s">
        <v>55</v>
      </c>
      <c r="D301" t="s">
        <v>19</v>
      </c>
      <c r="E301" t="s">
        <v>3</v>
      </c>
      <c r="F301">
        <v>200</v>
      </c>
      <c r="G301" t="s">
        <v>17</v>
      </c>
      <c r="H301" s="5">
        <v>43831</v>
      </c>
      <c r="I301" s="5">
        <v>44562</v>
      </c>
      <c r="J301">
        <v>14</v>
      </c>
      <c r="K301">
        <v>9</v>
      </c>
      <c r="L301">
        <v>30</v>
      </c>
      <c r="M301">
        <v>70</v>
      </c>
      <c r="N301">
        <v>10000</v>
      </c>
      <c r="O301">
        <f>VLOOKUP($B301&amp;O$1,Data!$A$2:$D$5000,4,FALSE)</f>
        <v>1.8700000000000001E-2</v>
      </c>
      <c r="P301">
        <f>VLOOKUP($B301&amp;P$1,Data!$A$2:$D$5000,4,FALSE)</f>
        <v>-0.60499999999999998</v>
      </c>
      <c r="Q301">
        <f>VLOOKUP($B301&amp;Q$1,Data!$A$2:$D$5000,4,FALSE)</f>
        <v>516</v>
      </c>
      <c r="R301">
        <f>VLOOKUP($B301&amp;R$1,Data!$A$2:$D$5000,4,FALSE)</f>
        <v>3.7199999999999997E-2</v>
      </c>
      <c r="S301">
        <f>VLOOKUP($B301&amp;S$1,Data!$A$2:$D$5000,4,FALSE)</f>
        <v>-7.4499999999999997E-2</v>
      </c>
      <c r="T301">
        <f>VLOOKUP($B301&amp;T$1,Data!$A$2:$D$5000,4,FALSE)</f>
        <v>-0.96596000000000004</v>
      </c>
      <c r="U301">
        <f>VLOOKUP($B301&amp;U$1,Data!$A$2:$D$5000,4,FALSE)</f>
        <v>0.93700000000000006</v>
      </c>
      <c r="V301">
        <f>VLOOKUP($B301&amp;V$1,Data!$A$2:$D$5000,4,FALSE)</f>
        <v>-0.7</v>
      </c>
      <c r="W301">
        <f>VLOOKUP($B301&amp;W$1,Data!$A$2:$D$5000,4,FALSE)</f>
        <v>-0.88858999999999999</v>
      </c>
      <c r="X301">
        <f>VLOOKUP($B301&amp;X$1,Data!$A$2:$D$5000,4,FALSE)</f>
        <v>0.8</v>
      </c>
      <c r="Y301">
        <f>VLOOKUP($B301&amp;Y$1,Data!$A$2:$D$5000,4,FALSE)</f>
        <v>0.2</v>
      </c>
      <c r="Z301">
        <f>VLOOKUP($B301&amp;Z$1,Data!$A$2:$D$5000,4,FALSE)</f>
        <v>0.5</v>
      </c>
      <c r="AA301">
        <f>VLOOKUP($B301&amp;AA$1,Data!$A$2:$D$5000,4,FALSE)</f>
        <v>-0.40100000000000002</v>
      </c>
      <c r="AB301">
        <f>VLOOKUP($B301&amp;AB$1,Data!$A$2:$D$5000,4,FALSE)</f>
        <v>-6.6820000000000004</v>
      </c>
      <c r="AC301">
        <f>VLOOKUP($B301&amp;AC$1,Data!$A$2:$D$5000,4,FALSE)</f>
        <v>1.28</v>
      </c>
      <c r="AD301">
        <f>VLOOKUP($B301&amp;AD$1,Data!$A$2:$D$5000,4,FALSE)</f>
        <v>1.6379999999999999</v>
      </c>
      <c r="AE301">
        <f>VLOOKUP($B301&amp;AE$1,Data!$A$2:$D$5000,4,FALSE)</f>
        <v>-0.63600000000000001</v>
      </c>
      <c r="AF301">
        <f>VLOOKUP($B301&amp;AF$1,Data!$A$2:$D$5000,4,FALSE)</f>
        <v>1.3049999999999999</v>
      </c>
      <c r="AG301">
        <f>VLOOKUP($B301&amp;AG$1,Data!$A$2:$D$5000,4,FALSE)</f>
        <v>0.11600000000000001</v>
      </c>
      <c r="AH301">
        <f>VLOOKUP($B301&amp;AH$1,Data!$A$2:$D$5000,4,FALSE)</f>
        <v>0</v>
      </c>
      <c r="AI301">
        <f>VLOOKUP($B301&amp;AI$1,Data!$A$2:$D$5000,4,FALSE)</f>
        <v>1800000</v>
      </c>
    </row>
    <row r="302" spans="2:35" hidden="1">
      <c r="B302" s="13">
        <v>301</v>
      </c>
      <c r="C302" s="13" t="s">
        <v>55</v>
      </c>
      <c r="D302" t="s">
        <v>19</v>
      </c>
      <c r="E302" t="s">
        <v>2</v>
      </c>
      <c r="F302">
        <v>10</v>
      </c>
      <c r="G302" t="s">
        <v>17</v>
      </c>
      <c r="H302" s="5">
        <v>43831</v>
      </c>
      <c r="I302" s="5">
        <v>44562</v>
      </c>
      <c r="J302">
        <v>14</v>
      </c>
      <c r="K302">
        <v>9</v>
      </c>
      <c r="L302">
        <v>30</v>
      </c>
      <c r="M302">
        <v>70</v>
      </c>
      <c r="N302">
        <v>10000</v>
      </c>
      <c r="O302">
        <f>VLOOKUP($B302&amp;O$1,Data!$A$2:$D$5000,4,FALSE)</f>
        <v>0.60328999999999999</v>
      </c>
      <c r="P302">
        <f>VLOOKUP($B302&amp;P$1,Data!$A$2:$D$5000,4,FALSE)</f>
        <v>1.349</v>
      </c>
      <c r="Q302">
        <f>VLOOKUP($B302&amp;Q$1,Data!$A$2:$D$5000,4,FALSE)</f>
        <v>359</v>
      </c>
      <c r="R302">
        <f>VLOOKUP($B302&amp;R$1,Data!$A$2:$D$5000,4,FALSE)</f>
        <v>2.1100000000000001E-2</v>
      </c>
      <c r="S302">
        <f>VLOOKUP($B302&amp;S$1,Data!$A$2:$D$5000,4,FALSE)</f>
        <v>-5.7000000000000002E-3</v>
      </c>
      <c r="T302">
        <f>VLOOKUP($B302&amp;T$1,Data!$A$2:$D$5000,4,FALSE)</f>
        <v>0.23871999999999999</v>
      </c>
      <c r="U302">
        <f>VLOOKUP($B302&amp;U$1,Data!$A$2:$D$5000,4,FALSE)</f>
        <v>8.1000000000000003E-2</v>
      </c>
      <c r="V302">
        <f>VLOOKUP($B302&amp;V$1,Data!$A$2:$D$5000,4,FALSE)</f>
        <v>2.8580000000000001</v>
      </c>
      <c r="W302">
        <f>VLOOKUP($B302&amp;W$1,Data!$A$2:$D$5000,4,FALSE)</f>
        <v>0.14910000000000001</v>
      </c>
      <c r="X302">
        <f>VLOOKUP($B302&amp;X$1,Data!$A$2:$D$5000,4,FALSE)</f>
        <v>0.18</v>
      </c>
      <c r="Y302">
        <f>VLOOKUP($B302&amp;Y$1,Data!$A$2:$D$5000,4,FALSE)</f>
        <v>0.82</v>
      </c>
      <c r="Z302">
        <f>VLOOKUP($B302&amp;Z$1,Data!$A$2:$D$5000,4,FALSE)</f>
        <v>3.71</v>
      </c>
      <c r="AA302">
        <f>VLOOKUP($B302&amp;AA$1,Data!$A$2:$D$5000,4,FALSE)</f>
        <v>0.19600000000000001</v>
      </c>
      <c r="AB302">
        <f>VLOOKUP($B302&amp;AB$1,Data!$A$2:$D$5000,4,FALSE)</f>
        <v>-0.48699999999999999</v>
      </c>
      <c r="AC302">
        <f>VLOOKUP($B302&amp;AC$1,Data!$A$2:$D$5000,4,FALSE)</f>
        <v>0.125</v>
      </c>
      <c r="AD302">
        <f>VLOOKUP($B302&amp;AD$1,Data!$A$2:$D$5000,4,FALSE)</f>
        <v>1.6E-2</v>
      </c>
      <c r="AE302">
        <f>VLOOKUP($B302&amp;AE$1,Data!$A$2:$D$5000,4,FALSE)</f>
        <v>0.72199999999999998</v>
      </c>
      <c r="AF302">
        <f>VLOOKUP($B302&amp;AF$1,Data!$A$2:$D$5000,4,FALSE)</f>
        <v>0.157</v>
      </c>
      <c r="AG302">
        <f>VLOOKUP($B302&amp;AG$1,Data!$A$2:$D$5000,4,FALSE)</f>
        <v>-0.34699999999999998</v>
      </c>
      <c r="AH302">
        <f>VLOOKUP($B302&amp;AH$1,Data!$A$2:$D$5000,4,FALSE)</f>
        <v>0</v>
      </c>
      <c r="AI302">
        <f>VLOOKUP($B302&amp;AI$1,Data!$A$2:$D$5000,4,FALSE)</f>
        <v>3400000</v>
      </c>
    </row>
    <row r="303" spans="2:35" hidden="1">
      <c r="B303" s="13">
        <v>302</v>
      </c>
      <c r="C303" s="13" t="s">
        <v>55</v>
      </c>
      <c r="D303" t="s">
        <v>19</v>
      </c>
      <c r="E303" t="s">
        <v>2</v>
      </c>
      <c r="F303">
        <v>100</v>
      </c>
      <c r="G303" t="s">
        <v>17</v>
      </c>
      <c r="H303" s="5">
        <v>43831</v>
      </c>
      <c r="I303" s="5">
        <v>44562</v>
      </c>
      <c r="J303">
        <v>14</v>
      </c>
      <c r="K303">
        <v>9</v>
      </c>
      <c r="L303">
        <v>30</v>
      </c>
      <c r="M303">
        <v>70</v>
      </c>
      <c r="N303">
        <v>10000</v>
      </c>
      <c r="O303">
        <f>VLOOKUP($B303&amp;O$1,Data!$A$2:$D$5000,4,FALSE)</f>
        <v>0.74778</v>
      </c>
      <c r="P303">
        <f>VLOOKUP($B303&amp;P$1,Data!$A$2:$D$5000,4,FALSE)</f>
        <v>3.0630000000000002</v>
      </c>
      <c r="Q303">
        <f>VLOOKUP($B303&amp;Q$1,Data!$A$2:$D$5000,4,FALSE)</f>
        <v>356</v>
      </c>
      <c r="R303">
        <f>VLOOKUP($B303&amp;R$1,Data!$A$2:$D$5000,4,FALSE)</f>
        <v>0.1363</v>
      </c>
      <c r="S303">
        <f>VLOOKUP($B303&amp;S$1,Data!$A$2:$D$5000,4,FALSE)</f>
        <v>-2.9899999999999999E-2</v>
      </c>
      <c r="T303">
        <f>VLOOKUP($B303&amp;T$1,Data!$A$2:$D$5000,4,FALSE)</f>
        <v>2.8816700000000002</v>
      </c>
      <c r="U303">
        <f>VLOOKUP($B303&amp;U$1,Data!$A$2:$D$5000,4,FALSE)</f>
        <v>0.33300000000000002</v>
      </c>
      <c r="V303">
        <f>VLOOKUP($B303&amp;V$1,Data!$A$2:$D$5000,4,FALSE)</f>
        <v>3.1669999999999998</v>
      </c>
      <c r="W303">
        <f>VLOOKUP($B303&amp;W$1,Data!$A$2:$D$5000,4,FALSE)</f>
        <v>1.41208</v>
      </c>
      <c r="X303">
        <f>VLOOKUP($B303&amp;X$1,Data!$A$2:$D$5000,4,FALSE)</f>
        <v>0.25</v>
      </c>
      <c r="Y303">
        <f>VLOOKUP($B303&amp;Y$1,Data!$A$2:$D$5000,4,FALSE)</f>
        <v>0.75</v>
      </c>
      <c r="Z303">
        <f>VLOOKUP($B303&amp;Z$1,Data!$A$2:$D$5000,4,FALSE)</f>
        <v>4.5599999999999996</v>
      </c>
      <c r="AA303">
        <f>VLOOKUP($B303&amp;AA$1,Data!$A$2:$D$5000,4,FALSE)</f>
        <v>2.48</v>
      </c>
      <c r="AB303">
        <f>VLOOKUP($B303&amp;AB$1,Data!$A$2:$D$5000,4,FALSE)</f>
        <v>-2.8119999999999998</v>
      </c>
      <c r="AC303">
        <f>VLOOKUP($B303&amp;AC$1,Data!$A$2:$D$5000,4,FALSE)</f>
        <v>0.75800000000000001</v>
      </c>
      <c r="AD303">
        <f>VLOOKUP($B303&amp;AD$1,Data!$A$2:$D$5000,4,FALSE)</f>
        <v>0.57499999999999996</v>
      </c>
      <c r="AE303">
        <f>VLOOKUP($B303&amp;AE$1,Data!$A$2:$D$5000,4,FALSE)</f>
        <v>2.915</v>
      </c>
      <c r="AF303">
        <f>VLOOKUP($B303&amp;AF$1,Data!$A$2:$D$5000,4,FALSE)</f>
        <v>0.77800000000000002</v>
      </c>
      <c r="AG303">
        <f>VLOOKUP($B303&amp;AG$1,Data!$A$2:$D$5000,4,FALSE)</f>
        <v>-0.82599999999999996</v>
      </c>
      <c r="AH303">
        <f>VLOOKUP($B303&amp;AH$1,Data!$A$2:$D$5000,4,FALSE)</f>
        <v>0</v>
      </c>
      <c r="AI303">
        <f>VLOOKUP($B303&amp;AI$1,Data!$A$2:$D$5000,4,FALSE)</f>
        <v>820000</v>
      </c>
    </row>
    <row r="304" spans="2:35" hidden="1">
      <c r="B304" s="13">
        <v>303</v>
      </c>
      <c r="C304" s="13" t="s">
        <v>55</v>
      </c>
      <c r="D304" t="s">
        <v>19</v>
      </c>
      <c r="E304" t="s">
        <v>2</v>
      </c>
      <c r="F304">
        <v>200</v>
      </c>
      <c r="G304" t="s">
        <v>17</v>
      </c>
      <c r="H304" s="5">
        <v>43831</v>
      </c>
      <c r="I304" s="5">
        <v>44562</v>
      </c>
      <c r="J304">
        <v>14</v>
      </c>
      <c r="K304">
        <v>9</v>
      </c>
      <c r="L304">
        <v>30</v>
      </c>
      <c r="M304">
        <v>70</v>
      </c>
      <c r="N304">
        <v>10000</v>
      </c>
      <c r="O304">
        <f>VLOOKUP($B304&amp;O$1,Data!$A$2:$D$5000,4,FALSE)</f>
        <v>0.80601</v>
      </c>
      <c r="P304">
        <f>VLOOKUP($B304&amp;P$1,Data!$A$2:$D$5000,4,FALSE)</f>
        <v>4.9080000000000004</v>
      </c>
      <c r="Q304">
        <f>VLOOKUP($B304&amp;Q$1,Data!$A$2:$D$5000,4,FALSE)</f>
        <v>337</v>
      </c>
      <c r="R304">
        <f>VLOOKUP($B304&amp;R$1,Data!$A$2:$D$5000,4,FALSE)</f>
        <v>0.19209999999999999</v>
      </c>
      <c r="S304">
        <f>VLOOKUP($B304&amp;S$1,Data!$A$2:$D$5000,4,FALSE)</f>
        <v>-4.3999999999999997E-2</v>
      </c>
      <c r="T304">
        <f>VLOOKUP($B304&amp;T$1,Data!$A$2:$D$5000,4,FALSE)</f>
        <v>5.8189000000000002</v>
      </c>
      <c r="U304">
        <f>VLOOKUP($B304&amp;U$1,Data!$A$2:$D$5000,4,FALSE)</f>
        <v>0.436</v>
      </c>
      <c r="V304">
        <f>VLOOKUP($B304&amp;V$1,Data!$A$2:$D$5000,4,FALSE)</f>
        <v>3.3889999999999998</v>
      </c>
      <c r="W304">
        <f>VLOOKUP($B304&amp;W$1,Data!$A$2:$D$5000,4,FALSE)</f>
        <v>2.4773499999999999</v>
      </c>
      <c r="X304">
        <f>VLOOKUP($B304&amp;X$1,Data!$A$2:$D$5000,4,FALSE)</f>
        <v>0.18</v>
      </c>
      <c r="Y304">
        <f>VLOOKUP($B304&amp;Y$1,Data!$A$2:$D$5000,4,FALSE)</f>
        <v>0.82</v>
      </c>
      <c r="Z304">
        <f>VLOOKUP($B304&amp;Z$1,Data!$A$2:$D$5000,4,FALSE)</f>
        <v>4.3600000000000003</v>
      </c>
      <c r="AA304">
        <f>VLOOKUP($B304&amp;AA$1,Data!$A$2:$D$5000,4,FALSE)</f>
        <v>5.2949999999999999</v>
      </c>
      <c r="AB304">
        <f>VLOOKUP($B304&amp;AB$1,Data!$A$2:$D$5000,4,FALSE)</f>
        <v>-4.1369999999999996</v>
      </c>
      <c r="AC304">
        <f>VLOOKUP($B304&amp;AC$1,Data!$A$2:$D$5000,4,FALSE)</f>
        <v>1.032</v>
      </c>
      <c r="AD304">
        <f>VLOOKUP($B304&amp;AD$1,Data!$A$2:$D$5000,4,FALSE)</f>
        <v>1.0649999999999999</v>
      </c>
      <c r="AE304">
        <f>VLOOKUP($B304&amp;AE$1,Data!$A$2:$D$5000,4,FALSE)</f>
        <v>4.7619999999999996</v>
      </c>
      <c r="AF304">
        <f>VLOOKUP($B304&amp;AF$1,Data!$A$2:$D$5000,4,FALSE)</f>
        <v>1.052</v>
      </c>
      <c r="AG304">
        <f>VLOOKUP($B304&amp;AG$1,Data!$A$2:$D$5000,4,FALSE)</f>
        <v>-1.224</v>
      </c>
      <c r="AH304">
        <f>VLOOKUP($B304&amp;AH$1,Data!$A$2:$D$5000,4,FALSE)</f>
        <v>0</v>
      </c>
      <c r="AI304">
        <f>VLOOKUP($B304&amp;AI$1,Data!$A$2:$D$5000,4,FALSE)</f>
        <v>630000</v>
      </c>
    </row>
    <row r="305" spans="2:35" hidden="1">
      <c r="B305" s="13">
        <v>304</v>
      </c>
      <c r="C305" s="13" t="s">
        <v>55</v>
      </c>
      <c r="D305" t="s">
        <v>19</v>
      </c>
      <c r="E305" t="s">
        <v>22</v>
      </c>
      <c r="F305">
        <v>10</v>
      </c>
      <c r="G305" t="s">
        <v>17</v>
      </c>
      <c r="H305" s="5">
        <v>43831</v>
      </c>
      <c r="I305" s="5">
        <v>44562</v>
      </c>
      <c r="J305">
        <v>14</v>
      </c>
      <c r="K305">
        <v>9</v>
      </c>
      <c r="L305">
        <v>30</v>
      </c>
      <c r="M305">
        <v>70</v>
      </c>
      <c r="N305">
        <v>10000</v>
      </c>
      <c r="O305">
        <f>VLOOKUP($B305&amp;O$1,Data!$A$2:$D$5000,4,FALSE)</f>
        <v>0.52046999999999999</v>
      </c>
      <c r="P305">
        <f>VLOOKUP($B305&amp;P$1,Data!$A$2:$D$5000,4,FALSE)</f>
        <v>1.107</v>
      </c>
      <c r="Q305">
        <f>VLOOKUP($B305&amp;Q$1,Data!$A$2:$D$5000,4,FALSE)</f>
        <v>254</v>
      </c>
      <c r="R305">
        <f>VLOOKUP($B305&amp;R$1,Data!$A$2:$D$5000,4,FALSE)</f>
        <v>1.9699999999999999E-2</v>
      </c>
      <c r="S305">
        <f>VLOOKUP($B305&amp;S$1,Data!$A$2:$D$5000,4,FALSE)</f>
        <v>-1.2699999999999999E-2</v>
      </c>
      <c r="T305">
        <f>VLOOKUP($B305&amp;T$1,Data!$A$2:$D$5000,4,FALSE)</f>
        <v>0.15318000000000001</v>
      </c>
      <c r="U305">
        <f>VLOOKUP($B305&amp;U$1,Data!$A$2:$D$5000,4,FALSE)</f>
        <v>6.8000000000000005E-2</v>
      </c>
      <c r="V305">
        <f>VLOOKUP($B305&amp;V$1,Data!$A$2:$D$5000,4,FALSE)</f>
        <v>0.91300000000000003</v>
      </c>
      <c r="W305">
        <f>VLOOKUP($B305&amp;W$1,Data!$A$2:$D$5000,4,FALSE)</f>
        <v>9.6939999999999998E-2</v>
      </c>
      <c r="X305">
        <f>VLOOKUP($B305&amp;X$1,Data!$A$2:$D$5000,4,FALSE)</f>
        <v>0.25</v>
      </c>
      <c r="Y305">
        <f>VLOOKUP($B305&amp;Y$1,Data!$A$2:$D$5000,4,FALSE)</f>
        <v>0.75</v>
      </c>
      <c r="Z305">
        <f>VLOOKUP($B305&amp;Z$1,Data!$A$2:$D$5000,4,FALSE)</f>
        <v>1.55</v>
      </c>
      <c r="AA305">
        <f>VLOOKUP($B305&amp;AA$1,Data!$A$2:$D$5000,4,FALSE)</f>
        <v>0.127</v>
      </c>
      <c r="AB305">
        <f>VLOOKUP($B305&amp;AB$1,Data!$A$2:$D$5000,4,FALSE)</f>
        <v>-0.32700000000000001</v>
      </c>
      <c r="AC305">
        <f>VLOOKUP($B305&amp;AC$1,Data!$A$2:$D$5000,4,FALSE)</f>
        <v>9.9000000000000005E-2</v>
      </c>
      <c r="AD305">
        <f>VLOOKUP($B305&amp;AD$1,Data!$A$2:$D$5000,4,FALSE)</f>
        <v>0.01</v>
      </c>
      <c r="AE305">
        <f>VLOOKUP($B305&amp;AE$1,Data!$A$2:$D$5000,4,FALSE)</f>
        <v>0.40699999999999997</v>
      </c>
      <c r="AF305">
        <f>VLOOKUP($B305&amp;AF$1,Data!$A$2:$D$5000,4,FALSE)</f>
        <v>0.13100000000000001</v>
      </c>
      <c r="AG305">
        <f>VLOOKUP($B305&amp;AG$1,Data!$A$2:$D$5000,4,FALSE)</f>
        <v>-0.33400000000000002</v>
      </c>
      <c r="AH305">
        <f>VLOOKUP($B305&amp;AH$1,Data!$A$2:$D$5000,4,FALSE)</f>
        <v>0</v>
      </c>
      <c r="AI305">
        <f>VLOOKUP($B305&amp;AI$1,Data!$A$2:$D$5000,4,FALSE)</f>
        <v>140000000</v>
      </c>
    </row>
    <row r="306" spans="2:35" hidden="1">
      <c r="B306" s="13">
        <v>305</v>
      </c>
      <c r="C306" s="13" t="s">
        <v>55</v>
      </c>
      <c r="D306" t="s">
        <v>19</v>
      </c>
      <c r="E306" t="s">
        <v>22</v>
      </c>
      <c r="F306">
        <v>100</v>
      </c>
      <c r="G306" t="s">
        <v>17</v>
      </c>
      <c r="H306" s="5">
        <v>43831</v>
      </c>
      <c r="I306" s="5">
        <v>44562</v>
      </c>
      <c r="J306">
        <v>14</v>
      </c>
      <c r="K306">
        <v>9</v>
      </c>
      <c r="L306">
        <v>30</v>
      </c>
      <c r="M306">
        <v>70</v>
      </c>
      <c r="N306">
        <v>10000</v>
      </c>
      <c r="O306">
        <f>VLOOKUP($B306&amp;O$1,Data!$A$2:$D$5000,4,FALSE)</f>
        <v>0.58925000000000005</v>
      </c>
      <c r="P306">
        <f>VLOOKUP($B306&amp;P$1,Data!$A$2:$D$5000,4,FALSE)</f>
        <v>1.9410000000000001</v>
      </c>
      <c r="Q306">
        <f>VLOOKUP($B306&amp;Q$1,Data!$A$2:$D$5000,4,FALSE)</f>
        <v>247</v>
      </c>
      <c r="R306">
        <f>VLOOKUP($B306&amp;R$1,Data!$A$2:$D$5000,4,FALSE)</f>
        <v>0.1709</v>
      </c>
      <c r="S306">
        <f>VLOOKUP($B306&amp;S$1,Data!$A$2:$D$5000,4,FALSE)</f>
        <v>-0.12039999999999999</v>
      </c>
      <c r="T306">
        <f>VLOOKUP($B306&amp;T$1,Data!$A$2:$D$5000,4,FALSE)</f>
        <v>1.5089600000000001</v>
      </c>
      <c r="U306">
        <f>VLOOKUP($B306&amp;U$1,Data!$A$2:$D$5000,4,FALSE)</f>
        <v>0.40500000000000003</v>
      </c>
      <c r="V306">
        <f>VLOOKUP($B306&amp;V$1,Data!$A$2:$D$5000,4,FALSE)</f>
        <v>0.81499999999999995</v>
      </c>
      <c r="W306">
        <f>VLOOKUP($B306&amp;W$1,Data!$A$2:$D$5000,4,FALSE)</f>
        <v>0.81698999999999999</v>
      </c>
      <c r="X306">
        <f>VLOOKUP($B306&amp;X$1,Data!$A$2:$D$5000,4,FALSE)</f>
        <v>0.25</v>
      </c>
      <c r="Y306">
        <f>VLOOKUP($B306&amp;Y$1,Data!$A$2:$D$5000,4,FALSE)</f>
        <v>0.75</v>
      </c>
      <c r="Z306">
        <f>VLOOKUP($B306&amp;Z$1,Data!$A$2:$D$5000,4,FALSE)</f>
        <v>1.42</v>
      </c>
      <c r="AA306">
        <f>VLOOKUP($B306&amp;AA$1,Data!$A$2:$D$5000,4,FALSE)</f>
        <v>1.5820000000000001</v>
      </c>
      <c r="AB306">
        <f>VLOOKUP($B306&amp;AB$1,Data!$A$2:$D$5000,4,FALSE)</f>
        <v>-2.6960000000000002</v>
      </c>
      <c r="AC306">
        <f>VLOOKUP($B306&amp;AC$1,Data!$A$2:$D$5000,4,FALSE)</f>
        <v>0.73599999999999999</v>
      </c>
      <c r="AD306">
        <f>VLOOKUP($B306&amp;AD$1,Data!$A$2:$D$5000,4,FALSE)</f>
        <v>0.54100000000000004</v>
      </c>
      <c r="AE306">
        <f>VLOOKUP($B306&amp;AE$1,Data!$A$2:$D$5000,4,FALSE)</f>
        <v>1.8160000000000001</v>
      </c>
      <c r="AF306">
        <f>VLOOKUP($B306&amp;AF$1,Data!$A$2:$D$5000,4,FALSE)</f>
        <v>0.755</v>
      </c>
      <c r="AG306">
        <f>VLOOKUP($B306&amp;AG$1,Data!$A$2:$D$5000,4,FALSE)</f>
        <v>-0.53</v>
      </c>
      <c r="AH306">
        <f>VLOOKUP($B306&amp;AH$1,Data!$A$2:$D$5000,4,FALSE)</f>
        <v>0</v>
      </c>
      <c r="AI306">
        <f>VLOOKUP($B306&amp;AI$1,Data!$A$2:$D$5000,4,FALSE)</f>
        <v>24000000</v>
      </c>
    </row>
    <row r="307" spans="2:35" hidden="1">
      <c r="B307" s="13">
        <v>306</v>
      </c>
      <c r="C307" s="13" t="s">
        <v>55</v>
      </c>
      <c r="D307" t="s">
        <v>19</v>
      </c>
      <c r="E307" t="s">
        <v>22</v>
      </c>
      <c r="F307">
        <v>200</v>
      </c>
      <c r="G307" t="s">
        <v>17</v>
      </c>
      <c r="H307" s="5">
        <v>43831</v>
      </c>
      <c r="I307" s="5">
        <v>44562</v>
      </c>
      <c r="J307">
        <v>14</v>
      </c>
      <c r="K307">
        <v>9</v>
      </c>
      <c r="L307">
        <v>30</v>
      </c>
      <c r="M307">
        <v>70</v>
      </c>
      <c r="N307">
        <v>10000</v>
      </c>
      <c r="O307">
        <f>VLOOKUP($B307&amp;O$1,Data!$A$2:$D$5000,4,FALSE)</f>
        <v>0.32034000000000001</v>
      </c>
      <c r="P307">
        <f>VLOOKUP($B307&amp;P$1,Data!$A$2:$D$5000,4,FALSE)</f>
        <v>0.69</v>
      </c>
      <c r="X307">
        <f>VLOOKUP($B307&amp;X$1,Data!$A$2:$D$5000,4,FALSE)</f>
        <v>0.8</v>
      </c>
      <c r="Y307">
        <f>VLOOKUP($B307&amp;Y$1,Data!$A$2:$D$5000,4,FALSE)</f>
        <v>0.2</v>
      </c>
      <c r="Z307">
        <f>VLOOKUP($B307&amp;Z$1,Data!$A$2:$D$5000,4,FALSE)</f>
        <v>5.0199999999999996</v>
      </c>
      <c r="AA307">
        <f>VLOOKUP($B307&amp;AA$1,Data!$A$2:$D$5000,4,FALSE)</f>
        <v>0.98499999999999999</v>
      </c>
      <c r="AB307">
        <f>VLOOKUP($B307&amp;AB$1,Data!$A$2:$D$5000,4,FALSE)</f>
        <v>-4.8310000000000004</v>
      </c>
      <c r="AC307">
        <f>VLOOKUP($B307&amp;AC$1,Data!$A$2:$D$5000,4,FALSE)</f>
        <v>1.0369999999999999</v>
      </c>
      <c r="AD307">
        <f>VLOOKUP($B307&amp;AD$1,Data!$A$2:$D$5000,4,FALSE)</f>
        <v>1.0760000000000001</v>
      </c>
      <c r="AE307">
        <f>VLOOKUP($B307&amp;AE$1,Data!$A$2:$D$5000,4,FALSE)</f>
        <v>0.622</v>
      </c>
      <c r="AF307">
        <f>VLOOKUP($B307&amp;AF$1,Data!$A$2:$D$5000,4,FALSE)</f>
        <v>1.06</v>
      </c>
      <c r="AG307">
        <f>VLOOKUP($B307&amp;AG$1,Data!$A$2:$D$5000,4,FALSE)</f>
        <v>-0.14799999999999999</v>
      </c>
      <c r="AH307">
        <f>VLOOKUP($B307&amp;AH$1,Data!$A$2:$D$5000,4,FALSE)</f>
        <v>0</v>
      </c>
      <c r="AI307">
        <f>VLOOKUP($B307&amp;AI$1,Data!$A$2:$D$5000,4,FALSE)</f>
        <v>6700000</v>
      </c>
    </row>
    <row r="308" spans="2:35" hidden="1">
      <c r="B308">
        <v>307</v>
      </c>
      <c r="C308" s="13" t="s">
        <v>55</v>
      </c>
      <c r="D308" t="s">
        <v>19</v>
      </c>
      <c r="E308" t="s">
        <v>3</v>
      </c>
      <c r="F308">
        <v>10</v>
      </c>
      <c r="G308" t="s">
        <v>17</v>
      </c>
      <c r="H308" s="5">
        <v>43831</v>
      </c>
      <c r="I308" s="5">
        <v>44562</v>
      </c>
      <c r="J308">
        <v>14</v>
      </c>
      <c r="K308">
        <v>9</v>
      </c>
      <c r="L308">
        <v>32</v>
      </c>
      <c r="M308">
        <v>68</v>
      </c>
      <c r="N308">
        <v>10000</v>
      </c>
    </row>
    <row r="309" spans="2:35" hidden="1">
      <c r="B309">
        <v>308</v>
      </c>
      <c r="C309" s="13" t="s">
        <v>55</v>
      </c>
      <c r="D309" t="s">
        <v>19</v>
      </c>
      <c r="E309" t="s">
        <v>3</v>
      </c>
      <c r="F309">
        <v>100</v>
      </c>
      <c r="G309" t="s">
        <v>17</v>
      </c>
      <c r="H309" s="5">
        <v>43831</v>
      </c>
      <c r="I309" s="5">
        <v>44562</v>
      </c>
      <c r="J309">
        <v>14</v>
      </c>
      <c r="K309">
        <v>9</v>
      </c>
      <c r="L309">
        <v>32</v>
      </c>
      <c r="M309">
        <v>68</v>
      </c>
      <c r="N309">
        <v>10000</v>
      </c>
    </row>
    <row r="310" spans="2:35" hidden="1">
      <c r="B310">
        <v>309</v>
      </c>
      <c r="C310" s="13" t="s">
        <v>55</v>
      </c>
      <c r="D310" t="s">
        <v>19</v>
      </c>
      <c r="E310" t="s">
        <v>3</v>
      </c>
      <c r="F310">
        <v>200</v>
      </c>
      <c r="G310" t="s">
        <v>17</v>
      </c>
      <c r="H310" s="5">
        <v>43831</v>
      </c>
      <c r="I310" s="5">
        <v>44562</v>
      </c>
      <c r="J310">
        <v>14</v>
      </c>
      <c r="K310">
        <v>9</v>
      </c>
      <c r="L310">
        <v>32</v>
      </c>
      <c r="M310">
        <v>68</v>
      </c>
      <c r="N310">
        <v>10000</v>
      </c>
    </row>
    <row r="311" spans="2:35" hidden="1">
      <c r="B311">
        <v>310</v>
      </c>
      <c r="C311" s="13" t="s">
        <v>55</v>
      </c>
      <c r="D311" t="s">
        <v>19</v>
      </c>
      <c r="E311" t="s">
        <v>2</v>
      </c>
      <c r="F311">
        <v>10</v>
      </c>
      <c r="G311" t="s">
        <v>17</v>
      </c>
      <c r="H311" s="5">
        <v>43831</v>
      </c>
      <c r="I311" s="5">
        <v>44562</v>
      </c>
      <c r="J311">
        <v>14</v>
      </c>
      <c r="K311">
        <v>9</v>
      </c>
      <c r="L311">
        <v>32</v>
      </c>
      <c r="M311">
        <v>68</v>
      </c>
      <c r="N311">
        <v>10000</v>
      </c>
    </row>
    <row r="312" spans="2:35" hidden="1">
      <c r="B312">
        <v>311</v>
      </c>
      <c r="C312" s="13" t="s">
        <v>55</v>
      </c>
      <c r="D312" t="s">
        <v>19</v>
      </c>
      <c r="E312" t="s">
        <v>2</v>
      </c>
      <c r="F312">
        <v>100</v>
      </c>
      <c r="G312" t="s">
        <v>17</v>
      </c>
      <c r="H312" s="5">
        <v>43831</v>
      </c>
      <c r="I312" s="5">
        <v>44562</v>
      </c>
      <c r="J312">
        <v>14</v>
      </c>
      <c r="K312">
        <v>9</v>
      </c>
      <c r="L312">
        <v>32</v>
      </c>
      <c r="M312">
        <v>68</v>
      </c>
      <c r="N312">
        <v>10000</v>
      </c>
    </row>
    <row r="313" spans="2:35" hidden="1">
      <c r="B313">
        <v>312</v>
      </c>
      <c r="C313" s="13" t="s">
        <v>55</v>
      </c>
      <c r="D313" t="s">
        <v>19</v>
      </c>
      <c r="E313" t="s">
        <v>2</v>
      </c>
      <c r="F313">
        <v>200</v>
      </c>
      <c r="G313" t="s">
        <v>17</v>
      </c>
      <c r="H313" s="5">
        <v>43831</v>
      </c>
      <c r="I313" s="5">
        <v>44562</v>
      </c>
      <c r="J313">
        <v>14</v>
      </c>
      <c r="K313">
        <v>9</v>
      </c>
      <c r="L313">
        <v>32</v>
      </c>
      <c r="M313">
        <v>68</v>
      </c>
      <c r="N313">
        <v>10000</v>
      </c>
    </row>
    <row r="314" spans="2:35" hidden="1">
      <c r="B314">
        <v>313</v>
      </c>
      <c r="C314" s="13" t="s">
        <v>55</v>
      </c>
      <c r="D314" t="s">
        <v>19</v>
      </c>
      <c r="E314" t="s">
        <v>22</v>
      </c>
      <c r="F314">
        <v>10</v>
      </c>
      <c r="G314" t="s">
        <v>17</v>
      </c>
      <c r="H314" s="5">
        <v>43831</v>
      </c>
      <c r="I314" s="5">
        <v>44562</v>
      </c>
      <c r="J314">
        <v>14</v>
      </c>
      <c r="K314">
        <v>9</v>
      </c>
      <c r="L314">
        <v>32</v>
      </c>
      <c r="M314">
        <v>68</v>
      </c>
      <c r="N314">
        <v>10000</v>
      </c>
    </row>
    <row r="315" spans="2:35" hidden="1">
      <c r="B315">
        <v>314</v>
      </c>
      <c r="C315" s="13" t="s">
        <v>55</v>
      </c>
      <c r="D315" t="s">
        <v>19</v>
      </c>
      <c r="E315" t="s">
        <v>22</v>
      </c>
      <c r="F315">
        <v>100</v>
      </c>
      <c r="G315" t="s">
        <v>17</v>
      </c>
      <c r="H315" s="5">
        <v>43831</v>
      </c>
      <c r="I315" s="5">
        <v>44562</v>
      </c>
      <c r="J315">
        <v>14</v>
      </c>
      <c r="K315">
        <v>9</v>
      </c>
      <c r="L315">
        <v>32</v>
      </c>
      <c r="M315">
        <v>68</v>
      </c>
      <c r="N315">
        <v>10000</v>
      </c>
    </row>
    <row r="316" spans="2:35" hidden="1">
      <c r="B316">
        <v>315</v>
      </c>
      <c r="C316" s="13" t="s">
        <v>55</v>
      </c>
      <c r="D316" t="s">
        <v>19</v>
      </c>
      <c r="E316" t="s">
        <v>22</v>
      </c>
      <c r="F316">
        <v>200</v>
      </c>
      <c r="G316" t="s">
        <v>17</v>
      </c>
      <c r="H316" s="5">
        <v>43831</v>
      </c>
      <c r="I316" s="5">
        <v>44562</v>
      </c>
      <c r="J316">
        <v>14</v>
      </c>
      <c r="K316">
        <v>9</v>
      </c>
      <c r="L316">
        <v>32</v>
      </c>
      <c r="M316">
        <v>68</v>
      </c>
      <c r="N316">
        <v>10000</v>
      </c>
    </row>
    <row r="317" spans="2:35" hidden="1">
      <c r="B317">
        <v>316</v>
      </c>
      <c r="C317" s="13" t="s">
        <v>55</v>
      </c>
      <c r="D317" t="s">
        <v>19</v>
      </c>
      <c r="E317" t="s">
        <v>3</v>
      </c>
      <c r="F317">
        <v>10</v>
      </c>
      <c r="G317" t="s">
        <v>17</v>
      </c>
      <c r="H317" s="5">
        <v>43831</v>
      </c>
      <c r="I317" s="5">
        <v>44562</v>
      </c>
      <c r="J317">
        <v>14</v>
      </c>
      <c r="K317">
        <v>9</v>
      </c>
      <c r="L317">
        <v>28</v>
      </c>
      <c r="M317">
        <v>72</v>
      </c>
      <c r="N317">
        <v>10000</v>
      </c>
    </row>
    <row r="318" spans="2:35" hidden="1">
      <c r="B318">
        <v>317</v>
      </c>
      <c r="C318" s="13" t="s">
        <v>55</v>
      </c>
      <c r="D318" t="s">
        <v>19</v>
      </c>
      <c r="E318" t="s">
        <v>3</v>
      </c>
      <c r="F318">
        <v>100</v>
      </c>
      <c r="G318" t="s">
        <v>17</v>
      </c>
      <c r="H318" s="5">
        <v>43831</v>
      </c>
      <c r="I318" s="5">
        <v>44562</v>
      </c>
      <c r="J318">
        <v>14</v>
      </c>
      <c r="K318">
        <v>9</v>
      </c>
      <c r="L318">
        <v>28</v>
      </c>
      <c r="M318">
        <v>72</v>
      </c>
      <c r="N318">
        <v>10000</v>
      </c>
    </row>
    <row r="319" spans="2:35" hidden="1">
      <c r="B319">
        <v>318</v>
      </c>
      <c r="C319" s="13" t="s">
        <v>55</v>
      </c>
      <c r="D319" t="s">
        <v>19</v>
      </c>
      <c r="E319" t="s">
        <v>3</v>
      </c>
      <c r="F319">
        <v>200</v>
      </c>
      <c r="G319" t="s">
        <v>17</v>
      </c>
      <c r="H319" s="5">
        <v>43831</v>
      </c>
      <c r="I319" s="5">
        <v>44562</v>
      </c>
      <c r="J319">
        <v>14</v>
      </c>
      <c r="K319">
        <v>9</v>
      </c>
      <c r="L319">
        <v>28</v>
      </c>
      <c r="M319">
        <v>72</v>
      </c>
      <c r="N319">
        <v>10000</v>
      </c>
    </row>
    <row r="320" spans="2:35" hidden="1">
      <c r="B320">
        <v>319</v>
      </c>
      <c r="C320" s="13" t="s">
        <v>55</v>
      </c>
      <c r="D320" t="s">
        <v>19</v>
      </c>
      <c r="E320" t="s">
        <v>2</v>
      </c>
      <c r="F320">
        <v>10</v>
      </c>
      <c r="G320" t="s">
        <v>17</v>
      </c>
      <c r="H320" s="5">
        <v>43831</v>
      </c>
      <c r="I320" s="5">
        <v>44562</v>
      </c>
      <c r="J320">
        <v>14</v>
      </c>
      <c r="K320">
        <v>9</v>
      </c>
      <c r="L320">
        <v>28</v>
      </c>
      <c r="M320">
        <v>72</v>
      </c>
      <c r="N320">
        <v>10000</v>
      </c>
    </row>
    <row r="321" spans="2:35" hidden="1">
      <c r="B321">
        <v>320</v>
      </c>
      <c r="C321" s="13" t="s">
        <v>55</v>
      </c>
      <c r="D321" t="s">
        <v>19</v>
      </c>
      <c r="E321" t="s">
        <v>2</v>
      </c>
      <c r="F321">
        <v>100</v>
      </c>
      <c r="G321" t="s">
        <v>17</v>
      </c>
      <c r="H321" s="5">
        <v>43831</v>
      </c>
      <c r="I321" s="5">
        <v>44562</v>
      </c>
      <c r="J321">
        <v>14</v>
      </c>
      <c r="K321">
        <v>9</v>
      </c>
      <c r="L321">
        <v>28</v>
      </c>
      <c r="M321">
        <v>72</v>
      </c>
      <c r="N321">
        <v>10000</v>
      </c>
    </row>
    <row r="322" spans="2:35" hidden="1">
      <c r="B322">
        <v>321</v>
      </c>
      <c r="C322" s="13" t="s">
        <v>55</v>
      </c>
      <c r="D322" t="s">
        <v>19</v>
      </c>
      <c r="E322" t="s">
        <v>2</v>
      </c>
      <c r="F322">
        <v>200</v>
      </c>
      <c r="G322" t="s">
        <v>17</v>
      </c>
      <c r="H322" s="5">
        <v>43831</v>
      </c>
      <c r="I322" s="5">
        <v>44562</v>
      </c>
      <c r="J322">
        <v>14</v>
      </c>
      <c r="K322">
        <v>9</v>
      </c>
      <c r="L322">
        <v>28</v>
      </c>
      <c r="M322">
        <v>72</v>
      </c>
      <c r="N322">
        <v>10000</v>
      </c>
    </row>
    <row r="323" spans="2:35" hidden="1">
      <c r="B323">
        <v>322</v>
      </c>
      <c r="C323" s="13" t="s">
        <v>55</v>
      </c>
      <c r="D323" t="s">
        <v>19</v>
      </c>
      <c r="E323" t="s">
        <v>22</v>
      </c>
      <c r="F323">
        <v>10</v>
      </c>
      <c r="G323" t="s">
        <v>17</v>
      </c>
      <c r="H323" s="5">
        <v>43831</v>
      </c>
      <c r="I323" s="5">
        <v>44562</v>
      </c>
      <c r="J323">
        <v>14</v>
      </c>
      <c r="K323">
        <v>9</v>
      </c>
      <c r="L323">
        <v>28</v>
      </c>
      <c r="M323">
        <v>72</v>
      </c>
      <c r="N323">
        <v>10000</v>
      </c>
    </row>
    <row r="324" spans="2:35" hidden="1">
      <c r="B324">
        <v>323</v>
      </c>
      <c r="C324" s="13" t="s">
        <v>55</v>
      </c>
      <c r="D324" t="s">
        <v>19</v>
      </c>
      <c r="E324" t="s">
        <v>22</v>
      </c>
      <c r="F324">
        <v>100</v>
      </c>
      <c r="G324" t="s">
        <v>17</v>
      </c>
      <c r="H324" s="5">
        <v>43831</v>
      </c>
      <c r="I324" s="5">
        <v>44562</v>
      </c>
      <c r="J324">
        <v>14</v>
      </c>
      <c r="K324">
        <v>9</v>
      </c>
      <c r="L324">
        <v>28</v>
      </c>
      <c r="M324">
        <v>72</v>
      </c>
      <c r="N324">
        <v>10000</v>
      </c>
    </row>
    <row r="325" spans="2:35" hidden="1">
      <c r="B325">
        <v>324</v>
      </c>
      <c r="C325" s="13" t="s">
        <v>55</v>
      </c>
      <c r="D325" t="s">
        <v>19</v>
      </c>
      <c r="E325" t="s">
        <v>22</v>
      </c>
      <c r="F325">
        <v>200</v>
      </c>
      <c r="G325" t="s">
        <v>17</v>
      </c>
      <c r="H325" s="5">
        <v>43831</v>
      </c>
      <c r="I325" s="5">
        <v>44562</v>
      </c>
      <c r="J325">
        <v>14</v>
      </c>
      <c r="K325">
        <v>9</v>
      </c>
      <c r="L325">
        <v>28</v>
      </c>
      <c r="M325">
        <v>72</v>
      </c>
      <c r="N325">
        <v>10000</v>
      </c>
    </row>
    <row r="326" spans="2:35" hidden="1">
      <c r="B326" s="13">
        <v>325</v>
      </c>
      <c r="C326" s="13" t="s">
        <v>55</v>
      </c>
      <c r="D326" t="s">
        <v>20</v>
      </c>
      <c r="E326" t="s">
        <v>3</v>
      </c>
      <c r="F326">
        <v>10</v>
      </c>
      <c r="G326" t="s">
        <v>17</v>
      </c>
      <c r="H326" s="5">
        <v>43831</v>
      </c>
      <c r="I326" s="5">
        <v>44562</v>
      </c>
      <c r="J326">
        <v>14</v>
      </c>
      <c r="K326">
        <v>9</v>
      </c>
      <c r="L326">
        <v>30</v>
      </c>
      <c r="M326">
        <v>70</v>
      </c>
      <c r="N326">
        <v>10000</v>
      </c>
      <c r="O326">
        <f>VLOOKUP($B326&amp;O$1,Data!$A$2:$D$5000,4,FALSE)</f>
        <v>3.9260000000000003E-2</v>
      </c>
      <c r="P326">
        <f>VLOOKUP($B326&amp;P$1,Data!$A$2:$D$5000,4,FALSE)</f>
        <v>-0.745</v>
      </c>
      <c r="X326">
        <f>VLOOKUP($B326&amp;X$1,Data!$A$2:$D$5000,4,FALSE)</f>
        <v>0.5</v>
      </c>
      <c r="Y326">
        <f>VLOOKUP($B326&amp;Y$1,Data!$A$2:$D$5000,4,FALSE)</f>
        <v>0.5</v>
      </c>
      <c r="Z326">
        <f>VLOOKUP($B326&amp;Z$1,Data!$A$2:$D$5000,4,FALSE)</f>
        <v>0.19</v>
      </c>
      <c r="AA326">
        <f>VLOOKUP($B326&amp;AA$1,Data!$A$2:$D$5000,4,FALSE)</f>
        <v>-0.109</v>
      </c>
      <c r="AB326">
        <f>VLOOKUP($B326&amp;AB$1,Data!$A$2:$D$5000,4,FALSE)</f>
        <v>-2.8149999999999999</v>
      </c>
      <c r="AC326">
        <f>VLOOKUP($B326&amp;AC$1,Data!$A$2:$D$5000,4,FALSE)</f>
        <v>0.35699999999999998</v>
      </c>
      <c r="AD326">
        <f>VLOOKUP($B326&amp;AD$1,Data!$A$2:$D$5000,4,FALSE)</f>
        <v>0.128</v>
      </c>
      <c r="AE326">
        <f>VLOOKUP($B326&amp;AE$1,Data!$A$2:$D$5000,4,FALSE)</f>
        <v>-0.81200000000000006</v>
      </c>
      <c r="AF326">
        <f>VLOOKUP($B326&amp;AF$1,Data!$A$2:$D$5000,4,FALSE)</f>
        <v>0.39600000000000002</v>
      </c>
      <c r="AG326">
        <f>VLOOKUP($B326&amp;AG$1,Data!$A$2:$D$5000,4,FALSE)</f>
        <v>9.4E-2</v>
      </c>
      <c r="AH326">
        <f>VLOOKUP($B326&amp;AH$1,Data!$A$2:$D$5000,4,FALSE)</f>
        <v>0</v>
      </c>
      <c r="AI326">
        <f>VLOOKUP($B326&amp;AI$1,Data!$A$2:$D$5000,4,FALSE)</f>
        <v>160000000</v>
      </c>
    </row>
    <row r="327" spans="2:35" hidden="1">
      <c r="B327" s="13">
        <v>326</v>
      </c>
      <c r="C327" s="13" t="s">
        <v>55</v>
      </c>
      <c r="D327" t="s">
        <v>20</v>
      </c>
      <c r="E327" t="s">
        <v>3</v>
      </c>
      <c r="F327">
        <v>100</v>
      </c>
      <c r="G327" t="s">
        <v>17</v>
      </c>
      <c r="H327" s="5">
        <v>43831</v>
      </c>
      <c r="I327" s="5">
        <v>44562</v>
      </c>
      <c r="J327">
        <v>14</v>
      </c>
      <c r="K327">
        <v>9</v>
      </c>
      <c r="L327">
        <v>30</v>
      </c>
      <c r="M327">
        <v>70</v>
      </c>
      <c r="N327">
        <v>10000</v>
      </c>
      <c r="O327">
        <f>VLOOKUP($B327&amp;O$1,Data!$A$2:$D$5000,4,FALSE)</f>
        <v>1.9369999999999998E-2</v>
      </c>
      <c r="P327">
        <f>VLOOKUP($B327&amp;P$1,Data!$A$2:$D$5000,4,FALSE)</f>
        <v>-0.30399999999999999</v>
      </c>
      <c r="X327">
        <f>VLOOKUP($B327&amp;X$1,Data!$A$2:$D$5000,4,FALSE)</f>
        <v>0.95</v>
      </c>
      <c r="Y327">
        <f>VLOOKUP($B327&amp;Y$1,Data!$A$2:$D$5000,4,FALSE)</f>
        <v>0.05</v>
      </c>
      <c r="Z327">
        <f>VLOOKUP($B327&amp;Z$1,Data!$A$2:$D$5000,4,FALSE)</f>
        <v>1.55</v>
      </c>
      <c r="AA327">
        <f>VLOOKUP($B327&amp;AA$1,Data!$A$2:$D$5000,4,FALSE)</f>
        <v>0.44900000000000001</v>
      </c>
      <c r="AB327">
        <f>VLOOKUP($B327&amp;AB$1,Data!$A$2:$D$5000,4,FALSE)</f>
        <v>-26.042000000000002</v>
      </c>
      <c r="AC327">
        <f>VLOOKUP($B327&amp;AC$1,Data!$A$2:$D$5000,4,FALSE)</f>
        <v>3.2040000000000002</v>
      </c>
      <c r="AD327">
        <f>VLOOKUP($B327&amp;AD$1,Data!$A$2:$D$5000,4,FALSE)</f>
        <v>10.265000000000001</v>
      </c>
      <c r="AE327">
        <f>VLOOKUP($B327&amp;AE$1,Data!$A$2:$D$5000,4,FALSE)</f>
        <v>-0.317</v>
      </c>
      <c r="AF327">
        <f>VLOOKUP($B327&amp;AF$1,Data!$A$2:$D$5000,4,FALSE)</f>
        <v>3.24</v>
      </c>
      <c r="AG327">
        <f>VLOOKUP($B327&amp;AG$1,Data!$A$2:$D$5000,4,FALSE)</f>
        <v>3.6999999999999998E-2</v>
      </c>
      <c r="AH327">
        <f>VLOOKUP($B327&amp;AH$1,Data!$A$2:$D$5000,4,FALSE)</f>
        <v>0</v>
      </c>
      <c r="AI327">
        <f>VLOOKUP($B327&amp;AI$1,Data!$A$2:$D$5000,4,FALSE)</f>
        <v>3100000</v>
      </c>
    </row>
    <row r="328" spans="2:35" hidden="1">
      <c r="B328" s="13">
        <v>327</v>
      </c>
      <c r="C328" s="13" t="s">
        <v>55</v>
      </c>
      <c r="D328" t="s">
        <v>20</v>
      </c>
      <c r="E328" t="s">
        <v>3</v>
      </c>
      <c r="F328">
        <v>200</v>
      </c>
      <c r="G328" t="s">
        <v>17</v>
      </c>
      <c r="H328" s="5">
        <v>43831</v>
      </c>
      <c r="I328" s="5">
        <v>44562</v>
      </c>
      <c r="J328">
        <v>14</v>
      </c>
      <c r="K328">
        <v>9</v>
      </c>
      <c r="L328">
        <v>30</v>
      </c>
      <c r="M328">
        <v>70</v>
      </c>
      <c r="N328">
        <v>10000</v>
      </c>
      <c r="O328">
        <f>VLOOKUP($B328&amp;O$1,Data!$A$2:$D$5000,4,FALSE)</f>
        <v>0.25102999999999998</v>
      </c>
      <c r="P328">
        <f>VLOOKUP($B328&amp;P$1,Data!$A$2:$D$5000,4,FALSE)</f>
        <v>0.44800000000000001</v>
      </c>
      <c r="X328">
        <f>VLOOKUP($B328&amp;X$1,Data!$A$2:$D$5000,4,FALSE)</f>
        <v>0.96</v>
      </c>
      <c r="Y328">
        <f>VLOOKUP($B328&amp;Y$1,Data!$A$2:$D$5000,4,FALSE)</f>
        <v>0.04</v>
      </c>
      <c r="Z328">
        <f>VLOOKUP($B328&amp;Z$1,Data!$A$2:$D$5000,4,FALSE)</f>
        <v>1.59</v>
      </c>
      <c r="AA328">
        <f>VLOOKUP($B328&amp;AA$1,Data!$A$2:$D$5000,4,FALSE)</f>
        <v>3.4910000000000001</v>
      </c>
      <c r="AB328">
        <f>VLOOKUP($B328&amp;AB$1,Data!$A$2:$D$5000,4,FALSE)</f>
        <v>-32.072000000000003</v>
      </c>
      <c r="AC328">
        <f>VLOOKUP($B328&amp;AC$1,Data!$A$2:$D$5000,4,FALSE)</f>
        <v>4.3239999999999998</v>
      </c>
      <c r="AD328">
        <f>VLOOKUP($B328&amp;AD$1,Data!$A$2:$D$5000,4,FALSE)</f>
        <v>18.696000000000002</v>
      </c>
      <c r="AE328">
        <f>VLOOKUP($B328&amp;AE$1,Data!$A$2:$D$5000,4,FALSE)</f>
        <v>0.433</v>
      </c>
      <c r="AF328">
        <f>VLOOKUP($B328&amp;AF$1,Data!$A$2:$D$5000,4,FALSE)</f>
        <v>4.3579999999999997</v>
      </c>
      <c r="AG328">
        <f>VLOOKUP($B328&amp;AG$1,Data!$A$2:$D$5000,4,FALSE)</f>
        <v>-0.06</v>
      </c>
      <c r="AH328">
        <f>VLOOKUP($B328&amp;AH$1,Data!$A$2:$D$5000,4,FALSE)</f>
        <v>0</v>
      </c>
      <c r="AI328">
        <f>VLOOKUP($B328&amp;AI$1,Data!$A$2:$D$5000,4,FALSE)</f>
        <v>1500000</v>
      </c>
    </row>
    <row r="329" spans="2:35" hidden="1">
      <c r="B329" s="13">
        <v>328</v>
      </c>
      <c r="C329" s="13" t="s">
        <v>55</v>
      </c>
      <c r="D329" t="s">
        <v>20</v>
      </c>
      <c r="E329" t="s">
        <v>2</v>
      </c>
      <c r="F329">
        <v>10</v>
      </c>
      <c r="G329" t="s">
        <v>17</v>
      </c>
      <c r="H329" s="5">
        <v>43831</v>
      </c>
      <c r="I329" s="5">
        <v>44562</v>
      </c>
      <c r="J329">
        <v>14</v>
      </c>
      <c r="K329">
        <v>9</v>
      </c>
      <c r="L329">
        <v>30</v>
      </c>
      <c r="M329">
        <v>70</v>
      </c>
      <c r="N329">
        <v>10000</v>
      </c>
      <c r="O329">
        <f>VLOOKUP($B329&amp;O$1,Data!$A$2:$D$5000,4,FALSE)</f>
        <v>2.1520000000000001E-2</v>
      </c>
      <c r="P329">
        <f>VLOOKUP($B329&amp;P$1,Data!$A$2:$D$5000,4,FALSE)</f>
        <v>-1.0489999999999999</v>
      </c>
      <c r="X329">
        <f>VLOOKUP($B329&amp;X$1,Data!$A$2:$D$5000,4,FALSE)</f>
        <v>0.56999999999999995</v>
      </c>
      <c r="Y329">
        <f>VLOOKUP($B329&amp;Y$1,Data!$A$2:$D$5000,4,FALSE)</f>
        <v>0.43</v>
      </c>
      <c r="Z329">
        <f>VLOOKUP($B329&amp;Z$1,Data!$A$2:$D$5000,4,FALSE)</f>
        <v>0.1</v>
      </c>
      <c r="AA329">
        <f>VLOOKUP($B329&amp;AA$1,Data!$A$2:$D$5000,4,FALSE)</f>
        <v>-0.122</v>
      </c>
      <c r="AB329">
        <f>VLOOKUP($B329&amp;AB$1,Data!$A$2:$D$5000,4,FALSE)</f>
        <v>-1.454</v>
      </c>
      <c r="AC329">
        <f>VLOOKUP($B329&amp;AC$1,Data!$A$2:$D$5000,4,FALSE)</f>
        <v>0.193</v>
      </c>
      <c r="AD329">
        <f>VLOOKUP($B329&amp;AD$1,Data!$A$2:$D$5000,4,FALSE)</f>
        <v>3.6999999999999998E-2</v>
      </c>
      <c r="AE329" t="e">
        <f>VLOOKUP($B329&amp;AE$1,Data!$A$2:$D$5000,4,FALSE)</f>
        <v>#N/A</v>
      </c>
      <c r="AF329" t="e">
        <f>VLOOKUP($B329&amp;AF$1,Data!$A$2:$D$5000,4,FALSE)</f>
        <v>#N/A</v>
      </c>
      <c r="AG329" t="e">
        <f>VLOOKUP($B329&amp;AG$1,Data!$A$2:$D$5000,4,FALSE)</f>
        <v>#N/A</v>
      </c>
      <c r="AH329" t="e">
        <f>VLOOKUP($B329&amp;AH$1,Data!$A$2:$D$5000,4,FALSE)</f>
        <v>#N/A</v>
      </c>
      <c r="AI329" t="e">
        <f>VLOOKUP($B329&amp;AI$1,Data!$A$2:$D$5000,4,FALSE)</f>
        <v>#N/A</v>
      </c>
    </row>
    <row r="330" spans="2:35" hidden="1">
      <c r="B330" s="13">
        <v>329</v>
      </c>
      <c r="C330" s="13" t="s">
        <v>55</v>
      </c>
      <c r="D330" t="s">
        <v>20</v>
      </c>
      <c r="E330" t="s">
        <v>2</v>
      </c>
      <c r="F330">
        <v>100</v>
      </c>
      <c r="G330" t="s">
        <v>17</v>
      </c>
      <c r="H330" s="5">
        <v>43831</v>
      </c>
      <c r="I330" s="5">
        <v>44562</v>
      </c>
      <c r="J330">
        <v>14</v>
      </c>
      <c r="K330">
        <v>9</v>
      </c>
      <c r="L330">
        <v>30</v>
      </c>
      <c r="M330">
        <v>70</v>
      </c>
      <c r="N330">
        <v>10000</v>
      </c>
      <c r="X330" t="e">
        <f>VLOOKUP($B330&amp;X$1,Data!$A$2:$D$5000,4,FALSE)</f>
        <v>#N/A</v>
      </c>
      <c r="Y330" t="e">
        <f>VLOOKUP($B330&amp;Y$1,Data!$A$2:$D$5000,4,FALSE)</f>
        <v>#N/A</v>
      </c>
      <c r="Z330" t="e">
        <f>VLOOKUP($B330&amp;Z$1,Data!$A$2:$D$5000,4,FALSE)</f>
        <v>#N/A</v>
      </c>
      <c r="AA330" t="e">
        <f>VLOOKUP($B330&amp;AA$1,Data!$A$2:$D$5000,4,FALSE)</f>
        <v>#N/A</v>
      </c>
      <c r="AB330" t="e">
        <f>VLOOKUP($B330&amp;AB$1,Data!$A$2:$D$5000,4,FALSE)</f>
        <v>#N/A</v>
      </c>
      <c r="AC330" t="e">
        <f>VLOOKUP($B330&amp;AC$1,Data!$A$2:$D$5000,4,FALSE)</f>
        <v>#N/A</v>
      </c>
      <c r="AD330" t="e">
        <f>VLOOKUP($B330&amp;AD$1,Data!$A$2:$D$5000,4,FALSE)</f>
        <v>#N/A</v>
      </c>
      <c r="AE330" t="e">
        <f>VLOOKUP($B330&amp;AE$1,Data!$A$2:$D$5000,4,FALSE)</f>
        <v>#N/A</v>
      </c>
      <c r="AF330" t="e">
        <f>VLOOKUP($B330&amp;AF$1,Data!$A$2:$D$5000,4,FALSE)</f>
        <v>#N/A</v>
      </c>
      <c r="AG330" t="e">
        <f>VLOOKUP($B330&amp;AG$1,Data!$A$2:$D$5000,4,FALSE)</f>
        <v>#N/A</v>
      </c>
      <c r="AH330" t="e">
        <f>VLOOKUP($B330&amp;AH$1,Data!$A$2:$D$5000,4,FALSE)</f>
        <v>#N/A</v>
      </c>
      <c r="AI330" t="e">
        <f>VLOOKUP($B330&amp;AI$1,Data!$A$2:$D$5000,4,FALSE)</f>
        <v>#N/A</v>
      </c>
    </row>
    <row r="331" spans="2:35" hidden="1">
      <c r="B331" s="13">
        <v>330</v>
      </c>
      <c r="C331" s="13" t="s">
        <v>55</v>
      </c>
      <c r="D331" t="s">
        <v>20</v>
      </c>
      <c r="E331" t="s">
        <v>2</v>
      </c>
      <c r="F331">
        <v>200</v>
      </c>
      <c r="G331" t="s">
        <v>17</v>
      </c>
      <c r="H331" s="5">
        <v>43831</v>
      </c>
      <c r="I331" s="5">
        <v>44562</v>
      </c>
      <c r="J331">
        <v>14</v>
      </c>
      <c r="K331">
        <v>9</v>
      </c>
      <c r="L331">
        <v>30</v>
      </c>
      <c r="M331">
        <v>70</v>
      </c>
      <c r="N331">
        <v>10000</v>
      </c>
      <c r="X331" t="e">
        <f>VLOOKUP($B331&amp;X$1,Data!$A$2:$D$5000,4,FALSE)</f>
        <v>#N/A</v>
      </c>
      <c r="Y331" t="e">
        <f>VLOOKUP($B331&amp;Y$1,Data!$A$2:$D$5000,4,FALSE)</f>
        <v>#N/A</v>
      </c>
      <c r="Z331" t="e">
        <f>VLOOKUP($B331&amp;Z$1,Data!$A$2:$D$5000,4,FALSE)</f>
        <v>#N/A</v>
      </c>
      <c r="AA331" t="e">
        <f>VLOOKUP($B331&amp;AA$1,Data!$A$2:$D$5000,4,FALSE)</f>
        <v>#N/A</v>
      </c>
      <c r="AB331" t="e">
        <f>VLOOKUP($B331&amp;AB$1,Data!$A$2:$D$5000,4,FALSE)</f>
        <v>#N/A</v>
      </c>
      <c r="AC331" t="e">
        <f>VLOOKUP($B331&amp;AC$1,Data!$A$2:$D$5000,4,FALSE)</f>
        <v>#N/A</v>
      </c>
      <c r="AD331" t="e">
        <f>VLOOKUP($B331&amp;AD$1,Data!$A$2:$D$5000,4,FALSE)</f>
        <v>#N/A</v>
      </c>
      <c r="AE331" t="e">
        <f>VLOOKUP($B331&amp;AE$1,Data!$A$2:$D$5000,4,FALSE)</f>
        <v>#N/A</v>
      </c>
      <c r="AF331" t="e">
        <f>VLOOKUP($B331&amp;AF$1,Data!$A$2:$D$5000,4,FALSE)</f>
        <v>#N/A</v>
      </c>
      <c r="AG331" t="e">
        <f>VLOOKUP($B331&amp;AG$1,Data!$A$2:$D$5000,4,FALSE)</f>
        <v>#N/A</v>
      </c>
      <c r="AH331" t="e">
        <f>VLOOKUP($B331&amp;AH$1,Data!$A$2:$D$5000,4,FALSE)</f>
        <v>#N/A</v>
      </c>
      <c r="AI331" t="e">
        <f>VLOOKUP($B331&amp;AI$1,Data!$A$2:$D$5000,4,FALSE)</f>
        <v>#N/A</v>
      </c>
    </row>
    <row r="332" spans="2:35" hidden="1">
      <c r="B332" s="13">
        <v>331</v>
      </c>
      <c r="C332" s="13" t="s">
        <v>55</v>
      </c>
      <c r="D332" t="s">
        <v>20</v>
      </c>
      <c r="E332" t="s">
        <v>22</v>
      </c>
      <c r="F332">
        <v>10</v>
      </c>
      <c r="G332" t="s">
        <v>17</v>
      </c>
      <c r="H332" s="5">
        <v>43831</v>
      </c>
      <c r="I332" s="5">
        <v>44562</v>
      </c>
      <c r="J332">
        <v>14</v>
      </c>
      <c r="K332">
        <v>9</v>
      </c>
      <c r="L332">
        <v>30</v>
      </c>
      <c r="M332">
        <v>70</v>
      </c>
      <c r="N332">
        <v>10000</v>
      </c>
      <c r="X332" t="e">
        <f>VLOOKUP($B332&amp;X$1,Data!$A$2:$D$5000,4,FALSE)</f>
        <v>#N/A</v>
      </c>
      <c r="Y332" t="e">
        <f>VLOOKUP($B332&amp;Y$1,Data!$A$2:$D$5000,4,FALSE)</f>
        <v>#N/A</v>
      </c>
      <c r="Z332" t="e">
        <f>VLOOKUP($B332&amp;Z$1,Data!$A$2:$D$5000,4,FALSE)</f>
        <v>#N/A</v>
      </c>
      <c r="AA332" t="e">
        <f>VLOOKUP($B332&amp;AA$1,Data!$A$2:$D$5000,4,FALSE)</f>
        <v>#N/A</v>
      </c>
      <c r="AB332" t="e">
        <f>VLOOKUP($B332&amp;AB$1,Data!$A$2:$D$5000,4,FALSE)</f>
        <v>#N/A</v>
      </c>
      <c r="AC332" t="e">
        <f>VLOOKUP($B332&amp;AC$1,Data!$A$2:$D$5000,4,FALSE)</f>
        <v>#N/A</v>
      </c>
      <c r="AD332" t="e">
        <f>VLOOKUP($B332&amp;AD$1,Data!$A$2:$D$5000,4,FALSE)</f>
        <v>#N/A</v>
      </c>
      <c r="AE332" t="e">
        <f>VLOOKUP($B332&amp;AE$1,Data!$A$2:$D$5000,4,FALSE)</f>
        <v>#N/A</v>
      </c>
      <c r="AF332" t="e">
        <f>VLOOKUP($B332&amp;AF$1,Data!$A$2:$D$5000,4,FALSE)</f>
        <v>#N/A</v>
      </c>
      <c r="AG332" t="e">
        <f>VLOOKUP($B332&amp;AG$1,Data!$A$2:$D$5000,4,FALSE)</f>
        <v>#N/A</v>
      </c>
      <c r="AH332" t="e">
        <f>VLOOKUP($B332&amp;AH$1,Data!$A$2:$D$5000,4,FALSE)</f>
        <v>#N/A</v>
      </c>
      <c r="AI332" t="e">
        <f>VLOOKUP($B332&amp;AI$1,Data!$A$2:$D$5000,4,FALSE)</f>
        <v>#N/A</v>
      </c>
    </row>
    <row r="333" spans="2:35" hidden="1">
      <c r="B333" s="20">
        <v>332</v>
      </c>
      <c r="C333" s="13" t="s">
        <v>55</v>
      </c>
      <c r="D333" t="s">
        <v>20</v>
      </c>
      <c r="E333" t="s">
        <v>22</v>
      </c>
      <c r="F333">
        <v>100</v>
      </c>
      <c r="G333" t="s">
        <v>17</v>
      </c>
      <c r="H333" s="5">
        <v>43831</v>
      </c>
      <c r="I333" s="5">
        <v>44562</v>
      </c>
      <c r="J333">
        <v>14</v>
      </c>
      <c r="K333">
        <v>9</v>
      </c>
      <c r="L333">
        <v>30</v>
      </c>
      <c r="M333">
        <v>70</v>
      </c>
      <c r="N333">
        <v>10000</v>
      </c>
      <c r="X333" t="e">
        <f>VLOOKUP($B333&amp;X$1,Data!$A$2:$D$5000,4,FALSE)</f>
        <v>#N/A</v>
      </c>
      <c r="Y333" t="e">
        <f>VLOOKUP($B333&amp;Y$1,Data!$A$2:$D$5000,4,FALSE)</f>
        <v>#N/A</v>
      </c>
      <c r="Z333" t="e">
        <f>VLOOKUP($B333&amp;Z$1,Data!$A$2:$D$5000,4,FALSE)</f>
        <v>#N/A</v>
      </c>
      <c r="AA333" t="e">
        <f>VLOOKUP($B333&amp;AA$1,Data!$A$2:$D$5000,4,FALSE)</f>
        <v>#N/A</v>
      </c>
      <c r="AB333" t="e">
        <f>VLOOKUP($B333&amp;AB$1,Data!$A$2:$D$5000,4,FALSE)</f>
        <v>#N/A</v>
      </c>
      <c r="AC333" t="e">
        <f>VLOOKUP($B333&amp;AC$1,Data!$A$2:$D$5000,4,FALSE)</f>
        <v>#N/A</v>
      </c>
      <c r="AD333" t="e">
        <f>VLOOKUP($B333&amp;AD$1,Data!$A$2:$D$5000,4,FALSE)</f>
        <v>#N/A</v>
      </c>
      <c r="AE333" t="e">
        <f>VLOOKUP($B333&amp;AE$1,Data!$A$2:$D$5000,4,FALSE)</f>
        <v>#N/A</v>
      </c>
      <c r="AF333" t="e">
        <f>VLOOKUP($B333&amp;AF$1,Data!$A$2:$D$5000,4,FALSE)</f>
        <v>#N/A</v>
      </c>
      <c r="AG333" t="e">
        <f>VLOOKUP($B333&amp;AG$1,Data!$A$2:$D$5000,4,FALSE)</f>
        <v>#N/A</v>
      </c>
      <c r="AH333" t="e">
        <f>VLOOKUP($B333&amp;AH$1,Data!$A$2:$D$5000,4,FALSE)</f>
        <v>#N/A</v>
      </c>
      <c r="AI333" t="e">
        <f>VLOOKUP($B333&amp;AI$1,Data!$A$2:$D$5000,4,FALSE)</f>
        <v>#N/A</v>
      </c>
    </row>
    <row r="334" spans="2:35" hidden="1">
      <c r="B334" s="13">
        <v>333</v>
      </c>
      <c r="C334" s="13" t="s">
        <v>55</v>
      </c>
      <c r="D334" t="s">
        <v>20</v>
      </c>
      <c r="E334" t="s">
        <v>22</v>
      </c>
      <c r="F334">
        <v>200</v>
      </c>
      <c r="G334" t="s">
        <v>17</v>
      </c>
      <c r="H334" s="5">
        <v>43831</v>
      </c>
      <c r="I334" s="5">
        <v>44562</v>
      </c>
      <c r="J334">
        <v>14</v>
      </c>
      <c r="K334">
        <v>9</v>
      </c>
      <c r="L334">
        <v>30</v>
      </c>
      <c r="M334">
        <v>70</v>
      </c>
      <c r="N334">
        <v>10000</v>
      </c>
      <c r="X334" t="e">
        <f>VLOOKUP($B334&amp;X$1,Data!$A$2:$D$5000,4,FALSE)</f>
        <v>#N/A</v>
      </c>
      <c r="Y334" t="e">
        <f>VLOOKUP($B334&amp;Y$1,Data!$A$2:$D$5000,4,FALSE)</f>
        <v>#N/A</v>
      </c>
      <c r="Z334" t="e">
        <f>VLOOKUP($B334&amp;Z$1,Data!$A$2:$D$5000,4,FALSE)</f>
        <v>#N/A</v>
      </c>
      <c r="AA334" t="e">
        <f>VLOOKUP($B334&amp;AA$1,Data!$A$2:$D$5000,4,FALSE)</f>
        <v>#N/A</v>
      </c>
      <c r="AB334" t="e">
        <f>VLOOKUP($B334&amp;AB$1,Data!$A$2:$D$5000,4,FALSE)</f>
        <v>#N/A</v>
      </c>
      <c r="AC334" t="e">
        <f>VLOOKUP($B334&amp;AC$1,Data!$A$2:$D$5000,4,FALSE)</f>
        <v>#N/A</v>
      </c>
      <c r="AD334" t="e">
        <f>VLOOKUP($B334&amp;AD$1,Data!$A$2:$D$5000,4,FALSE)</f>
        <v>#N/A</v>
      </c>
      <c r="AE334" t="e">
        <f>VLOOKUP($B334&amp;AE$1,Data!$A$2:$D$5000,4,FALSE)</f>
        <v>#N/A</v>
      </c>
      <c r="AF334" t="e">
        <f>VLOOKUP($B334&amp;AF$1,Data!$A$2:$D$5000,4,FALSE)</f>
        <v>#N/A</v>
      </c>
      <c r="AG334" t="e">
        <f>VLOOKUP($B334&amp;AG$1,Data!$A$2:$D$5000,4,FALSE)</f>
        <v>#N/A</v>
      </c>
      <c r="AH334" t="e">
        <f>VLOOKUP($B334&amp;AH$1,Data!$A$2:$D$5000,4,FALSE)</f>
        <v>#N/A</v>
      </c>
      <c r="AI334" t="e">
        <f>VLOOKUP($B334&amp;AI$1,Data!$A$2:$D$5000,4,FALSE)</f>
        <v>#N/A</v>
      </c>
    </row>
    <row r="335" spans="2:35" hidden="1">
      <c r="B335">
        <v>334</v>
      </c>
      <c r="C335" s="13" t="s">
        <v>55</v>
      </c>
      <c r="D335" t="s">
        <v>20</v>
      </c>
      <c r="E335" t="s">
        <v>3</v>
      </c>
      <c r="F335">
        <v>10</v>
      </c>
      <c r="G335" t="s">
        <v>17</v>
      </c>
      <c r="H335" s="5">
        <v>43831</v>
      </c>
      <c r="I335" s="5">
        <v>44562</v>
      </c>
      <c r="J335">
        <v>14</v>
      </c>
      <c r="K335">
        <v>9</v>
      </c>
      <c r="L335">
        <v>32</v>
      </c>
      <c r="M335">
        <v>68</v>
      </c>
      <c r="N335">
        <v>10000</v>
      </c>
    </row>
    <row r="336" spans="2:35" hidden="1">
      <c r="B336">
        <v>335</v>
      </c>
      <c r="C336" s="13" t="s">
        <v>55</v>
      </c>
      <c r="D336" t="s">
        <v>20</v>
      </c>
      <c r="E336" t="s">
        <v>3</v>
      </c>
      <c r="F336">
        <v>100</v>
      </c>
      <c r="G336" t="s">
        <v>17</v>
      </c>
      <c r="H336" s="5">
        <v>43831</v>
      </c>
      <c r="I336" s="5">
        <v>44562</v>
      </c>
      <c r="J336">
        <v>14</v>
      </c>
      <c r="K336">
        <v>9</v>
      </c>
      <c r="L336">
        <v>32</v>
      </c>
      <c r="M336">
        <v>68</v>
      </c>
      <c r="N336">
        <v>10000</v>
      </c>
    </row>
    <row r="337" spans="2:14" hidden="1">
      <c r="B337">
        <v>336</v>
      </c>
      <c r="C337" s="13" t="s">
        <v>55</v>
      </c>
      <c r="D337" t="s">
        <v>20</v>
      </c>
      <c r="E337" t="s">
        <v>3</v>
      </c>
      <c r="F337">
        <v>200</v>
      </c>
      <c r="G337" t="s">
        <v>17</v>
      </c>
      <c r="H337" s="5">
        <v>43831</v>
      </c>
      <c r="I337" s="5">
        <v>44562</v>
      </c>
      <c r="J337">
        <v>14</v>
      </c>
      <c r="K337">
        <v>9</v>
      </c>
      <c r="L337">
        <v>32</v>
      </c>
      <c r="M337">
        <v>68</v>
      </c>
      <c r="N337">
        <v>10000</v>
      </c>
    </row>
    <row r="338" spans="2:14" hidden="1">
      <c r="B338">
        <v>337</v>
      </c>
      <c r="C338" s="13" t="s">
        <v>55</v>
      </c>
      <c r="D338" t="s">
        <v>20</v>
      </c>
      <c r="E338" t="s">
        <v>2</v>
      </c>
      <c r="F338">
        <v>10</v>
      </c>
      <c r="G338" t="s">
        <v>17</v>
      </c>
      <c r="H338" s="5">
        <v>43831</v>
      </c>
      <c r="I338" s="5">
        <v>44562</v>
      </c>
      <c r="J338">
        <v>14</v>
      </c>
      <c r="K338">
        <v>9</v>
      </c>
      <c r="L338">
        <v>32</v>
      </c>
      <c r="M338">
        <v>68</v>
      </c>
      <c r="N338">
        <v>10000</v>
      </c>
    </row>
    <row r="339" spans="2:14" hidden="1">
      <c r="B339">
        <v>338</v>
      </c>
      <c r="C339" s="13" t="s">
        <v>55</v>
      </c>
      <c r="D339" t="s">
        <v>20</v>
      </c>
      <c r="E339" t="s">
        <v>2</v>
      </c>
      <c r="F339">
        <v>100</v>
      </c>
      <c r="G339" t="s">
        <v>17</v>
      </c>
      <c r="H339" s="5">
        <v>43831</v>
      </c>
      <c r="I339" s="5">
        <v>44562</v>
      </c>
      <c r="J339">
        <v>14</v>
      </c>
      <c r="K339">
        <v>9</v>
      </c>
      <c r="L339">
        <v>32</v>
      </c>
      <c r="M339">
        <v>68</v>
      </c>
      <c r="N339">
        <v>10000</v>
      </c>
    </row>
    <row r="340" spans="2:14" hidden="1">
      <c r="B340">
        <v>339</v>
      </c>
      <c r="C340" s="13" t="s">
        <v>55</v>
      </c>
      <c r="D340" t="s">
        <v>20</v>
      </c>
      <c r="E340" t="s">
        <v>2</v>
      </c>
      <c r="F340">
        <v>200</v>
      </c>
      <c r="G340" t="s">
        <v>17</v>
      </c>
      <c r="H340" s="5">
        <v>43831</v>
      </c>
      <c r="I340" s="5">
        <v>44562</v>
      </c>
      <c r="J340">
        <v>14</v>
      </c>
      <c r="K340">
        <v>9</v>
      </c>
      <c r="L340">
        <v>32</v>
      </c>
      <c r="M340">
        <v>68</v>
      </c>
      <c r="N340">
        <v>10000</v>
      </c>
    </row>
    <row r="341" spans="2:14" hidden="1">
      <c r="B341">
        <v>340</v>
      </c>
      <c r="C341" s="13" t="s">
        <v>55</v>
      </c>
      <c r="D341" t="s">
        <v>20</v>
      </c>
      <c r="E341" t="s">
        <v>22</v>
      </c>
      <c r="F341">
        <v>10</v>
      </c>
      <c r="G341" t="s">
        <v>17</v>
      </c>
      <c r="H341" s="5">
        <v>43831</v>
      </c>
      <c r="I341" s="5">
        <v>44562</v>
      </c>
      <c r="J341">
        <v>14</v>
      </c>
      <c r="K341">
        <v>9</v>
      </c>
      <c r="L341">
        <v>32</v>
      </c>
      <c r="M341">
        <v>68</v>
      </c>
      <c r="N341">
        <v>10000</v>
      </c>
    </row>
    <row r="342" spans="2:14" hidden="1">
      <c r="B342">
        <v>341</v>
      </c>
      <c r="C342" s="13" t="s">
        <v>55</v>
      </c>
      <c r="D342" t="s">
        <v>20</v>
      </c>
      <c r="E342" t="s">
        <v>22</v>
      </c>
      <c r="F342">
        <v>100</v>
      </c>
      <c r="G342" t="s">
        <v>17</v>
      </c>
      <c r="H342" s="5">
        <v>43831</v>
      </c>
      <c r="I342" s="5">
        <v>44562</v>
      </c>
      <c r="J342">
        <v>14</v>
      </c>
      <c r="K342">
        <v>9</v>
      </c>
      <c r="L342">
        <v>32</v>
      </c>
      <c r="M342">
        <v>68</v>
      </c>
      <c r="N342">
        <v>10000</v>
      </c>
    </row>
    <row r="343" spans="2:14" hidden="1">
      <c r="B343">
        <v>342</v>
      </c>
      <c r="C343" s="13" t="s">
        <v>55</v>
      </c>
      <c r="D343" t="s">
        <v>20</v>
      </c>
      <c r="E343" t="s">
        <v>22</v>
      </c>
      <c r="F343">
        <v>200</v>
      </c>
      <c r="G343" t="s">
        <v>17</v>
      </c>
      <c r="H343" s="5">
        <v>43831</v>
      </c>
      <c r="I343" s="5">
        <v>44562</v>
      </c>
      <c r="J343">
        <v>14</v>
      </c>
      <c r="K343">
        <v>9</v>
      </c>
      <c r="L343">
        <v>32</v>
      </c>
      <c r="M343">
        <v>68</v>
      </c>
      <c r="N343">
        <v>10000</v>
      </c>
    </row>
    <row r="344" spans="2:14" hidden="1">
      <c r="B344">
        <v>343</v>
      </c>
      <c r="C344" s="13" t="s">
        <v>55</v>
      </c>
      <c r="D344" t="s">
        <v>20</v>
      </c>
      <c r="E344" t="s">
        <v>3</v>
      </c>
      <c r="F344">
        <v>10</v>
      </c>
      <c r="G344" t="s">
        <v>17</v>
      </c>
      <c r="H344" s="5">
        <v>43831</v>
      </c>
      <c r="I344" s="5">
        <v>44562</v>
      </c>
      <c r="J344">
        <v>14</v>
      </c>
      <c r="K344">
        <v>9</v>
      </c>
      <c r="L344">
        <v>28</v>
      </c>
      <c r="M344">
        <v>72</v>
      </c>
      <c r="N344">
        <v>10000</v>
      </c>
    </row>
    <row r="345" spans="2:14" hidden="1">
      <c r="B345">
        <v>344</v>
      </c>
      <c r="C345" s="13" t="s">
        <v>55</v>
      </c>
      <c r="D345" t="s">
        <v>20</v>
      </c>
      <c r="E345" t="s">
        <v>3</v>
      </c>
      <c r="F345">
        <v>100</v>
      </c>
      <c r="G345" t="s">
        <v>17</v>
      </c>
      <c r="H345" s="5">
        <v>43831</v>
      </c>
      <c r="I345" s="5">
        <v>44562</v>
      </c>
      <c r="J345">
        <v>14</v>
      </c>
      <c r="K345">
        <v>9</v>
      </c>
      <c r="L345">
        <v>28</v>
      </c>
      <c r="M345">
        <v>72</v>
      </c>
      <c r="N345">
        <v>10000</v>
      </c>
    </row>
    <row r="346" spans="2:14" hidden="1">
      <c r="B346">
        <v>345</v>
      </c>
      <c r="C346" s="13" t="s">
        <v>55</v>
      </c>
      <c r="D346" t="s">
        <v>20</v>
      </c>
      <c r="E346" t="s">
        <v>3</v>
      </c>
      <c r="F346">
        <v>200</v>
      </c>
      <c r="G346" t="s">
        <v>17</v>
      </c>
      <c r="H346" s="5">
        <v>43831</v>
      </c>
      <c r="I346" s="5">
        <v>44562</v>
      </c>
      <c r="J346">
        <v>14</v>
      </c>
      <c r="K346">
        <v>9</v>
      </c>
      <c r="L346">
        <v>28</v>
      </c>
      <c r="M346">
        <v>72</v>
      </c>
      <c r="N346">
        <v>10000</v>
      </c>
    </row>
    <row r="347" spans="2:14" hidden="1">
      <c r="B347">
        <v>346</v>
      </c>
      <c r="C347" s="13" t="s">
        <v>55</v>
      </c>
      <c r="D347" t="s">
        <v>20</v>
      </c>
      <c r="E347" t="s">
        <v>2</v>
      </c>
      <c r="F347">
        <v>10</v>
      </c>
      <c r="G347" t="s">
        <v>17</v>
      </c>
      <c r="H347" s="5">
        <v>43831</v>
      </c>
      <c r="I347" s="5">
        <v>44562</v>
      </c>
      <c r="J347">
        <v>14</v>
      </c>
      <c r="K347">
        <v>9</v>
      </c>
      <c r="L347">
        <v>28</v>
      </c>
      <c r="M347">
        <v>72</v>
      </c>
      <c r="N347">
        <v>10000</v>
      </c>
    </row>
    <row r="348" spans="2:14" hidden="1">
      <c r="B348">
        <v>347</v>
      </c>
      <c r="C348" s="13" t="s">
        <v>55</v>
      </c>
      <c r="D348" t="s">
        <v>20</v>
      </c>
      <c r="E348" t="s">
        <v>2</v>
      </c>
      <c r="F348">
        <v>100</v>
      </c>
      <c r="G348" t="s">
        <v>17</v>
      </c>
      <c r="H348" s="5">
        <v>43831</v>
      </c>
      <c r="I348" s="5">
        <v>44562</v>
      </c>
      <c r="J348">
        <v>14</v>
      </c>
      <c r="K348">
        <v>9</v>
      </c>
      <c r="L348">
        <v>28</v>
      </c>
      <c r="M348">
        <v>72</v>
      </c>
      <c r="N348">
        <v>10000</v>
      </c>
    </row>
    <row r="349" spans="2:14" hidden="1">
      <c r="B349">
        <v>348</v>
      </c>
      <c r="C349" s="13" t="s">
        <v>55</v>
      </c>
      <c r="D349" t="s">
        <v>20</v>
      </c>
      <c r="E349" t="s">
        <v>2</v>
      </c>
      <c r="F349">
        <v>200</v>
      </c>
      <c r="G349" t="s">
        <v>17</v>
      </c>
      <c r="H349" s="5">
        <v>43831</v>
      </c>
      <c r="I349" s="5">
        <v>44562</v>
      </c>
      <c r="J349">
        <v>14</v>
      </c>
      <c r="K349">
        <v>9</v>
      </c>
      <c r="L349">
        <v>28</v>
      </c>
      <c r="M349">
        <v>72</v>
      </c>
      <c r="N349">
        <v>10000</v>
      </c>
    </row>
    <row r="350" spans="2:14" hidden="1">
      <c r="B350">
        <v>349</v>
      </c>
      <c r="C350" s="13" t="s">
        <v>55</v>
      </c>
      <c r="D350" t="s">
        <v>20</v>
      </c>
      <c r="E350" t="s">
        <v>22</v>
      </c>
      <c r="F350">
        <v>10</v>
      </c>
      <c r="G350" t="s">
        <v>17</v>
      </c>
      <c r="H350" s="5">
        <v>43831</v>
      </c>
      <c r="I350" s="5">
        <v>44562</v>
      </c>
      <c r="J350">
        <v>14</v>
      </c>
      <c r="K350">
        <v>9</v>
      </c>
      <c r="L350">
        <v>28</v>
      </c>
      <c r="M350">
        <v>72</v>
      </c>
      <c r="N350">
        <v>10000</v>
      </c>
    </row>
    <row r="351" spans="2:14" hidden="1">
      <c r="B351">
        <v>350</v>
      </c>
      <c r="C351" s="13" t="s">
        <v>55</v>
      </c>
      <c r="D351" t="s">
        <v>20</v>
      </c>
      <c r="E351" t="s">
        <v>22</v>
      </c>
      <c r="F351">
        <v>100</v>
      </c>
      <c r="G351" t="s">
        <v>17</v>
      </c>
      <c r="H351" s="5">
        <v>43831</v>
      </c>
      <c r="I351" s="5">
        <v>44562</v>
      </c>
      <c r="J351">
        <v>14</v>
      </c>
      <c r="K351">
        <v>9</v>
      </c>
      <c r="L351">
        <v>28</v>
      </c>
      <c r="M351">
        <v>72</v>
      </c>
      <c r="N351">
        <v>10000</v>
      </c>
    </row>
    <row r="352" spans="2:14" hidden="1">
      <c r="B352">
        <v>351</v>
      </c>
      <c r="C352" s="13" t="s">
        <v>55</v>
      </c>
      <c r="D352" t="s">
        <v>20</v>
      </c>
      <c r="E352" t="s">
        <v>22</v>
      </c>
      <c r="F352">
        <v>200</v>
      </c>
      <c r="G352" t="s">
        <v>17</v>
      </c>
      <c r="H352" s="5">
        <v>43831</v>
      </c>
      <c r="I352" s="5">
        <v>44562</v>
      </c>
      <c r="J352">
        <v>14</v>
      </c>
      <c r="K352">
        <v>9</v>
      </c>
      <c r="L352">
        <v>28</v>
      </c>
      <c r="M352">
        <v>72</v>
      </c>
      <c r="N352">
        <v>10000</v>
      </c>
    </row>
    <row r="353" spans="2:35" hidden="1">
      <c r="B353" s="13">
        <v>352</v>
      </c>
      <c r="C353" s="13" t="s">
        <v>55</v>
      </c>
      <c r="D353" t="s">
        <v>21</v>
      </c>
      <c r="E353" t="s">
        <v>3</v>
      </c>
      <c r="F353">
        <v>10</v>
      </c>
      <c r="G353" t="s">
        <v>17</v>
      </c>
      <c r="H353" s="5">
        <v>43831</v>
      </c>
      <c r="I353" s="5">
        <v>44562</v>
      </c>
      <c r="J353">
        <v>14</v>
      </c>
      <c r="K353">
        <v>9</v>
      </c>
      <c r="L353">
        <v>30</v>
      </c>
      <c r="M353">
        <v>70</v>
      </c>
      <c r="N353">
        <v>10000</v>
      </c>
      <c r="X353" t="e">
        <f>VLOOKUP($B353&amp;X$1,Data!$A$2:$D$5000,4,FALSE)</f>
        <v>#N/A</v>
      </c>
      <c r="Y353" t="e">
        <f>VLOOKUP($B353&amp;Y$1,Data!$A$2:$D$5000,4,FALSE)</f>
        <v>#N/A</v>
      </c>
      <c r="Z353" t="e">
        <f>VLOOKUP($B353&amp;Z$1,Data!$A$2:$D$5000,4,FALSE)</f>
        <v>#N/A</v>
      </c>
      <c r="AA353" t="e">
        <f>VLOOKUP($B353&amp;AA$1,Data!$A$2:$D$5000,4,FALSE)</f>
        <v>#N/A</v>
      </c>
      <c r="AB353" t="e">
        <f>VLOOKUP($B353&amp;AB$1,Data!$A$2:$D$5000,4,FALSE)</f>
        <v>#N/A</v>
      </c>
      <c r="AC353" t="e">
        <f>VLOOKUP($B353&amp;AC$1,Data!$A$2:$D$5000,4,FALSE)</f>
        <v>#N/A</v>
      </c>
      <c r="AD353" t="e">
        <f>VLOOKUP($B353&amp;AD$1,Data!$A$2:$D$5000,4,FALSE)</f>
        <v>#N/A</v>
      </c>
      <c r="AE353" t="e">
        <f>VLOOKUP($B353&amp;AE$1,Data!$A$2:$D$5000,4,FALSE)</f>
        <v>#N/A</v>
      </c>
      <c r="AF353" t="e">
        <f>VLOOKUP($B353&amp;AF$1,Data!$A$2:$D$5000,4,FALSE)</f>
        <v>#N/A</v>
      </c>
      <c r="AG353" t="e">
        <f>VLOOKUP($B353&amp;AG$1,Data!$A$2:$D$5000,4,FALSE)</f>
        <v>#N/A</v>
      </c>
      <c r="AH353" t="e">
        <f>VLOOKUP($B353&amp;AH$1,Data!$A$2:$D$5000,4,FALSE)</f>
        <v>#N/A</v>
      </c>
      <c r="AI353" t="e">
        <f>VLOOKUP($B353&amp;AI$1,Data!$A$2:$D$5000,4,FALSE)</f>
        <v>#N/A</v>
      </c>
    </row>
    <row r="354" spans="2:35" hidden="1">
      <c r="B354" s="13">
        <v>353</v>
      </c>
      <c r="C354" s="13" t="s">
        <v>55</v>
      </c>
      <c r="D354" t="s">
        <v>21</v>
      </c>
      <c r="E354" t="s">
        <v>3</v>
      </c>
      <c r="F354">
        <v>100</v>
      </c>
      <c r="G354" t="s">
        <v>17</v>
      </c>
      <c r="H354" s="5">
        <v>43831</v>
      </c>
      <c r="I354" s="5">
        <v>44562</v>
      </c>
      <c r="J354">
        <v>14</v>
      </c>
      <c r="K354">
        <v>9</v>
      </c>
      <c r="L354">
        <v>30</v>
      </c>
      <c r="M354">
        <v>70</v>
      </c>
      <c r="N354">
        <v>10000</v>
      </c>
      <c r="X354" t="e">
        <f>VLOOKUP($B354&amp;X$1,Data!$A$2:$D$5000,4,FALSE)</f>
        <v>#N/A</v>
      </c>
      <c r="Y354" t="e">
        <f>VLOOKUP($B354&amp;Y$1,Data!$A$2:$D$5000,4,FALSE)</f>
        <v>#N/A</v>
      </c>
      <c r="Z354" t="e">
        <f>VLOOKUP($B354&amp;Z$1,Data!$A$2:$D$5000,4,FALSE)</f>
        <v>#N/A</v>
      </c>
      <c r="AA354" t="e">
        <f>VLOOKUP($B354&amp;AA$1,Data!$A$2:$D$5000,4,FALSE)</f>
        <v>#N/A</v>
      </c>
      <c r="AB354" t="e">
        <f>VLOOKUP($B354&amp;AB$1,Data!$A$2:$D$5000,4,FALSE)</f>
        <v>#N/A</v>
      </c>
      <c r="AC354" t="e">
        <f>VLOOKUP($B354&amp;AC$1,Data!$A$2:$D$5000,4,FALSE)</f>
        <v>#N/A</v>
      </c>
      <c r="AD354" t="e">
        <f>VLOOKUP($B354&amp;AD$1,Data!$A$2:$D$5000,4,FALSE)</f>
        <v>#N/A</v>
      </c>
      <c r="AE354" t="e">
        <f>VLOOKUP($B354&amp;AE$1,Data!$A$2:$D$5000,4,FALSE)</f>
        <v>#N/A</v>
      </c>
      <c r="AF354" t="e">
        <f>VLOOKUP($B354&amp;AF$1,Data!$A$2:$D$5000,4,FALSE)</f>
        <v>#N/A</v>
      </c>
      <c r="AG354" t="e">
        <f>VLOOKUP($B354&amp;AG$1,Data!$A$2:$D$5000,4,FALSE)</f>
        <v>#N/A</v>
      </c>
      <c r="AH354" t="e">
        <f>VLOOKUP($B354&amp;AH$1,Data!$A$2:$D$5000,4,FALSE)</f>
        <v>#N/A</v>
      </c>
      <c r="AI354" t="e">
        <f>VLOOKUP($B354&amp;AI$1,Data!$A$2:$D$5000,4,FALSE)</f>
        <v>#N/A</v>
      </c>
    </row>
    <row r="355" spans="2:35" hidden="1">
      <c r="B355" s="13">
        <v>354</v>
      </c>
      <c r="C355" s="13" t="s">
        <v>55</v>
      </c>
      <c r="D355" t="s">
        <v>21</v>
      </c>
      <c r="E355" t="s">
        <v>3</v>
      </c>
      <c r="F355">
        <v>200</v>
      </c>
      <c r="G355" t="s">
        <v>17</v>
      </c>
      <c r="H355" s="5">
        <v>43831</v>
      </c>
      <c r="I355" s="5">
        <v>44562</v>
      </c>
      <c r="J355">
        <v>14</v>
      </c>
      <c r="K355">
        <v>9</v>
      </c>
      <c r="L355">
        <v>30</v>
      </c>
      <c r="M355">
        <v>70</v>
      </c>
      <c r="N355">
        <v>10000</v>
      </c>
      <c r="X355" t="e">
        <f>VLOOKUP($B355&amp;X$1,Data!$A$2:$D$5000,4,FALSE)</f>
        <v>#N/A</v>
      </c>
      <c r="Y355" t="e">
        <f>VLOOKUP($B355&amp;Y$1,Data!$A$2:$D$5000,4,FALSE)</f>
        <v>#N/A</v>
      </c>
      <c r="Z355" t="e">
        <f>VLOOKUP($B355&amp;Z$1,Data!$A$2:$D$5000,4,FALSE)</f>
        <v>#N/A</v>
      </c>
      <c r="AA355" t="e">
        <f>VLOOKUP($B355&amp;AA$1,Data!$A$2:$D$5000,4,FALSE)</f>
        <v>#N/A</v>
      </c>
      <c r="AB355" t="e">
        <f>VLOOKUP($B355&amp;AB$1,Data!$A$2:$D$5000,4,FALSE)</f>
        <v>#N/A</v>
      </c>
      <c r="AC355" t="e">
        <f>VLOOKUP($B355&amp;AC$1,Data!$A$2:$D$5000,4,FALSE)</f>
        <v>#N/A</v>
      </c>
      <c r="AD355" t="e">
        <f>VLOOKUP($B355&amp;AD$1,Data!$A$2:$D$5000,4,FALSE)</f>
        <v>#N/A</v>
      </c>
      <c r="AE355" t="e">
        <f>VLOOKUP($B355&amp;AE$1,Data!$A$2:$D$5000,4,FALSE)</f>
        <v>#N/A</v>
      </c>
      <c r="AF355" t="e">
        <f>VLOOKUP($B355&amp;AF$1,Data!$A$2:$D$5000,4,FALSE)</f>
        <v>#N/A</v>
      </c>
      <c r="AG355" t="e">
        <f>VLOOKUP($B355&amp;AG$1,Data!$A$2:$D$5000,4,FALSE)</f>
        <v>#N/A</v>
      </c>
      <c r="AH355" t="e">
        <f>VLOOKUP($B355&amp;AH$1,Data!$A$2:$D$5000,4,FALSE)</f>
        <v>#N/A</v>
      </c>
      <c r="AI355" t="e">
        <f>VLOOKUP($B355&amp;AI$1,Data!$A$2:$D$5000,4,FALSE)</f>
        <v>#N/A</v>
      </c>
    </row>
    <row r="356" spans="2:35" hidden="1">
      <c r="B356">
        <v>355</v>
      </c>
      <c r="C356" s="13" t="s">
        <v>55</v>
      </c>
      <c r="D356" t="s">
        <v>21</v>
      </c>
      <c r="E356" t="s">
        <v>2</v>
      </c>
      <c r="F356">
        <v>10</v>
      </c>
      <c r="G356" t="s">
        <v>17</v>
      </c>
      <c r="H356" s="5">
        <v>43831</v>
      </c>
      <c r="I356" s="5">
        <v>44562</v>
      </c>
      <c r="J356">
        <v>14</v>
      </c>
      <c r="K356">
        <v>9</v>
      </c>
      <c r="L356">
        <v>30</v>
      </c>
      <c r="M356">
        <v>70</v>
      </c>
      <c r="N356">
        <v>10000</v>
      </c>
      <c r="X356" t="e">
        <f>VLOOKUP($B356&amp;X$1,Data!$A$2:$D$5000,4,FALSE)</f>
        <v>#N/A</v>
      </c>
      <c r="Y356" t="e">
        <f>VLOOKUP($B356&amp;Y$1,Data!$A$2:$D$5000,4,FALSE)</f>
        <v>#N/A</v>
      </c>
      <c r="Z356" t="e">
        <f>VLOOKUP($B356&amp;Z$1,Data!$A$2:$D$5000,4,FALSE)</f>
        <v>#N/A</v>
      </c>
      <c r="AA356" t="e">
        <f>VLOOKUP($B356&amp;AA$1,Data!$A$2:$D$5000,4,FALSE)</f>
        <v>#N/A</v>
      </c>
      <c r="AB356" t="e">
        <f>VLOOKUP($B356&amp;AB$1,Data!$A$2:$D$5000,4,FALSE)</f>
        <v>#N/A</v>
      </c>
      <c r="AC356" t="e">
        <f>VLOOKUP($B356&amp;AC$1,Data!$A$2:$D$5000,4,FALSE)</f>
        <v>#N/A</v>
      </c>
      <c r="AD356" t="e">
        <f>VLOOKUP($B356&amp;AD$1,Data!$A$2:$D$5000,4,FALSE)</f>
        <v>#N/A</v>
      </c>
      <c r="AE356" t="e">
        <f>VLOOKUP($B356&amp;AE$1,Data!$A$2:$D$5000,4,FALSE)</f>
        <v>#N/A</v>
      </c>
      <c r="AF356" t="e">
        <f>VLOOKUP($B356&amp;AF$1,Data!$A$2:$D$5000,4,FALSE)</f>
        <v>#N/A</v>
      </c>
      <c r="AG356" t="e">
        <f>VLOOKUP($B356&amp;AG$1,Data!$A$2:$D$5000,4,FALSE)</f>
        <v>#N/A</v>
      </c>
      <c r="AH356" t="e">
        <f>VLOOKUP($B356&amp;AH$1,Data!$A$2:$D$5000,4,FALSE)</f>
        <v>#N/A</v>
      </c>
      <c r="AI356" t="e">
        <f>VLOOKUP($B356&amp;AI$1,Data!$A$2:$D$5000,4,FALSE)</f>
        <v>#N/A</v>
      </c>
    </row>
    <row r="357" spans="2:35" hidden="1">
      <c r="B357">
        <v>356</v>
      </c>
      <c r="C357" s="13" t="s">
        <v>55</v>
      </c>
      <c r="D357" t="s">
        <v>21</v>
      </c>
      <c r="E357" t="s">
        <v>2</v>
      </c>
      <c r="F357">
        <v>100</v>
      </c>
      <c r="G357" t="s">
        <v>17</v>
      </c>
      <c r="H357" s="5">
        <v>43831</v>
      </c>
      <c r="I357" s="5">
        <v>44562</v>
      </c>
      <c r="J357">
        <v>14</v>
      </c>
      <c r="K357">
        <v>9</v>
      </c>
      <c r="L357">
        <v>30</v>
      </c>
      <c r="M357">
        <v>70</v>
      </c>
      <c r="N357">
        <v>10000</v>
      </c>
      <c r="X357" t="e">
        <f>VLOOKUP($B357&amp;X$1,Data!$A$2:$D$5000,4,FALSE)</f>
        <v>#N/A</v>
      </c>
      <c r="Y357" t="e">
        <f>VLOOKUP($B357&amp;Y$1,Data!$A$2:$D$5000,4,FALSE)</f>
        <v>#N/A</v>
      </c>
      <c r="Z357" t="e">
        <f>VLOOKUP($B357&amp;Z$1,Data!$A$2:$D$5000,4,FALSE)</f>
        <v>#N/A</v>
      </c>
      <c r="AA357" t="e">
        <f>VLOOKUP($B357&amp;AA$1,Data!$A$2:$D$5000,4,FALSE)</f>
        <v>#N/A</v>
      </c>
      <c r="AB357" t="e">
        <f>VLOOKUP($B357&amp;AB$1,Data!$A$2:$D$5000,4,FALSE)</f>
        <v>#N/A</v>
      </c>
      <c r="AC357" t="e">
        <f>VLOOKUP($B357&amp;AC$1,Data!$A$2:$D$5000,4,FALSE)</f>
        <v>#N/A</v>
      </c>
      <c r="AD357" t="e">
        <f>VLOOKUP($B357&amp;AD$1,Data!$A$2:$D$5000,4,FALSE)</f>
        <v>#N/A</v>
      </c>
      <c r="AE357" t="e">
        <f>VLOOKUP($B357&amp;AE$1,Data!$A$2:$D$5000,4,FALSE)</f>
        <v>#N/A</v>
      </c>
      <c r="AF357" t="e">
        <f>VLOOKUP($B357&amp;AF$1,Data!$A$2:$D$5000,4,FALSE)</f>
        <v>#N/A</v>
      </c>
      <c r="AG357" t="e">
        <f>VLOOKUP($B357&amp;AG$1,Data!$A$2:$D$5000,4,FALSE)</f>
        <v>#N/A</v>
      </c>
      <c r="AH357" t="e">
        <f>VLOOKUP($B357&amp;AH$1,Data!$A$2:$D$5000,4,FALSE)</f>
        <v>#N/A</v>
      </c>
      <c r="AI357" t="e">
        <f>VLOOKUP($B357&amp;AI$1,Data!$A$2:$D$5000,4,FALSE)</f>
        <v>#N/A</v>
      </c>
    </row>
    <row r="358" spans="2:35" hidden="1">
      <c r="B358">
        <v>357</v>
      </c>
      <c r="C358" s="13" t="s">
        <v>55</v>
      </c>
      <c r="D358" t="s">
        <v>21</v>
      </c>
      <c r="E358" t="s">
        <v>2</v>
      </c>
      <c r="F358">
        <v>200</v>
      </c>
      <c r="G358" t="s">
        <v>17</v>
      </c>
      <c r="H358" s="5">
        <v>43831</v>
      </c>
      <c r="I358" s="5">
        <v>44562</v>
      </c>
      <c r="J358">
        <v>14</v>
      </c>
      <c r="K358">
        <v>9</v>
      </c>
      <c r="L358">
        <v>30</v>
      </c>
      <c r="M358">
        <v>70</v>
      </c>
      <c r="N358">
        <v>10000</v>
      </c>
      <c r="X358" t="e">
        <f>VLOOKUP($B358&amp;X$1,Data!$A$2:$D$5000,4,FALSE)</f>
        <v>#N/A</v>
      </c>
      <c r="Y358" t="e">
        <f>VLOOKUP($B358&amp;Y$1,Data!$A$2:$D$5000,4,FALSE)</f>
        <v>#N/A</v>
      </c>
      <c r="Z358" t="e">
        <f>VLOOKUP($B358&amp;Z$1,Data!$A$2:$D$5000,4,FALSE)</f>
        <v>#N/A</v>
      </c>
      <c r="AA358" t="e">
        <f>VLOOKUP($B358&amp;AA$1,Data!$A$2:$D$5000,4,FALSE)</f>
        <v>#N/A</v>
      </c>
      <c r="AB358" t="e">
        <f>VLOOKUP($B358&amp;AB$1,Data!$A$2:$D$5000,4,FALSE)</f>
        <v>#N/A</v>
      </c>
      <c r="AC358" t="e">
        <f>VLOOKUP($B358&amp;AC$1,Data!$A$2:$D$5000,4,FALSE)</f>
        <v>#N/A</v>
      </c>
      <c r="AD358" t="e">
        <f>VLOOKUP($B358&amp;AD$1,Data!$A$2:$D$5000,4,FALSE)</f>
        <v>#N/A</v>
      </c>
      <c r="AE358" t="e">
        <f>VLOOKUP($B358&amp;AE$1,Data!$A$2:$D$5000,4,FALSE)</f>
        <v>#N/A</v>
      </c>
      <c r="AF358" t="e">
        <f>VLOOKUP($B358&amp;AF$1,Data!$A$2:$D$5000,4,FALSE)</f>
        <v>#N/A</v>
      </c>
      <c r="AG358" t="e">
        <f>VLOOKUP($B358&amp;AG$1,Data!$A$2:$D$5000,4,FALSE)</f>
        <v>#N/A</v>
      </c>
      <c r="AH358" t="e">
        <f>VLOOKUP($B358&amp;AH$1,Data!$A$2:$D$5000,4,FALSE)</f>
        <v>#N/A</v>
      </c>
      <c r="AI358" t="e">
        <f>VLOOKUP($B358&amp;AI$1,Data!$A$2:$D$5000,4,FALSE)</f>
        <v>#N/A</v>
      </c>
    </row>
    <row r="359" spans="2:35" hidden="1">
      <c r="B359">
        <v>358</v>
      </c>
      <c r="C359" s="13" t="s">
        <v>55</v>
      </c>
      <c r="D359" t="s">
        <v>21</v>
      </c>
      <c r="E359" t="s">
        <v>22</v>
      </c>
      <c r="F359">
        <v>10</v>
      </c>
      <c r="G359" t="s">
        <v>17</v>
      </c>
      <c r="H359" s="5">
        <v>43831</v>
      </c>
      <c r="I359" s="5">
        <v>44562</v>
      </c>
      <c r="J359">
        <v>14</v>
      </c>
      <c r="K359">
        <v>9</v>
      </c>
      <c r="L359">
        <v>30</v>
      </c>
      <c r="M359">
        <v>70</v>
      </c>
      <c r="N359">
        <v>10000</v>
      </c>
      <c r="X359" t="e">
        <f>VLOOKUP($B359&amp;X$1,Data!$A$2:$D$5000,4,FALSE)</f>
        <v>#N/A</v>
      </c>
      <c r="Y359" t="e">
        <f>VLOOKUP($B359&amp;Y$1,Data!$A$2:$D$5000,4,FALSE)</f>
        <v>#N/A</v>
      </c>
      <c r="Z359" t="e">
        <f>VLOOKUP($B359&amp;Z$1,Data!$A$2:$D$5000,4,FALSE)</f>
        <v>#N/A</v>
      </c>
      <c r="AA359" t="e">
        <f>VLOOKUP($B359&amp;AA$1,Data!$A$2:$D$5000,4,FALSE)</f>
        <v>#N/A</v>
      </c>
      <c r="AB359" t="e">
        <f>VLOOKUP($B359&amp;AB$1,Data!$A$2:$D$5000,4,FALSE)</f>
        <v>#N/A</v>
      </c>
      <c r="AC359" t="e">
        <f>VLOOKUP($B359&amp;AC$1,Data!$A$2:$D$5000,4,FALSE)</f>
        <v>#N/A</v>
      </c>
      <c r="AD359" t="e">
        <f>VLOOKUP($B359&amp;AD$1,Data!$A$2:$D$5000,4,FALSE)</f>
        <v>#N/A</v>
      </c>
      <c r="AE359" t="e">
        <f>VLOOKUP($B359&amp;AE$1,Data!$A$2:$D$5000,4,FALSE)</f>
        <v>#N/A</v>
      </c>
      <c r="AF359" t="e">
        <f>VLOOKUP($B359&amp;AF$1,Data!$A$2:$D$5000,4,FALSE)</f>
        <v>#N/A</v>
      </c>
      <c r="AG359" t="e">
        <f>VLOOKUP($B359&amp;AG$1,Data!$A$2:$D$5000,4,FALSE)</f>
        <v>#N/A</v>
      </c>
      <c r="AH359" t="e">
        <f>VLOOKUP($B359&amp;AH$1,Data!$A$2:$D$5000,4,FALSE)</f>
        <v>#N/A</v>
      </c>
      <c r="AI359" t="e">
        <f>VLOOKUP($B359&amp;AI$1,Data!$A$2:$D$5000,4,FALSE)</f>
        <v>#N/A</v>
      </c>
    </row>
    <row r="360" spans="2:35" hidden="1">
      <c r="B360">
        <v>359</v>
      </c>
      <c r="C360" s="13" t="s">
        <v>55</v>
      </c>
      <c r="D360" t="s">
        <v>21</v>
      </c>
      <c r="E360" t="s">
        <v>22</v>
      </c>
      <c r="F360">
        <v>100</v>
      </c>
      <c r="G360" t="s">
        <v>17</v>
      </c>
      <c r="H360" s="5">
        <v>43831</v>
      </c>
      <c r="I360" s="5">
        <v>44562</v>
      </c>
      <c r="J360">
        <v>14</v>
      </c>
      <c r="K360">
        <v>9</v>
      </c>
      <c r="L360">
        <v>30</v>
      </c>
      <c r="M360">
        <v>70</v>
      </c>
      <c r="N360">
        <v>10000</v>
      </c>
      <c r="X360" t="e">
        <f>VLOOKUP($B360&amp;X$1,Data!$A$2:$D$5000,4,FALSE)</f>
        <v>#N/A</v>
      </c>
      <c r="Y360" t="e">
        <f>VLOOKUP($B360&amp;Y$1,Data!$A$2:$D$5000,4,FALSE)</f>
        <v>#N/A</v>
      </c>
      <c r="Z360" t="e">
        <f>VLOOKUP($B360&amp;Z$1,Data!$A$2:$D$5000,4,FALSE)</f>
        <v>#N/A</v>
      </c>
      <c r="AA360" t="e">
        <f>VLOOKUP($B360&amp;AA$1,Data!$A$2:$D$5000,4,FALSE)</f>
        <v>#N/A</v>
      </c>
      <c r="AB360" t="e">
        <f>VLOOKUP($B360&amp;AB$1,Data!$A$2:$D$5000,4,FALSE)</f>
        <v>#N/A</v>
      </c>
      <c r="AC360" t="e">
        <f>VLOOKUP($B360&amp;AC$1,Data!$A$2:$D$5000,4,FALSE)</f>
        <v>#N/A</v>
      </c>
      <c r="AD360" t="e">
        <f>VLOOKUP($B360&amp;AD$1,Data!$A$2:$D$5000,4,FALSE)</f>
        <v>#N/A</v>
      </c>
      <c r="AE360" t="e">
        <f>VLOOKUP($B360&amp;AE$1,Data!$A$2:$D$5000,4,FALSE)</f>
        <v>#N/A</v>
      </c>
      <c r="AF360" t="e">
        <f>VLOOKUP($B360&amp;AF$1,Data!$A$2:$D$5000,4,FALSE)</f>
        <v>#N/A</v>
      </c>
      <c r="AG360" t="e">
        <f>VLOOKUP($B360&amp;AG$1,Data!$A$2:$D$5000,4,FALSE)</f>
        <v>#N/A</v>
      </c>
      <c r="AH360" t="e">
        <f>VLOOKUP($B360&amp;AH$1,Data!$A$2:$D$5000,4,FALSE)</f>
        <v>#N/A</v>
      </c>
      <c r="AI360" t="e">
        <f>VLOOKUP($B360&amp;AI$1,Data!$A$2:$D$5000,4,FALSE)</f>
        <v>#N/A</v>
      </c>
    </row>
    <row r="361" spans="2:35" hidden="1">
      <c r="B361">
        <v>360</v>
      </c>
      <c r="C361" s="13" t="s">
        <v>55</v>
      </c>
      <c r="D361" t="s">
        <v>21</v>
      </c>
      <c r="E361" t="s">
        <v>22</v>
      </c>
      <c r="F361">
        <v>200</v>
      </c>
      <c r="G361" t="s">
        <v>17</v>
      </c>
      <c r="H361" s="5">
        <v>43831</v>
      </c>
      <c r="I361" s="5">
        <v>44562</v>
      </c>
      <c r="J361">
        <v>14</v>
      </c>
      <c r="K361">
        <v>9</v>
      </c>
      <c r="L361">
        <v>30</v>
      </c>
      <c r="M361">
        <v>70</v>
      </c>
      <c r="N361">
        <v>10000</v>
      </c>
      <c r="X361" t="e">
        <f>VLOOKUP($B361&amp;X$1,Data!$A$2:$D$5000,4,FALSE)</f>
        <v>#N/A</v>
      </c>
      <c r="Y361" t="e">
        <f>VLOOKUP($B361&amp;Y$1,Data!$A$2:$D$5000,4,FALSE)</f>
        <v>#N/A</v>
      </c>
      <c r="Z361" t="e">
        <f>VLOOKUP($B361&amp;Z$1,Data!$A$2:$D$5000,4,FALSE)</f>
        <v>#N/A</v>
      </c>
      <c r="AA361" t="e">
        <f>VLOOKUP($B361&amp;AA$1,Data!$A$2:$D$5000,4,FALSE)</f>
        <v>#N/A</v>
      </c>
      <c r="AB361" t="e">
        <f>VLOOKUP($B361&amp;AB$1,Data!$A$2:$D$5000,4,FALSE)</f>
        <v>#N/A</v>
      </c>
      <c r="AC361" t="e">
        <f>VLOOKUP($B361&amp;AC$1,Data!$A$2:$D$5000,4,FALSE)</f>
        <v>#N/A</v>
      </c>
      <c r="AD361" t="e">
        <f>VLOOKUP($B361&amp;AD$1,Data!$A$2:$D$5000,4,FALSE)</f>
        <v>#N/A</v>
      </c>
      <c r="AE361" t="e">
        <f>VLOOKUP($B361&amp;AE$1,Data!$A$2:$D$5000,4,FALSE)</f>
        <v>#N/A</v>
      </c>
      <c r="AF361" t="e">
        <f>VLOOKUP($B361&amp;AF$1,Data!$A$2:$D$5000,4,FALSE)</f>
        <v>#N/A</v>
      </c>
      <c r="AG361" t="e">
        <f>VLOOKUP($B361&amp;AG$1,Data!$A$2:$D$5000,4,FALSE)</f>
        <v>#N/A</v>
      </c>
      <c r="AH361" t="e">
        <f>VLOOKUP($B361&amp;AH$1,Data!$A$2:$D$5000,4,FALSE)</f>
        <v>#N/A</v>
      </c>
      <c r="AI361" t="e">
        <f>VLOOKUP($B361&amp;AI$1,Data!$A$2:$D$5000,4,FALSE)</f>
        <v>#N/A</v>
      </c>
    </row>
    <row r="362" spans="2:35" hidden="1">
      <c r="B362">
        <v>361</v>
      </c>
      <c r="C362" s="13" t="s">
        <v>55</v>
      </c>
      <c r="D362" t="s">
        <v>21</v>
      </c>
      <c r="E362" t="s">
        <v>3</v>
      </c>
      <c r="F362">
        <v>10</v>
      </c>
      <c r="G362" t="s">
        <v>17</v>
      </c>
      <c r="H362" s="5">
        <v>43831</v>
      </c>
      <c r="I362" s="5">
        <v>44562</v>
      </c>
      <c r="J362">
        <v>14</v>
      </c>
      <c r="K362">
        <v>9</v>
      </c>
      <c r="L362">
        <v>32</v>
      </c>
      <c r="M362">
        <v>68</v>
      </c>
      <c r="N362">
        <v>10000</v>
      </c>
    </row>
    <row r="363" spans="2:35" hidden="1">
      <c r="B363">
        <v>362</v>
      </c>
      <c r="C363" s="13" t="s">
        <v>55</v>
      </c>
      <c r="D363" t="s">
        <v>21</v>
      </c>
      <c r="E363" t="s">
        <v>3</v>
      </c>
      <c r="F363">
        <v>100</v>
      </c>
      <c r="G363" t="s">
        <v>17</v>
      </c>
      <c r="H363" s="5">
        <v>43831</v>
      </c>
      <c r="I363" s="5">
        <v>44562</v>
      </c>
      <c r="J363">
        <v>14</v>
      </c>
      <c r="K363">
        <v>9</v>
      </c>
      <c r="L363">
        <v>32</v>
      </c>
      <c r="M363">
        <v>68</v>
      </c>
      <c r="N363">
        <v>10000</v>
      </c>
    </row>
    <row r="364" spans="2:35" hidden="1">
      <c r="B364">
        <v>363</v>
      </c>
      <c r="C364" s="13" t="s">
        <v>55</v>
      </c>
      <c r="D364" t="s">
        <v>21</v>
      </c>
      <c r="E364" t="s">
        <v>3</v>
      </c>
      <c r="F364">
        <v>200</v>
      </c>
      <c r="G364" t="s">
        <v>17</v>
      </c>
      <c r="H364" s="5">
        <v>43831</v>
      </c>
      <c r="I364" s="5">
        <v>44562</v>
      </c>
      <c r="J364">
        <v>14</v>
      </c>
      <c r="K364">
        <v>9</v>
      </c>
      <c r="L364">
        <v>32</v>
      </c>
      <c r="M364">
        <v>68</v>
      </c>
      <c r="N364">
        <v>10000</v>
      </c>
    </row>
    <row r="365" spans="2:35" hidden="1">
      <c r="B365">
        <v>364</v>
      </c>
      <c r="C365" s="13" t="s">
        <v>55</v>
      </c>
      <c r="D365" t="s">
        <v>21</v>
      </c>
      <c r="E365" t="s">
        <v>2</v>
      </c>
      <c r="F365">
        <v>10</v>
      </c>
      <c r="G365" t="s">
        <v>17</v>
      </c>
      <c r="H365" s="5">
        <v>43831</v>
      </c>
      <c r="I365" s="5">
        <v>44562</v>
      </c>
      <c r="J365">
        <v>14</v>
      </c>
      <c r="K365">
        <v>9</v>
      </c>
      <c r="L365">
        <v>32</v>
      </c>
      <c r="M365">
        <v>68</v>
      </c>
      <c r="N365">
        <v>10000</v>
      </c>
    </row>
    <row r="366" spans="2:35" hidden="1">
      <c r="B366">
        <v>365</v>
      </c>
      <c r="C366" s="13" t="s">
        <v>55</v>
      </c>
      <c r="D366" t="s">
        <v>21</v>
      </c>
      <c r="E366" t="s">
        <v>2</v>
      </c>
      <c r="F366">
        <v>100</v>
      </c>
      <c r="G366" t="s">
        <v>17</v>
      </c>
      <c r="H366" s="5">
        <v>43831</v>
      </c>
      <c r="I366" s="5">
        <v>44562</v>
      </c>
      <c r="J366">
        <v>14</v>
      </c>
      <c r="K366">
        <v>9</v>
      </c>
      <c r="L366">
        <v>32</v>
      </c>
      <c r="M366">
        <v>68</v>
      </c>
      <c r="N366">
        <v>10000</v>
      </c>
    </row>
    <row r="367" spans="2:35" hidden="1">
      <c r="B367">
        <v>366</v>
      </c>
      <c r="C367" s="13" t="s">
        <v>55</v>
      </c>
      <c r="D367" t="s">
        <v>21</v>
      </c>
      <c r="E367" t="s">
        <v>2</v>
      </c>
      <c r="F367">
        <v>200</v>
      </c>
      <c r="G367" t="s">
        <v>17</v>
      </c>
      <c r="H367" s="5">
        <v>43831</v>
      </c>
      <c r="I367" s="5">
        <v>44562</v>
      </c>
      <c r="J367">
        <v>14</v>
      </c>
      <c r="K367">
        <v>9</v>
      </c>
      <c r="L367">
        <v>32</v>
      </c>
      <c r="M367">
        <v>68</v>
      </c>
      <c r="N367">
        <v>10000</v>
      </c>
    </row>
    <row r="368" spans="2:35" hidden="1">
      <c r="B368">
        <v>367</v>
      </c>
      <c r="C368" s="13" t="s">
        <v>55</v>
      </c>
      <c r="D368" t="s">
        <v>21</v>
      </c>
      <c r="E368" t="s">
        <v>22</v>
      </c>
      <c r="F368">
        <v>10</v>
      </c>
      <c r="G368" t="s">
        <v>17</v>
      </c>
      <c r="H368" s="5">
        <v>43831</v>
      </c>
      <c r="I368" s="5">
        <v>44562</v>
      </c>
      <c r="J368">
        <v>14</v>
      </c>
      <c r="K368">
        <v>9</v>
      </c>
      <c r="L368">
        <v>32</v>
      </c>
      <c r="M368">
        <v>68</v>
      </c>
      <c r="N368">
        <v>10000</v>
      </c>
    </row>
    <row r="369" spans="2:23" hidden="1">
      <c r="B369">
        <v>368</v>
      </c>
      <c r="C369" s="13" t="s">
        <v>55</v>
      </c>
      <c r="D369" t="s">
        <v>21</v>
      </c>
      <c r="E369" t="s">
        <v>22</v>
      </c>
      <c r="F369">
        <v>100</v>
      </c>
      <c r="G369" t="s">
        <v>17</v>
      </c>
      <c r="H369" s="5">
        <v>43831</v>
      </c>
      <c r="I369" s="5">
        <v>44562</v>
      </c>
      <c r="J369">
        <v>14</v>
      </c>
      <c r="K369">
        <v>9</v>
      </c>
      <c r="L369">
        <v>32</v>
      </c>
      <c r="M369">
        <v>68</v>
      </c>
      <c r="N369">
        <v>10000</v>
      </c>
    </row>
    <row r="370" spans="2:23" hidden="1">
      <c r="B370">
        <v>369</v>
      </c>
      <c r="C370" s="13" t="s">
        <v>55</v>
      </c>
      <c r="D370" t="s">
        <v>21</v>
      </c>
      <c r="E370" t="s">
        <v>22</v>
      </c>
      <c r="F370">
        <v>200</v>
      </c>
      <c r="G370" t="s">
        <v>17</v>
      </c>
      <c r="H370" s="5">
        <v>43831</v>
      </c>
      <c r="I370" s="5">
        <v>44562</v>
      </c>
      <c r="J370">
        <v>14</v>
      </c>
      <c r="K370">
        <v>9</v>
      </c>
      <c r="L370">
        <v>32</v>
      </c>
      <c r="M370">
        <v>68</v>
      </c>
      <c r="N370">
        <v>10000</v>
      </c>
    </row>
    <row r="371" spans="2:23" hidden="1">
      <c r="B371">
        <v>370</v>
      </c>
      <c r="C371" s="13" t="s">
        <v>55</v>
      </c>
      <c r="D371" t="s">
        <v>21</v>
      </c>
      <c r="E371" t="s">
        <v>3</v>
      </c>
      <c r="F371">
        <v>10</v>
      </c>
      <c r="G371" t="s">
        <v>17</v>
      </c>
      <c r="H371" s="5">
        <v>43831</v>
      </c>
      <c r="I371" s="5">
        <v>44562</v>
      </c>
      <c r="J371">
        <v>14</v>
      </c>
      <c r="K371">
        <v>9</v>
      </c>
      <c r="L371">
        <v>28</v>
      </c>
      <c r="M371">
        <v>72</v>
      </c>
      <c r="N371">
        <v>10000</v>
      </c>
    </row>
    <row r="372" spans="2:23" hidden="1">
      <c r="B372">
        <v>371</v>
      </c>
      <c r="C372" s="13" t="s">
        <v>55</v>
      </c>
      <c r="D372" t="s">
        <v>21</v>
      </c>
      <c r="E372" t="s">
        <v>3</v>
      </c>
      <c r="F372">
        <v>100</v>
      </c>
      <c r="G372" t="s">
        <v>17</v>
      </c>
      <c r="H372" s="5">
        <v>43831</v>
      </c>
      <c r="I372" s="5">
        <v>44562</v>
      </c>
      <c r="J372">
        <v>14</v>
      </c>
      <c r="K372">
        <v>9</v>
      </c>
      <c r="L372">
        <v>28</v>
      </c>
      <c r="M372">
        <v>72</v>
      </c>
      <c r="N372">
        <v>10000</v>
      </c>
    </row>
    <row r="373" spans="2:23" hidden="1">
      <c r="B373">
        <v>372</v>
      </c>
      <c r="C373" s="13" t="s">
        <v>55</v>
      </c>
      <c r="D373" t="s">
        <v>21</v>
      </c>
      <c r="E373" t="s">
        <v>3</v>
      </c>
      <c r="F373">
        <v>200</v>
      </c>
      <c r="G373" t="s">
        <v>17</v>
      </c>
      <c r="H373" s="5">
        <v>43831</v>
      </c>
      <c r="I373" s="5">
        <v>44562</v>
      </c>
      <c r="J373">
        <v>14</v>
      </c>
      <c r="K373">
        <v>9</v>
      </c>
      <c r="L373">
        <v>28</v>
      </c>
      <c r="M373">
        <v>72</v>
      </c>
      <c r="N373">
        <v>10000</v>
      </c>
    </row>
    <row r="374" spans="2:23" hidden="1">
      <c r="B374">
        <v>373</v>
      </c>
      <c r="C374" s="13" t="s">
        <v>55</v>
      </c>
      <c r="D374" t="s">
        <v>21</v>
      </c>
      <c r="E374" t="s">
        <v>2</v>
      </c>
      <c r="F374">
        <v>10</v>
      </c>
      <c r="G374" t="s">
        <v>17</v>
      </c>
      <c r="H374" s="5">
        <v>43831</v>
      </c>
      <c r="I374" s="5">
        <v>44562</v>
      </c>
      <c r="J374">
        <v>14</v>
      </c>
      <c r="K374">
        <v>9</v>
      </c>
      <c r="L374">
        <v>28</v>
      </c>
      <c r="M374">
        <v>72</v>
      </c>
      <c r="N374">
        <v>10000</v>
      </c>
    </row>
    <row r="375" spans="2:23" hidden="1">
      <c r="B375">
        <v>374</v>
      </c>
      <c r="C375" s="13" t="s">
        <v>55</v>
      </c>
      <c r="D375" t="s">
        <v>21</v>
      </c>
      <c r="E375" t="s">
        <v>2</v>
      </c>
      <c r="F375">
        <v>100</v>
      </c>
      <c r="G375" t="s">
        <v>17</v>
      </c>
      <c r="H375" s="5">
        <v>43831</v>
      </c>
      <c r="I375" s="5">
        <v>44562</v>
      </c>
      <c r="J375">
        <v>14</v>
      </c>
      <c r="K375">
        <v>9</v>
      </c>
      <c r="L375">
        <v>28</v>
      </c>
      <c r="M375">
        <v>72</v>
      </c>
      <c r="N375">
        <v>10000</v>
      </c>
    </row>
    <row r="376" spans="2:23" hidden="1">
      <c r="B376">
        <v>375</v>
      </c>
      <c r="C376" s="13" t="s">
        <v>55</v>
      </c>
      <c r="D376" t="s">
        <v>21</v>
      </c>
      <c r="E376" t="s">
        <v>2</v>
      </c>
      <c r="F376">
        <v>200</v>
      </c>
      <c r="G376" t="s">
        <v>17</v>
      </c>
      <c r="H376" s="5">
        <v>43831</v>
      </c>
      <c r="I376" s="5">
        <v>44562</v>
      </c>
      <c r="J376">
        <v>14</v>
      </c>
      <c r="K376">
        <v>9</v>
      </c>
      <c r="L376">
        <v>28</v>
      </c>
      <c r="M376">
        <v>72</v>
      </c>
      <c r="N376">
        <v>10000</v>
      </c>
    </row>
    <row r="377" spans="2:23" hidden="1">
      <c r="B377">
        <v>376</v>
      </c>
      <c r="C377" s="13" t="s">
        <v>55</v>
      </c>
      <c r="D377" t="s">
        <v>21</v>
      </c>
      <c r="E377" t="s">
        <v>22</v>
      </c>
      <c r="F377">
        <v>10</v>
      </c>
      <c r="G377" t="s">
        <v>17</v>
      </c>
      <c r="H377" s="5">
        <v>43831</v>
      </c>
      <c r="I377" s="5">
        <v>44562</v>
      </c>
      <c r="J377">
        <v>14</v>
      </c>
      <c r="K377">
        <v>9</v>
      </c>
      <c r="L377">
        <v>28</v>
      </c>
      <c r="M377">
        <v>72</v>
      </c>
      <c r="N377">
        <v>10000</v>
      </c>
    </row>
    <row r="378" spans="2:23" hidden="1">
      <c r="B378">
        <v>377</v>
      </c>
      <c r="C378" s="13" t="s">
        <v>55</v>
      </c>
      <c r="D378" t="s">
        <v>21</v>
      </c>
      <c r="E378" t="s">
        <v>22</v>
      </c>
      <c r="F378">
        <v>100</v>
      </c>
      <c r="G378" t="s">
        <v>17</v>
      </c>
      <c r="H378" s="5">
        <v>43831</v>
      </c>
      <c r="I378" s="5">
        <v>44562</v>
      </c>
      <c r="J378">
        <v>14</v>
      </c>
      <c r="K378">
        <v>9</v>
      </c>
      <c r="L378">
        <v>28</v>
      </c>
      <c r="M378">
        <v>72</v>
      </c>
      <c r="N378">
        <v>10000</v>
      </c>
    </row>
    <row r="379" spans="2:23" hidden="1">
      <c r="B379">
        <v>378</v>
      </c>
      <c r="C379" s="13" t="s">
        <v>55</v>
      </c>
      <c r="D379" t="s">
        <v>21</v>
      </c>
      <c r="E379" t="s">
        <v>22</v>
      </c>
      <c r="F379">
        <v>200</v>
      </c>
      <c r="G379" t="s">
        <v>17</v>
      </c>
      <c r="H379" s="5">
        <v>43831</v>
      </c>
      <c r="I379" s="5">
        <v>44562</v>
      </c>
      <c r="J379">
        <v>14</v>
      </c>
      <c r="K379">
        <v>9</v>
      </c>
      <c r="L379">
        <v>28</v>
      </c>
      <c r="M379">
        <v>72</v>
      </c>
      <c r="N379">
        <v>10000</v>
      </c>
    </row>
    <row r="380" spans="2:23" hidden="1">
      <c r="B380" s="13">
        <v>379</v>
      </c>
      <c r="C380" s="13" t="s">
        <v>56</v>
      </c>
      <c r="D380" t="s">
        <v>0</v>
      </c>
      <c r="E380" t="s">
        <v>3</v>
      </c>
      <c r="F380">
        <v>100</v>
      </c>
      <c r="G380" t="s">
        <v>17</v>
      </c>
      <c r="H380" s="5">
        <v>43831</v>
      </c>
      <c r="I380" s="5">
        <v>44562</v>
      </c>
      <c r="J380">
        <v>14</v>
      </c>
      <c r="K380">
        <v>9</v>
      </c>
      <c r="L380">
        <v>30</v>
      </c>
      <c r="M380">
        <v>70</v>
      </c>
      <c r="N380">
        <v>1000000</v>
      </c>
      <c r="W380"/>
    </row>
    <row r="381" spans="2:23" hidden="1">
      <c r="B381" s="13">
        <v>380</v>
      </c>
      <c r="C381" s="13" t="s">
        <v>56</v>
      </c>
      <c r="D381" t="s">
        <v>0</v>
      </c>
      <c r="E381" t="s">
        <v>3</v>
      </c>
      <c r="F381">
        <v>1000</v>
      </c>
      <c r="G381" t="s">
        <v>17</v>
      </c>
      <c r="H381" s="5">
        <v>43831</v>
      </c>
      <c r="I381" s="5">
        <v>44562</v>
      </c>
      <c r="J381">
        <v>14</v>
      </c>
      <c r="K381">
        <v>9</v>
      </c>
      <c r="L381">
        <v>30</v>
      </c>
      <c r="M381">
        <v>70</v>
      </c>
      <c r="N381">
        <v>1000000</v>
      </c>
      <c r="W381"/>
    </row>
    <row r="382" spans="2:23" hidden="1">
      <c r="B382" s="13">
        <v>381</v>
      </c>
      <c r="C382" s="13" t="s">
        <v>56</v>
      </c>
      <c r="D382" t="s">
        <v>0</v>
      </c>
      <c r="E382" t="s">
        <v>3</v>
      </c>
      <c r="F382">
        <v>5000</v>
      </c>
      <c r="G382" t="s">
        <v>17</v>
      </c>
      <c r="H382" s="5">
        <v>43831</v>
      </c>
      <c r="I382" s="5">
        <v>44562</v>
      </c>
      <c r="J382">
        <v>14</v>
      </c>
      <c r="K382">
        <v>9</v>
      </c>
      <c r="L382">
        <v>30</v>
      </c>
      <c r="M382">
        <v>70</v>
      </c>
      <c r="N382">
        <v>1000000</v>
      </c>
      <c r="W382"/>
    </row>
    <row r="383" spans="2:23" hidden="1">
      <c r="B383" s="13">
        <v>382</v>
      </c>
      <c r="C383" s="13" t="s">
        <v>56</v>
      </c>
      <c r="D383" t="s">
        <v>0</v>
      </c>
      <c r="E383" t="s">
        <v>2</v>
      </c>
      <c r="F383">
        <v>100</v>
      </c>
      <c r="G383" t="s">
        <v>17</v>
      </c>
      <c r="H383" s="5">
        <v>43831</v>
      </c>
      <c r="I383" s="5">
        <v>44562</v>
      </c>
      <c r="J383">
        <v>14</v>
      </c>
      <c r="K383">
        <v>9</v>
      </c>
      <c r="L383">
        <v>30</v>
      </c>
      <c r="M383">
        <v>70</v>
      </c>
      <c r="N383">
        <v>1000000</v>
      </c>
      <c r="W383"/>
    </row>
    <row r="384" spans="2:23" hidden="1">
      <c r="B384" s="13">
        <v>383</v>
      </c>
      <c r="C384" s="13" t="s">
        <v>56</v>
      </c>
      <c r="D384" t="s">
        <v>0</v>
      </c>
      <c r="E384" t="s">
        <v>2</v>
      </c>
      <c r="F384">
        <v>1000</v>
      </c>
      <c r="G384" t="s">
        <v>17</v>
      </c>
      <c r="H384" s="5">
        <v>43831</v>
      </c>
      <c r="I384" s="5">
        <v>44562</v>
      </c>
      <c r="J384">
        <v>14</v>
      </c>
      <c r="K384">
        <v>9</v>
      </c>
      <c r="L384">
        <v>30</v>
      </c>
      <c r="M384">
        <v>70</v>
      </c>
      <c r="N384">
        <v>1000000</v>
      </c>
      <c r="W384"/>
    </row>
    <row r="385" spans="2:35" hidden="1">
      <c r="B385" s="13">
        <v>384</v>
      </c>
      <c r="C385" s="13" t="s">
        <v>56</v>
      </c>
      <c r="D385" t="s">
        <v>0</v>
      </c>
      <c r="E385" t="s">
        <v>2</v>
      </c>
      <c r="F385">
        <v>5000</v>
      </c>
      <c r="G385" t="s">
        <v>17</v>
      </c>
      <c r="H385" s="5">
        <v>43831</v>
      </c>
      <c r="I385" s="5">
        <v>44562</v>
      </c>
      <c r="J385">
        <v>14</v>
      </c>
      <c r="K385">
        <v>9</v>
      </c>
      <c r="L385">
        <v>30</v>
      </c>
      <c r="M385">
        <v>70</v>
      </c>
      <c r="N385">
        <v>1000000</v>
      </c>
      <c r="W385"/>
    </row>
    <row r="386" spans="2:35" hidden="1">
      <c r="B386" s="13">
        <v>385</v>
      </c>
      <c r="C386" s="13" t="s">
        <v>56</v>
      </c>
      <c r="D386" t="s">
        <v>0</v>
      </c>
      <c r="E386" t="s">
        <v>22</v>
      </c>
      <c r="F386">
        <v>100</v>
      </c>
      <c r="G386" t="s">
        <v>17</v>
      </c>
      <c r="H386" s="5">
        <v>43831</v>
      </c>
      <c r="I386" s="5">
        <v>44562</v>
      </c>
      <c r="J386">
        <v>14</v>
      </c>
      <c r="K386">
        <v>9</v>
      </c>
      <c r="L386">
        <v>30</v>
      </c>
      <c r="M386">
        <v>70</v>
      </c>
      <c r="N386">
        <v>1000000</v>
      </c>
      <c r="W386"/>
    </row>
    <row r="387" spans="2:35" hidden="1">
      <c r="B387" s="13">
        <v>386</v>
      </c>
      <c r="C387" s="13" t="s">
        <v>56</v>
      </c>
      <c r="D387" t="s">
        <v>0</v>
      </c>
      <c r="E387" t="s">
        <v>22</v>
      </c>
      <c r="F387">
        <v>1000</v>
      </c>
      <c r="G387" t="s">
        <v>17</v>
      </c>
      <c r="H387" s="5">
        <v>43831</v>
      </c>
      <c r="I387" s="5">
        <v>44562</v>
      </c>
      <c r="J387">
        <v>14</v>
      </c>
      <c r="K387">
        <v>9</v>
      </c>
      <c r="L387">
        <v>30</v>
      </c>
      <c r="M387">
        <v>70</v>
      </c>
      <c r="N387">
        <v>1000000</v>
      </c>
      <c r="W387"/>
    </row>
    <row r="388" spans="2:35" hidden="1">
      <c r="B388" s="13">
        <v>387</v>
      </c>
      <c r="C388" s="13" t="s">
        <v>56</v>
      </c>
      <c r="D388" t="s">
        <v>0</v>
      </c>
      <c r="E388" t="s">
        <v>22</v>
      </c>
      <c r="F388">
        <v>5000</v>
      </c>
      <c r="G388" t="s">
        <v>17</v>
      </c>
      <c r="H388" s="5">
        <v>43831</v>
      </c>
      <c r="I388" s="5">
        <v>44562</v>
      </c>
      <c r="J388">
        <v>14</v>
      </c>
      <c r="K388">
        <v>9</v>
      </c>
      <c r="L388">
        <v>30</v>
      </c>
      <c r="M388">
        <v>70</v>
      </c>
      <c r="N388">
        <v>1000000</v>
      </c>
      <c r="W388"/>
    </row>
    <row r="389" spans="2:35" hidden="1">
      <c r="B389" s="13">
        <v>388</v>
      </c>
      <c r="C389" s="13" t="s">
        <v>56</v>
      </c>
      <c r="D389" t="s">
        <v>0</v>
      </c>
      <c r="E389" t="s">
        <v>3</v>
      </c>
      <c r="F389">
        <v>100</v>
      </c>
      <c r="G389" t="s">
        <v>17</v>
      </c>
      <c r="H389" s="5">
        <v>43831</v>
      </c>
      <c r="I389" s="5">
        <v>44562</v>
      </c>
      <c r="J389">
        <v>14</v>
      </c>
      <c r="K389">
        <v>9</v>
      </c>
      <c r="L389">
        <v>32</v>
      </c>
      <c r="M389">
        <v>68</v>
      </c>
      <c r="N389">
        <v>1000000</v>
      </c>
      <c r="O389" t="e">
        <f>VLOOKUP($B389&amp;O$1,Data!$A$2:$D$3954,4,FALSE)</f>
        <v>#N/A</v>
      </c>
      <c r="P389" t="e">
        <f>VLOOKUP($B389&amp;P$1,Data!$A$2:$D$3954,4,FALSE)</f>
        <v>#N/A</v>
      </c>
      <c r="Q389" t="e">
        <f>VLOOKUP($B389&amp;Q$1,Data!$A$2:$D$3954,4,FALSE)</f>
        <v>#N/A</v>
      </c>
      <c r="R389" t="e">
        <f>VLOOKUP($B389&amp;R$1,Data!$A$2:$D$3954,4,FALSE)</f>
        <v>#N/A</v>
      </c>
      <c r="S389" t="e">
        <f>VLOOKUP($B389&amp;S$1,Data!$A$2:$D$3954,4,FALSE)</f>
        <v>#N/A</v>
      </c>
      <c r="T389" t="e">
        <f>VLOOKUP($B389&amp;T$1,Data!$A$2:$D$3954,4,FALSE)</f>
        <v>#N/A</v>
      </c>
      <c r="U389" t="e">
        <f>VLOOKUP($B389&amp;U$1,Data!$A$2:$D$3954,4,FALSE)</f>
        <v>#N/A</v>
      </c>
      <c r="V389" t="e">
        <f>VLOOKUP($B389&amp;V$1,Data!$A$2:$D$3954,4,FALSE)</f>
        <v>#N/A</v>
      </c>
      <c r="W389" t="e">
        <f>VLOOKUP($B389&amp;W$1,Data!$A$2:$D$3954,4,FALSE)</f>
        <v>#N/A</v>
      </c>
      <c r="X389" t="e">
        <f>VLOOKUP($B389&amp;X$1,Data!$A$2:$D$3954,4,FALSE)</f>
        <v>#N/A</v>
      </c>
      <c r="Y389" t="e">
        <f>VLOOKUP($B389&amp;Y$1,Data!$A$2:$D$3954,4,FALSE)</f>
        <v>#N/A</v>
      </c>
      <c r="Z389" t="e">
        <f>VLOOKUP($B389&amp;Z$1,Data!$A$2:$D$3954,4,FALSE)</f>
        <v>#N/A</v>
      </c>
      <c r="AA389" t="e">
        <f>VLOOKUP($B389&amp;AA$1,Data!$A$2:$D$3954,4,FALSE)</f>
        <v>#N/A</v>
      </c>
      <c r="AB389" t="e">
        <f>VLOOKUP($B389&amp;AB$1,Data!$A$2:$D$3954,4,FALSE)</f>
        <v>#N/A</v>
      </c>
      <c r="AC389" t="e">
        <f>VLOOKUP($B389&amp;AC$1,Data!$A$2:$D$3954,4,FALSE)</f>
        <v>#N/A</v>
      </c>
      <c r="AD389" t="e">
        <f>VLOOKUP($B389&amp;AD$1,Data!$A$2:$D$3954,4,FALSE)</f>
        <v>#N/A</v>
      </c>
      <c r="AE389" t="e">
        <f>VLOOKUP($B389&amp;AE$1,Data!$A$2:$D$3954,4,FALSE)</f>
        <v>#N/A</v>
      </c>
      <c r="AF389" t="e">
        <f>VLOOKUP($B389&amp;AF$1,Data!$A$2:$D$3954,4,FALSE)</f>
        <v>#N/A</v>
      </c>
      <c r="AG389" t="e">
        <f>VLOOKUP($B389&amp;AG$1,Data!$A$2:$D$3954,4,FALSE)</f>
        <v>#N/A</v>
      </c>
      <c r="AH389" t="e">
        <f>VLOOKUP($B389&amp;AH$1,Data!$A$2:$D$3954,4,FALSE)</f>
        <v>#N/A</v>
      </c>
      <c r="AI389" t="e">
        <f>VLOOKUP($B389&amp;AI$1,Data!$A$2:$D$3954,4,FALSE)</f>
        <v>#N/A</v>
      </c>
    </row>
    <row r="390" spans="2:35" hidden="1">
      <c r="B390" s="13">
        <v>389</v>
      </c>
      <c r="C390" s="13" t="s">
        <v>56</v>
      </c>
      <c r="D390" t="s">
        <v>0</v>
      </c>
      <c r="E390" t="s">
        <v>3</v>
      </c>
      <c r="F390">
        <v>1000</v>
      </c>
      <c r="G390" t="s">
        <v>17</v>
      </c>
      <c r="H390" s="5">
        <v>43831</v>
      </c>
      <c r="I390" s="5">
        <v>44562</v>
      </c>
      <c r="J390">
        <v>14</v>
      </c>
      <c r="K390">
        <v>9</v>
      </c>
      <c r="L390">
        <v>32</v>
      </c>
      <c r="M390">
        <v>68</v>
      </c>
      <c r="N390">
        <v>1000000</v>
      </c>
      <c r="O390" t="e">
        <f>VLOOKUP($B390&amp;O$1,Data!$A$2:$D$3954,4,FALSE)</f>
        <v>#N/A</v>
      </c>
      <c r="P390" t="e">
        <f>VLOOKUP($B390&amp;P$1,Data!$A$2:$D$3954,4,FALSE)</f>
        <v>#N/A</v>
      </c>
      <c r="Q390" t="e">
        <f>VLOOKUP($B390&amp;Q$1,Data!$A$2:$D$3954,4,FALSE)</f>
        <v>#N/A</v>
      </c>
      <c r="R390" t="e">
        <f>VLOOKUP($B390&amp;R$1,Data!$A$2:$D$3954,4,FALSE)</f>
        <v>#N/A</v>
      </c>
      <c r="S390" t="e">
        <f>VLOOKUP($B390&amp;S$1,Data!$A$2:$D$3954,4,FALSE)</f>
        <v>#N/A</v>
      </c>
      <c r="T390" t="e">
        <f>VLOOKUP($B390&amp;T$1,Data!$A$2:$D$3954,4,FALSE)</f>
        <v>#N/A</v>
      </c>
      <c r="U390" t="e">
        <f>VLOOKUP($B390&amp;U$1,Data!$A$2:$D$3954,4,FALSE)</f>
        <v>#N/A</v>
      </c>
      <c r="V390" t="e">
        <f>VLOOKUP($B390&amp;V$1,Data!$A$2:$D$3954,4,FALSE)</f>
        <v>#N/A</v>
      </c>
      <c r="W390" t="e">
        <f>VLOOKUP($B390&amp;W$1,Data!$A$2:$D$3954,4,FALSE)</f>
        <v>#N/A</v>
      </c>
      <c r="X390" t="e">
        <f>VLOOKUP($B390&amp;X$1,Data!$A$2:$D$3954,4,FALSE)</f>
        <v>#N/A</v>
      </c>
      <c r="Y390" t="e">
        <f>VLOOKUP($B390&amp;Y$1,Data!$A$2:$D$3954,4,FALSE)</f>
        <v>#N/A</v>
      </c>
      <c r="Z390" t="e">
        <f>VLOOKUP($B390&amp;Z$1,Data!$A$2:$D$3954,4,FALSE)</f>
        <v>#N/A</v>
      </c>
      <c r="AA390" t="e">
        <f>VLOOKUP($B390&amp;AA$1,Data!$A$2:$D$3954,4,FALSE)</f>
        <v>#N/A</v>
      </c>
      <c r="AB390" t="e">
        <f>VLOOKUP($B390&amp;AB$1,Data!$A$2:$D$3954,4,FALSE)</f>
        <v>#N/A</v>
      </c>
      <c r="AC390" t="e">
        <f>VLOOKUP($B390&amp;AC$1,Data!$A$2:$D$3954,4,FALSE)</f>
        <v>#N/A</v>
      </c>
      <c r="AD390" t="e">
        <f>VLOOKUP($B390&amp;AD$1,Data!$A$2:$D$3954,4,FALSE)</f>
        <v>#N/A</v>
      </c>
      <c r="AE390" t="e">
        <f>VLOOKUP($B390&amp;AE$1,Data!$A$2:$D$3954,4,FALSE)</f>
        <v>#N/A</v>
      </c>
      <c r="AF390" t="e">
        <f>VLOOKUP($B390&amp;AF$1,Data!$A$2:$D$3954,4,FALSE)</f>
        <v>#N/A</v>
      </c>
      <c r="AG390" t="e">
        <f>VLOOKUP($B390&amp;AG$1,Data!$A$2:$D$3954,4,FALSE)</f>
        <v>#N/A</v>
      </c>
      <c r="AH390" t="e">
        <f>VLOOKUP($B390&amp;AH$1,Data!$A$2:$D$3954,4,FALSE)</f>
        <v>#N/A</v>
      </c>
      <c r="AI390" t="e">
        <f>VLOOKUP($B390&amp;AI$1,Data!$A$2:$D$3954,4,FALSE)</f>
        <v>#N/A</v>
      </c>
    </row>
    <row r="391" spans="2:35" hidden="1">
      <c r="B391" s="13">
        <v>390</v>
      </c>
      <c r="C391" s="13" t="s">
        <v>56</v>
      </c>
      <c r="D391" t="s">
        <v>0</v>
      </c>
      <c r="E391" t="s">
        <v>3</v>
      </c>
      <c r="F391">
        <v>5000</v>
      </c>
      <c r="G391" t="s">
        <v>17</v>
      </c>
      <c r="H391" s="5">
        <v>43831</v>
      </c>
      <c r="I391" s="5">
        <v>44562</v>
      </c>
      <c r="J391">
        <v>14</v>
      </c>
      <c r="K391">
        <v>9</v>
      </c>
      <c r="L391">
        <v>32</v>
      </c>
      <c r="M391">
        <v>68</v>
      </c>
      <c r="N391">
        <v>1000000</v>
      </c>
      <c r="O391" t="e">
        <f>VLOOKUP($B391&amp;O$1,Data!$A$2:$D$3954,4,FALSE)</f>
        <v>#N/A</v>
      </c>
      <c r="P391" t="e">
        <f>VLOOKUP($B391&amp;P$1,Data!$A$2:$D$3954,4,FALSE)</f>
        <v>#N/A</v>
      </c>
      <c r="Q391" t="e">
        <f>VLOOKUP($B391&amp;Q$1,Data!$A$2:$D$3954,4,FALSE)</f>
        <v>#N/A</v>
      </c>
      <c r="R391" t="e">
        <f>VLOOKUP($B391&amp;R$1,Data!$A$2:$D$3954,4,FALSE)</f>
        <v>#N/A</v>
      </c>
      <c r="S391" t="e">
        <f>VLOOKUP($B391&amp;S$1,Data!$A$2:$D$3954,4,FALSE)</f>
        <v>#N/A</v>
      </c>
      <c r="T391" t="e">
        <f>VLOOKUP($B391&amp;T$1,Data!$A$2:$D$3954,4,FALSE)</f>
        <v>#N/A</v>
      </c>
      <c r="U391" t="e">
        <f>VLOOKUP($B391&amp;U$1,Data!$A$2:$D$3954,4,FALSE)</f>
        <v>#N/A</v>
      </c>
      <c r="V391" t="e">
        <f>VLOOKUP($B391&amp;V$1,Data!$A$2:$D$3954,4,FALSE)</f>
        <v>#N/A</v>
      </c>
      <c r="W391" t="e">
        <f>VLOOKUP($B391&amp;W$1,Data!$A$2:$D$3954,4,FALSE)</f>
        <v>#N/A</v>
      </c>
      <c r="X391" t="e">
        <f>VLOOKUP($B391&amp;X$1,Data!$A$2:$D$3954,4,FALSE)</f>
        <v>#N/A</v>
      </c>
      <c r="Y391" t="e">
        <f>VLOOKUP($B391&amp;Y$1,Data!$A$2:$D$3954,4,FALSE)</f>
        <v>#N/A</v>
      </c>
      <c r="Z391" t="e">
        <f>VLOOKUP($B391&amp;Z$1,Data!$A$2:$D$3954,4,FALSE)</f>
        <v>#N/A</v>
      </c>
      <c r="AA391" t="e">
        <f>VLOOKUP($B391&amp;AA$1,Data!$A$2:$D$3954,4,FALSE)</f>
        <v>#N/A</v>
      </c>
      <c r="AB391" t="e">
        <f>VLOOKUP($B391&amp;AB$1,Data!$A$2:$D$3954,4,FALSE)</f>
        <v>#N/A</v>
      </c>
      <c r="AC391" t="e">
        <f>VLOOKUP($B391&amp;AC$1,Data!$A$2:$D$3954,4,FALSE)</f>
        <v>#N/A</v>
      </c>
      <c r="AD391" t="e">
        <f>VLOOKUP($B391&amp;AD$1,Data!$A$2:$D$3954,4,FALSE)</f>
        <v>#N/A</v>
      </c>
      <c r="AE391" t="e">
        <f>VLOOKUP($B391&amp;AE$1,Data!$A$2:$D$3954,4,FALSE)</f>
        <v>#N/A</v>
      </c>
      <c r="AF391" t="e">
        <f>VLOOKUP($B391&amp;AF$1,Data!$A$2:$D$3954,4,FALSE)</f>
        <v>#N/A</v>
      </c>
      <c r="AG391" t="e">
        <f>VLOOKUP($B391&amp;AG$1,Data!$A$2:$D$3954,4,FALSE)</f>
        <v>#N/A</v>
      </c>
      <c r="AH391" t="e">
        <f>VLOOKUP($B391&amp;AH$1,Data!$A$2:$D$3954,4,FALSE)</f>
        <v>#N/A</v>
      </c>
      <c r="AI391" t="e">
        <f>VLOOKUP($B391&amp;AI$1,Data!$A$2:$D$3954,4,FALSE)</f>
        <v>#N/A</v>
      </c>
    </row>
    <row r="392" spans="2:35" hidden="1">
      <c r="B392" s="13">
        <v>391</v>
      </c>
      <c r="C392" s="13" t="s">
        <v>56</v>
      </c>
      <c r="D392" t="s">
        <v>0</v>
      </c>
      <c r="E392" t="s">
        <v>2</v>
      </c>
      <c r="F392">
        <v>100</v>
      </c>
      <c r="G392" t="s">
        <v>17</v>
      </c>
      <c r="H392" s="5">
        <v>43831</v>
      </c>
      <c r="I392" s="5">
        <v>44562</v>
      </c>
      <c r="J392">
        <v>14</v>
      </c>
      <c r="K392">
        <v>9</v>
      </c>
      <c r="L392">
        <v>32</v>
      </c>
      <c r="M392">
        <v>68</v>
      </c>
      <c r="N392">
        <v>1000000</v>
      </c>
      <c r="O392" t="e">
        <f>VLOOKUP($B392&amp;O$1,Data!$A$2:$D$3954,4,FALSE)</f>
        <v>#N/A</v>
      </c>
      <c r="P392" t="e">
        <f>VLOOKUP($B392&amp;P$1,Data!$A$2:$D$3954,4,FALSE)</f>
        <v>#N/A</v>
      </c>
      <c r="Q392" t="e">
        <f>VLOOKUP($B392&amp;Q$1,Data!$A$2:$D$3954,4,FALSE)</f>
        <v>#N/A</v>
      </c>
      <c r="R392" t="e">
        <f>VLOOKUP($B392&amp;R$1,Data!$A$2:$D$3954,4,FALSE)</f>
        <v>#N/A</v>
      </c>
      <c r="S392" t="e">
        <f>VLOOKUP($B392&amp;S$1,Data!$A$2:$D$3954,4,FALSE)</f>
        <v>#N/A</v>
      </c>
      <c r="T392" t="e">
        <f>VLOOKUP($B392&amp;T$1,Data!$A$2:$D$3954,4,FALSE)</f>
        <v>#N/A</v>
      </c>
      <c r="U392" t="e">
        <f>VLOOKUP($B392&amp;U$1,Data!$A$2:$D$3954,4,FALSE)</f>
        <v>#N/A</v>
      </c>
      <c r="V392" t="e">
        <f>VLOOKUP($B392&amp;V$1,Data!$A$2:$D$3954,4,FALSE)</f>
        <v>#N/A</v>
      </c>
      <c r="W392" t="e">
        <f>VLOOKUP($B392&amp;W$1,Data!$A$2:$D$3954,4,FALSE)</f>
        <v>#N/A</v>
      </c>
      <c r="X392" t="e">
        <f>VLOOKUP($B392&amp;X$1,Data!$A$2:$D$3954,4,FALSE)</f>
        <v>#N/A</v>
      </c>
      <c r="Y392" t="e">
        <f>VLOOKUP($B392&amp;Y$1,Data!$A$2:$D$3954,4,FALSE)</f>
        <v>#N/A</v>
      </c>
      <c r="Z392" t="e">
        <f>VLOOKUP($B392&amp;Z$1,Data!$A$2:$D$3954,4,FALSE)</f>
        <v>#N/A</v>
      </c>
      <c r="AA392" t="e">
        <f>VLOOKUP($B392&amp;AA$1,Data!$A$2:$D$3954,4,FALSE)</f>
        <v>#N/A</v>
      </c>
      <c r="AB392" t="e">
        <f>VLOOKUP($B392&amp;AB$1,Data!$A$2:$D$3954,4,FALSE)</f>
        <v>#N/A</v>
      </c>
      <c r="AC392" t="e">
        <f>VLOOKUP($B392&amp;AC$1,Data!$A$2:$D$3954,4,FALSE)</f>
        <v>#N/A</v>
      </c>
      <c r="AD392" t="e">
        <f>VLOOKUP($B392&amp;AD$1,Data!$A$2:$D$3954,4,FALSE)</f>
        <v>#N/A</v>
      </c>
      <c r="AE392" t="e">
        <f>VLOOKUP($B392&amp;AE$1,Data!$A$2:$D$3954,4,FALSE)</f>
        <v>#N/A</v>
      </c>
      <c r="AF392" t="e">
        <f>VLOOKUP($B392&amp;AF$1,Data!$A$2:$D$3954,4,FALSE)</f>
        <v>#N/A</v>
      </c>
      <c r="AG392" t="e">
        <f>VLOOKUP($B392&amp;AG$1,Data!$A$2:$D$3954,4,FALSE)</f>
        <v>#N/A</v>
      </c>
      <c r="AH392" t="e">
        <f>VLOOKUP($B392&amp;AH$1,Data!$A$2:$D$3954,4,FALSE)</f>
        <v>#N/A</v>
      </c>
      <c r="AI392" t="e">
        <f>VLOOKUP($B392&amp;AI$1,Data!$A$2:$D$3954,4,FALSE)</f>
        <v>#N/A</v>
      </c>
    </row>
    <row r="393" spans="2:35" hidden="1">
      <c r="B393" s="13">
        <v>392</v>
      </c>
      <c r="C393" s="13" t="s">
        <v>56</v>
      </c>
      <c r="D393" t="s">
        <v>0</v>
      </c>
      <c r="E393" t="s">
        <v>2</v>
      </c>
      <c r="F393">
        <v>1000</v>
      </c>
      <c r="G393" t="s">
        <v>17</v>
      </c>
      <c r="H393" s="5">
        <v>43831</v>
      </c>
      <c r="I393" s="5">
        <v>44562</v>
      </c>
      <c r="J393">
        <v>14</v>
      </c>
      <c r="K393">
        <v>9</v>
      </c>
      <c r="L393">
        <v>32</v>
      </c>
      <c r="M393">
        <v>68</v>
      </c>
      <c r="N393">
        <v>1000000</v>
      </c>
      <c r="O393" t="e">
        <f>VLOOKUP($B393&amp;O$1,Data!$A$2:$D$3954,4,FALSE)</f>
        <v>#N/A</v>
      </c>
      <c r="P393" t="e">
        <f>VLOOKUP($B393&amp;P$1,Data!$A$2:$D$3954,4,FALSE)</f>
        <v>#N/A</v>
      </c>
      <c r="Q393" t="e">
        <f>VLOOKUP($B393&amp;Q$1,Data!$A$2:$D$3954,4,FALSE)</f>
        <v>#N/A</v>
      </c>
      <c r="R393" t="e">
        <f>VLOOKUP($B393&amp;R$1,Data!$A$2:$D$3954,4,FALSE)</f>
        <v>#N/A</v>
      </c>
      <c r="S393" t="e">
        <f>VLOOKUP($B393&amp;S$1,Data!$A$2:$D$3954,4,FALSE)</f>
        <v>#N/A</v>
      </c>
      <c r="T393" t="e">
        <f>VLOOKUP($B393&amp;T$1,Data!$A$2:$D$3954,4,FALSE)</f>
        <v>#N/A</v>
      </c>
      <c r="U393" t="e">
        <f>VLOOKUP($B393&amp;U$1,Data!$A$2:$D$3954,4,FALSE)</f>
        <v>#N/A</v>
      </c>
      <c r="V393" t="e">
        <f>VLOOKUP($B393&amp;V$1,Data!$A$2:$D$3954,4,FALSE)</f>
        <v>#N/A</v>
      </c>
      <c r="W393" t="e">
        <f>VLOOKUP($B393&amp;W$1,Data!$A$2:$D$3954,4,FALSE)</f>
        <v>#N/A</v>
      </c>
      <c r="X393" t="e">
        <f>VLOOKUP($B393&amp;X$1,Data!$A$2:$D$3954,4,FALSE)</f>
        <v>#N/A</v>
      </c>
      <c r="Y393" t="e">
        <f>VLOOKUP($B393&amp;Y$1,Data!$A$2:$D$3954,4,FALSE)</f>
        <v>#N/A</v>
      </c>
      <c r="Z393" t="e">
        <f>VLOOKUP($B393&amp;Z$1,Data!$A$2:$D$3954,4,FALSE)</f>
        <v>#N/A</v>
      </c>
      <c r="AA393" t="e">
        <f>VLOOKUP($B393&amp;AA$1,Data!$A$2:$D$3954,4,FALSE)</f>
        <v>#N/A</v>
      </c>
      <c r="AB393" t="e">
        <f>VLOOKUP($B393&amp;AB$1,Data!$A$2:$D$3954,4,FALSE)</f>
        <v>#N/A</v>
      </c>
      <c r="AC393" t="e">
        <f>VLOOKUP($B393&amp;AC$1,Data!$A$2:$D$3954,4,FALSE)</f>
        <v>#N/A</v>
      </c>
      <c r="AD393" t="e">
        <f>VLOOKUP($B393&amp;AD$1,Data!$A$2:$D$3954,4,FALSE)</f>
        <v>#N/A</v>
      </c>
      <c r="AE393" t="e">
        <f>VLOOKUP($B393&amp;AE$1,Data!$A$2:$D$3954,4,FALSE)</f>
        <v>#N/A</v>
      </c>
      <c r="AF393" t="e">
        <f>VLOOKUP($B393&amp;AF$1,Data!$A$2:$D$3954,4,FALSE)</f>
        <v>#N/A</v>
      </c>
      <c r="AG393" t="e">
        <f>VLOOKUP($B393&amp;AG$1,Data!$A$2:$D$3954,4,FALSE)</f>
        <v>#N/A</v>
      </c>
      <c r="AH393" t="e">
        <f>VLOOKUP($B393&amp;AH$1,Data!$A$2:$D$3954,4,FALSE)</f>
        <v>#N/A</v>
      </c>
      <c r="AI393" t="e">
        <f>VLOOKUP($B393&amp;AI$1,Data!$A$2:$D$3954,4,FALSE)</f>
        <v>#N/A</v>
      </c>
    </row>
    <row r="394" spans="2:35" hidden="1">
      <c r="B394" s="13">
        <v>393</v>
      </c>
      <c r="C394" s="13" t="s">
        <v>56</v>
      </c>
      <c r="D394" t="s">
        <v>0</v>
      </c>
      <c r="E394" t="s">
        <v>2</v>
      </c>
      <c r="F394">
        <v>5000</v>
      </c>
      <c r="G394" t="s">
        <v>17</v>
      </c>
      <c r="H394" s="5">
        <v>43831</v>
      </c>
      <c r="I394" s="5">
        <v>44562</v>
      </c>
      <c r="J394">
        <v>14</v>
      </c>
      <c r="K394">
        <v>9</v>
      </c>
      <c r="L394">
        <v>32</v>
      </c>
      <c r="M394">
        <v>68</v>
      </c>
      <c r="N394">
        <v>1000000</v>
      </c>
      <c r="O394" t="e">
        <f>VLOOKUP($B394&amp;O$1,Data!$A$2:$D$3954,4,FALSE)</f>
        <v>#N/A</v>
      </c>
      <c r="P394" t="e">
        <f>VLOOKUP($B394&amp;P$1,Data!$A$2:$D$3954,4,FALSE)</f>
        <v>#N/A</v>
      </c>
      <c r="Q394" t="e">
        <f>VLOOKUP($B394&amp;Q$1,Data!$A$2:$D$3954,4,FALSE)</f>
        <v>#N/A</v>
      </c>
      <c r="R394" t="e">
        <f>VLOOKUP($B394&amp;R$1,Data!$A$2:$D$3954,4,FALSE)</f>
        <v>#N/A</v>
      </c>
      <c r="S394" t="e">
        <f>VLOOKUP($B394&amp;S$1,Data!$A$2:$D$3954,4,FALSE)</f>
        <v>#N/A</v>
      </c>
      <c r="T394" t="e">
        <f>VLOOKUP($B394&amp;T$1,Data!$A$2:$D$3954,4,FALSE)</f>
        <v>#N/A</v>
      </c>
      <c r="U394" t="e">
        <f>VLOOKUP($B394&amp;U$1,Data!$A$2:$D$3954,4,FALSE)</f>
        <v>#N/A</v>
      </c>
      <c r="V394" t="e">
        <f>VLOOKUP($B394&amp;V$1,Data!$A$2:$D$3954,4,FALSE)</f>
        <v>#N/A</v>
      </c>
      <c r="W394" t="e">
        <f>VLOOKUP($B394&amp;W$1,Data!$A$2:$D$3954,4,FALSE)</f>
        <v>#N/A</v>
      </c>
      <c r="X394" t="e">
        <f>VLOOKUP($B394&amp;X$1,Data!$A$2:$D$3954,4,FALSE)</f>
        <v>#N/A</v>
      </c>
      <c r="Y394" t="e">
        <f>VLOOKUP($B394&amp;Y$1,Data!$A$2:$D$3954,4,FALSE)</f>
        <v>#N/A</v>
      </c>
      <c r="Z394" t="e">
        <f>VLOOKUP($B394&amp;Z$1,Data!$A$2:$D$3954,4,FALSE)</f>
        <v>#N/A</v>
      </c>
      <c r="AA394" t="e">
        <f>VLOOKUP($B394&amp;AA$1,Data!$A$2:$D$3954,4,FALSE)</f>
        <v>#N/A</v>
      </c>
      <c r="AB394" t="e">
        <f>VLOOKUP($B394&amp;AB$1,Data!$A$2:$D$3954,4,FALSE)</f>
        <v>#N/A</v>
      </c>
      <c r="AC394" t="e">
        <f>VLOOKUP($B394&amp;AC$1,Data!$A$2:$D$3954,4,FALSE)</f>
        <v>#N/A</v>
      </c>
      <c r="AD394" t="e">
        <f>VLOOKUP($B394&amp;AD$1,Data!$A$2:$D$3954,4,FALSE)</f>
        <v>#N/A</v>
      </c>
      <c r="AE394" t="e">
        <f>VLOOKUP($B394&amp;AE$1,Data!$A$2:$D$3954,4,FALSE)</f>
        <v>#N/A</v>
      </c>
      <c r="AF394" t="e">
        <f>VLOOKUP($B394&amp;AF$1,Data!$A$2:$D$3954,4,FALSE)</f>
        <v>#N/A</v>
      </c>
      <c r="AG394" t="e">
        <f>VLOOKUP($B394&amp;AG$1,Data!$A$2:$D$3954,4,FALSE)</f>
        <v>#N/A</v>
      </c>
      <c r="AH394" t="e">
        <f>VLOOKUP($B394&amp;AH$1,Data!$A$2:$D$3954,4,FALSE)</f>
        <v>#N/A</v>
      </c>
      <c r="AI394" t="e">
        <f>VLOOKUP($B394&amp;AI$1,Data!$A$2:$D$3954,4,FALSE)</f>
        <v>#N/A</v>
      </c>
    </row>
    <row r="395" spans="2:35" hidden="1">
      <c r="B395" s="13">
        <v>394</v>
      </c>
      <c r="C395" s="13" t="s">
        <v>56</v>
      </c>
      <c r="D395" t="s">
        <v>0</v>
      </c>
      <c r="E395" t="s">
        <v>22</v>
      </c>
      <c r="F395">
        <v>100</v>
      </c>
      <c r="G395" t="s">
        <v>17</v>
      </c>
      <c r="H395" s="5">
        <v>43831</v>
      </c>
      <c r="I395" s="5">
        <v>44562</v>
      </c>
      <c r="J395">
        <v>14</v>
      </c>
      <c r="K395">
        <v>9</v>
      </c>
      <c r="L395">
        <v>32</v>
      </c>
      <c r="M395">
        <v>68</v>
      </c>
      <c r="N395">
        <v>1000000</v>
      </c>
      <c r="O395" t="e">
        <f>VLOOKUP($B395&amp;O$1,Data!$A$2:$D$3954,4,FALSE)</f>
        <v>#N/A</v>
      </c>
      <c r="P395" t="e">
        <f>VLOOKUP($B395&amp;P$1,Data!$A$2:$D$3954,4,FALSE)</f>
        <v>#N/A</v>
      </c>
      <c r="Q395" t="e">
        <f>VLOOKUP($B395&amp;Q$1,Data!$A$2:$D$3954,4,FALSE)</f>
        <v>#N/A</v>
      </c>
      <c r="R395" t="e">
        <f>VLOOKUP($B395&amp;R$1,Data!$A$2:$D$3954,4,FALSE)</f>
        <v>#N/A</v>
      </c>
      <c r="S395" t="e">
        <f>VLOOKUP($B395&amp;S$1,Data!$A$2:$D$3954,4,FALSE)</f>
        <v>#N/A</v>
      </c>
      <c r="T395" t="e">
        <f>VLOOKUP($B395&amp;T$1,Data!$A$2:$D$3954,4,FALSE)</f>
        <v>#N/A</v>
      </c>
      <c r="U395" t="e">
        <f>VLOOKUP($B395&amp;U$1,Data!$A$2:$D$3954,4,FALSE)</f>
        <v>#N/A</v>
      </c>
      <c r="V395" t="e">
        <f>VLOOKUP($B395&amp;V$1,Data!$A$2:$D$3954,4,FALSE)</f>
        <v>#N/A</v>
      </c>
      <c r="W395" t="e">
        <f>VLOOKUP($B395&amp;W$1,Data!$A$2:$D$3954,4,FALSE)</f>
        <v>#N/A</v>
      </c>
      <c r="X395" t="e">
        <f>VLOOKUP($B395&amp;X$1,Data!$A$2:$D$3954,4,FALSE)</f>
        <v>#N/A</v>
      </c>
      <c r="Y395" t="e">
        <f>VLOOKUP($B395&amp;Y$1,Data!$A$2:$D$3954,4,FALSE)</f>
        <v>#N/A</v>
      </c>
      <c r="Z395" t="e">
        <f>VLOOKUP($B395&amp;Z$1,Data!$A$2:$D$3954,4,FALSE)</f>
        <v>#N/A</v>
      </c>
      <c r="AA395" t="e">
        <f>VLOOKUP($B395&amp;AA$1,Data!$A$2:$D$3954,4,FALSE)</f>
        <v>#N/A</v>
      </c>
      <c r="AB395" t="e">
        <f>VLOOKUP($B395&amp;AB$1,Data!$A$2:$D$3954,4,FALSE)</f>
        <v>#N/A</v>
      </c>
      <c r="AC395" t="e">
        <f>VLOOKUP($B395&amp;AC$1,Data!$A$2:$D$3954,4,FALSE)</f>
        <v>#N/A</v>
      </c>
      <c r="AD395" t="e">
        <f>VLOOKUP($B395&amp;AD$1,Data!$A$2:$D$3954,4,FALSE)</f>
        <v>#N/A</v>
      </c>
      <c r="AE395" t="e">
        <f>VLOOKUP($B395&amp;AE$1,Data!$A$2:$D$3954,4,FALSE)</f>
        <v>#N/A</v>
      </c>
      <c r="AF395" t="e">
        <f>VLOOKUP($B395&amp;AF$1,Data!$A$2:$D$3954,4,FALSE)</f>
        <v>#N/A</v>
      </c>
      <c r="AG395" t="e">
        <f>VLOOKUP($B395&amp;AG$1,Data!$A$2:$D$3954,4,FALSE)</f>
        <v>#N/A</v>
      </c>
      <c r="AH395" t="e">
        <f>VLOOKUP($B395&amp;AH$1,Data!$A$2:$D$3954,4,FALSE)</f>
        <v>#N/A</v>
      </c>
      <c r="AI395" t="e">
        <f>VLOOKUP($B395&amp;AI$1,Data!$A$2:$D$3954,4,FALSE)</f>
        <v>#N/A</v>
      </c>
    </row>
    <row r="396" spans="2:35" hidden="1">
      <c r="B396" s="13">
        <v>395</v>
      </c>
      <c r="C396" s="13" t="s">
        <v>56</v>
      </c>
      <c r="D396" t="s">
        <v>0</v>
      </c>
      <c r="E396" t="s">
        <v>22</v>
      </c>
      <c r="F396">
        <v>1000</v>
      </c>
      <c r="G396" t="s">
        <v>17</v>
      </c>
      <c r="H396" s="5">
        <v>43831</v>
      </c>
      <c r="I396" s="5">
        <v>44562</v>
      </c>
      <c r="J396">
        <v>14</v>
      </c>
      <c r="K396">
        <v>9</v>
      </c>
      <c r="L396">
        <v>32</v>
      </c>
      <c r="M396">
        <v>68</v>
      </c>
      <c r="N396">
        <v>1000000</v>
      </c>
      <c r="O396" t="e">
        <f>VLOOKUP($B396&amp;O$1,Data!$A$2:$D$3954,4,FALSE)</f>
        <v>#N/A</v>
      </c>
      <c r="P396" t="e">
        <f>VLOOKUP($B396&amp;P$1,Data!$A$2:$D$3954,4,FALSE)</f>
        <v>#N/A</v>
      </c>
      <c r="Q396" t="e">
        <f>VLOOKUP($B396&amp;Q$1,Data!$A$2:$D$3954,4,FALSE)</f>
        <v>#N/A</v>
      </c>
      <c r="R396" t="e">
        <f>VLOOKUP($B396&amp;R$1,Data!$A$2:$D$3954,4,FALSE)</f>
        <v>#N/A</v>
      </c>
      <c r="S396" t="e">
        <f>VLOOKUP($B396&amp;S$1,Data!$A$2:$D$3954,4,FALSE)</f>
        <v>#N/A</v>
      </c>
      <c r="T396" t="e">
        <f>VLOOKUP($B396&amp;T$1,Data!$A$2:$D$3954,4,FALSE)</f>
        <v>#N/A</v>
      </c>
      <c r="U396" t="e">
        <f>VLOOKUP($B396&amp;U$1,Data!$A$2:$D$3954,4,FALSE)</f>
        <v>#N/A</v>
      </c>
      <c r="V396" t="e">
        <f>VLOOKUP($B396&amp;V$1,Data!$A$2:$D$3954,4,FALSE)</f>
        <v>#N/A</v>
      </c>
      <c r="W396" t="e">
        <f>VLOOKUP($B396&amp;W$1,Data!$A$2:$D$3954,4,FALSE)</f>
        <v>#N/A</v>
      </c>
      <c r="X396" t="e">
        <f>VLOOKUP($B396&amp;X$1,Data!$A$2:$D$3954,4,FALSE)</f>
        <v>#N/A</v>
      </c>
      <c r="Y396" t="e">
        <f>VLOOKUP($B396&amp;Y$1,Data!$A$2:$D$3954,4,FALSE)</f>
        <v>#N/A</v>
      </c>
      <c r="Z396" t="e">
        <f>VLOOKUP($B396&amp;Z$1,Data!$A$2:$D$3954,4,FALSE)</f>
        <v>#N/A</v>
      </c>
      <c r="AA396" t="e">
        <f>VLOOKUP($B396&amp;AA$1,Data!$A$2:$D$3954,4,FALSE)</f>
        <v>#N/A</v>
      </c>
      <c r="AB396" t="e">
        <f>VLOOKUP($B396&amp;AB$1,Data!$A$2:$D$3954,4,FALSE)</f>
        <v>#N/A</v>
      </c>
      <c r="AC396" t="e">
        <f>VLOOKUP($B396&amp;AC$1,Data!$A$2:$D$3954,4,FALSE)</f>
        <v>#N/A</v>
      </c>
      <c r="AD396" t="e">
        <f>VLOOKUP($B396&amp;AD$1,Data!$A$2:$D$3954,4,FALSE)</f>
        <v>#N/A</v>
      </c>
      <c r="AE396" t="e">
        <f>VLOOKUP($B396&amp;AE$1,Data!$A$2:$D$3954,4,FALSE)</f>
        <v>#N/A</v>
      </c>
      <c r="AF396" t="e">
        <f>VLOOKUP($B396&amp;AF$1,Data!$A$2:$D$3954,4,FALSE)</f>
        <v>#N/A</v>
      </c>
      <c r="AG396" t="e">
        <f>VLOOKUP($B396&amp;AG$1,Data!$A$2:$D$3954,4,FALSE)</f>
        <v>#N/A</v>
      </c>
      <c r="AH396" t="e">
        <f>VLOOKUP($B396&amp;AH$1,Data!$A$2:$D$3954,4,FALSE)</f>
        <v>#N/A</v>
      </c>
      <c r="AI396" t="e">
        <f>VLOOKUP($B396&amp;AI$1,Data!$A$2:$D$3954,4,FALSE)</f>
        <v>#N/A</v>
      </c>
    </row>
    <row r="397" spans="2:35" hidden="1">
      <c r="B397" s="13">
        <v>396</v>
      </c>
      <c r="C397" s="13" t="s">
        <v>56</v>
      </c>
      <c r="D397" t="s">
        <v>0</v>
      </c>
      <c r="E397" t="s">
        <v>22</v>
      </c>
      <c r="F397">
        <v>5000</v>
      </c>
      <c r="G397" t="s">
        <v>17</v>
      </c>
      <c r="H397" s="5">
        <v>43831</v>
      </c>
      <c r="I397" s="5">
        <v>44562</v>
      </c>
      <c r="J397">
        <v>14</v>
      </c>
      <c r="K397">
        <v>9</v>
      </c>
      <c r="L397">
        <v>32</v>
      </c>
      <c r="M397">
        <v>68</v>
      </c>
      <c r="N397">
        <v>1000000</v>
      </c>
      <c r="O397" t="e">
        <f>VLOOKUP($B397&amp;O$1,Data!$A$2:$D$3954,4,FALSE)</f>
        <v>#N/A</v>
      </c>
      <c r="P397" t="e">
        <f>VLOOKUP($B397&amp;P$1,Data!$A$2:$D$3954,4,FALSE)</f>
        <v>#N/A</v>
      </c>
      <c r="Q397" t="e">
        <f>VLOOKUP($B397&amp;Q$1,Data!$A$2:$D$3954,4,FALSE)</f>
        <v>#N/A</v>
      </c>
      <c r="R397" t="e">
        <f>VLOOKUP($B397&amp;R$1,Data!$A$2:$D$3954,4,FALSE)</f>
        <v>#N/A</v>
      </c>
      <c r="S397" t="e">
        <f>VLOOKUP($B397&amp;S$1,Data!$A$2:$D$3954,4,FALSE)</f>
        <v>#N/A</v>
      </c>
      <c r="T397" t="e">
        <f>VLOOKUP($B397&amp;T$1,Data!$A$2:$D$3954,4,FALSE)</f>
        <v>#N/A</v>
      </c>
      <c r="U397" t="e">
        <f>VLOOKUP($B397&amp;U$1,Data!$A$2:$D$3954,4,FALSE)</f>
        <v>#N/A</v>
      </c>
      <c r="V397" t="e">
        <f>VLOOKUP($B397&amp;V$1,Data!$A$2:$D$3954,4,FALSE)</f>
        <v>#N/A</v>
      </c>
      <c r="W397" t="e">
        <f>VLOOKUP($B397&amp;W$1,Data!$A$2:$D$3954,4,FALSE)</f>
        <v>#N/A</v>
      </c>
      <c r="X397" t="e">
        <f>VLOOKUP($B397&amp;X$1,Data!$A$2:$D$3954,4,FALSE)</f>
        <v>#N/A</v>
      </c>
      <c r="Y397" t="e">
        <f>VLOOKUP($B397&amp;Y$1,Data!$A$2:$D$3954,4,FALSE)</f>
        <v>#N/A</v>
      </c>
      <c r="Z397" t="e">
        <f>VLOOKUP($B397&amp;Z$1,Data!$A$2:$D$3954,4,FALSE)</f>
        <v>#N/A</v>
      </c>
      <c r="AA397" t="e">
        <f>VLOOKUP($B397&amp;AA$1,Data!$A$2:$D$3954,4,FALSE)</f>
        <v>#N/A</v>
      </c>
      <c r="AB397" t="e">
        <f>VLOOKUP($B397&amp;AB$1,Data!$A$2:$D$3954,4,FALSE)</f>
        <v>#N/A</v>
      </c>
      <c r="AC397" t="e">
        <f>VLOOKUP($B397&amp;AC$1,Data!$A$2:$D$3954,4,FALSE)</f>
        <v>#N/A</v>
      </c>
      <c r="AD397" t="e">
        <f>VLOOKUP($B397&amp;AD$1,Data!$A$2:$D$3954,4,FALSE)</f>
        <v>#N/A</v>
      </c>
      <c r="AE397" t="e">
        <f>VLOOKUP($B397&amp;AE$1,Data!$A$2:$D$3954,4,FALSE)</f>
        <v>#N/A</v>
      </c>
      <c r="AF397" t="e">
        <f>VLOOKUP($B397&amp;AF$1,Data!$A$2:$D$3954,4,FALSE)</f>
        <v>#N/A</v>
      </c>
      <c r="AG397" t="e">
        <f>VLOOKUP($B397&amp;AG$1,Data!$A$2:$D$3954,4,FALSE)</f>
        <v>#N/A</v>
      </c>
      <c r="AH397" t="e">
        <f>VLOOKUP($B397&amp;AH$1,Data!$A$2:$D$3954,4,FALSE)</f>
        <v>#N/A</v>
      </c>
      <c r="AI397" t="e">
        <f>VLOOKUP($B397&amp;AI$1,Data!$A$2:$D$3954,4,FALSE)</f>
        <v>#N/A</v>
      </c>
    </row>
    <row r="398" spans="2:35" hidden="1">
      <c r="B398" s="13">
        <v>397</v>
      </c>
      <c r="C398" s="13" t="s">
        <v>56</v>
      </c>
      <c r="D398" t="s">
        <v>0</v>
      </c>
      <c r="E398" t="s">
        <v>3</v>
      </c>
      <c r="F398">
        <v>100</v>
      </c>
      <c r="G398" t="s">
        <v>17</v>
      </c>
      <c r="H398" s="5">
        <v>43831</v>
      </c>
      <c r="I398" s="5">
        <v>44562</v>
      </c>
      <c r="J398">
        <v>14</v>
      </c>
      <c r="K398">
        <v>9</v>
      </c>
      <c r="L398">
        <v>28</v>
      </c>
      <c r="M398">
        <v>72</v>
      </c>
      <c r="N398">
        <v>1000000</v>
      </c>
      <c r="O398" t="e">
        <f>VLOOKUP($B398&amp;O$1,Data!$A$2:$D$3723,4,FALSE)</f>
        <v>#N/A</v>
      </c>
      <c r="P398" t="e">
        <f>VLOOKUP($B398&amp;P$1,Data!$A$2:$D$3723,4,FALSE)</f>
        <v>#N/A</v>
      </c>
      <c r="Q398" t="e">
        <f>VLOOKUP($B398&amp;Q$1,Data!$A$2:$D$3723,4,FALSE)</f>
        <v>#N/A</v>
      </c>
      <c r="R398" t="e">
        <f>VLOOKUP($B398&amp;R$1,Data!$A$2:$D$3723,4,FALSE)</f>
        <v>#N/A</v>
      </c>
      <c r="S398" t="e">
        <f>VLOOKUP($B398&amp;S$1,Data!$A$2:$D$3723,4,FALSE)</f>
        <v>#N/A</v>
      </c>
      <c r="T398" t="e">
        <f>VLOOKUP($B398&amp;T$1,Data!$A$2:$D$3723,4,FALSE)</f>
        <v>#N/A</v>
      </c>
      <c r="U398" t="e">
        <f>VLOOKUP($B398&amp;U$1,Data!$A$2:$D$3723,4,FALSE)</f>
        <v>#N/A</v>
      </c>
      <c r="V398" t="e">
        <f>VLOOKUP($B398&amp;V$1,Data!$A$2:$D$3723,4,FALSE)</f>
        <v>#N/A</v>
      </c>
      <c r="W398" t="e">
        <f>VLOOKUP($B398&amp;W$1,Data!$A$2:$D$3723,4,FALSE)</f>
        <v>#N/A</v>
      </c>
      <c r="X398" t="e">
        <f>VLOOKUP($B398&amp;X$1,Data!$A$2:$D$3723,4,FALSE)</f>
        <v>#N/A</v>
      </c>
      <c r="Y398" t="e">
        <f>VLOOKUP($B398&amp;Y$1,Data!$A$2:$D$3723,4,FALSE)</f>
        <v>#N/A</v>
      </c>
      <c r="Z398" t="e">
        <f>VLOOKUP($B398&amp;Z$1,Data!$A$2:$D$3723,4,FALSE)</f>
        <v>#N/A</v>
      </c>
      <c r="AA398" t="e">
        <f>VLOOKUP($B398&amp;AA$1,Data!$A$2:$D$3723,4,FALSE)</f>
        <v>#N/A</v>
      </c>
      <c r="AB398" t="e">
        <f>VLOOKUP($B398&amp;AB$1,Data!$A$2:$D$3723,4,FALSE)</f>
        <v>#N/A</v>
      </c>
      <c r="AC398" t="e">
        <f>VLOOKUP($B398&amp;AC$1,Data!$A$2:$D$3723,4,FALSE)</f>
        <v>#N/A</v>
      </c>
      <c r="AD398" t="e">
        <f>VLOOKUP($B398&amp;AD$1,Data!$A$2:$D$3723,4,FALSE)</f>
        <v>#N/A</v>
      </c>
      <c r="AE398" t="e">
        <f>VLOOKUP($B398&amp;AE$1,Data!$A$2:$D$3723,4,FALSE)</f>
        <v>#N/A</v>
      </c>
      <c r="AF398" t="e">
        <f>VLOOKUP($B398&amp;AF$1,Data!$A$2:$D$3723,4,FALSE)</f>
        <v>#N/A</v>
      </c>
      <c r="AG398" t="e">
        <f>VLOOKUP($B398&amp;AG$1,Data!$A$2:$D$3723,4,FALSE)</f>
        <v>#N/A</v>
      </c>
      <c r="AH398" t="e">
        <f>VLOOKUP($B398&amp;AH$1,Data!$A$2:$D$3723,4,FALSE)</f>
        <v>#N/A</v>
      </c>
      <c r="AI398" t="e">
        <f>VLOOKUP($B398&amp;AI$1,Data!$A$2:$D$3723,4,FALSE)</f>
        <v>#N/A</v>
      </c>
    </row>
    <row r="399" spans="2:35" hidden="1">
      <c r="B399" s="13">
        <v>398</v>
      </c>
      <c r="C399" s="13" t="s">
        <v>56</v>
      </c>
      <c r="D399" t="s">
        <v>0</v>
      </c>
      <c r="E399" t="s">
        <v>3</v>
      </c>
      <c r="F399">
        <v>1000</v>
      </c>
      <c r="G399" t="s">
        <v>17</v>
      </c>
      <c r="H399" s="5">
        <v>43831</v>
      </c>
      <c r="I399" s="5">
        <v>44562</v>
      </c>
      <c r="J399">
        <v>14</v>
      </c>
      <c r="K399">
        <v>9</v>
      </c>
      <c r="L399">
        <v>28</v>
      </c>
      <c r="M399">
        <v>72</v>
      </c>
      <c r="N399">
        <v>1000000</v>
      </c>
      <c r="O399" t="e">
        <f>VLOOKUP($B399&amp;O$1,Data!$A$2:$D$3765,4,FALSE)</f>
        <v>#N/A</v>
      </c>
      <c r="P399" t="e">
        <f>VLOOKUP($B399&amp;P$1,Data!$A$2:$D$3765,4,FALSE)</f>
        <v>#N/A</v>
      </c>
      <c r="Q399" t="e">
        <f>VLOOKUP($B399&amp;Q$1,Data!$A$2:$D$3765,4,FALSE)</f>
        <v>#N/A</v>
      </c>
      <c r="R399" t="e">
        <f>VLOOKUP($B399&amp;R$1,Data!$A$2:$D$3765,4,FALSE)</f>
        <v>#N/A</v>
      </c>
      <c r="S399" t="e">
        <f>VLOOKUP($B399&amp;S$1,Data!$A$2:$D$3765,4,FALSE)</f>
        <v>#N/A</v>
      </c>
      <c r="T399" t="e">
        <f>VLOOKUP($B399&amp;T$1,Data!$A$2:$D$3765,4,FALSE)</f>
        <v>#N/A</v>
      </c>
      <c r="U399" t="e">
        <f>VLOOKUP($B399&amp;U$1,Data!$A$2:$D$3765,4,FALSE)</f>
        <v>#N/A</v>
      </c>
      <c r="V399" t="e">
        <f>VLOOKUP($B399&amp;V$1,Data!$A$2:$D$3765,4,FALSE)</f>
        <v>#N/A</v>
      </c>
      <c r="W399" t="e">
        <f>VLOOKUP($B399&amp;W$1,Data!$A$2:$D$3765,4,FALSE)</f>
        <v>#N/A</v>
      </c>
      <c r="X399" t="e">
        <f>VLOOKUP($B399&amp;X$1,Data!$A$2:$D$3765,4,FALSE)</f>
        <v>#N/A</v>
      </c>
      <c r="Y399" t="e">
        <f>VLOOKUP($B399&amp;Y$1,Data!$A$2:$D$3765,4,FALSE)</f>
        <v>#N/A</v>
      </c>
      <c r="Z399" t="e">
        <f>VLOOKUP($B399&amp;Z$1,Data!$A$2:$D$3765,4,FALSE)</f>
        <v>#N/A</v>
      </c>
      <c r="AA399" t="e">
        <f>VLOOKUP($B399&amp;AA$1,Data!$A$2:$D$3765,4,FALSE)</f>
        <v>#N/A</v>
      </c>
      <c r="AB399" t="e">
        <f>VLOOKUP($B399&amp;AB$1,Data!$A$2:$D$3765,4,FALSE)</f>
        <v>#N/A</v>
      </c>
      <c r="AC399" t="e">
        <f>VLOOKUP($B399&amp;AC$1,Data!$A$2:$D$3765,4,FALSE)</f>
        <v>#N/A</v>
      </c>
      <c r="AD399" t="e">
        <f>VLOOKUP($B399&amp;AD$1,Data!$A$2:$D$3765,4,FALSE)</f>
        <v>#N/A</v>
      </c>
      <c r="AE399" t="e">
        <f>VLOOKUP($B399&amp;AE$1,Data!$A$2:$D$3765,4,FALSE)</f>
        <v>#N/A</v>
      </c>
      <c r="AF399" t="e">
        <f>VLOOKUP($B399&amp;AF$1,Data!$A$2:$D$3765,4,FALSE)</f>
        <v>#N/A</v>
      </c>
      <c r="AG399" t="e">
        <f>VLOOKUP($B399&amp;AG$1,Data!$A$2:$D$3765,4,FALSE)</f>
        <v>#N/A</v>
      </c>
      <c r="AH399" t="e">
        <f>VLOOKUP($B399&amp;AH$1,Data!$A$2:$D$3765,4,FALSE)</f>
        <v>#N/A</v>
      </c>
      <c r="AI399" t="e">
        <f>VLOOKUP($B399&amp;AI$1,Data!$A$2:$D$3765,4,FALSE)</f>
        <v>#N/A</v>
      </c>
    </row>
    <row r="400" spans="2:35" hidden="1">
      <c r="B400" s="13">
        <v>399</v>
      </c>
      <c r="C400" s="13" t="s">
        <v>56</v>
      </c>
      <c r="D400" t="s">
        <v>0</v>
      </c>
      <c r="E400" t="s">
        <v>3</v>
      </c>
      <c r="F400">
        <v>5000</v>
      </c>
      <c r="G400" t="s">
        <v>17</v>
      </c>
      <c r="H400" s="5">
        <v>43831</v>
      </c>
      <c r="I400" s="5">
        <v>44562</v>
      </c>
      <c r="J400">
        <v>14</v>
      </c>
      <c r="K400">
        <v>9</v>
      </c>
      <c r="L400">
        <v>28</v>
      </c>
      <c r="M400">
        <v>72</v>
      </c>
      <c r="N400">
        <v>1000000</v>
      </c>
      <c r="O400" t="e">
        <f>VLOOKUP($B400&amp;O$1,Data!$A$2:$D$3744,4,FALSE)</f>
        <v>#N/A</v>
      </c>
      <c r="P400" t="e">
        <f>VLOOKUP($B400&amp;P$1,Data!$A$2:$D$3744,4,FALSE)</f>
        <v>#N/A</v>
      </c>
      <c r="Q400" t="e">
        <f>VLOOKUP($B400&amp;Q$1,Data!$A$2:$D$3744,4,FALSE)</f>
        <v>#N/A</v>
      </c>
      <c r="R400" t="e">
        <f>VLOOKUP($B400&amp;R$1,Data!$A$2:$D$3744,4,FALSE)</f>
        <v>#N/A</v>
      </c>
      <c r="S400" t="e">
        <f>VLOOKUP($B400&amp;S$1,Data!$A$2:$D$3744,4,FALSE)</f>
        <v>#N/A</v>
      </c>
      <c r="T400" t="e">
        <f>VLOOKUP($B400&amp;T$1,Data!$A$2:$D$3744,4,FALSE)</f>
        <v>#N/A</v>
      </c>
      <c r="U400" t="e">
        <f>VLOOKUP($B400&amp;U$1,Data!$A$2:$D$3744,4,FALSE)</f>
        <v>#N/A</v>
      </c>
      <c r="V400" t="e">
        <f>VLOOKUP($B400&amp;V$1,Data!$A$2:$D$3744,4,FALSE)</f>
        <v>#N/A</v>
      </c>
      <c r="W400" t="e">
        <f>VLOOKUP($B400&amp;W$1,Data!$A$2:$D$3744,4,FALSE)</f>
        <v>#N/A</v>
      </c>
      <c r="X400" t="e">
        <f>VLOOKUP($B400&amp;X$1,Data!$A$2:$D$3744,4,FALSE)</f>
        <v>#N/A</v>
      </c>
      <c r="Y400" t="e">
        <f>VLOOKUP($B400&amp;Y$1,Data!$A$2:$D$3744,4,FALSE)</f>
        <v>#N/A</v>
      </c>
      <c r="Z400" t="e">
        <f>VLOOKUP($B400&amp;Z$1,Data!$A$2:$D$3744,4,FALSE)</f>
        <v>#N/A</v>
      </c>
      <c r="AA400" t="e">
        <f>VLOOKUP($B400&amp;AA$1,Data!$A$2:$D$3744,4,FALSE)</f>
        <v>#N/A</v>
      </c>
      <c r="AB400" t="e">
        <f>VLOOKUP($B400&amp;AB$1,Data!$A$2:$D$3744,4,FALSE)</f>
        <v>#N/A</v>
      </c>
      <c r="AC400" t="e">
        <f>VLOOKUP($B400&amp;AC$1,Data!$A$2:$D$3744,4,FALSE)</f>
        <v>#N/A</v>
      </c>
      <c r="AD400" t="e">
        <f>VLOOKUP($B400&amp;AD$1,Data!$A$2:$D$3744,4,FALSE)</f>
        <v>#N/A</v>
      </c>
      <c r="AE400" t="e">
        <f>VLOOKUP($B400&amp;AE$1,Data!$A$2:$D$3744,4,FALSE)</f>
        <v>#N/A</v>
      </c>
      <c r="AF400" t="e">
        <f>VLOOKUP($B400&amp;AF$1,Data!$A$2:$D$3744,4,FALSE)</f>
        <v>#N/A</v>
      </c>
      <c r="AG400" t="e">
        <f>VLOOKUP($B400&amp;AG$1,Data!$A$2:$D$3744,4,FALSE)</f>
        <v>#N/A</v>
      </c>
      <c r="AH400" t="e">
        <f>VLOOKUP($B400&amp;AH$1,Data!$A$2:$D$3744,4,FALSE)</f>
        <v>#N/A</v>
      </c>
      <c r="AI400" t="e">
        <f>VLOOKUP($B400&amp;AI$1,Data!$A$2:$D$3744,4,FALSE)</f>
        <v>#N/A</v>
      </c>
    </row>
    <row r="401" spans="2:35" hidden="1">
      <c r="B401" s="13">
        <v>400</v>
      </c>
      <c r="C401" s="13" t="s">
        <v>56</v>
      </c>
      <c r="D401" t="s">
        <v>0</v>
      </c>
      <c r="E401" t="s">
        <v>2</v>
      </c>
      <c r="F401">
        <v>100</v>
      </c>
      <c r="G401" t="s">
        <v>17</v>
      </c>
      <c r="H401" s="5">
        <v>43831</v>
      </c>
      <c r="I401" s="5">
        <v>44562</v>
      </c>
      <c r="J401">
        <v>14</v>
      </c>
      <c r="K401">
        <v>9</v>
      </c>
      <c r="L401">
        <v>28</v>
      </c>
      <c r="M401">
        <v>72</v>
      </c>
      <c r="N401">
        <v>1000000</v>
      </c>
      <c r="O401" t="e">
        <f>VLOOKUP($B401&amp;O$1,Data!$A$2:$D$3723,4,FALSE)</f>
        <v>#N/A</v>
      </c>
      <c r="P401" t="e">
        <f>VLOOKUP($B401&amp;P$1,Data!$A$2:$D$3723,4,FALSE)</f>
        <v>#N/A</v>
      </c>
      <c r="Q401" t="e">
        <f>VLOOKUP($B401&amp;Q$1,Data!$A$2:$D$3723,4,FALSE)</f>
        <v>#N/A</v>
      </c>
      <c r="R401" t="e">
        <f>VLOOKUP($B401&amp;R$1,Data!$A$2:$D$3723,4,FALSE)</f>
        <v>#N/A</v>
      </c>
      <c r="S401" t="e">
        <f>VLOOKUP($B401&amp;S$1,Data!$A$2:$D$3723,4,FALSE)</f>
        <v>#N/A</v>
      </c>
      <c r="T401" t="e">
        <f>VLOOKUP($B401&amp;T$1,Data!$A$2:$D$3723,4,FALSE)</f>
        <v>#N/A</v>
      </c>
      <c r="U401" t="e">
        <f>VLOOKUP($B401&amp;U$1,Data!$A$2:$D$3723,4,FALSE)</f>
        <v>#N/A</v>
      </c>
      <c r="V401" t="e">
        <f>VLOOKUP($B401&amp;V$1,Data!$A$2:$D$3723,4,FALSE)</f>
        <v>#N/A</v>
      </c>
      <c r="W401" t="e">
        <f>VLOOKUP($B401&amp;W$1,Data!$A$2:$D$3723,4,FALSE)</f>
        <v>#N/A</v>
      </c>
      <c r="X401" t="e">
        <f>VLOOKUP($B401&amp;X$1,Data!$A$2:$D$3723,4,FALSE)</f>
        <v>#N/A</v>
      </c>
      <c r="Y401" t="e">
        <f>VLOOKUP($B401&amp;Y$1,Data!$A$2:$D$3723,4,FALSE)</f>
        <v>#N/A</v>
      </c>
      <c r="Z401" t="e">
        <f>VLOOKUP($B401&amp;Z$1,Data!$A$2:$D$3723,4,FALSE)</f>
        <v>#N/A</v>
      </c>
      <c r="AA401" t="e">
        <f>VLOOKUP($B401&amp;AA$1,Data!$A$2:$D$3723,4,FALSE)</f>
        <v>#N/A</v>
      </c>
      <c r="AB401" t="e">
        <f>VLOOKUP($B401&amp;AB$1,Data!$A$2:$D$3723,4,FALSE)</f>
        <v>#N/A</v>
      </c>
      <c r="AC401" t="e">
        <f>VLOOKUP($B401&amp;AC$1,Data!$A$2:$D$3723,4,FALSE)</f>
        <v>#N/A</v>
      </c>
      <c r="AD401" t="e">
        <f>VLOOKUP($B401&amp;AD$1,Data!$A$2:$D$3723,4,FALSE)</f>
        <v>#N/A</v>
      </c>
      <c r="AE401" t="e">
        <f>VLOOKUP($B401&amp;AE$1,Data!$A$2:$D$3723,4,FALSE)</f>
        <v>#N/A</v>
      </c>
      <c r="AF401" t="e">
        <f>VLOOKUP($B401&amp;AF$1,Data!$A$2:$D$3723,4,FALSE)</f>
        <v>#N/A</v>
      </c>
      <c r="AG401" t="e">
        <f>VLOOKUP($B401&amp;AG$1,Data!$A$2:$D$3723,4,FALSE)</f>
        <v>#N/A</v>
      </c>
      <c r="AH401" t="e">
        <f>VLOOKUP($B401&amp;AH$1,Data!$A$2:$D$3723,4,FALSE)</f>
        <v>#N/A</v>
      </c>
      <c r="AI401" t="e">
        <f>VLOOKUP($B401&amp;AI$1,Data!$A$2:$D$3723,4,FALSE)</f>
        <v>#N/A</v>
      </c>
    </row>
    <row r="402" spans="2:35" hidden="1">
      <c r="B402" s="13">
        <v>401</v>
      </c>
      <c r="C402" s="13" t="s">
        <v>56</v>
      </c>
      <c r="D402" t="s">
        <v>0</v>
      </c>
      <c r="E402" t="s">
        <v>2</v>
      </c>
      <c r="F402">
        <v>1000</v>
      </c>
      <c r="G402" t="s">
        <v>17</v>
      </c>
      <c r="H402" s="5">
        <v>43831</v>
      </c>
      <c r="I402" s="5">
        <v>44562</v>
      </c>
      <c r="J402">
        <v>14</v>
      </c>
      <c r="K402">
        <v>9</v>
      </c>
      <c r="L402">
        <v>28</v>
      </c>
      <c r="M402">
        <v>72</v>
      </c>
      <c r="N402">
        <v>1000000</v>
      </c>
      <c r="O402" t="e">
        <f>VLOOKUP($B402&amp;O$1,Data!$A$2:$D$3723,4,FALSE)</f>
        <v>#N/A</v>
      </c>
      <c r="P402" t="e">
        <f>VLOOKUP($B402&amp;P$1,Data!$A$2:$D$3723,4,FALSE)</f>
        <v>#N/A</v>
      </c>
      <c r="Q402" t="e">
        <f>VLOOKUP($B402&amp;Q$1,Data!$A$2:$D$3723,4,FALSE)</f>
        <v>#N/A</v>
      </c>
      <c r="R402" t="e">
        <f>VLOOKUP($B402&amp;R$1,Data!$A$2:$D$3723,4,FALSE)</f>
        <v>#N/A</v>
      </c>
      <c r="S402" t="e">
        <f>VLOOKUP($B402&amp;S$1,Data!$A$2:$D$3723,4,FALSE)</f>
        <v>#N/A</v>
      </c>
      <c r="T402" t="e">
        <f>VLOOKUP($B402&amp;T$1,Data!$A$2:$D$3723,4,FALSE)</f>
        <v>#N/A</v>
      </c>
      <c r="U402" t="e">
        <f>VLOOKUP($B402&amp;U$1,Data!$A$2:$D$3723,4,FALSE)</f>
        <v>#N/A</v>
      </c>
      <c r="V402" t="e">
        <f>VLOOKUP($B402&amp;V$1,Data!$A$2:$D$3723,4,FALSE)</f>
        <v>#N/A</v>
      </c>
      <c r="W402" t="e">
        <f>VLOOKUP($B402&amp;W$1,Data!$A$2:$D$3723,4,FALSE)</f>
        <v>#N/A</v>
      </c>
      <c r="X402" t="e">
        <f>VLOOKUP($B402&amp;X$1,Data!$A$2:$D$3723,4,FALSE)</f>
        <v>#N/A</v>
      </c>
      <c r="Y402" t="e">
        <f>VLOOKUP($B402&amp;Y$1,Data!$A$2:$D$3723,4,FALSE)</f>
        <v>#N/A</v>
      </c>
      <c r="Z402" t="e">
        <f>VLOOKUP($B402&amp;Z$1,Data!$A$2:$D$3723,4,FALSE)</f>
        <v>#N/A</v>
      </c>
      <c r="AA402" t="e">
        <f>VLOOKUP($B402&amp;AA$1,Data!$A$2:$D$3723,4,FALSE)</f>
        <v>#N/A</v>
      </c>
      <c r="AB402" t="e">
        <f>VLOOKUP($B402&amp;AB$1,Data!$A$2:$D$3723,4,FALSE)</f>
        <v>#N/A</v>
      </c>
      <c r="AC402" t="e">
        <f>VLOOKUP($B402&amp;AC$1,Data!$A$2:$D$3723,4,FALSE)</f>
        <v>#N/A</v>
      </c>
      <c r="AD402" t="e">
        <f>VLOOKUP($B402&amp;AD$1,Data!$A$2:$D$3723,4,FALSE)</f>
        <v>#N/A</v>
      </c>
      <c r="AE402" t="e">
        <f>VLOOKUP($B402&amp;AE$1,Data!$A$2:$D$3723,4,FALSE)</f>
        <v>#N/A</v>
      </c>
      <c r="AF402" t="e">
        <f>VLOOKUP($B402&amp;AF$1,Data!$A$2:$D$3723,4,FALSE)</f>
        <v>#N/A</v>
      </c>
      <c r="AG402" t="e">
        <f>VLOOKUP($B402&amp;AG$1,Data!$A$2:$D$3723,4,FALSE)</f>
        <v>#N/A</v>
      </c>
      <c r="AH402" t="e">
        <f>VLOOKUP($B402&amp;AH$1,Data!$A$2:$D$3723,4,FALSE)</f>
        <v>#N/A</v>
      </c>
      <c r="AI402" t="e">
        <f>VLOOKUP($B402&amp;AI$1,Data!$A$2:$D$3723,4,FALSE)</f>
        <v>#N/A</v>
      </c>
    </row>
    <row r="403" spans="2:35" hidden="1">
      <c r="B403" s="13">
        <v>402</v>
      </c>
      <c r="C403" s="13" t="s">
        <v>56</v>
      </c>
      <c r="D403" t="s">
        <v>0</v>
      </c>
      <c r="E403" t="s">
        <v>2</v>
      </c>
      <c r="F403">
        <v>5000</v>
      </c>
      <c r="G403" t="s">
        <v>17</v>
      </c>
      <c r="H403" s="5">
        <v>43831</v>
      </c>
      <c r="I403" s="5">
        <v>44562</v>
      </c>
      <c r="J403">
        <v>14</v>
      </c>
      <c r="K403">
        <v>9</v>
      </c>
      <c r="L403">
        <v>28</v>
      </c>
      <c r="M403">
        <v>72</v>
      </c>
      <c r="N403">
        <v>1000000</v>
      </c>
      <c r="O403" t="e">
        <f>VLOOKUP($B403&amp;O$1,Data!$A$2:$D$3723,4,FALSE)</f>
        <v>#N/A</v>
      </c>
      <c r="P403" t="e">
        <f>VLOOKUP($B403&amp;P$1,Data!$A$2:$D$3723,4,FALSE)</f>
        <v>#N/A</v>
      </c>
      <c r="Q403" t="e">
        <f>VLOOKUP($B403&amp;Q$1,Data!$A$2:$D$3723,4,FALSE)</f>
        <v>#N/A</v>
      </c>
      <c r="R403" t="e">
        <f>VLOOKUP($B403&amp;R$1,Data!$A$2:$D$3723,4,FALSE)</f>
        <v>#N/A</v>
      </c>
      <c r="S403" t="e">
        <f>VLOOKUP($B403&amp;S$1,Data!$A$2:$D$3723,4,FALSE)</f>
        <v>#N/A</v>
      </c>
      <c r="T403" t="e">
        <f>VLOOKUP($B403&amp;T$1,Data!$A$2:$D$3723,4,FALSE)</f>
        <v>#N/A</v>
      </c>
      <c r="U403" t="e">
        <f>VLOOKUP($B403&amp;U$1,Data!$A$2:$D$3723,4,FALSE)</f>
        <v>#N/A</v>
      </c>
      <c r="V403" t="e">
        <f>VLOOKUP($B403&amp;V$1,Data!$A$2:$D$3723,4,FALSE)</f>
        <v>#N/A</v>
      </c>
      <c r="W403" t="e">
        <f>VLOOKUP($B403&amp;W$1,Data!$A$2:$D$3723,4,FALSE)</f>
        <v>#N/A</v>
      </c>
      <c r="X403" t="e">
        <f>VLOOKUP($B403&amp;X$1,Data!$A$2:$D$3723,4,FALSE)</f>
        <v>#N/A</v>
      </c>
      <c r="Y403" t="e">
        <f>VLOOKUP($B403&amp;Y$1,Data!$A$2:$D$3723,4,FALSE)</f>
        <v>#N/A</v>
      </c>
      <c r="Z403" t="e">
        <f>VLOOKUP($B403&amp;Z$1,Data!$A$2:$D$3723,4,FALSE)</f>
        <v>#N/A</v>
      </c>
      <c r="AA403" t="e">
        <f>VLOOKUP($B403&amp;AA$1,Data!$A$2:$D$3723,4,FALSE)</f>
        <v>#N/A</v>
      </c>
      <c r="AB403" t="e">
        <f>VLOOKUP($B403&amp;AB$1,Data!$A$2:$D$3723,4,FALSE)</f>
        <v>#N/A</v>
      </c>
      <c r="AC403" t="e">
        <f>VLOOKUP($B403&amp;AC$1,Data!$A$2:$D$3723,4,FALSE)</f>
        <v>#N/A</v>
      </c>
      <c r="AD403" t="e">
        <f>VLOOKUP($B403&amp;AD$1,Data!$A$2:$D$3723,4,FALSE)</f>
        <v>#N/A</v>
      </c>
      <c r="AE403" t="e">
        <f>VLOOKUP($B403&amp;AE$1,Data!$A$2:$D$3723,4,FALSE)</f>
        <v>#N/A</v>
      </c>
      <c r="AF403" t="e">
        <f>VLOOKUP($B403&amp;AF$1,Data!$A$2:$D$3723,4,FALSE)</f>
        <v>#N/A</v>
      </c>
      <c r="AG403" t="e">
        <f>VLOOKUP($B403&amp;AG$1,Data!$A$2:$D$3723,4,FALSE)</f>
        <v>#N/A</v>
      </c>
      <c r="AH403" t="e">
        <f>VLOOKUP($B403&amp;AH$1,Data!$A$2:$D$3723,4,FALSE)</f>
        <v>#N/A</v>
      </c>
      <c r="AI403" t="e">
        <f>VLOOKUP($B403&amp;AI$1,Data!$A$2:$D$3723,4,FALSE)</f>
        <v>#N/A</v>
      </c>
    </row>
    <row r="404" spans="2:35" hidden="1">
      <c r="B404" s="13">
        <v>403</v>
      </c>
      <c r="C404" s="13" t="s">
        <v>56</v>
      </c>
      <c r="D404" t="s">
        <v>0</v>
      </c>
      <c r="E404" t="s">
        <v>22</v>
      </c>
      <c r="F404">
        <v>100</v>
      </c>
      <c r="G404" t="s">
        <v>17</v>
      </c>
      <c r="H404" s="5">
        <v>43831</v>
      </c>
      <c r="I404" s="5">
        <v>44562</v>
      </c>
      <c r="J404">
        <v>14</v>
      </c>
      <c r="K404">
        <v>9</v>
      </c>
      <c r="L404">
        <v>28</v>
      </c>
      <c r="M404">
        <v>72</v>
      </c>
      <c r="N404">
        <v>1000000</v>
      </c>
      <c r="O404" t="e">
        <f>VLOOKUP($B404&amp;O$1,Data!$A$2:$D$3723,4,FALSE)</f>
        <v>#N/A</v>
      </c>
      <c r="P404" t="e">
        <f>VLOOKUP($B404&amp;P$1,Data!$A$2:$D$3723,4,FALSE)</f>
        <v>#N/A</v>
      </c>
      <c r="Q404" t="e">
        <f>VLOOKUP($B404&amp;Q$1,Data!$A$2:$D$3723,4,FALSE)</f>
        <v>#N/A</v>
      </c>
      <c r="R404" t="e">
        <f>VLOOKUP($B404&amp;R$1,Data!$A$2:$D$3723,4,FALSE)</f>
        <v>#N/A</v>
      </c>
      <c r="S404" t="e">
        <f>VLOOKUP($B404&amp;S$1,Data!$A$2:$D$3723,4,FALSE)</f>
        <v>#N/A</v>
      </c>
      <c r="T404" t="e">
        <f>VLOOKUP($B404&amp;T$1,Data!$A$2:$D$3723,4,FALSE)</f>
        <v>#N/A</v>
      </c>
      <c r="U404" t="e">
        <f>VLOOKUP($B404&amp;U$1,Data!$A$2:$D$3723,4,FALSE)</f>
        <v>#N/A</v>
      </c>
      <c r="V404" t="e">
        <f>VLOOKUP($B404&amp;V$1,Data!$A$2:$D$3723,4,FALSE)</f>
        <v>#N/A</v>
      </c>
      <c r="W404" t="e">
        <f>VLOOKUP($B404&amp;W$1,Data!$A$2:$D$3723,4,FALSE)</f>
        <v>#N/A</v>
      </c>
      <c r="X404" t="e">
        <f>VLOOKUP($B404&amp;X$1,Data!$A$2:$D$3723,4,FALSE)</f>
        <v>#N/A</v>
      </c>
      <c r="Y404" t="e">
        <f>VLOOKUP($B404&amp;Y$1,Data!$A$2:$D$3723,4,FALSE)</f>
        <v>#N/A</v>
      </c>
      <c r="Z404" t="e">
        <f>VLOOKUP($B404&amp;Z$1,Data!$A$2:$D$3723,4,FALSE)</f>
        <v>#N/A</v>
      </c>
      <c r="AA404" t="e">
        <f>VLOOKUP($B404&amp;AA$1,Data!$A$2:$D$3723,4,FALSE)</f>
        <v>#N/A</v>
      </c>
      <c r="AB404" t="e">
        <f>VLOOKUP($B404&amp;AB$1,Data!$A$2:$D$3723,4,FALSE)</f>
        <v>#N/A</v>
      </c>
      <c r="AC404" t="e">
        <f>VLOOKUP($B404&amp;AC$1,Data!$A$2:$D$3723,4,FALSE)</f>
        <v>#N/A</v>
      </c>
      <c r="AD404" t="e">
        <f>VLOOKUP($B404&amp;AD$1,Data!$A$2:$D$3723,4,FALSE)</f>
        <v>#N/A</v>
      </c>
      <c r="AE404" t="e">
        <f>VLOOKUP($B404&amp;AE$1,Data!$A$2:$D$3723,4,FALSE)</f>
        <v>#N/A</v>
      </c>
      <c r="AF404" t="e">
        <f>VLOOKUP($B404&amp;AF$1,Data!$A$2:$D$3723,4,FALSE)</f>
        <v>#N/A</v>
      </c>
      <c r="AG404" t="e">
        <f>VLOOKUP($B404&amp;AG$1,Data!$A$2:$D$3723,4,FALSE)</f>
        <v>#N/A</v>
      </c>
      <c r="AH404" t="e">
        <f>VLOOKUP($B404&amp;AH$1,Data!$A$2:$D$3723,4,FALSE)</f>
        <v>#N/A</v>
      </c>
      <c r="AI404" t="e">
        <f>VLOOKUP($B404&amp;AI$1,Data!$A$2:$D$3723,4,FALSE)</f>
        <v>#N/A</v>
      </c>
    </row>
    <row r="405" spans="2:35" hidden="1">
      <c r="B405" s="13">
        <v>404</v>
      </c>
      <c r="C405" s="13" t="s">
        <v>56</v>
      </c>
      <c r="D405" t="s">
        <v>0</v>
      </c>
      <c r="E405" t="s">
        <v>22</v>
      </c>
      <c r="F405">
        <v>1000</v>
      </c>
      <c r="G405" t="s">
        <v>17</v>
      </c>
      <c r="H405" s="5">
        <v>43831</v>
      </c>
      <c r="I405" s="5">
        <v>44562</v>
      </c>
      <c r="J405">
        <v>14</v>
      </c>
      <c r="K405">
        <v>9</v>
      </c>
      <c r="L405">
        <v>28</v>
      </c>
      <c r="M405">
        <v>72</v>
      </c>
      <c r="N405">
        <v>1000000</v>
      </c>
      <c r="O405" t="e">
        <f>VLOOKUP($B405&amp;O$1,Data!$A$2:$D$3723,4,FALSE)</f>
        <v>#N/A</v>
      </c>
      <c r="P405" t="e">
        <f>VLOOKUP($B405&amp;P$1,Data!$A$2:$D$3723,4,FALSE)</f>
        <v>#N/A</v>
      </c>
      <c r="Q405" t="e">
        <f>VLOOKUP($B405&amp;Q$1,Data!$A$2:$D$3723,4,FALSE)</f>
        <v>#N/A</v>
      </c>
      <c r="R405" t="e">
        <f>VLOOKUP($B405&amp;R$1,Data!$A$2:$D$3723,4,FALSE)</f>
        <v>#N/A</v>
      </c>
      <c r="S405" t="e">
        <f>VLOOKUP($B405&amp;S$1,Data!$A$2:$D$3723,4,FALSE)</f>
        <v>#N/A</v>
      </c>
      <c r="T405" t="e">
        <f>VLOOKUP($B405&amp;T$1,Data!$A$2:$D$3723,4,FALSE)</f>
        <v>#N/A</v>
      </c>
      <c r="U405" t="e">
        <f>VLOOKUP($B405&amp;U$1,Data!$A$2:$D$3723,4,FALSE)</f>
        <v>#N/A</v>
      </c>
      <c r="V405" t="e">
        <f>VLOOKUP($B405&amp;V$1,Data!$A$2:$D$3723,4,FALSE)</f>
        <v>#N/A</v>
      </c>
      <c r="W405" t="e">
        <f>VLOOKUP($B405&amp;W$1,Data!$A$2:$D$3723,4,FALSE)</f>
        <v>#N/A</v>
      </c>
      <c r="X405" t="e">
        <f>VLOOKUP($B405&amp;X$1,Data!$A$2:$D$3723,4,FALSE)</f>
        <v>#N/A</v>
      </c>
      <c r="Y405" t="e">
        <f>VLOOKUP($B405&amp;Y$1,Data!$A$2:$D$3723,4,FALSE)</f>
        <v>#N/A</v>
      </c>
      <c r="Z405" t="e">
        <f>VLOOKUP($B405&amp;Z$1,Data!$A$2:$D$3723,4,FALSE)</f>
        <v>#N/A</v>
      </c>
      <c r="AA405" t="e">
        <f>VLOOKUP($B405&amp;AA$1,Data!$A$2:$D$3723,4,FALSE)</f>
        <v>#N/A</v>
      </c>
      <c r="AB405" t="e">
        <f>VLOOKUP($B405&amp;AB$1,Data!$A$2:$D$3723,4,FALSE)</f>
        <v>#N/A</v>
      </c>
      <c r="AC405" t="e">
        <f>VLOOKUP($B405&amp;AC$1,Data!$A$2:$D$3723,4,FALSE)</f>
        <v>#N/A</v>
      </c>
      <c r="AD405" t="e">
        <f>VLOOKUP($B405&amp;AD$1,Data!$A$2:$D$3723,4,FALSE)</f>
        <v>#N/A</v>
      </c>
      <c r="AE405" t="e">
        <f>VLOOKUP($B405&amp;AE$1,Data!$A$2:$D$3723,4,FALSE)</f>
        <v>#N/A</v>
      </c>
      <c r="AF405" t="e">
        <f>VLOOKUP($B405&amp;AF$1,Data!$A$2:$D$3723,4,FALSE)</f>
        <v>#N/A</v>
      </c>
      <c r="AG405" t="e">
        <f>VLOOKUP($B405&amp;AG$1,Data!$A$2:$D$3723,4,FALSE)</f>
        <v>#N/A</v>
      </c>
      <c r="AH405" t="e">
        <f>VLOOKUP($B405&amp;AH$1,Data!$A$2:$D$3723,4,FALSE)</f>
        <v>#N/A</v>
      </c>
      <c r="AI405" t="e">
        <f>VLOOKUP($B405&amp;AI$1,Data!$A$2:$D$3723,4,FALSE)</f>
        <v>#N/A</v>
      </c>
    </row>
    <row r="406" spans="2:35" hidden="1">
      <c r="B406" s="13">
        <v>405</v>
      </c>
      <c r="C406" s="13" t="s">
        <v>56</v>
      </c>
      <c r="D406" t="s">
        <v>0</v>
      </c>
      <c r="E406" t="s">
        <v>22</v>
      </c>
      <c r="F406">
        <v>5000</v>
      </c>
      <c r="G406" t="s">
        <v>17</v>
      </c>
      <c r="H406" s="5">
        <v>43831</v>
      </c>
      <c r="I406" s="5">
        <v>44562</v>
      </c>
      <c r="J406">
        <v>14</v>
      </c>
      <c r="K406">
        <v>9</v>
      </c>
      <c r="L406">
        <v>28</v>
      </c>
      <c r="M406">
        <v>72</v>
      </c>
      <c r="N406">
        <v>1000000</v>
      </c>
      <c r="O406" t="e">
        <f>VLOOKUP($B406&amp;O$1,Data!$A$2:$D$3723,4,FALSE)</f>
        <v>#N/A</v>
      </c>
      <c r="P406" t="e">
        <f>VLOOKUP($B406&amp;P$1,Data!$A$2:$D$3723,4,FALSE)</f>
        <v>#N/A</v>
      </c>
      <c r="Q406" t="e">
        <f>VLOOKUP($B406&amp;Q$1,Data!$A$2:$D$3723,4,FALSE)</f>
        <v>#N/A</v>
      </c>
      <c r="R406" t="e">
        <f>VLOOKUP($B406&amp;R$1,Data!$A$2:$D$3723,4,FALSE)</f>
        <v>#N/A</v>
      </c>
      <c r="S406" t="e">
        <f>VLOOKUP($B406&amp;S$1,Data!$A$2:$D$3723,4,FALSE)</f>
        <v>#N/A</v>
      </c>
      <c r="T406" t="e">
        <f>VLOOKUP($B406&amp;T$1,Data!$A$2:$D$3723,4,FALSE)</f>
        <v>#N/A</v>
      </c>
      <c r="U406" t="e">
        <f>VLOOKUP($B406&amp;U$1,Data!$A$2:$D$3723,4,FALSE)</f>
        <v>#N/A</v>
      </c>
      <c r="V406" t="e">
        <f>VLOOKUP($B406&amp;V$1,Data!$A$2:$D$3723,4,FALSE)</f>
        <v>#N/A</v>
      </c>
      <c r="W406" t="e">
        <f>VLOOKUP($B406&amp;W$1,Data!$A$2:$D$3723,4,FALSE)</f>
        <v>#N/A</v>
      </c>
      <c r="X406" t="e">
        <f>VLOOKUP($B406&amp;X$1,Data!$A$2:$D$3723,4,FALSE)</f>
        <v>#N/A</v>
      </c>
      <c r="Y406" t="e">
        <f>VLOOKUP($B406&amp;Y$1,Data!$A$2:$D$3723,4,FALSE)</f>
        <v>#N/A</v>
      </c>
      <c r="Z406" t="e">
        <f>VLOOKUP($B406&amp;Z$1,Data!$A$2:$D$3723,4,FALSE)</f>
        <v>#N/A</v>
      </c>
      <c r="AA406" t="e">
        <f>VLOOKUP($B406&amp;AA$1,Data!$A$2:$D$3723,4,FALSE)</f>
        <v>#N/A</v>
      </c>
      <c r="AB406" t="e">
        <f>VLOOKUP($B406&amp;AB$1,Data!$A$2:$D$3723,4,FALSE)</f>
        <v>#N/A</v>
      </c>
      <c r="AC406" t="e">
        <f>VLOOKUP($B406&amp;AC$1,Data!$A$2:$D$3723,4,FALSE)</f>
        <v>#N/A</v>
      </c>
      <c r="AD406" t="e">
        <f>VLOOKUP($B406&amp;AD$1,Data!$A$2:$D$3723,4,FALSE)</f>
        <v>#N/A</v>
      </c>
      <c r="AE406" t="e">
        <f>VLOOKUP($B406&amp;AE$1,Data!$A$2:$D$3723,4,FALSE)</f>
        <v>#N/A</v>
      </c>
      <c r="AF406" t="e">
        <f>VLOOKUP($B406&amp;AF$1,Data!$A$2:$D$3723,4,FALSE)</f>
        <v>#N/A</v>
      </c>
      <c r="AG406" t="e">
        <f>VLOOKUP($B406&amp;AG$1,Data!$A$2:$D$3723,4,FALSE)</f>
        <v>#N/A</v>
      </c>
      <c r="AH406" t="e">
        <f>VLOOKUP($B406&amp;AH$1,Data!$A$2:$D$3723,4,FALSE)</f>
        <v>#N/A</v>
      </c>
      <c r="AI406" t="e">
        <f>VLOOKUP($B406&amp;AI$1,Data!$A$2:$D$3723,4,FALSE)</f>
        <v>#N/A</v>
      </c>
    </row>
    <row r="407" spans="2:35" hidden="1">
      <c r="B407" s="13">
        <v>406</v>
      </c>
      <c r="C407" s="13" t="s">
        <v>56</v>
      </c>
      <c r="D407" t="s">
        <v>5</v>
      </c>
      <c r="E407" t="s">
        <v>3</v>
      </c>
      <c r="F407">
        <v>100</v>
      </c>
      <c r="G407" t="s">
        <v>17</v>
      </c>
      <c r="H407" s="5">
        <v>43831</v>
      </c>
      <c r="I407" s="5">
        <v>44562</v>
      </c>
      <c r="J407">
        <v>14</v>
      </c>
      <c r="K407">
        <v>9</v>
      </c>
      <c r="L407">
        <v>30</v>
      </c>
      <c r="M407">
        <v>70</v>
      </c>
      <c r="N407">
        <v>1000000</v>
      </c>
      <c r="W407"/>
    </row>
    <row r="408" spans="2:35" hidden="1">
      <c r="B408" s="13">
        <v>407</v>
      </c>
      <c r="C408" s="13" t="s">
        <v>56</v>
      </c>
      <c r="D408" t="s">
        <v>5</v>
      </c>
      <c r="E408" t="s">
        <v>3</v>
      </c>
      <c r="F408">
        <v>1000</v>
      </c>
      <c r="G408" t="s">
        <v>17</v>
      </c>
      <c r="H408" s="5">
        <v>43831</v>
      </c>
      <c r="I408" s="5">
        <v>44562</v>
      </c>
      <c r="J408">
        <v>14</v>
      </c>
      <c r="K408">
        <v>9</v>
      </c>
      <c r="L408">
        <v>30</v>
      </c>
      <c r="M408">
        <v>70</v>
      </c>
      <c r="N408">
        <v>1000000</v>
      </c>
      <c r="W408"/>
    </row>
    <row r="409" spans="2:35" hidden="1">
      <c r="B409" s="13">
        <v>408</v>
      </c>
      <c r="C409" s="13" t="s">
        <v>56</v>
      </c>
      <c r="D409" t="s">
        <v>5</v>
      </c>
      <c r="E409" t="s">
        <v>3</v>
      </c>
      <c r="F409">
        <v>5000</v>
      </c>
      <c r="G409" t="s">
        <v>17</v>
      </c>
      <c r="H409" s="5">
        <v>43831</v>
      </c>
      <c r="I409" s="5">
        <v>44562</v>
      </c>
      <c r="J409">
        <v>14</v>
      </c>
      <c r="K409">
        <v>9</v>
      </c>
      <c r="L409">
        <v>30</v>
      </c>
      <c r="M409">
        <v>70</v>
      </c>
      <c r="N409">
        <v>1000000</v>
      </c>
      <c r="W409"/>
    </row>
    <row r="410" spans="2:35" hidden="1">
      <c r="B410" s="13">
        <v>409</v>
      </c>
      <c r="C410" s="13" t="s">
        <v>56</v>
      </c>
      <c r="D410" t="s">
        <v>5</v>
      </c>
      <c r="E410" t="s">
        <v>2</v>
      </c>
      <c r="F410">
        <v>100</v>
      </c>
      <c r="G410" t="s">
        <v>17</v>
      </c>
      <c r="H410" s="5">
        <v>43831</v>
      </c>
      <c r="I410" s="5">
        <v>44562</v>
      </c>
      <c r="J410">
        <v>14</v>
      </c>
      <c r="K410">
        <v>9</v>
      </c>
      <c r="L410">
        <v>30</v>
      </c>
      <c r="M410">
        <v>70</v>
      </c>
      <c r="N410">
        <v>1000000</v>
      </c>
      <c r="W410"/>
    </row>
    <row r="411" spans="2:35" hidden="1">
      <c r="B411" s="13">
        <v>410</v>
      </c>
      <c r="C411" s="13" t="s">
        <v>56</v>
      </c>
      <c r="D411" t="s">
        <v>5</v>
      </c>
      <c r="E411" t="s">
        <v>2</v>
      </c>
      <c r="F411">
        <v>1000</v>
      </c>
      <c r="G411" t="s">
        <v>17</v>
      </c>
      <c r="H411" s="5">
        <v>43831</v>
      </c>
      <c r="I411" s="5">
        <v>44562</v>
      </c>
      <c r="J411">
        <v>14</v>
      </c>
      <c r="K411">
        <v>9</v>
      </c>
      <c r="L411">
        <v>30</v>
      </c>
      <c r="M411">
        <v>70</v>
      </c>
      <c r="N411">
        <v>1000000</v>
      </c>
      <c r="W411"/>
    </row>
    <row r="412" spans="2:35" hidden="1">
      <c r="B412" s="13">
        <v>411</v>
      </c>
      <c r="C412" s="13" t="s">
        <v>56</v>
      </c>
      <c r="D412" t="s">
        <v>5</v>
      </c>
      <c r="E412" t="s">
        <v>2</v>
      </c>
      <c r="F412">
        <v>5000</v>
      </c>
      <c r="G412" t="s">
        <v>17</v>
      </c>
      <c r="H412" s="5">
        <v>43831</v>
      </c>
      <c r="I412" s="5">
        <v>44562</v>
      </c>
      <c r="J412">
        <v>14</v>
      </c>
      <c r="K412">
        <v>9</v>
      </c>
      <c r="L412">
        <v>30</v>
      </c>
      <c r="M412">
        <v>70</v>
      </c>
      <c r="N412">
        <v>1000000</v>
      </c>
      <c r="W412"/>
    </row>
    <row r="413" spans="2:35" hidden="1">
      <c r="B413" s="13">
        <v>412</v>
      </c>
      <c r="C413" s="13" t="s">
        <v>56</v>
      </c>
      <c r="D413" t="s">
        <v>5</v>
      </c>
      <c r="E413" t="s">
        <v>22</v>
      </c>
      <c r="F413">
        <v>100</v>
      </c>
      <c r="G413" t="s">
        <v>17</v>
      </c>
      <c r="H413" s="5">
        <v>43831</v>
      </c>
      <c r="I413" s="5">
        <v>44562</v>
      </c>
      <c r="J413">
        <v>14</v>
      </c>
      <c r="K413">
        <v>9</v>
      </c>
      <c r="L413">
        <v>30</v>
      </c>
      <c r="M413">
        <v>70</v>
      </c>
      <c r="N413">
        <v>1000000</v>
      </c>
      <c r="W413"/>
    </row>
    <row r="414" spans="2:35" hidden="1">
      <c r="B414" s="13">
        <v>413</v>
      </c>
      <c r="C414" s="13" t="s">
        <v>56</v>
      </c>
      <c r="D414" t="s">
        <v>5</v>
      </c>
      <c r="E414" t="s">
        <v>22</v>
      </c>
      <c r="F414">
        <v>1000</v>
      </c>
      <c r="G414" t="s">
        <v>17</v>
      </c>
      <c r="H414" s="5">
        <v>43831</v>
      </c>
      <c r="I414" s="5">
        <v>44562</v>
      </c>
      <c r="J414">
        <v>14</v>
      </c>
      <c r="K414">
        <v>9</v>
      </c>
      <c r="L414">
        <v>30</v>
      </c>
      <c r="M414">
        <v>70</v>
      </c>
      <c r="N414">
        <v>1000000</v>
      </c>
      <c r="W414"/>
    </row>
    <row r="415" spans="2:35" hidden="1">
      <c r="B415" s="13">
        <v>414</v>
      </c>
      <c r="C415" s="13" t="s">
        <v>56</v>
      </c>
      <c r="D415" t="s">
        <v>5</v>
      </c>
      <c r="E415" t="s">
        <v>22</v>
      </c>
      <c r="F415">
        <v>5000</v>
      </c>
      <c r="G415" t="s">
        <v>17</v>
      </c>
      <c r="H415" s="5">
        <v>43831</v>
      </c>
      <c r="I415" s="5">
        <v>44562</v>
      </c>
      <c r="J415">
        <v>14</v>
      </c>
      <c r="K415">
        <v>9</v>
      </c>
      <c r="L415">
        <v>30</v>
      </c>
      <c r="M415">
        <v>70</v>
      </c>
      <c r="N415">
        <v>1000000</v>
      </c>
      <c r="W415"/>
    </row>
    <row r="416" spans="2:35" hidden="1">
      <c r="B416" s="13">
        <v>415</v>
      </c>
      <c r="C416" s="13" t="s">
        <v>56</v>
      </c>
      <c r="D416" t="s">
        <v>5</v>
      </c>
      <c r="E416" t="s">
        <v>3</v>
      </c>
      <c r="F416">
        <v>100</v>
      </c>
      <c r="G416" t="s">
        <v>17</v>
      </c>
      <c r="H416" s="5">
        <v>43831</v>
      </c>
      <c r="I416" s="5">
        <v>44562</v>
      </c>
      <c r="J416">
        <v>14</v>
      </c>
      <c r="K416">
        <v>9</v>
      </c>
      <c r="L416">
        <v>32</v>
      </c>
      <c r="M416">
        <v>68</v>
      </c>
      <c r="N416">
        <v>1000000</v>
      </c>
      <c r="O416" t="e">
        <f>VLOOKUP($B416&amp;O$1,Data!$A$2:$D$3723,4,FALSE)</f>
        <v>#N/A</v>
      </c>
      <c r="P416" t="e">
        <f>VLOOKUP($B416&amp;P$1,Data!$A$2:$D$3723,4,FALSE)</f>
        <v>#N/A</v>
      </c>
      <c r="Q416" t="e">
        <f>VLOOKUP($B416&amp;Q$1,Data!$A$2:$D$3723,4,FALSE)</f>
        <v>#N/A</v>
      </c>
      <c r="R416" t="e">
        <f>VLOOKUP($B416&amp;R$1,Data!$A$2:$D$3723,4,FALSE)</f>
        <v>#N/A</v>
      </c>
      <c r="S416" t="e">
        <f>VLOOKUP($B416&amp;S$1,Data!$A$2:$D$3723,4,FALSE)</f>
        <v>#N/A</v>
      </c>
      <c r="T416" t="e">
        <f>VLOOKUP($B416&amp;T$1,Data!$A$2:$D$3723,4,FALSE)</f>
        <v>#N/A</v>
      </c>
      <c r="U416" t="e">
        <f>VLOOKUP($B416&amp;U$1,Data!$A$2:$D$3723,4,FALSE)</f>
        <v>#N/A</v>
      </c>
      <c r="V416" t="e">
        <f>VLOOKUP($B416&amp;V$1,Data!$A$2:$D$3723,4,FALSE)</f>
        <v>#N/A</v>
      </c>
      <c r="W416" t="e">
        <f>VLOOKUP($B416&amp;W$1,Data!$A$2:$D$3723,4,FALSE)</f>
        <v>#N/A</v>
      </c>
      <c r="X416" t="e">
        <f>VLOOKUP($B416&amp;X$1,Data!$A$2:$D$3723,4,FALSE)</f>
        <v>#N/A</v>
      </c>
      <c r="Y416" t="e">
        <f>VLOOKUP($B416&amp;Y$1,Data!$A$2:$D$3723,4,FALSE)</f>
        <v>#N/A</v>
      </c>
      <c r="Z416" t="e">
        <f>VLOOKUP($B416&amp;Z$1,Data!$A$2:$D$3723,4,FALSE)</f>
        <v>#N/A</v>
      </c>
      <c r="AA416" t="e">
        <f>VLOOKUP($B416&amp;AA$1,Data!$A$2:$D$3723,4,FALSE)</f>
        <v>#N/A</v>
      </c>
      <c r="AB416" t="e">
        <f>VLOOKUP($B416&amp;AB$1,Data!$A$2:$D$3723,4,FALSE)</f>
        <v>#N/A</v>
      </c>
      <c r="AC416" t="e">
        <f>VLOOKUP($B416&amp;AC$1,Data!$A$2:$D$3723,4,FALSE)</f>
        <v>#N/A</v>
      </c>
      <c r="AD416" t="e">
        <f>VLOOKUP($B416&amp;AD$1,Data!$A$2:$D$3723,4,FALSE)</f>
        <v>#N/A</v>
      </c>
      <c r="AE416" t="e">
        <f>VLOOKUP($B416&amp;AE$1,Data!$A$2:$D$3723,4,FALSE)</f>
        <v>#N/A</v>
      </c>
      <c r="AF416" t="e">
        <f>VLOOKUP($B416&amp;AF$1,Data!$A$2:$D$3723,4,FALSE)</f>
        <v>#N/A</v>
      </c>
      <c r="AG416" t="e">
        <f>VLOOKUP($B416&amp;AG$1,Data!$A$2:$D$3723,4,FALSE)</f>
        <v>#N/A</v>
      </c>
      <c r="AH416" t="e">
        <f>VLOOKUP($B416&amp;AH$1,Data!$A$2:$D$3723,4,FALSE)</f>
        <v>#N/A</v>
      </c>
      <c r="AI416" t="e">
        <f>VLOOKUP($B416&amp;AI$1,Data!$A$2:$D$3723,4,FALSE)</f>
        <v>#N/A</v>
      </c>
    </row>
    <row r="417" spans="2:35" hidden="1">
      <c r="B417" s="13">
        <v>416</v>
      </c>
      <c r="C417" s="13" t="s">
        <v>56</v>
      </c>
      <c r="D417" t="s">
        <v>5</v>
      </c>
      <c r="E417" t="s">
        <v>3</v>
      </c>
      <c r="F417">
        <v>1000</v>
      </c>
      <c r="G417" t="s">
        <v>17</v>
      </c>
      <c r="H417" s="5">
        <v>43831</v>
      </c>
      <c r="I417" s="5">
        <v>44562</v>
      </c>
      <c r="J417">
        <v>14</v>
      </c>
      <c r="K417">
        <v>9</v>
      </c>
      <c r="L417">
        <v>32</v>
      </c>
      <c r="M417">
        <v>68</v>
      </c>
      <c r="N417">
        <v>1000000</v>
      </c>
      <c r="O417" t="e">
        <f>VLOOKUP($B417&amp;O$1,Data!$A$2:$D$3723,4,FALSE)</f>
        <v>#N/A</v>
      </c>
      <c r="P417" t="e">
        <f>VLOOKUP($B417&amp;P$1,Data!$A$2:$D$3723,4,FALSE)</f>
        <v>#N/A</v>
      </c>
      <c r="Q417" t="e">
        <f>VLOOKUP($B417&amp;Q$1,Data!$A$2:$D$3723,4,FALSE)</f>
        <v>#N/A</v>
      </c>
      <c r="R417" t="e">
        <f>VLOOKUP($B417&amp;R$1,Data!$A$2:$D$3723,4,FALSE)</f>
        <v>#N/A</v>
      </c>
      <c r="S417" t="e">
        <f>VLOOKUP($B417&amp;S$1,Data!$A$2:$D$3723,4,FALSE)</f>
        <v>#N/A</v>
      </c>
      <c r="T417" t="e">
        <f>VLOOKUP($B417&amp;T$1,Data!$A$2:$D$3723,4,FALSE)</f>
        <v>#N/A</v>
      </c>
      <c r="U417" t="e">
        <f>VLOOKUP($B417&amp;U$1,Data!$A$2:$D$3723,4,FALSE)</f>
        <v>#N/A</v>
      </c>
      <c r="V417" t="e">
        <f>VLOOKUP($B417&amp;V$1,Data!$A$2:$D$3723,4,FALSE)</f>
        <v>#N/A</v>
      </c>
      <c r="W417" t="e">
        <f>VLOOKUP($B417&amp;W$1,Data!$A$2:$D$3723,4,FALSE)</f>
        <v>#N/A</v>
      </c>
      <c r="X417" t="e">
        <f>VLOOKUP($B417&amp;X$1,Data!$A$2:$D$3723,4,FALSE)</f>
        <v>#N/A</v>
      </c>
      <c r="Y417" t="e">
        <f>VLOOKUP($B417&amp;Y$1,Data!$A$2:$D$3723,4,FALSE)</f>
        <v>#N/A</v>
      </c>
      <c r="Z417" t="e">
        <f>VLOOKUP($B417&amp;Z$1,Data!$A$2:$D$3723,4,FALSE)</f>
        <v>#N/A</v>
      </c>
      <c r="AA417" t="e">
        <f>VLOOKUP($B417&amp;AA$1,Data!$A$2:$D$3723,4,FALSE)</f>
        <v>#N/A</v>
      </c>
      <c r="AB417" t="e">
        <f>VLOOKUP($B417&amp;AB$1,Data!$A$2:$D$3723,4,FALSE)</f>
        <v>#N/A</v>
      </c>
      <c r="AC417" t="e">
        <f>VLOOKUP($B417&amp;AC$1,Data!$A$2:$D$3723,4,FALSE)</f>
        <v>#N/A</v>
      </c>
      <c r="AD417" t="e">
        <f>VLOOKUP($B417&amp;AD$1,Data!$A$2:$D$3723,4,FALSE)</f>
        <v>#N/A</v>
      </c>
      <c r="AE417" t="e">
        <f>VLOOKUP($B417&amp;AE$1,Data!$A$2:$D$3723,4,FALSE)</f>
        <v>#N/A</v>
      </c>
      <c r="AF417" t="e">
        <f>VLOOKUP($B417&amp;AF$1,Data!$A$2:$D$3723,4,FALSE)</f>
        <v>#N/A</v>
      </c>
      <c r="AG417" t="e">
        <f>VLOOKUP($B417&amp;AG$1,Data!$A$2:$D$3723,4,FALSE)</f>
        <v>#N/A</v>
      </c>
      <c r="AH417" t="e">
        <f>VLOOKUP($B417&amp;AH$1,Data!$A$2:$D$3723,4,FALSE)</f>
        <v>#N/A</v>
      </c>
      <c r="AI417" t="e">
        <f>VLOOKUP($B417&amp;AI$1,Data!$A$2:$D$3723,4,FALSE)</f>
        <v>#N/A</v>
      </c>
    </row>
    <row r="418" spans="2:35" hidden="1">
      <c r="B418" s="13">
        <v>417</v>
      </c>
      <c r="C418" s="13" t="s">
        <v>56</v>
      </c>
      <c r="D418" t="s">
        <v>5</v>
      </c>
      <c r="E418" t="s">
        <v>3</v>
      </c>
      <c r="F418">
        <v>5000</v>
      </c>
      <c r="G418" t="s">
        <v>17</v>
      </c>
      <c r="H418" s="5">
        <v>43831</v>
      </c>
      <c r="I418" s="5">
        <v>44562</v>
      </c>
      <c r="J418">
        <v>14</v>
      </c>
      <c r="K418">
        <v>9</v>
      </c>
      <c r="L418">
        <v>32</v>
      </c>
      <c r="M418">
        <v>68</v>
      </c>
      <c r="N418">
        <v>1000000</v>
      </c>
      <c r="O418" t="e">
        <f>VLOOKUP($B418&amp;O$1,Data!$A$2:$D$3723,4,FALSE)</f>
        <v>#N/A</v>
      </c>
      <c r="P418" t="e">
        <f>VLOOKUP($B418&amp;P$1,Data!$A$2:$D$3723,4,FALSE)</f>
        <v>#N/A</v>
      </c>
      <c r="Q418" t="e">
        <f>VLOOKUP($B418&amp;Q$1,Data!$A$2:$D$3723,4,FALSE)</f>
        <v>#N/A</v>
      </c>
      <c r="R418" t="e">
        <f>VLOOKUP($B418&amp;R$1,Data!$A$2:$D$3723,4,FALSE)</f>
        <v>#N/A</v>
      </c>
      <c r="S418" t="e">
        <f>VLOOKUP($B418&amp;S$1,Data!$A$2:$D$3723,4,FALSE)</f>
        <v>#N/A</v>
      </c>
      <c r="T418" t="e">
        <f>VLOOKUP($B418&amp;T$1,Data!$A$2:$D$3723,4,FALSE)</f>
        <v>#N/A</v>
      </c>
      <c r="U418" t="e">
        <f>VLOOKUP($B418&amp;U$1,Data!$A$2:$D$3723,4,FALSE)</f>
        <v>#N/A</v>
      </c>
      <c r="V418" t="e">
        <f>VLOOKUP($B418&amp;V$1,Data!$A$2:$D$3723,4,FALSE)</f>
        <v>#N/A</v>
      </c>
      <c r="W418" t="e">
        <f>VLOOKUP($B418&amp;W$1,Data!$A$2:$D$3723,4,FALSE)</f>
        <v>#N/A</v>
      </c>
      <c r="X418" t="e">
        <f>VLOOKUP($B418&amp;X$1,Data!$A$2:$D$3723,4,FALSE)</f>
        <v>#N/A</v>
      </c>
      <c r="Y418" t="e">
        <f>VLOOKUP($B418&amp;Y$1,Data!$A$2:$D$3723,4,FALSE)</f>
        <v>#N/A</v>
      </c>
      <c r="Z418" t="e">
        <f>VLOOKUP($B418&amp;Z$1,Data!$A$2:$D$3723,4,FALSE)</f>
        <v>#N/A</v>
      </c>
      <c r="AA418" t="e">
        <f>VLOOKUP($B418&amp;AA$1,Data!$A$2:$D$3723,4,FALSE)</f>
        <v>#N/A</v>
      </c>
      <c r="AB418" t="e">
        <f>VLOOKUP($B418&amp;AB$1,Data!$A$2:$D$3723,4,FALSE)</f>
        <v>#N/A</v>
      </c>
      <c r="AC418" t="e">
        <f>VLOOKUP($B418&amp;AC$1,Data!$A$2:$D$3723,4,FALSE)</f>
        <v>#N/A</v>
      </c>
      <c r="AD418" t="e">
        <f>VLOOKUP($B418&amp;AD$1,Data!$A$2:$D$3723,4,FALSE)</f>
        <v>#N/A</v>
      </c>
      <c r="AE418" t="e">
        <f>VLOOKUP($B418&amp;AE$1,Data!$A$2:$D$3723,4,FALSE)</f>
        <v>#N/A</v>
      </c>
      <c r="AF418" t="e">
        <f>VLOOKUP($B418&amp;AF$1,Data!$A$2:$D$3723,4,FALSE)</f>
        <v>#N/A</v>
      </c>
      <c r="AG418" t="e">
        <f>VLOOKUP($B418&amp;AG$1,Data!$A$2:$D$3723,4,FALSE)</f>
        <v>#N/A</v>
      </c>
      <c r="AH418" t="e">
        <f>VLOOKUP($B418&amp;AH$1,Data!$A$2:$D$3723,4,FALSE)</f>
        <v>#N/A</v>
      </c>
      <c r="AI418" t="e">
        <f>VLOOKUP($B418&amp;AI$1,Data!$A$2:$D$3723,4,FALSE)</f>
        <v>#N/A</v>
      </c>
    </row>
    <row r="419" spans="2:35" hidden="1">
      <c r="B419" s="13">
        <v>418</v>
      </c>
      <c r="C419" s="13" t="s">
        <v>56</v>
      </c>
      <c r="D419" t="s">
        <v>5</v>
      </c>
      <c r="E419" t="s">
        <v>2</v>
      </c>
      <c r="F419">
        <v>100</v>
      </c>
      <c r="G419" t="s">
        <v>17</v>
      </c>
      <c r="H419" s="5">
        <v>43831</v>
      </c>
      <c r="I419" s="5">
        <v>44562</v>
      </c>
      <c r="J419">
        <v>14</v>
      </c>
      <c r="K419">
        <v>9</v>
      </c>
      <c r="L419">
        <v>32</v>
      </c>
      <c r="M419">
        <v>68</v>
      </c>
      <c r="N419">
        <v>1000000</v>
      </c>
      <c r="O419" t="e">
        <f>VLOOKUP($B419&amp;O$1,Data!$A$2:$D$3723,4,FALSE)</f>
        <v>#N/A</v>
      </c>
      <c r="P419" t="e">
        <f>VLOOKUP($B419&amp;P$1,Data!$A$2:$D$3723,4,FALSE)</f>
        <v>#N/A</v>
      </c>
      <c r="Q419" t="e">
        <f>VLOOKUP($B419&amp;Q$1,Data!$A$2:$D$3723,4,FALSE)</f>
        <v>#N/A</v>
      </c>
      <c r="R419" t="e">
        <f>VLOOKUP($B419&amp;R$1,Data!$A$2:$D$3723,4,FALSE)</f>
        <v>#N/A</v>
      </c>
      <c r="S419" t="e">
        <f>VLOOKUP($B419&amp;S$1,Data!$A$2:$D$3723,4,FALSE)</f>
        <v>#N/A</v>
      </c>
      <c r="T419" t="e">
        <f>VLOOKUP($B419&amp;T$1,Data!$A$2:$D$3723,4,FALSE)</f>
        <v>#N/A</v>
      </c>
      <c r="U419" t="e">
        <f>VLOOKUP($B419&amp;U$1,Data!$A$2:$D$3723,4,FALSE)</f>
        <v>#N/A</v>
      </c>
      <c r="V419" t="e">
        <f>VLOOKUP($B419&amp;V$1,Data!$A$2:$D$3723,4,FALSE)</f>
        <v>#N/A</v>
      </c>
      <c r="W419" t="e">
        <f>VLOOKUP($B419&amp;W$1,Data!$A$2:$D$3723,4,FALSE)</f>
        <v>#N/A</v>
      </c>
      <c r="X419" t="e">
        <f>VLOOKUP($B419&amp;X$1,Data!$A$2:$D$3723,4,FALSE)</f>
        <v>#N/A</v>
      </c>
      <c r="Y419" t="e">
        <f>VLOOKUP($B419&amp;Y$1,Data!$A$2:$D$3723,4,FALSE)</f>
        <v>#N/A</v>
      </c>
      <c r="Z419" t="e">
        <f>VLOOKUP($B419&amp;Z$1,Data!$A$2:$D$3723,4,FALSE)</f>
        <v>#N/A</v>
      </c>
      <c r="AA419" t="e">
        <f>VLOOKUP($B419&amp;AA$1,Data!$A$2:$D$3723,4,FALSE)</f>
        <v>#N/A</v>
      </c>
      <c r="AB419" t="e">
        <f>VLOOKUP($B419&amp;AB$1,Data!$A$2:$D$3723,4,FALSE)</f>
        <v>#N/A</v>
      </c>
      <c r="AC419" t="e">
        <f>VLOOKUP($B419&amp;AC$1,Data!$A$2:$D$3723,4,FALSE)</f>
        <v>#N/A</v>
      </c>
      <c r="AD419" t="e">
        <f>VLOOKUP($B419&amp;AD$1,Data!$A$2:$D$3723,4,FALSE)</f>
        <v>#N/A</v>
      </c>
      <c r="AE419" t="e">
        <f>VLOOKUP($B419&amp;AE$1,Data!$A$2:$D$3723,4,FALSE)</f>
        <v>#N/A</v>
      </c>
      <c r="AF419" t="e">
        <f>VLOOKUP($B419&amp;AF$1,Data!$A$2:$D$3723,4,FALSE)</f>
        <v>#N/A</v>
      </c>
      <c r="AG419" t="e">
        <f>VLOOKUP($B419&amp;AG$1,Data!$A$2:$D$3723,4,FALSE)</f>
        <v>#N/A</v>
      </c>
      <c r="AH419" t="e">
        <f>VLOOKUP($B419&amp;AH$1,Data!$A$2:$D$3723,4,FALSE)</f>
        <v>#N/A</v>
      </c>
      <c r="AI419" t="e">
        <f>VLOOKUP($B419&amp;AI$1,Data!$A$2:$D$3723,4,FALSE)</f>
        <v>#N/A</v>
      </c>
    </row>
    <row r="420" spans="2:35" hidden="1">
      <c r="B420" s="13">
        <v>419</v>
      </c>
      <c r="C420" s="13" t="s">
        <v>56</v>
      </c>
      <c r="D420" t="s">
        <v>5</v>
      </c>
      <c r="E420" t="s">
        <v>2</v>
      </c>
      <c r="F420">
        <v>1000</v>
      </c>
      <c r="G420" t="s">
        <v>17</v>
      </c>
      <c r="H420" s="5">
        <v>43831</v>
      </c>
      <c r="I420" s="5">
        <v>44562</v>
      </c>
      <c r="J420">
        <v>14</v>
      </c>
      <c r="K420">
        <v>9</v>
      </c>
      <c r="L420">
        <v>32</v>
      </c>
      <c r="M420">
        <v>68</v>
      </c>
      <c r="N420">
        <v>1000000</v>
      </c>
      <c r="O420" t="e">
        <f>VLOOKUP($B420&amp;O$1,Data!$A$2:$D$3723,4,FALSE)</f>
        <v>#N/A</v>
      </c>
      <c r="P420" t="e">
        <f>VLOOKUP($B420&amp;P$1,Data!$A$2:$D$3723,4,FALSE)</f>
        <v>#N/A</v>
      </c>
      <c r="Q420" t="e">
        <f>VLOOKUP($B420&amp;Q$1,Data!$A$2:$D$3723,4,FALSE)</f>
        <v>#N/A</v>
      </c>
      <c r="R420" t="e">
        <f>VLOOKUP($B420&amp;R$1,Data!$A$2:$D$3723,4,FALSE)</f>
        <v>#N/A</v>
      </c>
      <c r="S420" t="e">
        <f>VLOOKUP($B420&amp;S$1,Data!$A$2:$D$3723,4,FALSE)</f>
        <v>#N/A</v>
      </c>
      <c r="T420" t="e">
        <f>VLOOKUP($B420&amp;T$1,Data!$A$2:$D$3723,4,FALSE)</f>
        <v>#N/A</v>
      </c>
      <c r="U420" t="e">
        <f>VLOOKUP($B420&amp;U$1,Data!$A$2:$D$3723,4,FALSE)</f>
        <v>#N/A</v>
      </c>
      <c r="V420" t="e">
        <f>VLOOKUP($B420&amp;V$1,Data!$A$2:$D$3723,4,FALSE)</f>
        <v>#N/A</v>
      </c>
      <c r="W420" t="e">
        <f>VLOOKUP($B420&amp;W$1,Data!$A$2:$D$3723,4,FALSE)</f>
        <v>#N/A</v>
      </c>
      <c r="X420" t="e">
        <f>VLOOKUP($B420&amp;X$1,Data!$A$2:$D$3723,4,FALSE)</f>
        <v>#N/A</v>
      </c>
      <c r="Y420" t="e">
        <f>VLOOKUP($B420&amp;Y$1,Data!$A$2:$D$3723,4,FALSE)</f>
        <v>#N/A</v>
      </c>
      <c r="Z420" t="e">
        <f>VLOOKUP($B420&amp;Z$1,Data!$A$2:$D$3723,4,FALSE)</f>
        <v>#N/A</v>
      </c>
      <c r="AA420" t="e">
        <f>VLOOKUP($B420&amp;AA$1,Data!$A$2:$D$3723,4,FALSE)</f>
        <v>#N/A</v>
      </c>
      <c r="AB420" t="e">
        <f>VLOOKUP($B420&amp;AB$1,Data!$A$2:$D$3723,4,FALSE)</f>
        <v>#N/A</v>
      </c>
      <c r="AC420" t="e">
        <f>VLOOKUP($B420&amp;AC$1,Data!$A$2:$D$3723,4,FALSE)</f>
        <v>#N/A</v>
      </c>
      <c r="AD420" t="e">
        <f>VLOOKUP($B420&amp;AD$1,Data!$A$2:$D$3723,4,FALSE)</f>
        <v>#N/A</v>
      </c>
      <c r="AE420" t="e">
        <f>VLOOKUP($B420&amp;AE$1,Data!$A$2:$D$3723,4,FALSE)</f>
        <v>#N/A</v>
      </c>
      <c r="AF420" t="e">
        <f>VLOOKUP($B420&amp;AF$1,Data!$A$2:$D$3723,4,FALSE)</f>
        <v>#N/A</v>
      </c>
      <c r="AG420" t="e">
        <f>VLOOKUP($B420&amp;AG$1,Data!$A$2:$D$3723,4,FALSE)</f>
        <v>#N/A</v>
      </c>
      <c r="AH420" t="e">
        <f>VLOOKUP($B420&amp;AH$1,Data!$A$2:$D$3723,4,FALSE)</f>
        <v>#N/A</v>
      </c>
      <c r="AI420" t="e">
        <f>VLOOKUP($B420&amp;AI$1,Data!$A$2:$D$3723,4,FALSE)</f>
        <v>#N/A</v>
      </c>
    </row>
    <row r="421" spans="2:35" hidden="1">
      <c r="B421" s="13">
        <v>420</v>
      </c>
      <c r="C421" s="13" t="s">
        <v>56</v>
      </c>
      <c r="D421" t="s">
        <v>5</v>
      </c>
      <c r="E421" t="s">
        <v>2</v>
      </c>
      <c r="F421">
        <v>5000</v>
      </c>
      <c r="G421" t="s">
        <v>17</v>
      </c>
      <c r="H421" s="5">
        <v>43831</v>
      </c>
      <c r="I421" s="5">
        <v>44562</v>
      </c>
      <c r="J421">
        <v>14</v>
      </c>
      <c r="K421">
        <v>9</v>
      </c>
      <c r="L421">
        <v>32</v>
      </c>
      <c r="M421">
        <v>68</v>
      </c>
      <c r="N421">
        <v>1000000</v>
      </c>
      <c r="O421" t="e">
        <f>VLOOKUP($B421&amp;O$1,Data!$A$2:$D$3723,4,FALSE)</f>
        <v>#N/A</v>
      </c>
      <c r="P421" t="e">
        <f>VLOOKUP($B421&amp;P$1,Data!$A$2:$D$3723,4,FALSE)</f>
        <v>#N/A</v>
      </c>
      <c r="Q421" t="e">
        <f>VLOOKUP($B421&amp;Q$1,Data!$A$2:$D$3723,4,FALSE)</f>
        <v>#N/A</v>
      </c>
      <c r="R421" t="e">
        <f>VLOOKUP($B421&amp;R$1,Data!$A$2:$D$3723,4,FALSE)</f>
        <v>#N/A</v>
      </c>
      <c r="S421" t="e">
        <f>VLOOKUP($B421&amp;S$1,Data!$A$2:$D$3723,4,FALSE)</f>
        <v>#N/A</v>
      </c>
      <c r="T421" t="e">
        <f>VLOOKUP($B421&amp;T$1,Data!$A$2:$D$3723,4,FALSE)</f>
        <v>#N/A</v>
      </c>
      <c r="U421" t="e">
        <f>VLOOKUP($B421&amp;U$1,Data!$A$2:$D$3723,4,FALSE)</f>
        <v>#N/A</v>
      </c>
      <c r="V421" t="e">
        <f>VLOOKUP($B421&amp;V$1,Data!$A$2:$D$3723,4,FALSE)</f>
        <v>#N/A</v>
      </c>
      <c r="W421" t="e">
        <f>VLOOKUP($B421&amp;W$1,Data!$A$2:$D$3723,4,FALSE)</f>
        <v>#N/A</v>
      </c>
      <c r="X421" t="e">
        <f>VLOOKUP($B421&amp;X$1,Data!$A$2:$D$3723,4,FALSE)</f>
        <v>#N/A</v>
      </c>
      <c r="Y421" t="e">
        <f>VLOOKUP($B421&amp;Y$1,Data!$A$2:$D$3723,4,FALSE)</f>
        <v>#N/A</v>
      </c>
      <c r="Z421" t="e">
        <f>VLOOKUP($B421&amp;Z$1,Data!$A$2:$D$3723,4,FALSE)</f>
        <v>#N/A</v>
      </c>
      <c r="AA421" t="e">
        <f>VLOOKUP($B421&amp;AA$1,Data!$A$2:$D$3723,4,FALSE)</f>
        <v>#N/A</v>
      </c>
      <c r="AB421" t="e">
        <f>VLOOKUP($B421&amp;AB$1,Data!$A$2:$D$3723,4,FALSE)</f>
        <v>#N/A</v>
      </c>
      <c r="AC421" t="e">
        <f>VLOOKUP($B421&amp;AC$1,Data!$A$2:$D$3723,4,FALSE)</f>
        <v>#N/A</v>
      </c>
      <c r="AD421" t="e">
        <f>VLOOKUP($B421&amp;AD$1,Data!$A$2:$D$3723,4,FALSE)</f>
        <v>#N/A</v>
      </c>
      <c r="AE421" t="e">
        <f>VLOOKUP($B421&amp;AE$1,Data!$A$2:$D$3723,4,FALSE)</f>
        <v>#N/A</v>
      </c>
      <c r="AF421" t="e">
        <f>VLOOKUP($B421&amp;AF$1,Data!$A$2:$D$3723,4,FALSE)</f>
        <v>#N/A</v>
      </c>
      <c r="AG421" t="e">
        <f>VLOOKUP($B421&amp;AG$1,Data!$A$2:$D$3723,4,FALSE)</f>
        <v>#N/A</v>
      </c>
      <c r="AH421" t="e">
        <f>VLOOKUP($B421&amp;AH$1,Data!$A$2:$D$3723,4,FALSE)</f>
        <v>#N/A</v>
      </c>
      <c r="AI421" t="e">
        <f>VLOOKUP($B421&amp;AI$1,Data!$A$2:$D$3723,4,FALSE)</f>
        <v>#N/A</v>
      </c>
    </row>
    <row r="422" spans="2:35" hidden="1">
      <c r="B422" s="13">
        <v>421</v>
      </c>
      <c r="C422" s="13" t="s">
        <v>56</v>
      </c>
      <c r="D422" t="s">
        <v>5</v>
      </c>
      <c r="E422" t="s">
        <v>22</v>
      </c>
      <c r="F422">
        <v>100</v>
      </c>
      <c r="G422" t="s">
        <v>17</v>
      </c>
      <c r="H422" s="5">
        <v>43831</v>
      </c>
      <c r="I422" s="5">
        <v>44562</v>
      </c>
      <c r="J422">
        <v>14</v>
      </c>
      <c r="K422">
        <v>9</v>
      </c>
      <c r="L422">
        <v>32</v>
      </c>
      <c r="M422">
        <v>68</v>
      </c>
      <c r="N422">
        <v>1000000</v>
      </c>
      <c r="O422" t="e">
        <f>VLOOKUP($B422&amp;O$1,Data!$A$2:$D$3723,4,FALSE)</f>
        <v>#N/A</v>
      </c>
      <c r="P422" t="e">
        <f>VLOOKUP($B422&amp;P$1,Data!$A$2:$D$3723,4,FALSE)</f>
        <v>#N/A</v>
      </c>
      <c r="Q422" t="e">
        <f>VLOOKUP($B422&amp;Q$1,Data!$A$2:$D$3723,4,FALSE)</f>
        <v>#N/A</v>
      </c>
      <c r="R422" t="e">
        <f>VLOOKUP($B422&amp;R$1,Data!$A$2:$D$3723,4,FALSE)</f>
        <v>#N/A</v>
      </c>
      <c r="S422" t="e">
        <f>VLOOKUP($B422&amp;S$1,Data!$A$2:$D$3723,4,FALSE)</f>
        <v>#N/A</v>
      </c>
      <c r="T422" t="e">
        <f>VLOOKUP($B422&amp;T$1,Data!$A$2:$D$3723,4,FALSE)</f>
        <v>#N/A</v>
      </c>
      <c r="U422" t="e">
        <f>VLOOKUP($B422&amp;U$1,Data!$A$2:$D$3723,4,FALSE)</f>
        <v>#N/A</v>
      </c>
      <c r="V422" t="e">
        <f>VLOOKUP($B422&amp;V$1,Data!$A$2:$D$3723,4,FALSE)</f>
        <v>#N/A</v>
      </c>
      <c r="W422" t="e">
        <f>VLOOKUP($B422&amp;W$1,Data!$A$2:$D$3723,4,FALSE)</f>
        <v>#N/A</v>
      </c>
      <c r="X422" t="e">
        <f>VLOOKUP($B422&amp;X$1,Data!$A$2:$D$3723,4,FALSE)</f>
        <v>#N/A</v>
      </c>
      <c r="Y422" t="e">
        <f>VLOOKUP($B422&amp;Y$1,Data!$A$2:$D$3723,4,FALSE)</f>
        <v>#N/A</v>
      </c>
      <c r="Z422" t="e">
        <f>VLOOKUP($B422&amp;Z$1,Data!$A$2:$D$3723,4,FALSE)</f>
        <v>#N/A</v>
      </c>
      <c r="AA422" t="e">
        <f>VLOOKUP($B422&amp;AA$1,Data!$A$2:$D$3723,4,FALSE)</f>
        <v>#N/A</v>
      </c>
      <c r="AB422" t="e">
        <f>VLOOKUP($B422&amp;AB$1,Data!$A$2:$D$3723,4,FALSE)</f>
        <v>#N/A</v>
      </c>
      <c r="AC422" t="e">
        <f>VLOOKUP($B422&amp;AC$1,Data!$A$2:$D$3723,4,FALSE)</f>
        <v>#N/A</v>
      </c>
      <c r="AD422" t="e">
        <f>VLOOKUP($B422&amp;AD$1,Data!$A$2:$D$3723,4,FALSE)</f>
        <v>#N/A</v>
      </c>
      <c r="AE422" t="e">
        <f>VLOOKUP($B422&amp;AE$1,Data!$A$2:$D$3723,4,FALSE)</f>
        <v>#N/A</v>
      </c>
      <c r="AF422" t="e">
        <f>VLOOKUP($B422&amp;AF$1,Data!$A$2:$D$3723,4,FALSE)</f>
        <v>#N/A</v>
      </c>
      <c r="AG422" t="e">
        <f>VLOOKUP($B422&amp;AG$1,Data!$A$2:$D$3723,4,FALSE)</f>
        <v>#N/A</v>
      </c>
      <c r="AH422" t="e">
        <f>VLOOKUP($B422&amp;AH$1,Data!$A$2:$D$3723,4,FALSE)</f>
        <v>#N/A</v>
      </c>
      <c r="AI422" t="e">
        <f>VLOOKUP($B422&amp;AI$1,Data!$A$2:$D$3723,4,FALSE)</f>
        <v>#N/A</v>
      </c>
    </row>
    <row r="423" spans="2:35" hidden="1">
      <c r="B423" s="13">
        <v>422</v>
      </c>
      <c r="C423" s="13" t="s">
        <v>56</v>
      </c>
      <c r="D423" t="s">
        <v>5</v>
      </c>
      <c r="E423" t="s">
        <v>22</v>
      </c>
      <c r="F423">
        <v>1000</v>
      </c>
      <c r="G423" t="s">
        <v>17</v>
      </c>
      <c r="H423" s="5">
        <v>43831</v>
      </c>
      <c r="I423" s="5">
        <v>44562</v>
      </c>
      <c r="J423">
        <v>14</v>
      </c>
      <c r="K423">
        <v>9</v>
      </c>
      <c r="L423">
        <v>32</v>
      </c>
      <c r="M423">
        <v>68</v>
      </c>
      <c r="N423">
        <v>1000000</v>
      </c>
      <c r="O423" t="e">
        <f>VLOOKUP($B423&amp;O$1,Data!$A$2:$D$3723,4,FALSE)</f>
        <v>#N/A</v>
      </c>
      <c r="P423" t="e">
        <f>VLOOKUP($B423&amp;P$1,Data!$A$2:$D$3723,4,FALSE)</f>
        <v>#N/A</v>
      </c>
      <c r="Q423" t="e">
        <f>VLOOKUP($B423&amp;Q$1,Data!$A$2:$D$3723,4,FALSE)</f>
        <v>#N/A</v>
      </c>
      <c r="R423" t="e">
        <f>VLOOKUP($B423&amp;R$1,Data!$A$2:$D$3723,4,FALSE)</f>
        <v>#N/A</v>
      </c>
      <c r="S423" t="e">
        <f>VLOOKUP($B423&amp;S$1,Data!$A$2:$D$3723,4,FALSE)</f>
        <v>#N/A</v>
      </c>
      <c r="T423" t="e">
        <f>VLOOKUP($B423&amp;T$1,Data!$A$2:$D$3723,4,FALSE)</f>
        <v>#N/A</v>
      </c>
      <c r="U423" t="e">
        <f>VLOOKUP($B423&amp;U$1,Data!$A$2:$D$3723,4,FALSE)</f>
        <v>#N/A</v>
      </c>
      <c r="V423" t="e">
        <f>VLOOKUP($B423&amp;V$1,Data!$A$2:$D$3723,4,FALSE)</f>
        <v>#N/A</v>
      </c>
      <c r="W423" t="e">
        <f>VLOOKUP($B423&amp;W$1,Data!$A$2:$D$3723,4,FALSE)</f>
        <v>#N/A</v>
      </c>
      <c r="X423" t="e">
        <f>VLOOKUP($B423&amp;X$1,Data!$A$2:$D$3723,4,FALSE)</f>
        <v>#N/A</v>
      </c>
      <c r="Y423" t="e">
        <f>VLOOKUP($B423&amp;Y$1,Data!$A$2:$D$3723,4,FALSE)</f>
        <v>#N/A</v>
      </c>
      <c r="Z423" t="e">
        <f>VLOOKUP($B423&amp;Z$1,Data!$A$2:$D$3723,4,FALSE)</f>
        <v>#N/A</v>
      </c>
      <c r="AA423" t="e">
        <f>VLOOKUP($B423&amp;AA$1,Data!$A$2:$D$3723,4,FALSE)</f>
        <v>#N/A</v>
      </c>
      <c r="AB423" t="e">
        <f>VLOOKUP($B423&amp;AB$1,Data!$A$2:$D$3723,4,FALSE)</f>
        <v>#N/A</v>
      </c>
      <c r="AC423" t="e">
        <f>VLOOKUP($B423&amp;AC$1,Data!$A$2:$D$3723,4,FALSE)</f>
        <v>#N/A</v>
      </c>
      <c r="AD423" t="e">
        <f>VLOOKUP($B423&amp;AD$1,Data!$A$2:$D$3723,4,FALSE)</f>
        <v>#N/A</v>
      </c>
      <c r="AE423" t="e">
        <f>VLOOKUP($B423&amp;AE$1,Data!$A$2:$D$3723,4,FALSE)</f>
        <v>#N/A</v>
      </c>
      <c r="AF423" t="e">
        <f>VLOOKUP($B423&amp;AF$1,Data!$A$2:$D$3723,4,FALSE)</f>
        <v>#N/A</v>
      </c>
      <c r="AG423" t="e">
        <f>VLOOKUP($B423&amp;AG$1,Data!$A$2:$D$3723,4,FALSE)</f>
        <v>#N/A</v>
      </c>
      <c r="AH423" t="e">
        <f>VLOOKUP($B423&amp;AH$1,Data!$A$2:$D$3723,4,FALSE)</f>
        <v>#N/A</v>
      </c>
      <c r="AI423" t="e">
        <f>VLOOKUP($B423&amp;AI$1,Data!$A$2:$D$3723,4,FALSE)</f>
        <v>#N/A</v>
      </c>
    </row>
    <row r="424" spans="2:35" hidden="1">
      <c r="B424" s="13">
        <v>423</v>
      </c>
      <c r="C424" s="13" t="s">
        <v>56</v>
      </c>
      <c r="D424" t="s">
        <v>5</v>
      </c>
      <c r="E424" t="s">
        <v>22</v>
      </c>
      <c r="F424">
        <v>5000</v>
      </c>
      <c r="G424" t="s">
        <v>17</v>
      </c>
      <c r="H424" s="5">
        <v>43831</v>
      </c>
      <c r="I424" s="5">
        <v>44562</v>
      </c>
      <c r="J424">
        <v>14</v>
      </c>
      <c r="K424">
        <v>9</v>
      </c>
      <c r="L424">
        <v>32</v>
      </c>
      <c r="M424">
        <v>68</v>
      </c>
      <c r="N424">
        <v>1000000</v>
      </c>
      <c r="O424" t="e">
        <f>VLOOKUP($B424&amp;O$1,Data!$A$2:$D$3723,4,FALSE)</f>
        <v>#N/A</v>
      </c>
      <c r="P424" t="e">
        <f>VLOOKUP($B424&amp;P$1,Data!$A$2:$D$3723,4,FALSE)</f>
        <v>#N/A</v>
      </c>
      <c r="Q424" t="e">
        <f>VLOOKUP($B424&amp;Q$1,Data!$A$2:$D$3723,4,FALSE)</f>
        <v>#N/A</v>
      </c>
      <c r="R424" t="e">
        <f>VLOOKUP($B424&amp;R$1,Data!$A$2:$D$3723,4,FALSE)</f>
        <v>#N/A</v>
      </c>
      <c r="S424" t="e">
        <f>VLOOKUP($B424&amp;S$1,Data!$A$2:$D$3723,4,FALSE)</f>
        <v>#N/A</v>
      </c>
      <c r="T424" t="e">
        <f>VLOOKUP($B424&amp;T$1,Data!$A$2:$D$3723,4,FALSE)</f>
        <v>#N/A</v>
      </c>
      <c r="U424" t="e">
        <f>VLOOKUP($B424&amp;U$1,Data!$A$2:$D$3723,4,FALSE)</f>
        <v>#N/A</v>
      </c>
      <c r="V424" t="e">
        <f>VLOOKUP($B424&amp;V$1,Data!$A$2:$D$3723,4,FALSE)</f>
        <v>#N/A</v>
      </c>
      <c r="W424" t="e">
        <f>VLOOKUP($B424&amp;W$1,Data!$A$2:$D$3723,4,FALSE)</f>
        <v>#N/A</v>
      </c>
      <c r="X424" t="e">
        <f>VLOOKUP($B424&amp;X$1,Data!$A$2:$D$3723,4,FALSE)</f>
        <v>#N/A</v>
      </c>
      <c r="Y424" t="e">
        <f>VLOOKUP($B424&amp;Y$1,Data!$A$2:$D$3723,4,FALSE)</f>
        <v>#N/A</v>
      </c>
      <c r="Z424" t="e">
        <f>VLOOKUP($B424&amp;Z$1,Data!$A$2:$D$3723,4,FALSE)</f>
        <v>#N/A</v>
      </c>
      <c r="AA424" t="e">
        <f>VLOOKUP($B424&amp;AA$1,Data!$A$2:$D$3723,4,FALSE)</f>
        <v>#N/A</v>
      </c>
      <c r="AB424" t="e">
        <f>VLOOKUP($B424&amp;AB$1,Data!$A$2:$D$3723,4,FALSE)</f>
        <v>#N/A</v>
      </c>
      <c r="AC424" t="e">
        <f>VLOOKUP($B424&amp;AC$1,Data!$A$2:$D$3723,4,FALSE)</f>
        <v>#N/A</v>
      </c>
      <c r="AD424" t="e">
        <f>VLOOKUP($B424&amp;AD$1,Data!$A$2:$D$3723,4,FALSE)</f>
        <v>#N/A</v>
      </c>
      <c r="AE424" t="e">
        <f>VLOOKUP($B424&amp;AE$1,Data!$A$2:$D$3723,4,FALSE)</f>
        <v>#N/A</v>
      </c>
      <c r="AF424" t="e">
        <f>VLOOKUP($B424&amp;AF$1,Data!$A$2:$D$3723,4,FALSE)</f>
        <v>#N/A</v>
      </c>
      <c r="AG424" t="e">
        <f>VLOOKUP($B424&amp;AG$1,Data!$A$2:$D$3723,4,FALSE)</f>
        <v>#N/A</v>
      </c>
      <c r="AH424" t="e">
        <f>VLOOKUP($B424&amp;AH$1,Data!$A$2:$D$3723,4,FALSE)</f>
        <v>#N/A</v>
      </c>
      <c r="AI424" t="e">
        <f>VLOOKUP($B424&amp;AI$1,Data!$A$2:$D$3723,4,FALSE)</f>
        <v>#N/A</v>
      </c>
    </row>
    <row r="425" spans="2:35" hidden="1">
      <c r="B425" s="13">
        <v>424</v>
      </c>
      <c r="C425" s="13" t="s">
        <v>56</v>
      </c>
      <c r="D425" t="s">
        <v>5</v>
      </c>
      <c r="E425" t="s">
        <v>3</v>
      </c>
      <c r="F425">
        <v>100</v>
      </c>
      <c r="G425" t="s">
        <v>17</v>
      </c>
      <c r="H425" s="5">
        <v>43831</v>
      </c>
      <c r="I425" s="5">
        <v>44562</v>
      </c>
      <c r="J425">
        <v>14</v>
      </c>
      <c r="K425">
        <v>9</v>
      </c>
      <c r="L425">
        <v>28</v>
      </c>
      <c r="M425">
        <v>72</v>
      </c>
      <c r="N425">
        <v>1000000</v>
      </c>
      <c r="O425" t="e">
        <f>VLOOKUP($B425&amp;O$1,Data!$A$2:$D$3723,4,FALSE)</f>
        <v>#N/A</v>
      </c>
      <c r="P425" t="e">
        <f>VLOOKUP($B425&amp;P$1,Data!$A$2:$D$3723,4,FALSE)</f>
        <v>#N/A</v>
      </c>
      <c r="Q425" t="e">
        <f>VLOOKUP($B425&amp;Q$1,Data!$A$2:$D$3723,4,FALSE)</f>
        <v>#N/A</v>
      </c>
      <c r="R425" t="e">
        <f>VLOOKUP($B425&amp;R$1,Data!$A$2:$D$3723,4,FALSE)</f>
        <v>#N/A</v>
      </c>
      <c r="S425" t="e">
        <f>VLOOKUP($B425&amp;S$1,Data!$A$2:$D$3723,4,FALSE)</f>
        <v>#N/A</v>
      </c>
      <c r="T425" t="e">
        <f>VLOOKUP($B425&amp;T$1,Data!$A$2:$D$3723,4,FALSE)</f>
        <v>#N/A</v>
      </c>
      <c r="U425" t="e">
        <f>VLOOKUP($B425&amp;U$1,Data!$A$2:$D$3723,4,FALSE)</f>
        <v>#N/A</v>
      </c>
      <c r="V425" t="e">
        <f>VLOOKUP($B425&amp;V$1,Data!$A$2:$D$3723,4,FALSE)</f>
        <v>#N/A</v>
      </c>
      <c r="W425" t="e">
        <f>VLOOKUP($B425&amp;W$1,Data!$A$2:$D$3723,4,FALSE)</f>
        <v>#N/A</v>
      </c>
      <c r="X425" t="e">
        <f>VLOOKUP($B425&amp;X$1,Data!$A$2:$D$3723,4,FALSE)</f>
        <v>#N/A</v>
      </c>
      <c r="Y425" t="e">
        <f>VLOOKUP($B425&amp;Y$1,Data!$A$2:$D$3723,4,FALSE)</f>
        <v>#N/A</v>
      </c>
      <c r="Z425" t="e">
        <f>VLOOKUP($B425&amp;Z$1,Data!$A$2:$D$3723,4,FALSE)</f>
        <v>#N/A</v>
      </c>
      <c r="AA425" t="e">
        <f>VLOOKUP($B425&amp;AA$1,Data!$A$2:$D$3723,4,FALSE)</f>
        <v>#N/A</v>
      </c>
      <c r="AB425" t="e">
        <f>VLOOKUP($B425&amp;AB$1,Data!$A$2:$D$3723,4,FALSE)</f>
        <v>#N/A</v>
      </c>
      <c r="AC425" t="e">
        <f>VLOOKUP($B425&amp;AC$1,Data!$A$2:$D$3723,4,FALSE)</f>
        <v>#N/A</v>
      </c>
      <c r="AD425" t="e">
        <f>VLOOKUP($B425&amp;AD$1,Data!$A$2:$D$3723,4,FALSE)</f>
        <v>#N/A</v>
      </c>
      <c r="AE425" t="e">
        <f>VLOOKUP($B425&amp;AE$1,Data!$A$2:$D$3723,4,FALSE)</f>
        <v>#N/A</v>
      </c>
      <c r="AF425" t="e">
        <f>VLOOKUP($B425&amp;AF$1,Data!$A$2:$D$3723,4,FALSE)</f>
        <v>#N/A</v>
      </c>
      <c r="AG425" t="e">
        <f>VLOOKUP($B425&amp;AG$1,Data!$A$2:$D$3723,4,FALSE)</f>
        <v>#N/A</v>
      </c>
      <c r="AH425" t="e">
        <f>VLOOKUP($B425&amp;AH$1,Data!$A$2:$D$3723,4,FALSE)</f>
        <v>#N/A</v>
      </c>
      <c r="AI425" t="e">
        <f>VLOOKUP($B425&amp;AI$1,Data!$A$2:$D$3723,4,FALSE)</f>
        <v>#N/A</v>
      </c>
    </row>
    <row r="426" spans="2:35" hidden="1">
      <c r="B426" s="13">
        <v>425</v>
      </c>
      <c r="C426" s="13" t="s">
        <v>56</v>
      </c>
      <c r="D426" t="s">
        <v>5</v>
      </c>
      <c r="E426" t="s">
        <v>3</v>
      </c>
      <c r="F426">
        <v>1000</v>
      </c>
      <c r="G426" t="s">
        <v>17</v>
      </c>
      <c r="H426" s="5">
        <v>43831</v>
      </c>
      <c r="I426" s="5">
        <v>44562</v>
      </c>
      <c r="J426">
        <v>14</v>
      </c>
      <c r="K426">
        <v>9</v>
      </c>
      <c r="L426">
        <v>28</v>
      </c>
      <c r="M426">
        <v>72</v>
      </c>
      <c r="N426">
        <v>1000000</v>
      </c>
      <c r="O426" t="e">
        <f>VLOOKUP($B426&amp;O$1,Data!$A$2:$D$3723,4,FALSE)</f>
        <v>#N/A</v>
      </c>
      <c r="P426" t="e">
        <f>VLOOKUP($B426&amp;P$1,Data!$A$2:$D$3723,4,FALSE)</f>
        <v>#N/A</v>
      </c>
      <c r="Q426" t="e">
        <f>VLOOKUP($B426&amp;Q$1,Data!$A$2:$D$3723,4,FALSE)</f>
        <v>#N/A</v>
      </c>
      <c r="R426" t="e">
        <f>VLOOKUP($B426&amp;R$1,Data!$A$2:$D$3723,4,FALSE)</f>
        <v>#N/A</v>
      </c>
      <c r="S426" t="e">
        <f>VLOOKUP($B426&amp;S$1,Data!$A$2:$D$3723,4,FALSE)</f>
        <v>#N/A</v>
      </c>
      <c r="T426" t="e">
        <f>VLOOKUP($B426&amp;T$1,Data!$A$2:$D$3723,4,FALSE)</f>
        <v>#N/A</v>
      </c>
      <c r="U426" t="e">
        <f>VLOOKUP($B426&amp;U$1,Data!$A$2:$D$3723,4,FALSE)</f>
        <v>#N/A</v>
      </c>
      <c r="V426" t="e">
        <f>VLOOKUP($B426&amp;V$1,Data!$A$2:$D$3723,4,FALSE)</f>
        <v>#N/A</v>
      </c>
      <c r="W426" t="e">
        <f>VLOOKUP($B426&amp;W$1,Data!$A$2:$D$3723,4,FALSE)</f>
        <v>#N/A</v>
      </c>
      <c r="X426" t="e">
        <f>VLOOKUP($B426&amp;X$1,Data!$A$2:$D$3723,4,FALSE)</f>
        <v>#N/A</v>
      </c>
      <c r="Y426" t="e">
        <f>VLOOKUP($B426&amp;Y$1,Data!$A$2:$D$3723,4,FALSE)</f>
        <v>#N/A</v>
      </c>
      <c r="Z426" t="e">
        <f>VLOOKUP($B426&amp;Z$1,Data!$A$2:$D$3723,4,FALSE)</f>
        <v>#N/A</v>
      </c>
      <c r="AA426" t="e">
        <f>VLOOKUP($B426&amp;AA$1,Data!$A$2:$D$3723,4,FALSE)</f>
        <v>#N/A</v>
      </c>
      <c r="AB426" t="e">
        <f>VLOOKUP($B426&amp;AB$1,Data!$A$2:$D$3723,4,FALSE)</f>
        <v>#N/A</v>
      </c>
      <c r="AC426" t="e">
        <f>VLOOKUP($B426&amp;AC$1,Data!$A$2:$D$3723,4,FALSE)</f>
        <v>#N/A</v>
      </c>
      <c r="AD426" t="e">
        <f>VLOOKUP($B426&amp;AD$1,Data!$A$2:$D$3723,4,FALSE)</f>
        <v>#N/A</v>
      </c>
      <c r="AE426" t="e">
        <f>VLOOKUP($B426&amp;AE$1,Data!$A$2:$D$3723,4,FALSE)</f>
        <v>#N/A</v>
      </c>
      <c r="AF426" t="e">
        <f>VLOOKUP($B426&amp;AF$1,Data!$A$2:$D$3723,4,FALSE)</f>
        <v>#N/A</v>
      </c>
      <c r="AG426" t="e">
        <f>VLOOKUP($B426&amp;AG$1,Data!$A$2:$D$3723,4,FALSE)</f>
        <v>#N/A</v>
      </c>
      <c r="AH426" t="e">
        <f>VLOOKUP($B426&amp;AH$1,Data!$A$2:$D$3723,4,FALSE)</f>
        <v>#N/A</v>
      </c>
      <c r="AI426" t="e">
        <f>VLOOKUP($B426&amp;AI$1,Data!$A$2:$D$3723,4,FALSE)</f>
        <v>#N/A</v>
      </c>
    </row>
    <row r="427" spans="2:35" hidden="1">
      <c r="B427" s="13">
        <v>426</v>
      </c>
      <c r="C427" s="13" t="s">
        <v>56</v>
      </c>
      <c r="D427" t="s">
        <v>5</v>
      </c>
      <c r="E427" t="s">
        <v>3</v>
      </c>
      <c r="F427">
        <v>5000</v>
      </c>
      <c r="G427" t="s">
        <v>17</v>
      </c>
      <c r="H427" s="5">
        <v>43831</v>
      </c>
      <c r="I427" s="5">
        <v>44562</v>
      </c>
      <c r="J427">
        <v>14</v>
      </c>
      <c r="K427">
        <v>9</v>
      </c>
      <c r="L427">
        <v>28</v>
      </c>
      <c r="M427">
        <v>72</v>
      </c>
      <c r="N427">
        <v>1000000</v>
      </c>
      <c r="O427" t="e">
        <f>VLOOKUP($B427&amp;O$1,Data!$A$2:$D$3723,4,FALSE)</f>
        <v>#N/A</v>
      </c>
      <c r="P427" t="e">
        <f>VLOOKUP($B427&amp;P$1,Data!$A$2:$D$3723,4,FALSE)</f>
        <v>#N/A</v>
      </c>
      <c r="Q427" t="e">
        <f>VLOOKUP($B427&amp;Q$1,Data!$A$2:$D$3723,4,FALSE)</f>
        <v>#N/A</v>
      </c>
      <c r="R427" t="e">
        <f>VLOOKUP($B427&amp;R$1,Data!$A$2:$D$3723,4,FALSE)</f>
        <v>#N/A</v>
      </c>
      <c r="S427" t="e">
        <f>VLOOKUP($B427&amp;S$1,Data!$A$2:$D$3723,4,FALSE)</f>
        <v>#N/A</v>
      </c>
      <c r="T427" t="e">
        <f>VLOOKUP($B427&amp;T$1,Data!$A$2:$D$3723,4,FALSE)</f>
        <v>#N/A</v>
      </c>
      <c r="U427" t="e">
        <f>VLOOKUP($B427&amp;U$1,Data!$A$2:$D$3723,4,FALSE)</f>
        <v>#N/A</v>
      </c>
      <c r="V427" t="e">
        <f>VLOOKUP($B427&amp;V$1,Data!$A$2:$D$3723,4,FALSE)</f>
        <v>#N/A</v>
      </c>
      <c r="W427" t="e">
        <f>VLOOKUP($B427&amp;W$1,Data!$A$2:$D$3723,4,FALSE)</f>
        <v>#N/A</v>
      </c>
      <c r="X427" t="e">
        <f>VLOOKUP($B427&amp;X$1,Data!$A$2:$D$3723,4,FALSE)</f>
        <v>#N/A</v>
      </c>
      <c r="Y427" t="e">
        <f>VLOOKUP($B427&amp;Y$1,Data!$A$2:$D$3723,4,FALSE)</f>
        <v>#N/A</v>
      </c>
      <c r="Z427" t="e">
        <f>VLOOKUP($B427&amp;Z$1,Data!$A$2:$D$3723,4,FALSE)</f>
        <v>#N/A</v>
      </c>
      <c r="AA427" t="e">
        <f>VLOOKUP($B427&amp;AA$1,Data!$A$2:$D$3723,4,FALSE)</f>
        <v>#N/A</v>
      </c>
      <c r="AB427" t="e">
        <f>VLOOKUP($B427&amp;AB$1,Data!$A$2:$D$3723,4,FALSE)</f>
        <v>#N/A</v>
      </c>
      <c r="AC427" t="e">
        <f>VLOOKUP($B427&amp;AC$1,Data!$A$2:$D$3723,4,FALSE)</f>
        <v>#N/A</v>
      </c>
      <c r="AD427" t="e">
        <f>VLOOKUP($B427&amp;AD$1,Data!$A$2:$D$3723,4,FALSE)</f>
        <v>#N/A</v>
      </c>
      <c r="AE427" t="e">
        <f>VLOOKUP($B427&amp;AE$1,Data!$A$2:$D$3723,4,FALSE)</f>
        <v>#N/A</v>
      </c>
      <c r="AF427" t="e">
        <f>VLOOKUP($B427&amp;AF$1,Data!$A$2:$D$3723,4,FALSE)</f>
        <v>#N/A</v>
      </c>
      <c r="AG427" t="e">
        <f>VLOOKUP($B427&amp;AG$1,Data!$A$2:$D$3723,4,FALSE)</f>
        <v>#N/A</v>
      </c>
      <c r="AH427" t="e">
        <f>VLOOKUP($B427&amp;AH$1,Data!$A$2:$D$3723,4,FALSE)</f>
        <v>#N/A</v>
      </c>
      <c r="AI427" t="e">
        <f>VLOOKUP($B427&amp;AI$1,Data!$A$2:$D$3723,4,FALSE)</f>
        <v>#N/A</v>
      </c>
    </row>
    <row r="428" spans="2:35" hidden="1">
      <c r="B428" s="13">
        <v>427</v>
      </c>
      <c r="C428" s="13" t="s">
        <v>56</v>
      </c>
      <c r="D428" t="s">
        <v>5</v>
      </c>
      <c r="E428" t="s">
        <v>2</v>
      </c>
      <c r="F428">
        <v>100</v>
      </c>
      <c r="G428" t="s">
        <v>17</v>
      </c>
      <c r="H428" s="5">
        <v>43831</v>
      </c>
      <c r="I428" s="5">
        <v>44562</v>
      </c>
      <c r="J428">
        <v>14</v>
      </c>
      <c r="K428">
        <v>9</v>
      </c>
      <c r="L428">
        <v>28</v>
      </c>
      <c r="M428">
        <v>72</v>
      </c>
      <c r="N428">
        <v>1000000</v>
      </c>
      <c r="O428" t="e">
        <f>VLOOKUP($B428&amp;O$1,Data!$A$2:$D$3723,4,FALSE)</f>
        <v>#N/A</v>
      </c>
      <c r="P428" t="e">
        <f>VLOOKUP($B428&amp;P$1,Data!$A$2:$D$3723,4,FALSE)</f>
        <v>#N/A</v>
      </c>
      <c r="Q428" t="e">
        <f>VLOOKUP($B428&amp;Q$1,Data!$A$2:$D$3723,4,FALSE)</f>
        <v>#N/A</v>
      </c>
      <c r="R428" t="e">
        <f>VLOOKUP($B428&amp;R$1,Data!$A$2:$D$3723,4,FALSE)</f>
        <v>#N/A</v>
      </c>
      <c r="S428" t="e">
        <f>VLOOKUP($B428&amp;S$1,Data!$A$2:$D$3723,4,FALSE)</f>
        <v>#N/A</v>
      </c>
      <c r="T428" t="e">
        <f>VLOOKUP($B428&amp;T$1,Data!$A$2:$D$3723,4,FALSE)</f>
        <v>#N/A</v>
      </c>
      <c r="U428" t="e">
        <f>VLOOKUP($B428&amp;U$1,Data!$A$2:$D$3723,4,FALSE)</f>
        <v>#N/A</v>
      </c>
      <c r="V428" t="e">
        <f>VLOOKUP($B428&amp;V$1,Data!$A$2:$D$3723,4,FALSE)</f>
        <v>#N/A</v>
      </c>
      <c r="W428" t="e">
        <f>VLOOKUP($B428&amp;W$1,Data!$A$2:$D$3723,4,FALSE)</f>
        <v>#N/A</v>
      </c>
      <c r="X428" t="e">
        <f>VLOOKUP($B428&amp;X$1,Data!$A$2:$D$3723,4,FALSE)</f>
        <v>#N/A</v>
      </c>
      <c r="Y428" t="e">
        <f>VLOOKUP($B428&amp;Y$1,Data!$A$2:$D$3723,4,FALSE)</f>
        <v>#N/A</v>
      </c>
      <c r="Z428" t="e">
        <f>VLOOKUP($B428&amp;Z$1,Data!$A$2:$D$3723,4,FALSE)</f>
        <v>#N/A</v>
      </c>
      <c r="AA428" t="e">
        <f>VLOOKUP($B428&amp;AA$1,Data!$A$2:$D$3723,4,FALSE)</f>
        <v>#N/A</v>
      </c>
      <c r="AB428" t="e">
        <f>VLOOKUP($B428&amp;AB$1,Data!$A$2:$D$3723,4,FALSE)</f>
        <v>#N/A</v>
      </c>
      <c r="AC428" t="e">
        <f>VLOOKUP($B428&amp;AC$1,Data!$A$2:$D$3723,4,FALSE)</f>
        <v>#N/A</v>
      </c>
      <c r="AD428" t="e">
        <f>VLOOKUP($B428&amp;AD$1,Data!$A$2:$D$3723,4,FALSE)</f>
        <v>#N/A</v>
      </c>
      <c r="AE428" t="e">
        <f>VLOOKUP($B428&amp;AE$1,Data!$A$2:$D$3723,4,FALSE)</f>
        <v>#N/A</v>
      </c>
      <c r="AF428" t="e">
        <f>VLOOKUP($B428&amp;AF$1,Data!$A$2:$D$3723,4,FALSE)</f>
        <v>#N/A</v>
      </c>
      <c r="AG428" t="e">
        <f>VLOOKUP($B428&amp;AG$1,Data!$A$2:$D$3723,4,FALSE)</f>
        <v>#N/A</v>
      </c>
      <c r="AH428" t="e">
        <f>VLOOKUP($B428&amp;AH$1,Data!$A$2:$D$3723,4,FALSE)</f>
        <v>#N/A</v>
      </c>
      <c r="AI428" t="e">
        <f>VLOOKUP($B428&amp;AI$1,Data!$A$2:$D$3723,4,FALSE)</f>
        <v>#N/A</v>
      </c>
    </row>
    <row r="429" spans="2:35" hidden="1">
      <c r="B429" s="13">
        <v>428</v>
      </c>
      <c r="C429" s="13" t="s">
        <v>56</v>
      </c>
      <c r="D429" t="s">
        <v>5</v>
      </c>
      <c r="E429" t="s">
        <v>2</v>
      </c>
      <c r="F429">
        <v>1000</v>
      </c>
      <c r="G429" t="s">
        <v>17</v>
      </c>
      <c r="H429" s="5">
        <v>43831</v>
      </c>
      <c r="I429" s="5">
        <v>44562</v>
      </c>
      <c r="J429">
        <v>14</v>
      </c>
      <c r="K429">
        <v>9</v>
      </c>
      <c r="L429">
        <v>28</v>
      </c>
      <c r="M429">
        <v>72</v>
      </c>
      <c r="N429">
        <v>1000000</v>
      </c>
      <c r="O429" t="e">
        <f>VLOOKUP($B429&amp;O$1,Data!$A$2:$D$3723,4,FALSE)</f>
        <v>#N/A</v>
      </c>
      <c r="P429" t="e">
        <f>VLOOKUP($B429&amp;P$1,Data!$A$2:$D$3723,4,FALSE)</f>
        <v>#N/A</v>
      </c>
      <c r="Q429" t="e">
        <f>VLOOKUP($B429&amp;Q$1,Data!$A$2:$D$3723,4,FALSE)</f>
        <v>#N/A</v>
      </c>
      <c r="R429" t="e">
        <f>VLOOKUP($B429&amp;R$1,Data!$A$2:$D$3723,4,FALSE)</f>
        <v>#N/A</v>
      </c>
      <c r="S429" t="e">
        <f>VLOOKUP($B429&amp;S$1,Data!$A$2:$D$3723,4,FALSE)</f>
        <v>#N/A</v>
      </c>
      <c r="T429" t="e">
        <f>VLOOKUP($B429&amp;T$1,Data!$A$2:$D$3723,4,FALSE)</f>
        <v>#N/A</v>
      </c>
      <c r="U429" t="e">
        <f>VLOOKUP($B429&amp;U$1,Data!$A$2:$D$3723,4,FALSE)</f>
        <v>#N/A</v>
      </c>
      <c r="V429" t="e">
        <f>VLOOKUP($B429&amp;V$1,Data!$A$2:$D$3723,4,FALSE)</f>
        <v>#N/A</v>
      </c>
      <c r="W429" t="e">
        <f>VLOOKUP($B429&amp;W$1,Data!$A$2:$D$3723,4,FALSE)</f>
        <v>#N/A</v>
      </c>
      <c r="X429" t="e">
        <f>VLOOKUP($B429&amp;X$1,Data!$A$2:$D$3723,4,FALSE)</f>
        <v>#N/A</v>
      </c>
      <c r="Y429" t="e">
        <f>VLOOKUP($B429&amp;Y$1,Data!$A$2:$D$3723,4,FALSE)</f>
        <v>#N/A</v>
      </c>
      <c r="Z429" t="e">
        <f>VLOOKUP($B429&amp;Z$1,Data!$A$2:$D$3723,4,FALSE)</f>
        <v>#N/A</v>
      </c>
      <c r="AA429" t="e">
        <f>VLOOKUP($B429&amp;AA$1,Data!$A$2:$D$3723,4,FALSE)</f>
        <v>#N/A</v>
      </c>
      <c r="AB429" t="e">
        <f>VLOOKUP($B429&amp;AB$1,Data!$A$2:$D$3723,4,FALSE)</f>
        <v>#N/A</v>
      </c>
      <c r="AC429" t="e">
        <f>VLOOKUP($B429&amp;AC$1,Data!$A$2:$D$3723,4,FALSE)</f>
        <v>#N/A</v>
      </c>
      <c r="AD429" t="e">
        <f>VLOOKUP($B429&amp;AD$1,Data!$A$2:$D$3723,4,FALSE)</f>
        <v>#N/A</v>
      </c>
      <c r="AE429" t="e">
        <f>VLOOKUP($B429&amp;AE$1,Data!$A$2:$D$3723,4,FALSE)</f>
        <v>#N/A</v>
      </c>
      <c r="AF429" t="e">
        <f>VLOOKUP($B429&amp;AF$1,Data!$A$2:$D$3723,4,FALSE)</f>
        <v>#N/A</v>
      </c>
      <c r="AG429" t="e">
        <f>VLOOKUP($B429&amp;AG$1,Data!$A$2:$D$3723,4,FALSE)</f>
        <v>#N/A</v>
      </c>
      <c r="AH429" t="e">
        <f>VLOOKUP($B429&amp;AH$1,Data!$A$2:$D$3723,4,FALSE)</f>
        <v>#N/A</v>
      </c>
      <c r="AI429" t="e">
        <f>VLOOKUP($B429&amp;AI$1,Data!$A$2:$D$3723,4,FALSE)</f>
        <v>#N/A</v>
      </c>
    </row>
    <row r="430" spans="2:35" hidden="1">
      <c r="B430" s="13">
        <v>429</v>
      </c>
      <c r="C430" s="13" t="s">
        <v>56</v>
      </c>
      <c r="D430" t="s">
        <v>5</v>
      </c>
      <c r="E430" t="s">
        <v>2</v>
      </c>
      <c r="F430">
        <v>5000</v>
      </c>
      <c r="G430" t="s">
        <v>17</v>
      </c>
      <c r="H430" s="5">
        <v>43831</v>
      </c>
      <c r="I430" s="5">
        <v>44562</v>
      </c>
      <c r="J430">
        <v>14</v>
      </c>
      <c r="K430">
        <v>9</v>
      </c>
      <c r="L430">
        <v>28</v>
      </c>
      <c r="M430">
        <v>72</v>
      </c>
      <c r="N430">
        <v>1000000</v>
      </c>
      <c r="O430" t="e">
        <f>VLOOKUP($B430&amp;O$1,Data!$A$2:$D$3723,4,FALSE)</f>
        <v>#N/A</v>
      </c>
      <c r="P430" t="e">
        <f>VLOOKUP($B430&amp;P$1,Data!$A$2:$D$3723,4,FALSE)</f>
        <v>#N/A</v>
      </c>
      <c r="Q430" t="e">
        <f>VLOOKUP($B430&amp;Q$1,Data!$A$2:$D$3723,4,FALSE)</f>
        <v>#N/A</v>
      </c>
      <c r="R430" t="e">
        <f>VLOOKUP($B430&amp;R$1,Data!$A$2:$D$3723,4,FALSE)</f>
        <v>#N/A</v>
      </c>
      <c r="S430" t="e">
        <f>VLOOKUP($B430&amp;S$1,Data!$A$2:$D$3723,4,FALSE)</f>
        <v>#N/A</v>
      </c>
      <c r="T430" t="e">
        <f>VLOOKUP($B430&amp;T$1,Data!$A$2:$D$3723,4,FALSE)</f>
        <v>#N/A</v>
      </c>
      <c r="U430" t="e">
        <f>VLOOKUP($B430&amp;U$1,Data!$A$2:$D$3723,4,FALSE)</f>
        <v>#N/A</v>
      </c>
      <c r="V430" t="e">
        <f>VLOOKUP($B430&amp;V$1,Data!$A$2:$D$3723,4,FALSE)</f>
        <v>#N/A</v>
      </c>
      <c r="W430" t="e">
        <f>VLOOKUP($B430&amp;W$1,Data!$A$2:$D$3723,4,FALSE)</f>
        <v>#N/A</v>
      </c>
      <c r="X430" t="e">
        <f>VLOOKUP($B430&amp;X$1,Data!$A$2:$D$3723,4,FALSE)</f>
        <v>#N/A</v>
      </c>
      <c r="Y430" t="e">
        <f>VLOOKUP($B430&amp;Y$1,Data!$A$2:$D$3723,4,FALSE)</f>
        <v>#N/A</v>
      </c>
      <c r="Z430" t="e">
        <f>VLOOKUP($B430&amp;Z$1,Data!$A$2:$D$3723,4,FALSE)</f>
        <v>#N/A</v>
      </c>
      <c r="AA430" t="e">
        <f>VLOOKUP($B430&amp;AA$1,Data!$A$2:$D$3723,4,FALSE)</f>
        <v>#N/A</v>
      </c>
      <c r="AB430" t="e">
        <f>VLOOKUP($B430&amp;AB$1,Data!$A$2:$D$3723,4,FALSE)</f>
        <v>#N/A</v>
      </c>
      <c r="AC430" t="e">
        <f>VLOOKUP($B430&amp;AC$1,Data!$A$2:$D$3723,4,FALSE)</f>
        <v>#N/A</v>
      </c>
      <c r="AD430" t="e">
        <f>VLOOKUP($B430&amp;AD$1,Data!$A$2:$D$3723,4,FALSE)</f>
        <v>#N/A</v>
      </c>
      <c r="AE430" t="e">
        <f>VLOOKUP($B430&amp;AE$1,Data!$A$2:$D$3723,4,FALSE)</f>
        <v>#N/A</v>
      </c>
      <c r="AF430" t="e">
        <f>VLOOKUP($B430&amp;AF$1,Data!$A$2:$D$3723,4,FALSE)</f>
        <v>#N/A</v>
      </c>
      <c r="AG430" t="e">
        <f>VLOOKUP($B430&amp;AG$1,Data!$A$2:$D$3723,4,FALSE)</f>
        <v>#N/A</v>
      </c>
      <c r="AH430" t="e">
        <f>VLOOKUP($B430&amp;AH$1,Data!$A$2:$D$3723,4,FALSE)</f>
        <v>#N/A</v>
      </c>
      <c r="AI430" t="e">
        <f>VLOOKUP($B430&amp;AI$1,Data!$A$2:$D$3723,4,FALSE)</f>
        <v>#N/A</v>
      </c>
    </row>
    <row r="431" spans="2:35" hidden="1">
      <c r="B431" s="13">
        <v>430</v>
      </c>
      <c r="C431" s="13" t="s">
        <v>56</v>
      </c>
      <c r="D431" t="s">
        <v>5</v>
      </c>
      <c r="E431" t="s">
        <v>22</v>
      </c>
      <c r="F431">
        <v>100</v>
      </c>
      <c r="G431" t="s">
        <v>17</v>
      </c>
      <c r="H431" s="5">
        <v>43831</v>
      </c>
      <c r="I431" s="5">
        <v>44562</v>
      </c>
      <c r="J431">
        <v>14</v>
      </c>
      <c r="K431">
        <v>9</v>
      </c>
      <c r="L431">
        <v>28</v>
      </c>
      <c r="M431">
        <v>72</v>
      </c>
      <c r="N431">
        <v>1000000</v>
      </c>
      <c r="O431" t="e">
        <f>VLOOKUP($B431&amp;O$1,Data!$A$2:$D$3723,4,FALSE)</f>
        <v>#N/A</v>
      </c>
      <c r="P431" t="e">
        <f>VLOOKUP($B431&amp;P$1,Data!$A$2:$D$3723,4,FALSE)</f>
        <v>#N/A</v>
      </c>
      <c r="Q431" t="e">
        <f>VLOOKUP($B431&amp;Q$1,Data!$A$2:$D$3723,4,FALSE)</f>
        <v>#N/A</v>
      </c>
      <c r="R431" t="e">
        <f>VLOOKUP($B431&amp;R$1,Data!$A$2:$D$3723,4,FALSE)</f>
        <v>#N/A</v>
      </c>
      <c r="S431" t="e">
        <f>VLOOKUP($B431&amp;S$1,Data!$A$2:$D$3723,4,FALSE)</f>
        <v>#N/A</v>
      </c>
      <c r="T431" t="e">
        <f>VLOOKUP($B431&amp;T$1,Data!$A$2:$D$3723,4,FALSE)</f>
        <v>#N/A</v>
      </c>
      <c r="U431" t="e">
        <f>VLOOKUP($B431&amp;U$1,Data!$A$2:$D$3723,4,FALSE)</f>
        <v>#N/A</v>
      </c>
      <c r="V431" t="e">
        <f>VLOOKUP($B431&amp;V$1,Data!$A$2:$D$3723,4,FALSE)</f>
        <v>#N/A</v>
      </c>
      <c r="W431" t="e">
        <f>VLOOKUP($B431&amp;W$1,Data!$A$2:$D$3723,4,FALSE)</f>
        <v>#N/A</v>
      </c>
      <c r="X431" t="e">
        <f>VLOOKUP($B431&amp;X$1,Data!$A$2:$D$3723,4,FALSE)</f>
        <v>#N/A</v>
      </c>
      <c r="Y431" t="e">
        <f>VLOOKUP($B431&amp;Y$1,Data!$A$2:$D$3723,4,FALSE)</f>
        <v>#N/A</v>
      </c>
      <c r="Z431" t="e">
        <f>VLOOKUP($B431&amp;Z$1,Data!$A$2:$D$3723,4,FALSE)</f>
        <v>#N/A</v>
      </c>
      <c r="AA431" t="e">
        <f>VLOOKUP($B431&amp;AA$1,Data!$A$2:$D$3723,4,FALSE)</f>
        <v>#N/A</v>
      </c>
      <c r="AB431" t="e">
        <f>VLOOKUP($B431&amp;AB$1,Data!$A$2:$D$3723,4,FALSE)</f>
        <v>#N/A</v>
      </c>
      <c r="AC431" t="e">
        <f>VLOOKUP($B431&amp;AC$1,Data!$A$2:$D$3723,4,FALSE)</f>
        <v>#N/A</v>
      </c>
      <c r="AD431" t="e">
        <f>VLOOKUP($B431&amp;AD$1,Data!$A$2:$D$3723,4,FALSE)</f>
        <v>#N/A</v>
      </c>
      <c r="AE431" t="e">
        <f>VLOOKUP($B431&amp;AE$1,Data!$A$2:$D$3723,4,FALSE)</f>
        <v>#N/A</v>
      </c>
      <c r="AF431" t="e">
        <f>VLOOKUP($B431&amp;AF$1,Data!$A$2:$D$3723,4,FALSE)</f>
        <v>#N/A</v>
      </c>
      <c r="AG431" t="e">
        <f>VLOOKUP($B431&amp;AG$1,Data!$A$2:$D$3723,4,FALSE)</f>
        <v>#N/A</v>
      </c>
      <c r="AH431" t="e">
        <f>VLOOKUP($B431&amp;AH$1,Data!$A$2:$D$3723,4,FALSE)</f>
        <v>#N/A</v>
      </c>
      <c r="AI431" t="e">
        <f>VLOOKUP($B431&amp;AI$1,Data!$A$2:$D$3723,4,FALSE)</f>
        <v>#N/A</v>
      </c>
    </row>
    <row r="432" spans="2:35" hidden="1">
      <c r="B432" s="13">
        <v>431</v>
      </c>
      <c r="C432" s="13" t="s">
        <v>56</v>
      </c>
      <c r="D432" t="s">
        <v>5</v>
      </c>
      <c r="E432" t="s">
        <v>22</v>
      </c>
      <c r="F432">
        <v>1000</v>
      </c>
      <c r="G432" t="s">
        <v>17</v>
      </c>
      <c r="H432" s="5">
        <v>43831</v>
      </c>
      <c r="I432" s="5">
        <v>44562</v>
      </c>
      <c r="J432">
        <v>14</v>
      </c>
      <c r="K432">
        <v>9</v>
      </c>
      <c r="L432">
        <v>28</v>
      </c>
      <c r="M432">
        <v>72</v>
      </c>
      <c r="N432">
        <v>1000000</v>
      </c>
      <c r="O432" t="e">
        <f>VLOOKUP($B432&amp;O$1,Data!$A$2:$D$3723,4,FALSE)</f>
        <v>#N/A</v>
      </c>
      <c r="P432" t="e">
        <f>VLOOKUP($B432&amp;P$1,Data!$A$2:$D$3723,4,FALSE)</f>
        <v>#N/A</v>
      </c>
      <c r="Q432" t="e">
        <f>VLOOKUP($B432&amp;Q$1,Data!$A$2:$D$3723,4,FALSE)</f>
        <v>#N/A</v>
      </c>
      <c r="R432" t="e">
        <f>VLOOKUP($B432&amp;R$1,Data!$A$2:$D$3723,4,FALSE)</f>
        <v>#N/A</v>
      </c>
      <c r="S432" t="e">
        <f>VLOOKUP($B432&amp;S$1,Data!$A$2:$D$3723,4,FALSE)</f>
        <v>#N/A</v>
      </c>
      <c r="T432" t="e">
        <f>VLOOKUP($B432&amp;T$1,Data!$A$2:$D$3723,4,FALSE)</f>
        <v>#N/A</v>
      </c>
      <c r="U432" t="e">
        <f>VLOOKUP($B432&amp;U$1,Data!$A$2:$D$3723,4,FALSE)</f>
        <v>#N/A</v>
      </c>
      <c r="V432" t="e">
        <f>VLOOKUP($B432&amp;V$1,Data!$A$2:$D$3723,4,FALSE)</f>
        <v>#N/A</v>
      </c>
      <c r="W432" t="e">
        <f>VLOOKUP($B432&amp;W$1,Data!$A$2:$D$3723,4,FALSE)</f>
        <v>#N/A</v>
      </c>
      <c r="X432" t="e">
        <f>VLOOKUP($B432&amp;X$1,Data!$A$2:$D$3723,4,FALSE)</f>
        <v>#N/A</v>
      </c>
      <c r="Y432" t="e">
        <f>VLOOKUP($B432&amp;Y$1,Data!$A$2:$D$3723,4,FALSE)</f>
        <v>#N/A</v>
      </c>
      <c r="Z432" t="e">
        <f>VLOOKUP($B432&amp;Z$1,Data!$A$2:$D$3723,4,FALSE)</f>
        <v>#N/A</v>
      </c>
      <c r="AA432" t="e">
        <f>VLOOKUP($B432&amp;AA$1,Data!$A$2:$D$3723,4,FALSE)</f>
        <v>#N/A</v>
      </c>
      <c r="AB432" t="e">
        <f>VLOOKUP($B432&amp;AB$1,Data!$A$2:$D$3723,4,FALSE)</f>
        <v>#N/A</v>
      </c>
      <c r="AC432" t="e">
        <f>VLOOKUP($B432&amp;AC$1,Data!$A$2:$D$3723,4,FALSE)</f>
        <v>#N/A</v>
      </c>
      <c r="AD432" t="e">
        <f>VLOOKUP($B432&amp;AD$1,Data!$A$2:$D$3723,4,FALSE)</f>
        <v>#N/A</v>
      </c>
      <c r="AE432" t="e">
        <f>VLOOKUP($B432&amp;AE$1,Data!$A$2:$D$3723,4,FALSE)</f>
        <v>#N/A</v>
      </c>
      <c r="AF432" t="e">
        <f>VLOOKUP($B432&amp;AF$1,Data!$A$2:$D$3723,4,FALSE)</f>
        <v>#N/A</v>
      </c>
      <c r="AG432" t="e">
        <f>VLOOKUP($B432&amp;AG$1,Data!$A$2:$D$3723,4,FALSE)</f>
        <v>#N/A</v>
      </c>
      <c r="AH432" t="e">
        <f>VLOOKUP($B432&amp;AH$1,Data!$A$2:$D$3723,4,FALSE)</f>
        <v>#N/A</v>
      </c>
      <c r="AI432" t="e">
        <f>VLOOKUP($B432&amp;AI$1,Data!$A$2:$D$3723,4,FALSE)</f>
        <v>#N/A</v>
      </c>
    </row>
    <row r="433" spans="2:35" hidden="1">
      <c r="B433" s="13">
        <v>432</v>
      </c>
      <c r="C433" s="13" t="s">
        <v>56</v>
      </c>
      <c r="D433" t="s">
        <v>5</v>
      </c>
      <c r="E433" t="s">
        <v>22</v>
      </c>
      <c r="F433">
        <v>5000</v>
      </c>
      <c r="G433" t="s">
        <v>17</v>
      </c>
      <c r="H433" s="5">
        <v>43831</v>
      </c>
      <c r="I433" s="5">
        <v>44562</v>
      </c>
      <c r="J433">
        <v>14</v>
      </c>
      <c r="K433">
        <v>9</v>
      </c>
      <c r="L433">
        <v>28</v>
      </c>
      <c r="M433">
        <v>72</v>
      </c>
      <c r="N433">
        <v>1000000</v>
      </c>
      <c r="O433" t="e">
        <f>VLOOKUP($B433&amp;O$1,Data!$A$2:$D$3723,4,FALSE)</f>
        <v>#N/A</v>
      </c>
      <c r="P433" t="e">
        <f>VLOOKUP($B433&amp;P$1,Data!$A$2:$D$3723,4,FALSE)</f>
        <v>#N/A</v>
      </c>
      <c r="Q433" t="e">
        <f>VLOOKUP($B433&amp;Q$1,Data!$A$2:$D$3723,4,FALSE)</f>
        <v>#N/A</v>
      </c>
      <c r="R433" t="e">
        <f>VLOOKUP($B433&amp;R$1,Data!$A$2:$D$3723,4,FALSE)</f>
        <v>#N/A</v>
      </c>
      <c r="S433" t="e">
        <f>VLOOKUP($B433&amp;S$1,Data!$A$2:$D$3723,4,FALSE)</f>
        <v>#N/A</v>
      </c>
      <c r="T433" t="e">
        <f>VLOOKUP($B433&amp;T$1,Data!$A$2:$D$3723,4,FALSE)</f>
        <v>#N/A</v>
      </c>
      <c r="U433" t="e">
        <f>VLOOKUP($B433&amp;U$1,Data!$A$2:$D$3723,4,FALSE)</f>
        <v>#N/A</v>
      </c>
      <c r="V433" t="e">
        <f>VLOOKUP($B433&amp;V$1,Data!$A$2:$D$3723,4,FALSE)</f>
        <v>#N/A</v>
      </c>
      <c r="W433" t="e">
        <f>VLOOKUP($B433&amp;W$1,Data!$A$2:$D$3723,4,FALSE)</f>
        <v>#N/A</v>
      </c>
      <c r="X433" t="e">
        <f>VLOOKUP($B433&amp;X$1,Data!$A$2:$D$3723,4,FALSE)</f>
        <v>#N/A</v>
      </c>
      <c r="Y433" t="e">
        <f>VLOOKUP($B433&amp;Y$1,Data!$A$2:$D$3723,4,FALSE)</f>
        <v>#N/A</v>
      </c>
      <c r="Z433" t="e">
        <f>VLOOKUP($B433&amp;Z$1,Data!$A$2:$D$3723,4,FALSE)</f>
        <v>#N/A</v>
      </c>
      <c r="AA433" t="e">
        <f>VLOOKUP($B433&amp;AA$1,Data!$A$2:$D$3723,4,FALSE)</f>
        <v>#N/A</v>
      </c>
      <c r="AB433" t="e">
        <f>VLOOKUP($B433&amp;AB$1,Data!$A$2:$D$3723,4,FALSE)</f>
        <v>#N/A</v>
      </c>
      <c r="AC433" t="e">
        <f>VLOOKUP($B433&amp;AC$1,Data!$A$2:$D$3723,4,FALSE)</f>
        <v>#N/A</v>
      </c>
      <c r="AD433" t="e">
        <f>VLOOKUP($B433&amp;AD$1,Data!$A$2:$D$3723,4,FALSE)</f>
        <v>#N/A</v>
      </c>
      <c r="AE433" t="e">
        <f>VLOOKUP($B433&amp;AE$1,Data!$A$2:$D$3723,4,FALSE)</f>
        <v>#N/A</v>
      </c>
      <c r="AF433" t="e">
        <f>VLOOKUP($B433&amp;AF$1,Data!$A$2:$D$3723,4,FALSE)</f>
        <v>#N/A</v>
      </c>
      <c r="AG433" t="e">
        <f>VLOOKUP($B433&amp;AG$1,Data!$A$2:$D$3723,4,FALSE)</f>
        <v>#N/A</v>
      </c>
      <c r="AH433" t="e">
        <f>VLOOKUP($B433&amp;AH$1,Data!$A$2:$D$3723,4,FALSE)</f>
        <v>#N/A</v>
      </c>
      <c r="AI433" t="e">
        <f>VLOOKUP($B433&amp;AI$1,Data!$A$2:$D$3723,4,FALSE)</f>
        <v>#N/A</v>
      </c>
    </row>
    <row r="434" spans="2:35" hidden="1">
      <c r="B434" s="13">
        <v>433</v>
      </c>
      <c r="C434" s="13" t="s">
        <v>56</v>
      </c>
      <c r="D434" t="s">
        <v>6</v>
      </c>
      <c r="E434" t="s">
        <v>3</v>
      </c>
      <c r="F434">
        <v>100</v>
      </c>
      <c r="G434" t="s">
        <v>17</v>
      </c>
      <c r="H434" s="5">
        <v>43831</v>
      </c>
      <c r="I434" s="5">
        <v>44562</v>
      </c>
      <c r="J434">
        <v>14</v>
      </c>
      <c r="K434">
        <v>9</v>
      </c>
      <c r="L434">
        <v>30</v>
      </c>
      <c r="M434">
        <v>70</v>
      </c>
      <c r="N434">
        <v>1000000</v>
      </c>
      <c r="W434"/>
    </row>
    <row r="435" spans="2:35" hidden="1">
      <c r="B435" s="13">
        <v>434</v>
      </c>
      <c r="C435" s="13" t="s">
        <v>56</v>
      </c>
      <c r="D435" t="s">
        <v>6</v>
      </c>
      <c r="E435" t="s">
        <v>3</v>
      </c>
      <c r="F435">
        <v>1000</v>
      </c>
      <c r="G435" t="s">
        <v>17</v>
      </c>
      <c r="H435" s="5">
        <v>43831</v>
      </c>
      <c r="I435" s="5">
        <v>44562</v>
      </c>
      <c r="J435">
        <v>14</v>
      </c>
      <c r="K435">
        <v>9</v>
      </c>
      <c r="L435">
        <v>30</v>
      </c>
      <c r="M435">
        <v>70</v>
      </c>
      <c r="N435">
        <v>1000000</v>
      </c>
      <c r="W435"/>
    </row>
    <row r="436" spans="2:35" hidden="1">
      <c r="B436" s="13">
        <v>435</v>
      </c>
      <c r="C436" s="13" t="s">
        <v>56</v>
      </c>
      <c r="D436" t="s">
        <v>6</v>
      </c>
      <c r="E436" t="s">
        <v>3</v>
      </c>
      <c r="F436">
        <v>5000</v>
      </c>
      <c r="G436" t="s">
        <v>17</v>
      </c>
      <c r="H436" s="5">
        <v>43831</v>
      </c>
      <c r="I436" s="5">
        <v>44562</v>
      </c>
      <c r="J436">
        <v>14</v>
      </c>
      <c r="K436">
        <v>9</v>
      </c>
      <c r="L436">
        <v>30</v>
      </c>
      <c r="M436">
        <v>70</v>
      </c>
      <c r="N436">
        <v>1000000</v>
      </c>
      <c r="W436"/>
    </row>
    <row r="437" spans="2:35" hidden="1">
      <c r="B437" s="13">
        <v>436</v>
      </c>
      <c r="C437" s="13" t="s">
        <v>56</v>
      </c>
      <c r="D437" t="s">
        <v>6</v>
      </c>
      <c r="E437" t="s">
        <v>2</v>
      </c>
      <c r="F437">
        <v>100</v>
      </c>
      <c r="G437" t="s">
        <v>17</v>
      </c>
      <c r="H437" s="5">
        <v>43831</v>
      </c>
      <c r="I437" s="5">
        <v>44562</v>
      </c>
      <c r="J437">
        <v>14</v>
      </c>
      <c r="K437">
        <v>9</v>
      </c>
      <c r="L437">
        <v>30</v>
      </c>
      <c r="M437">
        <v>70</v>
      </c>
      <c r="N437">
        <v>1000000</v>
      </c>
      <c r="W437"/>
    </row>
    <row r="438" spans="2:35" hidden="1">
      <c r="B438" s="13">
        <v>437</v>
      </c>
      <c r="C438" s="13" t="s">
        <v>56</v>
      </c>
      <c r="D438" t="s">
        <v>6</v>
      </c>
      <c r="E438" t="s">
        <v>2</v>
      </c>
      <c r="F438">
        <v>1000</v>
      </c>
      <c r="G438" t="s">
        <v>17</v>
      </c>
      <c r="H438" s="5">
        <v>43831</v>
      </c>
      <c r="I438" s="5">
        <v>44562</v>
      </c>
      <c r="J438">
        <v>14</v>
      </c>
      <c r="K438">
        <v>9</v>
      </c>
      <c r="L438">
        <v>30</v>
      </c>
      <c r="M438">
        <v>70</v>
      </c>
      <c r="N438">
        <v>1000000</v>
      </c>
      <c r="W438"/>
    </row>
    <row r="439" spans="2:35" hidden="1">
      <c r="B439" s="13">
        <v>438</v>
      </c>
      <c r="C439" s="13" t="s">
        <v>56</v>
      </c>
      <c r="D439" t="s">
        <v>6</v>
      </c>
      <c r="E439" t="s">
        <v>2</v>
      </c>
      <c r="F439">
        <v>5000</v>
      </c>
      <c r="G439" t="s">
        <v>17</v>
      </c>
      <c r="H439" s="5">
        <v>43831</v>
      </c>
      <c r="I439" s="5">
        <v>44562</v>
      </c>
      <c r="J439">
        <v>14</v>
      </c>
      <c r="K439">
        <v>9</v>
      </c>
      <c r="L439">
        <v>30</v>
      </c>
      <c r="M439">
        <v>70</v>
      </c>
      <c r="N439">
        <v>1000000</v>
      </c>
      <c r="W439"/>
    </row>
    <row r="440" spans="2:35" hidden="1">
      <c r="B440" s="13">
        <v>439</v>
      </c>
      <c r="C440" s="13" t="s">
        <v>56</v>
      </c>
      <c r="D440" t="s">
        <v>6</v>
      </c>
      <c r="E440" t="s">
        <v>22</v>
      </c>
      <c r="F440">
        <v>100</v>
      </c>
      <c r="G440" t="s">
        <v>17</v>
      </c>
      <c r="H440" s="5">
        <v>43831</v>
      </c>
      <c r="I440" s="5">
        <v>44562</v>
      </c>
      <c r="J440">
        <v>14</v>
      </c>
      <c r="K440">
        <v>9</v>
      </c>
      <c r="L440">
        <v>30</v>
      </c>
      <c r="M440">
        <v>70</v>
      </c>
      <c r="N440">
        <v>1000000</v>
      </c>
      <c r="W440"/>
    </row>
    <row r="441" spans="2:35" hidden="1">
      <c r="B441" s="13">
        <v>440</v>
      </c>
      <c r="C441" s="13" t="s">
        <v>56</v>
      </c>
      <c r="D441" t="s">
        <v>6</v>
      </c>
      <c r="E441" t="s">
        <v>22</v>
      </c>
      <c r="F441">
        <v>1000</v>
      </c>
      <c r="G441" t="s">
        <v>17</v>
      </c>
      <c r="H441" s="5">
        <v>43831</v>
      </c>
      <c r="I441" s="5">
        <v>44562</v>
      </c>
      <c r="J441">
        <v>14</v>
      </c>
      <c r="K441">
        <v>9</v>
      </c>
      <c r="L441">
        <v>30</v>
      </c>
      <c r="M441">
        <v>70</v>
      </c>
      <c r="N441">
        <v>1000000</v>
      </c>
      <c r="W441"/>
    </row>
    <row r="442" spans="2:35" hidden="1">
      <c r="B442" s="13">
        <v>441</v>
      </c>
      <c r="C442" s="13" t="s">
        <v>56</v>
      </c>
      <c r="D442" t="s">
        <v>6</v>
      </c>
      <c r="E442" t="s">
        <v>22</v>
      </c>
      <c r="F442">
        <v>5000</v>
      </c>
      <c r="G442" t="s">
        <v>17</v>
      </c>
      <c r="H442" s="5">
        <v>43831</v>
      </c>
      <c r="I442" s="5">
        <v>44562</v>
      </c>
      <c r="J442">
        <v>14</v>
      </c>
      <c r="K442">
        <v>9</v>
      </c>
      <c r="L442">
        <v>30</v>
      </c>
      <c r="M442">
        <v>70</v>
      </c>
      <c r="N442">
        <v>1000000</v>
      </c>
      <c r="W442"/>
    </row>
    <row r="443" spans="2:35" hidden="1">
      <c r="B443" s="13">
        <v>442</v>
      </c>
      <c r="C443" s="13" t="s">
        <v>56</v>
      </c>
      <c r="D443" t="s">
        <v>6</v>
      </c>
      <c r="E443" t="s">
        <v>3</v>
      </c>
      <c r="F443">
        <v>100</v>
      </c>
      <c r="G443" t="s">
        <v>17</v>
      </c>
      <c r="H443" s="5">
        <v>43831</v>
      </c>
      <c r="I443" s="5">
        <v>44562</v>
      </c>
      <c r="J443">
        <v>14</v>
      </c>
      <c r="K443">
        <v>9</v>
      </c>
      <c r="L443">
        <v>32</v>
      </c>
      <c r="M443">
        <v>68</v>
      </c>
      <c r="N443">
        <v>1000000</v>
      </c>
      <c r="O443" t="e">
        <f>VLOOKUP($B443&amp;O$1,Data!$A$2:$D$3723,4,FALSE)</f>
        <v>#N/A</v>
      </c>
      <c r="P443" t="e">
        <f>VLOOKUP($B443&amp;P$1,Data!$A$2:$D$3723,4,FALSE)</f>
        <v>#N/A</v>
      </c>
      <c r="Q443" t="e">
        <f>VLOOKUP($B443&amp;Q$1,Data!$A$2:$D$3723,4,FALSE)</f>
        <v>#N/A</v>
      </c>
      <c r="R443" t="e">
        <f>VLOOKUP($B443&amp;R$1,Data!$A$2:$D$3723,4,FALSE)</f>
        <v>#N/A</v>
      </c>
      <c r="S443" t="e">
        <f>VLOOKUP($B443&amp;S$1,Data!$A$2:$D$3723,4,FALSE)</f>
        <v>#N/A</v>
      </c>
      <c r="T443" t="e">
        <f>VLOOKUP($B443&amp;T$1,Data!$A$2:$D$3723,4,FALSE)</f>
        <v>#N/A</v>
      </c>
      <c r="U443" t="e">
        <f>VLOOKUP($B443&amp;U$1,Data!$A$2:$D$3723,4,FALSE)</f>
        <v>#N/A</v>
      </c>
      <c r="V443" t="e">
        <f>VLOOKUP($B443&amp;V$1,Data!$A$2:$D$3723,4,FALSE)</f>
        <v>#N/A</v>
      </c>
      <c r="W443" t="e">
        <f>VLOOKUP($B443&amp;W$1,Data!$A$2:$D$3723,4,FALSE)</f>
        <v>#N/A</v>
      </c>
      <c r="X443" t="e">
        <f>VLOOKUP($B443&amp;X$1,Data!$A$2:$D$3723,4,FALSE)</f>
        <v>#N/A</v>
      </c>
      <c r="Y443" t="e">
        <f>VLOOKUP($B443&amp;Y$1,Data!$A$2:$D$3723,4,FALSE)</f>
        <v>#N/A</v>
      </c>
      <c r="Z443" t="e">
        <f>VLOOKUP($B443&amp;Z$1,Data!$A$2:$D$3723,4,FALSE)</f>
        <v>#N/A</v>
      </c>
      <c r="AA443" t="e">
        <f>VLOOKUP($B443&amp;AA$1,Data!$A$2:$D$3723,4,FALSE)</f>
        <v>#N/A</v>
      </c>
      <c r="AB443" t="e">
        <f>VLOOKUP($B443&amp;AB$1,Data!$A$2:$D$3723,4,FALSE)</f>
        <v>#N/A</v>
      </c>
      <c r="AC443" t="e">
        <f>VLOOKUP($B443&amp;AC$1,Data!$A$2:$D$3723,4,FALSE)</f>
        <v>#N/A</v>
      </c>
      <c r="AD443" t="e">
        <f>VLOOKUP($B443&amp;AD$1,Data!$A$2:$D$3723,4,FALSE)</f>
        <v>#N/A</v>
      </c>
      <c r="AE443" t="e">
        <f>VLOOKUP($B443&amp;AE$1,Data!$A$2:$D$3723,4,FALSE)</f>
        <v>#N/A</v>
      </c>
      <c r="AF443" t="e">
        <f>VLOOKUP($B443&amp;AF$1,Data!$A$2:$D$3723,4,FALSE)</f>
        <v>#N/A</v>
      </c>
      <c r="AG443" t="e">
        <f>VLOOKUP($B443&amp;AG$1,Data!$A$2:$D$3723,4,FALSE)</f>
        <v>#N/A</v>
      </c>
      <c r="AH443" t="e">
        <f>VLOOKUP($B443&amp;AH$1,Data!$A$2:$D$3723,4,FALSE)</f>
        <v>#N/A</v>
      </c>
      <c r="AI443" t="e">
        <f>VLOOKUP($B443&amp;AI$1,Data!$A$2:$D$3723,4,FALSE)</f>
        <v>#N/A</v>
      </c>
    </row>
    <row r="444" spans="2:35" hidden="1">
      <c r="B444" s="13">
        <v>443</v>
      </c>
      <c r="C444" s="13" t="s">
        <v>56</v>
      </c>
      <c r="D444" t="s">
        <v>6</v>
      </c>
      <c r="E444" t="s">
        <v>3</v>
      </c>
      <c r="F444">
        <v>1000</v>
      </c>
      <c r="G444" t="s">
        <v>17</v>
      </c>
      <c r="H444" s="5">
        <v>43831</v>
      </c>
      <c r="I444" s="5">
        <v>44562</v>
      </c>
      <c r="J444">
        <v>14</v>
      </c>
      <c r="K444">
        <v>9</v>
      </c>
      <c r="L444">
        <v>32</v>
      </c>
      <c r="M444">
        <v>68</v>
      </c>
      <c r="N444">
        <v>1000000</v>
      </c>
      <c r="O444" t="e">
        <f>VLOOKUP($B444&amp;O$1,Data!$A$2:$D$3723,4,FALSE)</f>
        <v>#N/A</v>
      </c>
      <c r="P444" t="e">
        <f>VLOOKUP($B444&amp;P$1,Data!$A$2:$D$3723,4,FALSE)</f>
        <v>#N/A</v>
      </c>
      <c r="Q444" t="e">
        <f>VLOOKUP($B444&amp;Q$1,Data!$A$2:$D$3723,4,FALSE)</f>
        <v>#N/A</v>
      </c>
      <c r="R444" t="e">
        <f>VLOOKUP($B444&amp;R$1,Data!$A$2:$D$3723,4,FALSE)</f>
        <v>#N/A</v>
      </c>
      <c r="S444" t="e">
        <f>VLOOKUP($B444&amp;S$1,Data!$A$2:$D$3723,4,FALSE)</f>
        <v>#N/A</v>
      </c>
      <c r="T444" t="e">
        <f>VLOOKUP($B444&amp;T$1,Data!$A$2:$D$3723,4,FALSE)</f>
        <v>#N/A</v>
      </c>
      <c r="U444" t="e">
        <f>VLOOKUP($B444&amp;U$1,Data!$A$2:$D$3723,4,FALSE)</f>
        <v>#N/A</v>
      </c>
      <c r="V444" t="e">
        <f>VLOOKUP($B444&amp;V$1,Data!$A$2:$D$3723,4,FALSE)</f>
        <v>#N/A</v>
      </c>
      <c r="W444" t="e">
        <f>VLOOKUP($B444&amp;W$1,Data!$A$2:$D$3723,4,FALSE)</f>
        <v>#N/A</v>
      </c>
      <c r="X444" t="e">
        <f>VLOOKUP($B444&amp;X$1,Data!$A$2:$D$3723,4,FALSE)</f>
        <v>#N/A</v>
      </c>
      <c r="Y444" t="e">
        <f>VLOOKUP($B444&amp;Y$1,Data!$A$2:$D$3723,4,FALSE)</f>
        <v>#N/A</v>
      </c>
      <c r="Z444" t="e">
        <f>VLOOKUP($B444&amp;Z$1,Data!$A$2:$D$3723,4,FALSE)</f>
        <v>#N/A</v>
      </c>
      <c r="AA444" t="e">
        <f>VLOOKUP($B444&amp;AA$1,Data!$A$2:$D$3723,4,FALSE)</f>
        <v>#N/A</v>
      </c>
      <c r="AB444" t="e">
        <f>VLOOKUP($B444&amp;AB$1,Data!$A$2:$D$3723,4,FALSE)</f>
        <v>#N/A</v>
      </c>
      <c r="AC444" t="e">
        <f>VLOOKUP($B444&amp;AC$1,Data!$A$2:$D$3723,4,FALSE)</f>
        <v>#N/A</v>
      </c>
      <c r="AD444" t="e">
        <f>VLOOKUP($B444&amp;AD$1,Data!$A$2:$D$3723,4,FALSE)</f>
        <v>#N/A</v>
      </c>
      <c r="AE444" t="e">
        <f>VLOOKUP($B444&amp;AE$1,Data!$A$2:$D$3723,4,FALSE)</f>
        <v>#N/A</v>
      </c>
      <c r="AF444" t="e">
        <f>VLOOKUP($B444&amp;AF$1,Data!$A$2:$D$3723,4,FALSE)</f>
        <v>#N/A</v>
      </c>
      <c r="AG444" t="e">
        <f>VLOOKUP($B444&amp;AG$1,Data!$A$2:$D$3723,4,FALSE)</f>
        <v>#N/A</v>
      </c>
      <c r="AH444" t="e">
        <f>VLOOKUP($B444&amp;AH$1,Data!$A$2:$D$3723,4,FALSE)</f>
        <v>#N/A</v>
      </c>
      <c r="AI444" t="e">
        <f>VLOOKUP($B444&amp;AI$1,Data!$A$2:$D$3723,4,FALSE)</f>
        <v>#N/A</v>
      </c>
    </row>
    <row r="445" spans="2:35" hidden="1">
      <c r="B445" s="13">
        <v>444</v>
      </c>
      <c r="C445" s="13" t="s">
        <v>56</v>
      </c>
      <c r="D445" t="s">
        <v>6</v>
      </c>
      <c r="E445" t="s">
        <v>3</v>
      </c>
      <c r="F445">
        <v>5000</v>
      </c>
      <c r="G445" t="s">
        <v>17</v>
      </c>
      <c r="H445" s="5">
        <v>43831</v>
      </c>
      <c r="I445" s="5">
        <v>44562</v>
      </c>
      <c r="J445">
        <v>14</v>
      </c>
      <c r="K445">
        <v>9</v>
      </c>
      <c r="L445">
        <v>32</v>
      </c>
      <c r="M445">
        <v>68</v>
      </c>
      <c r="N445">
        <v>1000000</v>
      </c>
      <c r="O445" t="e">
        <f>VLOOKUP($B445&amp;O$1,Data!$A$2:$D$3723,4,FALSE)</f>
        <v>#N/A</v>
      </c>
      <c r="P445" t="e">
        <f>VLOOKUP($B445&amp;P$1,Data!$A$2:$D$3723,4,FALSE)</f>
        <v>#N/A</v>
      </c>
      <c r="Q445" t="e">
        <f>VLOOKUP($B445&amp;Q$1,Data!$A$2:$D$3723,4,FALSE)</f>
        <v>#N/A</v>
      </c>
      <c r="R445" t="e">
        <f>VLOOKUP($B445&amp;R$1,Data!$A$2:$D$3723,4,FALSE)</f>
        <v>#N/A</v>
      </c>
      <c r="S445" t="e">
        <f>VLOOKUP($B445&amp;S$1,Data!$A$2:$D$3723,4,FALSE)</f>
        <v>#N/A</v>
      </c>
      <c r="T445" t="e">
        <f>VLOOKUP($B445&amp;T$1,Data!$A$2:$D$3723,4,FALSE)</f>
        <v>#N/A</v>
      </c>
      <c r="U445" t="e">
        <f>VLOOKUP($B445&amp;U$1,Data!$A$2:$D$3723,4,FALSE)</f>
        <v>#N/A</v>
      </c>
      <c r="V445" t="e">
        <f>VLOOKUP($B445&amp;V$1,Data!$A$2:$D$3723,4,FALSE)</f>
        <v>#N/A</v>
      </c>
      <c r="W445" t="e">
        <f>VLOOKUP($B445&amp;W$1,Data!$A$2:$D$3723,4,FALSE)</f>
        <v>#N/A</v>
      </c>
      <c r="X445" t="e">
        <f>VLOOKUP($B445&amp;X$1,Data!$A$2:$D$3723,4,FALSE)</f>
        <v>#N/A</v>
      </c>
      <c r="Y445" t="e">
        <f>VLOOKUP($B445&amp;Y$1,Data!$A$2:$D$3723,4,FALSE)</f>
        <v>#N/A</v>
      </c>
      <c r="Z445" t="e">
        <f>VLOOKUP($B445&amp;Z$1,Data!$A$2:$D$3723,4,FALSE)</f>
        <v>#N/A</v>
      </c>
      <c r="AA445" t="e">
        <f>VLOOKUP($B445&amp;AA$1,Data!$A$2:$D$3723,4,FALSE)</f>
        <v>#N/A</v>
      </c>
      <c r="AB445" t="e">
        <f>VLOOKUP($B445&amp;AB$1,Data!$A$2:$D$3723,4,FALSE)</f>
        <v>#N/A</v>
      </c>
      <c r="AC445" t="e">
        <f>VLOOKUP($B445&amp;AC$1,Data!$A$2:$D$3723,4,FALSE)</f>
        <v>#N/A</v>
      </c>
      <c r="AD445" t="e">
        <f>VLOOKUP($B445&amp;AD$1,Data!$A$2:$D$3723,4,FALSE)</f>
        <v>#N/A</v>
      </c>
      <c r="AE445" t="e">
        <f>VLOOKUP($B445&amp;AE$1,Data!$A$2:$D$3723,4,FALSE)</f>
        <v>#N/A</v>
      </c>
      <c r="AF445" t="e">
        <f>VLOOKUP($B445&amp;AF$1,Data!$A$2:$D$3723,4,FALSE)</f>
        <v>#N/A</v>
      </c>
      <c r="AG445" t="e">
        <f>VLOOKUP($B445&amp;AG$1,Data!$A$2:$D$3723,4,FALSE)</f>
        <v>#N/A</v>
      </c>
      <c r="AH445" t="e">
        <f>VLOOKUP($B445&amp;AH$1,Data!$A$2:$D$3723,4,FALSE)</f>
        <v>#N/A</v>
      </c>
      <c r="AI445" t="e">
        <f>VLOOKUP($B445&amp;AI$1,Data!$A$2:$D$3723,4,FALSE)</f>
        <v>#N/A</v>
      </c>
    </row>
    <row r="446" spans="2:35" hidden="1">
      <c r="B446" s="13">
        <v>445</v>
      </c>
      <c r="C446" s="13" t="s">
        <v>56</v>
      </c>
      <c r="D446" t="s">
        <v>6</v>
      </c>
      <c r="E446" t="s">
        <v>2</v>
      </c>
      <c r="F446">
        <v>100</v>
      </c>
      <c r="G446" t="s">
        <v>17</v>
      </c>
      <c r="H446" s="5">
        <v>43831</v>
      </c>
      <c r="I446" s="5">
        <v>44562</v>
      </c>
      <c r="J446">
        <v>14</v>
      </c>
      <c r="K446">
        <v>9</v>
      </c>
      <c r="L446">
        <v>32</v>
      </c>
      <c r="M446">
        <v>68</v>
      </c>
      <c r="N446">
        <v>1000000</v>
      </c>
      <c r="O446" t="e">
        <f>VLOOKUP($B446&amp;O$1,Data!$A$2:$D$3723,4,FALSE)</f>
        <v>#N/A</v>
      </c>
      <c r="P446" t="e">
        <f>VLOOKUP($B446&amp;P$1,Data!$A$2:$D$3723,4,FALSE)</f>
        <v>#N/A</v>
      </c>
      <c r="Q446" t="e">
        <f>VLOOKUP($B446&amp;Q$1,Data!$A$2:$D$3723,4,FALSE)</f>
        <v>#N/A</v>
      </c>
      <c r="R446" t="e">
        <f>VLOOKUP($B446&amp;R$1,Data!$A$2:$D$3723,4,FALSE)</f>
        <v>#N/A</v>
      </c>
      <c r="S446" t="e">
        <f>VLOOKUP($B446&amp;S$1,Data!$A$2:$D$3723,4,FALSE)</f>
        <v>#N/A</v>
      </c>
      <c r="T446" t="e">
        <f>VLOOKUP($B446&amp;T$1,Data!$A$2:$D$3723,4,FALSE)</f>
        <v>#N/A</v>
      </c>
      <c r="U446" t="e">
        <f>VLOOKUP($B446&amp;U$1,Data!$A$2:$D$3723,4,FALSE)</f>
        <v>#N/A</v>
      </c>
      <c r="V446" t="e">
        <f>VLOOKUP($B446&amp;V$1,Data!$A$2:$D$3723,4,FALSE)</f>
        <v>#N/A</v>
      </c>
      <c r="W446" t="e">
        <f>VLOOKUP($B446&amp;W$1,Data!$A$2:$D$3723,4,FALSE)</f>
        <v>#N/A</v>
      </c>
      <c r="X446" t="e">
        <f>VLOOKUP($B446&amp;X$1,Data!$A$2:$D$3723,4,FALSE)</f>
        <v>#N/A</v>
      </c>
      <c r="Y446" t="e">
        <f>VLOOKUP($B446&amp;Y$1,Data!$A$2:$D$3723,4,FALSE)</f>
        <v>#N/A</v>
      </c>
      <c r="Z446" t="e">
        <f>VLOOKUP($B446&amp;Z$1,Data!$A$2:$D$3723,4,FALSE)</f>
        <v>#N/A</v>
      </c>
      <c r="AA446" t="e">
        <f>VLOOKUP($B446&amp;AA$1,Data!$A$2:$D$3723,4,FALSE)</f>
        <v>#N/A</v>
      </c>
      <c r="AB446" t="e">
        <f>VLOOKUP($B446&amp;AB$1,Data!$A$2:$D$3723,4,FALSE)</f>
        <v>#N/A</v>
      </c>
      <c r="AC446" t="e">
        <f>VLOOKUP($B446&amp;AC$1,Data!$A$2:$D$3723,4,FALSE)</f>
        <v>#N/A</v>
      </c>
      <c r="AD446" t="e">
        <f>VLOOKUP($B446&amp;AD$1,Data!$A$2:$D$3723,4,FALSE)</f>
        <v>#N/A</v>
      </c>
      <c r="AE446" t="e">
        <f>VLOOKUP($B446&amp;AE$1,Data!$A$2:$D$3723,4,FALSE)</f>
        <v>#N/A</v>
      </c>
      <c r="AF446" t="e">
        <f>VLOOKUP($B446&amp;AF$1,Data!$A$2:$D$3723,4,FALSE)</f>
        <v>#N/A</v>
      </c>
      <c r="AG446" t="e">
        <f>VLOOKUP($B446&amp;AG$1,Data!$A$2:$D$3723,4,FALSE)</f>
        <v>#N/A</v>
      </c>
      <c r="AH446" t="e">
        <f>VLOOKUP($B446&amp;AH$1,Data!$A$2:$D$3723,4,FALSE)</f>
        <v>#N/A</v>
      </c>
      <c r="AI446" t="e">
        <f>VLOOKUP($B446&amp;AI$1,Data!$A$2:$D$3723,4,FALSE)</f>
        <v>#N/A</v>
      </c>
    </row>
    <row r="447" spans="2:35" hidden="1">
      <c r="B447" s="13">
        <v>446</v>
      </c>
      <c r="C447" s="13" t="s">
        <v>56</v>
      </c>
      <c r="D447" t="s">
        <v>6</v>
      </c>
      <c r="E447" t="s">
        <v>2</v>
      </c>
      <c r="F447">
        <v>1000</v>
      </c>
      <c r="G447" t="s">
        <v>17</v>
      </c>
      <c r="H447" s="5">
        <v>43831</v>
      </c>
      <c r="I447" s="5">
        <v>44562</v>
      </c>
      <c r="J447">
        <v>14</v>
      </c>
      <c r="K447">
        <v>9</v>
      </c>
      <c r="L447">
        <v>32</v>
      </c>
      <c r="M447">
        <v>68</v>
      </c>
      <c r="N447">
        <v>1000000</v>
      </c>
      <c r="O447" t="e">
        <f>VLOOKUP($B447&amp;O$1,Data!$A$2:$D$3723,4,FALSE)</f>
        <v>#N/A</v>
      </c>
      <c r="P447" t="e">
        <f>VLOOKUP($B447&amp;P$1,Data!$A$2:$D$3723,4,FALSE)</f>
        <v>#N/A</v>
      </c>
      <c r="Q447" t="e">
        <f>VLOOKUP($B447&amp;Q$1,Data!$A$2:$D$3723,4,FALSE)</f>
        <v>#N/A</v>
      </c>
      <c r="R447" t="e">
        <f>VLOOKUP($B447&amp;R$1,Data!$A$2:$D$3723,4,FALSE)</f>
        <v>#N/A</v>
      </c>
      <c r="S447" t="e">
        <f>VLOOKUP($B447&amp;S$1,Data!$A$2:$D$3723,4,FALSE)</f>
        <v>#N/A</v>
      </c>
      <c r="T447" t="e">
        <f>VLOOKUP($B447&amp;T$1,Data!$A$2:$D$3723,4,FALSE)</f>
        <v>#N/A</v>
      </c>
      <c r="U447" t="e">
        <f>VLOOKUP($B447&amp;U$1,Data!$A$2:$D$3723,4,FALSE)</f>
        <v>#N/A</v>
      </c>
      <c r="V447" t="e">
        <f>VLOOKUP($B447&amp;V$1,Data!$A$2:$D$3723,4,FALSE)</f>
        <v>#N/A</v>
      </c>
      <c r="W447" t="e">
        <f>VLOOKUP($B447&amp;W$1,Data!$A$2:$D$3723,4,FALSE)</f>
        <v>#N/A</v>
      </c>
      <c r="X447" t="e">
        <f>VLOOKUP($B447&amp;X$1,Data!$A$2:$D$3723,4,FALSE)</f>
        <v>#N/A</v>
      </c>
      <c r="Y447" t="e">
        <f>VLOOKUP($B447&amp;Y$1,Data!$A$2:$D$3723,4,FALSE)</f>
        <v>#N/A</v>
      </c>
      <c r="Z447" t="e">
        <f>VLOOKUP($B447&amp;Z$1,Data!$A$2:$D$3723,4,FALSE)</f>
        <v>#N/A</v>
      </c>
      <c r="AA447" t="e">
        <f>VLOOKUP($B447&amp;AA$1,Data!$A$2:$D$3723,4,FALSE)</f>
        <v>#N/A</v>
      </c>
      <c r="AB447" t="e">
        <f>VLOOKUP($B447&amp;AB$1,Data!$A$2:$D$3723,4,FALSE)</f>
        <v>#N/A</v>
      </c>
      <c r="AC447" t="e">
        <f>VLOOKUP($B447&amp;AC$1,Data!$A$2:$D$3723,4,FALSE)</f>
        <v>#N/A</v>
      </c>
      <c r="AD447" t="e">
        <f>VLOOKUP($B447&amp;AD$1,Data!$A$2:$D$3723,4,FALSE)</f>
        <v>#N/A</v>
      </c>
      <c r="AE447" t="e">
        <f>VLOOKUP($B447&amp;AE$1,Data!$A$2:$D$3723,4,FALSE)</f>
        <v>#N/A</v>
      </c>
      <c r="AF447" t="e">
        <f>VLOOKUP($B447&amp;AF$1,Data!$A$2:$D$3723,4,FALSE)</f>
        <v>#N/A</v>
      </c>
      <c r="AG447" t="e">
        <f>VLOOKUP($B447&amp;AG$1,Data!$A$2:$D$3723,4,FALSE)</f>
        <v>#N/A</v>
      </c>
      <c r="AH447" t="e">
        <f>VLOOKUP($B447&amp;AH$1,Data!$A$2:$D$3723,4,FALSE)</f>
        <v>#N/A</v>
      </c>
      <c r="AI447" t="e">
        <f>VLOOKUP($B447&amp;AI$1,Data!$A$2:$D$3723,4,FALSE)</f>
        <v>#N/A</v>
      </c>
    </row>
    <row r="448" spans="2:35" hidden="1">
      <c r="B448" s="13">
        <v>447</v>
      </c>
      <c r="C448" s="13" t="s">
        <v>56</v>
      </c>
      <c r="D448" t="s">
        <v>6</v>
      </c>
      <c r="E448" t="s">
        <v>2</v>
      </c>
      <c r="F448">
        <v>5000</v>
      </c>
      <c r="G448" t="s">
        <v>17</v>
      </c>
      <c r="H448" s="5">
        <v>43831</v>
      </c>
      <c r="I448" s="5">
        <v>44562</v>
      </c>
      <c r="J448">
        <v>14</v>
      </c>
      <c r="K448">
        <v>9</v>
      </c>
      <c r="L448">
        <v>32</v>
      </c>
      <c r="M448">
        <v>68</v>
      </c>
      <c r="N448">
        <v>1000000</v>
      </c>
      <c r="O448" t="e">
        <f>VLOOKUP($B448&amp;O$1,Data!$A$2:$D$3723,4,FALSE)</f>
        <v>#N/A</v>
      </c>
      <c r="P448" t="e">
        <f>VLOOKUP($B448&amp;P$1,Data!$A$2:$D$3723,4,FALSE)</f>
        <v>#N/A</v>
      </c>
      <c r="Q448" t="e">
        <f>VLOOKUP($B448&amp;Q$1,Data!$A$2:$D$3723,4,FALSE)</f>
        <v>#N/A</v>
      </c>
      <c r="R448" t="e">
        <f>VLOOKUP($B448&amp;R$1,Data!$A$2:$D$3723,4,FALSE)</f>
        <v>#N/A</v>
      </c>
      <c r="S448" t="e">
        <f>VLOOKUP($B448&amp;S$1,Data!$A$2:$D$3723,4,FALSE)</f>
        <v>#N/A</v>
      </c>
      <c r="T448" t="e">
        <f>VLOOKUP($B448&amp;T$1,Data!$A$2:$D$3723,4,FALSE)</f>
        <v>#N/A</v>
      </c>
      <c r="U448" t="e">
        <f>VLOOKUP($B448&amp;U$1,Data!$A$2:$D$3723,4,FALSE)</f>
        <v>#N/A</v>
      </c>
      <c r="V448" t="e">
        <f>VLOOKUP($B448&amp;V$1,Data!$A$2:$D$3723,4,FALSE)</f>
        <v>#N/A</v>
      </c>
      <c r="W448" t="e">
        <f>VLOOKUP($B448&amp;W$1,Data!$A$2:$D$3723,4,FALSE)</f>
        <v>#N/A</v>
      </c>
      <c r="X448" t="e">
        <f>VLOOKUP($B448&amp;X$1,Data!$A$2:$D$3723,4,FALSE)</f>
        <v>#N/A</v>
      </c>
      <c r="Y448" t="e">
        <f>VLOOKUP($B448&amp;Y$1,Data!$A$2:$D$3723,4,FALSE)</f>
        <v>#N/A</v>
      </c>
      <c r="Z448" t="e">
        <f>VLOOKUP($B448&amp;Z$1,Data!$A$2:$D$3723,4,FALSE)</f>
        <v>#N/A</v>
      </c>
      <c r="AA448" t="e">
        <f>VLOOKUP($B448&amp;AA$1,Data!$A$2:$D$3723,4,FALSE)</f>
        <v>#N/A</v>
      </c>
      <c r="AB448" t="e">
        <f>VLOOKUP($B448&amp;AB$1,Data!$A$2:$D$3723,4,FALSE)</f>
        <v>#N/A</v>
      </c>
      <c r="AC448" t="e">
        <f>VLOOKUP($B448&amp;AC$1,Data!$A$2:$D$3723,4,FALSE)</f>
        <v>#N/A</v>
      </c>
      <c r="AD448" t="e">
        <f>VLOOKUP($B448&amp;AD$1,Data!$A$2:$D$3723,4,FALSE)</f>
        <v>#N/A</v>
      </c>
      <c r="AE448" t="e">
        <f>VLOOKUP($B448&amp;AE$1,Data!$A$2:$D$3723,4,FALSE)</f>
        <v>#N/A</v>
      </c>
      <c r="AF448" t="e">
        <f>VLOOKUP($B448&amp;AF$1,Data!$A$2:$D$3723,4,FALSE)</f>
        <v>#N/A</v>
      </c>
      <c r="AG448" t="e">
        <f>VLOOKUP($B448&amp;AG$1,Data!$A$2:$D$3723,4,FALSE)</f>
        <v>#N/A</v>
      </c>
      <c r="AH448" t="e">
        <f>VLOOKUP($B448&amp;AH$1,Data!$A$2:$D$3723,4,FALSE)</f>
        <v>#N/A</v>
      </c>
      <c r="AI448" t="e">
        <f>VLOOKUP($B448&amp;AI$1,Data!$A$2:$D$3723,4,FALSE)</f>
        <v>#N/A</v>
      </c>
    </row>
    <row r="449" spans="2:35" hidden="1">
      <c r="B449" s="13">
        <v>448</v>
      </c>
      <c r="C449" s="13" t="s">
        <v>56</v>
      </c>
      <c r="D449" t="s">
        <v>6</v>
      </c>
      <c r="E449" t="s">
        <v>22</v>
      </c>
      <c r="F449">
        <v>100</v>
      </c>
      <c r="G449" t="s">
        <v>17</v>
      </c>
      <c r="H449" s="5">
        <v>43831</v>
      </c>
      <c r="I449" s="5">
        <v>44562</v>
      </c>
      <c r="J449">
        <v>14</v>
      </c>
      <c r="K449">
        <v>9</v>
      </c>
      <c r="L449">
        <v>32</v>
      </c>
      <c r="M449">
        <v>68</v>
      </c>
      <c r="N449">
        <v>1000000</v>
      </c>
      <c r="O449" t="e">
        <f>VLOOKUP($B449&amp;O$1,Data!$A$2:$D$3723,4,FALSE)</f>
        <v>#N/A</v>
      </c>
      <c r="P449" t="e">
        <f>VLOOKUP($B449&amp;P$1,Data!$A$2:$D$3723,4,FALSE)</f>
        <v>#N/A</v>
      </c>
      <c r="Q449" t="e">
        <f>VLOOKUP($B449&amp;Q$1,Data!$A$2:$D$3723,4,FALSE)</f>
        <v>#N/A</v>
      </c>
      <c r="R449" t="e">
        <f>VLOOKUP($B449&amp;R$1,Data!$A$2:$D$3723,4,FALSE)</f>
        <v>#N/A</v>
      </c>
      <c r="S449" t="e">
        <f>VLOOKUP($B449&amp;S$1,Data!$A$2:$D$3723,4,FALSE)</f>
        <v>#N/A</v>
      </c>
      <c r="T449" t="e">
        <f>VLOOKUP($B449&amp;T$1,Data!$A$2:$D$3723,4,FALSE)</f>
        <v>#N/A</v>
      </c>
      <c r="U449" t="e">
        <f>VLOOKUP($B449&amp;U$1,Data!$A$2:$D$3723,4,FALSE)</f>
        <v>#N/A</v>
      </c>
      <c r="V449" t="e">
        <f>VLOOKUP($B449&amp;V$1,Data!$A$2:$D$3723,4,FALSE)</f>
        <v>#N/A</v>
      </c>
      <c r="W449" t="e">
        <f>VLOOKUP($B449&amp;W$1,Data!$A$2:$D$3723,4,FALSE)</f>
        <v>#N/A</v>
      </c>
      <c r="X449" t="e">
        <f>VLOOKUP($B449&amp;X$1,Data!$A$2:$D$3723,4,FALSE)</f>
        <v>#N/A</v>
      </c>
      <c r="Y449" t="e">
        <f>VLOOKUP($B449&amp;Y$1,Data!$A$2:$D$3723,4,FALSE)</f>
        <v>#N/A</v>
      </c>
      <c r="Z449" t="e">
        <f>VLOOKUP($B449&amp;Z$1,Data!$A$2:$D$3723,4,FALSE)</f>
        <v>#N/A</v>
      </c>
      <c r="AA449" t="e">
        <f>VLOOKUP($B449&amp;AA$1,Data!$A$2:$D$3723,4,FALSE)</f>
        <v>#N/A</v>
      </c>
      <c r="AB449" t="e">
        <f>VLOOKUP($B449&amp;AB$1,Data!$A$2:$D$3723,4,FALSE)</f>
        <v>#N/A</v>
      </c>
      <c r="AC449" t="e">
        <f>VLOOKUP($B449&amp;AC$1,Data!$A$2:$D$3723,4,FALSE)</f>
        <v>#N/A</v>
      </c>
      <c r="AD449" t="e">
        <f>VLOOKUP($B449&amp;AD$1,Data!$A$2:$D$3723,4,FALSE)</f>
        <v>#N/A</v>
      </c>
      <c r="AE449" t="e">
        <f>VLOOKUP($B449&amp;AE$1,Data!$A$2:$D$3723,4,FALSE)</f>
        <v>#N/A</v>
      </c>
      <c r="AF449" t="e">
        <f>VLOOKUP($B449&amp;AF$1,Data!$A$2:$D$3723,4,FALSE)</f>
        <v>#N/A</v>
      </c>
      <c r="AG449" t="e">
        <f>VLOOKUP($B449&amp;AG$1,Data!$A$2:$D$3723,4,FALSE)</f>
        <v>#N/A</v>
      </c>
      <c r="AH449" t="e">
        <f>VLOOKUP($B449&amp;AH$1,Data!$A$2:$D$3723,4,FALSE)</f>
        <v>#N/A</v>
      </c>
      <c r="AI449" t="e">
        <f>VLOOKUP($B449&amp;AI$1,Data!$A$2:$D$3723,4,FALSE)</f>
        <v>#N/A</v>
      </c>
    </row>
    <row r="450" spans="2:35" hidden="1">
      <c r="B450" s="13">
        <v>449</v>
      </c>
      <c r="C450" s="13" t="s">
        <v>56</v>
      </c>
      <c r="D450" t="s">
        <v>6</v>
      </c>
      <c r="E450" t="s">
        <v>22</v>
      </c>
      <c r="F450">
        <v>1000</v>
      </c>
      <c r="G450" t="s">
        <v>17</v>
      </c>
      <c r="H450" s="5">
        <v>43831</v>
      </c>
      <c r="I450" s="5">
        <v>44562</v>
      </c>
      <c r="J450">
        <v>14</v>
      </c>
      <c r="K450">
        <v>9</v>
      </c>
      <c r="L450">
        <v>32</v>
      </c>
      <c r="M450">
        <v>68</v>
      </c>
      <c r="N450">
        <v>1000000</v>
      </c>
      <c r="O450" t="e">
        <f>VLOOKUP($B450&amp;O$1,Data!$A$2:$D$3723,4,FALSE)</f>
        <v>#N/A</v>
      </c>
      <c r="P450" t="e">
        <f>VLOOKUP($B450&amp;P$1,Data!$A$2:$D$3723,4,FALSE)</f>
        <v>#N/A</v>
      </c>
      <c r="Q450" t="e">
        <f>VLOOKUP($B450&amp;Q$1,Data!$A$2:$D$3723,4,FALSE)</f>
        <v>#N/A</v>
      </c>
      <c r="R450" t="e">
        <f>VLOOKUP($B450&amp;R$1,Data!$A$2:$D$3723,4,FALSE)</f>
        <v>#N/A</v>
      </c>
      <c r="S450" t="e">
        <f>VLOOKUP($B450&amp;S$1,Data!$A$2:$D$3723,4,FALSE)</f>
        <v>#N/A</v>
      </c>
      <c r="T450" t="e">
        <f>VLOOKUP($B450&amp;T$1,Data!$A$2:$D$3723,4,FALSE)</f>
        <v>#N/A</v>
      </c>
      <c r="U450" t="e">
        <f>VLOOKUP($B450&amp;U$1,Data!$A$2:$D$3723,4,FALSE)</f>
        <v>#N/A</v>
      </c>
      <c r="V450" t="e">
        <f>VLOOKUP($B450&amp;V$1,Data!$A$2:$D$3723,4,FALSE)</f>
        <v>#N/A</v>
      </c>
      <c r="W450" t="e">
        <f>VLOOKUP($B450&amp;W$1,Data!$A$2:$D$3723,4,FALSE)</f>
        <v>#N/A</v>
      </c>
      <c r="X450" t="e">
        <f>VLOOKUP($B450&amp;X$1,Data!$A$2:$D$3723,4,FALSE)</f>
        <v>#N/A</v>
      </c>
      <c r="Y450" t="e">
        <f>VLOOKUP($B450&amp;Y$1,Data!$A$2:$D$3723,4,FALSE)</f>
        <v>#N/A</v>
      </c>
      <c r="Z450" t="e">
        <f>VLOOKUP($B450&amp;Z$1,Data!$A$2:$D$3723,4,FALSE)</f>
        <v>#N/A</v>
      </c>
      <c r="AA450" t="e">
        <f>VLOOKUP($B450&amp;AA$1,Data!$A$2:$D$3723,4,FALSE)</f>
        <v>#N/A</v>
      </c>
      <c r="AB450" t="e">
        <f>VLOOKUP($B450&amp;AB$1,Data!$A$2:$D$3723,4,FALSE)</f>
        <v>#N/A</v>
      </c>
      <c r="AC450" t="e">
        <f>VLOOKUP($B450&amp;AC$1,Data!$A$2:$D$3723,4,FALSE)</f>
        <v>#N/A</v>
      </c>
      <c r="AD450" t="e">
        <f>VLOOKUP($B450&amp;AD$1,Data!$A$2:$D$3723,4,FALSE)</f>
        <v>#N/A</v>
      </c>
      <c r="AE450" t="e">
        <f>VLOOKUP($B450&amp;AE$1,Data!$A$2:$D$3723,4,FALSE)</f>
        <v>#N/A</v>
      </c>
      <c r="AF450" t="e">
        <f>VLOOKUP($B450&amp;AF$1,Data!$A$2:$D$3723,4,FALSE)</f>
        <v>#N/A</v>
      </c>
      <c r="AG450" t="e">
        <f>VLOOKUP($B450&amp;AG$1,Data!$A$2:$D$3723,4,FALSE)</f>
        <v>#N/A</v>
      </c>
      <c r="AH450" t="e">
        <f>VLOOKUP($B450&amp;AH$1,Data!$A$2:$D$3723,4,FALSE)</f>
        <v>#N/A</v>
      </c>
      <c r="AI450" t="e">
        <f>VLOOKUP($B450&amp;AI$1,Data!$A$2:$D$3723,4,FALSE)</f>
        <v>#N/A</v>
      </c>
    </row>
    <row r="451" spans="2:35" hidden="1">
      <c r="B451" s="13">
        <v>450</v>
      </c>
      <c r="C451" s="13" t="s">
        <v>56</v>
      </c>
      <c r="D451" t="s">
        <v>6</v>
      </c>
      <c r="E451" t="s">
        <v>22</v>
      </c>
      <c r="F451">
        <v>5000</v>
      </c>
      <c r="G451" t="s">
        <v>17</v>
      </c>
      <c r="H451" s="5">
        <v>43831</v>
      </c>
      <c r="I451" s="5">
        <v>44562</v>
      </c>
      <c r="J451">
        <v>14</v>
      </c>
      <c r="K451">
        <v>9</v>
      </c>
      <c r="L451">
        <v>32</v>
      </c>
      <c r="M451">
        <v>68</v>
      </c>
      <c r="N451">
        <v>1000000</v>
      </c>
      <c r="O451" t="e">
        <f>VLOOKUP($B451&amp;O$1,Data!$A$2:$D$3723,4,FALSE)</f>
        <v>#N/A</v>
      </c>
      <c r="P451" t="e">
        <f>VLOOKUP($B451&amp;P$1,Data!$A$2:$D$3723,4,FALSE)</f>
        <v>#N/A</v>
      </c>
      <c r="Q451" t="e">
        <f>VLOOKUP($B451&amp;Q$1,Data!$A$2:$D$3723,4,FALSE)</f>
        <v>#N/A</v>
      </c>
      <c r="R451" t="e">
        <f>VLOOKUP($B451&amp;R$1,Data!$A$2:$D$3723,4,FALSE)</f>
        <v>#N/A</v>
      </c>
      <c r="S451" t="e">
        <f>VLOOKUP($B451&amp;S$1,Data!$A$2:$D$3723,4,FALSE)</f>
        <v>#N/A</v>
      </c>
      <c r="T451" t="e">
        <f>VLOOKUP($B451&amp;T$1,Data!$A$2:$D$3723,4,FALSE)</f>
        <v>#N/A</v>
      </c>
      <c r="U451" t="e">
        <f>VLOOKUP($B451&amp;U$1,Data!$A$2:$D$3723,4,FALSE)</f>
        <v>#N/A</v>
      </c>
      <c r="V451" t="e">
        <f>VLOOKUP($B451&amp;V$1,Data!$A$2:$D$3723,4,FALSE)</f>
        <v>#N/A</v>
      </c>
      <c r="W451" t="e">
        <f>VLOOKUP($B451&amp;W$1,Data!$A$2:$D$3723,4,FALSE)</f>
        <v>#N/A</v>
      </c>
      <c r="X451" t="e">
        <f>VLOOKUP($B451&amp;X$1,Data!$A$2:$D$3723,4,FALSE)</f>
        <v>#N/A</v>
      </c>
      <c r="Y451" t="e">
        <f>VLOOKUP($B451&amp;Y$1,Data!$A$2:$D$3723,4,FALSE)</f>
        <v>#N/A</v>
      </c>
      <c r="Z451" t="e">
        <f>VLOOKUP($B451&amp;Z$1,Data!$A$2:$D$3723,4,FALSE)</f>
        <v>#N/A</v>
      </c>
      <c r="AA451" t="e">
        <f>VLOOKUP($B451&amp;AA$1,Data!$A$2:$D$3723,4,FALSE)</f>
        <v>#N/A</v>
      </c>
      <c r="AB451" t="e">
        <f>VLOOKUP($B451&amp;AB$1,Data!$A$2:$D$3723,4,FALSE)</f>
        <v>#N/A</v>
      </c>
      <c r="AC451" t="e">
        <f>VLOOKUP($B451&amp;AC$1,Data!$A$2:$D$3723,4,FALSE)</f>
        <v>#N/A</v>
      </c>
      <c r="AD451" t="e">
        <f>VLOOKUP($B451&amp;AD$1,Data!$A$2:$D$3723,4,FALSE)</f>
        <v>#N/A</v>
      </c>
      <c r="AE451" t="e">
        <f>VLOOKUP($B451&amp;AE$1,Data!$A$2:$D$3723,4,FALSE)</f>
        <v>#N/A</v>
      </c>
      <c r="AF451" t="e">
        <f>VLOOKUP($B451&amp;AF$1,Data!$A$2:$D$3723,4,FALSE)</f>
        <v>#N/A</v>
      </c>
      <c r="AG451" t="e">
        <f>VLOOKUP($B451&amp;AG$1,Data!$A$2:$D$3723,4,FALSE)</f>
        <v>#N/A</v>
      </c>
      <c r="AH451" t="e">
        <f>VLOOKUP($B451&amp;AH$1,Data!$A$2:$D$3723,4,FALSE)</f>
        <v>#N/A</v>
      </c>
      <c r="AI451" t="e">
        <f>VLOOKUP($B451&amp;AI$1,Data!$A$2:$D$3723,4,FALSE)</f>
        <v>#N/A</v>
      </c>
    </row>
    <row r="452" spans="2:35" hidden="1">
      <c r="B452" s="13">
        <v>451</v>
      </c>
      <c r="C452" s="13" t="s">
        <v>56</v>
      </c>
      <c r="D452" t="s">
        <v>6</v>
      </c>
      <c r="E452" t="s">
        <v>3</v>
      </c>
      <c r="F452">
        <v>100</v>
      </c>
      <c r="G452" t="s">
        <v>17</v>
      </c>
      <c r="H452" s="5">
        <v>43831</v>
      </c>
      <c r="I452" s="5">
        <v>44562</v>
      </c>
      <c r="J452">
        <v>14</v>
      </c>
      <c r="K452">
        <v>9</v>
      </c>
      <c r="L452">
        <v>28</v>
      </c>
      <c r="M452">
        <v>72</v>
      </c>
      <c r="N452">
        <v>1000000</v>
      </c>
      <c r="O452" t="e">
        <f>VLOOKUP($B452&amp;O$1,Data!$A$2:$D$3723,4,FALSE)</f>
        <v>#N/A</v>
      </c>
      <c r="P452" t="e">
        <f>VLOOKUP($B452&amp;P$1,Data!$A$2:$D$3723,4,FALSE)</f>
        <v>#N/A</v>
      </c>
      <c r="Q452" t="e">
        <f>VLOOKUP($B452&amp;Q$1,Data!$A$2:$D$3723,4,FALSE)</f>
        <v>#N/A</v>
      </c>
      <c r="R452" t="e">
        <f>VLOOKUP($B452&amp;R$1,Data!$A$2:$D$3723,4,FALSE)</f>
        <v>#N/A</v>
      </c>
      <c r="S452" t="e">
        <f>VLOOKUP($B452&amp;S$1,Data!$A$2:$D$3723,4,FALSE)</f>
        <v>#N/A</v>
      </c>
      <c r="T452" t="e">
        <f>VLOOKUP($B452&amp;T$1,Data!$A$2:$D$3723,4,FALSE)</f>
        <v>#N/A</v>
      </c>
      <c r="U452" t="e">
        <f>VLOOKUP($B452&amp;U$1,Data!$A$2:$D$3723,4,FALSE)</f>
        <v>#N/A</v>
      </c>
      <c r="V452" t="e">
        <f>VLOOKUP($B452&amp;V$1,Data!$A$2:$D$3723,4,FALSE)</f>
        <v>#N/A</v>
      </c>
      <c r="W452" t="e">
        <f>VLOOKUP($B452&amp;W$1,Data!$A$2:$D$3723,4,FALSE)</f>
        <v>#N/A</v>
      </c>
      <c r="X452" t="e">
        <f>VLOOKUP($B452&amp;X$1,Data!$A$2:$D$3723,4,FALSE)</f>
        <v>#N/A</v>
      </c>
      <c r="Y452" t="e">
        <f>VLOOKUP($B452&amp;Y$1,Data!$A$2:$D$3723,4,FALSE)</f>
        <v>#N/A</v>
      </c>
      <c r="Z452" t="e">
        <f>VLOOKUP($B452&amp;Z$1,Data!$A$2:$D$3723,4,FALSE)</f>
        <v>#N/A</v>
      </c>
      <c r="AA452" t="e">
        <f>VLOOKUP($B452&amp;AA$1,Data!$A$2:$D$3723,4,FALSE)</f>
        <v>#N/A</v>
      </c>
      <c r="AB452" t="e">
        <f>VLOOKUP($B452&amp;AB$1,Data!$A$2:$D$3723,4,FALSE)</f>
        <v>#N/A</v>
      </c>
      <c r="AC452" t="e">
        <f>VLOOKUP($B452&amp;AC$1,Data!$A$2:$D$3723,4,FALSE)</f>
        <v>#N/A</v>
      </c>
      <c r="AD452" t="e">
        <f>VLOOKUP($B452&amp;AD$1,Data!$A$2:$D$3723,4,FALSE)</f>
        <v>#N/A</v>
      </c>
      <c r="AE452" t="e">
        <f>VLOOKUP($B452&amp;AE$1,Data!$A$2:$D$3723,4,FALSE)</f>
        <v>#N/A</v>
      </c>
      <c r="AF452" t="e">
        <f>VLOOKUP($B452&amp;AF$1,Data!$A$2:$D$3723,4,FALSE)</f>
        <v>#N/A</v>
      </c>
      <c r="AG452" t="e">
        <f>VLOOKUP($B452&amp;AG$1,Data!$A$2:$D$3723,4,FALSE)</f>
        <v>#N/A</v>
      </c>
      <c r="AH452" t="e">
        <f>VLOOKUP($B452&amp;AH$1,Data!$A$2:$D$3723,4,FALSE)</f>
        <v>#N/A</v>
      </c>
      <c r="AI452" t="e">
        <f>VLOOKUP($B452&amp;AI$1,Data!$A$2:$D$3723,4,FALSE)</f>
        <v>#N/A</v>
      </c>
    </row>
    <row r="453" spans="2:35" hidden="1">
      <c r="B453" s="13">
        <v>452</v>
      </c>
      <c r="C453" s="13" t="s">
        <v>56</v>
      </c>
      <c r="D453" t="s">
        <v>6</v>
      </c>
      <c r="E453" t="s">
        <v>3</v>
      </c>
      <c r="F453">
        <v>1000</v>
      </c>
      <c r="G453" t="s">
        <v>17</v>
      </c>
      <c r="H453" s="5">
        <v>43831</v>
      </c>
      <c r="I453" s="5">
        <v>44562</v>
      </c>
      <c r="J453">
        <v>14</v>
      </c>
      <c r="K453">
        <v>9</v>
      </c>
      <c r="L453">
        <v>28</v>
      </c>
      <c r="M453">
        <v>72</v>
      </c>
      <c r="N453">
        <v>1000000</v>
      </c>
      <c r="O453" t="e">
        <f>VLOOKUP($B453&amp;O$1,Data!$A$2:$D$3723,4,FALSE)</f>
        <v>#N/A</v>
      </c>
      <c r="P453" t="e">
        <f>VLOOKUP($B453&amp;P$1,Data!$A$2:$D$3723,4,FALSE)</f>
        <v>#N/A</v>
      </c>
      <c r="Q453" t="e">
        <f>VLOOKUP($B453&amp;Q$1,Data!$A$2:$D$3723,4,FALSE)</f>
        <v>#N/A</v>
      </c>
      <c r="R453" t="e">
        <f>VLOOKUP($B453&amp;R$1,Data!$A$2:$D$3723,4,FALSE)</f>
        <v>#N/A</v>
      </c>
      <c r="S453" t="e">
        <f>VLOOKUP($B453&amp;S$1,Data!$A$2:$D$3723,4,FALSE)</f>
        <v>#N/A</v>
      </c>
      <c r="T453" t="e">
        <f>VLOOKUP($B453&amp;T$1,Data!$A$2:$D$3723,4,FALSE)</f>
        <v>#N/A</v>
      </c>
      <c r="U453" t="e">
        <f>VLOOKUP($B453&amp;U$1,Data!$A$2:$D$3723,4,FALSE)</f>
        <v>#N/A</v>
      </c>
      <c r="V453" t="e">
        <f>VLOOKUP($B453&amp;V$1,Data!$A$2:$D$3723,4,FALSE)</f>
        <v>#N/A</v>
      </c>
      <c r="W453" t="e">
        <f>VLOOKUP($B453&amp;W$1,Data!$A$2:$D$3723,4,FALSE)</f>
        <v>#N/A</v>
      </c>
      <c r="X453" t="e">
        <f>VLOOKUP($B453&amp;X$1,Data!$A$2:$D$3723,4,FALSE)</f>
        <v>#N/A</v>
      </c>
      <c r="Y453" t="e">
        <f>VLOOKUP($B453&amp;Y$1,Data!$A$2:$D$3723,4,FALSE)</f>
        <v>#N/A</v>
      </c>
      <c r="Z453" t="e">
        <f>VLOOKUP($B453&amp;Z$1,Data!$A$2:$D$3723,4,FALSE)</f>
        <v>#N/A</v>
      </c>
      <c r="AA453" t="e">
        <f>VLOOKUP($B453&amp;AA$1,Data!$A$2:$D$3723,4,FALSE)</f>
        <v>#N/A</v>
      </c>
      <c r="AB453" t="e">
        <f>VLOOKUP($B453&amp;AB$1,Data!$A$2:$D$3723,4,FALSE)</f>
        <v>#N/A</v>
      </c>
      <c r="AC453" t="e">
        <f>VLOOKUP($B453&amp;AC$1,Data!$A$2:$D$3723,4,FALSE)</f>
        <v>#N/A</v>
      </c>
      <c r="AD453" t="e">
        <f>VLOOKUP($B453&amp;AD$1,Data!$A$2:$D$3723,4,FALSE)</f>
        <v>#N/A</v>
      </c>
      <c r="AE453" t="e">
        <f>VLOOKUP($B453&amp;AE$1,Data!$A$2:$D$3723,4,FALSE)</f>
        <v>#N/A</v>
      </c>
      <c r="AF453" t="e">
        <f>VLOOKUP($B453&amp;AF$1,Data!$A$2:$D$3723,4,FALSE)</f>
        <v>#N/A</v>
      </c>
      <c r="AG453" t="e">
        <f>VLOOKUP($B453&amp;AG$1,Data!$A$2:$D$3723,4,FALSE)</f>
        <v>#N/A</v>
      </c>
      <c r="AH453" t="e">
        <f>VLOOKUP($B453&amp;AH$1,Data!$A$2:$D$3723,4,FALSE)</f>
        <v>#N/A</v>
      </c>
      <c r="AI453" t="e">
        <f>VLOOKUP($B453&amp;AI$1,Data!$A$2:$D$3723,4,FALSE)</f>
        <v>#N/A</v>
      </c>
    </row>
    <row r="454" spans="2:35" hidden="1">
      <c r="B454" s="13">
        <v>453</v>
      </c>
      <c r="C454" s="13" t="s">
        <v>56</v>
      </c>
      <c r="D454" t="s">
        <v>6</v>
      </c>
      <c r="E454" t="s">
        <v>3</v>
      </c>
      <c r="F454">
        <v>5000</v>
      </c>
      <c r="G454" t="s">
        <v>17</v>
      </c>
      <c r="H454" s="5">
        <v>43831</v>
      </c>
      <c r="I454" s="5">
        <v>44562</v>
      </c>
      <c r="J454">
        <v>14</v>
      </c>
      <c r="K454">
        <v>9</v>
      </c>
      <c r="L454">
        <v>28</v>
      </c>
      <c r="M454">
        <v>72</v>
      </c>
      <c r="N454">
        <v>1000000</v>
      </c>
      <c r="O454" t="e">
        <f>VLOOKUP($B454&amp;O$1,Data!$A$2:$D$3723,4,FALSE)</f>
        <v>#N/A</v>
      </c>
      <c r="P454" t="e">
        <f>VLOOKUP($B454&amp;P$1,Data!$A$2:$D$3723,4,FALSE)</f>
        <v>#N/A</v>
      </c>
      <c r="Q454" t="e">
        <f>VLOOKUP($B454&amp;Q$1,Data!$A$2:$D$3723,4,FALSE)</f>
        <v>#N/A</v>
      </c>
      <c r="R454" t="e">
        <f>VLOOKUP($B454&amp;R$1,Data!$A$2:$D$3723,4,FALSE)</f>
        <v>#N/A</v>
      </c>
      <c r="S454" t="e">
        <f>VLOOKUP($B454&amp;S$1,Data!$A$2:$D$3723,4,FALSE)</f>
        <v>#N/A</v>
      </c>
      <c r="T454" t="e">
        <f>VLOOKUP($B454&amp;T$1,Data!$A$2:$D$3723,4,FALSE)</f>
        <v>#N/A</v>
      </c>
      <c r="U454" t="e">
        <f>VLOOKUP($B454&amp;U$1,Data!$A$2:$D$3723,4,FALSE)</f>
        <v>#N/A</v>
      </c>
      <c r="V454" t="e">
        <f>VLOOKUP($B454&amp;V$1,Data!$A$2:$D$3723,4,FALSE)</f>
        <v>#N/A</v>
      </c>
      <c r="W454" t="e">
        <f>VLOOKUP($B454&amp;W$1,Data!$A$2:$D$3723,4,FALSE)</f>
        <v>#N/A</v>
      </c>
      <c r="X454" t="e">
        <f>VLOOKUP($B454&amp;X$1,Data!$A$2:$D$3723,4,FALSE)</f>
        <v>#N/A</v>
      </c>
      <c r="Y454" t="e">
        <f>VLOOKUP($B454&amp;Y$1,Data!$A$2:$D$3723,4,FALSE)</f>
        <v>#N/A</v>
      </c>
      <c r="Z454" t="e">
        <f>VLOOKUP($B454&amp;Z$1,Data!$A$2:$D$3723,4,FALSE)</f>
        <v>#N/A</v>
      </c>
      <c r="AA454" t="e">
        <f>VLOOKUP($B454&amp;AA$1,Data!$A$2:$D$3723,4,FALSE)</f>
        <v>#N/A</v>
      </c>
      <c r="AB454" t="e">
        <f>VLOOKUP($B454&amp;AB$1,Data!$A$2:$D$3723,4,FALSE)</f>
        <v>#N/A</v>
      </c>
      <c r="AC454" t="e">
        <f>VLOOKUP($B454&amp;AC$1,Data!$A$2:$D$3723,4,FALSE)</f>
        <v>#N/A</v>
      </c>
      <c r="AD454" t="e">
        <f>VLOOKUP($B454&amp;AD$1,Data!$A$2:$D$3723,4,FALSE)</f>
        <v>#N/A</v>
      </c>
      <c r="AE454" t="e">
        <f>VLOOKUP($B454&amp;AE$1,Data!$A$2:$D$3723,4,FALSE)</f>
        <v>#N/A</v>
      </c>
      <c r="AF454" t="e">
        <f>VLOOKUP($B454&amp;AF$1,Data!$A$2:$D$3723,4,FALSE)</f>
        <v>#N/A</v>
      </c>
      <c r="AG454" t="e">
        <f>VLOOKUP($B454&amp;AG$1,Data!$A$2:$D$3723,4,FALSE)</f>
        <v>#N/A</v>
      </c>
      <c r="AH454" t="e">
        <f>VLOOKUP($B454&amp;AH$1,Data!$A$2:$D$3723,4,FALSE)</f>
        <v>#N/A</v>
      </c>
      <c r="AI454" t="e">
        <f>VLOOKUP($B454&amp;AI$1,Data!$A$2:$D$3723,4,FALSE)</f>
        <v>#N/A</v>
      </c>
    </row>
    <row r="455" spans="2:35" hidden="1">
      <c r="B455" s="13">
        <v>454</v>
      </c>
      <c r="C455" s="13" t="s">
        <v>56</v>
      </c>
      <c r="D455" t="s">
        <v>6</v>
      </c>
      <c r="E455" t="s">
        <v>2</v>
      </c>
      <c r="F455">
        <v>100</v>
      </c>
      <c r="G455" t="s">
        <v>17</v>
      </c>
      <c r="H455" s="5">
        <v>43831</v>
      </c>
      <c r="I455" s="5">
        <v>44562</v>
      </c>
      <c r="J455">
        <v>14</v>
      </c>
      <c r="K455">
        <v>9</v>
      </c>
      <c r="L455">
        <v>28</v>
      </c>
      <c r="M455">
        <v>72</v>
      </c>
      <c r="N455">
        <v>1000000</v>
      </c>
      <c r="O455" t="e">
        <f>VLOOKUP($B455&amp;O$1,Data!$A$2:$D$3723,4,FALSE)</f>
        <v>#N/A</v>
      </c>
      <c r="P455" t="e">
        <f>VLOOKUP($B455&amp;P$1,Data!$A$2:$D$3723,4,FALSE)</f>
        <v>#N/A</v>
      </c>
      <c r="Q455" t="e">
        <f>VLOOKUP($B455&amp;Q$1,Data!$A$2:$D$3723,4,FALSE)</f>
        <v>#N/A</v>
      </c>
      <c r="R455" t="e">
        <f>VLOOKUP($B455&amp;R$1,Data!$A$2:$D$3723,4,FALSE)</f>
        <v>#N/A</v>
      </c>
      <c r="S455" t="e">
        <f>VLOOKUP($B455&amp;S$1,Data!$A$2:$D$3723,4,FALSE)</f>
        <v>#N/A</v>
      </c>
      <c r="T455" t="e">
        <f>VLOOKUP($B455&amp;T$1,Data!$A$2:$D$3723,4,FALSE)</f>
        <v>#N/A</v>
      </c>
      <c r="U455" t="e">
        <f>VLOOKUP($B455&amp;U$1,Data!$A$2:$D$3723,4,FALSE)</f>
        <v>#N/A</v>
      </c>
      <c r="V455" t="e">
        <f>VLOOKUP($B455&amp;V$1,Data!$A$2:$D$3723,4,FALSE)</f>
        <v>#N/A</v>
      </c>
      <c r="W455" t="e">
        <f>VLOOKUP($B455&amp;W$1,Data!$A$2:$D$3723,4,FALSE)</f>
        <v>#N/A</v>
      </c>
      <c r="X455" t="e">
        <f>VLOOKUP($B455&amp;X$1,Data!$A$2:$D$3723,4,FALSE)</f>
        <v>#N/A</v>
      </c>
      <c r="Y455" t="e">
        <f>VLOOKUP($B455&amp;Y$1,Data!$A$2:$D$3723,4,FALSE)</f>
        <v>#N/A</v>
      </c>
      <c r="Z455" t="e">
        <f>VLOOKUP($B455&amp;Z$1,Data!$A$2:$D$3723,4,FALSE)</f>
        <v>#N/A</v>
      </c>
      <c r="AA455" t="e">
        <f>VLOOKUP($B455&amp;AA$1,Data!$A$2:$D$3723,4,FALSE)</f>
        <v>#N/A</v>
      </c>
      <c r="AB455" t="e">
        <f>VLOOKUP($B455&amp;AB$1,Data!$A$2:$D$3723,4,FALSE)</f>
        <v>#N/A</v>
      </c>
      <c r="AC455" t="e">
        <f>VLOOKUP($B455&amp;AC$1,Data!$A$2:$D$3723,4,FALSE)</f>
        <v>#N/A</v>
      </c>
      <c r="AD455" t="e">
        <f>VLOOKUP($B455&amp;AD$1,Data!$A$2:$D$3723,4,FALSE)</f>
        <v>#N/A</v>
      </c>
      <c r="AE455" t="e">
        <f>VLOOKUP($B455&amp;AE$1,Data!$A$2:$D$3723,4,FALSE)</f>
        <v>#N/A</v>
      </c>
      <c r="AF455" t="e">
        <f>VLOOKUP($B455&amp;AF$1,Data!$A$2:$D$3723,4,FALSE)</f>
        <v>#N/A</v>
      </c>
      <c r="AG455" t="e">
        <f>VLOOKUP($B455&amp;AG$1,Data!$A$2:$D$3723,4,FALSE)</f>
        <v>#N/A</v>
      </c>
      <c r="AH455" t="e">
        <f>VLOOKUP($B455&amp;AH$1,Data!$A$2:$D$3723,4,FALSE)</f>
        <v>#N/A</v>
      </c>
      <c r="AI455" t="e">
        <f>VLOOKUP($B455&amp;AI$1,Data!$A$2:$D$3723,4,FALSE)</f>
        <v>#N/A</v>
      </c>
    </row>
    <row r="456" spans="2:35" hidden="1">
      <c r="B456" s="13">
        <v>455</v>
      </c>
      <c r="C456" s="13" t="s">
        <v>56</v>
      </c>
      <c r="D456" t="s">
        <v>6</v>
      </c>
      <c r="E456" t="s">
        <v>2</v>
      </c>
      <c r="F456">
        <v>1000</v>
      </c>
      <c r="G456" t="s">
        <v>17</v>
      </c>
      <c r="H456" s="5">
        <v>43831</v>
      </c>
      <c r="I456" s="5">
        <v>44562</v>
      </c>
      <c r="J456">
        <v>14</v>
      </c>
      <c r="K456">
        <v>9</v>
      </c>
      <c r="L456">
        <v>28</v>
      </c>
      <c r="M456">
        <v>72</v>
      </c>
      <c r="N456">
        <v>1000000</v>
      </c>
      <c r="O456" t="e">
        <f>VLOOKUP($B456&amp;O$1,Data!$A$2:$D$3723,4,FALSE)</f>
        <v>#N/A</v>
      </c>
      <c r="P456" t="e">
        <f>VLOOKUP($B456&amp;P$1,Data!$A$2:$D$3723,4,FALSE)</f>
        <v>#N/A</v>
      </c>
      <c r="Q456" t="e">
        <f>VLOOKUP($B456&amp;Q$1,Data!$A$2:$D$3723,4,FALSE)</f>
        <v>#N/A</v>
      </c>
      <c r="R456" t="e">
        <f>VLOOKUP($B456&amp;R$1,Data!$A$2:$D$3723,4,FALSE)</f>
        <v>#N/A</v>
      </c>
      <c r="S456" t="e">
        <f>VLOOKUP($B456&amp;S$1,Data!$A$2:$D$3723,4,FALSE)</f>
        <v>#N/A</v>
      </c>
      <c r="T456" t="e">
        <f>VLOOKUP($B456&amp;T$1,Data!$A$2:$D$3723,4,FALSE)</f>
        <v>#N/A</v>
      </c>
      <c r="U456" t="e">
        <f>VLOOKUP($B456&amp;U$1,Data!$A$2:$D$3723,4,FALSE)</f>
        <v>#N/A</v>
      </c>
      <c r="V456" t="e">
        <f>VLOOKUP($B456&amp;V$1,Data!$A$2:$D$3723,4,FALSE)</f>
        <v>#N/A</v>
      </c>
      <c r="W456" t="e">
        <f>VLOOKUP($B456&amp;W$1,Data!$A$2:$D$3723,4,FALSE)</f>
        <v>#N/A</v>
      </c>
      <c r="X456" t="e">
        <f>VLOOKUP($B456&amp;X$1,Data!$A$2:$D$3723,4,FALSE)</f>
        <v>#N/A</v>
      </c>
      <c r="Y456" t="e">
        <f>VLOOKUP($B456&amp;Y$1,Data!$A$2:$D$3723,4,FALSE)</f>
        <v>#N/A</v>
      </c>
      <c r="Z456" t="e">
        <f>VLOOKUP($B456&amp;Z$1,Data!$A$2:$D$3723,4,FALSE)</f>
        <v>#N/A</v>
      </c>
      <c r="AA456" t="e">
        <f>VLOOKUP($B456&amp;AA$1,Data!$A$2:$D$3723,4,FALSE)</f>
        <v>#N/A</v>
      </c>
      <c r="AB456" t="e">
        <f>VLOOKUP($B456&amp;AB$1,Data!$A$2:$D$3723,4,FALSE)</f>
        <v>#N/A</v>
      </c>
      <c r="AC456" t="e">
        <f>VLOOKUP($B456&amp;AC$1,Data!$A$2:$D$3723,4,FALSE)</f>
        <v>#N/A</v>
      </c>
      <c r="AD456" t="e">
        <f>VLOOKUP($B456&amp;AD$1,Data!$A$2:$D$3723,4,FALSE)</f>
        <v>#N/A</v>
      </c>
      <c r="AE456" t="e">
        <f>VLOOKUP($B456&amp;AE$1,Data!$A$2:$D$3723,4,FALSE)</f>
        <v>#N/A</v>
      </c>
      <c r="AF456" t="e">
        <f>VLOOKUP($B456&amp;AF$1,Data!$A$2:$D$3723,4,FALSE)</f>
        <v>#N/A</v>
      </c>
      <c r="AG456" t="e">
        <f>VLOOKUP($B456&amp;AG$1,Data!$A$2:$D$3723,4,FALSE)</f>
        <v>#N/A</v>
      </c>
      <c r="AH456" t="e">
        <f>VLOOKUP($B456&amp;AH$1,Data!$A$2:$D$3723,4,FALSE)</f>
        <v>#N/A</v>
      </c>
      <c r="AI456" t="e">
        <f>VLOOKUP($B456&amp;AI$1,Data!$A$2:$D$3723,4,FALSE)</f>
        <v>#N/A</v>
      </c>
    </row>
    <row r="457" spans="2:35" hidden="1">
      <c r="B457" s="13">
        <v>456</v>
      </c>
      <c r="C457" s="13" t="s">
        <v>56</v>
      </c>
      <c r="D457" t="s">
        <v>6</v>
      </c>
      <c r="E457" t="s">
        <v>2</v>
      </c>
      <c r="F457">
        <v>5000</v>
      </c>
      <c r="G457" t="s">
        <v>17</v>
      </c>
      <c r="H457" s="5">
        <v>43831</v>
      </c>
      <c r="I457" s="5">
        <v>44562</v>
      </c>
      <c r="J457">
        <v>14</v>
      </c>
      <c r="K457">
        <v>9</v>
      </c>
      <c r="L457">
        <v>28</v>
      </c>
      <c r="M457">
        <v>72</v>
      </c>
      <c r="N457">
        <v>1000000</v>
      </c>
      <c r="O457" t="e">
        <f>VLOOKUP($B457&amp;O$1,Data!$A$2:$D$3723,4,FALSE)</f>
        <v>#N/A</v>
      </c>
      <c r="P457" t="e">
        <f>VLOOKUP($B457&amp;P$1,Data!$A$2:$D$3723,4,FALSE)</f>
        <v>#N/A</v>
      </c>
      <c r="Q457" t="e">
        <f>VLOOKUP($B457&amp;Q$1,Data!$A$2:$D$3723,4,FALSE)</f>
        <v>#N/A</v>
      </c>
      <c r="R457" t="e">
        <f>VLOOKUP($B457&amp;R$1,Data!$A$2:$D$3723,4,FALSE)</f>
        <v>#N/A</v>
      </c>
      <c r="S457" t="e">
        <f>VLOOKUP($B457&amp;S$1,Data!$A$2:$D$3723,4,FALSE)</f>
        <v>#N/A</v>
      </c>
      <c r="T457" t="e">
        <f>VLOOKUP($B457&amp;T$1,Data!$A$2:$D$3723,4,FALSE)</f>
        <v>#N/A</v>
      </c>
      <c r="U457" t="e">
        <f>VLOOKUP($B457&amp;U$1,Data!$A$2:$D$3723,4,FALSE)</f>
        <v>#N/A</v>
      </c>
      <c r="V457" t="e">
        <f>VLOOKUP($B457&amp;V$1,Data!$A$2:$D$3723,4,FALSE)</f>
        <v>#N/A</v>
      </c>
      <c r="W457" t="e">
        <f>VLOOKUP($B457&amp;W$1,Data!$A$2:$D$3723,4,FALSE)</f>
        <v>#N/A</v>
      </c>
      <c r="X457" t="e">
        <f>VLOOKUP($B457&amp;X$1,Data!$A$2:$D$3723,4,FALSE)</f>
        <v>#N/A</v>
      </c>
      <c r="Y457" t="e">
        <f>VLOOKUP($B457&amp;Y$1,Data!$A$2:$D$3723,4,FALSE)</f>
        <v>#N/A</v>
      </c>
      <c r="Z457" t="e">
        <f>VLOOKUP($B457&amp;Z$1,Data!$A$2:$D$3723,4,FALSE)</f>
        <v>#N/A</v>
      </c>
      <c r="AA457" t="e">
        <f>VLOOKUP($B457&amp;AA$1,Data!$A$2:$D$3723,4,FALSE)</f>
        <v>#N/A</v>
      </c>
      <c r="AB457" t="e">
        <f>VLOOKUP($B457&amp;AB$1,Data!$A$2:$D$3723,4,FALSE)</f>
        <v>#N/A</v>
      </c>
      <c r="AC457" t="e">
        <f>VLOOKUP($B457&amp;AC$1,Data!$A$2:$D$3723,4,FALSE)</f>
        <v>#N/A</v>
      </c>
      <c r="AD457" t="e">
        <f>VLOOKUP($B457&amp;AD$1,Data!$A$2:$D$3723,4,FALSE)</f>
        <v>#N/A</v>
      </c>
      <c r="AE457" t="e">
        <f>VLOOKUP($B457&amp;AE$1,Data!$A$2:$D$3723,4,FALSE)</f>
        <v>#N/A</v>
      </c>
      <c r="AF457" t="e">
        <f>VLOOKUP($B457&amp;AF$1,Data!$A$2:$D$3723,4,FALSE)</f>
        <v>#N/A</v>
      </c>
      <c r="AG457" t="e">
        <f>VLOOKUP($B457&amp;AG$1,Data!$A$2:$D$3723,4,FALSE)</f>
        <v>#N/A</v>
      </c>
      <c r="AH457" t="e">
        <f>VLOOKUP($B457&amp;AH$1,Data!$A$2:$D$3723,4,FALSE)</f>
        <v>#N/A</v>
      </c>
      <c r="AI457" t="e">
        <f>VLOOKUP($B457&amp;AI$1,Data!$A$2:$D$3723,4,FALSE)</f>
        <v>#N/A</v>
      </c>
    </row>
    <row r="458" spans="2:35" hidden="1">
      <c r="B458" s="13">
        <v>457</v>
      </c>
      <c r="C458" s="13" t="s">
        <v>56</v>
      </c>
      <c r="D458" t="s">
        <v>6</v>
      </c>
      <c r="E458" t="s">
        <v>22</v>
      </c>
      <c r="F458">
        <v>100</v>
      </c>
      <c r="G458" t="s">
        <v>17</v>
      </c>
      <c r="H458" s="5">
        <v>43831</v>
      </c>
      <c r="I458" s="5">
        <v>44562</v>
      </c>
      <c r="J458">
        <v>14</v>
      </c>
      <c r="K458">
        <v>9</v>
      </c>
      <c r="L458">
        <v>28</v>
      </c>
      <c r="M458">
        <v>72</v>
      </c>
      <c r="N458">
        <v>1000000</v>
      </c>
      <c r="O458" t="e">
        <f>VLOOKUP($B458&amp;O$1,Data!$A$2:$D$3723,4,FALSE)</f>
        <v>#N/A</v>
      </c>
      <c r="P458" t="e">
        <f>VLOOKUP($B458&amp;P$1,Data!$A$2:$D$3723,4,FALSE)</f>
        <v>#N/A</v>
      </c>
      <c r="Q458" t="e">
        <f>VLOOKUP($B458&amp;Q$1,Data!$A$2:$D$3723,4,FALSE)</f>
        <v>#N/A</v>
      </c>
      <c r="R458" t="e">
        <f>VLOOKUP($B458&amp;R$1,Data!$A$2:$D$3723,4,FALSE)</f>
        <v>#N/A</v>
      </c>
      <c r="S458" t="e">
        <f>VLOOKUP($B458&amp;S$1,Data!$A$2:$D$3723,4,FALSE)</f>
        <v>#N/A</v>
      </c>
      <c r="T458" t="e">
        <f>VLOOKUP($B458&amp;T$1,Data!$A$2:$D$3723,4,FALSE)</f>
        <v>#N/A</v>
      </c>
      <c r="U458" t="e">
        <f>VLOOKUP($B458&amp;U$1,Data!$A$2:$D$3723,4,FALSE)</f>
        <v>#N/A</v>
      </c>
      <c r="V458" t="e">
        <f>VLOOKUP($B458&amp;V$1,Data!$A$2:$D$3723,4,FALSE)</f>
        <v>#N/A</v>
      </c>
      <c r="W458" t="e">
        <f>VLOOKUP($B458&amp;W$1,Data!$A$2:$D$3723,4,FALSE)</f>
        <v>#N/A</v>
      </c>
      <c r="X458" t="e">
        <f>VLOOKUP($B458&amp;X$1,Data!$A$2:$D$3723,4,FALSE)</f>
        <v>#N/A</v>
      </c>
      <c r="Y458" t="e">
        <f>VLOOKUP($B458&amp;Y$1,Data!$A$2:$D$3723,4,FALSE)</f>
        <v>#N/A</v>
      </c>
      <c r="Z458" t="e">
        <f>VLOOKUP($B458&amp;Z$1,Data!$A$2:$D$3723,4,FALSE)</f>
        <v>#N/A</v>
      </c>
      <c r="AA458" t="e">
        <f>VLOOKUP($B458&amp;AA$1,Data!$A$2:$D$3723,4,FALSE)</f>
        <v>#N/A</v>
      </c>
      <c r="AB458" t="e">
        <f>VLOOKUP($B458&amp;AB$1,Data!$A$2:$D$3723,4,FALSE)</f>
        <v>#N/A</v>
      </c>
      <c r="AC458" t="e">
        <f>VLOOKUP($B458&amp;AC$1,Data!$A$2:$D$3723,4,FALSE)</f>
        <v>#N/A</v>
      </c>
      <c r="AD458" t="e">
        <f>VLOOKUP($B458&amp;AD$1,Data!$A$2:$D$3723,4,FALSE)</f>
        <v>#N/A</v>
      </c>
      <c r="AE458" t="e">
        <f>VLOOKUP($B458&amp;AE$1,Data!$A$2:$D$3723,4,FALSE)</f>
        <v>#N/A</v>
      </c>
      <c r="AF458" t="e">
        <f>VLOOKUP($B458&amp;AF$1,Data!$A$2:$D$3723,4,FALSE)</f>
        <v>#N/A</v>
      </c>
      <c r="AG458" t="e">
        <f>VLOOKUP($B458&amp;AG$1,Data!$A$2:$D$3723,4,FALSE)</f>
        <v>#N/A</v>
      </c>
      <c r="AH458" t="e">
        <f>VLOOKUP($B458&amp;AH$1,Data!$A$2:$D$3723,4,FALSE)</f>
        <v>#N/A</v>
      </c>
      <c r="AI458" t="e">
        <f>VLOOKUP($B458&amp;AI$1,Data!$A$2:$D$3723,4,FALSE)</f>
        <v>#N/A</v>
      </c>
    </row>
    <row r="459" spans="2:35" hidden="1">
      <c r="B459" s="13">
        <v>458</v>
      </c>
      <c r="C459" s="13" t="s">
        <v>56</v>
      </c>
      <c r="D459" t="s">
        <v>6</v>
      </c>
      <c r="E459" t="s">
        <v>22</v>
      </c>
      <c r="F459">
        <v>1000</v>
      </c>
      <c r="G459" t="s">
        <v>17</v>
      </c>
      <c r="H459" s="5">
        <v>43831</v>
      </c>
      <c r="I459" s="5">
        <v>44562</v>
      </c>
      <c r="J459">
        <v>14</v>
      </c>
      <c r="K459">
        <v>9</v>
      </c>
      <c r="L459">
        <v>28</v>
      </c>
      <c r="M459">
        <v>72</v>
      </c>
      <c r="N459">
        <v>1000000</v>
      </c>
      <c r="O459" t="e">
        <f>VLOOKUP($B459&amp;O$1,Data!$A$2:$D$3723,4,FALSE)</f>
        <v>#N/A</v>
      </c>
      <c r="P459" t="e">
        <f>VLOOKUP($B459&amp;P$1,Data!$A$2:$D$3723,4,FALSE)</f>
        <v>#N/A</v>
      </c>
      <c r="Q459" t="e">
        <f>VLOOKUP($B459&amp;Q$1,Data!$A$2:$D$3723,4,FALSE)</f>
        <v>#N/A</v>
      </c>
      <c r="R459" t="e">
        <f>VLOOKUP($B459&amp;R$1,Data!$A$2:$D$3723,4,FALSE)</f>
        <v>#N/A</v>
      </c>
      <c r="S459" t="e">
        <f>VLOOKUP($B459&amp;S$1,Data!$A$2:$D$3723,4,FALSE)</f>
        <v>#N/A</v>
      </c>
      <c r="T459" t="e">
        <f>VLOOKUP($B459&amp;T$1,Data!$A$2:$D$3723,4,FALSE)</f>
        <v>#N/A</v>
      </c>
      <c r="U459" t="e">
        <f>VLOOKUP($B459&amp;U$1,Data!$A$2:$D$3723,4,FALSE)</f>
        <v>#N/A</v>
      </c>
      <c r="V459" t="e">
        <f>VLOOKUP($B459&amp;V$1,Data!$A$2:$D$3723,4,FALSE)</f>
        <v>#N/A</v>
      </c>
      <c r="W459" t="e">
        <f>VLOOKUP($B459&amp;W$1,Data!$A$2:$D$3723,4,FALSE)</f>
        <v>#N/A</v>
      </c>
      <c r="X459" t="e">
        <f>VLOOKUP($B459&amp;X$1,Data!$A$2:$D$3723,4,FALSE)</f>
        <v>#N/A</v>
      </c>
      <c r="Y459" t="e">
        <f>VLOOKUP($B459&amp;Y$1,Data!$A$2:$D$3723,4,FALSE)</f>
        <v>#N/A</v>
      </c>
      <c r="Z459" t="e">
        <f>VLOOKUP($B459&amp;Z$1,Data!$A$2:$D$3723,4,FALSE)</f>
        <v>#N/A</v>
      </c>
      <c r="AA459" t="e">
        <f>VLOOKUP($B459&amp;AA$1,Data!$A$2:$D$3723,4,FALSE)</f>
        <v>#N/A</v>
      </c>
      <c r="AB459" t="e">
        <f>VLOOKUP($B459&amp;AB$1,Data!$A$2:$D$3723,4,FALSE)</f>
        <v>#N/A</v>
      </c>
      <c r="AC459" t="e">
        <f>VLOOKUP($B459&amp;AC$1,Data!$A$2:$D$3723,4,FALSE)</f>
        <v>#N/A</v>
      </c>
      <c r="AD459" t="e">
        <f>VLOOKUP($B459&amp;AD$1,Data!$A$2:$D$3723,4,FALSE)</f>
        <v>#N/A</v>
      </c>
      <c r="AE459" t="e">
        <f>VLOOKUP($B459&amp;AE$1,Data!$A$2:$D$3723,4,FALSE)</f>
        <v>#N/A</v>
      </c>
      <c r="AF459" t="e">
        <f>VLOOKUP($B459&amp;AF$1,Data!$A$2:$D$3723,4,FALSE)</f>
        <v>#N/A</v>
      </c>
      <c r="AG459" t="e">
        <f>VLOOKUP($B459&amp;AG$1,Data!$A$2:$D$3723,4,FALSE)</f>
        <v>#N/A</v>
      </c>
      <c r="AH459" t="e">
        <f>VLOOKUP($B459&amp;AH$1,Data!$A$2:$D$3723,4,FALSE)</f>
        <v>#N/A</v>
      </c>
      <c r="AI459" t="e">
        <f>VLOOKUP($B459&amp;AI$1,Data!$A$2:$D$3723,4,FALSE)</f>
        <v>#N/A</v>
      </c>
    </row>
    <row r="460" spans="2:35" hidden="1">
      <c r="B460" s="13">
        <v>459</v>
      </c>
      <c r="C460" s="13" t="s">
        <v>56</v>
      </c>
      <c r="D460" t="s">
        <v>6</v>
      </c>
      <c r="E460" t="s">
        <v>22</v>
      </c>
      <c r="F460">
        <v>5000</v>
      </c>
      <c r="G460" t="s">
        <v>17</v>
      </c>
      <c r="H460" s="5">
        <v>43831</v>
      </c>
      <c r="I460" s="5">
        <v>44562</v>
      </c>
      <c r="J460">
        <v>14</v>
      </c>
      <c r="K460">
        <v>9</v>
      </c>
      <c r="L460">
        <v>28</v>
      </c>
      <c r="M460">
        <v>72</v>
      </c>
      <c r="N460">
        <v>1000000</v>
      </c>
      <c r="O460" t="e">
        <f>VLOOKUP($B460&amp;O$1,Data!$A$2:$D$3723,4,FALSE)</f>
        <v>#N/A</v>
      </c>
      <c r="P460" t="e">
        <f>VLOOKUP($B460&amp;P$1,Data!$A$2:$D$3723,4,FALSE)</f>
        <v>#N/A</v>
      </c>
      <c r="Q460" t="e">
        <f>VLOOKUP($B460&amp;Q$1,Data!$A$2:$D$3723,4,FALSE)</f>
        <v>#N/A</v>
      </c>
      <c r="R460" t="e">
        <f>VLOOKUP($B460&amp;R$1,Data!$A$2:$D$3723,4,FALSE)</f>
        <v>#N/A</v>
      </c>
      <c r="S460" t="e">
        <f>VLOOKUP($B460&amp;S$1,Data!$A$2:$D$3723,4,FALSE)</f>
        <v>#N/A</v>
      </c>
      <c r="T460" t="e">
        <f>VLOOKUP($B460&amp;T$1,Data!$A$2:$D$3723,4,FALSE)</f>
        <v>#N/A</v>
      </c>
      <c r="U460" t="e">
        <f>VLOOKUP($B460&amp;U$1,Data!$A$2:$D$3723,4,FALSE)</f>
        <v>#N/A</v>
      </c>
      <c r="V460" t="e">
        <f>VLOOKUP($B460&amp;V$1,Data!$A$2:$D$3723,4,FALSE)</f>
        <v>#N/A</v>
      </c>
      <c r="W460" t="e">
        <f>VLOOKUP($B460&amp;W$1,Data!$A$2:$D$3723,4,FALSE)</f>
        <v>#N/A</v>
      </c>
      <c r="X460" t="e">
        <f>VLOOKUP($B460&amp;X$1,Data!$A$2:$D$3723,4,FALSE)</f>
        <v>#N/A</v>
      </c>
      <c r="Y460" t="e">
        <f>VLOOKUP($B460&amp;Y$1,Data!$A$2:$D$3723,4,FALSE)</f>
        <v>#N/A</v>
      </c>
      <c r="Z460" t="e">
        <f>VLOOKUP($B460&amp;Z$1,Data!$A$2:$D$3723,4,FALSE)</f>
        <v>#N/A</v>
      </c>
      <c r="AA460" t="e">
        <f>VLOOKUP($B460&amp;AA$1,Data!$A$2:$D$3723,4,FALSE)</f>
        <v>#N/A</v>
      </c>
      <c r="AB460" t="e">
        <f>VLOOKUP($B460&amp;AB$1,Data!$A$2:$D$3723,4,FALSE)</f>
        <v>#N/A</v>
      </c>
      <c r="AC460" t="e">
        <f>VLOOKUP($B460&amp;AC$1,Data!$A$2:$D$3723,4,FALSE)</f>
        <v>#N/A</v>
      </c>
      <c r="AD460" t="e">
        <f>VLOOKUP($B460&amp;AD$1,Data!$A$2:$D$3723,4,FALSE)</f>
        <v>#N/A</v>
      </c>
      <c r="AE460" t="e">
        <f>VLOOKUP($B460&amp;AE$1,Data!$A$2:$D$3723,4,FALSE)</f>
        <v>#N/A</v>
      </c>
      <c r="AF460" t="e">
        <f>VLOOKUP($B460&amp;AF$1,Data!$A$2:$D$3723,4,FALSE)</f>
        <v>#N/A</v>
      </c>
      <c r="AG460" t="e">
        <f>VLOOKUP($B460&amp;AG$1,Data!$A$2:$D$3723,4,FALSE)</f>
        <v>#N/A</v>
      </c>
      <c r="AH460" t="e">
        <f>VLOOKUP($B460&amp;AH$1,Data!$A$2:$D$3723,4,FALSE)</f>
        <v>#N/A</v>
      </c>
      <c r="AI460" t="e">
        <f>VLOOKUP($B460&amp;AI$1,Data!$A$2:$D$3723,4,FALSE)</f>
        <v>#N/A</v>
      </c>
    </row>
    <row r="461" spans="2:35" hidden="1">
      <c r="B461" s="13">
        <v>460</v>
      </c>
      <c r="C461" s="13" t="s">
        <v>56</v>
      </c>
      <c r="D461" t="s">
        <v>7</v>
      </c>
      <c r="E461" t="s">
        <v>3</v>
      </c>
      <c r="F461">
        <v>100</v>
      </c>
      <c r="G461" t="s">
        <v>17</v>
      </c>
      <c r="H461" s="5">
        <v>43831</v>
      </c>
      <c r="I461" s="5">
        <v>44562</v>
      </c>
      <c r="J461">
        <v>14</v>
      </c>
      <c r="K461">
        <v>9</v>
      </c>
      <c r="L461">
        <v>30</v>
      </c>
      <c r="M461">
        <v>70</v>
      </c>
      <c r="N461">
        <v>1000000</v>
      </c>
      <c r="W461"/>
    </row>
    <row r="462" spans="2:35" hidden="1">
      <c r="B462" s="13">
        <v>461</v>
      </c>
      <c r="C462" s="13" t="s">
        <v>56</v>
      </c>
      <c r="D462" t="s">
        <v>7</v>
      </c>
      <c r="E462" t="s">
        <v>3</v>
      </c>
      <c r="F462">
        <v>1000</v>
      </c>
      <c r="G462" t="s">
        <v>17</v>
      </c>
      <c r="H462" s="5">
        <v>43831</v>
      </c>
      <c r="I462" s="5">
        <v>44562</v>
      </c>
      <c r="J462">
        <v>14</v>
      </c>
      <c r="K462">
        <v>9</v>
      </c>
      <c r="L462">
        <v>30</v>
      </c>
      <c r="M462">
        <v>70</v>
      </c>
      <c r="N462">
        <v>1000000</v>
      </c>
      <c r="W462"/>
    </row>
    <row r="463" spans="2:35" hidden="1">
      <c r="B463" s="13">
        <v>462</v>
      </c>
      <c r="C463" s="13" t="s">
        <v>56</v>
      </c>
      <c r="D463" t="s">
        <v>7</v>
      </c>
      <c r="E463" t="s">
        <v>3</v>
      </c>
      <c r="F463">
        <v>5000</v>
      </c>
      <c r="G463" t="s">
        <v>17</v>
      </c>
      <c r="H463" s="5">
        <v>43831</v>
      </c>
      <c r="I463" s="5">
        <v>44562</v>
      </c>
      <c r="J463">
        <v>14</v>
      </c>
      <c r="K463">
        <v>9</v>
      </c>
      <c r="L463">
        <v>30</v>
      </c>
      <c r="M463">
        <v>70</v>
      </c>
      <c r="N463">
        <v>1000000</v>
      </c>
      <c r="W463"/>
    </row>
    <row r="464" spans="2:35" hidden="1">
      <c r="B464" s="13">
        <v>463</v>
      </c>
      <c r="C464" s="13" t="s">
        <v>56</v>
      </c>
      <c r="D464" t="s">
        <v>7</v>
      </c>
      <c r="E464" t="s">
        <v>2</v>
      </c>
      <c r="F464">
        <v>100</v>
      </c>
      <c r="G464" t="s">
        <v>17</v>
      </c>
      <c r="H464" s="5">
        <v>43831</v>
      </c>
      <c r="I464" s="5">
        <v>44562</v>
      </c>
      <c r="J464">
        <v>14</v>
      </c>
      <c r="K464">
        <v>9</v>
      </c>
      <c r="L464">
        <v>30</v>
      </c>
      <c r="M464">
        <v>70</v>
      </c>
      <c r="N464">
        <v>1000000</v>
      </c>
      <c r="W464"/>
    </row>
    <row r="465" spans="2:35" hidden="1">
      <c r="B465" s="13">
        <v>464</v>
      </c>
      <c r="C465" s="13" t="s">
        <v>56</v>
      </c>
      <c r="D465" t="s">
        <v>7</v>
      </c>
      <c r="E465" t="s">
        <v>2</v>
      </c>
      <c r="F465">
        <v>1000</v>
      </c>
      <c r="G465" t="s">
        <v>17</v>
      </c>
      <c r="H465" s="5">
        <v>43831</v>
      </c>
      <c r="I465" s="5">
        <v>44562</v>
      </c>
      <c r="J465">
        <v>14</v>
      </c>
      <c r="K465">
        <v>9</v>
      </c>
      <c r="L465">
        <v>30</v>
      </c>
      <c r="M465">
        <v>70</v>
      </c>
      <c r="N465">
        <v>1000000</v>
      </c>
      <c r="W465"/>
    </row>
    <row r="466" spans="2:35" hidden="1">
      <c r="B466" s="13">
        <v>465</v>
      </c>
      <c r="C466" s="13" t="s">
        <v>56</v>
      </c>
      <c r="D466" t="s">
        <v>7</v>
      </c>
      <c r="E466" t="s">
        <v>2</v>
      </c>
      <c r="F466">
        <v>5000</v>
      </c>
      <c r="G466" t="s">
        <v>17</v>
      </c>
      <c r="H466" s="5">
        <v>43831</v>
      </c>
      <c r="I466" s="5">
        <v>44562</v>
      </c>
      <c r="J466">
        <v>14</v>
      </c>
      <c r="K466">
        <v>9</v>
      </c>
      <c r="L466">
        <v>30</v>
      </c>
      <c r="M466">
        <v>70</v>
      </c>
      <c r="N466">
        <v>1000000</v>
      </c>
      <c r="W466"/>
    </row>
    <row r="467" spans="2:35" hidden="1">
      <c r="B467" s="13">
        <v>466</v>
      </c>
      <c r="C467" s="13" t="s">
        <v>56</v>
      </c>
      <c r="D467" t="s">
        <v>7</v>
      </c>
      <c r="E467" t="s">
        <v>22</v>
      </c>
      <c r="F467">
        <v>100</v>
      </c>
      <c r="G467" t="s">
        <v>17</v>
      </c>
      <c r="H467" s="5">
        <v>43831</v>
      </c>
      <c r="I467" s="5">
        <v>44562</v>
      </c>
      <c r="J467">
        <v>14</v>
      </c>
      <c r="K467">
        <v>9</v>
      </c>
      <c r="L467">
        <v>30</v>
      </c>
      <c r="M467">
        <v>70</v>
      </c>
      <c r="N467">
        <v>1000000</v>
      </c>
      <c r="W467"/>
    </row>
    <row r="468" spans="2:35" hidden="1">
      <c r="B468" s="13">
        <v>467</v>
      </c>
      <c r="C468" s="13" t="s">
        <v>56</v>
      </c>
      <c r="D468" t="s">
        <v>7</v>
      </c>
      <c r="E468" t="s">
        <v>22</v>
      </c>
      <c r="F468">
        <v>1000</v>
      </c>
      <c r="G468" t="s">
        <v>17</v>
      </c>
      <c r="H468" s="5">
        <v>43831</v>
      </c>
      <c r="I468" s="5">
        <v>44562</v>
      </c>
      <c r="J468">
        <v>14</v>
      </c>
      <c r="K468">
        <v>9</v>
      </c>
      <c r="L468">
        <v>30</v>
      </c>
      <c r="M468">
        <v>70</v>
      </c>
      <c r="N468">
        <v>1000000</v>
      </c>
      <c r="W468"/>
    </row>
    <row r="469" spans="2:35" hidden="1">
      <c r="B469" s="13">
        <v>468</v>
      </c>
      <c r="C469" s="13" t="s">
        <v>56</v>
      </c>
      <c r="D469" t="s">
        <v>7</v>
      </c>
      <c r="E469" t="s">
        <v>22</v>
      </c>
      <c r="F469">
        <v>5000</v>
      </c>
      <c r="G469" t="s">
        <v>17</v>
      </c>
      <c r="H469" s="5">
        <v>43831</v>
      </c>
      <c r="I469" s="5">
        <v>44562</v>
      </c>
      <c r="J469">
        <v>14</v>
      </c>
      <c r="K469">
        <v>9</v>
      </c>
      <c r="L469">
        <v>30</v>
      </c>
      <c r="M469">
        <v>70</v>
      </c>
      <c r="N469">
        <v>1000000</v>
      </c>
      <c r="W469"/>
    </row>
    <row r="470" spans="2:35" hidden="1">
      <c r="B470" s="13">
        <v>469</v>
      </c>
      <c r="C470" s="13" t="s">
        <v>56</v>
      </c>
      <c r="D470" t="s">
        <v>7</v>
      </c>
      <c r="E470" t="s">
        <v>3</v>
      </c>
      <c r="F470">
        <v>100</v>
      </c>
      <c r="G470" t="s">
        <v>17</v>
      </c>
      <c r="H470" s="5">
        <v>43831</v>
      </c>
      <c r="I470" s="5">
        <v>44562</v>
      </c>
      <c r="J470">
        <v>14</v>
      </c>
      <c r="K470">
        <v>9</v>
      </c>
      <c r="L470">
        <v>32</v>
      </c>
      <c r="M470">
        <v>68</v>
      </c>
      <c r="N470">
        <v>1000000</v>
      </c>
      <c r="O470" t="e">
        <f>VLOOKUP($B470&amp;O$1,Data!$A$2:$D$3723,4,FALSE)</f>
        <v>#N/A</v>
      </c>
      <c r="P470" t="e">
        <f>VLOOKUP($B470&amp;P$1,Data!$A$2:$D$3723,4,FALSE)</f>
        <v>#N/A</v>
      </c>
      <c r="Q470" t="e">
        <f>VLOOKUP($B470&amp;Q$1,Data!$A$2:$D$3723,4,FALSE)</f>
        <v>#N/A</v>
      </c>
      <c r="R470" t="e">
        <f>VLOOKUP($B470&amp;R$1,Data!$A$2:$D$3723,4,FALSE)</f>
        <v>#N/A</v>
      </c>
      <c r="S470" t="e">
        <f>VLOOKUP($B470&amp;S$1,Data!$A$2:$D$3723,4,FALSE)</f>
        <v>#N/A</v>
      </c>
      <c r="T470" t="e">
        <f>VLOOKUP($B470&amp;T$1,Data!$A$2:$D$3723,4,FALSE)</f>
        <v>#N/A</v>
      </c>
      <c r="U470" t="e">
        <f>VLOOKUP($B470&amp;U$1,Data!$A$2:$D$3723,4,FALSE)</f>
        <v>#N/A</v>
      </c>
      <c r="V470" t="e">
        <f>VLOOKUP($B470&amp;V$1,Data!$A$2:$D$3723,4,FALSE)</f>
        <v>#N/A</v>
      </c>
      <c r="W470" t="e">
        <f>VLOOKUP($B470&amp;W$1,Data!$A$2:$D$3723,4,FALSE)</f>
        <v>#N/A</v>
      </c>
      <c r="X470" t="e">
        <f>VLOOKUP($B470&amp;X$1,Data!$A$2:$D$3723,4,FALSE)</f>
        <v>#N/A</v>
      </c>
      <c r="Y470" t="e">
        <f>VLOOKUP($B470&amp;Y$1,Data!$A$2:$D$3723,4,FALSE)</f>
        <v>#N/A</v>
      </c>
      <c r="Z470" t="e">
        <f>VLOOKUP($B470&amp;Z$1,Data!$A$2:$D$3723,4,FALSE)</f>
        <v>#N/A</v>
      </c>
      <c r="AA470" t="e">
        <f>VLOOKUP($B470&amp;AA$1,Data!$A$2:$D$3723,4,FALSE)</f>
        <v>#N/A</v>
      </c>
      <c r="AB470" t="e">
        <f>VLOOKUP($B470&amp;AB$1,Data!$A$2:$D$3723,4,FALSE)</f>
        <v>#N/A</v>
      </c>
      <c r="AC470" t="e">
        <f>VLOOKUP($B470&amp;AC$1,Data!$A$2:$D$3723,4,FALSE)</f>
        <v>#N/A</v>
      </c>
      <c r="AD470" t="e">
        <f>VLOOKUP($B470&amp;AD$1,Data!$A$2:$D$3723,4,FALSE)</f>
        <v>#N/A</v>
      </c>
      <c r="AE470" t="e">
        <f>VLOOKUP($B470&amp;AE$1,Data!$A$2:$D$3723,4,FALSE)</f>
        <v>#N/A</v>
      </c>
      <c r="AF470" t="e">
        <f>VLOOKUP($B470&amp;AF$1,Data!$A$2:$D$3723,4,FALSE)</f>
        <v>#N/A</v>
      </c>
      <c r="AG470" t="e">
        <f>VLOOKUP($B470&amp;AG$1,Data!$A$2:$D$3723,4,FALSE)</f>
        <v>#N/A</v>
      </c>
      <c r="AH470" t="e">
        <f>VLOOKUP($B470&amp;AH$1,Data!$A$2:$D$3723,4,FALSE)</f>
        <v>#N/A</v>
      </c>
      <c r="AI470" t="e">
        <f>VLOOKUP($B470&amp;AI$1,Data!$A$2:$D$3723,4,FALSE)</f>
        <v>#N/A</v>
      </c>
    </row>
    <row r="471" spans="2:35" hidden="1">
      <c r="B471" s="13">
        <v>470</v>
      </c>
      <c r="C471" s="13" t="s">
        <v>56</v>
      </c>
      <c r="D471" t="s">
        <v>7</v>
      </c>
      <c r="E471" t="s">
        <v>3</v>
      </c>
      <c r="F471">
        <v>1000</v>
      </c>
      <c r="G471" t="s">
        <v>17</v>
      </c>
      <c r="H471" s="5">
        <v>43831</v>
      </c>
      <c r="I471" s="5">
        <v>44562</v>
      </c>
      <c r="J471">
        <v>14</v>
      </c>
      <c r="K471">
        <v>9</v>
      </c>
      <c r="L471">
        <v>32</v>
      </c>
      <c r="M471">
        <v>68</v>
      </c>
      <c r="N471">
        <v>1000000</v>
      </c>
      <c r="O471" t="e">
        <f>VLOOKUP($B471&amp;O$1,Data!$A$2:$D$3723,4,FALSE)</f>
        <v>#N/A</v>
      </c>
      <c r="P471" t="e">
        <f>VLOOKUP($B471&amp;P$1,Data!$A$2:$D$3723,4,FALSE)</f>
        <v>#N/A</v>
      </c>
      <c r="Q471" t="e">
        <f>VLOOKUP($B471&amp;Q$1,Data!$A$2:$D$3723,4,FALSE)</f>
        <v>#N/A</v>
      </c>
      <c r="R471" t="e">
        <f>VLOOKUP($B471&amp;R$1,Data!$A$2:$D$3723,4,FALSE)</f>
        <v>#N/A</v>
      </c>
      <c r="S471" t="e">
        <f>VLOOKUP($B471&amp;S$1,Data!$A$2:$D$3723,4,FALSE)</f>
        <v>#N/A</v>
      </c>
      <c r="T471" t="e">
        <f>VLOOKUP($B471&amp;T$1,Data!$A$2:$D$3723,4,FALSE)</f>
        <v>#N/A</v>
      </c>
      <c r="U471" t="e">
        <f>VLOOKUP($B471&amp;U$1,Data!$A$2:$D$3723,4,FALSE)</f>
        <v>#N/A</v>
      </c>
      <c r="V471" t="e">
        <f>VLOOKUP($B471&amp;V$1,Data!$A$2:$D$3723,4,FALSE)</f>
        <v>#N/A</v>
      </c>
      <c r="W471" t="e">
        <f>VLOOKUP($B471&amp;W$1,Data!$A$2:$D$3723,4,FALSE)</f>
        <v>#N/A</v>
      </c>
      <c r="X471" t="e">
        <f>VLOOKUP($B471&amp;X$1,Data!$A$2:$D$3723,4,FALSE)</f>
        <v>#N/A</v>
      </c>
      <c r="Y471" t="e">
        <f>VLOOKUP($B471&amp;Y$1,Data!$A$2:$D$3723,4,FALSE)</f>
        <v>#N/A</v>
      </c>
      <c r="Z471" t="e">
        <f>VLOOKUP($B471&amp;Z$1,Data!$A$2:$D$3723,4,FALSE)</f>
        <v>#N/A</v>
      </c>
      <c r="AA471" t="e">
        <f>VLOOKUP($B471&amp;AA$1,Data!$A$2:$D$3723,4,FALSE)</f>
        <v>#N/A</v>
      </c>
      <c r="AB471" t="e">
        <f>VLOOKUP($B471&amp;AB$1,Data!$A$2:$D$3723,4,FALSE)</f>
        <v>#N/A</v>
      </c>
      <c r="AC471" t="e">
        <f>VLOOKUP($B471&amp;AC$1,Data!$A$2:$D$3723,4,FALSE)</f>
        <v>#N/A</v>
      </c>
      <c r="AD471" t="e">
        <f>VLOOKUP($B471&amp;AD$1,Data!$A$2:$D$3723,4,FALSE)</f>
        <v>#N/A</v>
      </c>
      <c r="AE471" t="e">
        <f>VLOOKUP($B471&amp;AE$1,Data!$A$2:$D$3723,4,FALSE)</f>
        <v>#N/A</v>
      </c>
      <c r="AF471" t="e">
        <f>VLOOKUP($B471&amp;AF$1,Data!$A$2:$D$3723,4,FALSE)</f>
        <v>#N/A</v>
      </c>
      <c r="AG471" t="e">
        <f>VLOOKUP($B471&amp;AG$1,Data!$A$2:$D$3723,4,FALSE)</f>
        <v>#N/A</v>
      </c>
      <c r="AH471" t="e">
        <f>VLOOKUP($B471&amp;AH$1,Data!$A$2:$D$3723,4,FALSE)</f>
        <v>#N/A</v>
      </c>
      <c r="AI471" t="e">
        <f>VLOOKUP($B471&amp;AI$1,Data!$A$2:$D$3723,4,FALSE)</f>
        <v>#N/A</v>
      </c>
    </row>
    <row r="472" spans="2:35" hidden="1">
      <c r="B472" s="13">
        <v>471</v>
      </c>
      <c r="C472" s="13" t="s">
        <v>56</v>
      </c>
      <c r="D472" t="s">
        <v>7</v>
      </c>
      <c r="E472" t="s">
        <v>3</v>
      </c>
      <c r="F472">
        <v>5000</v>
      </c>
      <c r="G472" t="s">
        <v>17</v>
      </c>
      <c r="H472" s="5">
        <v>43831</v>
      </c>
      <c r="I472" s="5">
        <v>44562</v>
      </c>
      <c r="J472">
        <v>14</v>
      </c>
      <c r="K472">
        <v>9</v>
      </c>
      <c r="L472">
        <v>32</v>
      </c>
      <c r="M472">
        <v>68</v>
      </c>
      <c r="N472">
        <v>1000000</v>
      </c>
      <c r="O472" t="e">
        <f>VLOOKUP($B472&amp;O$1,Data!$A$2:$D$3723,4,FALSE)</f>
        <v>#N/A</v>
      </c>
      <c r="P472" t="e">
        <f>VLOOKUP($B472&amp;P$1,Data!$A$2:$D$3723,4,FALSE)</f>
        <v>#N/A</v>
      </c>
      <c r="Q472" t="e">
        <f>VLOOKUP($B472&amp;Q$1,Data!$A$2:$D$3723,4,FALSE)</f>
        <v>#N/A</v>
      </c>
      <c r="R472" t="e">
        <f>VLOOKUP($B472&amp;R$1,Data!$A$2:$D$3723,4,FALSE)</f>
        <v>#N/A</v>
      </c>
      <c r="S472" t="e">
        <f>VLOOKUP($B472&amp;S$1,Data!$A$2:$D$3723,4,FALSE)</f>
        <v>#N/A</v>
      </c>
      <c r="T472" t="e">
        <f>VLOOKUP($B472&amp;T$1,Data!$A$2:$D$3723,4,FALSE)</f>
        <v>#N/A</v>
      </c>
      <c r="U472" t="e">
        <f>VLOOKUP($B472&amp;U$1,Data!$A$2:$D$3723,4,FALSE)</f>
        <v>#N/A</v>
      </c>
      <c r="V472" t="e">
        <f>VLOOKUP($B472&amp;V$1,Data!$A$2:$D$3723,4,FALSE)</f>
        <v>#N/A</v>
      </c>
      <c r="W472" t="e">
        <f>VLOOKUP($B472&amp;W$1,Data!$A$2:$D$3723,4,FALSE)</f>
        <v>#N/A</v>
      </c>
      <c r="X472" t="e">
        <f>VLOOKUP($B472&amp;X$1,Data!$A$2:$D$3723,4,FALSE)</f>
        <v>#N/A</v>
      </c>
      <c r="Y472" t="e">
        <f>VLOOKUP($B472&amp;Y$1,Data!$A$2:$D$3723,4,FALSE)</f>
        <v>#N/A</v>
      </c>
      <c r="Z472" t="e">
        <f>VLOOKUP($B472&amp;Z$1,Data!$A$2:$D$3723,4,FALSE)</f>
        <v>#N/A</v>
      </c>
      <c r="AA472" t="e">
        <f>VLOOKUP($B472&amp;AA$1,Data!$A$2:$D$3723,4,FALSE)</f>
        <v>#N/A</v>
      </c>
      <c r="AB472" t="e">
        <f>VLOOKUP($B472&amp;AB$1,Data!$A$2:$D$3723,4,FALSE)</f>
        <v>#N/A</v>
      </c>
      <c r="AC472" t="e">
        <f>VLOOKUP($B472&amp;AC$1,Data!$A$2:$D$3723,4,FALSE)</f>
        <v>#N/A</v>
      </c>
      <c r="AD472" t="e">
        <f>VLOOKUP($B472&amp;AD$1,Data!$A$2:$D$3723,4,FALSE)</f>
        <v>#N/A</v>
      </c>
      <c r="AE472" t="e">
        <f>VLOOKUP($B472&amp;AE$1,Data!$A$2:$D$3723,4,FALSE)</f>
        <v>#N/A</v>
      </c>
      <c r="AF472" t="e">
        <f>VLOOKUP($B472&amp;AF$1,Data!$A$2:$D$3723,4,FALSE)</f>
        <v>#N/A</v>
      </c>
      <c r="AG472" t="e">
        <f>VLOOKUP($B472&amp;AG$1,Data!$A$2:$D$3723,4,FALSE)</f>
        <v>#N/A</v>
      </c>
      <c r="AH472" t="e">
        <f>VLOOKUP($B472&amp;AH$1,Data!$A$2:$D$3723,4,FALSE)</f>
        <v>#N/A</v>
      </c>
      <c r="AI472" t="e">
        <f>VLOOKUP($B472&amp;AI$1,Data!$A$2:$D$3723,4,FALSE)</f>
        <v>#N/A</v>
      </c>
    </row>
    <row r="473" spans="2:35" hidden="1">
      <c r="B473" s="13">
        <v>472</v>
      </c>
      <c r="C473" s="13" t="s">
        <v>56</v>
      </c>
      <c r="D473" t="s">
        <v>7</v>
      </c>
      <c r="E473" t="s">
        <v>2</v>
      </c>
      <c r="F473">
        <v>100</v>
      </c>
      <c r="G473" t="s">
        <v>17</v>
      </c>
      <c r="H473" s="5">
        <v>43831</v>
      </c>
      <c r="I473" s="5">
        <v>44562</v>
      </c>
      <c r="J473">
        <v>14</v>
      </c>
      <c r="K473">
        <v>9</v>
      </c>
      <c r="L473">
        <v>32</v>
      </c>
      <c r="M473">
        <v>68</v>
      </c>
      <c r="N473">
        <v>1000000</v>
      </c>
      <c r="O473" t="e">
        <f>VLOOKUP($B473&amp;O$1,Data!$A$2:$D$3723,4,FALSE)</f>
        <v>#N/A</v>
      </c>
      <c r="P473" t="e">
        <f>VLOOKUP($B473&amp;P$1,Data!$A$2:$D$3723,4,FALSE)</f>
        <v>#N/A</v>
      </c>
      <c r="Q473" t="e">
        <f>VLOOKUP($B473&amp;Q$1,Data!$A$2:$D$3723,4,FALSE)</f>
        <v>#N/A</v>
      </c>
      <c r="R473" t="e">
        <f>VLOOKUP($B473&amp;R$1,Data!$A$2:$D$3723,4,FALSE)</f>
        <v>#N/A</v>
      </c>
      <c r="S473" t="e">
        <f>VLOOKUP($B473&amp;S$1,Data!$A$2:$D$3723,4,FALSE)</f>
        <v>#N/A</v>
      </c>
      <c r="T473" t="e">
        <f>VLOOKUP($B473&amp;T$1,Data!$A$2:$D$3723,4,FALSE)</f>
        <v>#N/A</v>
      </c>
      <c r="U473" t="e">
        <f>VLOOKUP($B473&amp;U$1,Data!$A$2:$D$3723,4,FALSE)</f>
        <v>#N/A</v>
      </c>
      <c r="V473" t="e">
        <f>VLOOKUP($B473&amp;V$1,Data!$A$2:$D$3723,4,FALSE)</f>
        <v>#N/A</v>
      </c>
      <c r="W473" t="e">
        <f>VLOOKUP($B473&amp;W$1,Data!$A$2:$D$3723,4,FALSE)</f>
        <v>#N/A</v>
      </c>
      <c r="X473" t="e">
        <f>VLOOKUP($B473&amp;X$1,Data!$A$2:$D$3723,4,FALSE)</f>
        <v>#N/A</v>
      </c>
      <c r="Y473" t="e">
        <f>VLOOKUP($B473&amp;Y$1,Data!$A$2:$D$3723,4,FALSE)</f>
        <v>#N/A</v>
      </c>
      <c r="Z473" t="e">
        <f>VLOOKUP($B473&amp;Z$1,Data!$A$2:$D$3723,4,FALSE)</f>
        <v>#N/A</v>
      </c>
      <c r="AA473" t="e">
        <f>VLOOKUP($B473&amp;AA$1,Data!$A$2:$D$3723,4,FALSE)</f>
        <v>#N/A</v>
      </c>
      <c r="AB473" t="e">
        <f>VLOOKUP($B473&amp;AB$1,Data!$A$2:$D$3723,4,FALSE)</f>
        <v>#N/A</v>
      </c>
      <c r="AC473" t="e">
        <f>VLOOKUP($B473&amp;AC$1,Data!$A$2:$D$3723,4,FALSE)</f>
        <v>#N/A</v>
      </c>
      <c r="AD473" t="e">
        <f>VLOOKUP($B473&amp;AD$1,Data!$A$2:$D$3723,4,FALSE)</f>
        <v>#N/A</v>
      </c>
      <c r="AE473" t="e">
        <f>VLOOKUP($B473&amp;AE$1,Data!$A$2:$D$3723,4,FALSE)</f>
        <v>#N/A</v>
      </c>
      <c r="AF473" t="e">
        <f>VLOOKUP($B473&amp;AF$1,Data!$A$2:$D$3723,4,FALSE)</f>
        <v>#N/A</v>
      </c>
      <c r="AG473" t="e">
        <f>VLOOKUP($B473&amp;AG$1,Data!$A$2:$D$3723,4,FALSE)</f>
        <v>#N/A</v>
      </c>
      <c r="AH473" t="e">
        <f>VLOOKUP($B473&amp;AH$1,Data!$A$2:$D$3723,4,FALSE)</f>
        <v>#N/A</v>
      </c>
      <c r="AI473" t="e">
        <f>VLOOKUP($B473&amp;AI$1,Data!$A$2:$D$3723,4,FALSE)</f>
        <v>#N/A</v>
      </c>
    </row>
    <row r="474" spans="2:35" hidden="1">
      <c r="B474" s="13">
        <v>473</v>
      </c>
      <c r="C474" s="13" t="s">
        <v>56</v>
      </c>
      <c r="D474" t="s">
        <v>7</v>
      </c>
      <c r="E474" t="s">
        <v>2</v>
      </c>
      <c r="F474">
        <v>1000</v>
      </c>
      <c r="G474" t="s">
        <v>17</v>
      </c>
      <c r="H474" s="5">
        <v>43831</v>
      </c>
      <c r="I474" s="5">
        <v>44562</v>
      </c>
      <c r="J474">
        <v>14</v>
      </c>
      <c r="K474">
        <v>9</v>
      </c>
      <c r="L474">
        <v>32</v>
      </c>
      <c r="M474">
        <v>68</v>
      </c>
      <c r="N474">
        <v>1000000</v>
      </c>
      <c r="O474" t="e">
        <f>VLOOKUP($B474&amp;O$1,Data!$A$2:$D$3723,4,FALSE)</f>
        <v>#N/A</v>
      </c>
      <c r="P474" t="e">
        <f>VLOOKUP($B474&amp;P$1,Data!$A$2:$D$3723,4,FALSE)</f>
        <v>#N/A</v>
      </c>
      <c r="Q474" t="e">
        <f>VLOOKUP($B474&amp;Q$1,Data!$A$2:$D$3723,4,FALSE)</f>
        <v>#N/A</v>
      </c>
      <c r="R474" t="e">
        <f>VLOOKUP($B474&amp;R$1,Data!$A$2:$D$3723,4,FALSE)</f>
        <v>#N/A</v>
      </c>
      <c r="S474" t="e">
        <f>VLOOKUP($B474&amp;S$1,Data!$A$2:$D$3723,4,FALSE)</f>
        <v>#N/A</v>
      </c>
      <c r="T474" t="e">
        <f>VLOOKUP($B474&amp;T$1,Data!$A$2:$D$3723,4,FALSE)</f>
        <v>#N/A</v>
      </c>
      <c r="U474" t="e">
        <f>VLOOKUP($B474&amp;U$1,Data!$A$2:$D$3723,4,FALSE)</f>
        <v>#N/A</v>
      </c>
      <c r="V474" t="e">
        <f>VLOOKUP($B474&amp;V$1,Data!$A$2:$D$3723,4,FALSE)</f>
        <v>#N/A</v>
      </c>
      <c r="W474" t="e">
        <f>VLOOKUP($B474&amp;W$1,Data!$A$2:$D$3723,4,FALSE)</f>
        <v>#N/A</v>
      </c>
      <c r="X474" t="e">
        <f>VLOOKUP($B474&amp;X$1,Data!$A$2:$D$3723,4,FALSE)</f>
        <v>#N/A</v>
      </c>
      <c r="Y474" t="e">
        <f>VLOOKUP($B474&amp;Y$1,Data!$A$2:$D$3723,4,FALSE)</f>
        <v>#N/A</v>
      </c>
      <c r="Z474" t="e">
        <f>VLOOKUP($B474&amp;Z$1,Data!$A$2:$D$3723,4,FALSE)</f>
        <v>#N/A</v>
      </c>
      <c r="AA474" t="e">
        <f>VLOOKUP($B474&amp;AA$1,Data!$A$2:$D$3723,4,FALSE)</f>
        <v>#N/A</v>
      </c>
      <c r="AB474" t="e">
        <f>VLOOKUP($B474&amp;AB$1,Data!$A$2:$D$3723,4,FALSE)</f>
        <v>#N/A</v>
      </c>
      <c r="AC474" t="e">
        <f>VLOOKUP($B474&amp;AC$1,Data!$A$2:$D$3723,4,FALSE)</f>
        <v>#N/A</v>
      </c>
      <c r="AD474" t="e">
        <f>VLOOKUP($B474&amp;AD$1,Data!$A$2:$D$3723,4,FALSE)</f>
        <v>#N/A</v>
      </c>
      <c r="AE474" t="e">
        <f>VLOOKUP($B474&amp;AE$1,Data!$A$2:$D$3723,4,FALSE)</f>
        <v>#N/A</v>
      </c>
      <c r="AF474" t="e">
        <f>VLOOKUP($B474&amp;AF$1,Data!$A$2:$D$3723,4,FALSE)</f>
        <v>#N/A</v>
      </c>
      <c r="AG474" t="e">
        <f>VLOOKUP($B474&amp;AG$1,Data!$A$2:$D$3723,4,FALSE)</f>
        <v>#N/A</v>
      </c>
      <c r="AH474" t="e">
        <f>VLOOKUP($B474&amp;AH$1,Data!$A$2:$D$3723,4,FALSE)</f>
        <v>#N/A</v>
      </c>
      <c r="AI474" t="e">
        <f>VLOOKUP($B474&amp;AI$1,Data!$A$2:$D$3723,4,FALSE)</f>
        <v>#N/A</v>
      </c>
    </row>
    <row r="475" spans="2:35" hidden="1">
      <c r="B475" s="13">
        <v>474</v>
      </c>
      <c r="C475" s="13" t="s">
        <v>56</v>
      </c>
      <c r="D475" t="s">
        <v>7</v>
      </c>
      <c r="E475" t="s">
        <v>2</v>
      </c>
      <c r="F475">
        <v>5000</v>
      </c>
      <c r="G475" t="s">
        <v>17</v>
      </c>
      <c r="H475" s="5">
        <v>43831</v>
      </c>
      <c r="I475" s="5">
        <v>44562</v>
      </c>
      <c r="J475">
        <v>14</v>
      </c>
      <c r="K475">
        <v>9</v>
      </c>
      <c r="L475">
        <v>32</v>
      </c>
      <c r="M475">
        <v>68</v>
      </c>
      <c r="N475">
        <v>1000000</v>
      </c>
      <c r="O475" t="e">
        <f>VLOOKUP($B475&amp;O$1,Data!$A$2:$D$3723,4,FALSE)</f>
        <v>#N/A</v>
      </c>
      <c r="P475" t="e">
        <f>VLOOKUP($B475&amp;P$1,Data!$A$2:$D$3723,4,FALSE)</f>
        <v>#N/A</v>
      </c>
      <c r="Q475" t="e">
        <f>VLOOKUP($B475&amp;Q$1,Data!$A$2:$D$3723,4,FALSE)</f>
        <v>#N/A</v>
      </c>
      <c r="R475" t="e">
        <f>VLOOKUP($B475&amp;R$1,Data!$A$2:$D$3723,4,FALSE)</f>
        <v>#N/A</v>
      </c>
      <c r="S475" t="e">
        <f>VLOOKUP($B475&amp;S$1,Data!$A$2:$D$3723,4,FALSE)</f>
        <v>#N/A</v>
      </c>
      <c r="T475" t="e">
        <f>VLOOKUP($B475&amp;T$1,Data!$A$2:$D$3723,4,FALSE)</f>
        <v>#N/A</v>
      </c>
      <c r="U475" t="e">
        <f>VLOOKUP($B475&amp;U$1,Data!$A$2:$D$3723,4,FALSE)</f>
        <v>#N/A</v>
      </c>
      <c r="V475" t="e">
        <f>VLOOKUP($B475&amp;V$1,Data!$A$2:$D$3723,4,FALSE)</f>
        <v>#N/A</v>
      </c>
      <c r="W475" t="e">
        <f>VLOOKUP($B475&amp;W$1,Data!$A$2:$D$3723,4,FALSE)</f>
        <v>#N/A</v>
      </c>
      <c r="X475" t="e">
        <f>VLOOKUP($B475&amp;X$1,Data!$A$2:$D$3723,4,FALSE)</f>
        <v>#N/A</v>
      </c>
      <c r="Y475" t="e">
        <f>VLOOKUP($B475&amp;Y$1,Data!$A$2:$D$3723,4,FALSE)</f>
        <v>#N/A</v>
      </c>
      <c r="Z475" t="e">
        <f>VLOOKUP($B475&amp;Z$1,Data!$A$2:$D$3723,4,FALSE)</f>
        <v>#N/A</v>
      </c>
      <c r="AA475" t="e">
        <f>VLOOKUP($B475&amp;AA$1,Data!$A$2:$D$3723,4,FALSE)</f>
        <v>#N/A</v>
      </c>
      <c r="AB475" t="e">
        <f>VLOOKUP($B475&amp;AB$1,Data!$A$2:$D$3723,4,FALSE)</f>
        <v>#N/A</v>
      </c>
      <c r="AC475" t="e">
        <f>VLOOKUP($B475&amp;AC$1,Data!$A$2:$D$3723,4,FALSE)</f>
        <v>#N/A</v>
      </c>
      <c r="AD475" t="e">
        <f>VLOOKUP($B475&amp;AD$1,Data!$A$2:$D$3723,4,FALSE)</f>
        <v>#N/A</v>
      </c>
      <c r="AE475" t="e">
        <f>VLOOKUP($B475&amp;AE$1,Data!$A$2:$D$3723,4,FALSE)</f>
        <v>#N/A</v>
      </c>
      <c r="AF475" t="e">
        <f>VLOOKUP($B475&amp;AF$1,Data!$A$2:$D$3723,4,FALSE)</f>
        <v>#N/A</v>
      </c>
      <c r="AG475" t="e">
        <f>VLOOKUP($B475&amp;AG$1,Data!$A$2:$D$3723,4,FALSE)</f>
        <v>#N/A</v>
      </c>
      <c r="AH475" t="e">
        <f>VLOOKUP($B475&amp;AH$1,Data!$A$2:$D$3723,4,FALSE)</f>
        <v>#N/A</v>
      </c>
      <c r="AI475" t="e">
        <f>VLOOKUP($B475&amp;AI$1,Data!$A$2:$D$3723,4,FALSE)</f>
        <v>#N/A</v>
      </c>
    </row>
    <row r="476" spans="2:35" hidden="1">
      <c r="B476" s="13">
        <v>475</v>
      </c>
      <c r="C476" s="13" t="s">
        <v>56</v>
      </c>
      <c r="D476" t="s">
        <v>7</v>
      </c>
      <c r="E476" t="s">
        <v>22</v>
      </c>
      <c r="F476">
        <v>100</v>
      </c>
      <c r="G476" t="s">
        <v>17</v>
      </c>
      <c r="H476" s="5">
        <v>43831</v>
      </c>
      <c r="I476" s="5">
        <v>44562</v>
      </c>
      <c r="J476">
        <v>14</v>
      </c>
      <c r="K476">
        <v>9</v>
      </c>
      <c r="L476">
        <v>32</v>
      </c>
      <c r="M476">
        <v>68</v>
      </c>
      <c r="N476">
        <v>1000000</v>
      </c>
      <c r="O476" t="e">
        <f>VLOOKUP($B476&amp;O$1,Data!$A$2:$D$3723,4,FALSE)</f>
        <v>#N/A</v>
      </c>
      <c r="P476" t="e">
        <f>VLOOKUP($B476&amp;P$1,Data!$A$2:$D$3723,4,FALSE)</f>
        <v>#N/A</v>
      </c>
      <c r="Q476" t="e">
        <f>VLOOKUP($B476&amp;Q$1,Data!$A$2:$D$3723,4,FALSE)</f>
        <v>#N/A</v>
      </c>
      <c r="R476" t="e">
        <f>VLOOKUP($B476&amp;R$1,Data!$A$2:$D$3723,4,FALSE)</f>
        <v>#N/A</v>
      </c>
      <c r="S476" t="e">
        <f>VLOOKUP($B476&amp;S$1,Data!$A$2:$D$3723,4,FALSE)</f>
        <v>#N/A</v>
      </c>
      <c r="T476" t="e">
        <f>VLOOKUP($B476&amp;T$1,Data!$A$2:$D$3723,4,FALSE)</f>
        <v>#N/A</v>
      </c>
      <c r="U476" t="e">
        <f>VLOOKUP($B476&amp;U$1,Data!$A$2:$D$3723,4,FALSE)</f>
        <v>#N/A</v>
      </c>
      <c r="V476" t="e">
        <f>VLOOKUP($B476&amp;V$1,Data!$A$2:$D$3723,4,FALSE)</f>
        <v>#N/A</v>
      </c>
      <c r="W476" t="e">
        <f>VLOOKUP($B476&amp;W$1,Data!$A$2:$D$3723,4,FALSE)</f>
        <v>#N/A</v>
      </c>
      <c r="X476" t="e">
        <f>VLOOKUP($B476&amp;X$1,Data!$A$2:$D$3723,4,FALSE)</f>
        <v>#N/A</v>
      </c>
      <c r="Y476" t="e">
        <f>VLOOKUP($B476&amp;Y$1,Data!$A$2:$D$3723,4,FALSE)</f>
        <v>#N/A</v>
      </c>
      <c r="Z476" t="e">
        <f>VLOOKUP($B476&amp;Z$1,Data!$A$2:$D$3723,4,FALSE)</f>
        <v>#N/A</v>
      </c>
      <c r="AA476" t="e">
        <f>VLOOKUP($B476&amp;AA$1,Data!$A$2:$D$3723,4,FALSE)</f>
        <v>#N/A</v>
      </c>
      <c r="AB476" t="e">
        <f>VLOOKUP($B476&amp;AB$1,Data!$A$2:$D$3723,4,FALSE)</f>
        <v>#N/A</v>
      </c>
      <c r="AC476" t="e">
        <f>VLOOKUP($B476&amp;AC$1,Data!$A$2:$D$3723,4,FALSE)</f>
        <v>#N/A</v>
      </c>
      <c r="AD476" t="e">
        <f>VLOOKUP($B476&amp;AD$1,Data!$A$2:$D$3723,4,FALSE)</f>
        <v>#N/A</v>
      </c>
      <c r="AE476" t="e">
        <f>VLOOKUP($B476&amp;AE$1,Data!$A$2:$D$3723,4,FALSE)</f>
        <v>#N/A</v>
      </c>
      <c r="AF476" t="e">
        <f>VLOOKUP($B476&amp;AF$1,Data!$A$2:$D$3723,4,FALSE)</f>
        <v>#N/A</v>
      </c>
      <c r="AG476" t="e">
        <f>VLOOKUP($B476&amp;AG$1,Data!$A$2:$D$3723,4,FALSE)</f>
        <v>#N/A</v>
      </c>
      <c r="AH476" t="e">
        <f>VLOOKUP($B476&amp;AH$1,Data!$A$2:$D$3723,4,FALSE)</f>
        <v>#N/A</v>
      </c>
      <c r="AI476" t="e">
        <f>VLOOKUP($B476&amp;AI$1,Data!$A$2:$D$3723,4,FALSE)</f>
        <v>#N/A</v>
      </c>
    </row>
    <row r="477" spans="2:35" hidden="1">
      <c r="B477" s="13">
        <v>476</v>
      </c>
      <c r="C477" s="13" t="s">
        <v>56</v>
      </c>
      <c r="D477" t="s">
        <v>7</v>
      </c>
      <c r="E477" t="s">
        <v>22</v>
      </c>
      <c r="F477">
        <v>1000</v>
      </c>
      <c r="G477" t="s">
        <v>17</v>
      </c>
      <c r="H477" s="5">
        <v>43831</v>
      </c>
      <c r="I477" s="5">
        <v>44562</v>
      </c>
      <c r="J477">
        <v>14</v>
      </c>
      <c r="K477">
        <v>9</v>
      </c>
      <c r="L477">
        <v>32</v>
      </c>
      <c r="M477">
        <v>68</v>
      </c>
      <c r="N477">
        <v>1000000</v>
      </c>
      <c r="O477" t="e">
        <f>VLOOKUP($B477&amp;O$1,Data!$A$2:$D$3723,4,FALSE)</f>
        <v>#N/A</v>
      </c>
      <c r="P477" t="e">
        <f>VLOOKUP($B477&amp;P$1,Data!$A$2:$D$3723,4,FALSE)</f>
        <v>#N/A</v>
      </c>
      <c r="Q477" t="e">
        <f>VLOOKUP($B477&amp;Q$1,Data!$A$2:$D$3723,4,FALSE)</f>
        <v>#N/A</v>
      </c>
      <c r="R477" t="e">
        <f>VLOOKUP($B477&amp;R$1,Data!$A$2:$D$3723,4,FALSE)</f>
        <v>#N/A</v>
      </c>
      <c r="S477" t="e">
        <f>VLOOKUP($B477&amp;S$1,Data!$A$2:$D$3723,4,FALSE)</f>
        <v>#N/A</v>
      </c>
      <c r="T477" t="e">
        <f>VLOOKUP($B477&amp;T$1,Data!$A$2:$D$3723,4,FALSE)</f>
        <v>#N/A</v>
      </c>
      <c r="U477" t="e">
        <f>VLOOKUP($B477&amp;U$1,Data!$A$2:$D$3723,4,FALSE)</f>
        <v>#N/A</v>
      </c>
      <c r="V477" t="e">
        <f>VLOOKUP($B477&amp;V$1,Data!$A$2:$D$3723,4,FALSE)</f>
        <v>#N/A</v>
      </c>
      <c r="W477" t="e">
        <f>VLOOKUP($B477&amp;W$1,Data!$A$2:$D$3723,4,FALSE)</f>
        <v>#N/A</v>
      </c>
      <c r="X477" t="e">
        <f>VLOOKUP($B477&amp;X$1,Data!$A$2:$D$3723,4,FALSE)</f>
        <v>#N/A</v>
      </c>
      <c r="Y477" t="e">
        <f>VLOOKUP($B477&amp;Y$1,Data!$A$2:$D$3723,4,FALSE)</f>
        <v>#N/A</v>
      </c>
      <c r="Z477" t="e">
        <f>VLOOKUP($B477&amp;Z$1,Data!$A$2:$D$3723,4,FALSE)</f>
        <v>#N/A</v>
      </c>
      <c r="AA477" t="e">
        <f>VLOOKUP($B477&amp;AA$1,Data!$A$2:$D$3723,4,FALSE)</f>
        <v>#N/A</v>
      </c>
      <c r="AB477" t="e">
        <f>VLOOKUP($B477&amp;AB$1,Data!$A$2:$D$3723,4,FALSE)</f>
        <v>#N/A</v>
      </c>
      <c r="AC477" t="e">
        <f>VLOOKUP($B477&amp;AC$1,Data!$A$2:$D$3723,4,FALSE)</f>
        <v>#N/A</v>
      </c>
      <c r="AD477" t="e">
        <f>VLOOKUP($B477&amp;AD$1,Data!$A$2:$D$3723,4,FALSE)</f>
        <v>#N/A</v>
      </c>
      <c r="AE477" t="e">
        <f>VLOOKUP($B477&amp;AE$1,Data!$A$2:$D$3723,4,FALSE)</f>
        <v>#N/A</v>
      </c>
      <c r="AF477" t="e">
        <f>VLOOKUP($B477&amp;AF$1,Data!$A$2:$D$3723,4,FALSE)</f>
        <v>#N/A</v>
      </c>
      <c r="AG477" t="e">
        <f>VLOOKUP($B477&amp;AG$1,Data!$A$2:$D$3723,4,FALSE)</f>
        <v>#N/A</v>
      </c>
      <c r="AH477" t="e">
        <f>VLOOKUP($B477&amp;AH$1,Data!$A$2:$D$3723,4,FALSE)</f>
        <v>#N/A</v>
      </c>
      <c r="AI477" t="e">
        <f>VLOOKUP($B477&amp;AI$1,Data!$A$2:$D$3723,4,FALSE)</f>
        <v>#N/A</v>
      </c>
    </row>
    <row r="478" spans="2:35" hidden="1">
      <c r="B478" s="13">
        <v>477</v>
      </c>
      <c r="C478" s="13" t="s">
        <v>56</v>
      </c>
      <c r="D478" t="s">
        <v>7</v>
      </c>
      <c r="E478" t="s">
        <v>22</v>
      </c>
      <c r="F478">
        <v>5000</v>
      </c>
      <c r="G478" t="s">
        <v>17</v>
      </c>
      <c r="H478" s="5">
        <v>43831</v>
      </c>
      <c r="I478" s="5">
        <v>44562</v>
      </c>
      <c r="J478">
        <v>14</v>
      </c>
      <c r="K478">
        <v>9</v>
      </c>
      <c r="L478">
        <v>32</v>
      </c>
      <c r="M478">
        <v>68</v>
      </c>
      <c r="N478">
        <v>1000000</v>
      </c>
      <c r="O478" t="e">
        <f>VLOOKUP($B478&amp;O$1,Data!$A$2:$D$3723,4,FALSE)</f>
        <v>#N/A</v>
      </c>
      <c r="P478" t="e">
        <f>VLOOKUP($B478&amp;P$1,Data!$A$2:$D$3723,4,FALSE)</f>
        <v>#N/A</v>
      </c>
      <c r="Q478" t="e">
        <f>VLOOKUP($B478&amp;Q$1,Data!$A$2:$D$3723,4,FALSE)</f>
        <v>#N/A</v>
      </c>
      <c r="R478" t="e">
        <f>VLOOKUP($B478&amp;R$1,Data!$A$2:$D$3723,4,FALSE)</f>
        <v>#N/A</v>
      </c>
      <c r="S478" t="e">
        <f>VLOOKUP($B478&amp;S$1,Data!$A$2:$D$3723,4,FALSE)</f>
        <v>#N/A</v>
      </c>
      <c r="T478" t="e">
        <f>VLOOKUP($B478&amp;T$1,Data!$A$2:$D$3723,4,FALSE)</f>
        <v>#N/A</v>
      </c>
      <c r="U478" t="e">
        <f>VLOOKUP($B478&amp;U$1,Data!$A$2:$D$3723,4,FALSE)</f>
        <v>#N/A</v>
      </c>
      <c r="V478" t="e">
        <f>VLOOKUP($B478&amp;V$1,Data!$A$2:$D$3723,4,FALSE)</f>
        <v>#N/A</v>
      </c>
      <c r="W478" t="e">
        <f>VLOOKUP($B478&amp;W$1,Data!$A$2:$D$3723,4,FALSE)</f>
        <v>#N/A</v>
      </c>
      <c r="X478" t="e">
        <f>VLOOKUP($B478&amp;X$1,Data!$A$2:$D$3723,4,FALSE)</f>
        <v>#N/A</v>
      </c>
      <c r="Y478" t="e">
        <f>VLOOKUP($B478&amp;Y$1,Data!$A$2:$D$3723,4,FALSE)</f>
        <v>#N/A</v>
      </c>
      <c r="Z478" t="e">
        <f>VLOOKUP($B478&amp;Z$1,Data!$A$2:$D$3723,4,FALSE)</f>
        <v>#N/A</v>
      </c>
      <c r="AA478" t="e">
        <f>VLOOKUP($B478&amp;AA$1,Data!$A$2:$D$3723,4,FALSE)</f>
        <v>#N/A</v>
      </c>
      <c r="AB478" t="e">
        <f>VLOOKUP($B478&amp;AB$1,Data!$A$2:$D$3723,4,FALSE)</f>
        <v>#N/A</v>
      </c>
      <c r="AC478" t="e">
        <f>VLOOKUP($B478&amp;AC$1,Data!$A$2:$D$3723,4,FALSE)</f>
        <v>#N/A</v>
      </c>
      <c r="AD478" t="e">
        <f>VLOOKUP($B478&amp;AD$1,Data!$A$2:$D$3723,4,FALSE)</f>
        <v>#N/A</v>
      </c>
      <c r="AE478" t="e">
        <f>VLOOKUP($B478&amp;AE$1,Data!$A$2:$D$3723,4,FALSE)</f>
        <v>#N/A</v>
      </c>
      <c r="AF478" t="e">
        <f>VLOOKUP($B478&amp;AF$1,Data!$A$2:$D$3723,4,FALSE)</f>
        <v>#N/A</v>
      </c>
      <c r="AG478" t="e">
        <f>VLOOKUP($B478&amp;AG$1,Data!$A$2:$D$3723,4,FALSE)</f>
        <v>#N/A</v>
      </c>
      <c r="AH478" t="e">
        <f>VLOOKUP($B478&amp;AH$1,Data!$A$2:$D$3723,4,FALSE)</f>
        <v>#N/A</v>
      </c>
      <c r="AI478" t="e">
        <f>VLOOKUP($B478&amp;AI$1,Data!$A$2:$D$3723,4,FALSE)</f>
        <v>#N/A</v>
      </c>
    </row>
    <row r="479" spans="2:35" hidden="1">
      <c r="B479" s="13">
        <v>478</v>
      </c>
      <c r="C479" s="13" t="s">
        <v>56</v>
      </c>
      <c r="D479" t="s">
        <v>7</v>
      </c>
      <c r="E479" t="s">
        <v>3</v>
      </c>
      <c r="F479">
        <v>100</v>
      </c>
      <c r="G479" t="s">
        <v>17</v>
      </c>
      <c r="H479" s="5">
        <v>43831</v>
      </c>
      <c r="I479" s="5">
        <v>44562</v>
      </c>
      <c r="J479">
        <v>14</v>
      </c>
      <c r="K479">
        <v>9</v>
      </c>
      <c r="L479">
        <v>28</v>
      </c>
      <c r="M479">
        <v>72</v>
      </c>
      <c r="N479">
        <v>1000000</v>
      </c>
      <c r="O479" t="e">
        <f>VLOOKUP($B479&amp;O$1,Data!$A$2:$D$3723,4,FALSE)</f>
        <v>#N/A</v>
      </c>
      <c r="P479" t="e">
        <f>VLOOKUP($B479&amp;P$1,Data!$A$2:$D$3723,4,FALSE)</f>
        <v>#N/A</v>
      </c>
      <c r="Q479" t="e">
        <f>VLOOKUP($B479&amp;Q$1,Data!$A$2:$D$3723,4,FALSE)</f>
        <v>#N/A</v>
      </c>
      <c r="R479" t="e">
        <f>VLOOKUP($B479&amp;R$1,Data!$A$2:$D$3723,4,FALSE)</f>
        <v>#N/A</v>
      </c>
      <c r="S479" t="e">
        <f>VLOOKUP($B479&amp;S$1,Data!$A$2:$D$3723,4,FALSE)</f>
        <v>#N/A</v>
      </c>
      <c r="T479" t="e">
        <f>VLOOKUP($B479&amp;T$1,Data!$A$2:$D$3723,4,FALSE)</f>
        <v>#N/A</v>
      </c>
      <c r="U479" t="e">
        <f>VLOOKUP($B479&amp;U$1,Data!$A$2:$D$3723,4,FALSE)</f>
        <v>#N/A</v>
      </c>
      <c r="V479" t="e">
        <f>VLOOKUP($B479&amp;V$1,Data!$A$2:$D$3723,4,FALSE)</f>
        <v>#N/A</v>
      </c>
      <c r="W479" t="e">
        <f>VLOOKUP($B479&amp;W$1,Data!$A$2:$D$3723,4,FALSE)</f>
        <v>#N/A</v>
      </c>
      <c r="X479" t="e">
        <f>VLOOKUP($B479&amp;X$1,Data!$A$2:$D$3723,4,FALSE)</f>
        <v>#N/A</v>
      </c>
      <c r="Y479" t="e">
        <f>VLOOKUP($B479&amp;Y$1,Data!$A$2:$D$3723,4,FALSE)</f>
        <v>#N/A</v>
      </c>
      <c r="Z479" t="e">
        <f>VLOOKUP($B479&amp;Z$1,Data!$A$2:$D$3723,4,FALSE)</f>
        <v>#N/A</v>
      </c>
      <c r="AA479" t="e">
        <f>VLOOKUP($B479&amp;AA$1,Data!$A$2:$D$3723,4,FALSE)</f>
        <v>#N/A</v>
      </c>
      <c r="AB479" t="e">
        <f>VLOOKUP($B479&amp;AB$1,Data!$A$2:$D$3723,4,FALSE)</f>
        <v>#N/A</v>
      </c>
      <c r="AC479" t="e">
        <f>VLOOKUP($B479&amp;AC$1,Data!$A$2:$D$3723,4,FALSE)</f>
        <v>#N/A</v>
      </c>
      <c r="AD479" t="e">
        <f>VLOOKUP($B479&amp;AD$1,Data!$A$2:$D$3723,4,FALSE)</f>
        <v>#N/A</v>
      </c>
      <c r="AE479" t="e">
        <f>VLOOKUP($B479&amp;AE$1,Data!$A$2:$D$3723,4,FALSE)</f>
        <v>#N/A</v>
      </c>
      <c r="AF479" t="e">
        <f>VLOOKUP($B479&amp;AF$1,Data!$A$2:$D$3723,4,FALSE)</f>
        <v>#N/A</v>
      </c>
      <c r="AG479" t="e">
        <f>VLOOKUP($B479&amp;AG$1,Data!$A$2:$D$3723,4,FALSE)</f>
        <v>#N/A</v>
      </c>
      <c r="AH479" t="e">
        <f>VLOOKUP($B479&amp;AH$1,Data!$A$2:$D$3723,4,FALSE)</f>
        <v>#N/A</v>
      </c>
      <c r="AI479" t="e">
        <f>VLOOKUP($B479&amp;AI$1,Data!$A$2:$D$3723,4,FALSE)</f>
        <v>#N/A</v>
      </c>
    </row>
    <row r="480" spans="2:35" hidden="1">
      <c r="B480" s="13">
        <v>479</v>
      </c>
      <c r="C480" s="13" t="s">
        <v>56</v>
      </c>
      <c r="D480" t="s">
        <v>7</v>
      </c>
      <c r="E480" t="s">
        <v>3</v>
      </c>
      <c r="F480">
        <v>1000</v>
      </c>
      <c r="G480" t="s">
        <v>17</v>
      </c>
      <c r="H480" s="5">
        <v>43831</v>
      </c>
      <c r="I480" s="5">
        <v>44562</v>
      </c>
      <c r="J480">
        <v>14</v>
      </c>
      <c r="K480">
        <v>9</v>
      </c>
      <c r="L480">
        <v>28</v>
      </c>
      <c r="M480">
        <v>72</v>
      </c>
      <c r="N480">
        <v>1000000</v>
      </c>
      <c r="O480" t="e">
        <f>VLOOKUP($B480&amp;O$1,Data!$A$2:$D$3723,4,FALSE)</f>
        <v>#N/A</v>
      </c>
      <c r="P480" t="e">
        <f>VLOOKUP($B480&amp;P$1,Data!$A$2:$D$3723,4,FALSE)</f>
        <v>#N/A</v>
      </c>
      <c r="Q480" t="e">
        <f>VLOOKUP($B480&amp;Q$1,Data!$A$2:$D$3723,4,FALSE)</f>
        <v>#N/A</v>
      </c>
      <c r="R480" t="e">
        <f>VLOOKUP($B480&amp;R$1,Data!$A$2:$D$3723,4,FALSE)</f>
        <v>#N/A</v>
      </c>
      <c r="S480" t="e">
        <f>VLOOKUP($B480&amp;S$1,Data!$A$2:$D$3723,4,FALSE)</f>
        <v>#N/A</v>
      </c>
      <c r="T480" t="e">
        <f>VLOOKUP($B480&amp;T$1,Data!$A$2:$D$3723,4,FALSE)</f>
        <v>#N/A</v>
      </c>
      <c r="U480" t="e">
        <f>VLOOKUP($B480&amp;U$1,Data!$A$2:$D$3723,4,FALSE)</f>
        <v>#N/A</v>
      </c>
      <c r="V480" t="e">
        <f>VLOOKUP($B480&amp;V$1,Data!$A$2:$D$3723,4,FALSE)</f>
        <v>#N/A</v>
      </c>
      <c r="W480" t="e">
        <f>VLOOKUP($B480&amp;W$1,Data!$A$2:$D$3723,4,FALSE)</f>
        <v>#N/A</v>
      </c>
      <c r="X480" t="e">
        <f>VLOOKUP($B480&amp;X$1,Data!$A$2:$D$3723,4,FALSE)</f>
        <v>#N/A</v>
      </c>
      <c r="Y480" t="e">
        <f>VLOOKUP($B480&amp;Y$1,Data!$A$2:$D$3723,4,FALSE)</f>
        <v>#N/A</v>
      </c>
      <c r="Z480" t="e">
        <f>VLOOKUP($B480&amp;Z$1,Data!$A$2:$D$3723,4,FALSE)</f>
        <v>#N/A</v>
      </c>
      <c r="AA480" t="e">
        <f>VLOOKUP($B480&amp;AA$1,Data!$A$2:$D$3723,4,FALSE)</f>
        <v>#N/A</v>
      </c>
      <c r="AB480" t="e">
        <f>VLOOKUP($B480&amp;AB$1,Data!$A$2:$D$3723,4,FALSE)</f>
        <v>#N/A</v>
      </c>
      <c r="AC480" t="e">
        <f>VLOOKUP($B480&amp;AC$1,Data!$A$2:$D$3723,4,FALSE)</f>
        <v>#N/A</v>
      </c>
      <c r="AD480" t="e">
        <f>VLOOKUP($B480&amp;AD$1,Data!$A$2:$D$3723,4,FALSE)</f>
        <v>#N/A</v>
      </c>
      <c r="AE480" t="e">
        <f>VLOOKUP($B480&amp;AE$1,Data!$A$2:$D$3723,4,FALSE)</f>
        <v>#N/A</v>
      </c>
      <c r="AF480" t="e">
        <f>VLOOKUP($B480&amp;AF$1,Data!$A$2:$D$3723,4,FALSE)</f>
        <v>#N/A</v>
      </c>
      <c r="AG480" t="e">
        <f>VLOOKUP($B480&amp;AG$1,Data!$A$2:$D$3723,4,FALSE)</f>
        <v>#N/A</v>
      </c>
      <c r="AH480" t="e">
        <f>VLOOKUP($B480&amp;AH$1,Data!$A$2:$D$3723,4,FALSE)</f>
        <v>#N/A</v>
      </c>
      <c r="AI480" t="e">
        <f>VLOOKUP($B480&amp;AI$1,Data!$A$2:$D$3723,4,FALSE)</f>
        <v>#N/A</v>
      </c>
    </row>
    <row r="481" spans="2:35" hidden="1">
      <c r="B481" s="13">
        <v>480</v>
      </c>
      <c r="C481" s="13" t="s">
        <v>56</v>
      </c>
      <c r="D481" t="s">
        <v>7</v>
      </c>
      <c r="E481" t="s">
        <v>3</v>
      </c>
      <c r="F481">
        <v>5000</v>
      </c>
      <c r="G481" t="s">
        <v>17</v>
      </c>
      <c r="H481" s="5">
        <v>43831</v>
      </c>
      <c r="I481" s="5">
        <v>44562</v>
      </c>
      <c r="J481">
        <v>14</v>
      </c>
      <c r="K481">
        <v>9</v>
      </c>
      <c r="L481">
        <v>28</v>
      </c>
      <c r="M481">
        <v>72</v>
      </c>
      <c r="N481">
        <v>1000000</v>
      </c>
      <c r="O481" t="e">
        <f>VLOOKUP($B481&amp;O$1,Data!$A$2:$D$3723,4,FALSE)</f>
        <v>#N/A</v>
      </c>
      <c r="P481" t="e">
        <f>VLOOKUP($B481&amp;P$1,Data!$A$2:$D$3723,4,FALSE)</f>
        <v>#N/A</v>
      </c>
      <c r="Q481" t="e">
        <f>VLOOKUP($B481&amp;Q$1,Data!$A$2:$D$3723,4,FALSE)</f>
        <v>#N/A</v>
      </c>
      <c r="R481" t="e">
        <f>VLOOKUP($B481&amp;R$1,Data!$A$2:$D$3723,4,FALSE)</f>
        <v>#N/A</v>
      </c>
      <c r="S481" t="e">
        <f>VLOOKUP($B481&amp;S$1,Data!$A$2:$D$3723,4,FALSE)</f>
        <v>#N/A</v>
      </c>
      <c r="T481" t="e">
        <f>VLOOKUP($B481&amp;T$1,Data!$A$2:$D$3723,4,FALSE)</f>
        <v>#N/A</v>
      </c>
      <c r="U481" t="e">
        <f>VLOOKUP($B481&amp;U$1,Data!$A$2:$D$3723,4,FALSE)</f>
        <v>#N/A</v>
      </c>
      <c r="V481" t="e">
        <f>VLOOKUP($B481&amp;V$1,Data!$A$2:$D$3723,4,FALSE)</f>
        <v>#N/A</v>
      </c>
      <c r="W481" t="e">
        <f>VLOOKUP($B481&amp;W$1,Data!$A$2:$D$3723,4,FALSE)</f>
        <v>#N/A</v>
      </c>
      <c r="X481" t="e">
        <f>VLOOKUP($B481&amp;X$1,Data!$A$2:$D$3723,4,FALSE)</f>
        <v>#N/A</v>
      </c>
      <c r="Y481" t="e">
        <f>VLOOKUP($B481&amp;Y$1,Data!$A$2:$D$3723,4,FALSE)</f>
        <v>#N/A</v>
      </c>
      <c r="Z481" t="e">
        <f>VLOOKUP($B481&amp;Z$1,Data!$A$2:$D$3723,4,FALSE)</f>
        <v>#N/A</v>
      </c>
      <c r="AA481" t="e">
        <f>VLOOKUP($B481&amp;AA$1,Data!$A$2:$D$3723,4,FALSE)</f>
        <v>#N/A</v>
      </c>
      <c r="AB481" t="e">
        <f>VLOOKUP($B481&amp;AB$1,Data!$A$2:$D$3723,4,FALSE)</f>
        <v>#N/A</v>
      </c>
      <c r="AC481" t="e">
        <f>VLOOKUP($B481&amp;AC$1,Data!$A$2:$D$3723,4,FALSE)</f>
        <v>#N/A</v>
      </c>
      <c r="AD481" t="e">
        <f>VLOOKUP($B481&amp;AD$1,Data!$A$2:$D$3723,4,FALSE)</f>
        <v>#N/A</v>
      </c>
      <c r="AE481" t="e">
        <f>VLOOKUP($B481&amp;AE$1,Data!$A$2:$D$3723,4,FALSE)</f>
        <v>#N/A</v>
      </c>
      <c r="AF481" t="e">
        <f>VLOOKUP($B481&amp;AF$1,Data!$A$2:$D$3723,4,FALSE)</f>
        <v>#N/A</v>
      </c>
      <c r="AG481" t="e">
        <f>VLOOKUP($B481&amp;AG$1,Data!$A$2:$D$3723,4,FALSE)</f>
        <v>#N/A</v>
      </c>
      <c r="AH481" t="e">
        <f>VLOOKUP($B481&amp;AH$1,Data!$A$2:$D$3723,4,FALSE)</f>
        <v>#N/A</v>
      </c>
      <c r="AI481" t="e">
        <f>VLOOKUP($B481&amp;AI$1,Data!$A$2:$D$3723,4,FALSE)</f>
        <v>#N/A</v>
      </c>
    </row>
    <row r="482" spans="2:35" hidden="1">
      <c r="B482" s="13">
        <v>481</v>
      </c>
      <c r="C482" s="13" t="s">
        <v>56</v>
      </c>
      <c r="D482" t="s">
        <v>7</v>
      </c>
      <c r="E482" t="s">
        <v>2</v>
      </c>
      <c r="F482">
        <v>100</v>
      </c>
      <c r="G482" t="s">
        <v>17</v>
      </c>
      <c r="H482" s="5">
        <v>43831</v>
      </c>
      <c r="I482" s="5">
        <v>44562</v>
      </c>
      <c r="J482">
        <v>14</v>
      </c>
      <c r="K482">
        <v>9</v>
      </c>
      <c r="L482">
        <v>28</v>
      </c>
      <c r="M482">
        <v>72</v>
      </c>
      <c r="N482">
        <v>1000000</v>
      </c>
      <c r="O482" t="e">
        <f>VLOOKUP($B482&amp;O$1,Data!$A$2:$D$3723,4,FALSE)</f>
        <v>#N/A</v>
      </c>
      <c r="P482" t="e">
        <f>VLOOKUP($B482&amp;P$1,Data!$A$2:$D$3723,4,FALSE)</f>
        <v>#N/A</v>
      </c>
      <c r="Q482" t="e">
        <f>VLOOKUP($B482&amp;Q$1,Data!$A$2:$D$3723,4,FALSE)</f>
        <v>#N/A</v>
      </c>
      <c r="R482" t="e">
        <f>VLOOKUP($B482&amp;R$1,Data!$A$2:$D$3723,4,FALSE)</f>
        <v>#N/A</v>
      </c>
      <c r="S482" t="e">
        <f>VLOOKUP($B482&amp;S$1,Data!$A$2:$D$3723,4,FALSE)</f>
        <v>#N/A</v>
      </c>
      <c r="T482" t="e">
        <f>VLOOKUP($B482&amp;T$1,Data!$A$2:$D$3723,4,FALSE)</f>
        <v>#N/A</v>
      </c>
      <c r="U482" t="e">
        <f>VLOOKUP($B482&amp;U$1,Data!$A$2:$D$3723,4,FALSE)</f>
        <v>#N/A</v>
      </c>
      <c r="V482" t="e">
        <f>VLOOKUP($B482&amp;V$1,Data!$A$2:$D$3723,4,FALSE)</f>
        <v>#N/A</v>
      </c>
      <c r="W482" t="e">
        <f>VLOOKUP($B482&amp;W$1,Data!$A$2:$D$3723,4,FALSE)</f>
        <v>#N/A</v>
      </c>
      <c r="X482" t="e">
        <f>VLOOKUP($B482&amp;X$1,Data!$A$2:$D$3723,4,FALSE)</f>
        <v>#N/A</v>
      </c>
      <c r="Y482" t="e">
        <f>VLOOKUP($B482&amp;Y$1,Data!$A$2:$D$3723,4,FALSE)</f>
        <v>#N/A</v>
      </c>
      <c r="Z482" t="e">
        <f>VLOOKUP($B482&amp;Z$1,Data!$A$2:$D$3723,4,FALSE)</f>
        <v>#N/A</v>
      </c>
      <c r="AA482" t="e">
        <f>VLOOKUP($B482&amp;AA$1,Data!$A$2:$D$3723,4,FALSE)</f>
        <v>#N/A</v>
      </c>
      <c r="AB482" t="e">
        <f>VLOOKUP($B482&amp;AB$1,Data!$A$2:$D$3723,4,FALSE)</f>
        <v>#N/A</v>
      </c>
      <c r="AC482" t="e">
        <f>VLOOKUP($B482&amp;AC$1,Data!$A$2:$D$3723,4,FALSE)</f>
        <v>#N/A</v>
      </c>
      <c r="AD482" t="e">
        <f>VLOOKUP($B482&amp;AD$1,Data!$A$2:$D$3723,4,FALSE)</f>
        <v>#N/A</v>
      </c>
      <c r="AE482" t="e">
        <f>VLOOKUP($B482&amp;AE$1,Data!$A$2:$D$3723,4,FALSE)</f>
        <v>#N/A</v>
      </c>
      <c r="AF482" t="e">
        <f>VLOOKUP($B482&amp;AF$1,Data!$A$2:$D$3723,4,FALSE)</f>
        <v>#N/A</v>
      </c>
      <c r="AG482" t="e">
        <f>VLOOKUP($B482&amp;AG$1,Data!$A$2:$D$3723,4,FALSE)</f>
        <v>#N/A</v>
      </c>
      <c r="AH482" t="e">
        <f>VLOOKUP($B482&amp;AH$1,Data!$A$2:$D$3723,4,FALSE)</f>
        <v>#N/A</v>
      </c>
      <c r="AI482" t="e">
        <f>VLOOKUP($B482&amp;AI$1,Data!$A$2:$D$3723,4,FALSE)</f>
        <v>#N/A</v>
      </c>
    </row>
    <row r="483" spans="2:35" hidden="1">
      <c r="B483" s="13">
        <v>482</v>
      </c>
      <c r="C483" s="13" t="s">
        <v>56</v>
      </c>
      <c r="D483" t="s">
        <v>7</v>
      </c>
      <c r="E483" t="s">
        <v>2</v>
      </c>
      <c r="F483">
        <v>1000</v>
      </c>
      <c r="G483" t="s">
        <v>17</v>
      </c>
      <c r="H483" s="5">
        <v>43831</v>
      </c>
      <c r="I483" s="5">
        <v>44562</v>
      </c>
      <c r="J483">
        <v>14</v>
      </c>
      <c r="K483">
        <v>9</v>
      </c>
      <c r="L483">
        <v>28</v>
      </c>
      <c r="M483">
        <v>72</v>
      </c>
      <c r="N483">
        <v>1000000</v>
      </c>
      <c r="O483" t="e">
        <f>VLOOKUP($B483&amp;O$1,Data!$A$2:$D$3723,4,FALSE)</f>
        <v>#N/A</v>
      </c>
      <c r="P483" t="e">
        <f>VLOOKUP($B483&amp;P$1,Data!$A$2:$D$3723,4,FALSE)</f>
        <v>#N/A</v>
      </c>
      <c r="Q483" t="e">
        <f>VLOOKUP($B483&amp;Q$1,Data!$A$2:$D$3723,4,FALSE)</f>
        <v>#N/A</v>
      </c>
      <c r="R483" t="e">
        <f>VLOOKUP($B483&amp;R$1,Data!$A$2:$D$3723,4,FALSE)</f>
        <v>#N/A</v>
      </c>
      <c r="S483" t="e">
        <f>VLOOKUP($B483&amp;S$1,Data!$A$2:$D$3723,4,FALSE)</f>
        <v>#N/A</v>
      </c>
      <c r="T483" t="e">
        <f>VLOOKUP($B483&amp;T$1,Data!$A$2:$D$3723,4,FALSE)</f>
        <v>#N/A</v>
      </c>
      <c r="U483" t="e">
        <f>VLOOKUP($B483&amp;U$1,Data!$A$2:$D$3723,4,FALSE)</f>
        <v>#N/A</v>
      </c>
      <c r="V483" t="e">
        <f>VLOOKUP($B483&amp;V$1,Data!$A$2:$D$3723,4,FALSE)</f>
        <v>#N/A</v>
      </c>
      <c r="W483" t="e">
        <f>VLOOKUP($B483&amp;W$1,Data!$A$2:$D$3723,4,FALSE)</f>
        <v>#N/A</v>
      </c>
      <c r="X483" t="e">
        <f>VLOOKUP($B483&amp;X$1,Data!$A$2:$D$3723,4,FALSE)</f>
        <v>#N/A</v>
      </c>
      <c r="Y483" t="e">
        <f>VLOOKUP($B483&amp;Y$1,Data!$A$2:$D$3723,4,FALSE)</f>
        <v>#N/A</v>
      </c>
      <c r="Z483" t="e">
        <f>VLOOKUP($B483&amp;Z$1,Data!$A$2:$D$3723,4,FALSE)</f>
        <v>#N/A</v>
      </c>
      <c r="AA483" t="e">
        <f>VLOOKUP($B483&amp;AA$1,Data!$A$2:$D$3723,4,FALSE)</f>
        <v>#N/A</v>
      </c>
      <c r="AB483" t="e">
        <f>VLOOKUP($B483&amp;AB$1,Data!$A$2:$D$3723,4,FALSE)</f>
        <v>#N/A</v>
      </c>
      <c r="AC483" t="e">
        <f>VLOOKUP($B483&amp;AC$1,Data!$A$2:$D$3723,4,FALSE)</f>
        <v>#N/A</v>
      </c>
      <c r="AD483" t="e">
        <f>VLOOKUP($B483&amp;AD$1,Data!$A$2:$D$3723,4,FALSE)</f>
        <v>#N/A</v>
      </c>
      <c r="AE483" t="e">
        <f>VLOOKUP($B483&amp;AE$1,Data!$A$2:$D$3723,4,FALSE)</f>
        <v>#N/A</v>
      </c>
      <c r="AF483" t="e">
        <f>VLOOKUP($B483&amp;AF$1,Data!$A$2:$D$3723,4,FALSE)</f>
        <v>#N/A</v>
      </c>
      <c r="AG483" t="e">
        <f>VLOOKUP($B483&amp;AG$1,Data!$A$2:$D$3723,4,FALSE)</f>
        <v>#N/A</v>
      </c>
      <c r="AH483" t="e">
        <f>VLOOKUP($B483&amp;AH$1,Data!$A$2:$D$3723,4,FALSE)</f>
        <v>#N/A</v>
      </c>
      <c r="AI483" t="e">
        <f>VLOOKUP($B483&amp;AI$1,Data!$A$2:$D$3723,4,FALSE)</f>
        <v>#N/A</v>
      </c>
    </row>
    <row r="484" spans="2:35" hidden="1">
      <c r="B484" s="13">
        <v>483</v>
      </c>
      <c r="C484" s="13" t="s">
        <v>56</v>
      </c>
      <c r="D484" t="s">
        <v>7</v>
      </c>
      <c r="E484" t="s">
        <v>2</v>
      </c>
      <c r="F484">
        <v>5000</v>
      </c>
      <c r="G484" t="s">
        <v>17</v>
      </c>
      <c r="H484" s="5">
        <v>43831</v>
      </c>
      <c r="I484" s="5">
        <v>44562</v>
      </c>
      <c r="J484">
        <v>14</v>
      </c>
      <c r="K484">
        <v>9</v>
      </c>
      <c r="L484">
        <v>28</v>
      </c>
      <c r="M484">
        <v>72</v>
      </c>
      <c r="N484">
        <v>1000000</v>
      </c>
      <c r="O484" t="e">
        <f>VLOOKUP($B484&amp;O$1,Data!$A$2:$D$3723,4,FALSE)</f>
        <v>#N/A</v>
      </c>
      <c r="P484" t="e">
        <f>VLOOKUP($B484&amp;P$1,Data!$A$2:$D$3723,4,FALSE)</f>
        <v>#N/A</v>
      </c>
      <c r="Q484" t="e">
        <f>VLOOKUP($B484&amp;Q$1,Data!$A$2:$D$3723,4,FALSE)</f>
        <v>#N/A</v>
      </c>
      <c r="R484" t="e">
        <f>VLOOKUP($B484&amp;R$1,Data!$A$2:$D$3723,4,FALSE)</f>
        <v>#N/A</v>
      </c>
      <c r="S484" t="e">
        <f>VLOOKUP($B484&amp;S$1,Data!$A$2:$D$3723,4,FALSE)</f>
        <v>#N/A</v>
      </c>
      <c r="T484" t="e">
        <f>VLOOKUP($B484&amp;T$1,Data!$A$2:$D$3723,4,FALSE)</f>
        <v>#N/A</v>
      </c>
      <c r="U484" t="e">
        <f>VLOOKUP($B484&amp;U$1,Data!$A$2:$D$3723,4,FALSE)</f>
        <v>#N/A</v>
      </c>
      <c r="V484" t="e">
        <f>VLOOKUP($B484&amp;V$1,Data!$A$2:$D$3723,4,FALSE)</f>
        <v>#N/A</v>
      </c>
      <c r="W484" t="e">
        <f>VLOOKUP($B484&amp;W$1,Data!$A$2:$D$3723,4,FALSE)</f>
        <v>#N/A</v>
      </c>
      <c r="X484" t="e">
        <f>VLOOKUP($B484&amp;X$1,Data!$A$2:$D$3723,4,FALSE)</f>
        <v>#N/A</v>
      </c>
      <c r="Y484" t="e">
        <f>VLOOKUP($B484&amp;Y$1,Data!$A$2:$D$3723,4,FALSE)</f>
        <v>#N/A</v>
      </c>
      <c r="Z484" t="e">
        <f>VLOOKUP($B484&amp;Z$1,Data!$A$2:$D$3723,4,FALSE)</f>
        <v>#N/A</v>
      </c>
      <c r="AA484" t="e">
        <f>VLOOKUP($B484&amp;AA$1,Data!$A$2:$D$3723,4,FALSE)</f>
        <v>#N/A</v>
      </c>
      <c r="AB484" t="e">
        <f>VLOOKUP($B484&amp;AB$1,Data!$A$2:$D$3723,4,FALSE)</f>
        <v>#N/A</v>
      </c>
      <c r="AC484" t="e">
        <f>VLOOKUP($B484&amp;AC$1,Data!$A$2:$D$3723,4,FALSE)</f>
        <v>#N/A</v>
      </c>
      <c r="AD484" t="e">
        <f>VLOOKUP($B484&amp;AD$1,Data!$A$2:$D$3723,4,FALSE)</f>
        <v>#N/A</v>
      </c>
      <c r="AE484" t="e">
        <f>VLOOKUP($B484&amp;AE$1,Data!$A$2:$D$3723,4,FALSE)</f>
        <v>#N/A</v>
      </c>
      <c r="AF484" t="e">
        <f>VLOOKUP($B484&amp;AF$1,Data!$A$2:$D$3723,4,FALSE)</f>
        <v>#N/A</v>
      </c>
      <c r="AG484" t="e">
        <f>VLOOKUP($B484&amp;AG$1,Data!$A$2:$D$3723,4,FALSE)</f>
        <v>#N/A</v>
      </c>
      <c r="AH484" t="e">
        <f>VLOOKUP($B484&amp;AH$1,Data!$A$2:$D$3723,4,FALSE)</f>
        <v>#N/A</v>
      </c>
      <c r="AI484" t="e">
        <f>VLOOKUP($B484&amp;AI$1,Data!$A$2:$D$3723,4,FALSE)</f>
        <v>#N/A</v>
      </c>
    </row>
    <row r="485" spans="2:35" hidden="1">
      <c r="B485" s="13">
        <v>484</v>
      </c>
      <c r="C485" s="13" t="s">
        <v>56</v>
      </c>
      <c r="D485" t="s">
        <v>7</v>
      </c>
      <c r="E485" t="s">
        <v>22</v>
      </c>
      <c r="F485">
        <v>100</v>
      </c>
      <c r="G485" t="s">
        <v>17</v>
      </c>
      <c r="H485" s="5">
        <v>43831</v>
      </c>
      <c r="I485" s="5">
        <v>44562</v>
      </c>
      <c r="J485">
        <v>14</v>
      </c>
      <c r="K485">
        <v>9</v>
      </c>
      <c r="L485">
        <v>28</v>
      </c>
      <c r="M485">
        <v>72</v>
      </c>
      <c r="N485">
        <v>1000000</v>
      </c>
      <c r="O485" t="e">
        <f>VLOOKUP($B485&amp;O$1,Data!$A$2:$D$3723,4,FALSE)</f>
        <v>#N/A</v>
      </c>
      <c r="P485" t="e">
        <f>VLOOKUP($B485&amp;P$1,Data!$A$2:$D$3723,4,FALSE)</f>
        <v>#N/A</v>
      </c>
      <c r="Q485" t="e">
        <f>VLOOKUP($B485&amp;Q$1,Data!$A$2:$D$3723,4,FALSE)</f>
        <v>#N/A</v>
      </c>
      <c r="R485" t="e">
        <f>VLOOKUP($B485&amp;R$1,Data!$A$2:$D$3723,4,FALSE)</f>
        <v>#N/A</v>
      </c>
      <c r="S485" t="e">
        <f>VLOOKUP($B485&amp;S$1,Data!$A$2:$D$3723,4,FALSE)</f>
        <v>#N/A</v>
      </c>
      <c r="T485" t="e">
        <f>VLOOKUP($B485&amp;T$1,Data!$A$2:$D$3723,4,FALSE)</f>
        <v>#N/A</v>
      </c>
      <c r="U485" t="e">
        <f>VLOOKUP($B485&amp;U$1,Data!$A$2:$D$3723,4,FALSE)</f>
        <v>#N/A</v>
      </c>
      <c r="V485" t="e">
        <f>VLOOKUP($B485&amp;V$1,Data!$A$2:$D$3723,4,FALSE)</f>
        <v>#N/A</v>
      </c>
      <c r="W485" t="e">
        <f>VLOOKUP($B485&amp;W$1,Data!$A$2:$D$3723,4,FALSE)</f>
        <v>#N/A</v>
      </c>
      <c r="X485" t="e">
        <f>VLOOKUP($B485&amp;X$1,Data!$A$2:$D$3723,4,FALSE)</f>
        <v>#N/A</v>
      </c>
      <c r="Y485" t="e">
        <f>VLOOKUP($B485&amp;Y$1,Data!$A$2:$D$3723,4,FALSE)</f>
        <v>#N/A</v>
      </c>
      <c r="Z485" t="e">
        <f>VLOOKUP($B485&amp;Z$1,Data!$A$2:$D$3723,4,FALSE)</f>
        <v>#N/A</v>
      </c>
      <c r="AA485" t="e">
        <f>VLOOKUP($B485&amp;AA$1,Data!$A$2:$D$3723,4,FALSE)</f>
        <v>#N/A</v>
      </c>
      <c r="AB485" t="e">
        <f>VLOOKUP($B485&amp;AB$1,Data!$A$2:$D$3723,4,FALSE)</f>
        <v>#N/A</v>
      </c>
      <c r="AC485" t="e">
        <f>VLOOKUP($B485&amp;AC$1,Data!$A$2:$D$3723,4,FALSE)</f>
        <v>#N/A</v>
      </c>
      <c r="AD485" t="e">
        <f>VLOOKUP($B485&amp;AD$1,Data!$A$2:$D$3723,4,FALSE)</f>
        <v>#N/A</v>
      </c>
      <c r="AE485" t="e">
        <f>VLOOKUP($B485&amp;AE$1,Data!$A$2:$D$3723,4,FALSE)</f>
        <v>#N/A</v>
      </c>
      <c r="AF485" t="e">
        <f>VLOOKUP($B485&amp;AF$1,Data!$A$2:$D$3723,4,FALSE)</f>
        <v>#N/A</v>
      </c>
      <c r="AG485" t="e">
        <f>VLOOKUP($B485&amp;AG$1,Data!$A$2:$D$3723,4,FALSE)</f>
        <v>#N/A</v>
      </c>
      <c r="AH485" t="e">
        <f>VLOOKUP($B485&amp;AH$1,Data!$A$2:$D$3723,4,FALSE)</f>
        <v>#N/A</v>
      </c>
      <c r="AI485" t="e">
        <f>VLOOKUP($B485&amp;AI$1,Data!$A$2:$D$3723,4,FALSE)</f>
        <v>#N/A</v>
      </c>
    </row>
    <row r="486" spans="2:35" hidden="1">
      <c r="B486" s="13">
        <v>485</v>
      </c>
      <c r="C486" s="13" t="s">
        <v>56</v>
      </c>
      <c r="D486" t="s">
        <v>7</v>
      </c>
      <c r="E486" t="s">
        <v>22</v>
      </c>
      <c r="F486">
        <v>1000</v>
      </c>
      <c r="G486" t="s">
        <v>17</v>
      </c>
      <c r="H486" s="5">
        <v>43831</v>
      </c>
      <c r="I486" s="5">
        <v>44562</v>
      </c>
      <c r="J486">
        <v>14</v>
      </c>
      <c r="K486">
        <v>9</v>
      </c>
      <c r="L486">
        <v>28</v>
      </c>
      <c r="M486">
        <v>72</v>
      </c>
      <c r="N486">
        <v>1000000</v>
      </c>
      <c r="O486" t="e">
        <f>VLOOKUP($B486&amp;O$1,Data!$A$2:$D$3723,4,FALSE)</f>
        <v>#N/A</v>
      </c>
      <c r="P486" t="e">
        <f>VLOOKUP($B486&amp;P$1,Data!$A$2:$D$3723,4,FALSE)</f>
        <v>#N/A</v>
      </c>
      <c r="Q486" t="e">
        <f>VLOOKUP($B486&amp;Q$1,Data!$A$2:$D$3723,4,FALSE)</f>
        <v>#N/A</v>
      </c>
      <c r="R486" t="e">
        <f>VLOOKUP($B486&amp;R$1,Data!$A$2:$D$3723,4,FALSE)</f>
        <v>#N/A</v>
      </c>
      <c r="S486" t="e">
        <f>VLOOKUP($B486&amp;S$1,Data!$A$2:$D$3723,4,FALSE)</f>
        <v>#N/A</v>
      </c>
      <c r="T486" t="e">
        <f>VLOOKUP($B486&amp;T$1,Data!$A$2:$D$3723,4,FALSE)</f>
        <v>#N/A</v>
      </c>
      <c r="U486" t="e">
        <f>VLOOKUP($B486&amp;U$1,Data!$A$2:$D$3723,4,FALSE)</f>
        <v>#N/A</v>
      </c>
      <c r="V486" t="e">
        <f>VLOOKUP($B486&amp;V$1,Data!$A$2:$D$3723,4,FALSE)</f>
        <v>#N/A</v>
      </c>
      <c r="W486" t="e">
        <f>VLOOKUP($B486&amp;W$1,Data!$A$2:$D$3723,4,FALSE)</f>
        <v>#N/A</v>
      </c>
      <c r="X486" t="e">
        <f>VLOOKUP($B486&amp;X$1,Data!$A$2:$D$3723,4,FALSE)</f>
        <v>#N/A</v>
      </c>
      <c r="Y486" t="e">
        <f>VLOOKUP($B486&amp;Y$1,Data!$A$2:$D$3723,4,FALSE)</f>
        <v>#N/A</v>
      </c>
      <c r="Z486" t="e">
        <f>VLOOKUP($B486&amp;Z$1,Data!$A$2:$D$3723,4,FALSE)</f>
        <v>#N/A</v>
      </c>
      <c r="AA486" t="e">
        <f>VLOOKUP($B486&amp;AA$1,Data!$A$2:$D$3723,4,FALSE)</f>
        <v>#N/A</v>
      </c>
      <c r="AB486" t="e">
        <f>VLOOKUP($B486&amp;AB$1,Data!$A$2:$D$3723,4,FALSE)</f>
        <v>#N/A</v>
      </c>
      <c r="AC486" t="e">
        <f>VLOOKUP($B486&amp;AC$1,Data!$A$2:$D$3723,4,FALSE)</f>
        <v>#N/A</v>
      </c>
      <c r="AD486" t="e">
        <f>VLOOKUP($B486&amp;AD$1,Data!$A$2:$D$3723,4,FALSE)</f>
        <v>#N/A</v>
      </c>
      <c r="AE486" t="e">
        <f>VLOOKUP($B486&amp;AE$1,Data!$A$2:$D$3723,4,FALSE)</f>
        <v>#N/A</v>
      </c>
      <c r="AF486" t="e">
        <f>VLOOKUP($B486&amp;AF$1,Data!$A$2:$D$3723,4,FALSE)</f>
        <v>#N/A</v>
      </c>
      <c r="AG486" t="e">
        <f>VLOOKUP($B486&amp;AG$1,Data!$A$2:$D$3723,4,FALSE)</f>
        <v>#N/A</v>
      </c>
      <c r="AH486" t="e">
        <f>VLOOKUP($B486&amp;AH$1,Data!$A$2:$D$3723,4,FALSE)</f>
        <v>#N/A</v>
      </c>
      <c r="AI486" t="e">
        <f>VLOOKUP($B486&amp;AI$1,Data!$A$2:$D$3723,4,FALSE)</f>
        <v>#N/A</v>
      </c>
    </row>
    <row r="487" spans="2:35" hidden="1">
      <c r="B487" s="13">
        <v>486</v>
      </c>
      <c r="C487" s="13" t="s">
        <v>56</v>
      </c>
      <c r="D487" t="s">
        <v>7</v>
      </c>
      <c r="E487" t="s">
        <v>22</v>
      </c>
      <c r="F487">
        <v>5000</v>
      </c>
      <c r="G487" t="s">
        <v>17</v>
      </c>
      <c r="H487" s="5">
        <v>43831</v>
      </c>
      <c r="I487" s="5">
        <v>44562</v>
      </c>
      <c r="J487">
        <v>14</v>
      </c>
      <c r="K487">
        <v>9</v>
      </c>
      <c r="L487">
        <v>28</v>
      </c>
      <c r="M487">
        <v>72</v>
      </c>
      <c r="N487">
        <v>1000000</v>
      </c>
      <c r="O487" t="e">
        <f>VLOOKUP($B487&amp;O$1,Data!$A$2:$D$3723,4,FALSE)</f>
        <v>#N/A</v>
      </c>
      <c r="P487" t="e">
        <f>VLOOKUP($B487&amp;P$1,Data!$A$2:$D$3723,4,FALSE)</f>
        <v>#N/A</v>
      </c>
      <c r="Q487" t="e">
        <f>VLOOKUP($B487&amp;Q$1,Data!$A$2:$D$3723,4,FALSE)</f>
        <v>#N/A</v>
      </c>
      <c r="R487" t="e">
        <f>VLOOKUP($B487&amp;R$1,Data!$A$2:$D$3723,4,FALSE)</f>
        <v>#N/A</v>
      </c>
      <c r="S487" t="e">
        <f>VLOOKUP($B487&amp;S$1,Data!$A$2:$D$3723,4,FALSE)</f>
        <v>#N/A</v>
      </c>
      <c r="T487" t="e">
        <f>VLOOKUP($B487&amp;T$1,Data!$A$2:$D$3723,4,FALSE)</f>
        <v>#N/A</v>
      </c>
      <c r="U487" t="e">
        <f>VLOOKUP($B487&amp;U$1,Data!$A$2:$D$3723,4,FALSE)</f>
        <v>#N/A</v>
      </c>
      <c r="V487" t="e">
        <f>VLOOKUP($B487&amp;V$1,Data!$A$2:$D$3723,4,FALSE)</f>
        <v>#N/A</v>
      </c>
      <c r="W487" t="e">
        <f>VLOOKUP($B487&amp;W$1,Data!$A$2:$D$3723,4,FALSE)</f>
        <v>#N/A</v>
      </c>
      <c r="X487" t="e">
        <f>VLOOKUP($B487&amp;X$1,Data!$A$2:$D$3723,4,FALSE)</f>
        <v>#N/A</v>
      </c>
      <c r="Y487" t="e">
        <f>VLOOKUP($B487&amp;Y$1,Data!$A$2:$D$3723,4,FALSE)</f>
        <v>#N/A</v>
      </c>
      <c r="Z487" t="e">
        <f>VLOOKUP($B487&amp;Z$1,Data!$A$2:$D$3723,4,FALSE)</f>
        <v>#N/A</v>
      </c>
      <c r="AA487" t="e">
        <f>VLOOKUP($B487&amp;AA$1,Data!$A$2:$D$3723,4,FALSE)</f>
        <v>#N/A</v>
      </c>
      <c r="AB487" t="e">
        <f>VLOOKUP($B487&amp;AB$1,Data!$A$2:$D$3723,4,FALSE)</f>
        <v>#N/A</v>
      </c>
      <c r="AC487" t="e">
        <f>VLOOKUP($B487&amp;AC$1,Data!$A$2:$D$3723,4,FALSE)</f>
        <v>#N/A</v>
      </c>
      <c r="AD487" t="e">
        <f>VLOOKUP($B487&amp;AD$1,Data!$A$2:$D$3723,4,FALSE)</f>
        <v>#N/A</v>
      </c>
      <c r="AE487" t="e">
        <f>VLOOKUP($B487&amp;AE$1,Data!$A$2:$D$3723,4,FALSE)</f>
        <v>#N/A</v>
      </c>
      <c r="AF487" t="e">
        <f>VLOOKUP($B487&amp;AF$1,Data!$A$2:$D$3723,4,FALSE)</f>
        <v>#N/A</v>
      </c>
      <c r="AG487" t="e">
        <f>VLOOKUP($B487&amp;AG$1,Data!$A$2:$D$3723,4,FALSE)</f>
        <v>#N/A</v>
      </c>
      <c r="AH487" t="e">
        <f>VLOOKUP($B487&amp;AH$1,Data!$A$2:$D$3723,4,FALSE)</f>
        <v>#N/A</v>
      </c>
      <c r="AI487" t="e">
        <f>VLOOKUP($B487&amp;AI$1,Data!$A$2:$D$3723,4,FALSE)</f>
        <v>#N/A</v>
      </c>
    </row>
    <row r="488" spans="2:35" hidden="1">
      <c r="B488" s="13">
        <v>487</v>
      </c>
      <c r="C488" s="13" t="s">
        <v>56</v>
      </c>
      <c r="D488" t="s">
        <v>19</v>
      </c>
      <c r="E488" t="s">
        <v>3</v>
      </c>
      <c r="F488">
        <v>100</v>
      </c>
      <c r="G488" t="s">
        <v>17</v>
      </c>
      <c r="H488" s="5">
        <v>43831</v>
      </c>
      <c r="I488" s="5">
        <v>44562</v>
      </c>
      <c r="J488">
        <v>14</v>
      </c>
      <c r="K488">
        <v>9</v>
      </c>
      <c r="L488">
        <v>30</v>
      </c>
      <c r="M488">
        <v>70</v>
      </c>
      <c r="N488">
        <v>1000000</v>
      </c>
      <c r="Q488" s="7"/>
      <c r="W488"/>
    </row>
    <row r="489" spans="2:35" hidden="1">
      <c r="B489" s="13">
        <v>488</v>
      </c>
      <c r="C489" s="13" t="s">
        <v>56</v>
      </c>
      <c r="D489" t="s">
        <v>19</v>
      </c>
      <c r="E489" t="s">
        <v>3</v>
      </c>
      <c r="F489">
        <v>1000</v>
      </c>
      <c r="G489" t="s">
        <v>17</v>
      </c>
      <c r="H489" s="5">
        <v>43831</v>
      </c>
      <c r="I489" s="5">
        <v>44562</v>
      </c>
      <c r="J489">
        <v>14</v>
      </c>
      <c r="K489">
        <v>9</v>
      </c>
      <c r="L489">
        <v>30</v>
      </c>
      <c r="M489">
        <v>70</v>
      </c>
      <c r="N489">
        <v>1000000</v>
      </c>
      <c r="Q489" s="7"/>
      <c r="W489"/>
    </row>
    <row r="490" spans="2:35" hidden="1">
      <c r="B490" s="13">
        <v>489</v>
      </c>
      <c r="C490" s="13" t="s">
        <v>56</v>
      </c>
      <c r="D490" t="s">
        <v>19</v>
      </c>
      <c r="E490" t="s">
        <v>3</v>
      </c>
      <c r="F490">
        <v>5000</v>
      </c>
      <c r="G490" t="s">
        <v>17</v>
      </c>
      <c r="H490" s="5">
        <v>43831</v>
      </c>
      <c r="I490" s="5">
        <v>44562</v>
      </c>
      <c r="J490">
        <v>14</v>
      </c>
      <c r="K490">
        <v>9</v>
      </c>
      <c r="L490">
        <v>30</v>
      </c>
      <c r="M490">
        <v>70</v>
      </c>
      <c r="N490">
        <v>1000000</v>
      </c>
      <c r="Q490" s="7"/>
      <c r="W490"/>
    </row>
    <row r="491" spans="2:35" hidden="1">
      <c r="B491" s="13">
        <v>490</v>
      </c>
      <c r="C491" s="13" t="s">
        <v>56</v>
      </c>
      <c r="D491" t="s">
        <v>19</v>
      </c>
      <c r="E491" t="s">
        <v>2</v>
      </c>
      <c r="F491">
        <v>100</v>
      </c>
      <c r="G491" t="s">
        <v>17</v>
      </c>
      <c r="H491" s="5">
        <v>43831</v>
      </c>
      <c r="I491" s="5">
        <v>44562</v>
      </c>
      <c r="J491">
        <v>14</v>
      </c>
      <c r="K491">
        <v>9</v>
      </c>
      <c r="L491">
        <v>30</v>
      </c>
      <c r="M491">
        <v>70</v>
      </c>
      <c r="N491">
        <v>1000000</v>
      </c>
      <c r="Q491" s="7"/>
      <c r="W491"/>
    </row>
    <row r="492" spans="2:35" hidden="1">
      <c r="B492" s="13">
        <v>491</v>
      </c>
      <c r="C492" s="13" t="s">
        <v>56</v>
      </c>
      <c r="D492" t="s">
        <v>19</v>
      </c>
      <c r="E492" t="s">
        <v>2</v>
      </c>
      <c r="F492">
        <v>1000</v>
      </c>
      <c r="G492" t="s">
        <v>17</v>
      </c>
      <c r="H492" s="5">
        <v>43831</v>
      </c>
      <c r="I492" s="5">
        <v>44562</v>
      </c>
      <c r="J492">
        <v>14</v>
      </c>
      <c r="K492">
        <v>9</v>
      </c>
      <c r="L492">
        <v>30</v>
      </c>
      <c r="M492">
        <v>70</v>
      </c>
      <c r="N492">
        <v>1000000</v>
      </c>
      <c r="Q492" s="7"/>
      <c r="W492"/>
    </row>
    <row r="493" spans="2:35" hidden="1">
      <c r="B493" s="13">
        <v>492</v>
      </c>
      <c r="C493" s="13" t="s">
        <v>56</v>
      </c>
      <c r="D493" t="s">
        <v>19</v>
      </c>
      <c r="E493" t="s">
        <v>2</v>
      </c>
      <c r="F493">
        <v>5000</v>
      </c>
      <c r="G493" t="s">
        <v>17</v>
      </c>
      <c r="H493" s="5">
        <v>43831</v>
      </c>
      <c r="I493" s="5">
        <v>44562</v>
      </c>
      <c r="J493">
        <v>14</v>
      </c>
      <c r="K493">
        <v>9</v>
      </c>
      <c r="L493">
        <v>30</v>
      </c>
      <c r="M493">
        <v>70</v>
      </c>
      <c r="N493">
        <v>1000000</v>
      </c>
      <c r="Q493" s="7"/>
      <c r="W493"/>
    </row>
    <row r="494" spans="2:35" hidden="1">
      <c r="B494" s="13">
        <v>493</v>
      </c>
      <c r="C494" s="13" t="s">
        <v>56</v>
      </c>
      <c r="D494" t="s">
        <v>19</v>
      </c>
      <c r="E494" t="s">
        <v>22</v>
      </c>
      <c r="F494">
        <v>100</v>
      </c>
      <c r="G494" t="s">
        <v>17</v>
      </c>
      <c r="H494" s="5">
        <v>43831</v>
      </c>
      <c r="I494" s="5">
        <v>44562</v>
      </c>
      <c r="J494">
        <v>14</v>
      </c>
      <c r="K494">
        <v>9</v>
      </c>
      <c r="L494">
        <v>30</v>
      </c>
      <c r="M494">
        <v>70</v>
      </c>
      <c r="N494">
        <v>1000000</v>
      </c>
      <c r="Q494" s="7"/>
      <c r="W494"/>
    </row>
    <row r="495" spans="2:35" hidden="1">
      <c r="B495" s="13">
        <v>494</v>
      </c>
      <c r="C495" s="13" t="s">
        <v>56</v>
      </c>
      <c r="D495" t="s">
        <v>19</v>
      </c>
      <c r="E495" t="s">
        <v>22</v>
      </c>
      <c r="F495">
        <v>1000</v>
      </c>
      <c r="G495" t="s">
        <v>17</v>
      </c>
      <c r="H495" s="5">
        <v>43831</v>
      </c>
      <c r="I495" s="5">
        <v>44562</v>
      </c>
      <c r="J495">
        <v>14</v>
      </c>
      <c r="K495">
        <v>9</v>
      </c>
      <c r="L495">
        <v>30</v>
      </c>
      <c r="M495">
        <v>70</v>
      </c>
      <c r="N495">
        <v>1000000</v>
      </c>
      <c r="Q495" s="7"/>
      <c r="W495"/>
    </row>
    <row r="496" spans="2:35" hidden="1">
      <c r="B496" s="13">
        <v>495</v>
      </c>
      <c r="C496" s="13" t="s">
        <v>56</v>
      </c>
      <c r="D496" t="s">
        <v>19</v>
      </c>
      <c r="E496" t="s">
        <v>22</v>
      </c>
      <c r="F496">
        <v>5000</v>
      </c>
      <c r="G496" t="s">
        <v>17</v>
      </c>
      <c r="H496" s="5">
        <v>43831</v>
      </c>
      <c r="I496" s="5">
        <v>44562</v>
      </c>
      <c r="J496">
        <v>14</v>
      </c>
      <c r="K496">
        <v>9</v>
      </c>
      <c r="L496">
        <v>30</v>
      </c>
      <c r="M496">
        <v>70</v>
      </c>
      <c r="N496">
        <v>1000000</v>
      </c>
      <c r="Q496" s="7"/>
      <c r="W496"/>
    </row>
    <row r="497" spans="2:35" hidden="1">
      <c r="B497" s="13">
        <v>496</v>
      </c>
      <c r="C497" s="13" t="s">
        <v>56</v>
      </c>
      <c r="D497" t="s">
        <v>19</v>
      </c>
      <c r="E497" t="s">
        <v>3</v>
      </c>
      <c r="F497">
        <v>100</v>
      </c>
      <c r="G497" t="s">
        <v>17</v>
      </c>
      <c r="H497" s="5">
        <v>43831</v>
      </c>
      <c r="I497" s="5">
        <v>44562</v>
      </c>
      <c r="J497">
        <v>14</v>
      </c>
      <c r="K497">
        <v>9</v>
      </c>
      <c r="L497">
        <v>32</v>
      </c>
      <c r="M497">
        <v>68</v>
      </c>
      <c r="N497">
        <v>1000000</v>
      </c>
      <c r="O497" t="e">
        <f>VLOOKUP($B497&amp;O$1,Data!$A$2:$D$3723,4,FALSE)</f>
        <v>#N/A</v>
      </c>
      <c r="P497" t="e">
        <f>VLOOKUP($B497&amp;P$1,Data!$A$2:$D$3723,4,FALSE)</f>
        <v>#N/A</v>
      </c>
      <c r="Q497" t="e">
        <f>VLOOKUP($B497&amp;Q$1,Data!$A$2:$D$3723,4,FALSE)</f>
        <v>#N/A</v>
      </c>
      <c r="R497" t="e">
        <f>VLOOKUP($B497&amp;R$1,Data!$A$2:$D$3723,4,FALSE)</f>
        <v>#N/A</v>
      </c>
      <c r="S497" t="e">
        <f>VLOOKUP($B497&amp;S$1,Data!$A$2:$D$3723,4,FALSE)</f>
        <v>#N/A</v>
      </c>
      <c r="T497" t="e">
        <f>VLOOKUP($B497&amp;T$1,Data!$A$2:$D$3723,4,FALSE)</f>
        <v>#N/A</v>
      </c>
      <c r="U497" t="e">
        <f>VLOOKUP($B497&amp;U$1,Data!$A$2:$D$3723,4,FALSE)</f>
        <v>#N/A</v>
      </c>
      <c r="V497" t="e">
        <f>VLOOKUP($B497&amp;V$1,Data!$A$2:$D$3723,4,FALSE)</f>
        <v>#N/A</v>
      </c>
      <c r="W497" t="e">
        <f>VLOOKUP($B497&amp;W$1,Data!$A$2:$D$3723,4,FALSE)</f>
        <v>#N/A</v>
      </c>
      <c r="X497" t="e">
        <f>VLOOKUP($B497&amp;X$1,Data!$A$2:$D$3723,4,FALSE)</f>
        <v>#N/A</v>
      </c>
      <c r="Y497" t="e">
        <f>VLOOKUP($B497&amp;Y$1,Data!$A$2:$D$3723,4,FALSE)</f>
        <v>#N/A</v>
      </c>
      <c r="Z497" t="e">
        <f>VLOOKUP($B497&amp;Z$1,Data!$A$2:$D$3723,4,FALSE)</f>
        <v>#N/A</v>
      </c>
      <c r="AA497" t="e">
        <f>VLOOKUP($B497&amp;AA$1,Data!$A$2:$D$3723,4,FALSE)</f>
        <v>#N/A</v>
      </c>
      <c r="AB497" t="e">
        <f>VLOOKUP($B497&amp;AB$1,Data!$A$2:$D$3723,4,FALSE)</f>
        <v>#N/A</v>
      </c>
      <c r="AC497" t="e">
        <f>VLOOKUP($B497&amp;AC$1,Data!$A$2:$D$3723,4,FALSE)</f>
        <v>#N/A</v>
      </c>
      <c r="AD497" t="e">
        <f>VLOOKUP($B497&amp;AD$1,Data!$A$2:$D$3723,4,FALSE)</f>
        <v>#N/A</v>
      </c>
      <c r="AE497" t="e">
        <f>VLOOKUP($B497&amp;AE$1,Data!$A$2:$D$3723,4,FALSE)</f>
        <v>#N/A</v>
      </c>
      <c r="AF497" t="e">
        <f>VLOOKUP($B497&amp;AF$1,Data!$A$2:$D$3723,4,FALSE)</f>
        <v>#N/A</v>
      </c>
      <c r="AG497" t="e">
        <f>VLOOKUP($B497&amp;AG$1,Data!$A$2:$D$3723,4,FALSE)</f>
        <v>#N/A</v>
      </c>
      <c r="AH497" t="e">
        <f>VLOOKUP($B497&amp;AH$1,Data!$A$2:$D$3723,4,FALSE)</f>
        <v>#N/A</v>
      </c>
      <c r="AI497" t="e">
        <f>VLOOKUP($B497&amp;AI$1,Data!$A$2:$D$3723,4,FALSE)</f>
        <v>#N/A</v>
      </c>
    </row>
    <row r="498" spans="2:35" hidden="1">
      <c r="B498" s="13">
        <v>497</v>
      </c>
      <c r="C498" s="13" t="s">
        <v>56</v>
      </c>
      <c r="D498" t="s">
        <v>19</v>
      </c>
      <c r="E498" t="s">
        <v>3</v>
      </c>
      <c r="F498">
        <v>1000</v>
      </c>
      <c r="G498" t="s">
        <v>17</v>
      </c>
      <c r="H498" s="5">
        <v>43831</v>
      </c>
      <c r="I498" s="5">
        <v>44562</v>
      </c>
      <c r="J498">
        <v>14</v>
      </c>
      <c r="K498">
        <v>9</v>
      </c>
      <c r="L498">
        <v>32</v>
      </c>
      <c r="M498">
        <v>68</v>
      </c>
      <c r="N498">
        <v>1000000</v>
      </c>
      <c r="O498" t="e">
        <f>VLOOKUP($B498&amp;O$1,Data!$A$2:$D$3723,4,FALSE)</f>
        <v>#N/A</v>
      </c>
      <c r="P498" t="e">
        <f>VLOOKUP($B498&amp;P$1,Data!$A$2:$D$3723,4,FALSE)</f>
        <v>#N/A</v>
      </c>
      <c r="Q498" t="e">
        <f>VLOOKUP($B498&amp;Q$1,Data!$A$2:$D$3723,4,FALSE)</f>
        <v>#N/A</v>
      </c>
      <c r="R498" t="e">
        <f>VLOOKUP($B498&amp;R$1,Data!$A$2:$D$3723,4,FALSE)</f>
        <v>#N/A</v>
      </c>
      <c r="S498" t="e">
        <f>VLOOKUP($B498&amp;S$1,Data!$A$2:$D$3723,4,FALSE)</f>
        <v>#N/A</v>
      </c>
      <c r="T498" t="e">
        <f>VLOOKUP($B498&amp;T$1,Data!$A$2:$D$3723,4,FALSE)</f>
        <v>#N/A</v>
      </c>
      <c r="U498" t="e">
        <f>VLOOKUP($B498&amp;U$1,Data!$A$2:$D$3723,4,FALSE)</f>
        <v>#N/A</v>
      </c>
      <c r="V498" t="e">
        <f>VLOOKUP($B498&amp;V$1,Data!$A$2:$D$3723,4,FALSE)</f>
        <v>#N/A</v>
      </c>
      <c r="W498" t="e">
        <f>VLOOKUP($B498&amp;W$1,Data!$A$2:$D$3723,4,FALSE)</f>
        <v>#N/A</v>
      </c>
      <c r="X498" t="e">
        <f>VLOOKUP($B498&amp;X$1,Data!$A$2:$D$3723,4,FALSE)</f>
        <v>#N/A</v>
      </c>
      <c r="Y498" t="e">
        <f>VLOOKUP($B498&amp;Y$1,Data!$A$2:$D$3723,4,FALSE)</f>
        <v>#N/A</v>
      </c>
      <c r="Z498" t="e">
        <f>VLOOKUP($B498&amp;Z$1,Data!$A$2:$D$3723,4,FALSE)</f>
        <v>#N/A</v>
      </c>
      <c r="AA498" t="e">
        <f>VLOOKUP($B498&amp;AA$1,Data!$A$2:$D$3723,4,FALSE)</f>
        <v>#N/A</v>
      </c>
      <c r="AB498" t="e">
        <f>VLOOKUP($B498&amp;AB$1,Data!$A$2:$D$3723,4,FALSE)</f>
        <v>#N/A</v>
      </c>
      <c r="AC498" t="e">
        <f>VLOOKUP($B498&amp;AC$1,Data!$A$2:$D$3723,4,FALSE)</f>
        <v>#N/A</v>
      </c>
      <c r="AD498" t="e">
        <f>VLOOKUP($B498&amp;AD$1,Data!$A$2:$D$3723,4,FALSE)</f>
        <v>#N/A</v>
      </c>
      <c r="AE498" t="e">
        <f>VLOOKUP($B498&amp;AE$1,Data!$A$2:$D$3723,4,FALSE)</f>
        <v>#N/A</v>
      </c>
      <c r="AF498" t="e">
        <f>VLOOKUP($B498&amp;AF$1,Data!$A$2:$D$3723,4,FALSE)</f>
        <v>#N/A</v>
      </c>
      <c r="AG498" t="e">
        <f>VLOOKUP($B498&amp;AG$1,Data!$A$2:$D$3723,4,FALSE)</f>
        <v>#N/A</v>
      </c>
      <c r="AH498" t="e">
        <f>VLOOKUP($B498&amp;AH$1,Data!$A$2:$D$3723,4,FALSE)</f>
        <v>#N/A</v>
      </c>
      <c r="AI498" t="e">
        <f>VLOOKUP($B498&amp;AI$1,Data!$A$2:$D$3723,4,FALSE)</f>
        <v>#N/A</v>
      </c>
    </row>
    <row r="499" spans="2:35" hidden="1">
      <c r="B499" s="13">
        <v>498</v>
      </c>
      <c r="C499" s="13" t="s">
        <v>56</v>
      </c>
      <c r="D499" t="s">
        <v>19</v>
      </c>
      <c r="E499" t="s">
        <v>3</v>
      </c>
      <c r="F499">
        <v>5000</v>
      </c>
      <c r="G499" t="s">
        <v>17</v>
      </c>
      <c r="H499" s="5">
        <v>43831</v>
      </c>
      <c r="I499" s="5">
        <v>44562</v>
      </c>
      <c r="J499">
        <v>14</v>
      </c>
      <c r="K499">
        <v>9</v>
      </c>
      <c r="L499">
        <v>32</v>
      </c>
      <c r="M499">
        <v>68</v>
      </c>
      <c r="N499">
        <v>1000000</v>
      </c>
      <c r="O499" t="e">
        <f>VLOOKUP($B499&amp;O$1,Data!$A$2:$D$3723,4,FALSE)</f>
        <v>#N/A</v>
      </c>
      <c r="P499" t="e">
        <f>VLOOKUP($B499&amp;P$1,Data!$A$2:$D$3723,4,FALSE)</f>
        <v>#N/A</v>
      </c>
      <c r="Q499" t="e">
        <f>VLOOKUP($B499&amp;Q$1,Data!$A$2:$D$3723,4,FALSE)</f>
        <v>#N/A</v>
      </c>
      <c r="R499" t="e">
        <f>VLOOKUP($B499&amp;R$1,Data!$A$2:$D$3723,4,FALSE)</f>
        <v>#N/A</v>
      </c>
      <c r="S499" t="e">
        <f>VLOOKUP($B499&amp;S$1,Data!$A$2:$D$3723,4,FALSE)</f>
        <v>#N/A</v>
      </c>
      <c r="T499" t="e">
        <f>VLOOKUP($B499&amp;T$1,Data!$A$2:$D$3723,4,FALSE)</f>
        <v>#N/A</v>
      </c>
      <c r="U499" t="e">
        <f>VLOOKUP($B499&amp;U$1,Data!$A$2:$D$3723,4,FALSE)</f>
        <v>#N/A</v>
      </c>
      <c r="V499" t="e">
        <f>VLOOKUP($B499&amp;V$1,Data!$A$2:$D$3723,4,FALSE)</f>
        <v>#N/A</v>
      </c>
      <c r="W499" t="e">
        <f>VLOOKUP($B499&amp;W$1,Data!$A$2:$D$3723,4,FALSE)</f>
        <v>#N/A</v>
      </c>
      <c r="X499" t="e">
        <f>VLOOKUP($B499&amp;X$1,Data!$A$2:$D$3723,4,FALSE)</f>
        <v>#N/A</v>
      </c>
      <c r="Y499" t="e">
        <f>VLOOKUP($B499&amp;Y$1,Data!$A$2:$D$3723,4,FALSE)</f>
        <v>#N/A</v>
      </c>
      <c r="Z499" t="e">
        <f>VLOOKUP($B499&amp;Z$1,Data!$A$2:$D$3723,4,FALSE)</f>
        <v>#N/A</v>
      </c>
      <c r="AA499" t="e">
        <f>VLOOKUP($B499&amp;AA$1,Data!$A$2:$D$3723,4,FALSE)</f>
        <v>#N/A</v>
      </c>
      <c r="AB499" t="e">
        <f>VLOOKUP($B499&amp;AB$1,Data!$A$2:$D$3723,4,FALSE)</f>
        <v>#N/A</v>
      </c>
      <c r="AC499" t="e">
        <f>VLOOKUP($B499&amp;AC$1,Data!$A$2:$D$3723,4,FALSE)</f>
        <v>#N/A</v>
      </c>
      <c r="AD499" t="e">
        <f>VLOOKUP($B499&amp;AD$1,Data!$A$2:$D$3723,4,FALSE)</f>
        <v>#N/A</v>
      </c>
      <c r="AE499" t="e">
        <f>VLOOKUP($B499&amp;AE$1,Data!$A$2:$D$3723,4,FALSE)</f>
        <v>#N/A</v>
      </c>
      <c r="AF499" t="e">
        <f>VLOOKUP($B499&amp;AF$1,Data!$A$2:$D$3723,4,FALSE)</f>
        <v>#N/A</v>
      </c>
      <c r="AG499" t="e">
        <f>VLOOKUP($B499&amp;AG$1,Data!$A$2:$D$3723,4,FALSE)</f>
        <v>#N/A</v>
      </c>
      <c r="AH499" t="e">
        <f>VLOOKUP($B499&amp;AH$1,Data!$A$2:$D$3723,4,FALSE)</f>
        <v>#N/A</v>
      </c>
      <c r="AI499" t="e">
        <f>VLOOKUP($B499&amp;AI$1,Data!$A$2:$D$3723,4,FALSE)</f>
        <v>#N/A</v>
      </c>
    </row>
    <row r="500" spans="2:35" hidden="1">
      <c r="B500" s="13">
        <v>499</v>
      </c>
      <c r="C500" s="13" t="s">
        <v>56</v>
      </c>
      <c r="D500" t="s">
        <v>19</v>
      </c>
      <c r="E500" t="s">
        <v>2</v>
      </c>
      <c r="F500">
        <v>100</v>
      </c>
      <c r="G500" t="s">
        <v>17</v>
      </c>
      <c r="H500" s="5">
        <v>43831</v>
      </c>
      <c r="I500" s="5">
        <v>44562</v>
      </c>
      <c r="J500">
        <v>14</v>
      </c>
      <c r="K500">
        <v>9</v>
      </c>
      <c r="L500">
        <v>32</v>
      </c>
      <c r="M500">
        <v>68</v>
      </c>
      <c r="N500">
        <v>1000000</v>
      </c>
      <c r="O500" t="e">
        <f>VLOOKUP($B500&amp;O$1,Data!$A$2:$D$3723,4,FALSE)</f>
        <v>#N/A</v>
      </c>
      <c r="P500" t="e">
        <f>VLOOKUP($B500&amp;P$1,Data!$A$2:$D$3723,4,FALSE)</f>
        <v>#N/A</v>
      </c>
      <c r="Q500" t="e">
        <f>VLOOKUP($B500&amp;Q$1,Data!$A$2:$D$3723,4,FALSE)</f>
        <v>#N/A</v>
      </c>
      <c r="R500" t="e">
        <f>VLOOKUP($B500&amp;R$1,Data!$A$2:$D$3723,4,FALSE)</f>
        <v>#N/A</v>
      </c>
      <c r="S500" t="e">
        <f>VLOOKUP($B500&amp;S$1,Data!$A$2:$D$3723,4,FALSE)</f>
        <v>#N/A</v>
      </c>
      <c r="T500" t="e">
        <f>VLOOKUP($B500&amp;T$1,Data!$A$2:$D$3723,4,FALSE)</f>
        <v>#N/A</v>
      </c>
      <c r="U500" t="e">
        <f>VLOOKUP($B500&amp;U$1,Data!$A$2:$D$3723,4,FALSE)</f>
        <v>#N/A</v>
      </c>
      <c r="V500" t="e">
        <f>VLOOKUP($B500&amp;V$1,Data!$A$2:$D$3723,4,FALSE)</f>
        <v>#N/A</v>
      </c>
      <c r="W500" t="e">
        <f>VLOOKUP($B500&amp;W$1,Data!$A$2:$D$3723,4,FALSE)</f>
        <v>#N/A</v>
      </c>
      <c r="X500" t="e">
        <f>VLOOKUP($B500&amp;X$1,Data!$A$2:$D$3723,4,FALSE)</f>
        <v>#N/A</v>
      </c>
      <c r="Y500" t="e">
        <f>VLOOKUP($B500&amp;Y$1,Data!$A$2:$D$3723,4,FALSE)</f>
        <v>#N/A</v>
      </c>
      <c r="Z500" t="e">
        <f>VLOOKUP($B500&amp;Z$1,Data!$A$2:$D$3723,4,FALSE)</f>
        <v>#N/A</v>
      </c>
      <c r="AA500" t="e">
        <f>VLOOKUP($B500&amp;AA$1,Data!$A$2:$D$3723,4,FALSE)</f>
        <v>#N/A</v>
      </c>
      <c r="AB500" t="e">
        <f>VLOOKUP($B500&amp;AB$1,Data!$A$2:$D$3723,4,FALSE)</f>
        <v>#N/A</v>
      </c>
      <c r="AC500" t="e">
        <f>VLOOKUP($B500&amp;AC$1,Data!$A$2:$D$3723,4,FALSE)</f>
        <v>#N/A</v>
      </c>
      <c r="AD500" t="e">
        <f>VLOOKUP($B500&amp;AD$1,Data!$A$2:$D$3723,4,FALSE)</f>
        <v>#N/A</v>
      </c>
      <c r="AE500" t="e">
        <f>VLOOKUP($B500&amp;AE$1,Data!$A$2:$D$3723,4,FALSE)</f>
        <v>#N/A</v>
      </c>
      <c r="AF500" t="e">
        <f>VLOOKUP($B500&amp;AF$1,Data!$A$2:$D$3723,4,FALSE)</f>
        <v>#N/A</v>
      </c>
      <c r="AG500" t="e">
        <f>VLOOKUP($B500&amp;AG$1,Data!$A$2:$D$3723,4,FALSE)</f>
        <v>#N/A</v>
      </c>
      <c r="AH500" t="e">
        <f>VLOOKUP($B500&amp;AH$1,Data!$A$2:$D$3723,4,FALSE)</f>
        <v>#N/A</v>
      </c>
      <c r="AI500" t="e">
        <f>VLOOKUP($B500&amp;AI$1,Data!$A$2:$D$3723,4,FALSE)</f>
        <v>#N/A</v>
      </c>
    </row>
    <row r="501" spans="2:35" hidden="1">
      <c r="B501" s="13">
        <v>500</v>
      </c>
      <c r="C501" s="13" t="s">
        <v>56</v>
      </c>
      <c r="D501" t="s">
        <v>19</v>
      </c>
      <c r="E501" t="s">
        <v>2</v>
      </c>
      <c r="F501">
        <v>1000</v>
      </c>
      <c r="G501" t="s">
        <v>17</v>
      </c>
      <c r="H501" s="5">
        <v>43831</v>
      </c>
      <c r="I501" s="5">
        <v>44562</v>
      </c>
      <c r="J501">
        <v>14</v>
      </c>
      <c r="K501">
        <v>9</v>
      </c>
      <c r="L501">
        <v>32</v>
      </c>
      <c r="M501">
        <v>68</v>
      </c>
      <c r="N501">
        <v>1000000</v>
      </c>
      <c r="O501" t="e">
        <f>VLOOKUP($B501&amp;O$1,Data!$A$2:$D$3723,4,FALSE)</f>
        <v>#N/A</v>
      </c>
      <c r="P501" t="e">
        <f>VLOOKUP($B501&amp;P$1,Data!$A$2:$D$3723,4,FALSE)</f>
        <v>#N/A</v>
      </c>
      <c r="Q501" t="e">
        <f>VLOOKUP($B501&amp;Q$1,Data!$A$2:$D$3723,4,FALSE)</f>
        <v>#N/A</v>
      </c>
      <c r="R501" t="e">
        <f>VLOOKUP($B501&amp;R$1,Data!$A$2:$D$3723,4,FALSE)</f>
        <v>#N/A</v>
      </c>
      <c r="S501" t="e">
        <f>VLOOKUP($B501&amp;S$1,Data!$A$2:$D$3723,4,FALSE)</f>
        <v>#N/A</v>
      </c>
      <c r="T501" t="e">
        <f>VLOOKUP($B501&amp;T$1,Data!$A$2:$D$3723,4,FALSE)</f>
        <v>#N/A</v>
      </c>
      <c r="U501" t="e">
        <f>VLOOKUP($B501&amp;U$1,Data!$A$2:$D$3723,4,FALSE)</f>
        <v>#N/A</v>
      </c>
      <c r="V501" t="e">
        <f>VLOOKUP($B501&amp;V$1,Data!$A$2:$D$3723,4,FALSE)</f>
        <v>#N/A</v>
      </c>
      <c r="W501" t="e">
        <f>VLOOKUP($B501&amp;W$1,Data!$A$2:$D$3723,4,FALSE)</f>
        <v>#N/A</v>
      </c>
      <c r="X501" t="e">
        <f>VLOOKUP($B501&amp;X$1,Data!$A$2:$D$3723,4,FALSE)</f>
        <v>#N/A</v>
      </c>
      <c r="Y501" t="e">
        <f>VLOOKUP($B501&amp;Y$1,Data!$A$2:$D$3723,4,FALSE)</f>
        <v>#N/A</v>
      </c>
      <c r="Z501" t="e">
        <f>VLOOKUP($B501&amp;Z$1,Data!$A$2:$D$3723,4,FALSE)</f>
        <v>#N/A</v>
      </c>
      <c r="AA501" t="e">
        <f>VLOOKUP($B501&amp;AA$1,Data!$A$2:$D$3723,4,FALSE)</f>
        <v>#N/A</v>
      </c>
      <c r="AB501" t="e">
        <f>VLOOKUP($B501&amp;AB$1,Data!$A$2:$D$3723,4,FALSE)</f>
        <v>#N/A</v>
      </c>
      <c r="AC501" t="e">
        <f>VLOOKUP($B501&amp;AC$1,Data!$A$2:$D$3723,4,FALSE)</f>
        <v>#N/A</v>
      </c>
      <c r="AD501" t="e">
        <f>VLOOKUP($B501&amp;AD$1,Data!$A$2:$D$3723,4,FALSE)</f>
        <v>#N/A</v>
      </c>
      <c r="AE501" t="e">
        <f>VLOOKUP($B501&amp;AE$1,Data!$A$2:$D$3723,4,FALSE)</f>
        <v>#N/A</v>
      </c>
      <c r="AF501" t="e">
        <f>VLOOKUP($B501&amp;AF$1,Data!$A$2:$D$3723,4,FALSE)</f>
        <v>#N/A</v>
      </c>
      <c r="AG501" t="e">
        <f>VLOOKUP($B501&amp;AG$1,Data!$A$2:$D$3723,4,FALSE)</f>
        <v>#N/A</v>
      </c>
      <c r="AH501" t="e">
        <f>VLOOKUP($B501&amp;AH$1,Data!$A$2:$D$3723,4,FALSE)</f>
        <v>#N/A</v>
      </c>
      <c r="AI501" t="e">
        <f>VLOOKUP($B501&amp;AI$1,Data!$A$2:$D$3723,4,FALSE)</f>
        <v>#N/A</v>
      </c>
    </row>
    <row r="502" spans="2:35" hidden="1">
      <c r="B502" s="13">
        <v>501</v>
      </c>
      <c r="C502" s="13" t="s">
        <v>56</v>
      </c>
      <c r="D502" t="s">
        <v>19</v>
      </c>
      <c r="E502" t="s">
        <v>2</v>
      </c>
      <c r="F502">
        <v>5000</v>
      </c>
      <c r="G502" t="s">
        <v>17</v>
      </c>
      <c r="H502" s="5">
        <v>43831</v>
      </c>
      <c r="I502" s="5">
        <v>44562</v>
      </c>
      <c r="J502">
        <v>14</v>
      </c>
      <c r="K502">
        <v>9</v>
      </c>
      <c r="L502">
        <v>32</v>
      </c>
      <c r="M502">
        <v>68</v>
      </c>
      <c r="N502">
        <v>1000000</v>
      </c>
      <c r="O502" t="e">
        <f>VLOOKUP($B502&amp;O$1,Data!$A$2:$D$3723,4,FALSE)</f>
        <v>#N/A</v>
      </c>
      <c r="P502" t="e">
        <f>VLOOKUP($B502&amp;P$1,Data!$A$2:$D$3723,4,FALSE)</f>
        <v>#N/A</v>
      </c>
      <c r="Q502" t="e">
        <f>VLOOKUP($B502&amp;Q$1,Data!$A$2:$D$3723,4,FALSE)</f>
        <v>#N/A</v>
      </c>
      <c r="R502" t="e">
        <f>VLOOKUP($B502&amp;R$1,Data!$A$2:$D$3723,4,FALSE)</f>
        <v>#N/A</v>
      </c>
      <c r="S502" t="e">
        <f>VLOOKUP($B502&amp;S$1,Data!$A$2:$D$3723,4,FALSE)</f>
        <v>#N/A</v>
      </c>
      <c r="T502" t="e">
        <f>VLOOKUP($B502&amp;T$1,Data!$A$2:$D$3723,4,FALSE)</f>
        <v>#N/A</v>
      </c>
      <c r="U502" t="e">
        <f>VLOOKUP($B502&amp;U$1,Data!$A$2:$D$3723,4,FALSE)</f>
        <v>#N/A</v>
      </c>
      <c r="V502" t="e">
        <f>VLOOKUP($B502&amp;V$1,Data!$A$2:$D$3723,4,FALSE)</f>
        <v>#N/A</v>
      </c>
      <c r="W502" t="e">
        <f>VLOOKUP($B502&amp;W$1,Data!$A$2:$D$3723,4,FALSE)</f>
        <v>#N/A</v>
      </c>
      <c r="X502" t="e">
        <f>VLOOKUP($B502&amp;X$1,Data!$A$2:$D$3723,4,FALSE)</f>
        <v>#N/A</v>
      </c>
      <c r="Y502" t="e">
        <f>VLOOKUP($B502&amp;Y$1,Data!$A$2:$D$3723,4,FALSE)</f>
        <v>#N/A</v>
      </c>
      <c r="Z502" t="e">
        <f>VLOOKUP($B502&amp;Z$1,Data!$A$2:$D$3723,4,FALSE)</f>
        <v>#N/A</v>
      </c>
      <c r="AA502" t="e">
        <f>VLOOKUP($B502&amp;AA$1,Data!$A$2:$D$3723,4,FALSE)</f>
        <v>#N/A</v>
      </c>
      <c r="AB502" t="e">
        <f>VLOOKUP($B502&amp;AB$1,Data!$A$2:$D$3723,4,FALSE)</f>
        <v>#N/A</v>
      </c>
      <c r="AC502" t="e">
        <f>VLOOKUP($B502&amp;AC$1,Data!$A$2:$D$3723,4,FALSE)</f>
        <v>#N/A</v>
      </c>
      <c r="AD502" t="e">
        <f>VLOOKUP($B502&amp;AD$1,Data!$A$2:$D$3723,4,FALSE)</f>
        <v>#N/A</v>
      </c>
      <c r="AE502" t="e">
        <f>VLOOKUP($B502&amp;AE$1,Data!$A$2:$D$3723,4,FALSE)</f>
        <v>#N/A</v>
      </c>
      <c r="AF502" t="e">
        <f>VLOOKUP($B502&amp;AF$1,Data!$A$2:$D$3723,4,FALSE)</f>
        <v>#N/A</v>
      </c>
      <c r="AG502" t="e">
        <f>VLOOKUP($B502&amp;AG$1,Data!$A$2:$D$3723,4,FALSE)</f>
        <v>#N/A</v>
      </c>
      <c r="AH502" t="e">
        <f>VLOOKUP($B502&amp;AH$1,Data!$A$2:$D$3723,4,FALSE)</f>
        <v>#N/A</v>
      </c>
      <c r="AI502" t="e">
        <f>VLOOKUP($B502&amp;AI$1,Data!$A$2:$D$3723,4,FALSE)</f>
        <v>#N/A</v>
      </c>
    </row>
    <row r="503" spans="2:35" hidden="1">
      <c r="B503" s="13">
        <v>502</v>
      </c>
      <c r="C503" s="13" t="s">
        <v>56</v>
      </c>
      <c r="D503" t="s">
        <v>19</v>
      </c>
      <c r="E503" t="s">
        <v>22</v>
      </c>
      <c r="F503">
        <v>100</v>
      </c>
      <c r="G503" t="s">
        <v>17</v>
      </c>
      <c r="H503" s="5">
        <v>43831</v>
      </c>
      <c r="I503" s="5">
        <v>44562</v>
      </c>
      <c r="J503">
        <v>14</v>
      </c>
      <c r="K503">
        <v>9</v>
      </c>
      <c r="L503">
        <v>32</v>
      </c>
      <c r="M503">
        <v>68</v>
      </c>
      <c r="N503">
        <v>1000000</v>
      </c>
      <c r="O503" t="e">
        <f>VLOOKUP($B503&amp;O$1,Data!$A$2:$D$3723,4,FALSE)</f>
        <v>#N/A</v>
      </c>
      <c r="P503" t="e">
        <f>VLOOKUP($B503&amp;P$1,Data!$A$2:$D$3723,4,FALSE)</f>
        <v>#N/A</v>
      </c>
      <c r="Q503" t="e">
        <f>VLOOKUP($B503&amp;Q$1,Data!$A$2:$D$3723,4,FALSE)</f>
        <v>#N/A</v>
      </c>
      <c r="R503" t="e">
        <f>VLOOKUP($B503&amp;R$1,Data!$A$2:$D$3723,4,FALSE)</f>
        <v>#N/A</v>
      </c>
      <c r="S503" t="e">
        <f>VLOOKUP($B503&amp;S$1,Data!$A$2:$D$3723,4,FALSE)</f>
        <v>#N/A</v>
      </c>
      <c r="T503" t="e">
        <f>VLOOKUP($B503&amp;T$1,Data!$A$2:$D$3723,4,FALSE)</f>
        <v>#N/A</v>
      </c>
      <c r="U503" t="e">
        <f>VLOOKUP($B503&amp;U$1,Data!$A$2:$D$3723,4,FALSE)</f>
        <v>#N/A</v>
      </c>
      <c r="V503" t="e">
        <f>VLOOKUP($B503&amp;V$1,Data!$A$2:$D$3723,4,FALSE)</f>
        <v>#N/A</v>
      </c>
      <c r="W503" t="e">
        <f>VLOOKUP($B503&amp;W$1,Data!$A$2:$D$3723,4,FALSE)</f>
        <v>#N/A</v>
      </c>
      <c r="X503" t="e">
        <f>VLOOKUP($B503&amp;X$1,Data!$A$2:$D$3723,4,FALSE)</f>
        <v>#N/A</v>
      </c>
      <c r="Y503" t="e">
        <f>VLOOKUP($B503&amp;Y$1,Data!$A$2:$D$3723,4,FALSE)</f>
        <v>#N/A</v>
      </c>
      <c r="Z503" t="e">
        <f>VLOOKUP($B503&amp;Z$1,Data!$A$2:$D$3723,4,FALSE)</f>
        <v>#N/A</v>
      </c>
      <c r="AA503" t="e">
        <f>VLOOKUP($B503&amp;AA$1,Data!$A$2:$D$3723,4,FALSE)</f>
        <v>#N/A</v>
      </c>
      <c r="AB503" t="e">
        <f>VLOOKUP($B503&amp;AB$1,Data!$A$2:$D$3723,4,FALSE)</f>
        <v>#N/A</v>
      </c>
      <c r="AC503" t="e">
        <f>VLOOKUP($B503&amp;AC$1,Data!$A$2:$D$3723,4,FALSE)</f>
        <v>#N/A</v>
      </c>
      <c r="AD503" t="e">
        <f>VLOOKUP($B503&amp;AD$1,Data!$A$2:$D$3723,4,FALSE)</f>
        <v>#N/A</v>
      </c>
      <c r="AE503" t="e">
        <f>VLOOKUP($B503&amp;AE$1,Data!$A$2:$D$3723,4,FALSE)</f>
        <v>#N/A</v>
      </c>
      <c r="AF503" t="e">
        <f>VLOOKUP($B503&amp;AF$1,Data!$A$2:$D$3723,4,FALSE)</f>
        <v>#N/A</v>
      </c>
      <c r="AG503" t="e">
        <f>VLOOKUP($B503&amp;AG$1,Data!$A$2:$D$3723,4,FALSE)</f>
        <v>#N/A</v>
      </c>
      <c r="AH503" t="e">
        <f>VLOOKUP($B503&amp;AH$1,Data!$A$2:$D$3723,4,FALSE)</f>
        <v>#N/A</v>
      </c>
      <c r="AI503" t="e">
        <f>VLOOKUP($B503&amp;AI$1,Data!$A$2:$D$3723,4,FALSE)</f>
        <v>#N/A</v>
      </c>
    </row>
    <row r="504" spans="2:35" hidden="1">
      <c r="B504" s="13">
        <v>503</v>
      </c>
      <c r="C504" s="13" t="s">
        <v>56</v>
      </c>
      <c r="D504" t="s">
        <v>19</v>
      </c>
      <c r="E504" t="s">
        <v>22</v>
      </c>
      <c r="F504">
        <v>1000</v>
      </c>
      <c r="G504" t="s">
        <v>17</v>
      </c>
      <c r="H504" s="5">
        <v>43831</v>
      </c>
      <c r="I504" s="5">
        <v>44562</v>
      </c>
      <c r="J504">
        <v>14</v>
      </c>
      <c r="K504">
        <v>9</v>
      </c>
      <c r="L504">
        <v>32</v>
      </c>
      <c r="M504">
        <v>68</v>
      </c>
      <c r="N504">
        <v>1000000</v>
      </c>
      <c r="O504" t="e">
        <f>VLOOKUP($B504&amp;O$1,Data!$A$2:$D$3723,4,FALSE)</f>
        <v>#N/A</v>
      </c>
      <c r="P504" t="e">
        <f>VLOOKUP($B504&amp;P$1,Data!$A$2:$D$3723,4,FALSE)</f>
        <v>#N/A</v>
      </c>
      <c r="Q504" t="e">
        <f>VLOOKUP($B504&amp;Q$1,Data!$A$2:$D$3723,4,FALSE)</f>
        <v>#N/A</v>
      </c>
      <c r="R504" t="e">
        <f>VLOOKUP($B504&amp;R$1,Data!$A$2:$D$3723,4,FALSE)</f>
        <v>#N/A</v>
      </c>
      <c r="S504" t="e">
        <f>VLOOKUP($B504&amp;S$1,Data!$A$2:$D$3723,4,FALSE)</f>
        <v>#N/A</v>
      </c>
      <c r="T504" t="e">
        <f>VLOOKUP($B504&amp;T$1,Data!$A$2:$D$3723,4,FALSE)</f>
        <v>#N/A</v>
      </c>
      <c r="U504" t="e">
        <f>VLOOKUP($B504&amp;U$1,Data!$A$2:$D$3723,4,FALSE)</f>
        <v>#N/A</v>
      </c>
      <c r="V504" t="e">
        <f>VLOOKUP($B504&amp;V$1,Data!$A$2:$D$3723,4,FALSE)</f>
        <v>#N/A</v>
      </c>
      <c r="W504" t="e">
        <f>VLOOKUP($B504&amp;W$1,Data!$A$2:$D$3723,4,FALSE)</f>
        <v>#N/A</v>
      </c>
      <c r="X504" t="e">
        <f>VLOOKUP($B504&amp;X$1,Data!$A$2:$D$3723,4,FALSE)</f>
        <v>#N/A</v>
      </c>
      <c r="Y504" t="e">
        <f>VLOOKUP($B504&amp;Y$1,Data!$A$2:$D$3723,4,FALSE)</f>
        <v>#N/A</v>
      </c>
      <c r="Z504" t="e">
        <f>VLOOKUP($B504&amp;Z$1,Data!$A$2:$D$3723,4,FALSE)</f>
        <v>#N/A</v>
      </c>
      <c r="AA504" t="e">
        <f>VLOOKUP($B504&amp;AA$1,Data!$A$2:$D$3723,4,FALSE)</f>
        <v>#N/A</v>
      </c>
      <c r="AB504" t="e">
        <f>VLOOKUP($B504&amp;AB$1,Data!$A$2:$D$3723,4,FALSE)</f>
        <v>#N/A</v>
      </c>
      <c r="AC504" t="e">
        <f>VLOOKUP($B504&amp;AC$1,Data!$A$2:$D$3723,4,FALSE)</f>
        <v>#N/A</v>
      </c>
      <c r="AD504" t="e">
        <f>VLOOKUP($B504&amp;AD$1,Data!$A$2:$D$3723,4,FALSE)</f>
        <v>#N/A</v>
      </c>
      <c r="AE504" t="e">
        <f>VLOOKUP($B504&amp;AE$1,Data!$A$2:$D$3723,4,FALSE)</f>
        <v>#N/A</v>
      </c>
      <c r="AF504" t="e">
        <f>VLOOKUP($B504&amp;AF$1,Data!$A$2:$D$3723,4,FALSE)</f>
        <v>#N/A</v>
      </c>
      <c r="AG504" t="e">
        <f>VLOOKUP($B504&amp;AG$1,Data!$A$2:$D$3723,4,FALSE)</f>
        <v>#N/A</v>
      </c>
      <c r="AH504" t="e">
        <f>VLOOKUP($B504&amp;AH$1,Data!$A$2:$D$3723,4,FALSE)</f>
        <v>#N/A</v>
      </c>
      <c r="AI504" t="e">
        <f>VLOOKUP($B504&amp;AI$1,Data!$A$2:$D$3723,4,FALSE)</f>
        <v>#N/A</v>
      </c>
    </row>
    <row r="505" spans="2:35" hidden="1">
      <c r="B505" s="13">
        <v>504</v>
      </c>
      <c r="C505" s="13" t="s">
        <v>56</v>
      </c>
      <c r="D505" t="s">
        <v>19</v>
      </c>
      <c r="E505" t="s">
        <v>22</v>
      </c>
      <c r="F505">
        <v>5000</v>
      </c>
      <c r="G505" t="s">
        <v>17</v>
      </c>
      <c r="H505" s="5">
        <v>43831</v>
      </c>
      <c r="I505" s="5">
        <v>44562</v>
      </c>
      <c r="J505">
        <v>14</v>
      </c>
      <c r="K505">
        <v>9</v>
      </c>
      <c r="L505">
        <v>32</v>
      </c>
      <c r="M505">
        <v>68</v>
      </c>
      <c r="N505">
        <v>1000000</v>
      </c>
      <c r="O505" t="e">
        <f>VLOOKUP($B505&amp;O$1,Data!$A$2:$D$3723,4,FALSE)</f>
        <v>#N/A</v>
      </c>
      <c r="P505" t="e">
        <f>VLOOKUP($B505&amp;P$1,Data!$A$2:$D$3723,4,FALSE)</f>
        <v>#N/A</v>
      </c>
      <c r="Q505" t="e">
        <f>VLOOKUP($B505&amp;Q$1,Data!$A$2:$D$3723,4,FALSE)</f>
        <v>#N/A</v>
      </c>
      <c r="R505" t="e">
        <f>VLOOKUP($B505&amp;R$1,Data!$A$2:$D$3723,4,FALSE)</f>
        <v>#N/A</v>
      </c>
      <c r="S505" t="e">
        <f>VLOOKUP($B505&amp;S$1,Data!$A$2:$D$3723,4,FALSE)</f>
        <v>#N/A</v>
      </c>
      <c r="T505" t="e">
        <f>VLOOKUP($B505&amp;T$1,Data!$A$2:$D$3723,4,FALSE)</f>
        <v>#N/A</v>
      </c>
      <c r="U505" t="e">
        <f>VLOOKUP($B505&amp;U$1,Data!$A$2:$D$3723,4,FALSE)</f>
        <v>#N/A</v>
      </c>
      <c r="V505" t="e">
        <f>VLOOKUP($B505&amp;V$1,Data!$A$2:$D$3723,4,FALSE)</f>
        <v>#N/A</v>
      </c>
      <c r="W505" t="e">
        <f>VLOOKUP($B505&amp;W$1,Data!$A$2:$D$3723,4,FALSE)</f>
        <v>#N/A</v>
      </c>
      <c r="X505" t="e">
        <f>VLOOKUP($B505&amp;X$1,Data!$A$2:$D$3723,4,FALSE)</f>
        <v>#N/A</v>
      </c>
      <c r="Y505" t="e">
        <f>VLOOKUP($B505&amp;Y$1,Data!$A$2:$D$3723,4,FALSE)</f>
        <v>#N/A</v>
      </c>
      <c r="Z505" t="e">
        <f>VLOOKUP($B505&amp;Z$1,Data!$A$2:$D$3723,4,FALSE)</f>
        <v>#N/A</v>
      </c>
      <c r="AA505" t="e">
        <f>VLOOKUP($B505&amp;AA$1,Data!$A$2:$D$3723,4,FALSE)</f>
        <v>#N/A</v>
      </c>
      <c r="AB505" t="e">
        <f>VLOOKUP($B505&amp;AB$1,Data!$A$2:$D$3723,4,FALSE)</f>
        <v>#N/A</v>
      </c>
      <c r="AC505" t="e">
        <f>VLOOKUP($B505&amp;AC$1,Data!$A$2:$D$3723,4,FALSE)</f>
        <v>#N/A</v>
      </c>
      <c r="AD505" t="e">
        <f>VLOOKUP($B505&amp;AD$1,Data!$A$2:$D$3723,4,FALSE)</f>
        <v>#N/A</v>
      </c>
      <c r="AE505" t="e">
        <f>VLOOKUP($B505&amp;AE$1,Data!$A$2:$D$3723,4,FALSE)</f>
        <v>#N/A</v>
      </c>
      <c r="AF505" t="e">
        <f>VLOOKUP($B505&amp;AF$1,Data!$A$2:$D$3723,4,FALSE)</f>
        <v>#N/A</v>
      </c>
      <c r="AG505" t="e">
        <f>VLOOKUP($B505&amp;AG$1,Data!$A$2:$D$3723,4,FALSE)</f>
        <v>#N/A</v>
      </c>
      <c r="AH505" t="e">
        <f>VLOOKUP($B505&amp;AH$1,Data!$A$2:$D$3723,4,FALSE)</f>
        <v>#N/A</v>
      </c>
      <c r="AI505" t="e">
        <f>VLOOKUP($B505&amp;AI$1,Data!$A$2:$D$3723,4,FALSE)</f>
        <v>#N/A</v>
      </c>
    </row>
    <row r="506" spans="2:35" hidden="1">
      <c r="B506" s="13">
        <v>505</v>
      </c>
      <c r="C506" s="13" t="s">
        <v>56</v>
      </c>
      <c r="D506" t="s">
        <v>19</v>
      </c>
      <c r="E506" t="s">
        <v>3</v>
      </c>
      <c r="F506">
        <v>100</v>
      </c>
      <c r="G506" t="s">
        <v>17</v>
      </c>
      <c r="H506" s="5">
        <v>43831</v>
      </c>
      <c r="I506" s="5">
        <v>44562</v>
      </c>
      <c r="J506">
        <v>14</v>
      </c>
      <c r="K506">
        <v>9</v>
      </c>
      <c r="L506">
        <v>28</v>
      </c>
      <c r="M506">
        <v>72</v>
      </c>
      <c r="N506">
        <v>1000000</v>
      </c>
      <c r="O506" t="e">
        <f>VLOOKUP($B506&amp;O$1,Data!$A$2:$D$3723,4,FALSE)</f>
        <v>#N/A</v>
      </c>
      <c r="P506" t="e">
        <f>VLOOKUP($B506&amp;P$1,Data!$A$2:$D$3723,4,FALSE)</f>
        <v>#N/A</v>
      </c>
      <c r="Q506" t="e">
        <f>VLOOKUP($B506&amp;Q$1,Data!$A$2:$D$3723,4,FALSE)</f>
        <v>#N/A</v>
      </c>
      <c r="R506" t="e">
        <f>VLOOKUP($B506&amp;R$1,Data!$A$2:$D$3723,4,FALSE)</f>
        <v>#N/A</v>
      </c>
      <c r="S506" t="e">
        <f>VLOOKUP($B506&amp;S$1,Data!$A$2:$D$3723,4,FALSE)</f>
        <v>#N/A</v>
      </c>
      <c r="T506" t="e">
        <f>VLOOKUP($B506&amp;T$1,Data!$A$2:$D$3723,4,FALSE)</f>
        <v>#N/A</v>
      </c>
      <c r="U506" t="e">
        <f>VLOOKUP($B506&amp;U$1,Data!$A$2:$D$3723,4,FALSE)</f>
        <v>#N/A</v>
      </c>
      <c r="V506" t="e">
        <f>VLOOKUP($B506&amp;V$1,Data!$A$2:$D$3723,4,FALSE)</f>
        <v>#N/A</v>
      </c>
      <c r="W506" t="e">
        <f>VLOOKUP($B506&amp;W$1,Data!$A$2:$D$3723,4,FALSE)</f>
        <v>#N/A</v>
      </c>
      <c r="X506" t="e">
        <f>VLOOKUP($B506&amp;X$1,Data!$A$2:$D$3723,4,FALSE)</f>
        <v>#N/A</v>
      </c>
      <c r="Y506" t="e">
        <f>VLOOKUP($B506&amp;Y$1,Data!$A$2:$D$3723,4,FALSE)</f>
        <v>#N/A</v>
      </c>
      <c r="Z506" t="e">
        <f>VLOOKUP($B506&amp;Z$1,Data!$A$2:$D$3723,4,FALSE)</f>
        <v>#N/A</v>
      </c>
      <c r="AA506" t="e">
        <f>VLOOKUP($B506&amp;AA$1,Data!$A$2:$D$3723,4,FALSE)</f>
        <v>#N/A</v>
      </c>
      <c r="AB506" t="e">
        <f>VLOOKUP($B506&amp;AB$1,Data!$A$2:$D$3723,4,FALSE)</f>
        <v>#N/A</v>
      </c>
      <c r="AC506" t="e">
        <f>VLOOKUP($B506&amp;AC$1,Data!$A$2:$D$3723,4,FALSE)</f>
        <v>#N/A</v>
      </c>
      <c r="AD506" t="e">
        <f>VLOOKUP($B506&amp;AD$1,Data!$A$2:$D$3723,4,FALSE)</f>
        <v>#N/A</v>
      </c>
      <c r="AE506" t="e">
        <f>VLOOKUP($B506&amp;AE$1,Data!$A$2:$D$3723,4,FALSE)</f>
        <v>#N/A</v>
      </c>
      <c r="AF506" t="e">
        <f>VLOOKUP($B506&amp;AF$1,Data!$A$2:$D$3723,4,FALSE)</f>
        <v>#N/A</v>
      </c>
      <c r="AG506" t="e">
        <f>VLOOKUP($B506&amp;AG$1,Data!$A$2:$D$3723,4,FALSE)</f>
        <v>#N/A</v>
      </c>
      <c r="AH506" t="e">
        <f>VLOOKUP($B506&amp;AH$1,Data!$A$2:$D$3723,4,FALSE)</f>
        <v>#N/A</v>
      </c>
      <c r="AI506" t="e">
        <f>VLOOKUP($B506&amp;AI$1,Data!$A$2:$D$3723,4,FALSE)</f>
        <v>#N/A</v>
      </c>
    </row>
    <row r="507" spans="2:35" hidden="1">
      <c r="B507" s="13">
        <v>506</v>
      </c>
      <c r="C507" s="13" t="s">
        <v>56</v>
      </c>
      <c r="D507" t="s">
        <v>19</v>
      </c>
      <c r="E507" t="s">
        <v>3</v>
      </c>
      <c r="F507">
        <v>1000</v>
      </c>
      <c r="G507" t="s">
        <v>17</v>
      </c>
      <c r="H507" s="5">
        <v>43831</v>
      </c>
      <c r="I507" s="5">
        <v>44562</v>
      </c>
      <c r="J507">
        <v>14</v>
      </c>
      <c r="K507">
        <v>9</v>
      </c>
      <c r="L507">
        <v>28</v>
      </c>
      <c r="M507">
        <v>72</v>
      </c>
      <c r="N507">
        <v>1000000</v>
      </c>
      <c r="O507" t="e">
        <f>VLOOKUP($B507&amp;O$1,Data!$A$2:$D$3723,4,FALSE)</f>
        <v>#N/A</v>
      </c>
      <c r="P507" t="e">
        <f>VLOOKUP($B507&amp;P$1,Data!$A$2:$D$3723,4,FALSE)</f>
        <v>#N/A</v>
      </c>
      <c r="Q507" t="e">
        <f>VLOOKUP($B507&amp;Q$1,Data!$A$2:$D$3723,4,FALSE)</f>
        <v>#N/A</v>
      </c>
      <c r="R507" t="e">
        <f>VLOOKUP($B507&amp;R$1,Data!$A$2:$D$3723,4,FALSE)</f>
        <v>#N/A</v>
      </c>
      <c r="S507" t="e">
        <f>VLOOKUP($B507&amp;S$1,Data!$A$2:$D$3723,4,FALSE)</f>
        <v>#N/A</v>
      </c>
      <c r="T507" t="e">
        <f>VLOOKUP($B507&amp;T$1,Data!$A$2:$D$3723,4,FALSE)</f>
        <v>#N/A</v>
      </c>
      <c r="U507" t="e">
        <f>VLOOKUP($B507&amp;U$1,Data!$A$2:$D$3723,4,FALSE)</f>
        <v>#N/A</v>
      </c>
      <c r="V507" t="e">
        <f>VLOOKUP($B507&amp;V$1,Data!$A$2:$D$3723,4,FALSE)</f>
        <v>#N/A</v>
      </c>
      <c r="W507" t="e">
        <f>VLOOKUP($B507&amp;W$1,Data!$A$2:$D$3723,4,FALSE)</f>
        <v>#N/A</v>
      </c>
      <c r="X507" t="e">
        <f>VLOOKUP($B507&amp;X$1,Data!$A$2:$D$3723,4,FALSE)</f>
        <v>#N/A</v>
      </c>
      <c r="Y507" t="e">
        <f>VLOOKUP($B507&amp;Y$1,Data!$A$2:$D$3723,4,FALSE)</f>
        <v>#N/A</v>
      </c>
      <c r="Z507" t="e">
        <f>VLOOKUP($B507&amp;Z$1,Data!$A$2:$D$3723,4,FALSE)</f>
        <v>#N/A</v>
      </c>
      <c r="AA507" t="e">
        <f>VLOOKUP($B507&amp;AA$1,Data!$A$2:$D$3723,4,FALSE)</f>
        <v>#N/A</v>
      </c>
      <c r="AB507" t="e">
        <f>VLOOKUP($B507&amp;AB$1,Data!$A$2:$D$3723,4,FALSE)</f>
        <v>#N/A</v>
      </c>
      <c r="AC507" t="e">
        <f>VLOOKUP($B507&amp;AC$1,Data!$A$2:$D$3723,4,FALSE)</f>
        <v>#N/A</v>
      </c>
      <c r="AD507" t="e">
        <f>VLOOKUP($B507&amp;AD$1,Data!$A$2:$D$3723,4,FALSE)</f>
        <v>#N/A</v>
      </c>
      <c r="AE507" t="e">
        <f>VLOOKUP($B507&amp;AE$1,Data!$A$2:$D$3723,4,FALSE)</f>
        <v>#N/A</v>
      </c>
      <c r="AF507" t="e">
        <f>VLOOKUP($B507&amp;AF$1,Data!$A$2:$D$3723,4,FALSE)</f>
        <v>#N/A</v>
      </c>
      <c r="AG507" t="e">
        <f>VLOOKUP($B507&amp;AG$1,Data!$A$2:$D$3723,4,FALSE)</f>
        <v>#N/A</v>
      </c>
      <c r="AH507" t="e">
        <f>VLOOKUP($B507&amp;AH$1,Data!$A$2:$D$3723,4,FALSE)</f>
        <v>#N/A</v>
      </c>
      <c r="AI507" t="e">
        <f>VLOOKUP($B507&amp;AI$1,Data!$A$2:$D$3723,4,FALSE)</f>
        <v>#N/A</v>
      </c>
    </row>
    <row r="508" spans="2:35" hidden="1">
      <c r="B508" s="13">
        <v>507</v>
      </c>
      <c r="C508" s="13" t="s">
        <v>56</v>
      </c>
      <c r="D508" t="s">
        <v>19</v>
      </c>
      <c r="E508" t="s">
        <v>3</v>
      </c>
      <c r="F508">
        <v>5000</v>
      </c>
      <c r="G508" t="s">
        <v>17</v>
      </c>
      <c r="H508" s="5">
        <v>43831</v>
      </c>
      <c r="I508" s="5">
        <v>44562</v>
      </c>
      <c r="J508">
        <v>14</v>
      </c>
      <c r="K508">
        <v>9</v>
      </c>
      <c r="L508">
        <v>28</v>
      </c>
      <c r="M508">
        <v>72</v>
      </c>
      <c r="N508">
        <v>1000000</v>
      </c>
      <c r="O508" t="e">
        <f>VLOOKUP($B508&amp;O$1,Data!$A$2:$D$3723,4,FALSE)</f>
        <v>#N/A</v>
      </c>
      <c r="P508" t="e">
        <f>VLOOKUP($B508&amp;P$1,Data!$A$2:$D$3723,4,FALSE)</f>
        <v>#N/A</v>
      </c>
      <c r="Q508" t="e">
        <f>VLOOKUP($B508&amp;Q$1,Data!$A$2:$D$3723,4,FALSE)</f>
        <v>#N/A</v>
      </c>
      <c r="R508" t="e">
        <f>VLOOKUP($B508&amp;R$1,Data!$A$2:$D$3723,4,FALSE)</f>
        <v>#N/A</v>
      </c>
      <c r="S508" t="e">
        <f>VLOOKUP($B508&amp;S$1,Data!$A$2:$D$3723,4,FALSE)</f>
        <v>#N/A</v>
      </c>
      <c r="T508" t="e">
        <f>VLOOKUP($B508&amp;T$1,Data!$A$2:$D$3723,4,FALSE)</f>
        <v>#N/A</v>
      </c>
      <c r="U508" t="e">
        <f>VLOOKUP($B508&amp;U$1,Data!$A$2:$D$3723,4,FALSE)</f>
        <v>#N/A</v>
      </c>
      <c r="V508" t="e">
        <f>VLOOKUP($B508&amp;V$1,Data!$A$2:$D$3723,4,FALSE)</f>
        <v>#N/A</v>
      </c>
      <c r="W508" t="e">
        <f>VLOOKUP($B508&amp;W$1,Data!$A$2:$D$3723,4,FALSE)</f>
        <v>#N/A</v>
      </c>
      <c r="X508" t="e">
        <f>VLOOKUP($B508&amp;X$1,Data!$A$2:$D$3723,4,FALSE)</f>
        <v>#N/A</v>
      </c>
      <c r="Y508" t="e">
        <f>VLOOKUP($B508&amp;Y$1,Data!$A$2:$D$3723,4,FALSE)</f>
        <v>#N/A</v>
      </c>
      <c r="Z508" t="e">
        <f>VLOOKUP($B508&amp;Z$1,Data!$A$2:$D$3723,4,FALSE)</f>
        <v>#N/A</v>
      </c>
      <c r="AA508" t="e">
        <f>VLOOKUP($B508&amp;AA$1,Data!$A$2:$D$3723,4,FALSE)</f>
        <v>#N/A</v>
      </c>
      <c r="AB508" t="e">
        <f>VLOOKUP($B508&amp;AB$1,Data!$A$2:$D$3723,4,FALSE)</f>
        <v>#N/A</v>
      </c>
      <c r="AC508" t="e">
        <f>VLOOKUP($B508&amp;AC$1,Data!$A$2:$D$3723,4,FALSE)</f>
        <v>#N/A</v>
      </c>
      <c r="AD508" t="e">
        <f>VLOOKUP($B508&amp;AD$1,Data!$A$2:$D$3723,4,FALSE)</f>
        <v>#N/A</v>
      </c>
      <c r="AE508" t="e">
        <f>VLOOKUP($B508&amp;AE$1,Data!$A$2:$D$3723,4,FALSE)</f>
        <v>#N/A</v>
      </c>
      <c r="AF508" t="e">
        <f>VLOOKUP($B508&amp;AF$1,Data!$A$2:$D$3723,4,FALSE)</f>
        <v>#N/A</v>
      </c>
      <c r="AG508" t="e">
        <f>VLOOKUP($B508&amp;AG$1,Data!$A$2:$D$3723,4,FALSE)</f>
        <v>#N/A</v>
      </c>
      <c r="AH508" t="e">
        <f>VLOOKUP($B508&amp;AH$1,Data!$A$2:$D$3723,4,FALSE)</f>
        <v>#N/A</v>
      </c>
      <c r="AI508" t="e">
        <f>VLOOKUP($B508&amp;AI$1,Data!$A$2:$D$3723,4,FALSE)</f>
        <v>#N/A</v>
      </c>
    </row>
    <row r="509" spans="2:35" hidden="1">
      <c r="B509" s="13">
        <v>508</v>
      </c>
      <c r="C509" s="13" t="s">
        <v>56</v>
      </c>
      <c r="D509" t="s">
        <v>19</v>
      </c>
      <c r="E509" t="s">
        <v>2</v>
      </c>
      <c r="F509">
        <v>100</v>
      </c>
      <c r="G509" t="s">
        <v>17</v>
      </c>
      <c r="H509" s="5">
        <v>43831</v>
      </c>
      <c r="I509" s="5">
        <v>44562</v>
      </c>
      <c r="J509">
        <v>14</v>
      </c>
      <c r="K509">
        <v>9</v>
      </c>
      <c r="L509">
        <v>28</v>
      </c>
      <c r="M509">
        <v>72</v>
      </c>
      <c r="N509">
        <v>1000000</v>
      </c>
      <c r="O509" t="e">
        <f>VLOOKUP($B509&amp;O$1,Data!$A$2:$D$3723,4,FALSE)</f>
        <v>#N/A</v>
      </c>
      <c r="P509" t="e">
        <f>VLOOKUP($B509&amp;P$1,Data!$A$2:$D$3723,4,FALSE)</f>
        <v>#N/A</v>
      </c>
      <c r="Q509" t="e">
        <f>VLOOKUP($B509&amp;Q$1,Data!$A$2:$D$3723,4,FALSE)</f>
        <v>#N/A</v>
      </c>
      <c r="R509" t="e">
        <f>VLOOKUP($B509&amp;R$1,Data!$A$2:$D$3723,4,FALSE)</f>
        <v>#N/A</v>
      </c>
      <c r="S509" t="e">
        <f>VLOOKUP($B509&amp;S$1,Data!$A$2:$D$3723,4,FALSE)</f>
        <v>#N/A</v>
      </c>
      <c r="T509" t="e">
        <f>VLOOKUP($B509&amp;T$1,Data!$A$2:$D$3723,4,FALSE)</f>
        <v>#N/A</v>
      </c>
      <c r="U509" t="e">
        <f>VLOOKUP($B509&amp;U$1,Data!$A$2:$D$3723,4,FALSE)</f>
        <v>#N/A</v>
      </c>
      <c r="V509" t="e">
        <f>VLOOKUP($B509&amp;V$1,Data!$A$2:$D$3723,4,FALSE)</f>
        <v>#N/A</v>
      </c>
      <c r="W509" t="e">
        <f>VLOOKUP($B509&amp;W$1,Data!$A$2:$D$3723,4,FALSE)</f>
        <v>#N/A</v>
      </c>
      <c r="X509" t="e">
        <f>VLOOKUP($B509&amp;X$1,Data!$A$2:$D$3723,4,FALSE)</f>
        <v>#N/A</v>
      </c>
      <c r="Y509" t="e">
        <f>VLOOKUP($B509&amp;Y$1,Data!$A$2:$D$3723,4,FALSE)</f>
        <v>#N/A</v>
      </c>
      <c r="Z509" t="e">
        <f>VLOOKUP($B509&amp;Z$1,Data!$A$2:$D$3723,4,FALSE)</f>
        <v>#N/A</v>
      </c>
      <c r="AA509" t="e">
        <f>VLOOKUP($B509&amp;AA$1,Data!$A$2:$D$3723,4,FALSE)</f>
        <v>#N/A</v>
      </c>
      <c r="AB509" t="e">
        <f>VLOOKUP($B509&amp;AB$1,Data!$A$2:$D$3723,4,FALSE)</f>
        <v>#N/A</v>
      </c>
      <c r="AC509" t="e">
        <f>VLOOKUP($B509&amp;AC$1,Data!$A$2:$D$3723,4,FALSE)</f>
        <v>#N/A</v>
      </c>
      <c r="AD509" t="e">
        <f>VLOOKUP($B509&amp;AD$1,Data!$A$2:$D$3723,4,FALSE)</f>
        <v>#N/A</v>
      </c>
      <c r="AE509" t="e">
        <f>VLOOKUP($B509&amp;AE$1,Data!$A$2:$D$3723,4,FALSE)</f>
        <v>#N/A</v>
      </c>
      <c r="AF509" t="e">
        <f>VLOOKUP($B509&amp;AF$1,Data!$A$2:$D$3723,4,FALSE)</f>
        <v>#N/A</v>
      </c>
      <c r="AG509" t="e">
        <f>VLOOKUP($B509&amp;AG$1,Data!$A$2:$D$3723,4,FALSE)</f>
        <v>#N/A</v>
      </c>
      <c r="AH509" t="e">
        <f>VLOOKUP($B509&amp;AH$1,Data!$A$2:$D$3723,4,FALSE)</f>
        <v>#N/A</v>
      </c>
      <c r="AI509" t="e">
        <f>VLOOKUP($B509&amp;AI$1,Data!$A$2:$D$3723,4,FALSE)</f>
        <v>#N/A</v>
      </c>
    </row>
    <row r="510" spans="2:35" hidden="1">
      <c r="B510" s="13">
        <v>509</v>
      </c>
      <c r="C510" s="13" t="s">
        <v>56</v>
      </c>
      <c r="D510" t="s">
        <v>19</v>
      </c>
      <c r="E510" t="s">
        <v>2</v>
      </c>
      <c r="F510">
        <v>1000</v>
      </c>
      <c r="G510" t="s">
        <v>17</v>
      </c>
      <c r="H510" s="5">
        <v>43831</v>
      </c>
      <c r="I510" s="5">
        <v>44562</v>
      </c>
      <c r="J510">
        <v>14</v>
      </c>
      <c r="K510">
        <v>9</v>
      </c>
      <c r="L510">
        <v>28</v>
      </c>
      <c r="M510">
        <v>72</v>
      </c>
      <c r="N510">
        <v>1000000</v>
      </c>
      <c r="O510" t="e">
        <f>VLOOKUP($B510&amp;O$1,Data!$A$2:$D$3723,4,FALSE)</f>
        <v>#N/A</v>
      </c>
      <c r="P510" t="e">
        <f>VLOOKUP($B510&amp;P$1,Data!$A$2:$D$3723,4,FALSE)</f>
        <v>#N/A</v>
      </c>
      <c r="Q510" t="e">
        <f>VLOOKUP($B510&amp;Q$1,Data!$A$2:$D$3723,4,FALSE)</f>
        <v>#N/A</v>
      </c>
      <c r="R510" t="e">
        <f>VLOOKUP($B510&amp;R$1,Data!$A$2:$D$3723,4,FALSE)</f>
        <v>#N/A</v>
      </c>
      <c r="S510" t="e">
        <f>VLOOKUP($B510&amp;S$1,Data!$A$2:$D$3723,4,FALSE)</f>
        <v>#N/A</v>
      </c>
      <c r="T510" t="e">
        <f>VLOOKUP($B510&amp;T$1,Data!$A$2:$D$3723,4,FALSE)</f>
        <v>#N/A</v>
      </c>
      <c r="U510" t="e">
        <f>VLOOKUP($B510&amp;U$1,Data!$A$2:$D$3723,4,FALSE)</f>
        <v>#N/A</v>
      </c>
      <c r="V510" t="e">
        <f>VLOOKUP($B510&amp;V$1,Data!$A$2:$D$3723,4,FALSE)</f>
        <v>#N/A</v>
      </c>
      <c r="W510" t="e">
        <f>VLOOKUP($B510&amp;W$1,Data!$A$2:$D$3723,4,FALSE)</f>
        <v>#N/A</v>
      </c>
      <c r="X510" t="e">
        <f>VLOOKUP($B510&amp;X$1,Data!$A$2:$D$3723,4,FALSE)</f>
        <v>#N/A</v>
      </c>
      <c r="Y510" t="e">
        <f>VLOOKUP($B510&amp;Y$1,Data!$A$2:$D$3723,4,FALSE)</f>
        <v>#N/A</v>
      </c>
      <c r="Z510" t="e">
        <f>VLOOKUP($B510&amp;Z$1,Data!$A$2:$D$3723,4,FALSE)</f>
        <v>#N/A</v>
      </c>
      <c r="AA510" t="e">
        <f>VLOOKUP($B510&amp;AA$1,Data!$A$2:$D$3723,4,FALSE)</f>
        <v>#N/A</v>
      </c>
      <c r="AB510" t="e">
        <f>VLOOKUP($B510&amp;AB$1,Data!$A$2:$D$3723,4,FALSE)</f>
        <v>#N/A</v>
      </c>
      <c r="AC510" t="e">
        <f>VLOOKUP($B510&amp;AC$1,Data!$A$2:$D$3723,4,FALSE)</f>
        <v>#N/A</v>
      </c>
      <c r="AD510" t="e">
        <f>VLOOKUP($B510&amp;AD$1,Data!$A$2:$D$3723,4,FALSE)</f>
        <v>#N/A</v>
      </c>
      <c r="AE510" t="e">
        <f>VLOOKUP($B510&amp;AE$1,Data!$A$2:$D$3723,4,FALSE)</f>
        <v>#N/A</v>
      </c>
      <c r="AF510" t="e">
        <f>VLOOKUP($B510&amp;AF$1,Data!$A$2:$D$3723,4,FALSE)</f>
        <v>#N/A</v>
      </c>
      <c r="AG510" t="e">
        <f>VLOOKUP($B510&amp;AG$1,Data!$A$2:$D$3723,4,FALSE)</f>
        <v>#N/A</v>
      </c>
      <c r="AH510" t="e">
        <f>VLOOKUP($B510&amp;AH$1,Data!$A$2:$D$3723,4,FALSE)</f>
        <v>#N/A</v>
      </c>
      <c r="AI510" t="e">
        <f>VLOOKUP($B510&amp;AI$1,Data!$A$2:$D$3723,4,FALSE)</f>
        <v>#N/A</v>
      </c>
    </row>
    <row r="511" spans="2:35" hidden="1">
      <c r="B511" s="13">
        <v>510</v>
      </c>
      <c r="C511" s="13" t="s">
        <v>56</v>
      </c>
      <c r="D511" t="s">
        <v>19</v>
      </c>
      <c r="E511" t="s">
        <v>2</v>
      </c>
      <c r="F511">
        <v>5000</v>
      </c>
      <c r="G511" t="s">
        <v>17</v>
      </c>
      <c r="H511" s="5">
        <v>43831</v>
      </c>
      <c r="I511" s="5">
        <v>44562</v>
      </c>
      <c r="J511">
        <v>14</v>
      </c>
      <c r="K511">
        <v>9</v>
      </c>
      <c r="L511">
        <v>28</v>
      </c>
      <c r="M511">
        <v>72</v>
      </c>
      <c r="N511">
        <v>1000000</v>
      </c>
      <c r="O511" t="e">
        <f>VLOOKUP($B511&amp;O$1,Data!$A$2:$D$3723,4,FALSE)</f>
        <v>#N/A</v>
      </c>
      <c r="P511" t="e">
        <f>VLOOKUP($B511&amp;P$1,Data!$A$2:$D$3723,4,FALSE)</f>
        <v>#N/A</v>
      </c>
      <c r="Q511" t="e">
        <f>VLOOKUP($B511&amp;Q$1,Data!$A$2:$D$3723,4,FALSE)</f>
        <v>#N/A</v>
      </c>
      <c r="R511" t="e">
        <f>VLOOKUP($B511&amp;R$1,Data!$A$2:$D$3723,4,FALSE)</f>
        <v>#N/A</v>
      </c>
      <c r="S511" t="e">
        <f>VLOOKUP($B511&amp;S$1,Data!$A$2:$D$3723,4,FALSE)</f>
        <v>#N/A</v>
      </c>
      <c r="T511" t="e">
        <f>VLOOKUP($B511&amp;T$1,Data!$A$2:$D$3723,4,FALSE)</f>
        <v>#N/A</v>
      </c>
      <c r="U511" t="e">
        <f>VLOOKUP($B511&amp;U$1,Data!$A$2:$D$3723,4,FALSE)</f>
        <v>#N/A</v>
      </c>
      <c r="V511" t="e">
        <f>VLOOKUP($B511&amp;V$1,Data!$A$2:$D$3723,4,FALSE)</f>
        <v>#N/A</v>
      </c>
      <c r="W511" t="e">
        <f>VLOOKUP($B511&amp;W$1,Data!$A$2:$D$3723,4,FALSE)</f>
        <v>#N/A</v>
      </c>
      <c r="X511" t="e">
        <f>VLOOKUP($B511&amp;X$1,Data!$A$2:$D$3723,4,FALSE)</f>
        <v>#N/A</v>
      </c>
      <c r="Y511" t="e">
        <f>VLOOKUP($B511&amp;Y$1,Data!$A$2:$D$3723,4,FALSE)</f>
        <v>#N/A</v>
      </c>
      <c r="Z511" t="e">
        <f>VLOOKUP($B511&amp;Z$1,Data!$A$2:$D$3723,4,FALSE)</f>
        <v>#N/A</v>
      </c>
      <c r="AA511" t="e">
        <f>VLOOKUP($B511&amp;AA$1,Data!$A$2:$D$3723,4,FALSE)</f>
        <v>#N/A</v>
      </c>
      <c r="AB511" t="e">
        <f>VLOOKUP($B511&amp;AB$1,Data!$A$2:$D$3723,4,FALSE)</f>
        <v>#N/A</v>
      </c>
      <c r="AC511" t="e">
        <f>VLOOKUP($B511&amp;AC$1,Data!$A$2:$D$3723,4,FALSE)</f>
        <v>#N/A</v>
      </c>
      <c r="AD511" t="e">
        <f>VLOOKUP($B511&amp;AD$1,Data!$A$2:$D$3723,4,FALSE)</f>
        <v>#N/A</v>
      </c>
      <c r="AE511" t="e">
        <f>VLOOKUP($B511&amp;AE$1,Data!$A$2:$D$3723,4,FALSE)</f>
        <v>#N/A</v>
      </c>
      <c r="AF511" t="e">
        <f>VLOOKUP($B511&amp;AF$1,Data!$A$2:$D$3723,4,FALSE)</f>
        <v>#N/A</v>
      </c>
      <c r="AG511" t="e">
        <f>VLOOKUP($B511&amp;AG$1,Data!$A$2:$D$3723,4,FALSE)</f>
        <v>#N/A</v>
      </c>
      <c r="AH511" t="e">
        <f>VLOOKUP($B511&amp;AH$1,Data!$A$2:$D$3723,4,FALSE)</f>
        <v>#N/A</v>
      </c>
      <c r="AI511" t="e">
        <f>VLOOKUP($B511&amp;AI$1,Data!$A$2:$D$3723,4,FALSE)</f>
        <v>#N/A</v>
      </c>
    </row>
    <row r="512" spans="2:35" hidden="1">
      <c r="B512" s="13">
        <v>511</v>
      </c>
      <c r="C512" s="13" t="s">
        <v>56</v>
      </c>
      <c r="D512" t="s">
        <v>19</v>
      </c>
      <c r="E512" t="s">
        <v>22</v>
      </c>
      <c r="F512">
        <v>100</v>
      </c>
      <c r="G512" t="s">
        <v>17</v>
      </c>
      <c r="H512" s="5">
        <v>43831</v>
      </c>
      <c r="I512" s="5">
        <v>44562</v>
      </c>
      <c r="J512">
        <v>14</v>
      </c>
      <c r="K512">
        <v>9</v>
      </c>
      <c r="L512">
        <v>28</v>
      </c>
      <c r="M512">
        <v>72</v>
      </c>
      <c r="N512">
        <v>1000000</v>
      </c>
      <c r="O512" t="e">
        <f>VLOOKUP($B512&amp;O$1,Data!$A$2:$D$3723,4,FALSE)</f>
        <v>#N/A</v>
      </c>
      <c r="P512" t="e">
        <f>VLOOKUP($B512&amp;P$1,Data!$A$2:$D$3723,4,FALSE)</f>
        <v>#N/A</v>
      </c>
      <c r="Q512" t="e">
        <f>VLOOKUP($B512&amp;Q$1,Data!$A$2:$D$3723,4,FALSE)</f>
        <v>#N/A</v>
      </c>
      <c r="R512" t="e">
        <f>VLOOKUP($B512&amp;R$1,Data!$A$2:$D$3723,4,FALSE)</f>
        <v>#N/A</v>
      </c>
      <c r="S512" t="e">
        <f>VLOOKUP($B512&amp;S$1,Data!$A$2:$D$3723,4,FALSE)</f>
        <v>#N/A</v>
      </c>
      <c r="T512" t="e">
        <f>VLOOKUP($B512&amp;T$1,Data!$A$2:$D$3723,4,FALSE)</f>
        <v>#N/A</v>
      </c>
      <c r="U512" t="e">
        <f>VLOOKUP($B512&amp;U$1,Data!$A$2:$D$3723,4,FALSE)</f>
        <v>#N/A</v>
      </c>
      <c r="V512" t="e">
        <f>VLOOKUP($B512&amp;V$1,Data!$A$2:$D$3723,4,FALSE)</f>
        <v>#N/A</v>
      </c>
      <c r="W512" t="e">
        <f>VLOOKUP($B512&amp;W$1,Data!$A$2:$D$3723,4,FALSE)</f>
        <v>#N/A</v>
      </c>
      <c r="X512" t="e">
        <f>VLOOKUP($B512&amp;X$1,Data!$A$2:$D$3723,4,FALSE)</f>
        <v>#N/A</v>
      </c>
      <c r="Y512" t="e">
        <f>VLOOKUP($B512&amp;Y$1,Data!$A$2:$D$3723,4,FALSE)</f>
        <v>#N/A</v>
      </c>
      <c r="Z512" t="e">
        <f>VLOOKUP($B512&amp;Z$1,Data!$A$2:$D$3723,4,FALSE)</f>
        <v>#N/A</v>
      </c>
      <c r="AA512" t="e">
        <f>VLOOKUP($B512&amp;AA$1,Data!$A$2:$D$3723,4,FALSE)</f>
        <v>#N/A</v>
      </c>
      <c r="AB512" t="e">
        <f>VLOOKUP($B512&amp;AB$1,Data!$A$2:$D$3723,4,FALSE)</f>
        <v>#N/A</v>
      </c>
      <c r="AC512" t="e">
        <f>VLOOKUP($B512&amp;AC$1,Data!$A$2:$D$3723,4,FALSE)</f>
        <v>#N/A</v>
      </c>
      <c r="AD512" t="e">
        <f>VLOOKUP($B512&amp;AD$1,Data!$A$2:$D$3723,4,FALSE)</f>
        <v>#N/A</v>
      </c>
      <c r="AE512" t="e">
        <f>VLOOKUP($B512&amp;AE$1,Data!$A$2:$D$3723,4,FALSE)</f>
        <v>#N/A</v>
      </c>
      <c r="AF512" t="e">
        <f>VLOOKUP($B512&amp;AF$1,Data!$A$2:$D$3723,4,FALSE)</f>
        <v>#N/A</v>
      </c>
      <c r="AG512" t="e">
        <f>VLOOKUP($B512&amp;AG$1,Data!$A$2:$D$3723,4,FALSE)</f>
        <v>#N/A</v>
      </c>
      <c r="AH512" t="e">
        <f>VLOOKUP($B512&amp;AH$1,Data!$A$2:$D$3723,4,FALSE)</f>
        <v>#N/A</v>
      </c>
      <c r="AI512" t="e">
        <f>VLOOKUP($B512&amp;AI$1,Data!$A$2:$D$3723,4,FALSE)</f>
        <v>#N/A</v>
      </c>
    </row>
    <row r="513" spans="2:35" hidden="1">
      <c r="B513" s="13">
        <v>512</v>
      </c>
      <c r="C513" s="13" t="s">
        <v>56</v>
      </c>
      <c r="D513" t="s">
        <v>19</v>
      </c>
      <c r="E513" t="s">
        <v>22</v>
      </c>
      <c r="F513">
        <v>1000</v>
      </c>
      <c r="G513" t="s">
        <v>17</v>
      </c>
      <c r="H513" s="5">
        <v>43831</v>
      </c>
      <c r="I513" s="5">
        <v>44562</v>
      </c>
      <c r="J513">
        <v>14</v>
      </c>
      <c r="K513">
        <v>9</v>
      </c>
      <c r="L513">
        <v>28</v>
      </c>
      <c r="M513">
        <v>72</v>
      </c>
      <c r="N513">
        <v>1000000</v>
      </c>
      <c r="O513" t="e">
        <f>VLOOKUP($B513&amp;O$1,Data!$A$2:$D$3723,4,FALSE)</f>
        <v>#N/A</v>
      </c>
      <c r="P513" t="e">
        <f>VLOOKUP($B513&amp;P$1,Data!$A$2:$D$3723,4,FALSE)</f>
        <v>#N/A</v>
      </c>
      <c r="Q513" t="e">
        <f>VLOOKUP($B513&amp;Q$1,Data!$A$2:$D$3723,4,FALSE)</f>
        <v>#N/A</v>
      </c>
      <c r="R513" t="e">
        <f>VLOOKUP($B513&amp;R$1,Data!$A$2:$D$3723,4,FALSE)</f>
        <v>#N/A</v>
      </c>
      <c r="S513" t="e">
        <f>VLOOKUP($B513&amp;S$1,Data!$A$2:$D$3723,4,FALSE)</f>
        <v>#N/A</v>
      </c>
      <c r="T513" t="e">
        <f>VLOOKUP($B513&amp;T$1,Data!$A$2:$D$3723,4,FALSE)</f>
        <v>#N/A</v>
      </c>
      <c r="U513" t="e">
        <f>VLOOKUP($B513&amp;U$1,Data!$A$2:$D$3723,4,FALSE)</f>
        <v>#N/A</v>
      </c>
      <c r="V513" t="e">
        <f>VLOOKUP($B513&amp;V$1,Data!$A$2:$D$3723,4,FALSE)</f>
        <v>#N/A</v>
      </c>
      <c r="W513" t="e">
        <f>VLOOKUP($B513&amp;W$1,Data!$A$2:$D$3723,4,FALSE)</f>
        <v>#N/A</v>
      </c>
      <c r="X513" t="e">
        <f>VLOOKUP($B513&amp;X$1,Data!$A$2:$D$3723,4,FALSE)</f>
        <v>#N/A</v>
      </c>
      <c r="Y513" t="e">
        <f>VLOOKUP($B513&amp;Y$1,Data!$A$2:$D$3723,4,FALSE)</f>
        <v>#N/A</v>
      </c>
      <c r="Z513" t="e">
        <f>VLOOKUP($B513&amp;Z$1,Data!$A$2:$D$3723,4,FALSE)</f>
        <v>#N/A</v>
      </c>
      <c r="AA513" t="e">
        <f>VLOOKUP($B513&amp;AA$1,Data!$A$2:$D$3723,4,FALSE)</f>
        <v>#N/A</v>
      </c>
      <c r="AB513" t="e">
        <f>VLOOKUP($B513&amp;AB$1,Data!$A$2:$D$3723,4,FALSE)</f>
        <v>#N/A</v>
      </c>
      <c r="AC513" t="e">
        <f>VLOOKUP($B513&amp;AC$1,Data!$A$2:$D$3723,4,FALSE)</f>
        <v>#N/A</v>
      </c>
      <c r="AD513" t="e">
        <f>VLOOKUP($B513&amp;AD$1,Data!$A$2:$D$3723,4,FALSE)</f>
        <v>#N/A</v>
      </c>
      <c r="AE513" t="e">
        <f>VLOOKUP($B513&amp;AE$1,Data!$A$2:$D$3723,4,FALSE)</f>
        <v>#N/A</v>
      </c>
      <c r="AF513" t="e">
        <f>VLOOKUP($B513&amp;AF$1,Data!$A$2:$D$3723,4,FALSE)</f>
        <v>#N/A</v>
      </c>
      <c r="AG513" t="e">
        <f>VLOOKUP($B513&amp;AG$1,Data!$A$2:$D$3723,4,FALSE)</f>
        <v>#N/A</v>
      </c>
      <c r="AH513" t="e">
        <f>VLOOKUP($B513&amp;AH$1,Data!$A$2:$D$3723,4,FALSE)</f>
        <v>#N/A</v>
      </c>
      <c r="AI513" t="e">
        <f>VLOOKUP($B513&amp;AI$1,Data!$A$2:$D$3723,4,FALSE)</f>
        <v>#N/A</v>
      </c>
    </row>
    <row r="514" spans="2:35" hidden="1">
      <c r="B514" s="13">
        <v>513</v>
      </c>
      <c r="C514" s="13" t="s">
        <v>56</v>
      </c>
      <c r="D514" t="s">
        <v>19</v>
      </c>
      <c r="E514" t="s">
        <v>22</v>
      </c>
      <c r="F514">
        <v>5000</v>
      </c>
      <c r="G514" t="s">
        <v>17</v>
      </c>
      <c r="H514" s="5">
        <v>43831</v>
      </c>
      <c r="I514" s="5">
        <v>44562</v>
      </c>
      <c r="J514">
        <v>14</v>
      </c>
      <c r="K514">
        <v>9</v>
      </c>
      <c r="L514">
        <v>28</v>
      </c>
      <c r="M514">
        <v>72</v>
      </c>
      <c r="N514">
        <v>1000000</v>
      </c>
      <c r="O514" t="e">
        <f>VLOOKUP($B514&amp;O$1,Data!$A$2:$D$3723,4,FALSE)</f>
        <v>#N/A</v>
      </c>
      <c r="P514" t="e">
        <f>VLOOKUP($B514&amp;P$1,Data!$A$2:$D$3723,4,FALSE)</f>
        <v>#N/A</v>
      </c>
      <c r="Q514" t="e">
        <f>VLOOKUP($B514&amp;Q$1,Data!$A$2:$D$3723,4,FALSE)</f>
        <v>#N/A</v>
      </c>
      <c r="R514" t="e">
        <f>VLOOKUP($B514&amp;R$1,Data!$A$2:$D$3723,4,FALSE)</f>
        <v>#N/A</v>
      </c>
      <c r="S514" t="e">
        <f>VLOOKUP($B514&amp;S$1,Data!$A$2:$D$3723,4,FALSE)</f>
        <v>#N/A</v>
      </c>
      <c r="T514" t="e">
        <f>VLOOKUP($B514&amp;T$1,Data!$A$2:$D$3723,4,FALSE)</f>
        <v>#N/A</v>
      </c>
      <c r="U514" t="e">
        <f>VLOOKUP($B514&amp;U$1,Data!$A$2:$D$3723,4,FALSE)</f>
        <v>#N/A</v>
      </c>
      <c r="V514" t="e">
        <f>VLOOKUP($B514&amp;V$1,Data!$A$2:$D$3723,4,FALSE)</f>
        <v>#N/A</v>
      </c>
      <c r="W514" t="e">
        <f>VLOOKUP($B514&amp;W$1,Data!$A$2:$D$3723,4,FALSE)</f>
        <v>#N/A</v>
      </c>
      <c r="X514" t="e">
        <f>VLOOKUP($B514&amp;X$1,Data!$A$2:$D$3723,4,FALSE)</f>
        <v>#N/A</v>
      </c>
      <c r="Y514" t="e">
        <f>VLOOKUP($B514&amp;Y$1,Data!$A$2:$D$3723,4,FALSE)</f>
        <v>#N/A</v>
      </c>
      <c r="Z514" t="e">
        <f>VLOOKUP($B514&amp;Z$1,Data!$A$2:$D$3723,4,FALSE)</f>
        <v>#N/A</v>
      </c>
      <c r="AA514" t="e">
        <f>VLOOKUP($B514&amp;AA$1,Data!$A$2:$D$3723,4,FALSE)</f>
        <v>#N/A</v>
      </c>
      <c r="AB514" t="e">
        <f>VLOOKUP($B514&amp;AB$1,Data!$A$2:$D$3723,4,FALSE)</f>
        <v>#N/A</v>
      </c>
      <c r="AC514" t="e">
        <f>VLOOKUP($B514&amp;AC$1,Data!$A$2:$D$3723,4,FALSE)</f>
        <v>#N/A</v>
      </c>
      <c r="AD514" t="e">
        <f>VLOOKUP($B514&amp;AD$1,Data!$A$2:$D$3723,4,FALSE)</f>
        <v>#N/A</v>
      </c>
      <c r="AE514" t="e">
        <f>VLOOKUP($B514&amp;AE$1,Data!$A$2:$D$3723,4,FALSE)</f>
        <v>#N/A</v>
      </c>
      <c r="AF514" t="e">
        <f>VLOOKUP($B514&amp;AF$1,Data!$A$2:$D$3723,4,FALSE)</f>
        <v>#N/A</v>
      </c>
      <c r="AG514" t="e">
        <f>VLOOKUP($B514&amp;AG$1,Data!$A$2:$D$3723,4,FALSE)</f>
        <v>#N/A</v>
      </c>
      <c r="AH514" t="e">
        <f>VLOOKUP($B514&amp;AH$1,Data!$A$2:$D$3723,4,FALSE)</f>
        <v>#N/A</v>
      </c>
      <c r="AI514" t="e">
        <f>VLOOKUP($B514&amp;AI$1,Data!$A$2:$D$3723,4,FALSE)</f>
        <v>#N/A</v>
      </c>
    </row>
    <row r="515" spans="2:35" hidden="1">
      <c r="B515" s="13">
        <v>514</v>
      </c>
      <c r="C515" s="13" t="s">
        <v>56</v>
      </c>
      <c r="D515" t="s">
        <v>20</v>
      </c>
      <c r="E515" t="s">
        <v>3</v>
      </c>
      <c r="F515">
        <v>100</v>
      </c>
      <c r="G515" t="s">
        <v>17</v>
      </c>
      <c r="H515" s="5">
        <v>43831</v>
      </c>
      <c r="I515" s="5">
        <v>44562</v>
      </c>
      <c r="J515">
        <v>14</v>
      </c>
      <c r="K515">
        <v>9</v>
      </c>
      <c r="L515">
        <v>30</v>
      </c>
      <c r="M515">
        <v>70</v>
      </c>
      <c r="N515">
        <v>1000000</v>
      </c>
      <c r="W515"/>
    </row>
    <row r="516" spans="2:35" hidden="1">
      <c r="B516" s="13">
        <v>515</v>
      </c>
      <c r="C516" s="13" t="s">
        <v>56</v>
      </c>
      <c r="D516" t="s">
        <v>20</v>
      </c>
      <c r="E516" t="s">
        <v>3</v>
      </c>
      <c r="F516">
        <v>1000</v>
      </c>
      <c r="G516" t="s">
        <v>17</v>
      </c>
      <c r="H516" s="5">
        <v>43831</v>
      </c>
      <c r="I516" s="5">
        <v>44562</v>
      </c>
      <c r="J516">
        <v>14</v>
      </c>
      <c r="K516">
        <v>9</v>
      </c>
      <c r="L516">
        <v>30</v>
      </c>
      <c r="M516">
        <v>70</v>
      </c>
      <c r="N516">
        <v>1000000</v>
      </c>
      <c r="W516"/>
    </row>
    <row r="517" spans="2:35" hidden="1">
      <c r="B517" s="13">
        <v>516</v>
      </c>
      <c r="C517" s="13" t="s">
        <v>56</v>
      </c>
      <c r="D517" t="s">
        <v>20</v>
      </c>
      <c r="E517" t="s">
        <v>3</v>
      </c>
      <c r="F517">
        <v>5000</v>
      </c>
      <c r="G517" t="s">
        <v>17</v>
      </c>
      <c r="H517" s="5">
        <v>43831</v>
      </c>
      <c r="I517" s="5">
        <v>44562</v>
      </c>
      <c r="J517">
        <v>14</v>
      </c>
      <c r="K517">
        <v>9</v>
      </c>
      <c r="L517">
        <v>30</v>
      </c>
      <c r="M517">
        <v>70</v>
      </c>
      <c r="N517">
        <v>1000000</v>
      </c>
      <c r="W517"/>
    </row>
    <row r="518" spans="2:35" hidden="1">
      <c r="B518" s="13">
        <v>517</v>
      </c>
      <c r="C518" s="13" t="s">
        <v>56</v>
      </c>
      <c r="D518" t="s">
        <v>20</v>
      </c>
      <c r="E518" t="s">
        <v>2</v>
      </c>
      <c r="F518">
        <v>100</v>
      </c>
      <c r="G518" t="s">
        <v>17</v>
      </c>
      <c r="H518" s="5">
        <v>43831</v>
      </c>
      <c r="I518" s="5">
        <v>44562</v>
      </c>
      <c r="J518">
        <v>14</v>
      </c>
      <c r="K518">
        <v>9</v>
      </c>
      <c r="L518">
        <v>30</v>
      </c>
      <c r="M518">
        <v>70</v>
      </c>
      <c r="N518">
        <v>1000000</v>
      </c>
      <c r="W518"/>
    </row>
    <row r="519" spans="2:35" hidden="1">
      <c r="B519" s="13">
        <v>518</v>
      </c>
      <c r="C519" s="13" t="s">
        <v>56</v>
      </c>
      <c r="D519" t="s">
        <v>20</v>
      </c>
      <c r="E519" t="s">
        <v>2</v>
      </c>
      <c r="F519">
        <v>1000</v>
      </c>
      <c r="G519" t="s">
        <v>17</v>
      </c>
      <c r="H519" s="5">
        <v>43831</v>
      </c>
      <c r="I519" s="5">
        <v>44562</v>
      </c>
      <c r="J519">
        <v>14</v>
      </c>
      <c r="K519">
        <v>9</v>
      </c>
      <c r="L519">
        <v>30</v>
      </c>
      <c r="M519">
        <v>70</v>
      </c>
      <c r="N519">
        <v>1000000</v>
      </c>
      <c r="W519"/>
    </row>
    <row r="520" spans="2:35" hidden="1">
      <c r="B520" s="13">
        <v>519</v>
      </c>
      <c r="C520" s="13" t="s">
        <v>56</v>
      </c>
      <c r="D520" t="s">
        <v>20</v>
      </c>
      <c r="E520" t="s">
        <v>2</v>
      </c>
      <c r="F520">
        <v>5000</v>
      </c>
      <c r="G520" t="s">
        <v>17</v>
      </c>
      <c r="H520" s="5">
        <v>43831</v>
      </c>
      <c r="I520" s="5">
        <v>44562</v>
      </c>
      <c r="J520">
        <v>14</v>
      </c>
      <c r="K520">
        <v>9</v>
      </c>
      <c r="L520">
        <v>30</v>
      </c>
      <c r="M520">
        <v>70</v>
      </c>
      <c r="N520">
        <v>1000000</v>
      </c>
      <c r="W520"/>
    </row>
    <row r="521" spans="2:35" hidden="1">
      <c r="B521" s="13">
        <v>520</v>
      </c>
      <c r="C521" s="13" t="s">
        <v>56</v>
      </c>
      <c r="D521" t="s">
        <v>20</v>
      </c>
      <c r="E521" t="s">
        <v>22</v>
      </c>
      <c r="F521">
        <v>100</v>
      </c>
      <c r="G521" t="s">
        <v>17</v>
      </c>
      <c r="H521" s="5">
        <v>43831</v>
      </c>
      <c r="I521" s="5">
        <v>44562</v>
      </c>
      <c r="J521">
        <v>14</v>
      </c>
      <c r="K521">
        <v>9</v>
      </c>
      <c r="L521">
        <v>30</v>
      </c>
      <c r="M521">
        <v>70</v>
      </c>
      <c r="N521">
        <v>1000000</v>
      </c>
      <c r="W521"/>
    </row>
    <row r="522" spans="2:35" hidden="1">
      <c r="B522" s="13">
        <v>521</v>
      </c>
      <c r="C522" s="13" t="s">
        <v>56</v>
      </c>
      <c r="D522" t="s">
        <v>20</v>
      </c>
      <c r="E522" t="s">
        <v>22</v>
      </c>
      <c r="F522">
        <v>1000</v>
      </c>
      <c r="G522" t="s">
        <v>17</v>
      </c>
      <c r="H522" s="5">
        <v>43831</v>
      </c>
      <c r="I522" s="5">
        <v>44562</v>
      </c>
      <c r="J522">
        <v>14</v>
      </c>
      <c r="K522">
        <v>9</v>
      </c>
      <c r="L522">
        <v>30</v>
      </c>
      <c r="M522">
        <v>70</v>
      </c>
      <c r="N522">
        <v>1000000</v>
      </c>
      <c r="W522"/>
    </row>
    <row r="523" spans="2:35" hidden="1">
      <c r="B523" s="13">
        <v>522</v>
      </c>
      <c r="C523" s="13" t="s">
        <v>56</v>
      </c>
      <c r="D523" t="s">
        <v>20</v>
      </c>
      <c r="E523" t="s">
        <v>22</v>
      </c>
      <c r="F523">
        <v>5000</v>
      </c>
      <c r="G523" t="s">
        <v>17</v>
      </c>
      <c r="H523" s="5">
        <v>43831</v>
      </c>
      <c r="I523" s="5">
        <v>44562</v>
      </c>
      <c r="J523">
        <v>14</v>
      </c>
      <c r="K523">
        <v>9</v>
      </c>
      <c r="L523">
        <v>30</v>
      </c>
      <c r="M523">
        <v>70</v>
      </c>
      <c r="N523">
        <v>1000000</v>
      </c>
      <c r="W523"/>
    </row>
    <row r="524" spans="2:35" hidden="1">
      <c r="B524" s="13">
        <v>523</v>
      </c>
      <c r="C524" s="13" t="s">
        <v>56</v>
      </c>
      <c r="D524" t="s">
        <v>20</v>
      </c>
      <c r="E524" t="s">
        <v>3</v>
      </c>
      <c r="F524">
        <v>100</v>
      </c>
      <c r="G524" t="s">
        <v>17</v>
      </c>
      <c r="H524" s="5">
        <v>43831</v>
      </c>
      <c r="I524" s="5">
        <v>44562</v>
      </c>
      <c r="J524">
        <v>14</v>
      </c>
      <c r="K524">
        <v>9</v>
      </c>
      <c r="L524">
        <v>32</v>
      </c>
      <c r="M524">
        <v>68</v>
      </c>
      <c r="N524">
        <v>1000000</v>
      </c>
      <c r="O524" t="e">
        <f>VLOOKUP($B524&amp;O$1,Data!$A$2:$D$3723,4,FALSE)</f>
        <v>#N/A</v>
      </c>
      <c r="P524" t="e">
        <f>VLOOKUP($B524&amp;P$1,Data!$A$2:$D$3723,4,FALSE)</f>
        <v>#N/A</v>
      </c>
      <c r="Q524" t="e">
        <f>VLOOKUP($B524&amp;Q$1,Data!$A$2:$D$3723,4,FALSE)</f>
        <v>#N/A</v>
      </c>
      <c r="R524" t="e">
        <f>VLOOKUP($B524&amp;R$1,Data!$A$2:$D$3723,4,FALSE)</f>
        <v>#N/A</v>
      </c>
      <c r="S524" t="e">
        <f>VLOOKUP($B524&amp;S$1,Data!$A$2:$D$3723,4,FALSE)</f>
        <v>#N/A</v>
      </c>
      <c r="T524" t="e">
        <f>VLOOKUP($B524&amp;T$1,Data!$A$2:$D$3723,4,FALSE)</f>
        <v>#N/A</v>
      </c>
      <c r="U524" t="e">
        <f>VLOOKUP($B524&amp;U$1,Data!$A$2:$D$3723,4,FALSE)</f>
        <v>#N/A</v>
      </c>
      <c r="V524" t="e">
        <f>VLOOKUP($B524&amp;V$1,Data!$A$2:$D$3723,4,FALSE)</f>
        <v>#N/A</v>
      </c>
      <c r="W524" t="e">
        <f>VLOOKUP($B524&amp;W$1,Data!$A$2:$D$3723,4,FALSE)</f>
        <v>#N/A</v>
      </c>
      <c r="X524" t="e">
        <f>VLOOKUP($B524&amp;X$1,Data!$A$2:$D$3723,4,FALSE)</f>
        <v>#N/A</v>
      </c>
      <c r="Y524" t="e">
        <f>VLOOKUP($B524&amp;Y$1,Data!$A$2:$D$3723,4,FALSE)</f>
        <v>#N/A</v>
      </c>
      <c r="Z524" t="e">
        <f>VLOOKUP($B524&amp;Z$1,Data!$A$2:$D$3723,4,FALSE)</f>
        <v>#N/A</v>
      </c>
      <c r="AA524" t="e">
        <f>VLOOKUP($B524&amp;AA$1,Data!$A$2:$D$3723,4,FALSE)</f>
        <v>#N/A</v>
      </c>
      <c r="AB524" t="e">
        <f>VLOOKUP($B524&amp;AB$1,Data!$A$2:$D$3723,4,FALSE)</f>
        <v>#N/A</v>
      </c>
      <c r="AC524" t="e">
        <f>VLOOKUP($B524&amp;AC$1,Data!$A$2:$D$3723,4,FALSE)</f>
        <v>#N/A</v>
      </c>
      <c r="AD524" t="e">
        <f>VLOOKUP($B524&amp;AD$1,Data!$A$2:$D$3723,4,FALSE)</f>
        <v>#N/A</v>
      </c>
      <c r="AE524" t="e">
        <f>VLOOKUP($B524&amp;AE$1,Data!$A$2:$D$3723,4,FALSE)</f>
        <v>#N/A</v>
      </c>
      <c r="AF524" t="e">
        <f>VLOOKUP($B524&amp;AF$1,Data!$A$2:$D$3723,4,FALSE)</f>
        <v>#N/A</v>
      </c>
      <c r="AG524" t="e">
        <f>VLOOKUP($B524&amp;AG$1,Data!$A$2:$D$3723,4,FALSE)</f>
        <v>#N/A</v>
      </c>
      <c r="AH524" t="e">
        <f>VLOOKUP($B524&amp;AH$1,Data!$A$2:$D$3723,4,FALSE)</f>
        <v>#N/A</v>
      </c>
      <c r="AI524" t="e">
        <f>VLOOKUP($B524&amp;AI$1,Data!$A$2:$D$3723,4,FALSE)</f>
        <v>#N/A</v>
      </c>
    </row>
    <row r="525" spans="2:35" hidden="1">
      <c r="B525" s="13">
        <v>524</v>
      </c>
      <c r="C525" s="13" t="s">
        <v>56</v>
      </c>
      <c r="D525" t="s">
        <v>20</v>
      </c>
      <c r="E525" t="s">
        <v>3</v>
      </c>
      <c r="F525">
        <v>1000</v>
      </c>
      <c r="G525" t="s">
        <v>17</v>
      </c>
      <c r="H525" s="5">
        <v>43831</v>
      </c>
      <c r="I525" s="5">
        <v>44562</v>
      </c>
      <c r="J525">
        <v>14</v>
      </c>
      <c r="K525">
        <v>9</v>
      </c>
      <c r="L525">
        <v>32</v>
      </c>
      <c r="M525">
        <v>68</v>
      </c>
      <c r="N525">
        <v>1000000</v>
      </c>
      <c r="O525" t="e">
        <f>VLOOKUP($B525&amp;O$1,Data!$A$2:$D$3723,4,FALSE)</f>
        <v>#N/A</v>
      </c>
      <c r="P525" t="e">
        <f>VLOOKUP($B525&amp;P$1,Data!$A$2:$D$3723,4,FALSE)</f>
        <v>#N/A</v>
      </c>
      <c r="Q525" t="e">
        <f>VLOOKUP($B525&amp;Q$1,Data!$A$2:$D$3723,4,FALSE)</f>
        <v>#N/A</v>
      </c>
      <c r="R525" t="e">
        <f>VLOOKUP($B525&amp;R$1,Data!$A$2:$D$3723,4,FALSE)</f>
        <v>#N/A</v>
      </c>
      <c r="S525" t="e">
        <f>VLOOKUP($B525&amp;S$1,Data!$A$2:$D$3723,4,FALSE)</f>
        <v>#N/A</v>
      </c>
      <c r="T525" t="e">
        <f>VLOOKUP($B525&amp;T$1,Data!$A$2:$D$3723,4,FALSE)</f>
        <v>#N/A</v>
      </c>
      <c r="U525" t="e">
        <f>VLOOKUP($B525&amp;U$1,Data!$A$2:$D$3723,4,FALSE)</f>
        <v>#N/A</v>
      </c>
      <c r="V525" t="e">
        <f>VLOOKUP($B525&amp;V$1,Data!$A$2:$D$3723,4,FALSE)</f>
        <v>#N/A</v>
      </c>
      <c r="W525" t="e">
        <f>VLOOKUP($B525&amp;W$1,Data!$A$2:$D$3723,4,FALSE)</f>
        <v>#N/A</v>
      </c>
      <c r="X525" t="e">
        <f>VLOOKUP($B525&amp;X$1,Data!$A$2:$D$3723,4,FALSE)</f>
        <v>#N/A</v>
      </c>
      <c r="Y525" t="e">
        <f>VLOOKUP($B525&amp;Y$1,Data!$A$2:$D$3723,4,FALSE)</f>
        <v>#N/A</v>
      </c>
      <c r="Z525" t="e">
        <f>VLOOKUP($B525&amp;Z$1,Data!$A$2:$D$3723,4,FALSE)</f>
        <v>#N/A</v>
      </c>
      <c r="AA525" t="e">
        <f>VLOOKUP($B525&amp;AA$1,Data!$A$2:$D$3723,4,FALSE)</f>
        <v>#N/A</v>
      </c>
      <c r="AB525" t="e">
        <f>VLOOKUP($B525&amp;AB$1,Data!$A$2:$D$3723,4,FALSE)</f>
        <v>#N/A</v>
      </c>
      <c r="AC525" t="e">
        <f>VLOOKUP($B525&amp;AC$1,Data!$A$2:$D$3723,4,FALSE)</f>
        <v>#N/A</v>
      </c>
      <c r="AD525" t="e">
        <f>VLOOKUP($B525&amp;AD$1,Data!$A$2:$D$3723,4,FALSE)</f>
        <v>#N/A</v>
      </c>
      <c r="AE525" t="e">
        <f>VLOOKUP($B525&amp;AE$1,Data!$A$2:$D$3723,4,FALSE)</f>
        <v>#N/A</v>
      </c>
      <c r="AF525" t="e">
        <f>VLOOKUP($B525&amp;AF$1,Data!$A$2:$D$3723,4,FALSE)</f>
        <v>#N/A</v>
      </c>
      <c r="AG525" t="e">
        <f>VLOOKUP($B525&amp;AG$1,Data!$A$2:$D$3723,4,FALSE)</f>
        <v>#N/A</v>
      </c>
      <c r="AH525" t="e">
        <f>VLOOKUP($B525&amp;AH$1,Data!$A$2:$D$3723,4,FALSE)</f>
        <v>#N/A</v>
      </c>
      <c r="AI525" t="e">
        <f>VLOOKUP($B525&amp;AI$1,Data!$A$2:$D$3723,4,FALSE)</f>
        <v>#N/A</v>
      </c>
    </row>
    <row r="526" spans="2:35" hidden="1">
      <c r="B526" s="13">
        <v>525</v>
      </c>
      <c r="C526" s="13" t="s">
        <v>56</v>
      </c>
      <c r="D526" t="s">
        <v>20</v>
      </c>
      <c r="E526" t="s">
        <v>3</v>
      </c>
      <c r="F526">
        <v>5000</v>
      </c>
      <c r="G526" t="s">
        <v>17</v>
      </c>
      <c r="H526" s="5">
        <v>43831</v>
      </c>
      <c r="I526" s="5">
        <v>44562</v>
      </c>
      <c r="J526">
        <v>14</v>
      </c>
      <c r="K526">
        <v>9</v>
      </c>
      <c r="L526">
        <v>32</v>
      </c>
      <c r="M526">
        <v>68</v>
      </c>
      <c r="N526">
        <v>1000000</v>
      </c>
      <c r="O526" t="e">
        <f>VLOOKUP($B526&amp;O$1,Data!$A$2:$D$3723,4,FALSE)</f>
        <v>#N/A</v>
      </c>
      <c r="P526" t="e">
        <f>VLOOKUP($B526&amp;P$1,Data!$A$2:$D$3723,4,FALSE)</f>
        <v>#N/A</v>
      </c>
      <c r="Q526" t="e">
        <f>VLOOKUP($B526&amp;Q$1,Data!$A$2:$D$3723,4,FALSE)</f>
        <v>#N/A</v>
      </c>
      <c r="R526" t="e">
        <f>VLOOKUP($B526&amp;R$1,Data!$A$2:$D$3723,4,FALSE)</f>
        <v>#N/A</v>
      </c>
      <c r="S526" t="e">
        <f>VLOOKUP($B526&amp;S$1,Data!$A$2:$D$3723,4,FALSE)</f>
        <v>#N/A</v>
      </c>
      <c r="T526" t="e">
        <f>VLOOKUP($B526&amp;T$1,Data!$A$2:$D$3723,4,FALSE)</f>
        <v>#N/A</v>
      </c>
      <c r="U526" t="e">
        <f>VLOOKUP($B526&amp;U$1,Data!$A$2:$D$3723,4,FALSE)</f>
        <v>#N/A</v>
      </c>
      <c r="V526" t="e">
        <f>VLOOKUP($B526&amp;V$1,Data!$A$2:$D$3723,4,FALSE)</f>
        <v>#N/A</v>
      </c>
      <c r="W526" t="e">
        <f>VLOOKUP($B526&amp;W$1,Data!$A$2:$D$3723,4,FALSE)</f>
        <v>#N/A</v>
      </c>
      <c r="X526" t="e">
        <f>VLOOKUP($B526&amp;X$1,Data!$A$2:$D$3723,4,FALSE)</f>
        <v>#N/A</v>
      </c>
      <c r="Y526" t="e">
        <f>VLOOKUP($B526&amp;Y$1,Data!$A$2:$D$3723,4,FALSE)</f>
        <v>#N/A</v>
      </c>
      <c r="Z526" t="e">
        <f>VLOOKUP($B526&amp;Z$1,Data!$A$2:$D$3723,4,FALSE)</f>
        <v>#N/A</v>
      </c>
      <c r="AA526" t="e">
        <f>VLOOKUP($B526&amp;AA$1,Data!$A$2:$D$3723,4,FALSE)</f>
        <v>#N/A</v>
      </c>
      <c r="AB526" t="e">
        <f>VLOOKUP($B526&amp;AB$1,Data!$A$2:$D$3723,4,FALSE)</f>
        <v>#N/A</v>
      </c>
      <c r="AC526" t="e">
        <f>VLOOKUP($B526&amp;AC$1,Data!$A$2:$D$3723,4,FALSE)</f>
        <v>#N/A</v>
      </c>
      <c r="AD526" t="e">
        <f>VLOOKUP($B526&amp;AD$1,Data!$A$2:$D$3723,4,FALSE)</f>
        <v>#N/A</v>
      </c>
      <c r="AE526" t="e">
        <f>VLOOKUP($B526&amp;AE$1,Data!$A$2:$D$3723,4,FALSE)</f>
        <v>#N/A</v>
      </c>
      <c r="AF526" t="e">
        <f>VLOOKUP($B526&amp;AF$1,Data!$A$2:$D$3723,4,FALSE)</f>
        <v>#N/A</v>
      </c>
      <c r="AG526" t="e">
        <f>VLOOKUP($B526&amp;AG$1,Data!$A$2:$D$3723,4,FALSE)</f>
        <v>#N/A</v>
      </c>
      <c r="AH526" t="e">
        <f>VLOOKUP($B526&amp;AH$1,Data!$A$2:$D$3723,4,FALSE)</f>
        <v>#N/A</v>
      </c>
      <c r="AI526" t="e">
        <f>VLOOKUP($B526&amp;AI$1,Data!$A$2:$D$3723,4,FALSE)</f>
        <v>#N/A</v>
      </c>
    </row>
    <row r="527" spans="2:35" hidden="1">
      <c r="B527" s="13">
        <v>526</v>
      </c>
      <c r="C527" s="13" t="s">
        <v>56</v>
      </c>
      <c r="D527" t="s">
        <v>20</v>
      </c>
      <c r="E527" t="s">
        <v>2</v>
      </c>
      <c r="F527">
        <v>100</v>
      </c>
      <c r="G527" t="s">
        <v>17</v>
      </c>
      <c r="H527" s="5">
        <v>43831</v>
      </c>
      <c r="I527" s="5">
        <v>44562</v>
      </c>
      <c r="J527">
        <v>14</v>
      </c>
      <c r="K527">
        <v>9</v>
      </c>
      <c r="L527">
        <v>32</v>
      </c>
      <c r="M527">
        <v>68</v>
      </c>
      <c r="N527">
        <v>1000000</v>
      </c>
      <c r="O527" t="e">
        <f>VLOOKUP($B527&amp;O$1,Data!$A$2:$D$3723,4,FALSE)</f>
        <v>#N/A</v>
      </c>
      <c r="P527" t="e">
        <f>VLOOKUP($B527&amp;P$1,Data!$A$2:$D$3723,4,FALSE)</f>
        <v>#N/A</v>
      </c>
      <c r="Q527" t="e">
        <f>VLOOKUP($B527&amp;Q$1,Data!$A$2:$D$3723,4,FALSE)</f>
        <v>#N/A</v>
      </c>
      <c r="R527" t="e">
        <f>VLOOKUP($B527&amp;R$1,Data!$A$2:$D$3723,4,FALSE)</f>
        <v>#N/A</v>
      </c>
      <c r="S527" t="e">
        <f>VLOOKUP($B527&amp;S$1,Data!$A$2:$D$3723,4,FALSE)</f>
        <v>#N/A</v>
      </c>
      <c r="T527" t="e">
        <f>VLOOKUP($B527&amp;T$1,Data!$A$2:$D$3723,4,FALSE)</f>
        <v>#N/A</v>
      </c>
      <c r="U527" t="e">
        <f>VLOOKUP($B527&amp;U$1,Data!$A$2:$D$3723,4,FALSE)</f>
        <v>#N/A</v>
      </c>
      <c r="V527" t="e">
        <f>VLOOKUP($B527&amp;V$1,Data!$A$2:$D$3723,4,FALSE)</f>
        <v>#N/A</v>
      </c>
      <c r="W527" t="e">
        <f>VLOOKUP($B527&amp;W$1,Data!$A$2:$D$3723,4,FALSE)</f>
        <v>#N/A</v>
      </c>
      <c r="X527" t="e">
        <f>VLOOKUP($B527&amp;X$1,Data!$A$2:$D$3723,4,FALSE)</f>
        <v>#N/A</v>
      </c>
      <c r="Y527" t="e">
        <f>VLOOKUP($B527&amp;Y$1,Data!$A$2:$D$3723,4,FALSE)</f>
        <v>#N/A</v>
      </c>
      <c r="Z527" t="e">
        <f>VLOOKUP($B527&amp;Z$1,Data!$A$2:$D$3723,4,FALSE)</f>
        <v>#N/A</v>
      </c>
      <c r="AA527" t="e">
        <f>VLOOKUP($B527&amp;AA$1,Data!$A$2:$D$3723,4,FALSE)</f>
        <v>#N/A</v>
      </c>
      <c r="AB527" t="e">
        <f>VLOOKUP($B527&amp;AB$1,Data!$A$2:$D$3723,4,FALSE)</f>
        <v>#N/A</v>
      </c>
      <c r="AC527" t="e">
        <f>VLOOKUP($B527&amp;AC$1,Data!$A$2:$D$3723,4,FALSE)</f>
        <v>#N/A</v>
      </c>
      <c r="AD527" t="e">
        <f>VLOOKUP($B527&amp;AD$1,Data!$A$2:$D$3723,4,FALSE)</f>
        <v>#N/A</v>
      </c>
      <c r="AE527" t="e">
        <f>VLOOKUP($B527&amp;AE$1,Data!$A$2:$D$3723,4,FALSE)</f>
        <v>#N/A</v>
      </c>
      <c r="AF527" t="e">
        <f>VLOOKUP($B527&amp;AF$1,Data!$A$2:$D$3723,4,FALSE)</f>
        <v>#N/A</v>
      </c>
      <c r="AG527" t="e">
        <f>VLOOKUP($B527&amp;AG$1,Data!$A$2:$D$3723,4,FALSE)</f>
        <v>#N/A</v>
      </c>
      <c r="AH527" t="e">
        <f>VLOOKUP($B527&amp;AH$1,Data!$A$2:$D$3723,4,FALSE)</f>
        <v>#N/A</v>
      </c>
      <c r="AI527" t="e">
        <f>VLOOKUP($B527&amp;AI$1,Data!$A$2:$D$3723,4,FALSE)</f>
        <v>#N/A</v>
      </c>
    </row>
    <row r="528" spans="2:35" hidden="1">
      <c r="B528" s="13">
        <v>527</v>
      </c>
      <c r="C528" s="13" t="s">
        <v>56</v>
      </c>
      <c r="D528" t="s">
        <v>20</v>
      </c>
      <c r="E528" t="s">
        <v>2</v>
      </c>
      <c r="F528">
        <v>1000</v>
      </c>
      <c r="G528" t="s">
        <v>17</v>
      </c>
      <c r="H528" s="5">
        <v>43831</v>
      </c>
      <c r="I528" s="5">
        <v>44562</v>
      </c>
      <c r="J528">
        <v>14</v>
      </c>
      <c r="K528">
        <v>9</v>
      </c>
      <c r="L528">
        <v>32</v>
      </c>
      <c r="M528">
        <v>68</v>
      </c>
      <c r="N528">
        <v>1000000</v>
      </c>
      <c r="O528" t="e">
        <f>VLOOKUP($B528&amp;O$1,Data!$A$2:$D$3723,4,FALSE)</f>
        <v>#N/A</v>
      </c>
      <c r="P528" t="e">
        <f>VLOOKUP($B528&amp;P$1,Data!$A$2:$D$3723,4,FALSE)</f>
        <v>#N/A</v>
      </c>
      <c r="Q528" t="e">
        <f>VLOOKUP($B528&amp;Q$1,Data!$A$2:$D$3723,4,FALSE)</f>
        <v>#N/A</v>
      </c>
      <c r="R528" t="e">
        <f>VLOOKUP($B528&amp;R$1,Data!$A$2:$D$3723,4,FALSE)</f>
        <v>#N/A</v>
      </c>
      <c r="S528" t="e">
        <f>VLOOKUP($B528&amp;S$1,Data!$A$2:$D$3723,4,FALSE)</f>
        <v>#N/A</v>
      </c>
      <c r="T528" t="e">
        <f>VLOOKUP($B528&amp;T$1,Data!$A$2:$D$3723,4,FALSE)</f>
        <v>#N/A</v>
      </c>
      <c r="U528" t="e">
        <f>VLOOKUP($B528&amp;U$1,Data!$A$2:$D$3723,4,FALSE)</f>
        <v>#N/A</v>
      </c>
      <c r="V528" t="e">
        <f>VLOOKUP($B528&amp;V$1,Data!$A$2:$D$3723,4,FALSE)</f>
        <v>#N/A</v>
      </c>
      <c r="W528" t="e">
        <f>VLOOKUP($B528&amp;W$1,Data!$A$2:$D$3723,4,FALSE)</f>
        <v>#N/A</v>
      </c>
      <c r="X528" t="e">
        <f>VLOOKUP($B528&amp;X$1,Data!$A$2:$D$3723,4,FALSE)</f>
        <v>#N/A</v>
      </c>
      <c r="Y528" t="e">
        <f>VLOOKUP($B528&amp;Y$1,Data!$A$2:$D$3723,4,FALSE)</f>
        <v>#N/A</v>
      </c>
      <c r="Z528" t="e">
        <f>VLOOKUP($B528&amp;Z$1,Data!$A$2:$D$3723,4,FALSE)</f>
        <v>#N/A</v>
      </c>
      <c r="AA528" t="e">
        <f>VLOOKUP($B528&amp;AA$1,Data!$A$2:$D$3723,4,FALSE)</f>
        <v>#N/A</v>
      </c>
      <c r="AB528" t="e">
        <f>VLOOKUP($B528&amp;AB$1,Data!$A$2:$D$3723,4,FALSE)</f>
        <v>#N/A</v>
      </c>
      <c r="AC528" t="e">
        <f>VLOOKUP($B528&amp;AC$1,Data!$A$2:$D$3723,4,FALSE)</f>
        <v>#N/A</v>
      </c>
      <c r="AD528" t="e">
        <f>VLOOKUP($B528&amp;AD$1,Data!$A$2:$D$3723,4,FALSE)</f>
        <v>#N/A</v>
      </c>
      <c r="AE528" t="e">
        <f>VLOOKUP($B528&amp;AE$1,Data!$A$2:$D$3723,4,FALSE)</f>
        <v>#N/A</v>
      </c>
      <c r="AF528" t="e">
        <f>VLOOKUP($B528&amp;AF$1,Data!$A$2:$D$3723,4,FALSE)</f>
        <v>#N/A</v>
      </c>
      <c r="AG528" t="e">
        <f>VLOOKUP($B528&amp;AG$1,Data!$A$2:$D$3723,4,FALSE)</f>
        <v>#N/A</v>
      </c>
      <c r="AH528" t="e">
        <f>VLOOKUP($B528&amp;AH$1,Data!$A$2:$D$3723,4,FALSE)</f>
        <v>#N/A</v>
      </c>
      <c r="AI528" t="e">
        <f>VLOOKUP($B528&amp;AI$1,Data!$A$2:$D$3723,4,FALSE)</f>
        <v>#N/A</v>
      </c>
    </row>
    <row r="529" spans="2:35" hidden="1">
      <c r="B529" s="13">
        <v>528</v>
      </c>
      <c r="C529" s="13" t="s">
        <v>56</v>
      </c>
      <c r="D529" t="s">
        <v>20</v>
      </c>
      <c r="E529" t="s">
        <v>2</v>
      </c>
      <c r="F529">
        <v>5000</v>
      </c>
      <c r="G529" t="s">
        <v>17</v>
      </c>
      <c r="H529" s="5">
        <v>43831</v>
      </c>
      <c r="I529" s="5">
        <v>44562</v>
      </c>
      <c r="J529">
        <v>14</v>
      </c>
      <c r="K529">
        <v>9</v>
      </c>
      <c r="L529">
        <v>32</v>
      </c>
      <c r="M529">
        <v>68</v>
      </c>
      <c r="N529">
        <v>1000000</v>
      </c>
      <c r="O529" t="e">
        <f>VLOOKUP($B529&amp;O$1,Data!$A$2:$D$3723,4,FALSE)</f>
        <v>#N/A</v>
      </c>
      <c r="P529" t="e">
        <f>VLOOKUP($B529&amp;P$1,Data!$A$2:$D$3723,4,FALSE)</f>
        <v>#N/A</v>
      </c>
      <c r="Q529" t="e">
        <f>VLOOKUP($B529&amp;Q$1,Data!$A$2:$D$3723,4,FALSE)</f>
        <v>#N/A</v>
      </c>
      <c r="R529" t="e">
        <f>VLOOKUP($B529&amp;R$1,Data!$A$2:$D$3723,4,FALSE)</f>
        <v>#N/A</v>
      </c>
      <c r="S529" t="e">
        <f>VLOOKUP($B529&amp;S$1,Data!$A$2:$D$3723,4,FALSE)</f>
        <v>#N/A</v>
      </c>
      <c r="T529" t="e">
        <f>VLOOKUP($B529&amp;T$1,Data!$A$2:$D$3723,4,FALSE)</f>
        <v>#N/A</v>
      </c>
      <c r="U529" t="e">
        <f>VLOOKUP($B529&amp;U$1,Data!$A$2:$D$3723,4,FALSE)</f>
        <v>#N/A</v>
      </c>
      <c r="V529" t="e">
        <f>VLOOKUP($B529&amp;V$1,Data!$A$2:$D$3723,4,FALSE)</f>
        <v>#N/A</v>
      </c>
      <c r="W529" t="e">
        <f>VLOOKUP($B529&amp;W$1,Data!$A$2:$D$3723,4,FALSE)</f>
        <v>#N/A</v>
      </c>
      <c r="X529" t="e">
        <f>VLOOKUP($B529&amp;X$1,Data!$A$2:$D$3723,4,FALSE)</f>
        <v>#N/A</v>
      </c>
      <c r="Y529" t="e">
        <f>VLOOKUP($B529&amp;Y$1,Data!$A$2:$D$3723,4,FALSE)</f>
        <v>#N/A</v>
      </c>
      <c r="Z529" t="e">
        <f>VLOOKUP($B529&amp;Z$1,Data!$A$2:$D$3723,4,FALSE)</f>
        <v>#N/A</v>
      </c>
      <c r="AA529" t="e">
        <f>VLOOKUP($B529&amp;AA$1,Data!$A$2:$D$3723,4,FALSE)</f>
        <v>#N/A</v>
      </c>
      <c r="AB529" t="e">
        <f>VLOOKUP($B529&amp;AB$1,Data!$A$2:$D$3723,4,FALSE)</f>
        <v>#N/A</v>
      </c>
      <c r="AC529" t="e">
        <f>VLOOKUP($B529&amp;AC$1,Data!$A$2:$D$3723,4,FALSE)</f>
        <v>#N/A</v>
      </c>
      <c r="AD529" t="e">
        <f>VLOOKUP($B529&amp;AD$1,Data!$A$2:$D$3723,4,FALSE)</f>
        <v>#N/A</v>
      </c>
      <c r="AE529" t="e">
        <f>VLOOKUP($B529&amp;AE$1,Data!$A$2:$D$3723,4,FALSE)</f>
        <v>#N/A</v>
      </c>
      <c r="AF529" t="e">
        <f>VLOOKUP($B529&amp;AF$1,Data!$A$2:$D$3723,4,FALSE)</f>
        <v>#N/A</v>
      </c>
      <c r="AG529" t="e">
        <f>VLOOKUP($B529&amp;AG$1,Data!$A$2:$D$3723,4,FALSE)</f>
        <v>#N/A</v>
      </c>
      <c r="AH529" t="e">
        <f>VLOOKUP($B529&amp;AH$1,Data!$A$2:$D$3723,4,FALSE)</f>
        <v>#N/A</v>
      </c>
      <c r="AI529" t="e">
        <f>VLOOKUP($B529&amp;AI$1,Data!$A$2:$D$3723,4,FALSE)</f>
        <v>#N/A</v>
      </c>
    </row>
    <row r="530" spans="2:35" hidden="1">
      <c r="B530" s="13">
        <v>529</v>
      </c>
      <c r="C530" s="13" t="s">
        <v>56</v>
      </c>
      <c r="D530" t="s">
        <v>20</v>
      </c>
      <c r="E530" t="s">
        <v>22</v>
      </c>
      <c r="F530">
        <v>100</v>
      </c>
      <c r="G530" t="s">
        <v>17</v>
      </c>
      <c r="H530" s="5">
        <v>43831</v>
      </c>
      <c r="I530" s="5">
        <v>44562</v>
      </c>
      <c r="J530">
        <v>14</v>
      </c>
      <c r="K530">
        <v>9</v>
      </c>
      <c r="L530">
        <v>32</v>
      </c>
      <c r="M530">
        <v>68</v>
      </c>
      <c r="N530">
        <v>1000000</v>
      </c>
      <c r="O530" t="e">
        <f>VLOOKUP($B530&amp;O$1,Data!$A$2:$D$3723,4,FALSE)</f>
        <v>#N/A</v>
      </c>
      <c r="P530" t="e">
        <f>VLOOKUP($B530&amp;P$1,Data!$A$2:$D$3723,4,FALSE)</f>
        <v>#N/A</v>
      </c>
      <c r="Q530" t="e">
        <f>VLOOKUP($B530&amp;Q$1,Data!$A$2:$D$3723,4,FALSE)</f>
        <v>#N/A</v>
      </c>
      <c r="R530" t="e">
        <f>VLOOKUP($B530&amp;R$1,Data!$A$2:$D$3723,4,FALSE)</f>
        <v>#N/A</v>
      </c>
      <c r="S530" t="e">
        <f>VLOOKUP($B530&amp;S$1,Data!$A$2:$D$3723,4,FALSE)</f>
        <v>#N/A</v>
      </c>
      <c r="T530" t="e">
        <f>VLOOKUP($B530&amp;T$1,Data!$A$2:$D$3723,4,FALSE)</f>
        <v>#N/A</v>
      </c>
      <c r="U530" t="e">
        <f>VLOOKUP($B530&amp;U$1,Data!$A$2:$D$3723,4,FALSE)</f>
        <v>#N/A</v>
      </c>
      <c r="V530" t="e">
        <f>VLOOKUP($B530&amp;V$1,Data!$A$2:$D$3723,4,FALSE)</f>
        <v>#N/A</v>
      </c>
      <c r="W530" t="e">
        <f>VLOOKUP($B530&amp;W$1,Data!$A$2:$D$3723,4,FALSE)</f>
        <v>#N/A</v>
      </c>
      <c r="X530" t="e">
        <f>VLOOKUP($B530&amp;X$1,Data!$A$2:$D$3723,4,FALSE)</f>
        <v>#N/A</v>
      </c>
      <c r="Y530" t="e">
        <f>VLOOKUP($B530&amp;Y$1,Data!$A$2:$D$3723,4,FALSE)</f>
        <v>#N/A</v>
      </c>
      <c r="Z530" t="e">
        <f>VLOOKUP($B530&amp;Z$1,Data!$A$2:$D$3723,4,FALSE)</f>
        <v>#N/A</v>
      </c>
      <c r="AA530" t="e">
        <f>VLOOKUP($B530&amp;AA$1,Data!$A$2:$D$3723,4,FALSE)</f>
        <v>#N/A</v>
      </c>
      <c r="AB530" t="e">
        <f>VLOOKUP($B530&amp;AB$1,Data!$A$2:$D$3723,4,FALSE)</f>
        <v>#N/A</v>
      </c>
      <c r="AC530" t="e">
        <f>VLOOKUP($B530&amp;AC$1,Data!$A$2:$D$3723,4,FALSE)</f>
        <v>#N/A</v>
      </c>
      <c r="AD530" t="e">
        <f>VLOOKUP($B530&amp;AD$1,Data!$A$2:$D$3723,4,FALSE)</f>
        <v>#N/A</v>
      </c>
      <c r="AE530" t="e">
        <f>VLOOKUP($B530&amp;AE$1,Data!$A$2:$D$3723,4,FALSE)</f>
        <v>#N/A</v>
      </c>
      <c r="AF530" t="e">
        <f>VLOOKUP($B530&amp;AF$1,Data!$A$2:$D$3723,4,FALSE)</f>
        <v>#N/A</v>
      </c>
      <c r="AG530" t="e">
        <f>VLOOKUP($B530&amp;AG$1,Data!$A$2:$D$3723,4,FALSE)</f>
        <v>#N/A</v>
      </c>
      <c r="AH530" t="e">
        <f>VLOOKUP($B530&amp;AH$1,Data!$A$2:$D$3723,4,FALSE)</f>
        <v>#N/A</v>
      </c>
      <c r="AI530" t="e">
        <f>VLOOKUP($B530&amp;AI$1,Data!$A$2:$D$3723,4,FALSE)</f>
        <v>#N/A</v>
      </c>
    </row>
    <row r="531" spans="2:35" hidden="1">
      <c r="B531" s="13">
        <v>530</v>
      </c>
      <c r="C531" s="13" t="s">
        <v>56</v>
      </c>
      <c r="D531" t="s">
        <v>20</v>
      </c>
      <c r="E531" t="s">
        <v>22</v>
      </c>
      <c r="F531">
        <v>1000</v>
      </c>
      <c r="G531" t="s">
        <v>17</v>
      </c>
      <c r="H531" s="5">
        <v>43831</v>
      </c>
      <c r="I531" s="5">
        <v>44562</v>
      </c>
      <c r="J531">
        <v>14</v>
      </c>
      <c r="K531">
        <v>9</v>
      </c>
      <c r="L531">
        <v>32</v>
      </c>
      <c r="M531">
        <v>68</v>
      </c>
      <c r="N531">
        <v>1000000</v>
      </c>
      <c r="O531" t="e">
        <f>VLOOKUP($B531&amp;O$1,Data!$A$2:$D$3723,4,FALSE)</f>
        <v>#N/A</v>
      </c>
      <c r="P531" t="e">
        <f>VLOOKUP($B531&amp;P$1,Data!$A$2:$D$3723,4,FALSE)</f>
        <v>#N/A</v>
      </c>
      <c r="Q531" t="e">
        <f>VLOOKUP($B531&amp;Q$1,Data!$A$2:$D$3723,4,FALSE)</f>
        <v>#N/A</v>
      </c>
      <c r="R531" t="e">
        <f>VLOOKUP($B531&amp;R$1,Data!$A$2:$D$3723,4,FALSE)</f>
        <v>#N/A</v>
      </c>
      <c r="S531" t="e">
        <f>VLOOKUP($B531&amp;S$1,Data!$A$2:$D$3723,4,FALSE)</f>
        <v>#N/A</v>
      </c>
      <c r="T531" t="e">
        <f>VLOOKUP($B531&amp;T$1,Data!$A$2:$D$3723,4,FALSE)</f>
        <v>#N/A</v>
      </c>
      <c r="U531" t="e">
        <f>VLOOKUP($B531&amp;U$1,Data!$A$2:$D$3723,4,FALSE)</f>
        <v>#N/A</v>
      </c>
      <c r="V531" t="e">
        <f>VLOOKUP($B531&amp;V$1,Data!$A$2:$D$3723,4,FALSE)</f>
        <v>#N/A</v>
      </c>
      <c r="W531" t="e">
        <f>VLOOKUP($B531&amp;W$1,Data!$A$2:$D$3723,4,FALSE)</f>
        <v>#N/A</v>
      </c>
      <c r="X531" t="e">
        <f>VLOOKUP($B531&amp;X$1,Data!$A$2:$D$3723,4,FALSE)</f>
        <v>#N/A</v>
      </c>
      <c r="Y531" t="e">
        <f>VLOOKUP($B531&amp;Y$1,Data!$A$2:$D$3723,4,FALSE)</f>
        <v>#N/A</v>
      </c>
      <c r="Z531" t="e">
        <f>VLOOKUP($B531&amp;Z$1,Data!$A$2:$D$3723,4,FALSE)</f>
        <v>#N/A</v>
      </c>
      <c r="AA531" t="e">
        <f>VLOOKUP($B531&amp;AA$1,Data!$A$2:$D$3723,4,FALSE)</f>
        <v>#N/A</v>
      </c>
      <c r="AB531" t="e">
        <f>VLOOKUP($B531&amp;AB$1,Data!$A$2:$D$3723,4,FALSE)</f>
        <v>#N/A</v>
      </c>
      <c r="AC531" t="e">
        <f>VLOOKUP($B531&amp;AC$1,Data!$A$2:$D$3723,4,FALSE)</f>
        <v>#N/A</v>
      </c>
      <c r="AD531" t="e">
        <f>VLOOKUP($B531&amp;AD$1,Data!$A$2:$D$3723,4,FALSE)</f>
        <v>#N/A</v>
      </c>
      <c r="AE531" t="e">
        <f>VLOOKUP($B531&amp;AE$1,Data!$A$2:$D$3723,4,FALSE)</f>
        <v>#N/A</v>
      </c>
      <c r="AF531" t="e">
        <f>VLOOKUP($B531&amp;AF$1,Data!$A$2:$D$3723,4,FALSE)</f>
        <v>#N/A</v>
      </c>
      <c r="AG531" t="e">
        <f>VLOOKUP($B531&amp;AG$1,Data!$A$2:$D$3723,4,FALSE)</f>
        <v>#N/A</v>
      </c>
      <c r="AH531" t="e">
        <f>VLOOKUP($B531&amp;AH$1,Data!$A$2:$D$3723,4,FALSE)</f>
        <v>#N/A</v>
      </c>
      <c r="AI531" t="e">
        <f>VLOOKUP($B531&amp;AI$1,Data!$A$2:$D$3723,4,FALSE)</f>
        <v>#N/A</v>
      </c>
    </row>
    <row r="532" spans="2:35" hidden="1">
      <c r="B532" s="13">
        <v>531</v>
      </c>
      <c r="C532" s="13" t="s">
        <v>56</v>
      </c>
      <c r="D532" t="s">
        <v>20</v>
      </c>
      <c r="E532" t="s">
        <v>22</v>
      </c>
      <c r="F532">
        <v>5000</v>
      </c>
      <c r="G532" t="s">
        <v>17</v>
      </c>
      <c r="H532" s="5">
        <v>43831</v>
      </c>
      <c r="I532" s="5">
        <v>44562</v>
      </c>
      <c r="J532">
        <v>14</v>
      </c>
      <c r="K532">
        <v>9</v>
      </c>
      <c r="L532">
        <v>32</v>
      </c>
      <c r="M532">
        <v>68</v>
      </c>
      <c r="N532">
        <v>1000000</v>
      </c>
      <c r="O532" t="e">
        <f>VLOOKUP($B532&amp;O$1,Data!$A$2:$D$3723,4,FALSE)</f>
        <v>#N/A</v>
      </c>
      <c r="P532" t="e">
        <f>VLOOKUP($B532&amp;P$1,Data!$A$2:$D$3723,4,FALSE)</f>
        <v>#N/A</v>
      </c>
      <c r="Q532" t="e">
        <f>VLOOKUP($B532&amp;Q$1,Data!$A$2:$D$3723,4,FALSE)</f>
        <v>#N/A</v>
      </c>
      <c r="R532" t="e">
        <f>VLOOKUP($B532&amp;R$1,Data!$A$2:$D$3723,4,FALSE)</f>
        <v>#N/A</v>
      </c>
      <c r="S532" t="e">
        <f>VLOOKUP($B532&amp;S$1,Data!$A$2:$D$3723,4,FALSE)</f>
        <v>#N/A</v>
      </c>
      <c r="T532" t="e">
        <f>VLOOKUP($B532&amp;T$1,Data!$A$2:$D$3723,4,FALSE)</f>
        <v>#N/A</v>
      </c>
      <c r="U532" t="e">
        <f>VLOOKUP($B532&amp;U$1,Data!$A$2:$D$3723,4,FALSE)</f>
        <v>#N/A</v>
      </c>
      <c r="V532" t="e">
        <f>VLOOKUP($B532&amp;V$1,Data!$A$2:$D$3723,4,FALSE)</f>
        <v>#N/A</v>
      </c>
      <c r="W532" t="e">
        <f>VLOOKUP($B532&amp;W$1,Data!$A$2:$D$3723,4,FALSE)</f>
        <v>#N/A</v>
      </c>
      <c r="X532" t="e">
        <f>VLOOKUP($B532&amp;X$1,Data!$A$2:$D$3723,4,FALSE)</f>
        <v>#N/A</v>
      </c>
      <c r="Y532" t="e">
        <f>VLOOKUP($B532&amp;Y$1,Data!$A$2:$D$3723,4,FALSE)</f>
        <v>#N/A</v>
      </c>
      <c r="Z532" t="e">
        <f>VLOOKUP($B532&amp;Z$1,Data!$A$2:$D$3723,4,FALSE)</f>
        <v>#N/A</v>
      </c>
      <c r="AA532" t="e">
        <f>VLOOKUP($B532&amp;AA$1,Data!$A$2:$D$3723,4,FALSE)</f>
        <v>#N/A</v>
      </c>
      <c r="AB532" t="e">
        <f>VLOOKUP($B532&amp;AB$1,Data!$A$2:$D$3723,4,FALSE)</f>
        <v>#N/A</v>
      </c>
      <c r="AC532" t="e">
        <f>VLOOKUP($B532&amp;AC$1,Data!$A$2:$D$3723,4,FALSE)</f>
        <v>#N/A</v>
      </c>
      <c r="AD532" t="e">
        <f>VLOOKUP($B532&amp;AD$1,Data!$A$2:$D$3723,4,FALSE)</f>
        <v>#N/A</v>
      </c>
      <c r="AE532" t="e">
        <f>VLOOKUP($B532&amp;AE$1,Data!$A$2:$D$3723,4,FALSE)</f>
        <v>#N/A</v>
      </c>
      <c r="AF532" t="e">
        <f>VLOOKUP($B532&amp;AF$1,Data!$A$2:$D$3723,4,FALSE)</f>
        <v>#N/A</v>
      </c>
      <c r="AG532" t="e">
        <f>VLOOKUP($B532&amp;AG$1,Data!$A$2:$D$3723,4,FALSE)</f>
        <v>#N/A</v>
      </c>
      <c r="AH532" t="e">
        <f>VLOOKUP($B532&amp;AH$1,Data!$A$2:$D$3723,4,FALSE)</f>
        <v>#N/A</v>
      </c>
      <c r="AI532" t="e">
        <f>VLOOKUP($B532&amp;AI$1,Data!$A$2:$D$3723,4,FALSE)</f>
        <v>#N/A</v>
      </c>
    </row>
    <row r="533" spans="2:35" hidden="1">
      <c r="B533" s="13">
        <v>532</v>
      </c>
      <c r="C533" s="13" t="s">
        <v>56</v>
      </c>
      <c r="D533" t="s">
        <v>20</v>
      </c>
      <c r="E533" t="s">
        <v>3</v>
      </c>
      <c r="F533">
        <v>100</v>
      </c>
      <c r="G533" t="s">
        <v>17</v>
      </c>
      <c r="H533" s="5">
        <v>43831</v>
      </c>
      <c r="I533" s="5">
        <v>44562</v>
      </c>
      <c r="J533">
        <v>14</v>
      </c>
      <c r="K533">
        <v>9</v>
      </c>
      <c r="L533">
        <v>28</v>
      </c>
      <c r="M533">
        <v>72</v>
      </c>
      <c r="N533">
        <v>1000000</v>
      </c>
      <c r="O533" t="e">
        <f>VLOOKUP($B533&amp;O$1,Data!$A$2:$D$3723,4,FALSE)</f>
        <v>#N/A</v>
      </c>
      <c r="P533" t="e">
        <f>VLOOKUP($B533&amp;P$1,Data!$A$2:$D$3723,4,FALSE)</f>
        <v>#N/A</v>
      </c>
      <c r="Q533" t="e">
        <f>VLOOKUP($B533&amp;Q$1,Data!$A$2:$D$3723,4,FALSE)</f>
        <v>#N/A</v>
      </c>
      <c r="R533" t="e">
        <f>VLOOKUP($B533&amp;R$1,Data!$A$2:$D$3723,4,FALSE)</f>
        <v>#N/A</v>
      </c>
      <c r="S533" t="e">
        <f>VLOOKUP($B533&amp;S$1,Data!$A$2:$D$3723,4,FALSE)</f>
        <v>#N/A</v>
      </c>
      <c r="T533" t="e">
        <f>VLOOKUP($B533&amp;T$1,Data!$A$2:$D$3723,4,FALSE)</f>
        <v>#N/A</v>
      </c>
      <c r="U533" t="e">
        <f>VLOOKUP($B533&amp;U$1,Data!$A$2:$D$3723,4,FALSE)</f>
        <v>#N/A</v>
      </c>
      <c r="V533" t="e">
        <f>VLOOKUP($B533&amp;V$1,Data!$A$2:$D$3723,4,FALSE)</f>
        <v>#N/A</v>
      </c>
      <c r="W533" t="e">
        <f>VLOOKUP($B533&amp;W$1,Data!$A$2:$D$3723,4,FALSE)</f>
        <v>#N/A</v>
      </c>
      <c r="X533" t="e">
        <f>VLOOKUP($B533&amp;X$1,Data!$A$2:$D$3723,4,FALSE)</f>
        <v>#N/A</v>
      </c>
      <c r="Y533" t="e">
        <f>VLOOKUP($B533&amp;Y$1,Data!$A$2:$D$3723,4,FALSE)</f>
        <v>#N/A</v>
      </c>
      <c r="Z533" t="e">
        <f>VLOOKUP($B533&amp;Z$1,Data!$A$2:$D$3723,4,FALSE)</f>
        <v>#N/A</v>
      </c>
      <c r="AA533" t="e">
        <f>VLOOKUP($B533&amp;AA$1,Data!$A$2:$D$3723,4,FALSE)</f>
        <v>#N/A</v>
      </c>
      <c r="AB533" t="e">
        <f>VLOOKUP($B533&amp;AB$1,Data!$A$2:$D$3723,4,FALSE)</f>
        <v>#N/A</v>
      </c>
      <c r="AC533" t="e">
        <f>VLOOKUP($B533&amp;AC$1,Data!$A$2:$D$3723,4,FALSE)</f>
        <v>#N/A</v>
      </c>
      <c r="AD533" t="e">
        <f>VLOOKUP($B533&amp;AD$1,Data!$A$2:$D$3723,4,FALSE)</f>
        <v>#N/A</v>
      </c>
      <c r="AE533" t="e">
        <f>VLOOKUP($B533&amp;AE$1,Data!$A$2:$D$3723,4,FALSE)</f>
        <v>#N/A</v>
      </c>
      <c r="AF533" t="e">
        <f>VLOOKUP($B533&amp;AF$1,Data!$A$2:$D$3723,4,FALSE)</f>
        <v>#N/A</v>
      </c>
      <c r="AG533" t="e">
        <f>VLOOKUP($B533&amp;AG$1,Data!$A$2:$D$3723,4,FALSE)</f>
        <v>#N/A</v>
      </c>
      <c r="AH533" t="e">
        <f>VLOOKUP($B533&amp;AH$1,Data!$A$2:$D$3723,4,FALSE)</f>
        <v>#N/A</v>
      </c>
      <c r="AI533" t="e">
        <f>VLOOKUP($B533&amp;AI$1,Data!$A$2:$D$3723,4,FALSE)</f>
        <v>#N/A</v>
      </c>
    </row>
    <row r="534" spans="2:35" hidden="1">
      <c r="B534" s="13">
        <v>533</v>
      </c>
      <c r="C534" s="13" t="s">
        <v>56</v>
      </c>
      <c r="D534" t="s">
        <v>20</v>
      </c>
      <c r="E534" t="s">
        <v>3</v>
      </c>
      <c r="F534">
        <v>1000</v>
      </c>
      <c r="G534" t="s">
        <v>17</v>
      </c>
      <c r="H534" s="5">
        <v>43831</v>
      </c>
      <c r="I534" s="5">
        <v>44562</v>
      </c>
      <c r="J534">
        <v>14</v>
      </c>
      <c r="K534">
        <v>9</v>
      </c>
      <c r="L534">
        <v>28</v>
      </c>
      <c r="M534">
        <v>72</v>
      </c>
      <c r="N534">
        <v>1000000</v>
      </c>
      <c r="O534" t="e">
        <f>VLOOKUP($B534&amp;O$1,Data!$A$2:$D$3723,4,FALSE)</f>
        <v>#N/A</v>
      </c>
      <c r="P534" t="e">
        <f>VLOOKUP($B534&amp;P$1,Data!$A$2:$D$3723,4,FALSE)</f>
        <v>#N/A</v>
      </c>
      <c r="Q534" t="e">
        <f>VLOOKUP($B534&amp;Q$1,Data!$A$2:$D$3723,4,FALSE)</f>
        <v>#N/A</v>
      </c>
      <c r="R534" t="e">
        <f>VLOOKUP($B534&amp;R$1,Data!$A$2:$D$3723,4,FALSE)</f>
        <v>#N/A</v>
      </c>
      <c r="S534" t="e">
        <f>VLOOKUP($B534&amp;S$1,Data!$A$2:$D$3723,4,FALSE)</f>
        <v>#N/A</v>
      </c>
      <c r="T534" t="e">
        <f>VLOOKUP($B534&amp;T$1,Data!$A$2:$D$3723,4,FALSE)</f>
        <v>#N/A</v>
      </c>
      <c r="U534" t="e">
        <f>VLOOKUP($B534&amp;U$1,Data!$A$2:$D$3723,4,FALSE)</f>
        <v>#N/A</v>
      </c>
      <c r="V534" t="e">
        <f>VLOOKUP($B534&amp;V$1,Data!$A$2:$D$3723,4,FALSE)</f>
        <v>#N/A</v>
      </c>
      <c r="W534" t="e">
        <f>VLOOKUP($B534&amp;W$1,Data!$A$2:$D$3723,4,FALSE)</f>
        <v>#N/A</v>
      </c>
      <c r="X534" t="e">
        <f>VLOOKUP($B534&amp;X$1,Data!$A$2:$D$3723,4,FALSE)</f>
        <v>#N/A</v>
      </c>
      <c r="Y534" t="e">
        <f>VLOOKUP($B534&amp;Y$1,Data!$A$2:$D$3723,4,FALSE)</f>
        <v>#N/A</v>
      </c>
      <c r="Z534" t="e">
        <f>VLOOKUP($B534&amp;Z$1,Data!$A$2:$D$3723,4,FALSE)</f>
        <v>#N/A</v>
      </c>
      <c r="AA534" t="e">
        <f>VLOOKUP($B534&amp;AA$1,Data!$A$2:$D$3723,4,FALSE)</f>
        <v>#N/A</v>
      </c>
      <c r="AB534" t="e">
        <f>VLOOKUP($B534&amp;AB$1,Data!$A$2:$D$3723,4,FALSE)</f>
        <v>#N/A</v>
      </c>
      <c r="AC534" t="e">
        <f>VLOOKUP($B534&amp;AC$1,Data!$A$2:$D$3723,4,FALSE)</f>
        <v>#N/A</v>
      </c>
      <c r="AD534" t="e">
        <f>VLOOKUP($B534&amp;AD$1,Data!$A$2:$D$3723,4,FALSE)</f>
        <v>#N/A</v>
      </c>
      <c r="AE534" t="e">
        <f>VLOOKUP($B534&amp;AE$1,Data!$A$2:$D$3723,4,FALSE)</f>
        <v>#N/A</v>
      </c>
      <c r="AF534" t="e">
        <f>VLOOKUP($B534&amp;AF$1,Data!$A$2:$D$3723,4,FALSE)</f>
        <v>#N/A</v>
      </c>
      <c r="AG534" t="e">
        <f>VLOOKUP($B534&amp;AG$1,Data!$A$2:$D$3723,4,FALSE)</f>
        <v>#N/A</v>
      </c>
      <c r="AH534" t="e">
        <f>VLOOKUP($B534&amp;AH$1,Data!$A$2:$D$3723,4,FALSE)</f>
        <v>#N/A</v>
      </c>
      <c r="AI534" t="e">
        <f>VLOOKUP($B534&amp;AI$1,Data!$A$2:$D$3723,4,FALSE)</f>
        <v>#N/A</v>
      </c>
    </row>
    <row r="535" spans="2:35" hidden="1">
      <c r="B535" s="13">
        <v>534</v>
      </c>
      <c r="C535" s="13" t="s">
        <v>56</v>
      </c>
      <c r="D535" t="s">
        <v>20</v>
      </c>
      <c r="E535" t="s">
        <v>3</v>
      </c>
      <c r="F535">
        <v>5000</v>
      </c>
      <c r="G535" t="s">
        <v>17</v>
      </c>
      <c r="H535" s="5">
        <v>43831</v>
      </c>
      <c r="I535" s="5">
        <v>44562</v>
      </c>
      <c r="J535">
        <v>14</v>
      </c>
      <c r="K535">
        <v>9</v>
      </c>
      <c r="L535">
        <v>28</v>
      </c>
      <c r="M535">
        <v>72</v>
      </c>
      <c r="N535">
        <v>1000000</v>
      </c>
      <c r="O535" t="e">
        <f>VLOOKUP($B535&amp;O$1,Data!$A$2:$D$3723,4,FALSE)</f>
        <v>#N/A</v>
      </c>
      <c r="P535" t="e">
        <f>VLOOKUP($B535&amp;P$1,Data!$A$2:$D$3723,4,FALSE)</f>
        <v>#N/A</v>
      </c>
      <c r="Q535" t="e">
        <f>VLOOKUP($B535&amp;Q$1,Data!$A$2:$D$3723,4,FALSE)</f>
        <v>#N/A</v>
      </c>
      <c r="R535" t="e">
        <f>VLOOKUP($B535&amp;R$1,Data!$A$2:$D$3723,4,FALSE)</f>
        <v>#N/A</v>
      </c>
      <c r="S535" t="e">
        <f>VLOOKUP($B535&amp;S$1,Data!$A$2:$D$3723,4,FALSE)</f>
        <v>#N/A</v>
      </c>
      <c r="T535" t="e">
        <f>VLOOKUP($B535&amp;T$1,Data!$A$2:$D$3723,4,FALSE)</f>
        <v>#N/A</v>
      </c>
      <c r="U535" t="e">
        <f>VLOOKUP($B535&amp;U$1,Data!$A$2:$D$3723,4,FALSE)</f>
        <v>#N/A</v>
      </c>
      <c r="V535" t="e">
        <f>VLOOKUP($B535&amp;V$1,Data!$A$2:$D$3723,4,FALSE)</f>
        <v>#N/A</v>
      </c>
      <c r="W535" t="e">
        <f>VLOOKUP($B535&amp;W$1,Data!$A$2:$D$3723,4,FALSE)</f>
        <v>#N/A</v>
      </c>
      <c r="X535" t="e">
        <f>VLOOKUP($B535&amp;X$1,Data!$A$2:$D$3723,4,FALSE)</f>
        <v>#N/A</v>
      </c>
      <c r="Y535" t="e">
        <f>VLOOKUP($B535&amp;Y$1,Data!$A$2:$D$3723,4,FALSE)</f>
        <v>#N/A</v>
      </c>
      <c r="Z535" t="e">
        <f>VLOOKUP($B535&amp;Z$1,Data!$A$2:$D$3723,4,FALSE)</f>
        <v>#N/A</v>
      </c>
      <c r="AA535" t="e">
        <f>VLOOKUP($B535&amp;AA$1,Data!$A$2:$D$3723,4,FALSE)</f>
        <v>#N/A</v>
      </c>
      <c r="AB535" t="e">
        <f>VLOOKUP($B535&amp;AB$1,Data!$A$2:$D$3723,4,FALSE)</f>
        <v>#N/A</v>
      </c>
      <c r="AC535" t="e">
        <f>VLOOKUP($B535&amp;AC$1,Data!$A$2:$D$3723,4,FALSE)</f>
        <v>#N/A</v>
      </c>
      <c r="AD535" t="e">
        <f>VLOOKUP($B535&amp;AD$1,Data!$A$2:$D$3723,4,FALSE)</f>
        <v>#N/A</v>
      </c>
      <c r="AE535" t="e">
        <f>VLOOKUP($B535&amp;AE$1,Data!$A$2:$D$3723,4,FALSE)</f>
        <v>#N/A</v>
      </c>
      <c r="AF535" t="e">
        <f>VLOOKUP($B535&amp;AF$1,Data!$A$2:$D$3723,4,FALSE)</f>
        <v>#N/A</v>
      </c>
      <c r="AG535" t="e">
        <f>VLOOKUP($B535&amp;AG$1,Data!$A$2:$D$3723,4,FALSE)</f>
        <v>#N/A</v>
      </c>
      <c r="AH535" t="e">
        <f>VLOOKUP($B535&amp;AH$1,Data!$A$2:$D$3723,4,FALSE)</f>
        <v>#N/A</v>
      </c>
      <c r="AI535" t="e">
        <f>VLOOKUP($B535&amp;AI$1,Data!$A$2:$D$3723,4,FALSE)</f>
        <v>#N/A</v>
      </c>
    </row>
    <row r="536" spans="2:35" hidden="1">
      <c r="B536" s="13">
        <v>535</v>
      </c>
      <c r="C536" s="13" t="s">
        <v>56</v>
      </c>
      <c r="D536" t="s">
        <v>20</v>
      </c>
      <c r="E536" t="s">
        <v>2</v>
      </c>
      <c r="F536">
        <v>100</v>
      </c>
      <c r="G536" t="s">
        <v>17</v>
      </c>
      <c r="H536" s="5">
        <v>43831</v>
      </c>
      <c r="I536" s="5">
        <v>44562</v>
      </c>
      <c r="J536">
        <v>14</v>
      </c>
      <c r="K536">
        <v>9</v>
      </c>
      <c r="L536">
        <v>28</v>
      </c>
      <c r="M536">
        <v>72</v>
      </c>
      <c r="N536">
        <v>1000000</v>
      </c>
      <c r="O536" t="e">
        <f>VLOOKUP($B536&amp;O$1,Data!$A$2:$D$3723,4,FALSE)</f>
        <v>#N/A</v>
      </c>
      <c r="P536" t="e">
        <f>VLOOKUP($B536&amp;P$1,Data!$A$2:$D$3723,4,FALSE)</f>
        <v>#N/A</v>
      </c>
      <c r="Q536" t="e">
        <f>VLOOKUP($B536&amp;Q$1,Data!$A$2:$D$3723,4,FALSE)</f>
        <v>#N/A</v>
      </c>
      <c r="R536" t="e">
        <f>VLOOKUP($B536&amp;R$1,Data!$A$2:$D$3723,4,FALSE)</f>
        <v>#N/A</v>
      </c>
      <c r="S536" t="e">
        <f>VLOOKUP($B536&amp;S$1,Data!$A$2:$D$3723,4,FALSE)</f>
        <v>#N/A</v>
      </c>
      <c r="T536" t="e">
        <f>VLOOKUP($B536&amp;T$1,Data!$A$2:$D$3723,4,FALSE)</f>
        <v>#N/A</v>
      </c>
      <c r="U536" t="e">
        <f>VLOOKUP($B536&amp;U$1,Data!$A$2:$D$3723,4,FALSE)</f>
        <v>#N/A</v>
      </c>
      <c r="V536" t="e">
        <f>VLOOKUP($B536&amp;V$1,Data!$A$2:$D$3723,4,FALSE)</f>
        <v>#N/A</v>
      </c>
      <c r="W536" t="e">
        <f>VLOOKUP($B536&amp;W$1,Data!$A$2:$D$3723,4,FALSE)</f>
        <v>#N/A</v>
      </c>
      <c r="X536" t="e">
        <f>VLOOKUP($B536&amp;X$1,Data!$A$2:$D$3723,4,FALSE)</f>
        <v>#N/A</v>
      </c>
      <c r="Y536" t="e">
        <f>VLOOKUP($B536&amp;Y$1,Data!$A$2:$D$3723,4,FALSE)</f>
        <v>#N/A</v>
      </c>
      <c r="Z536" t="e">
        <f>VLOOKUP($B536&amp;Z$1,Data!$A$2:$D$3723,4,FALSE)</f>
        <v>#N/A</v>
      </c>
      <c r="AA536" t="e">
        <f>VLOOKUP($B536&amp;AA$1,Data!$A$2:$D$3723,4,FALSE)</f>
        <v>#N/A</v>
      </c>
      <c r="AB536" t="e">
        <f>VLOOKUP($B536&amp;AB$1,Data!$A$2:$D$3723,4,FALSE)</f>
        <v>#N/A</v>
      </c>
      <c r="AC536" t="e">
        <f>VLOOKUP($B536&amp;AC$1,Data!$A$2:$D$3723,4,FALSE)</f>
        <v>#N/A</v>
      </c>
      <c r="AD536" t="e">
        <f>VLOOKUP($B536&amp;AD$1,Data!$A$2:$D$3723,4,FALSE)</f>
        <v>#N/A</v>
      </c>
      <c r="AE536" t="e">
        <f>VLOOKUP($B536&amp;AE$1,Data!$A$2:$D$3723,4,FALSE)</f>
        <v>#N/A</v>
      </c>
      <c r="AF536" t="e">
        <f>VLOOKUP($B536&amp;AF$1,Data!$A$2:$D$3723,4,FALSE)</f>
        <v>#N/A</v>
      </c>
      <c r="AG536" t="e">
        <f>VLOOKUP($B536&amp;AG$1,Data!$A$2:$D$3723,4,FALSE)</f>
        <v>#N/A</v>
      </c>
      <c r="AH536" t="e">
        <f>VLOOKUP($B536&amp;AH$1,Data!$A$2:$D$3723,4,FALSE)</f>
        <v>#N/A</v>
      </c>
      <c r="AI536" t="e">
        <f>VLOOKUP($B536&amp;AI$1,Data!$A$2:$D$3723,4,FALSE)</f>
        <v>#N/A</v>
      </c>
    </row>
    <row r="537" spans="2:35" hidden="1">
      <c r="B537" s="13">
        <v>536</v>
      </c>
      <c r="C537" s="13" t="s">
        <v>56</v>
      </c>
      <c r="D537" t="s">
        <v>20</v>
      </c>
      <c r="E537" t="s">
        <v>2</v>
      </c>
      <c r="F537">
        <v>1000</v>
      </c>
      <c r="G537" t="s">
        <v>17</v>
      </c>
      <c r="H537" s="5">
        <v>43831</v>
      </c>
      <c r="I537" s="5">
        <v>44562</v>
      </c>
      <c r="J537">
        <v>14</v>
      </c>
      <c r="K537">
        <v>9</v>
      </c>
      <c r="L537">
        <v>28</v>
      </c>
      <c r="M537">
        <v>72</v>
      </c>
      <c r="N537">
        <v>1000000</v>
      </c>
      <c r="O537" t="e">
        <f>VLOOKUP($B537&amp;O$1,Data!$A$2:$D$3723,4,FALSE)</f>
        <v>#N/A</v>
      </c>
      <c r="P537" t="e">
        <f>VLOOKUP($B537&amp;P$1,Data!$A$2:$D$3723,4,FALSE)</f>
        <v>#N/A</v>
      </c>
      <c r="Q537" t="e">
        <f>VLOOKUP($B537&amp;Q$1,Data!$A$2:$D$3723,4,FALSE)</f>
        <v>#N/A</v>
      </c>
      <c r="R537" t="e">
        <f>VLOOKUP($B537&amp;R$1,Data!$A$2:$D$3723,4,FALSE)</f>
        <v>#N/A</v>
      </c>
      <c r="S537" t="e">
        <f>VLOOKUP($B537&amp;S$1,Data!$A$2:$D$3723,4,FALSE)</f>
        <v>#N/A</v>
      </c>
      <c r="T537" t="e">
        <f>VLOOKUP($B537&amp;T$1,Data!$A$2:$D$3723,4,FALSE)</f>
        <v>#N/A</v>
      </c>
      <c r="U537" t="e">
        <f>VLOOKUP($B537&amp;U$1,Data!$A$2:$D$3723,4,FALSE)</f>
        <v>#N/A</v>
      </c>
      <c r="V537" t="e">
        <f>VLOOKUP($B537&amp;V$1,Data!$A$2:$D$3723,4,FALSE)</f>
        <v>#N/A</v>
      </c>
      <c r="W537" t="e">
        <f>VLOOKUP($B537&amp;W$1,Data!$A$2:$D$3723,4,FALSE)</f>
        <v>#N/A</v>
      </c>
      <c r="X537" t="e">
        <f>VLOOKUP($B537&amp;X$1,Data!$A$2:$D$3723,4,FALSE)</f>
        <v>#N/A</v>
      </c>
      <c r="Y537" t="e">
        <f>VLOOKUP($B537&amp;Y$1,Data!$A$2:$D$3723,4,FALSE)</f>
        <v>#N/A</v>
      </c>
      <c r="Z537" t="e">
        <f>VLOOKUP($B537&amp;Z$1,Data!$A$2:$D$3723,4,FALSE)</f>
        <v>#N/A</v>
      </c>
      <c r="AA537" t="e">
        <f>VLOOKUP($B537&amp;AA$1,Data!$A$2:$D$3723,4,FALSE)</f>
        <v>#N/A</v>
      </c>
      <c r="AB537" t="e">
        <f>VLOOKUP($B537&amp;AB$1,Data!$A$2:$D$3723,4,FALSE)</f>
        <v>#N/A</v>
      </c>
      <c r="AC537" t="e">
        <f>VLOOKUP($B537&amp;AC$1,Data!$A$2:$D$3723,4,FALSE)</f>
        <v>#N/A</v>
      </c>
      <c r="AD537" t="e">
        <f>VLOOKUP($B537&amp;AD$1,Data!$A$2:$D$3723,4,FALSE)</f>
        <v>#N/A</v>
      </c>
      <c r="AE537" t="e">
        <f>VLOOKUP($B537&amp;AE$1,Data!$A$2:$D$3723,4,FALSE)</f>
        <v>#N/A</v>
      </c>
      <c r="AF537" t="e">
        <f>VLOOKUP($B537&amp;AF$1,Data!$A$2:$D$3723,4,FALSE)</f>
        <v>#N/A</v>
      </c>
      <c r="AG537" t="e">
        <f>VLOOKUP($B537&amp;AG$1,Data!$A$2:$D$3723,4,FALSE)</f>
        <v>#N/A</v>
      </c>
      <c r="AH537" t="e">
        <f>VLOOKUP($B537&amp;AH$1,Data!$A$2:$D$3723,4,FALSE)</f>
        <v>#N/A</v>
      </c>
      <c r="AI537" t="e">
        <f>VLOOKUP($B537&amp;AI$1,Data!$A$2:$D$3723,4,FALSE)</f>
        <v>#N/A</v>
      </c>
    </row>
    <row r="538" spans="2:35" hidden="1">
      <c r="B538" s="13">
        <v>537</v>
      </c>
      <c r="C538" s="13" t="s">
        <v>56</v>
      </c>
      <c r="D538" t="s">
        <v>20</v>
      </c>
      <c r="E538" t="s">
        <v>2</v>
      </c>
      <c r="F538">
        <v>5000</v>
      </c>
      <c r="G538" t="s">
        <v>17</v>
      </c>
      <c r="H538" s="5">
        <v>43831</v>
      </c>
      <c r="I538" s="5">
        <v>44562</v>
      </c>
      <c r="J538">
        <v>14</v>
      </c>
      <c r="K538">
        <v>9</v>
      </c>
      <c r="L538">
        <v>28</v>
      </c>
      <c r="M538">
        <v>72</v>
      </c>
      <c r="N538">
        <v>1000000</v>
      </c>
      <c r="O538" t="e">
        <f>VLOOKUP($B538&amp;O$1,Data!$A$2:$D$3723,4,FALSE)</f>
        <v>#N/A</v>
      </c>
      <c r="P538" t="e">
        <f>VLOOKUP($B538&amp;P$1,Data!$A$2:$D$3723,4,FALSE)</f>
        <v>#N/A</v>
      </c>
      <c r="Q538" t="e">
        <f>VLOOKUP($B538&amp;Q$1,Data!$A$2:$D$3723,4,FALSE)</f>
        <v>#N/A</v>
      </c>
      <c r="R538" t="e">
        <f>VLOOKUP($B538&amp;R$1,Data!$A$2:$D$3723,4,FALSE)</f>
        <v>#N/A</v>
      </c>
      <c r="S538" t="e">
        <f>VLOOKUP($B538&amp;S$1,Data!$A$2:$D$3723,4,FALSE)</f>
        <v>#N/A</v>
      </c>
      <c r="T538" t="e">
        <f>VLOOKUP($B538&amp;T$1,Data!$A$2:$D$3723,4,FALSE)</f>
        <v>#N/A</v>
      </c>
      <c r="U538" t="e">
        <f>VLOOKUP($B538&amp;U$1,Data!$A$2:$D$3723,4,FALSE)</f>
        <v>#N/A</v>
      </c>
      <c r="V538" t="e">
        <f>VLOOKUP($B538&amp;V$1,Data!$A$2:$D$3723,4,FALSE)</f>
        <v>#N/A</v>
      </c>
      <c r="W538" t="e">
        <f>VLOOKUP($B538&amp;W$1,Data!$A$2:$D$3723,4,FALSE)</f>
        <v>#N/A</v>
      </c>
      <c r="X538" t="e">
        <f>VLOOKUP($B538&amp;X$1,Data!$A$2:$D$3723,4,FALSE)</f>
        <v>#N/A</v>
      </c>
      <c r="Y538" t="e">
        <f>VLOOKUP($B538&amp;Y$1,Data!$A$2:$D$3723,4,FALSE)</f>
        <v>#N/A</v>
      </c>
      <c r="Z538" t="e">
        <f>VLOOKUP($B538&amp;Z$1,Data!$A$2:$D$3723,4,FALSE)</f>
        <v>#N/A</v>
      </c>
      <c r="AA538" t="e">
        <f>VLOOKUP($B538&amp;AA$1,Data!$A$2:$D$3723,4,FALSE)</f>
        <v>#N/A</v>
      </c>
      <c r="AB538" t="e">
        <f>VLOOKUP($B538&amp;AB$1,Data!$A$2:$D$3723,4,FALSE)</f>
        <v>#N/A</v>
      </c>
      <c r="AC538" t="e">
        <f>VLOOKUP($B538&amp;AC$1,Data!$A$2:$D$3723,4,FALSE)</f>
        <v>#N/A</v>
      </c>
      <c r="AD538" t="e">
        <f>VLOOKUP($B538&amp;AD$1,Data!$A$2:$D$3723,4,FALSE)</f>
        <v>#N/A</v>
      </c>
      <c r="AE538" t="e">
        <f>VLOOKUP($B538&amp;AE$1,Data!$A$2:$D$3723,4,FALSE)</f>
        <v>#N/A</v>
      </c>
      <c r="AF538" t="e">
        <f>VLOOKUP($B538&amp;AF$1,Data!$A$2:$D$3723,4,FALSE)</f>
        <v>#N/A</v>
      </c>
      <c r="AG538" t="e">
        <f>VLOOKUP($B538&amp;AG$1,Data!$A$2:$D$3723,4,FALSE)</f>
        <v>#N/A</v>
      </c>
      <c r="AH538" t="e">
        <f>VLOOKUP($B538&amp;AH$1,Data!$A$2:$D$3723,4,FALSE)</f>
        <v>#N/A</v>
      </c>
      <c r="AI538" t="e">
        <f>VLOOKUP($B538&amp;AI$1,Data!$A$2:$D$3723,4,FALSE)</f>
        <v>#N/A</v>
      </c>
    </row>
    <row r="539" spans="2:35" hidden="1">
      <c r="B539" s="13">
        <v>538</v>
      </c>
      <c r="C539" s="13" t="s">
        <v>56</v>
      </c>
      <c r="D539" t="s">
        <v>20</v>
      </c>
      <c r="E539" t="s">
        <v>22</v>
      </c>
      <c r="F539">
        <v>100</v>
      </c>
      <c r="G539" t="s">
        <v>17</v>
      </c>
      <c r="H539" s="5">
        <v>43831</v>
      </c>
      <c r="I539" s="5">
        <v>44562</v>
      </c>
      <c r="J539">
        <v>14</v>
      </c>
      <c r="K539">
        <v>9</v>
      </c>
      <c r="L539">
        <v>28</v>
      </c>
      <c r="M539">
        <v>72</v>
      </c>
      <c r="N539">
        <v>1000000</v>
      </c>
      <c r="O539" t="e">
        <f>VLOOKUP($B539&amp;O$1,Data!$A$2:$D$3723,4,FALSE)</f>
        <v>#N/A</v>
      </c>
      <c r="P539" t="e">
        <f>VLOOKUP($B539&amp;P$1,Data!$A$2:$D$3723,4,FALSE)</f>
        <v>#N/A</v>
      </c>
      <c r="Q539" t="e">
        <f>VLOOKUP($B539&amp;Q$1,Data!$A$2:$D$3723,4,FALSE)</f>
        <v>#N/A</v>
      </c>
      <c r="R539" t="e">
        <f>VLOOKUP($B539&amp;R$1,Data!$A$2:$D$3723,4,FALSE)</f>
        <v>#N/A</v>
      </c>
      <c r="S539" t="e">
        <f>VLOOKUP($B539&amp;S$1,Data!$A$2:$D$3723,4,FALSE)</f>
        <v>#N/A</v>
      </c>
      <c r="T539" t="e">
        <f>VLOOKUP($B539&amp;T$1,Data!$A$2:$D$3723,4,FALSE)</f>
        <v>#N/A</v>
      </c>
      <c r="U539" t="e">
        <f>VLOOKUP($B539&amp;U$1,Data!$A$2:$D$3723,4,FALSE)</f>
        <v>#N/A</v>
      </c>
      <c r="V539" t="e">
        <f>VLOOKUP($B539&amp;V$1,Data!$A$2:$D$3723,4,FALSE)</f>
        <v>#N/A</v>
      </c>
      <c r="W539" t="e">
        <f>VLOOKUP($B539&amp;W$1,Data!$A$2:$D$3723,4,FALSE)</f>
        <v>#N/A</v>
      </c>
      <c r="X539" t="e">
        <f>VLOOKUP($B539&amp;X$1,Data!$A$2:$D$3723,4,FALSE)</f>
        <v>#N/A</v>
      </c>
      <c r="Y539" t="e">
        <f>VLOOKUP($B539&amp;Y$1,Data!$A$2:$D$3723,4,FALSE)</f>
        <v>#N/A</v>
      </c>
      <c r="Z539" t="e">
        <f>VLOOKUP($B539&amp;Z$1,Data!$A$2:$D$3723,4,FALSE)</f>
        <v>#N/A</v>
      </c>
      <c r="AA539" t="e">
        <f>VLOOKUP($B539&amp;AA$1,Data!$A$2:$D$3723,4,FALSE)</f>
        <v>#N/A</v>
      </c>
      <c r="AB539" t="e">
        <f>VLOOKUP($B539&amp;AB$1,Data!$A$2:$D$3723,4,FALSE)</f>
        <v>#N/A</v>
      </c>
      <c r="AC539" t="e">
        <f>VLOOKUP($B539&amp;AC$1,Data!$A$2:$D$3723,4,FALSE)</f>
        <v>#N/A</v>
      </c>
      <c r="AD539" t="e">
        <f>VLOOKUP($B539&amp;AD$1,Data!$A$2:$D$3723,4,FALSE)</f>
        <v>#N/A</v>
      </c>
      <c r="AE539" t="e">
        <f>VLOOKUP($B539&amp;AE$1,Data!$A$2:$D$3723,4,FALSE)</f>
        <v>#N/A</v>
      </c>
      <c r="AF539" t="e">
        <f>VLOOKUP($B539&amp;AF$1,Data!$A$2:$D$3723,4,FALSE)</f>
        <v>#N/A</v>
      </c>
      <c r="AG539" t="e">
        <f>VLOOKUP($B539&amp;AG$1,Data!$A$2:$D$3723,4,FALSE)</f>
        <v>#N/A</v>
      </c>
      <c r="AH539" t="e">
        <f>VLOOKUP($B539&amp;AH$1,Data!$A$2:$D$3723,4,FALSE)</f>
        <v>#N/A</v>
      </c>
      <c r="AI539" t="e">
        <f>VLOOKUP($B539&amp;AI$1,Data!$A$2:$D$3723,4,FALSE)</f>
        <v>#N/A</v>
      </c>
    </row>
    <row r="540" spans="2:35" hidden="1">
      <c r="B540" s="13">
        <v>539</v>
      </c>
      <c r="C540" s="13" t="s">
        <v>56</v>
      </c>
      <c r="D540" t="s">
        <v>20</v>
      </c>
      <c r="E540" t="s">
        <v>22</v>
      </c>
      <c r="F540">
        <v>1000</v>
      </c>
      <c r="G540" t="s">
        <v>17</v>
      </c>
      <c r="H540" s="5">
        <v>43831</v>
      </c>
      <c r="I540" s="5">
        <v>44562</v>
      </c>
      <c r="J540">
        <v>14</v>
      </c>
      <c r="K540">
        <v>9</v>
      </c>
      <c r="L540">
        <v>28</v>
      </c>
      <c r="M540">
        <v>72</v>
      </c>
      <c r="N540">
        <v>1000000</v>
      </c>
      <c r="O540" t="e">
        <f>VLOOKUP($B540&amp;O$1,Data!$A$2:$D$3723,4,FALSE)</f>
        <v>#N/A</v>
      </c>
      <c r="P540" t="e">
        <f>VLOOKUP($B540&amp;P$1,Data!$A$2:$D$3723,4,FALSE)</f>
        <v>#N/A</v>
      </c>
      <c r="Q540" t="e">
        <f>VLOOKUP($B540&amp;Q$1,Data!$A$2:$D$3723,4,FALSE)</f>
        <v>#N/A</v>
      </c>
      <c r="R540" t="e">
        <f>VLOOKUP($B540&amp;R$1,Data!$A$2:$D$3723,4,FALSE)</f>
        <v>#N/A</v>
      </c>
      <c r="S540" t="e">
        <f>VLOOKUP($B540&amp;S$1,Data!$A$2:$D$3723,4,FALSE)</f>
        <v>#N/A</v>
      </c>
      <c r="T540" t="e">
        <f>VLOOKUP($B540&amp;T$1,Data!$A$2:$D$3723,4,FALSE)</f>
        <v>#N/A</v>
      </c>
      <c r="U540" t="e">
        <f>VLOOKUP($B540&amp;U$1,Data!$A$2:$D$3723,4,FALSE)</f>
        <v>#N/A</v>
      </c>
      <c r="V540" t="e">
        <f>VLOOKUP($B540&amp;V$1,Data!$A$2:$D$3723,4,FALSE)</f>
        <v>#N/A</v>
      </c>
      <c r="W540" t="e">
        <f>VLOOKUP($B540&amp;W$1,Data!$A$2:$D$3723,4,FALSE)</f>
        <v>#N/A</v>
      </c>
      <c r="X540" t="e">
        <f>VLOOKUP($B540&amp;X$1,Data!$A$2:$D$3723,4,FALSE)</f>
        <v>#N/A</v>
      </c>
      <c r="Y540" t="e">
        <f>VLOOKUP($B540&amp;Y$1,Data!$A$2:$D$3723,4,FALSE)</f>
        <v>#N/A</v>
      </c>
      <c r="Z540" t="e">
        <f>VLOOKUP($B540&amp;Z$1,Data!$A$2:$D$3723,4,FALSE)</f>
        <v>#N/A</v>
      </c>
      <c r="AA540" t="e">
        <f>VLOOKUP($B540&amp;AA$1,Data!$A$2:$D$3723,4,FALSE)</f>
        <v>#N/A</v>
      </c>
      <c r="AB540" t="e">
        <f>VLOOKUP($B540&amp;AB$1,Data!$A$2:$D$3723,4,FALSE)</f>
        <v>#N/A</v>
      </c>
      <c r="AC540" t="e">
        <f>VLOOKUP($B540&amp;AC$1,Data!$A$2:$D$3723,4,FALSE)</f>
        <v>#N/A</v>
      </c>
      <c r="AD540" t="e">
        <f>VLOOKUP($B540&amp;AD$1,Data!$A$2:$D$3723,4,FALSE)</f>
        <v>#N/A</v>
      </c>
      <c r="AE540" t="e">
        <f>VLOOKUP($B540&amp;AE$1,Data!$A$2:$D$3723,4,FALSE)</f>
        <v>#N/A</v>
      </c>
      <c r="AF540" t="e">
        <f>VLOOKUP($B540&amp;AF$1,Data!$A$2:$D$3723,4,FALSE)</f>
        <v>#N/A</v>
      </c>
      <c r="AG540" t="e">
        <f>VLOOKUP($B540&amp;AG$1,Data!$A$2:$D$3723,4,FALSE)</f>
        <v>#N/A</v>
      </c>
      <c r="AH540" t="e">
        <f>VLOOKUP($B540&amp;AH$1,Data!$A$2:$D$3723,4,FALSE)</f>
        <v>#N/A</v>
      </c>
      <c r="AI540" t="e">
        <f>VLOOKUP($B540&amp;AI$1,Data!$A$2:$D$3723,4,FALSE)</f>
        <v>#N/A</v>
      </c>
    </row>
    <row r="541" spans="2:35" hidden="1">
      <c r="B541" s="13">
        <v>540</v>
      </c>
      <c r="C541" s="13" t="s">
        <v>56</v>
      </c>
      <c r="D541" t="s">
        <v>20</v>
      </c>
      <c r="E541" t="s">
        <v>22</v>
      </c>
      <c r="F541">
        <v>5000</v>
      </c>
      <c r="G541" t="s">
        <v>17</v>
      </c>
      <c r="H541" s="5">
        <v>43831</v>
      </c>
      <c r="I541" s="5">
        <v>44562</v>
      </c>
      <c r="J541">
        <v>14</v>
      </c>
      <c r="K541">
        <v>9</v>
      </c>
      <c r="L541">
        <v>28</v>
      </c>
      <c r="M541">
        <v>72</v>
      </c>
      <c r="N541">
        <v>1000000</v>
      </c>
      <c r="O541" t="e">
        <f>VLOOKUP($B541&amp;O$1,Data!$A$2:$D$3723,4,FALSE)</f>
        <v>#N/A</v>
      </c>
      <c r="P541" t="e">
        <f>VLOOKUP($B541&amp;P$1,Data!$A$2:$D$3723,4,FALSE)</f>
        <v>#N/A</v>
      </c>
      <c r="Q541" t="e">
        <f>VLOOKUP($B541&amp;Q$1,Data!$A$2:$D$3723,4,FALSE)</f>
        <v>#N/A</v>
      </c>
      <c r="R541" t="e">
        <f>VLOOKUP($B541&amp;R$1,Data!$A$2:$D$3723,4,FALSE)</f>
        <v>#N/A</v>
      </c>
      <c r="S541" t="e">
        <f>VLOOKUP($B541&amp;S$1,Data!$A$2:$D$3723,4,FALSE)</f>
        <v>#N/A</v>
      </c>
      <c r="T541" t="e">
        <f>VLOOKUP($B541&amp;T$1,Data!$A$2:$D$3723,4,FALSE)</f>
        <v>#N/A</v>
      </c>
      <c r="U541" t="e">
        <f>VLOOKUP($B541&amp;U$1,Data!$A$2:$D$3723,4,FALSE)</f>
        <v>#N/A</v>
      </c>
      <c r="V541" t="e">
        <f>VLOOKUP($B541&amp;V$1,Data!$A$2:$D$3723,4,FALSE)</f>
        <v>#N/A</v>
      </c>
      <c r="W541" t="e">
        <f>VLOOKUP($B541&amp;W$1,Data!$A$2:$D$3723,4,FALSE)</f>
        <v>#N/A</v>
      </c>
      <c r="X541" t="e">
        <f>VLOOKUP($B541&amp;X$1,Data!$A$2:$D$3723,4,FALSE)</f>
        <v>#N/A</v>
      </c>
      <c r="Y541" t="e">
        <f>VLOOKUP($B541&amp;Y$1,Data!$A$2:$D$3723,4,FALSE)</f>
        <v>#N/A</v>
      </c>
      <c r="Z541" t="e">
        <f>VLOOKUP($B541&amp;Z$1,Data!$A$2:$D$3723,4,FALSE)</f>
        <v>#N/A</v>
      </c>
      <c r="AA541" t="e">
        <f>VLOOKUP($B541&amp;AA$1,Data!$A$2:$D$3723,4,FALSE)</f>
        <v>#N/A</v>
      </c>
      <c r="AB541" t="e">
        <f>VLOOKUP($B541&amp;AB$1,Data!$A$2:$D$3723,4,FALSE)</f>
        <v>#N/A</v>
      </c>
      <c r="AC541" t="e">
        <f>VLOOKUP($B541&amp;AC$1,Data!$A$2:$D$3723,4,FALSE)</f>
        <v>#N/A</v>
      </c>
      <c r="AD541" t="e">
        <f>VLOOKUP($B541&amp;AD$1,Data!$A$2:$D$3723,4,FALSE)</f>
        <v>#N/A</v>
      </c>
      <c r="AE541" t="e">
        <f>VLOOKUP($B541&amp;AE$1,Data!$A$2:$D$3723,4,FALSE)</f>
        <v>#N/A</v>
      </c>
      <c r="AF541" t="e">
        <f>VLOOKUP($B541&amp;AF$1,Data!$A$2:$D$3723,4,FALSE)</f>
        <v>#N/A</v>
      </c>
      <c r="AG541" t="e">
        <f>VLOOKUP($B541&amp;AG$1,Data!$A$2:$D$3723,4,FALSE)</f>
        <v>#N/A</v>
      </c>
      <c r="AH541" t="e">
        <f>VLOOKUP($B541&amp;AH$1,Data!$A$2:$D$3723,4,FALSE)</f>
        <v>#N/A</v>
      </c>
      <c r="AI541" t="e">
        <f>VLOOKUP($B541&amp;AI$1,Data!$A$2:$D$3723,4,FALSE)</f>
        <v>#N/A</v>
      </c>
    </row>
    <row r="542" spans="2:35" hidden="1">
      <c r="B542" s="13">
        <v>541</v>
      </c>
      <c r="C542" s="13" t="s">
        <v>56</v>
      </c>
      <c r="D542" t="s">
        <v>21</v>
      </c>
      <c r="E542" t="s">
        <v>3</v>
      </c>
      <c r="F542">
        <v>100</v>
      </c>
      <c r="G542" t="s">
        <v>17</v>
      </c>
      <c r="H542" s="5">
        <v>43831</v>
      </c>
      <c r="I542" s="5">
        <v>44562</v>
      </c>
      <c r="J542">
        <v>14</v>
      </c>
      <c r="K542">
        <v>9</v>
      </c>
      <c r="L542">
        <v>30</v>
      </c>
      <c r="M542">
        <v>70</v>
      </c>
      <c r="N542">
        <v>1000000</v>
      </c>
      <c r="W542"/>
    </row>
    <row r="543" spans="2:35" hidden="1">
      <c r="B543" s="13">
        <v>542</v>
      </c>
      <c r="C543" s="13" t="s">
        <v>56</v>
      </c>
      <c r="D543" t="s">
        <v>21</v>
      </c>
      <c r="E543" t="s">
        <v>3</v>
      </c>
      <c r="F543">
        <v>1000</v>
      </c>
      <c r="G543" t="s">
        <v>17</v>
      </c>
      <c r="H543" s="5">
        <v>43831</v>
      </c>
      <c r="I543" s="5">
        <v>44562</v>
      </c>
      <c r="J543">
        <v>14</v>
      </c>
      <c r="K543">
        <v>9</v>
      </c>
      <c r="L543">
        <v>30</v>
      </c>
      <c r="M543">
        <v>70</v>
      </c>
      <c r="N543">
        <v>1000000</v>
      </c>
      <c r="W543"/>
    </row>
    <row r="544" spans="2:35" hidden="1">
      <c r="B544" s="13">
        <v>543</v>
      </c>
      <c r="C544" s="13" t="s">
        <v>56</v>
      </c>
      <c r="D544" t="s">
        <v>21</v>
      </c>
      <c r="E544" t="s">
        <v>3</v>
      </c>
      <c r="F544">
        <v>5000</v>
      </c>
      <c r="G544" t="s">
        <v>17</v>
      </c>
      <c r="H544" s="5">
        <v>43831</v>
      </c>
      <c r="I544" s="5">
        <v>44562</v>
      </c>
      <c r="J544">
        <v>14</v>
      </c>
      <c r="K544">
        <v>9</v>
      </c>
      <c r="L544">
        <v>30</v>
      </c>
      <c r="M544">
        <v>70</v>
      </c>
      <c r="N544">
        <v>1000000</v>
      </c>
      <c r="W544"/>
    </row>
    <row r="545" spans="2:35" hidden="1">
      <c r="B545" s="13">
        <v>544</v>
      </c>
      <c r="C545" s="13" t="s">
        <v>56</v>
      </c>
      <c r="D545" t="s">
        <v>21</v>
      </c>
      <c r="E545" t="s">
        <v>2</v>
      </c>
      <c r="F545">
        <v>100</v>
      </c>
      <c r="G545" t="s">
        <v>17</v>
      </c>
      <c r="H545" s="5">
        <v>43831</v>
      </c>
      <c r="I545" s="5">
        <v>44562</v>
      </c>
      <c r="J545">
        <v>14</v>
      </c>
      <c r="K545">
        <v>9</v>
      </c>
      <c r="L545">
        <v>30</v>
      </c>
      <c r="M545">
        <v>70</v>
      </c>
      <c r="N545">
        <v>1000000</v>
      </c>
      <c r="W545"/>
    </row>
    <row r="546" spans="2:35" hidden="1">
      <c r="B546" s="13">
        <v>545</v>
      </c>
      <c r="C546" s="13" t="s">
        <v>56</v>
      </c>
      <c r="D546" t="s">
        <v>21</v>
      </c>
      <c r="E546" t="s">
        <v>2</v>
      </c>
      <c r="F546">
        <v>1000</v>
      </c>
      <c r="G546" t="s">
        <v>17</v>
      </c>
      <c r="H546" s="5">
        <v>43831</v>
      </c>
      <c r="I546" s="5">
        <v>44562</v>
      </c>
      <c r="J546">
        <v>14</v>
      </c>
      <c r="K546">
        <v>9</v>
      </c>
      <c r="L546">
        <v>30</v>
      </c>
      <c r="M546">
        <v>70</v>
      </c>
      <c r="N546">
        <v>1000000</v>
      </c>
      <c r="W546"/>
    </row>
    <row r="547" spans="2:35" hidden="1">
      <c r="B547" s="13">
        <v>546</v>
      </c>
      <c r="C547" s="13" t="s">
        <v>56</v>
      </c>
      <c r="D547" t="s">
        <v>21</v>
      </c>
      <c r="E547" t="s">
        <v>2</v>
      </c>
      <c r="F547">
        <v>5000</v>
      </c>
      <c r="G547" t="s">
        <v>17</v>
      </c>
      <c r="H547" s="5">
        <v>43831</v>
      </c>
      <c r="I547" s="5">
        <v>44562</v>
      </c>
      <c r="J547">
        <v>14</v>
      </c>
      <c r="K547">
        <v>9</v>
      </c>
      <c r="L547">
        <v>30</v>
      </c>
      <c r="M547">
        <v>70</v>
      </c>
      <c r="N547">
        <v>1000000</v>
      </c>
      <c r="W547"/>
    </row>
    <row r="548" spans="2:35" hidden="1">
      <c r="B548" s="13">
        <v>547</v>
      </c>
      <c r="C548" s="13" t="s">
        <v>56</v>
      </c>
      <c r="D548" t="s">
        <v>21</v>
      </c>
      <c r="E548" t="s">
        <v>22</v>
      </c>
      <c r="F548">
        <v>100</v>
      </c>
      <c r="G548" t="s">
        <v>17</v>
      </c>
      <c r="H548" s="5">
        <v>43831</v>
      </c>
      <c r="I548" s="5">
        <v>44562</v>
      </c>
      <c r="J548">
        <v>14</v>
      </c>
      <c r="K548">
        <v>9</v>
      </c>
      <c r="L548">
        <v>30</v>
      </c>
      <c r="M548">
        <v>70</v>
      </c>
      <c r="N548">
        <v>1000000</v>
      </c>
      <c r="W548"/>
    </row>
    <row r="549" spans="2:35" hidden="1">
      <c r="B549" s="13">
        <v>548</v>
      </c>
      <c r="C549" s="13" t="s">
        <v>56</v>
      </c>
      <c r="D549" t="s">
        <v>21</v>
      </c>
      <c r="E549" t="s">
        <v>22</v>
      </c>
      <c r="F549">
        <v>1000</v>
      </c>
      <c r="G549" t="s">
        <v>17</v>
      </c>
      <c r="H549" s="5">
        <v>43831</v>
      </c>
      <c r="I549" s="5">
        <v>44562</v>
      </c>
      <c r="J549">
        <v>14</v>
      </c>
      <c r="K549">
        <v>9</v>
      </c>
      <c r="L549">
        <v>30</v>
      </c>
      <c r="M549">
        <v>70</v>
      </c>
      <c r="N549">
        <v>1000000</v>
      </c>
      <c r="W549"/>
    </row>
    <row r="550" spans="2:35" hidden="1">
      <c r="B550" s="13">
        <v>549</v>
      </c>
      <c r="C550" s="13" t="s">
        <v>56</v>
      </c>
      <c r="D550" t="s">
        <v>21</v>
      </c>
      <c r="E550" t="s">
        <v>22</v>
      </c>
      <c r="F550">
        <v>5000</v>
      </c>
      <c r="G550" t="s">
        <v>17</v>
      </c>
      <c r="H550" s="5">
        <v>43831</v>
      </c>
      <c r="I550" s="5">
        <v>44562</v>
      </c>
      <c r="J550">
        <v>14</v>
      </c>
      <c r="K550">
        <v>9</v>
      </c>
      <c r="L550">
        <v>30</v>
      </c>
      <c r="M550">
        <v>70</v>
      </c>
      <c r="N550">
        <v>1000000</v>
      </c>
      <c r="W550"/>
    </row>
    <row r="551" spans="2:35" hidden="1">
      <c r="B551" s="13">
        <v>550</v>
      </c>
      <c r="C551" s="13" t="s">
        <v>56</v>
      </c>
      <c r="D551" t="s">
        <v>21</v>
      </c>
      <c r="E551" t="s">
        <v>3</v>
      </c>
      <c r="F551">
        <v>100</v>
      </c>
      <c r="G551" t="s">
        <v>17</v>
      </c>
      <c r="H551" s="5">
        <v>43831</v>
      </c>
      <c r="I551" s="5">
        <v>44562</v>
      </c>
      <c r="J551">
        <v>14</v>
      </c>
      <c r="K551">
        <v>9</v>
      </c>
      <c r="L551">
        <v>32</v>
      </c>
      <c r="M551">
        <v>68</v>
      </c>
      <c r="N551">
        <v>1000000</v>
      </c>
      <c r="O551" t="e">
        <f>VLOOKUP($B551&amp;O$1,Data!$A$2:$D$3723,4,FALSE)</f>
        <v>#N/A</v>
      </c>
      <c r="P551" t="e">
        <f>VLOOKUP($B551&amp;P$1,Data!$A$2:$D$3723,4,FALSE)</f>
        <v>#N/A</v>
      </c>
      <c r="Q551" t="e">
        <f>VLOOKUP($B551&amp;Q$1,Data!$A$2:$D$3723,4,FALSE)</f>
        <v>#N/A</v>
      </c>
      <c r="R551" t="e">
        <f>VLOOKUP($B551&amp;R$1,Data!$A$2:$D$3723,4,FALSE)</f>
        <v>#N/A</v>
      </c>
      <c r="S551" t="e">
        <f>VLOOKUP($B551&amp;S$1,Data!$A$2:$D$3723,4,FALSE)</f>
        <v>#N/A</v>
      </c>
      <c r="T551" t="e">
        <f>VLOOKUP($B551&amp;T$1,Data!$A$2:$D$3723,4,FALSE)</f>
        <v>#N/A</v>
      </c>
      <c r="U551" t="e">
        <f>VLOOKUP($B551&amp;U$1,Data!$A$2:$D$3723,4,FALSE)</f>
        <v>#N/A</v>
      </c>
      <c r="V551" t="e">
        <f>VLOOKUP($B551&amp;V$1,Data!$A$2:$D$3723,4,FALSE)</f>
        <v>#N/A</v>
      </c>
      <c r="W551" t="e">
        <f>VLOOKUP($B551&amp;W$1,Data!$A$2:$D$3723,4,FALSE)</f>
        <v>#N/A</v>
      </c>
      <c r="X551" t="e">
        <f>VLOOKUP($B551&amp;X$1,Data!$A$2:$D$3723,4,FALSE)</f>
        <v>#N/A</v>
      </c>
      <c r="Y551" t="e">
        <f>VLOOKUP($B551&amp;Y$1,Data!$A$2:$D$3723,4,FALSE)</f>
        <v>#N/A</v>
      </c>
      <c r="Z551" t="e">
        <f>VLOOKUP($B551&amp;Z$1,Data!$A$2:$D$3723,4,FALSE)</f>
        <v>#N/A</v>
      </c>
      <c r="AA551" t="e">
        <f>VLOOKUP($B551&amp;AA$1,Data!$A$2:$D$3723,4,FALSE)</f>
        <v>#N/A</v>
      </c>
      <c r="AB551" t="e">
        <f>VLOOKUP($B551&amp;AB$1,Data!$A$2:$D$3723,4,FALSE)</f>
        <v>#N/A</v>
      </c>
      <c r="AC551" t="e">
        <f>VLOOKUP($B551&amp;AC$1,Data!$A$2:$D$3723,4,FALSE)</f>
        <v>#N/A</v>
      </c>
      <c r="AD551" t="e">
        <f>VLOOKUP($B551&amp;AD$1,Data!$A$2:$D$3723,4,FALSE)</f>
        <v>#N/A</v>
      </c>
      <c r="AE551" t="e">
        <f>VLOOKUP($B551&amp;AE$1,Data!$A$2:$D$3723,4,FALSE)</f>
        <v>#N/A</v>
      </c>
      <c r="AF551" t="e">
        <f>VLOOKUP($B551&amp;AF$1,Data!$A$2:$D$3723,4,FALSE)</f>
        <v>#N/A</v>
      </c>
      <c r="AG551" t="e">
        <f>VLOOKUP($B551&amp;AG$1,Data!$A$2:$D$3723,4,FALSE)</f>
        <v>#N/A</v>
      </c>
      <c r="AH551" t="e">
        <f>VLOOKUP($B551&amp;AH$1,Data!$A$2:$D$3723,4,FALSE)</f>
        <v>#N/A</v>
      </c>
      <c r="AI551" t="e">
        <f>VLOOKUP($B551&amp;AI$1,Data!$A$2:$D$3723,4,FALSE)</f>
        <v>#N/A</v>
      </c>
    </row>
    <row r="552" spans="2:35" hidden="1">
      <c r="B552" s="13">
        <v>551</v>
      </c>
      <c r="C552" s="13" t="s">
        <v>56</v>
      </c>
      <c r="D552" t="s">
        <v>21</v>
      </c>
      <c r="E552" t="s">
        <v>3</v>
      </c>
      <c r="F552">
        <v>1000</v>
      </c>
      <c r="G552" t="s">
        <v>17</v>
      </c>
      <c r="H552" s="5">
        <v>43831</v>
      </c>
      <c r="I552" s="5">
        <v>44562</v>
      </c>
      <c r="J552">
        <v>14</v>
      </c>
      <c r="K552">
        <v>9</v>
      </c>
      <c r="L552">
        <v>32</v>
      </c>
      <c r="M552">
        <v>68</v>
      </c>
      <c r="N552">
        <v>1000000</v>
      </c>
      <c r="O552" t="e">
        <f>VLOOKUP($B552&amp;O$1,Data!$A$2:$D$3723,4,FALSE)</f>
        <v>#N/A</v>
      </c>
      <c r="P552" t="e">
        <f>VLOOKUP($B552&amp;P$1,Data!$A$2:$D$3723,4,FALSE)</f>
        <v>#N/A</v>
      </c>
      <c r="Q552" t="e">
        <f>VLOOKUP($B552&amp;Q$1,Data!$A$2:$D$3723,4,FALSE)</f>
        <v>#N/A</v>
      </c>
      <c r="R552" t="e">
        <f>VLOOKUP($B552&amp;R$1,Data!$A$2:$D$3723,4,FALSE)</f>
        <v>#N/A</v>
      </c>
      <c r="S552" t="e">
        <f>VLOOKUP($B552&amp;S$1,Data!$A$2:$D$3723,4,FALSE)</f>
        <v>#N/A</v>
      </c>
      <c r="T552" t="e">
        <f>VLOOKUP($B552&amp;T$1,Data!$A$2:$D$3723,4,FALSE)</f>
        <v>#N/A</v>
      </c>
      <c r="U552" t="e">
        <f>VLOOKUP($B552&amp;U$1,Data!$A$2:$D$3723,4,FALSE)</f>
        <v>#N/A</v>
      </c>
      <c r="V552" t="e">
        <f>VLOOKUP($B552&amp;V$1,Data!$A$2:$D$3723,4,FALSE)</f>
        <v>#N/A</v>
      </c>
      <c r="W552" t="e">
        <f>VLOOKUP($B552&amp;W$1,Data!$A$2:$D$3723,4,FALSE)</f>
        <v>#N/A</v>
      </c>
      <c r="X552" t="e">
        <f>VLOOKUP($B552&amp;X$1,Data!$A$2:$D$3723,4,FALSE)</f>
        <v>#N/A</v>
      </c>
      <c r="Y552" t="e">
        <f>VLOOKUP($B552&amp;Y$1,Data!$A$2:$D$3723,4,FALSE)</f>
        <v>#N/A</v>
      </c>
      <c r="Z552" t="e">
        <f>VLOOKUP($B552&amp;Z$1,Data!$A$2:$D$3723,4,FALSE)</f>
        <v>#N/A</v>
      </c>
      <c r="AA552" t="e">
        <f>VLOOKUP($B552&amp;AA$1,Data!$A$2:$D$3723,4,FALSE)</f>
        <v>#N/A</v>
      </c>
      <c r="AB552" t="e">
        <f>VLOOKUP($B552&amp;AB$1,Data!$A$2:$D$3723,4,FALSE)</f>
        <v>#N/A</v>
      </c>
      <c r="AC552" t="e">
        <f>VLOOKUP($B552&amp;AC$1,Data!$A$2:$D$3723,4,FALSE)</f>
        <v>#N/A</v>
      </c>
      <c r="AD552" t="e">
        <f>VLOOKUP($B552&amp;AD$1,Data!$A$2:$D$3723,4,FALSE)</f>
        <v>#N/A</v>
      </c>
      <c r="AE552" t="e">
        <f>VLOOKUP($B552&amp;AE$1,Data!$A$2:$D$3723,4,FALSE)</f>
        <v>#N/A</v>
      </c>
      <c r="AF552" t="e">
        <f>VLOOKUP($B552&amp;AF$1,Data!$A$2:$D$3723,4,FALSE)</f>
        <v>#N/A</v>
      </c>
      <c r="AG552" t="e">
        <f>VLOOKUP($B552&amp;AG$1,Data!$A$2:$D$3723,4,FALSE)</f>
        <v>#N/A</v>
      </c>
      <c r="AH552" t="e">
        <f>VLOOKUP($B552&amp;AH$1,Data!$A$2:$D$3723,4,FALSE)</f>
        <v>#N/A</v>
      </c>
      <c r="AI552" t="e">
        <f>VLOOKUP($B552&amp;AI$1,Data!$A$2:$D$3723,4,FALSE)</f>
        <v>#N/A</v>
      </c>
    </row>
    <row r="553" spans="2:35" hidden="1">
      <c r="B553" s="13">
        <v>552</v>
      </c>
      <c r="C553" s="13" t="s">
        <v>56</v>
      </c>
      <c r="D553" t="s">
        <v>21</v>
      </c>
      <c r="E553" t="s">
        <v>3</v>
      </c>
      <c r="F553">
        <v>5000</v>
      </c>
      <c r="G553" t="s">
        <v>17</v>
      </c>
      <c r="H553" s="5">
        <v>43831</v>
      </c>
      <c r="I553" s="5">
        <v>44562</v>
      </c>
      <c r="J553">
        <v>14</v>
      </c>
      <c r="K553">
        <v>9</v>
      </c>
      <c r="L553">
        <v>32</v>
      </c>
      <c r="M553">
        <v>68</v>
      </c>
      <c r="N553">
        <v>1000000</v>
      </c>
      <c r="O553" t="e">
        <f>VLOOKUP($B553&amp;O$1,Data!$A$2:$D$3723,4,FALSE)</f>
        <v>#N/A</v>
      </c>
      <c r="P553" t="e">
        <f>VLOOKUP($B553&amp;P$1,Data!$A$2:$D$3723,4,FALSE)</f>
        <v>#N/A</v>
      </c>
      <c r="Q553" t="e">
        <f>VLOOKUP($B553&amp;Q$1,Data!$A$2:$D$3723,4,FALSE)</f>
        <v>#N/A</v>
      </c>
      <c r="R553" t="e">
        <f>VLOOKUP($B553&amp;R$1,Data!$A$2:$D$3723,4,FALSE)</f>
        <v>#N/A</v>
      </c>
      <c r="S553" t="e">
        <f>VLOOKUP($B553&amp;S$1,Data!$A$2:$D$3723,4,FALSE)</f>
        <v>#N/A</v>
      </c>
      <c r="T553" t="e">
        <f>VLOOKUP($B553&amp;T$1,Data!$A$2:$D$3723,4,FALSE)</f>
        <v>#N/A</v>
      </c>
      <c r="U553" t="e">
        <f>VLOOKUP($B553&amp;U$1,Data!$A$2:$D$3723,4,FALSE)</f>
        <v>#N/A</v>
      </c>
      <c r="V553" t="e">
        <f>VLOOKUP($B553&amp;V$1,Data!$A$2:$D$3723,4,FALSE)</f>
        <v>#N/A</v>
      </c>
      <c r="W553" t="e">
        <f>VLOOKUP($B553&amp;W$1,Data!$A$2:$D$3723,4,FALSE)</f>
        <v>#N/A</v>
      </c>
      <c r="X553" t="e">
        <f>VLOOKUP($B553&amp;X$1,Data!$A$2:$D$3723,4,FALSE)</f>
        <v>#N/A</v>
      </c>
      <c r="Y553" t="e">
        <f>VLOOKUP($B553&amp;Y$1,Data!$A$2:$D$3723,4,FALSE)</f>
        <v>#N/A</v>
      </c>
      <c r="Z553" t="e">
        <f>VLOOKUP($B553&amp;Z$1,Data!$A$2:$D$3723,4,FALSE)</f>
        <v>#N/A</v>
      </c>
      <c r="AA553" t="e">
        <f>VLOOKUP($B553&amp;AA$1,Data!$A$2:$D$3723,4,FALSE)</f>
        <v>#N/A</v>
      </c>
      <c r="AB553" t="e">
        <f>VLOOKUP($B553&amp;AB$1,Data!$A$2:$D$3723,4,FALSE)</f>
        <v>#N/A</v>
      </c>
      <c r="AC553" t="e">
        <f>VLOOKUP($B553&amp;AC$1,Data!$A$2:$D$3723,4,FALSE)</f>
        <v>#N/A</v>
      </c>
      <c r="AD553" t="e">
        <f>VLOOKUP($B553&amp;AD$1,Data!$A$2:$D$3723,4,FALSE)</f>
        <v>#N/A</v>
      </c>
      <c r="AE553" t="e">
        <f>VLOOKUP($B553&amp;AE$1,Data!$A$2:$D$3723,4,FALSE)</f>
        <v>#N/A</v>
      </c>
      <c r="AF553" t="e">
        <f>VLOOKUP($B553&amp;AF$1,Data!$A$2:$D$3723,4,FALSE)</f>
        <v>#N/A</v>
      </c>
      <c r="AG553" t="e">
        <f>VLOOKUP($B553&amp;AG$1,Data!$A$2:$D$3723,4,FALSE)</f>
        <v>#N/A</v>
      </c>
      <c r="AH553" t="e">
        <f>VLOOKUP($B553&amp;AH$1,Data!$A$2:$D$3723,4,FALSE)</f>
        <v>#N/A</v>
      </c>
      <c r="AI553" t="e">
        <f>VLOOKUP($B553&amp;AI$1,Data!$A$2:$D$3723,4,FALSE)</f>
        <v>#N/A</v>
      </c>
    </row>
    <row r="554" spans="2:35" hidden="1">
      <c r="B554" s="13">
        <v>553</v>
      </c>
      <c r="C554" s="13" t="s">
        <v>56</v>
      </c>
      <c r="D554" t="s">
        <v>21</v>
      </c>
      <c r="E554" t="s">
        <v>2</v>
      </c>
      <c r="F554">
        <v>100</v>
      </c>
      <c r="G554" t="s">
        <v>17</v>
      </c>
      <c r="H554" s="5">
        <v>43831</v>
      </c>
      <c r="I554" s="5">
        <v>44562</v>
      </c>
      <c r="J554">
        <v>14</v>
      </c>
      <c r="K554">
        <v>9</v>
      </c>
      <c r="L554">
        <v>32</v>
      </c>
      <c r="M554">
        <v>68</v>
      </c>
      <c r="N554">
        <v>1000000</v>
      </c>
      <c r="O554" t="e">
        <f>VLOOKUP($B554&amp;O$1,Data!$A$2:$D$3723,4,FALSE)</f>
        <v>#N/A</v>
      </c>
      <c r="P554" t="e">
        <f>VLOOKUP($B554&amp;P$1,Data!$A$2:$D$3723,4,FALSE)</f>
        <v>#N/A</v>
      </c>
      <c r="Q554" t="e">
        <f>VLOOKUP($B554&amp;Q$1,Data!$A$2:$D$3723,4,FALSE)</f>
        <v>#N/A</v>
      </c>
      <c r="R554" t="e">
        <f>VLOOKUP($B554&amp;R$1,Data!$A$2:$D$3723,4,FALSE)</f>
        <v>#N/A</v>
      </c>
      <c r="S554" t="e">
        <f>VLOOKUP($B554&amp;S$1,Data!$A$2:$D$3723,4,FALSE)</f>
        <v>#N/A</v>
      </c>
      <c r="T554" t="e">
        <f>VLOOKUP($B554&amp;T$1,Data!$A$2:$D$3723,4,FALSE)</f>
        <v>#N/A</v>
      </c>
      <c r="U554" t="e">
        <f>VLOOKUP($B554&amp;U$1,Data!$A$2:$D$3723,4,FALSE)</f>
        <v>#N/A</v>
      </c>
      <c r="V554" t="e">
        <f>VLOOKUP($B554&amp;V$1,Data!$A$2:$D$3723,4,FALSE)</f>
        <v>#N/A</v>
      </c>
      <c r="W554" t="e">
        <f>VLOOKUP($B554&amp;W$1,Data!$A$2:$D$3723,4,FALSE)</f>
        <v>#N/A</v>
      </c>
      <c r="X554" t="e">
        <f>VLOOKUP($B554&amp;X$1,Data!$A$2:$D$3723,4,FALSE)</f>
        <v>#N/A</v>
      </c>
      <c r="Y554" t="e">
        <f>VLOOKUP($B554&amp;Y$1,Data!$A$2:$D$3723,4,FALSE)</f>
        <v>#N/A</v>
      </c>
      <c r="Z554" t="e">
        <f>VLOOKUP($B554&amp;Z$1,Data!$A$2:$D$3723,4,FALSE)</f>
        <v>#N/A</v>
      </c>
      <c r="AA554" t="e">
        <f>VLOOKUP($B554&amp;AA$1,Data!$A$2:$D$3723,4,FALSE)</f>
        <v>#N/A</v>
      </c>
      <c r="AB554" t="e">
        <f>VLOOKUP($B554&amp;AB$1,Data!$A$2:$D$3723,4,FALSE)</f>
        <v>#N/A</v>
      </c>
      <c r="AC554" t="e">
        <f>VLOOKUP($B554&amp;AC$1,Data!$A$2:$D$3723,4,FALSE)</f>
        <v>#N/A</v>
      </c>
      <c r="AD554" t="e">
        <f>VLOOKUP($B554&amp;AD$1,Data!$A$2:$D$3723,4,FALSE)</f>
        <v>#N/A</v>
      </c>
      <c r="AE554" t="e">
        <f>VLOOKUP($B554&amp;AE$1,Data!$A$2:$D$3723,4,FALSE)</f>
        <v>#N/A</v>
      </c>
      <c r="AF554" t="e">
        <f>VLOOKUP($B554&amp;AF$1,Data!$A$2:$D$3723,4,FALSE)</f>
        <v>#N/A</v>
      </c>
      <c r="AG554" t="e">
        <f>VLOOKUP($B554&amp;AG$1,Data!$A$2:$D$3723,4,FALSE)</f>
        <v>#N/A</v>
      </c>
      <c r="AH554" t="e">
        <f>VLOOKUP($B554&amp;AH$1,Data!$A$2:$D$3723,4,FALSE)</f>
        <v>#N/A</v>
      </c>
      <c r="AI554" t="e">
        <f>VLOOKUP($B554&amp;AI$1,Data!$A$2:$D$3723,4,FALSE)</f>
        <v>#N/A</v>
      </c>
    </row>
    <row r="555" spans="2:35" hidden="1">
      <c r="B555" s="13">
        <v>554</v>
      </c>
      <c r="C555" s="13" t="s">
        <v>56</v>
      </c>
      <c r="D555" t="s">
        <v>21</v>
      </c>
      <c r="E555" t="s">
        <v>2</v>
      </c>
      <c r="F555">
        <v>1000</v>
      </c>
      <c r="G555" t="s">
        <v>17</v>
      </c>
      <c r="H555" s="5">
        <v>43831</v>
      </c>
      <c r="I555" s="5">
        <v>44562</v>
      </c>
      <c r="J555">
        <v>14</v>
      </c>
      <c r="K555">
        <v>9</v>
      </c>
      <c r="L555">
        <v>32</v>
      </c>
      <c r="M555">
        <v>68</v>
      </c>
      <c r="N555">
        <v>1000000</v>
      </c>
      <c r="O555" t="e">
        <f>VLOOKUP($B555&amp;O$1,Data!$A$2:$D$3723,4,FALSE)</f>
        <v>#N/A</v>
      </c>
      <c r="P555" t="e">
        <f>VLOOKUP($B555&amp;P$1,Data!$A$2:$D$3723,4,FALSE)</f>
        <v>#N/A</v>
      </c>
      <c r="Q555" t="e">
        <f>VLOOKUP($B555&amp;Q$1,Data!$A$2:$D$3723,4,FALSE)</f>
        <v>#N/A</v>
      </c>
      <c r="R555" t="e">
        <f>VLOOKUP($B555&amp;R$1,Data!$A$2:$D$3723,4,FALSE)</f>
        <v>#N/A</v>
      </c>
      <c r="S555" t="e">
        <f>VLOOKUP($B555&amp;S$1,Data!$A$2:$D$3723,4,FALSE)</f>
        <v>#N/A</v>
      </c>
      <c r="T555" t="e">
        <f>VLOOKUP($B555&amp;T$1,Data!$A$2:$D$3723,4,FALSE)</f>
        <v>#N/A</v>
      </c>
      <c r="U555" t="e">
        <f>VLOOKUP($B555&amp;U$1,Data!$A$2:$D$3723,4,FALSE)</f>
        <v>#N/A</v>
      </c>
      <c r="V555" t="e">
        <f>VLOOKUP($B555&amp;V$1,Data!$A$2:$D$3723,4,FALSE)</f>
        <v>#N/A</v>
      </c>
      <c r="W555" t="e">
        <f>VLOOKUP($B555&amp;W$1,Data!$A$2:$D$3723,4,FALSE)</f>
        <v>#N/A</v>
      </c>
      <c r="X555" t="e">
        <f>VLOOKUP($B555&amp;X$1,Data!$A$2:$D$3723,4,FALSE)</f>
        <v>#N/A</v>
      </c>
      <c r="Y555" t="e">
        <f>VLOOKUP($B555&amp;Y$1,Data!$A$2:$D$3723,4,FALSE)</f>
        <v>#N/A</v>
      </c>
      <c r="Z555" t="e">
        <f>VLOOKUP($B555&amp;Z$1,Data!$A$2:$D$3723,4,FALSE)</f>
        <v>#N/A</v>
      </c>
      <c r="AA555" t="e">
        <f>VLOOKUP($B555&amp;AA$1,Data!$A$2:$D$3723,4,FALSE)</f>
        <v>#N/A</v>
      </c>
      <c r="AB555" t="e">
        <f>VLOOKUP($B555&amp;AB$1,Data!$A$2:$D$3723,4,FALSE)</f>
        <v>#N/A</v>
      </c>
      <c r="AC555" t="e">
        <f>VLOOKUP($B555&amp;AC$1,Data!$A$2:$D$3723,4,FALSE)</f>
        <v>#N/A</v>
      </c>
      <c r="AD555" t="e">
        <f>VLOOKUP($B555&amp;AD$1,Data!$A$2:$D$3723,4,FALSE)</f>
        <v>#N/A</v>
      </c>
      <c r="AE555" t="e">
        <f>VLOOKUP($B555&amp;AE$1,Data!$A$2:$D$3723,4,FALSE)</f>
        <v>#N/A</v>
      </c>
      <c r="AF555" t="e">
        <f>VLOOKUP($B555&amp;AF$1,Data!$A$2:$D$3723,4,FALSE)</f>
        <v>#N/A</v>
      </c>
      <c r="AG555" t="e">
        <f>VLOOKUP($B555&amp;AG$1,Data!$A$2:$D$3723,4,FALSE)</f>
        <v>#N/A</v>
      </c>
      <c r="AH555" t="e">
        <f>VLOOKUP($B555&amp;AH$1,Data!$A$2:$D$3723,4,FALSE)</f>
        <v>#N/A</v>
      </c>
      <c r="AI555" t="e">
        <f>VLOOKUP($B555&amp;AI$1,Data!$A$2:$D$3723,4,FALSE)</f>
        <v>#N/A</v>
      </c>
    </row>
    <row r="556" spans="2:35" hidden="1">
      <c r="B556" s="13">
        <v>555</v>
      </c>
      <c r="C556" s="13" t="s">
        <v>56</v>
      </c>
      <c r="D556" t="s">
        <v>21</v>
      </c>
      <c r="E556" t="s">
        <v>2</v>
      </c>
      <c r="F556">
        <v>5000</v>
      </c>
      <c r="G556" t="s">
        <v>17</v>
      </c>
      <c r="H556" s="5">
        <v>43831</v>
      </c>
      <c r="I556" s="5">
        <v>44562</v>
      </c>
      <c r="J556">
        <v>14</v>
      </c>
      <c r="K556">
        <v>9</v>
      </c>
      <c r="L556">
        <v>32</v>
      </c>
      <c r="M556">
        <v>68</v>
      </c>
      <c r="N556">
        <v>1000000</v>
      </c>
      <c r="O556" t="e">
        <f>VLOOKUP($B556&amp;O$1,Data!$A$2:$D$3723,4,FALSE)</f>
        <v>#N/A</v>
      </c>
      <c r="P556" t="e">
        <f>VLOOKUP($B556&amp;P$1,Data!$A$2:$D$3723,4,FALSE)</f>
        <v>#N/A</v>
      </c>
      <c r="Q556" t="e">
        <f>VLOOKUP($B556&amp;Q$1,Data!$A$2:$D$3723,4,FALSE)</f>
        <v>#N/A</v>
      </c>
      <c r="R556" t="e">
        <f>VLOOKUP($B556&amp;R$1,Data!$A$2:$D$3723,4,FALSE)</f>
        <v>#N/A</v>
      </c>
      <c r="S556" t="e">
        <f>VLOOKUP($B556&amp;S$1,Data!$A$2:$D$3723,4,FALSE)</f>
        <v>#N/A</v>
      </c>
      <c r="T556" t="e">
        <f>VLOOKUP($B556&amp;T$1,Data!$A$2:$D$3723,4,FALSE)</f>
        <v>#N/A</v>
      </c>
      <c r="U556" t="e">
        <f>VLOOKUP($B556&amp;U$1,Data!$A$2:$D$3723,4,FALSE)</f>
        <v>#N/A</v>
      </c>
      <c r="V556" t="e">
        <f>VLOOKUP($B556&amp;V$1,Data!$A$2:$D$3723,4,FALSE)</f>
        <v>#N/A</v>
      </c>
      <c r="W556" t="e">
        <f>VLOOKUP($B556&amp;W$1,Data!$A$2:$D$3723,4,FALSE)</f>
        <v>#N/A</v>
      </c>
      <c r="X556" t="e">
        <f>VLOOKUP($B556&amp;X$1,Data!$A$2:$D$3723,4,FALSE)</f>
        <v>#N/A</v>
      </c>
      <c r="Y556" t="e">
        <f>VLOOKUP($B556&amp;Y$1,Data!$A$2:$D$3723,4,FALSE)</f>
        <v>#N/A</v>
      </c>
      <c r="Z556" t="e">
        <f>VLOOKUP($B556&amp;Z$1,Data!$A$2:$D$3723,4,FALSE)</f>
        <v>#N/A</v>
      </c>
      <c r="AA556" t="e">
        <f>VLOOKUP($B556&amp;AA$1,Data!$A$2:$D$3723,4,FALSE)</f>
        <v>#N/A</v>
      </c>
      <c r="AB556" t="e">
        <f>VLOOKUP($B556&amp;AB$1,Data!$A$2:$D$3723,4,FALSE)</f>
        <v>#N/A</v>
      </c>
      <c r="AC556" t="e">
        <f>VLOOKUP($B556&amp;AC$1,Data!$A$2:$D$3723,4,FALSE)</f>
        <v>#N/A</v>
      </c>
      <c r="AD556" t="e">
        <f>VLOOKUP($B556&amp;AD$1,Data!$A$2:$D$3723,4,FALSE)</f>
        <v>#N/A</v>
      </c>
      <c r="AE556" t="e">
        <f>VLOOKUP($B556&amp;AE$1,Data!$A$2:$D$3723,4,FALSE)</f>
        <v>#N/A</v>
      </c>
      <c r="AF556" t="e">
        <f>VLOOKUP($B556&amp;AF$1,Data!$A$2:$D$3723,4,FALSE)</f>
        <v>#N/A</v>
      </c>
      <c r="AG556" t="e">
        <f>VLOOKUP($B556&amp;AG$1,Data!$A$2:$D$3723,4,FALSE)</f>
        <v>#N/A</v>
      </c>
      <c r="AH556" t="e">
        <f>VLOOKUP($B556&amp;AH$1,Data!$A$2:$D$3723,4,FALSE)</f>
        <v>#N/A</v>
      </c>
      <c r="AI556" t="e">
        <f>VLOOKUP($B556&amp;AI$1,Data!$A$2:$D$3723,4,FALSE)</f>
        <v>#N/A</v>
      </c>
    </row>
    <row r="557" spans="2:35" hidden="1">
      <c r="B557" s="13">
        <v>556</v>
      </c>
      <c r="C557" s="13" t="s">
        <v>56</v>
      </c>
      <c r="D557" t="s">
        <v>21</v>
      </c>
      <c r="E557" t="s">
        <v>22</v>
      </c>
      <c r="F557">
        <v>100</v>
      </c>
      <c r="G557" t="s">
        <v>17</v>
      </c>
      <c r="H557" s="5">
        <v>43831</v>
      </c>
      <c r="I557" s="5">
        <v>44562</v>
      </c>
      <c r="J557">
        <v>14</v>
      </c>
      <c r="K557">
        <v>9</v>
      </c>
      <c r="L557">
        <v>32</v>
      </c>
      <c r="M557">
        <v>68</v>
      </c>
      <c r="N557">
        <v>1000000</v>
      </c>
      <c r="O557" t="e">
        <f>VLOOKUP($B557&amp;O$1,Data!$A$2:$D$3723,4,FALSE)</f>
        <v>#N/A</v>
      </c>
      <c r="P557" t="e">
        <f>VLOOKUP($B557&amp;P$1,Data!$A$2:$D$3723,4,FALSE)</f>
        <v>#N/A</v>
      </c>
      <c r="Q557" t="e">
        <f>VLOOKUP($B557&amp;Q$1,Data!$A$2:$D$3723,4,FALSE)</f>
        <v>#N/A</v>
      </c>
      <c r="R557" t="e">
        <f>VLOOKUP($B557&amp;R$1,Data!$A$2:$D$3723,4,FALSE)</f>
        <v>#N/A</v>
      </c>
      <c r="S557" t="e">
        <f>VLOOKUP($B557&amp;S$1,Data!$A$2:$D$3723,4,FALSE)</f>
        <v>#N/A</v>
      </c>
      <c r="T557" t="e">
        <f>VLOOKUP($B557&amp;T$1,Data!$A$2:$D$3723,4,FALSE)</f>
        <v>#N/A</v>
      </c>
      <c r="U557" t="e">
        <f>VLOOKUP($B557&amp;U$1,Data!$A$2:$D$3723,4,FALSE)</f>
        <v>#N/A</v>
      </c>
      <c r="V557" t="e">
        <f>VLOOKUP($B557&amp;V$1,Data!$A$2:$D$3723,4,FALSE)</f>
        <v>#N/A</v>
      </c>
      <c r="W557" t="e">
        <f>VLOOKUP($B557&amp;W$1,Data!$A$2:$D$3723,4,FALSE)</f>
        <v>#N/A</v>
      </c>
      <c r="X557" t="e">
        <f>VLOOKUP($B557&amp;X$1,Data!$A$2:$D$3723,4,FALSE)</f>
        <v>#N/A</v>
      </c>
      <c r="Y557" t="e">
        <f>VLOOKUP($B557&amp;Y$1,Data!$A$2:$D$3723,4,FALSE)</f>
        <v>#N/A</v>
      </c>
      <c r="Z557" t="e">
        <f>VLOOKUP($B557&amp;Z$1,Data!$A$2:$D$3723,4,FALSE)</f>
        <v>#N/A</v>
      </c>
      <c r="AA557" t="e">
        <f>VLOOKUP($B557&amp;AA$1,Data!$A$2:$D$3723,4,FALSE)</f>
        <v>#N/A</v>
      </c>
      <c r="AB557" t="e">
        <f>VLOOKUP($B557&amp;AB$1,Data!$A$2:$D$3723,4,FALSE)</f>
        <v>#N/A</v>
      </c>
      <c r="AC557" t="e">
        <f>VLOOKUP($B557&amp;AC$1,Data!$A$2:$D$3723,4,FALSE)</f>
        <v>#N/A</v>
      </c>
      <c r="AD557" t="e">
        <f>VLOOKUP($B557&amp;AD$1,Data!$A$2:$D$3723,4,FALSE)</f>
        <v>#N/A</v>
      </c>
      <c r="AE557" t="e">
        <f>VLOOKUP($B557&amp;AE$1,Data!$A$2:$D$3723,4,FALSE)</f>
        <v>#N/A</v>
      </c>
      <c r="AF557" t="e">
        <f>VLOOKUP($B557&amp;AF$1,Data!$A$2:$D$3723,4,FALSE)</f>
        <v>#N/A</v>
      </c>
      <c r="AG557" t="e">
        <f>VLOOKUP($B557&amp;AG$1,Data!$A$2:$D$3723,4,FALSE)</f>
        <v>#N/A</v>
      </c>
      <c r="AH557" t="e">
        <f>VLOOKUP($B557&amp;AH$1,Data!$A$2:$D$3723,4,FALSE)</f>
        <v>#N/A</v>
      </c>
      <c r="AI557" t="e">
        <f>VLOOKUP($B557&amp;AI$1,Data!$A$2:$D$3723,4,FALSE)</f>
        <v>#N/A</v>
      </c>
    </row>
    <row r="558" spans="2:35" hidden="1">
      <c r="B558" s="13">
        <v>557</v>
      </c>
      <c r="C558" s="13" t="s">
        <v>56</v>
      </c>
      <c r="D558" t="s">
        <v>21</v>
      </c>
      <c r="E558" t="s">
        <v>22</v>
      </c>
      <c r="F558">
        <v>1000</v>
      </c>
      <c r="G558" t="s">
        <v>17</v>
      </c>
      <c r="H558" s="5">
        <v>43831</v>
      </c>
      <c r="I558" s="5">
        <v>44562</v>
      </c>
      <c r="J558">
        <v>14</v>
      </c>
      <c r="K558">
        <v>9</v>
      </c>
      <c r="L558">
        <v>32</v>
      </c>
      <c r="M558">
        <v>68</v>
      </c>
      <c r="N558">
        <v>1000000</v>
      </c>
      <c r="O558" t="e">
        <f>VLOOKUP($B558&amp;O$1,Data!$A$2:$D$3723,4,FALSE)</f>
        <v>#N/A</v>
      </c>
      <c r="P558" t="e">
        <f>VLOOKUP($B558&amp;P$1,Data!$A$2:$D$3723,4,FALSE)</f>
        <v>#N/A</v>
      </c>
      <c r="Q558" t="e">
        <f>VLOOKUP($B558&amp;Q$1,Data!$A$2:$D$3723,4,FALSE)</f>
        <v>#N/A</v>
      </c>
      <c r="R558" t="e">
        <f>VLOOKUP($B558&amp;R$1,Data!$A$2:$D$3723,4,FALSE)</f>
        <v>#N/A</v>
      </c>
      <c r="S558" t="e">
        <f>VLOOKUP($B558&amp;S$1,Data!$A$2:$D$3723,4,FALSE)</f>
        <v>#N/A</v>
      </c>
      <c r="T558" t="e">
        <f>VLOOKUP($B558&amp;T$1,Data!$A$2:$D$3723,4,FALSE)</f>
        <v>#N/A</v>
      </c>
      <c r="U558" t="e">
        <f>VLOOKUP($B558&amp;U$1,Data!$A$2:$D$3723,4,FALSE)</f>
        <v>#N/A</v>
      </c>
      <c r="V558" t="e">
        <f>VLOOKUP($B558&amp;V$1,Data!$A$2:$D$3723,4,FALSE)</f>
        <v>#N/A</v>
      </c>
      <c r="W558" t="e">
        <f>VLOOKUP($B558&amp;W$1,Data!$A$2:$D$3723,4,FALSE)</f>
        <v>#N/A</v>
      </c>
      <c r="X558" t="e">
        <f>VLOOKUP($B558&amp;X$1,Data!$A$2:$D$3723,4,FALSE)</f>
        <v>#N/A</v>
      </c>
      <c r="Y558" t="e">
        <f>VLOOKUP($B558&amp;Y$1,Data!$A$2:$D$3723,4,FALSE)</f>
        <v>#N/A</v>
      </c>
      <c r="Z558" t="e">
        <f>VLOOKUP($B558&amp;Z$1,Data!$A$2:$D$3723,4,FALSE)</f>
        <v>#N/A</v>
      </c>
      <c r="AA558" t="e">
        <f>VLOOKUP($B558&amp;AA$1,Data!$A$2:$D$3723,4,FALSE)</f>
        <v>#N/A</v>
      </c>
      <c r="AB558" t="e">
        <f>VLOOKUP($B558&amp;AB$1,Data!$A$2:$D$3723,4,FALSE)</f>
        <v>#N/A</v>
      </c>
      <c r="AC558" t="e">
        <f>VLOOKUP($B558&amp;AC$1,Data!$A$2:$D$3723,4,FALSE)</f>
        <v>#N/A</v>
      </c>
      <c r="AD558" t="e">
        <f>VLOOKUP($B558&amp;AD$1,Data!$A$2:$D$3723,4,FALSE)</f>
        <v>#N/A</v>
      </c>
      <c r="AE558" t="e">
        <f>VLOOKUP($B558&amp;AE$1,Data!$A$2:$D$3723,4,FALSE)</f>
        <v>#N/A</v>
      </c>
      <c r="AF558" t="e">
        <f>VLOOKUP($B558&amp;AF$1,Data!$A$2:$D$3723,4,FALSE)</f>
        <v>#N/A</v>
      </c>
      <c r="AG558" t="e">
        <f>VLOOKUP($B558&amp;AG$1,Data!$A$2:$D$3723,4,FALSE)</f>
        <v>#N/A</v>
      </c>
      <c r="AH558" t="e">
        <f>VLOOKUP($B558&amp;AH$1,Data!$A$2:$D$3723,4,FALSE)</f>
        <v>#N/A</v>
      </c>
      <c r="AI558" t="e">
        <f>VLOOKUP($B558&amp;AI$1,Data!$A$2:$D$3723,4,FALSE)</f>
        <v>#N/A</v>
      </c>
    </row>
    <row r="559" spans="2:35" hidden="1">
      <c r="B559" s="13">
        <v>558</v>
      </c>
      <c r="C559" s="13" t="s">
        <v>56</v>
      </c>
      <c r="D559" t="s">
        <v>21</v>
      </c>
      <c r="E559" t="s">
        <v>22</v>
      </c>
      <c r="F559">
        <v>5000</v>
      </c>
      <c r="G559" t="s">
        <v>17</v>
      </c>
      <c r="H559" s="5">
        <v>43831</v>
      </c>
      <c r="I559" s="5">
        <v>44562</v>
      </c>
      <c r="J559">
        <v>14</v>
      </c>
      <c r="K559">
        <v>9</v>
      </c>
      <c r="L559">
        <v>32</v>
      </c>
      <c r="M559">
        <v>68</v>
      </c>
      <c r="N559">
        <v>1000000</v>
      </c>
      <c r="O559" t="e">
        <f>VLOOKUP($B559&amp;O$1,Data!$A$2:$D$3723,4,FALSE)</f>
        <v>#N/A</v>
      </c>
      <c r="P559" t="e">
        <f>VLOOKUP($B559&amp;P$1,Data!$A$2:$D$3723,4,FALSE)</f>
        <v>#N/A</v>
      </c>
      <c r="Q559" t="e">
        <f>VLOOKUP($B559&amp;Q$1,Data!$A$2:$D$3723,4,FALSE)</f>
        <v>#N/A</v>
      </c>
      <c r="R559" t="e">
        <f>VLOOKUP($B559&amp;R$1,Data!$A$2:$D$3723,4,FALSE)</f>
        <v>#N/A</v>
      </c>
      <c r="S559" t="e">
        <f>VLOOKUP($B559&amp;S$1,Data!$A$2:$D$3723,4,FALSE)</f>
        <v>#N/A</v>
      </c>
      <c r="T559" t="e">
        <f>VLOOKUP($B559&amp;T$1,Data!$A$2:$D$3723,4,FALSE)</f>
        <v>#N/A</v>
      </c>
      <c r="U559" t="e">
        <f>VLOOKUP($B559&amp;U$1,Data!$A$2:$D$3723,4,FALSE)</f>
        <v>#N/A</v>
      </c>
      <c r="V559" t="e">
        <f>VLOOKUP($B559&amp;V$1,Data!$A$2:$D$3723,4,FALSE)</f>
        <v>#N/A</v>
      </c>
      <c r="W559" t="e">
        <f>VLOOKUP($B559&amp;W$1,Data!$A$2:$D$3723,4,FALSE)</f>
        <v>#N/A</v>
      </c>
      <c r="X559" t="e">
        <f>VLOOKUP($B559&amp;X$1,Data!$A$2:$D$3723,4,FALSE)</f>
        <v>#N/A</v>
      </c>
      <c r="Y559" t="e">
        <f>VLOOKUP($B559&amp;Y$1,Data!$A$2:$D$3723,4,FALSE)</f>
        <v>#N/A</v>
      </c>
      <c r="Z559" t="e">
        <f>VLOOKUP($B559&amp;Z$1,Data!$A$2:$D$3723,4,FALSE)</f>
        <v>#N/A</v>
      </c>
      <c r="AA559" t="e">
        <f>VLOOKUP($B559&amp;AA$1,Data!$A$2:$D$3723,4,FALSE)</f>
        <v>#N/A</v>
      </c>
      <c r="AB559" t="e">
        <f>VLOOKUP($B559&amp;AB$1,Data!$A$2:$D$3723,4,FALSE)</f>
        <v>#N/A</v>
      </c>
      <c r="AC559" t="e">
        <f>VLOOKUP($B559&amp;AC$1,Data!$A$2:$D$3723,4,FALSE)</f>
        <v>#N/A</v>
      </c>
      <c r="AD559" t="e">
        <f>VLOOKUP($B559&amp;AD$1,Data!$A$2:$D$3723,4,FALSE)</f>
        <v>#N/A</v>
      </c>
      <c r="AE559" t="e">
        <f>VLOOKUP($B559&amp;AE$1,Data!$A$2:$D$3723,4,FALSE)</f>
        <v>#N/A</v>
      </c>
      <c r="AF559" t="e">
        <f>VLOOKUP($B559&amp;AF$1,Data!$A$2:$D$3723,4,FALSE)</f>
        <v>#N/A</v>
      </c>
      <c r="AG559" t="e">
        <f>VLOOKUP($B559&amp;AG$1,Data!$A$2:$D$3723,4,FALSE)</f>
        <v>#N/A</v>
      </c>
      <c r="AH559" t="e">
        <f>VLOOKUP($B559&amp;AH$1,Data!$A$2:$D$3723,4,FALSE)</f>
        <v>#N/A</v>
      </c>
      <c r="AI559" t="e">
        <f>VLOOKUP($B559&amp;AI$1,Data!$A$2:$D$3723,4,FALSE)</f>
        <v>#N/A</v>
      </c>
    </row>
    <row r="560" spans="2:35" hidden="1">
      <c r="B560" s="13">
        <v>559</v>
      </c>
      <c r="C560" s="13" t="s">
        <v>56</v>
      </c>
      <c r="D560" t="s">
        <v>21</v>
      </c>
      <c r="E560" t="s">
        <v>3</v>
      </c>
      <c r="F560">
        <v>100</v>
      </c>
      <c r="G560" t="s">
        <v>17</v>
      </c>
      <c r="H560" s="5">
        <v>43831</v>
      </c>
      <c r="I560" s="5">
        <v>44562</v>
      </c>
      <c r="J560">
        <v>14</v>
      </c>
      <c r="K560">
        <v>9</v>
      </c>
      <c r="L560">
        <v>28</v>
      </c>
      <c r="M560">
        <v>72</v>
      </c>
      <c r="N560">
        <v>1000000</v>
      </c>
      <c r="O560" t="e">
        <f>VLOOKUP($B560&amp;O$1,Data!$A$2:$D$3723,4,FALSE)</f>
        <v>#N/A</v>
      </c>
      <c r="P560" t="e">
        <f>VLOOKUP($B560&amp;P$1,Data!$A$2:$D$3723,4,FALSE)</f>
        <v>#N/A</v>
      </c>
      <c r="Q560" t="e">
        <f>VLOOKUP($B560&amp;Q$1,Data!$A$2:$D$3723,4,FALSE)</f>
        <v>#N/A</v>
      </c>
      <c r="R560" t="e">
        <f>VLOOKUP($B560&amp;R$1,Data!$A$2:$D$3723,4,FALSE)</f>
        <v>#N/A</v>
      </c>
      <c r="S560" t="e">
        <f>VLOOKUP($B560&amp;S$1,Data!$A$2:$D$3723,4,FALSE)</f>
        <v>#N/A</v>
      </c>
      <c r="T560" t="e">
        <f>VLOOKUP($B560&amp;T$1,Data!$A$2:$D$3723,4,FALSE)</f>
        <v>#N/A</v>
      </c>
      <c r="U560" t="e">
        <f>VLOOKUP($B560&amp;U$1,Data!$A$2:$D$3723,4,FALSE)</f>
        <v>#N/A</v>
      </c>
      <c r="V560" t="e">
        <f>VLOOKUP($B560&amp;V$1,Data!$A$2:$D$3723,4,FALSE)</f>
        <v>#N/A</v>
      </c>
      <c r="W560" t="e">
        <f>VLOOKUP($B560&amp;W$1,Data!$A$2:$D$3723,4,FALSE)</f>
        <v>#N/A</v>
      </c>
      <c r="X560" t="e">
        <f>VLOOKUP($B560&amp;X$1,Data!$A$2:$D$3723,4,FALSE)</f>
        <v>#N/A</v>
      </c>
      <c r="Y560" t="e">
        <f>VLOOKUP($B560&amp;Y$1,Data!$A$2:$D$3723,4,FALSE)</f>
        <v>#N/A</v>
      </c>
      <c r="Z560" t="e">
        <f>VLOOKUP($B560&amp;Z$1,Data!$A$2:$D$3723,4,FALSE)</f>
        <v>#N/A</v>
      </c>
      <c r="AA560" t="e">
        <f>VLOOKUP($B560&amp;AA$1,Data!$A$2:$D$3723,4,FALSE)</f>
        <v>#N/A</v>
      </c>
      <c r="AB560" t="e">
        <f>VLOOKUP($B560&amp;AB$1,Data!$A$2:$D$3723,4,FALSE)</f>
        <v>#N/A</v>
      </c>
      <c r="AC560" t="e">
        <f>VLOOKUP($B560&amp;AC$1,Data!$A$2:$D$3723,4,FALSE)</f>
        <v>#N/A</v>
      </c>
      <c r="AD560" t="e">
        <f>VLOOKUP($B560&amp;AD$1,Data!$A$2:$D$3723,4,FALSE)</f>
        <v>#N/A</v>
      </c>
      <c r="AE560" t="e">
        <f>VLOOKUP($B560&amp;AE$1,Data!$A$2:$D$3723,4,FALSE)</f>
        <v>#N/A</v>
      </c>
      <c r="AF560" t="e">
        <f>VLOOKUP($B560&amp;AF$1,Data!$A$2:$D$3723,4,FALSE)</f>
        <v>#N/A</v>
      </c>
      <c r="AG560" t="e">
        <f>VLOOKUP($B560&amp;AG$1,Data!$A$2:$D$3723,4,FALSE)</f>
        <v>#N/A</v>
      </c>
      <c r="AH560" t="e">
        <f>VLOOKUP($B560&amp;AH$1,Data!$A$2:$D$3723,4,FALSE)</f>
        <v>#N/A</v>
      </c>
      <c r="AI560" t="e">
        <f>VLOOKUP($B560&amp;AI$1,Data!$A$2:$D$3723,4,FALSE)</f>
        <v>#N/A</v>
      </c>
    </row>
    <row r="561" spans="2:35" hidden="1">
      <c r="B561" s="13">
        <v>560</v>
      </c>
      <c r="C561" s="13" t="s">
        <v>56</v>
      </c>
      <c r="D561" t="s">
        <v>21</v>
      </c>
      <c r="E561" t="s">
        <v>3</v>
      </c>
      <c r="F561">
        <v>1000</v>
      </c>
      <c r="G561" t="s">
        <v>17</v>
      </c>
      <c r="H561" s="5">
        <v>43831</v>
      </c>
      <c r="I561" s="5">
        <v>44562</v>
      </c>
      <c r="J561">
        <v>14</v>
      </c>
      <c r="K561">
        <v>9</v>
      </c>
      <c r="L561">
        <v>28</v>
      </c>
      <c r="M561">
        <v>72</v>
      </c>
      <c r="N561">
        <v>1000000</v>
      </c>
      <c r="O561" t="e">
        <f>VLOOKUP($B561&amp;O$1,Data!$A$2:$D$3723,4,FALSE)</f>
        <v>#N/A</v>
      </c>
      <c r="P561" t="e">
        <f>VLOOKUP($B561&amp;P$1,Data!$A$2:$D$3723,4,FALSE)</f>
        <v>#N/A</v>
      </c>
      <c r="Q561" t="e">
        <f>VLOOKUP($B561&amp;Q$1,Data!$A$2:$D$3723,4,FALSE)</f>
        <v>#N/A</v>
      </c>
      <c r="R561" t="e">
        <f>VLOOKUP($B561&amp;R$1,Data!$A$2:$D$3723,4,FALSE)</f>
        <v>#N/A</v>
      </c>
      <c r="S561" t="e">
        <f>VLOOKUP($B561&amp;S$1,Data!$A$2:$D$3723,4,FALSE)</f>
        <v>#N/A</v>
      </c>
      <c r="T561" t="e">
        <f>VLOOKUP($B561&amp;T$1,Data!$A$2:$D$3723,4,FALSE)</f>
        <v>#N/A</v>
      </c>
      <c r="U561" t="e">
        <f>VLOOKUP($B561&amp;U$1,Data!$A$2:$D$3723,4,FALSE)</f>
        <v>#N/A</v>
      </c>
      <c r="V561" t="e">
        <f>VLOOKUP($B561&amp;V$1,Data!$A$2:$D$3723,4,FALSE)</f>
        <v>#N/A</v>
      </c>
      <c r="W561" t="e">
        <f>VLOOKUP($B561&amp;W$1,Data!$A$2:$D$3723,4,FALSE)</f>
        <v>#N/A</v>
      </c>
      <c r="X561" t="e">
        <f>VLOOKUP($B561&amp;X$1,Data!$A$2:$D$3723,4,FALSE)</f>
        <v>#N/A</v>
      </c>
      <c r="Y561" t="e">
        <f>VLOOKUP($B561&amp;Y$1,Data!$A$2:$D$3723,4,FALSE)</f>
        <v>#N/A</v>
      </c>
      <c r="Z561" t="e">
        <f>VLOOKUP($B561&amp;Z$1,Data!$A$2:$D$3723,4,FALSE)</f>
        <v>#N/A</v>
      </c>
      <c r="AA561" t="e">
        <f>VLOOKUP($B561&amp;AA$1,Data!$A$2:$D$3723,4,FALSE)</f>
        <v>#N/A</v>
      </c>
      <c r="AB561" t="e">
        <f>VLOOKUP($B561&amp;AB$1,Data!$A$2:$D$3723,4,FALSE)</f>
        <v>#N/A</v>
      </c>
      <c r="AC561" t="e">
        <f>VLOOKUP($B561&amp;AC$1,Data!$A$2:$D$3723,4,FALSE)</f>
        <v>#N/A</v>
      </c>
      <c r="AD561" t="e">
        <f>VLOOKUP($B561&amp;AD$1,Data!$A$2:$D$3723,4,FALSE)</f>
        <v>#N/A</v>
      </c>
      <c r="AE561" t="e">
        <f>VLOOKUP($B561&amp;AE$1,Data!$A$2:$D$3723,4,FALSE)</f>
        <v>#N/A</v>
      </c>
      <c r="AF561" t="e">
        <f>VLOOKUP($B561&amp;AF$1,Data!$A$2:$D$3723,4,FALSE)</f>
        <v>#N/A</v>
      </c>
      <c r="AG561" t="e">
        <f>VLOOKUP($B561&amp;AG$1,Data!$A$2:$D$3723,4,FALSE)</f>
        <v>#N/A</v>
      </c>
      <c r="AH561" t="e">
        <f>VLOOKUP($B561&amp;AH$1,Data!$A$2:$D$3723,4,FALSE)</f>
        <v>#N/A</v>
      </c>
      <c r="AI561" t="e">
        <f>VLOOKUP($B561&amp;AI$1,Data!$A$2:$D$3723,4,FALSE)</f>
        <v>#N/A</v>
      </c>
    </row>
    <row r="562" spans="2:35" hidden="1">
      <c r="B562" s="13">
        <v>561</v>
      </c>
      <c r="C562" s="13" t="s">
        <v>56</v>
      </c>
      <c r="D562" t="s">
        <v>21</v>
      </c>
      <c r="E562" t="s">
        <v>3</v>
      </c>
      <c r="F562">
        <v>5000</v>
      </c>
      <c r="G562" t="s">
        <v>17</v>
      </c>
      <c r="H562" s="5">
        <v>43831</v>
      </c>
      <c r="I562" s="5">
        <v>44562</v>
      </c>
      <c r="J562">
        <v>14</v>
      </c>
      <c r="K562">
        <v>9</v>
      </c>
      <c r="L562">
        <v>28</v>
      </c>
      <c r="M562">
        <v>72</v>
      </c>
      <c r="N562">
        <v>1000000</v>
      </c>
      <c r="O562" t="e">
        <f>VLOOKUP($B562&amp;O$1,Data!$A$2:$D$3723,4,FALSE)</f>
        <v>#N/A</v>
      </c>
      <c r="P562" t="e">
        <f>VLOOKUP($B562&amp;P$1,Data!$A$2:$D$3723,4,FALSE)</f>
        <v>#N/A</v>
      </c>
      <c r="Q562" t="e">
        <f>VLOOKUP($B562&amp;Q$1,Data!$A$2:$D$3723,4,FALSE)</f>
        <v>#N/A</v>
      </c>
      <c r="R562" t="e">
        <f>VLOOKUP($B562&amp;R$1,Data!$A$2:$D$3723,4,FALSE)</f>
        <v>#N/A</v>
      </c>
      <c r="S562" t="e">
        <f>VLOOKUP($B562&amp;S$1,Data!$A$2:$D$3723,4,FALSE)</f>
        <v>#N/A</v>
      </c>
      <c r="T562" t="e">
        <f>VLOOKUP($B562&amp;T$1,Data!$A$2:$D$3723,4,FALSE)</f>
        <v>#N/A</v>
      </c>
      <c r="U562" t="e">
        <f>VLOOKUP($B562&amp;U$1,Data!$A$2:$D$3723,4,FALSE)</f>
        <v>#N/A</v>
      </c>
      <c r="V562" t="e">
        <f>VLOOKUP($B562&amp;V$1,Data!$A$2:$D$3723,4,FALSE)</f>
        <v>#N/A</v>
      </c>
      <c r="W562" t="e">
        <f>VLOOKUP($B562&amp;W$1,Data!$A$2:$D$3723,4,FALSE)</f>
        <v>#N/A</v>
      </c>
      <c r="X562" t="e">
        <f>VLOOKUP($B562&amp;X$1,Data!$A$2:$D$3723,4,FALSE)</f>
        <v>#N/A</v>
      </c>
      <c r="Y562" t="e">
        <f>VLOOKUP($B562&amp;Y$1,Data!$A$2:$D$3723,4,FALSE)</f>
        <v>#N/A</v>
      </c>
      <c r="Z562" t="e">
        <f>VLOOKUP($B562&amp;Z$1,Data!$A$2:$D$3723,4,FALSE)</f>
        <v>#N/A</v>
      </c>
      <c r="AA562" t="e">
        <f>VLOOKUP($B562&amp;AA$1,Data!$A$2:$D$3723,4,FALSE)</f>
        <v>#N/A</v>
      </c>
      <c r="AB562" t="e">
        <f>VLOOKUP($B562&amp;AB$1,Data!$A$2:$D$3723,4,FALSE)</f>
        <v>#N/A</v>
      </c>
      <c r="AC562" t="e">
        <f>VLOOKUP($B562&amp;AC$1,Data!$A$2:$D$3723,4,FALSE)</f>
        <v>#N/A</v>
      </c>
      <c r="AD562" t="e">
        <f>VLOOKUP($B562&amp;AD$1,Data!$A$2:$D$3723,4,FALSE)</f>
        <v>#N/A</v>
      </c>
      <c r="AE562" t="e">
        <f>VLOOKUP($B562&amp;AE$1,Data!$A$2:$D$3723,4,FALSE)</f>
        <v>#N/A</v>
      </c>
      <c r="AF562" t="e">
        <f>VLOOKUP($B562&amp;AF$1,Data!$A$2:$D$3723,4,FALSE)</f>
        <v>#N/A</v>
      </c>
      <c r="AG562" t="e">
        <f>VLOOKUP($B562&amp;AG$1,Data!$A$2:$D$3723,4,FALSE)</f>
        <v>#N/A</v>
      </c>
      <c r="AH562" t="e">
        <f>VLOOKUP($B562&amp;AH$1,Data!$A$2:$D$3723,4,FALSE)</f>
        <v>#N/A</v>
      </c>
      <c r="AI562" t="e">
        <f>VLOOKUP($B562&amp;AI$1,Data!$A$2:$D$3723,4,FALSE)</f>
        <v>#N/A</v>
      </c>
    </row>
    <row r="563" spans="2:35" hidden="1">
      <c r="B563" s="13">
        <v>562</v>
      </c>
      <c r="C563" s="13" t="s">
        <v>56</v>
      </c>
      <c r="D563" t="s">
        <v>21</v>
      </c>
      <c r="E563" t="s">
        <v>2</v>
      </c>
      <c r="F563">
        <v>100</v>
      </c>
      <c r="G563" t="s">
        <v>17</v>
      </c>
      <c r="H563" s="5">
        <v>43831</v>
      </c>
      <c r="I563" s="5">
        <v>44562</v>
      </c>
      <c r="J563">
        <v>14</v>
      </c>
      <c r="K563">
        <v>9</v>
      </c>
      <c r="L563">
        <v>28</v>
      </c>
      <c r="M563">
        <v>72</v>
      </c>
      <c r="N563">
        <v>1000000</v>
      </c>
      <c r="O563" t="e">
        <f>VLOOKUP($B563&amp;O$1,Data!$A$2:$D$3723,4,FALSE)</f>
        <v>#N/A</v>
      </c>
      <c r="P563" t="e">
        <f>VLOOKUP($B563&amp;P$1,Data!$A$2:$D$3723,4,FALSE)</f>
        <v>#N/A</v>
      </c>
      <c r="Q563" t="e">
        <f>VLOOKUP($B563&amp;Q$1,Data!$A$2:$D$3723,4,FALSE)</f>
        <v>#N/A</v>
      </c>
      <c r="R563" t="e">
        <f>VLOOKUP($B563&amp;R$1,Data!$A$2:$D$3723,4,FALSE)</f>
        <v>#N/A</v>
      </c>
      <c r="S563" t="e">
        <f>VLOOKUP($B563&amp;S$1,Data!$A$2:$D$3723,4,FALSE)</f>
        <v>#N/A</v>
      </c>
      <c r="T563" t="e">
        <f>VLOOKUP($B563&amp;T$1,Data!$A$2:$D$3723,4,FALSE)</f>
        <v>#N/A</v>
      </c>
      <c r="U563" t="e">
        <f>VLOOKUP($B563&amp;U$1,Data!$A$2:$D$3723,4,FALSE)</f>
        <v>#N/A</v>
      </c>
      <c r="V563" t="e">
        <f>VLOOKUP($B563&amp;V$1,Data!$A$2:$D$3723,4,FALSE)</f>
        <v>#N/A</v>
      </c>
      <c r="W563" t="e">
        <f>VLOOKUP($B563&amp;W$1,Data!$A$2:$D$3723,4,FALSE)</f>
        <v>#N/A</v>
      </c>
      <c r="X563" t="e">
        <f>VLOOKUP($B563&amp;X$1,Data!$A$2:$D$3723,4,FALSE)</f>
        <v>#N/A</v>
      </c>
      <c r="Y563" t="e">
        <f>VLOOKUP($B563&amp;Y$1,Data!$A$2:$D$3723,4,FALSE)</f>
        <v>#N/A</v>
      </c>
      <c r="Z563" t="e">
        <f>VLOOKUP($B563&amp;Z$1,Data!$A$2:$D$3723,4,FALSE)</f>
        <v>#N/A</v>
      </c>
      <c r="AA563" t="e">
        <f>VLOOKUP($B563&amp;AA$1,Data!$A$2:$D$3723,4,FALSE)</f>
        <v>#N/A</v>
      </c>
      <c r="AB563" t="e">
        <f>VLOOKUP($B563&amp;AB$1,Data!$A$2:$D$3723,4,FALSE)</f>
        <v>#N/A</v>
      </c>
      <c r="AC563" t="e">
        <f>VLOOKUP($B563&amp;AC$1,Data!$A$2:$D$3723,4,FALSE)</f>
        <v>#N/A</v>
      </c>
      <c r="AD563" t="e">
        <f>VLOOKUP($B563&amp;AD$1,Data!$A$2:$D$3723,4,FALSE)</f>
        <v>#N/A</v>
      </c>
      <c r="AE563" t="e">
        <f>VLOOKUP($B563&amp;AE$1,Data!$A$2:$D$3723,4,FALSE)</f>
        <v>#N/A</v>
      </c>
      <c r="AF563" t="e">
        <f>VLOOKUP($B563&amp;AF$1,Data!$A$2:$D$3723,4,FALSE)</f>
        <v>#N/A</v>
      </c>
      <c r="AG563" t="e">
        <f>VLOOKUP($B563&amp;AG$1,Data!$A$2:$D$3723,4,FALSE)</f>
        <v>#N/A</v>
      </c>
      <c r="AH563" t="e">
        <f>VLOOKUP($B563&amp;AH$1,Data!$A$2:$D$3723,4,FALSE)</f>
        <v>#N/A</v>
      </c>
      <c r="AI563" t="e">
        <f>VLOOKUP($B563&amp;AI$1,Data!$A$2:$D$3723,4,FALSE)</f>
        <v>#N/A</v>
      </c>
    </row>
    <row r="564" spans="2:35" hidden="1">
      <c r="B564" s="13">
        <v>563</v>
      </c>
      <c r="C564" s="13" t="s">
        <v>56</v>
      </c>
      <c r="D564" t="s">
        <v>21</v>
      </c>
      <c r="E564" t="s">
        <v>2</v>
      </c>
      <c r="F564">
        <v>1000</v>
      </c>
      <c r="G564" t="s">
        <v>17</v>
      </c>
      <c r="H564" s="5">
        <v>43831</v>
      </c>
      <c r="I564" s="5">
        <v>44562</v>
      </c>
      <c r="J564">
        <v>14</v>
      </c>
      <c r="K564">
        <v>9</v>
      </c>
      <c r="L564">
        <v>28</v>
      </c>
      <c r="M564">
        <v>72</v>
      </c>
      <c r="N564">
        <v>1000000</v>
      </c>
      <c r="O564" t="e">
        <f>VLOOKUP($B564&amp;O$1,Data!$A$2:$D$3723,4,FALSE)</f>
        <v>#N/A</v>
      </c>
      <c r="P564" t="e">
        <f>VLOOKUP($B564&amp;P$1,Data!$A$2:$D$3723,4,FALSE)</f>
        <v>#N/A</v>
      </c>
      <c r="Q564" t="e">
        <f>VLOOKUP($B564&amp;Q$1,Data!$A$2:$D$3723,4,FALSE)</f>
        <v>#N/A</v>
      </c>
      <c r="R564" t="e">
        <f>VLOOKUP($B564&amp;R$1,Data!$A$2:$D$3723,4,FALSE)</f>
        <v>#N/A</v>
      </c>
      <c r="S564" t="e">
        <f>VLOOKUP($B564&amp;S$1,Data!$A$2:$D$3723,4,FALSE)</f>
        <v>#N/A</v>
      </c>
      <c r="T564" t="e">
        <f>VLOOKUP($B564&amp;T$1,Data!$A$2:$D$3723,4,FALSE)</f>
        <v>#N/A</v>
      </c>
      <c r="U564" t="e">
        <f>VLOOKUP($B564&amp;U$1,Data!$A$2:$D$3723,4,FALSE)</f>
        <v>#N/A</v>
      </c>
      <c r="V564" t="e">
        <f>VLOOKUP($B564&amp;V$1,Data!$A$2:$D$3723,4,FALSE)</f>
        <v>#N/A</v>
      </c>
      <c r="W564" t="e">
        <f>VLOOKUP($B564&amp;W$1,Data!$A$2:$D$3723,4,FALSE)</f>
        <v>#N/A</v>
      </c>
      <c r="X564" t="e">
        <f>VLOOKUP($B564&amp;X$1,Data!$A$2:$D$3723,4,FALSE)</f>
        <v>#N/A</v>
      </c>
      <c r="Y564" t="e">
        <f>VLOOKUP($B564&amp;Y$1,Data!$A$2:$D$3723,4,FALSE)</f>
        <v>#N/A</v>
      </c>
      <c r="Z564" t="e">
        <f>VLOOKUP($B564&amp;Z$1,Data!$A$2:$D$3723,4,FALSE)</f>
        <v>#N/A</v>
      </c>
      <c r="AA564" t="e">
        <f>VLOOKUP($B564&amp;AA$1,Data!$A$2:$D$3723,4,FALSE)</f>
        <v>#N/A</v>
      </c>
      <c r="AB564" t="e">
        <f>VLOOKUP($B564&amp;AB$1,Data!$A$2:$D$3723,4,FALSE)</f>
        <v>#N/A</v>
      </c>
      <c r="AC564" t="e">
        <f>VLOOKUP($B564&amp;AC$1,Data!$A$2:$D$3723,4,FALSE)</f>
        <v>#N/A</v>
      </c>
      <c r="AD564" t="e">
        <f>VLOOKUP($B564&amp;AD$1,Data!$A$2:$D$3723,4,FALSE)</f>
        <v>#N/A</v>
      </c>
      <c r="AE564" t="e">
        <f>VLOOKUP($B564&amp;AE$1,Data!$A$2:$D$3723,4,FALSE)</f>
        <v>#N/A</v>
      </c>
      <c r="AF564" t="e">
        <f>VLOOKUP($B564&amp;AF$1,Data!$A$2:$D$3723,4,FALSE)</f>
        <v>#N/A</v>
      </c>
      <c r="AG564" t="e">
        <f>VLOOKUP($B564&amp;AG$1,Data!$A$2:$D$3723,4,FALSE)</f>
        <v>#N/A</v>
      </c>
      <c r="AH564" t="e">
        <f>VLOOKUP($B564&amp;AH$1,Data!$A$2:$D$3723,4,FALSE)</f>
        <v>#N/A</v>
      </c>
      <c r="AI564" t="e">
        <f>VLOOKUP($B564&amp;AI$1,Data!$A$2:$D$3723,4,FALSE)</f>
        <v>#N/A</v>
      </c>
    </row>
    <row r="565" spans="2:35" hidden="1">
      <c r="B565" s="13">
        <v>564</v>
      </c>
      <c r="C565" s="13" t="s">
        <v>56</v>
      </c>
      <c r="D565" t="s">
        <v>21</v>
      </c>
      <c r="E565" t="s">
        <v>2</v>
      </c>
      <c r="F565">
        <v>5000</v>
      </c>
      <c r="G565" t="s">
        <v>17</v>
      </c>
      <c r="H565" s="5">
        <v>43831</v>
      </c>
      <c r="I565" s="5">
        <v>44562</v>
      </c>
      <c r="J565">
        <v>14</v>
      </c>
      <c r="K565">
        <v>9</v>
      </c>
      <c r="L565">
        <v>28</v>
      </c>
      <c r="M565">
        <v>72</v>
      </c>
      <c r="N565">
        <v>1000000</v>
      </c>
      <c r="O565" t="e">
        <f>VLOOKUP($B565&amp;O$1,Data!$A$2:$D$3723,4,FALSE)</f>
        <v>#N/A</v>
      </c>
      <c r="P565" t="e">
        <f>VLOOKUP($B565&amp;P$1,Data!$A$2:$D$3723,4,FALSE)</f>
        <v>#N/A</v>
      </c>
      <c r="Q565" t="e">
        <f>VLOOKUP($B565&amp;Q$1,Data!$A$2:$D$3723,4,FALSE)</f>
        <v>#N/A</v>
      </c>
      <c r="R565" t="e">
        <f>VLOOKUP($B565&amp;R$1,Data!$A$2:$D$3723,4,FALSE)</f>
        <v>#N/A</v>
      </c>
      <c r="S565" t="e">
        <f>VLOOKUP($B565&amp;S$1,Data!$A$2:$D$3723,4,FALSE)</f>
        <v>#N/A</v>
      </c>
      <c r="T565" t="e">
        <f>VLOOKUP($B565&amp;T$1,Data!$A$2:$D$3723,4,FALSE)</f>
        <v>#N/A</v>
      </c>
      <c r="U565" t="e">
        <f>VLOOKUP($B565&amp;U$1,Data!$A$2:$D$3723,4,FALSE)</f>
        <v>#N/A</v>
      </c>
      <c r="V565" t="e">
        <f>VLOOKUP($B565&amp;V$1,Data!$A$2:$D$3723,4,FALSE)</f>
        <v>#N/A</v>
      </c>
      <c r="W565" t="e">
        <f>VLOOKUP($B565&amp;W$1,Data!$A$2:$D$3723,4,FALSE)</f>
        <v>#N/A</v>
      </c>
      <c r="X565" t="e">
        <f>VLOOKUP($B565&amp;X$1,Data!$A$2:$D$3723,4,FALSE)</f>
        <v>#N/A</v>
      </c>
      <c r="Y565" t="e">
        <f>VLOOKUP($B565&amp;Y$1,Data!$A$2:$D$3723,4,FALSE)</f>
        <v>#N/A</v>
      </c>
      <c r="Z565" t="e">
        <f>VLOOKUP($B565&amp;Z$1,Data!$A$2:$D$3723,4,FALSE)</f>
        <v>#N/A</v>
      </c>
      <c r="AA565" t="e">
        <f>VLOOKUP($B565&amp;AA$1,Data!$A$2:$D$3723,4,FALSE)</f>
        <v>#N/A</v>
      </c>
      <c r="AB565" t="e">
        <f>VLOOKUP($B565&amp;AB$1,Data!$A$2:$D$3723,4,FALSE)</f>
        <v>#N/A</v>
      </c>
      <c r="AC565" t="e">
        <f>VLOOKUP($B565&amp;AC$1,Data!$A$2:$D$3723,4,FALSE)</f>
        <v>#N/A</v>
      </c>
      <c r="AD565" t="e">
        <f>VLOOKUP($B565&amp;AD$1,Data!$A$2:$D$3723,4,FALSE)</f>
        <v>#N/A</v>
      </c>
      <c r="AE565" t="e">
        <f>VLOOKUP($B565&amp;AE$1,Data!$A$2:$D$3723,4,FALSE)</f>
        <v>#N/A</v>
      </c>
      <c r="AF565" t="e">
        <f>VLOOKUP($B565&amp;AF$1,Data!$A$2:$D$3723,4,FALSE)</f>
        <v>#N/A</v>
      </c>
      <c r="AG565" t="e">
        <f>VLOOKUP($B565&amp;AG$1,Data!$A$2:$D$3723,4,FALSE)</f>
        <v>#N/A</v>
      </c>
      <c r="AH565" t="e">
        <f>VLOOKUP($B565&amp;AH$1,Data!$A$2:$D$3723,4,FALSE)</f>
        <v>#N/A</v>
      </c>
      <c r="AI565" t="e">
        <f>VLOOKUP($B565&amp;AI$1,Data!$A$2:$D$3723,4,FALSE)</f>
        <v>#N/A</v>
      </c>
    </row>
    <row r="566" spans="2:35" hidden="1">
      <c r="B566" s="13">
        <v>565</v>
      </c>
      <c r="C566" s="13" t="s">
        <v>56</v>
      </c>
      <c r="D566" t="s">
        <v>21</v>
      </c>
      <c r="E566" t="s">
        <v>22</v>
      </c>
      <c r="F566">
        <v>100</v>
      </c>
      <c r="G566" t="s">
        <v>17</v>
      </c>
      <c r="H566" s="5">
        <v>43831</v>
      </c>
      <c r="I566" s="5">
        <v>44562</v>
      </c>
      <c r="J566">
        <v>14</v>
      </c>
      <c r="K566">
        <v>9</v>
      </c>
      <c r="L566">
        <v>28</v>
      </c>
      <c r="M566">
        <v>72</v>
      </c>
      <c r="N566">
        <v>1000000</v>
      </c>
      <c r="O566" t="e">
        <f>VLOOKUP($B566&amp;O$1,Data!$A$2:$D$3723,4,FALSE)</f>
        <v>#N/A</v>
      </c>
      <c r="P566" t="e">
        <f>VLOOKUP($B566&amp;P$1,Data!$A$2:$D$3723,4,FALSE)</f>
        <v>#N/A</v>
      </c>
      <c r="Q566" t="e">
        <f>VLOOKUP($B566&amp;Q$1,Data!$A$2:$D$3723,4,FALSE)</f>
        <v>#N/A</v>
      </c>
      <c r="R566" t="e">
        <f>VLOOKUP($B566&amp;R$1,Data!$A$2:$D$3723,4,FALSE)</f>
        <v>#N/A</v>
      </c>
      <c r="S566" t="e">
        <f>VLOOKUP($B566&amp;S$1,Data!$A$2:$D$3723,4,FALSE)</f>
        <v>#N/A</v>
      </c>
      <c r="T566" t="e">
        <f>VLOOKUP($B566&amp;T$1,Data!$A$2:$D$3723,4,FALSE)</f>
        <v>#N/A</v>
      </c>
      <c r="U566" t="e">
        <f>VLOOKUP($B566&amp;U$1,Data!$A$2:$D$3723,4,FALSE)</f>
        <v>#N/A</v>
      </c>
      <c r="V566" t="e">
        <f>VLOOKUP($B566&amp;V$1,Data!$A$2:$D$3723,4,FALSE)</f>
        <v>#N/A</v>
      </c>
      <c r="W566" t="e">
        <f>VLOOKUP($B566&amp;W$1,Data!$A$2:$D$3723,4,FALSE)</f>
        <v>#N/A</v>
      </c>
      <c r="X566" t="e">
        <f>VLOOKUP($B566&amp;X$1,Data!$A$2:$D$3723,4,FALSE)</f>
        <v>#N/A</v>
      </c>
      <c r="Y566" t="e">
        <f>VLOOKUP($B566&amp;Y$1,Data!$A$2:$D$3723,4,FALSE)</f>
        <v>#N/A</v>
      </c>
      <c r="Z566" t="e">
        <f>VLOOKUP($B566&amp;Z$1,Data!$A$2:$D$3723,4,FALSE)</f>
        <v>#N/A</v>
      </c>
      <c r="AA566" t="e">
        <f>VLOOKUP($B566&amp;AA$1,Data!$A$2:$D$3723,4,FALSE)</f>
        <v>#N/A</v>
      </c>
      <c r="AB566" t="e">
        <f>VLOOKUP($B566&amp;AB$1,Data!$A$2:$D$3723,4,FALSE)</f>
        <v>#N/A</v>
      </c>
      <c r="AC566" t="e">
        <f>VLOOKUP($B566&amp;AC$1,Data!$A$2:$D$3723,4,FALSE)</f>
        <v>#N/A</v>
      </c>
      <c r="AD566" t="e">
        <f>VLOOKUP($B566&amp;AD$1,Data!$A$2:$D$3723,4,FALSE)</f>
        <v>#N/A</v>
      </c>
      <c r="AE566" t="e">
        <f>VLOOKUP($B566&amp;AE$1,Data!$A$2:$D$3723,4,FALSE)</f>
        <v>#N/A</v>
      </c>
      <c r="AF566" t="e">
        <f>VLOOKUP($B566&amp;AF$1,Data!$A$2:$D$3723,4,FALSE)</f>
        <v>#N/A</v>
      </c>
      <c r="AG566" t="e">
        <f>VLOOKUP($B566&amp;AG$1,Data!$A$2:$D$3723,4,FALSE)</f>
        <v>#N/A</v>
      </c>
      <c r="AH566" t="e">
        <f>VLOOKUP($B566&amp;AH$1,Data!$A$2:$D$3723,4,FALSE)</f>
        <v>#N/A</v>
      </c>
      <c r="AI566" t="e">
        <f>VLOOKUP($B566&amp;AI$1,Data!$A$2:$D$3723,4,FALSE)</f>
        <v>#N/A</v>
      </c>
    </row>
    <row r="567" spans="2:35" hidden="1">
      <c r="B567" s="13">
        <v>566</v>
      </c>
      <c r="C567" s="13" t="s">
        <v>56</v>
      </c>
      <c r="D567" t="s">
        <v>21</v>
      </c>
      <c r="E567" t="s">
        <v>22</v>
      </c>
      <c r="F567">
        <v>1000</v>
      </c>
      <c r="G567" t="s">
        <v>17</v>
      </c>
      <c r="H567" s="5">
        <v>43831</v>
      </c>
      <c r="I567" s="5">
        <v>44562</v>
      </c>
      <c r="J567">
        <v>14</v>
      </c>
      <c r="K567">
        <v>9</v>
      </c>
      <c r="L567">
        <v>28</v>
      </c>
      <c r="M567">
        <v>72</v>
      </c>
      <c r="N567">
        <v>1000000</v>
      </c>
      <c r="O567" t="e">
        <f>VLOOKUP($B567&amp;O$1,Data!$A$2:$D$3723,4,FALSE)</f>
        <v>#N/A</v>
      </c>
      <c r="P567" t="e">
        <f>VLOOKUP($B567&amp;P$1,Data!$A$2:$D$3723,4,FALSE)</f>
        <v>#N/A</v>
      </c>
      <c r="Q567" t="e">
        <f>VLOOKUP($B567&amp;Q$1,Data!$A$2:$D$3723,4,FALSE)</f>
        <v>#N/A</v>
      </c>
      <c r="R567" t="e">
        <f>VLOOKUP($B567&amp;R$1,Data!$A$2:$D$3723,4,FALSE)</f>
        <v>#N/A</v>
      </c>
      <c r="S567" t="e">
        <f>VLOOKUP($B567&amp;S$1,Data!$A$2:$D$3723,4,FALSE)</f>
        <v>#N/A</v>
      </c>
      <c r="T567" t="e">
        <f>VLOOKUP($B567&amp;T$1,Data!$A$2:$D$3723,4,FALSE)</f>
        <v>#N/A</v>
      </c>
      <c r="U567" t="e">
        <f>VLOOKUP($B567&amp;U$1,Data!$A$2:$D$3723,4,FALSE)</f>
        <v>#N/A</v>
      </c>
      <c r="V567" t="e">
        <f>VLOOKUP($B567&amp;V$1,Data!$A$2:$D$3723,4,FALSE)</f>
        <v>#N/A</v>
      </c>
      <c r="W567" t="e">
        <f>VLOOKUP($B567&amp;W$1,Data!$A$2:$D$3723,4,FALSE)</f>
        <v>#N/A</v>
      </c>
      <c r="X567" t="e">
        <f>VLOOKUP($B567&amp;X$1,Data!$A$2:$D$3723,4,FALSE)</f>
        <v>#N/A</v>
      </c>
      <c r="Y567" t="e">
        <f>VLOOKUP($B567&amp;Y$1,Data!$A$2:$D$3723,4,FALSE)</f>
        <v>#N/A</v>
      </c>
      <c r="Z567" t="e">
        <f>VLOOKUP($B567&amp;Z$1,Data!$A$2:$D$3723,4,FALSE)</f>
        <v>#N/A</v>
      </c>
      <c r="AA567" t="e">
        <f>VLOOKUP($B567&amp;AA$1,Data!$A$2:$D$3723,4,FALSE)</f>
        <v>#N/A</v>
      </c>
      <c r="AB567" t="e">
        <f>VLOOKUP($B567&amp;AB$1,Data!$A$2:$D$3723,4,FALSE)</f>
        <v>#N/A</v>
      </c>
      <c r="AC567" t="e">
        <f>VLOOKUP($B567&amp;AC$1,Data!$A$2:$D$3723,4,FALSE)</f>
        <v>#N/A</v>
      </c>
      <c r="AD567" t="e">
        <f>VLOOKUP($B567&amp;AD$1,Data!$A$2:$D$3723,4,FALSE)</f>
        <v>#N/A</v>
      </c>
      <c r="AE567" t="e">
        <f>VLOOKUP($B567&amp;AE$1,Data!$A$2:$D$3723,4,FALSE)</f>
        <v>#N/A</v>
      </c>
      <c r="AF567" t="e">
        <f>VLOOKUP($B567&amp;AF$1,Data!$A$2:$D$3723,4,FALSE)</f>
        <v>#N/A</v>
      </c>
      <c r="AG567" t="e">
        <f>VLOOKUP($B567&amp;AG$1,Data!$A$2:$D$3723,4,FALSE)</f>
        <v>#N/A</v>
      </c>
      <c r="AH567" t="e">
        <f>VLOOKUP($B567&amp;AH$1,Data!$A$2:$D$3723,4,FALSE)</f>
        <v>#N/A</v>
      </c>
      <c r="AI567" t="e">
        <f>VLOOKUP($B567&amp;AI$1,Data!$A$2:$D$3723,4,FALSE)</f>
        <v>#N/A</v>
      </c>
    </row>
    <row r="568" spans="2:35" hidden="1">
      <c r="B568" s="13">
        <v>567</v>
      </c>
      <c r="C568" s="13" t="s">
        <v>56</v>
      </c>
      <c r="D568" t="s">
        <v>21</v>
      </c>
      <c r="E568" t="s">
        <v>22</v>
      </c>
      <c r="F568">
        <v>5000</v>
      </c>
      <c r="G568" t="s">
        <v>17</v>
      </c>
      <c r="H568" s="5">
        <v>43831</v>
      </c>
      <c r="I568" s="5">
        <v>44562</v>
      </c>
      <c r="J568">
        <v>14</v>
      </c>
      <c r="K568">
        <v>9</v>
      </c>
      <c r="L568">
        <v>28</v>
      </c>
      <c r="M568">
        <v>72</v>
      </c>
      <c r="N568">
        <v>1000000</v>
      </c>
      <c r="O568" s="7" t="e">
        <f>VLOOKUP($B568&amp;O$1,Data!$A$2:$D$3723,4,FALSE)</f>
        <v>#N/A</v>
      </c>
      <c r="P568" s="7" t="e">
        <f>VLOOKUP($B568&amp;P$1,Data!$A$2:$D$3723,4,FALSE)</f>
        <v>#N/A</v>
      </c>
      <c r="Q568" s="7" t="e">
        <f>VLOOKUP($B568&amp;Q$1,Data!$A$2:$D$3723,4,FALSE)</f>
        <v>#N/A</v>
      </c>
      <c r="R568" t="e">
        <f>VLOOKUP($B568&amp;R$1,Data!$A$2:$D$3723,4,FALSE)</f>
        <v>#N/A</v>
      </c>
      <c r="S568" t="e">
        <f>VLOOKUP($B568&amp;S$1,Data!$A$2:$D$3723,4,FALSE)</f>
        <v>#N/A</v>
      </c>
      <c r="T568" t="e">
        <f>VLOOKUP($B568&amp;T$1,Data!$A$2:$D$3723,4,FALSE)</f>
        <v>#N/A</v>
      </c>
      <c r="U568" t="e">
        <f>VLOOKUP($B568&amp;U$1,Data!$A$2:$D$3723,4,FALSE)</f>
        <v>#N/A</v>
      </c>
      <c r="V568" t="e">
        <f>VLOOKUP($B568&amp;V$1,Data!$A$2:$D$3723,4,FALSE)</f>
        <v>#N/A</v>
      </c>
      <c r="W568" t="e">
        <f>VLOOKUP($B568&amp;W$1,Data!$A$2:$D$3723,4,FALSE)</f>
        <v>#N/A</v>
      </c>
      <c r="X568" t="e">
        <f>VLOOKUP($B568&amp;X$1,Data!$A$2:$D$3723,4,FALSE)</f>
        <v>#N/A</v>
      </c>
      <c r="Y568" t="e">
        <f>VLOOKUP($B568&amp;Y$1,Data!$A$2:$D$3723,4,FALSE)</f>
        <v>#N/A</v>
      </c>
      <c r="Z568" t="e">
        <f>VLOOKUP($B568&amp;Z$1,Data!$A$2:$D$3723,4,FALSE)</f>
        <v>#N/A</v>
      </c>
      <c r="AA568" t="e">
        <f>VLOOKUP($B568&amp;AA$1,Data!$A$2:$D$3723,4,FALSE)</f>
        <v>#N/A</v>
      </c>
      <c r="AB568" t="e">
        <f>VLOOKUP($B568&amp;AB$1,Data!$A$2:$D$3723,4,FALSE)</f>
        <v>#N/A</v>
      </c>
      <c r="AC568" t="e">
        <f>VLOOKUP($B568&amp;AC$1,Data!$A$2:$D$3723,4,FALSE)</f>
        <v>#N/A</v>
      </c>
      <c r="AD568" t="e">
        <f>VLOOKUP($B568&amp;AD$1,Data!$A$2:$D$3723,4,FALSE)</f>
        <v>#N/A</v>
      </c>
      <c r="AE568" t="e">
        <f>VLOOKUP($B568&amp;AE$1,Data!$A$2:$D$3723,4,FALSE)</f>
        <v>#N/A</v>
      </c>
      <c r="AF568" t="e">
        <f>VLOOKUP($B568&amp;AF$1,Data!$A$2:$D$3723,4,FALSE)</f>
        <v>#N/A</v>
      </c>
      <c r="AG568" t="e">
        <f>VLOOKUP($B568&amp;AG$1,Data!$A$2:$D$3723,4,FALSE)</f>
        <v>#N/A</v>
      </c>
      <c r="AH568" t="e">
        <f>VLOOKUP($B568&amp;AH$1,Data!$A$2:$D$3723,4,FALSE)</f>
        <v>#N/A</v>
      </c>
      <c r="AI568" t="e">
        <f>VLOOKUP($B568&amp;AI$1,Data!$A$2:$D$3723,4,FALSE)</f>
        <v>#N/A</v>
      </c>
    </row>
    <row r="569" spans="2:35" hidden="1">
      <c r="B569" s="13">
        <v>568</v>
      </c>
      <c r="C569" s="13" t="s">
        <v>56</v>
      </c>
      <c r="D569" t="s">
        <v>0</v>
      </c>
      <c r="E569" t="s">
        <v>3</v>
      </c>
      <c r="F569">
        <v>10</v>
      </c>
      <c r="G569" t="s">
        <v>17</v>
      </c>
      <c r="H569" s="5">
        <v>43831</v>
      </c>
      <c r="I569" s="5">
        <v>44562</v>
      </c>
      <c r="J569">
        <v>14</v>
      </c>
      <c r="K569">
        <v>9</v>
      </c>
      <c r="L569">
        <v>30</v>
      </c>
      <c r="M569">
        <v>70</v>
      </c>
      <c r="N569">
        <v>10000</v>
      </c>
      <c r="W569"/>
    </row>
    <row r="570" spans="2:35" hidden="1">
      <c r="B570" s="13">
        <v>569</v>
      </c>
      <c r="C570" s="13" t="s">
        <v>56</v>
      </c>
      <c r="D570" t="s">
        <v>0</v>
      </c>
      <c r="E570" t="s">
        <v>3</v>
      </c>
      <c r="F570">
        <v>100</v>
      </c>
      <c r="G570" t="s">
        <v>17</v>
      </c>
      <c r="H570" s="5">
        <v>43831</v>
      </c>
      <c r="I570" s="5">
        <v>44562</v>
      </c>
      <c r="J570">
        <v>14</v>
      </c>
      <c r="K570">
        <v>9</v>
      </c>
      <c r="L570">
        <v>30</v>
      </c>
      <c r="M570">
        <v>70</v>
      </c>
      <c r="N570">
        <v>10000</v>
      </c>
      <c r="W570"/>
    </row>
    <row r="571" spans="2:35" hidden="1">
      <c r="B571" s="13">
        <v>570</v>
      </c>
      <c r="C571" s="13" t="s">
        <v>56</v>
      </c>
      <c r="D571" t="s">
        <v>0</v>
      </c>
      <c r="E571" t="s">
        <v>3</v>
      </c>
      <c r="F571">
        <v>200</v>
      </c>
      <c r="G571" t="s">
        <v>17</v>
      </c>
      <c r="H571" s="5">
        <v>43831</v>
      </c>
      <c r="I571" s="5">
        <v>44562</v>
      </c>
      <c r="J571">
        <v>14</v>
      </c>
      <c r="K571">
        <v>9</v>
      </c>
      <c r="L571">
        <v>30</v>
      </c>
      <c r="M571">
        <v>70</v>
      </c>
      <c r="N571">
        <v>10000</v>
      </c>
      <c r="W571"/>
    </row>
    <row r="572" spans="2:35" hidden="1">
      <c r="B572" s="13">
        <v>571</v>
      </c>
      <c r="C572" s="13" t="s">
        <v>56</v>
      </c>
      <c r="D572" t="s">
        <v>0</v>
      </c>
      <c r="E572" t="s">
        <v>2</v>
      </c>
      <c r="F572">
        <v>10</v>
      </c>
      <c r="G572" t="s">
        <v>17</v>
      </c>
      <c r="H572" s="5">
        <v>43831</v>
      </c>
      <c r="I572" s="5">
        <v>44562</v>
      </c>
      <c r="J572">
        <v>14</v>
      </c>
      <c r="K572">
        <v>9</v>
      </c>
      <c r="L572">
        <v>30</v>
      </c>
      <c r="M572">
        <v>70</v>
      </c>
      <c r="N572">
        <v>10000</v>
      </c>
      <c r="W572"/>
    </row>
    <row r="573" spans="2:35" hidden="1">
      <c r="B573" s="13">
        <v>572</v>
      </c>
      <c r="C573" s="13" t="s">
        <v>56</v>
      </c>
      <c r="D573" t="s">
        <v>0</v>
      </c>
      <c r="E573" t="s">
        <v>2</v>
      </c>
      <c r="F573">
        <v>100</v>
      </c>
      <c r="G573" t="s">
        <v>17</v>
      </c>
      <c r="H573" s="5">
        <v>43831</v>
      </c>
      <c r="I573" s="5">
        <v>44562</v>
      </c>
      <c r="J573">
        <v>14</v>
      </c>
      <c r="K573">
        <v>9</v>
      </c>
      <c r="L573">
        <v>30</v>
      </c>
      <c r="M573">
        <v>70</v>
      </c>
      <c r="N573">
        <v>10000</v>
      </c>
      <c r="W573"/>
    </row>
    <row r="574" spans="2:35" hidden="1">
      <c r="B574" s="13">
        <v>573</v>
      </c>
      <c r="C574" s="13" t="s">
        <v>56</v>
      </c>
      <c r="D574" t="s">
        <v>0</v>
      </c>
      <c r="E574" t="s">
        <v>2</v>
      </c>
      <c r="F574">
        <v>200</v>
      </c>
      <c r="G574" t="s">
        <v>17</v>
      </c>
      <c r="H574" s="5">
        <v>43831</v>
      </c>
      <c r="I574" s="5">
        <v>44562</v>
      </c>
      <c r="J574">
        <v>14</v>
      </c>
      <c r="K574">
        <v>9</v>
      </c>
      <c r="L574">
        <v>30</v>
      </c>
      <c r="M574">
        <v>70</v>
      </c>
      <c r="N574">
        <v>10000</v>
      </c>
      <c r="W574"/>
    </row>
    <row r="575" spans="2:35" hidden="1">
      <c r="B575" s="13">
        <v>574</v>
      </c>
      <c r="C575" s="13" t="s">
        <v>56</v>
      </c>
      <c r="D575" t="s">
        <v>0</v>
      </c>
      <c r="E575" t="s">
        <v>22</v>
      </c>
      <c r="F575">
        <v>10</v>
      </c>
      <c r="G575" t="s">
        <v>17</v>
      </c>
      <c r="H575" s="5">
        <v>43831</v>
      </c>
      <c r="I575" s="5">
        <v>44562</v>
      </c>
      <c r="J575">
        <v>14</v>
      </c>
      <c r="K575">
        <v>9</v>
      </c>
      <c r="L575">
        <v>30</v>
      </c>
      <c r="M575">
        <v>70</v>
      </c>
      <c r="N575">
        <v>10000</v>
      </c>
      <c r="W575"/>
    </row>
    <row r="576" spans="2:35" hidden="1">
      <c r="B576" s="13">
        <v>575</v>
      </c>
      <c r="C576" s="13" t="s">
        <v>56</v>
      </c>
      <c r="D576" t="s">
        <v>0</v>
      </c>
      <c r="E576" t="s">
        <v>22</v>
      </c>
      <c r="F576">
        <v>100</v>
      </c>
      <c r="G576" t="s">
        <v>17</v>
      </c>
      <c r="H576" s="5">
        <v>43831</v>
      </c>
      <c r="I576" s="5">
        <v>44562</v>
      </c>
      <c r="J576">
        <v>14</v>
      </c>
      <c r="K576">
        <v>9</v>
      </c>
      <c r="L576">
        <v>30</v>
      </c>
      <c r="M576">
        <v>70</v>
      </c>
      <c r="N576">
        <v>10000</v>
      </c>
      <c r="W576"/>
    </row>
    <row r="577" spans="2:23" hidden="1">
      <c r="B577" s="13">
        <v>576</v>
      </c>
      <c r="C577" s="13" t="s">
        <v>56</v>
      </c>
      <c r="D577" t="s">
        <v>0</v>
      </c>
      <c r="E577" t="s">
        <v>22</v>
      </c>
      <c r="F577">
        <v>200</v>
      </c>
      <c r="G577" t="s">
        <v>17</v>
      </c>
      <c r="H577" s="5">
        <v>43831</v>
      </c>
      <c r="I577" s="5">
        <v>44562</v>
      </c>
      <c r="J577">
        <v>14</v>
      </c>
      <c r="K577">
        <v>9</v>
      </c>
      <c r="L577">
        <v>30</v>
      </c>
      <c r="M577">
        <v>70</v>
      </c>
      <c r="N577">
        <v>10000</v>
      </c>
      <c r="W577"/>
    </row>
    <row r="578" spans="2:23" hidden="1">
      <c r="B578">
        <v>577</v>
      </c>
      <c r="C578" s="13" t="s">
        <v>56</v>
      </c>
      <c r="D578" t="s">
        <v>0</v>
      </c>
      <c r="E578" t="s">
        <v>3</v>
      </c>
      <c r="F578">
        <v>10</v>
      </c>
      <c r="G578" t="s">
        <v>17</v>
      </c>
      <c r="H578" s="5">
        <v>43831</v>
      </c>
      <c r="I578" s="5">
        <v>44562</v>
      </c>
      <c r="J578">
        <v>14</v>
      </c>
      <c r="K578">
        <v>9</v>
      </c>
      <c r="L578">
        <v>32</v>
      </c>
      <c r="M578">
        <v>68</v>
      </c>
      <c r="N578">
        <v>10000</v>
      </c>
    </row>
    <row r="579" spans="2:23" hidden="1">
      <c r="B579">
        <v>578</v>
      </c>
      <c r="C579" s="13" t="s">
        <v>56</v>
      </c>
      <c r="D579" t="s">
        <v>0</v>
      </c>
      <c r="E579" t="s">
        <v>3</v>
      </c>
      <c r="F579">
        <v>100</v>
      </c>
      <c r="G579" t="s">
        <v>17</v>
      </c>
      <c r="H579" s="5">
        <v>43831</v>
      </c>
      <c r="I579" s="5">
        <v>44562</v>
      </c>
      <c r="J579">
        <v>14</v>
      </c>
      <c r="K579">
        <v>9</v>
      </c>
      <c r="L579">
        <v>32</v>
      </c>
      <c r="M579">
        <v>68</v>
      </c>
      <c r="N579">
        <v>10000</v>
      </c>
    </row>
    <row r="580" spans="2:23" hidden="1">
      <c r="B580">
        <v>579</v>
      </c>
      <c r="C580" s="13" t="s">
        <v>56</v>
      </c>
      <c r="D580" t="s">
        <v>0</v>
      </c>
      <c r="E580" t="s">
        <v>3</v>
      </c>
      <c r="F580">
        <v>200</v>
      </c>
      <c r="G580" t="s">
        <v>17</v>
      </c>
      <c r="H580" s="5">
        <v>43831</v>
      </c>
      <c r="I580" s="5">
        <v>44562</v>
      </c>
      <c r="J580">
        <v>14</v>
      </c>
      <c r="K580">
        <v>9</v>
      </c>
      <c r="L580">
        <v>32</v>
      </c>
      <c r="M580">
        <v>68</v>
      </c>
      <c r="N580">
        <v>10000</v>
      </c>
    </row>
    <row r="581" spans="2:23" hidden="1">
      <c r="B581">
        <v>580</v>
      </c>
      <c r="C581" s="13" t="s">
        <v>56</v>
      </c>
      <c r="D581" t="s">
        <v>0</v>
      </c>
      <c r="E581" t="s">
        <v>2</v>
      </c>
      <c r="F581">
        <v>10</v>
      </c>
      <c r="G581" t="s">
        <v>17</v>
      </c>
      <c r="H581" s="5">
        <v>43831</v>
      </c>
      <c r="I581" s="5">
        <v>44562</v>
      </c>
      <c r="J581">
        <v>14</v>
      </c>
      <c r="K581">
        <v>9</v>
      </c>
      <c r="L581">
        <v>32</v>
      </c>
      <c r="M581">
        <v>68</v>
      </c>
      <c r="N581">
        <v>10000</v>
      </c>
    </row>
    <row r="582" spans="2:23" hidden="1">
      <c r="B582">
        <v>581</v>
      </c>
      <c r="C582" s="13" t="s">
        <v>56</v>
      </c>
      <c r="D582" t="s">
        <v>0</v>
      </c>
      <c r="E582" t="s">
        <v>2</v>
      </c>
      <c r="F582">
        <v>100</v>
      </c>
      <c r="G582" t="s">
        <v>17</v>
      </c>
      <c r="H582" s="5">
        <v>43831</v>
      </c>
      <c r="I582" s="5">
        <v>44562</v>
      </c>
      <c r="J582">
        <v>14</v>
      </c>
      <c r="K582">
        <v>9</v>
      </c>
      <c r="L582">
        <v>32</v>
      </c>
      <c r="M582">
        <v>68</v>
      </c>
      <c r="N582">
        <v>10000</v>
      </c>
    </row>
    <row r="583" spans="2:23" hidden="1">
      <c r="B583">
        <v>582</v>
      </c>
      <c r="C583" s="13" t="s">
        <v>56</v>
      </c>
      <c r="D583" t="s">
        <v>0</v>
      </c>
      <c r="E583" t="s">
        <v>2</v>
      </c>
      <c r="F583">
        <v>200</v>
      </c>
      <c r="G583" t="s">
        <v>17</v>
      </c>
      <c r="H583" s="5">
        <v>43831</v>
      </c>
      <c r="I583" s="5">
        <v>44562</v>
      </c>
      <c r="J583">
        <v>14</v>
      </c>
      <c r="K583">
        <v>9</v>
      </c>
      <c r="L583">
        <v>32</v>
      </c>
      <c r="M583">
        <v>68</v>
      </c>
      <c r="N583">
        <v>10000</v>
      </c>
    </row>
    <row r="584" spans="2:23" hidden="1">
      <c r="B584">
        <v>583</v>
      </c>
      <c r="C584" s="13" t="s">
        <v>56</v>
      </c>
      <c r="D584" t="s">
        <v>0</v>
      </c>
      <c r="E584" t="s">
        <v>22</v>
      </c>
      <c r="F584">
        <v>10</v>
      </c>
      <c r="G584" t="s">
        <v>17</v>
      </c>
      <c r="H584" s="5">
        <v>43831</v>
      </c>
      <c r="I584" s="5">
        <v>44562</v>
      </c>
      <c r="J584">
        <v>14</v>
      </c>
      <c r="K584">
        <v>9</v>
      </c>
      <c r="L584">
        <v>32</v>
      </c>
      <c r="M584">
        <v>68</v>
      </c>
      <c r="N584">
        <v>10000</v>
      </c>
    </row>
    <row r="585" spans="2:23" hidden="1">
      <c r="B585">
        <v>584</v>
      </c>
      <c r="C585" s="13" t="s">
        <v>56</v>
      </c>
      <c r="D585" t="s">
        <v>0</v>
      </c>
      <c r="E585" t="s">
        <v>22</v>
      </c>
      <c r="F585">
        <v>100</v>
      </c>
      <c r="G585" t="s">
        <v>17</v>
      </c>
      <c r="H585" s="5">
        <v>43831</v>
      </c>
      <c r="I585" s="5">
        <v>44562</v>
      </c>
      <c r="J585">
        <v>14</v>
      </c>
      <c r="K585">
        <v>9</v>
      </c>
      <c r="L585">
        <v>32</v>
      </c>
      <c r="M585">
        <v>68</v>
      </c>
      <c r="N585">
        <v>10000</v>
      </c>
    </row>
    <row r="586" spans="2:23" hidden="1">
      <c r="B586">
        <v>585</v>
      </c>
      <c r="C586" s="13" t="s">
        <v>56</v>
      </c>
      <c r="D586" t="s">
        <v>0</v>
      </c>
      <c r="E586" t="s">
        <v>22</v>
      </c>
      <c r="F586">
        <v>200</v>
      </c>
      <c r="G586" t="s">
        <v>17</v>
      </c>
      <c r="H586" s="5">
        <v>43831</v>
      </c>
      <c r="I586" s="5">
        <v>44562</v>
      </c>
      <c r="J586">
        <v>14</v>
      </c>
      <c r="K586">
        <v>9</v>
      </c>
      <c r="L586">
        <v>32</v>
      </c>
      <c r="M586">
        <v>68</v>
      </c>
      <c r="N586">
        <v>10000</v>
      </c>
    </row>
    <row r="587" spans="2:23" hidden="1">
      <c r="B587">
        <v>586</v>
      </c>
      <c r="C587" s="13" t="s">
        <v>56</v>
      </c>
      <c r="D587" t="s">
        <v>0</v>
      </c>
      <c r="E587" t="s">
        <v>3</v>
      </c>
      <c r="F587">
        <v>10</v>
      </c>
      <c r="G587" t="s">
        <v>17</v>
      </c>
      <c r="H587" s="5">
        <v>43831</v>
      </c>
      <c r="I587" s="5">
        <v>44562</v>
      </c>
      <c r="J587">
        <v>14</v>
      </c>
      <c r="K587">
        <v>9</v>
      </c>
      <c r="L587">
        <v>28</v>
      </c>
      <c r="M587">
        <v>72</v>
      </c>
      <c r="N587">
        <v>10000</v>
      </c>
    </row>
    <row r="588" spans="2:23" hidden="1">
      <c r="B588">
        <v>587</v>
      </c>
      <c r="C588" s="13" t="s">
        <v>56</v>
      </c>
      <c r="D588" t="s">
        <v>0</v>
      </c>
      <c r="E588" t="s">
        <v>3</v>
      </c>
      <c r="F588">
        <v>100</v>
      </c>
      <c r="G588" t="s">
        <v>17</v>
      </c>
      <c r="H588" s="5">
        <v>43831</v>
      </c>
      <c r="I588" s="5">
        <v>44562</v>
      </c>
      <c r="J588">
        <v>14</v>
      </c>
      <c r="K588">
        <v>9</v>
      </c>
      <c r="L588">
        <v>28</v>
      </c>
      <c r="M588">
        <v>72</v>
      </c>
      <c r="N588">
        <v>10000</v>
      </c>
    </row>
    <row r="589" spans="2:23" hidden="1">
      <c r="B589">
        <v>588</v>
      </c>
      <c r="C589" s="13" t="s">
        <v>56</v>
      </c>
      <c r="D589" t="s">
        <v>0</v>
      </c>
      <c r="E589" t="s">
        <v>3</v>
      </c>
      <c r="F589">
        <v>200</v>
      </c>
      <c r="G589" t="s">
        <v>17</v>
      </c>
      <c r="H589" s="5">
        <v>43831</v>
      </c>
      <c r="I589" s="5">
        <v>44562</v>
      </c>
      <c r="J589">
        <v>14</v>
      </c>
      <c r="K589">
        <v>9</v>
      </c>
      <c r="L589">
        <v>28</v>
      </c>
      <c r="M589">
        <v>72</v>
      </c>
      <c r="N589">
        <v>10000</v>
      </c>
    </row>
    <row r="590" spans="2:23" hidden="1">
      <c r="B590">
        <v>589</v>
      </c>
      <c r="C590" s="13" t="s">
        <v>56</v>
      </c>
      <c r="D590" t="s">
        <v>0</v>
      </c>
      <c r="E590" t="s">
        <v>2</v>
      </c>
      <c r="F590">
        <v>10</v>
      </c>
      <c r="G590" t="s">
        <v>17</v>
      </c>
      <c r="H590" s="5">
        <v>43831</v>
      </c>
      <c r="I590" s="5">
        <v>44562</v>
      </c>
      <c r="J590">
        <v>14</v>
      </c>
      <c r="K590">
        <v>9</v>
      </c>
      <c r="L590">
        <v>28</v>
      </c>
      <c r="M590">
        <v>72</v>
      </c>
      <c r="N590">
        <v>10000</v>
      </c>
    </row>
    <row r="591" spans="2:23" hidden="1">
      <c r="B591">
        <v>590</v>
      </c>
      <c r="C591" s="13" t="s">
        <v>56</v>
      </c>
      <c r="D591" t="s">
        <v>0</v>
      </c>
      <c r="E591" t="s">
        <v>2</v>
      </c>
      <c r="F591">
        <v>10</v>
      </c>
      <c r="G591" t="s">
        <v>17</v>
      </c>
      <c r="H591" s="5">
        <v>43831</v>
      </c>
      <c r="I591" s="5">
        <v>44562</v>
      </c>
      <c r="J591">
        <v>14</v>
      </c>
      <c r="K591">
        <v>9</v>
      </c>
      <c r="L591">
        <v>28</v>
      </c>
      <c r="M591">
        <v>72</v>
      </c>
      <c r="N591">
        <v>10000</v>
      </c>
    </row>
    <row r="592" spans="2:23" hidden="1">
      <c r="B592">
        <v>591</v>
      </c>
      <c r="C592" s="13" t="s">
        <v>56</v>
      </c>
      <c r="D592" t="s">
        <v>0</v>
      </c>
      <c r="E592" t="s">
        <v>2</v>
      </c>
      <c r="F592">
        <v>100</v>
      </c>
      <c r="G592" t="s">
        <v>17</v>
      </c>
      <c r="H592" s="5">
        <v>43831</v>
      </c>
      <c r="I592" s="5">
        <v>44562</v>
      </c>
      <c r="J592">
        <v>14</v>
      </c>
      <c r="K592">
        <v>9</v>
      </c>
      <c r="L592">
        <v>28</v>
      </c>
      <c r="M592">
        <v>72</v>
      </c>
      <c r="N592">
        <v>10000</v>
      </c>
    </row>
    <row r="593" spans="2:23" hidden="1">
      <c r="B593">
        <v>592</v>
      </c>
      <c r="C593" s="13" t="s">
        <v>56</v>
      </c>
      <c r="D593" t="s">
        <v>0</v>
      </c>
      <c r="E593" t="s">
        <v>22</v>
      </c>
      <c r="F593">
        <v>10</v>
      </c>
      <c r="G593" t="s">
        <v>17</v>
      </c>
      <c r="H593" s="5">
        <v>43831</v>
      </c>
      <c r="I593" s="5">
        <v>44562</v>
      </c>
      <c r="J593">
        <v>14</v>
      </c>
      <c r="K593">
        <v>9</v>
      </c>
      <c r="L593">
        <v>28</v>
      </c>
      <c r="M593">
        <v>72</v>
      </c>
      <c r="N593">
        <v>10000</v>
      </c>
    </row>
    <row r="594" spans="2:23" hidden="1">
      <c r="B594">
        <v>593</v>
      </c>
      <c r="C594" s="13" t="s">
        <v>56</v>
      </c>
      <c r="D594" t="s">
        <v>0</v>
      </c>
      <c r="E594" t="s">
        <v>22</v>
      </c>
      <c r="F594">
        <v>100</v>
      </c>
      <c r="G594" t="s">
        <v>17</v>
      </c>
      <c r="H594" s="5">
        <v>43831</v>
      </c>
      <c r="I594" s="5">
        <v>44562</v>
      </c>
      <c r="J594">
        <v>14</v>
      </c>
      <c r="K594">
        <v>9</v>
      </c>
      <c r="L594">
        <v>28</v>
      </c>
      <c r="M594">
        <v>72</v>
      </c>
      <c r="N594">
        <v>10000</v>
      </c>
    </row>
    <row r="595" spans="2:23" hidden="1">
      <c r="B595">
        <v>594</v>
      </c>
      <c r="C595" s="13" t="s">
        <v>56</v>
      </c>
      <c r="D595" t="s">
        <v>0</v>
      </c>
      <c r="E595" t="s">
        <v>22</v>
      </c>
      <c r="F595">
        <v>200</v>
      </c>
      <c r="G595" t="s">
        <v>17</v>
      </c>
      <c r="H595" s="5">
        <v>43831</v>
      </c>
      <c r="I595" s="5">
        <v>44562</v>
      </c>
      <c r="J595">
        <v>14</v>
      </c>
      <c r="K595">
        <v>9</v>
      </c>
      <c r="L595">
        <v>28</v>
      </c>
      <c r="M595">
        <v>72</v>
      </c>
      <c r="N595">
        <v>10000</v>
      </c>
    </row>
    <row r="596" spans="2:23" hidden="1">
      <c r="B596" s="13">
        <v>595</v>
      </c>
      <c r="C596" s="13" t="s">
        <v>56</v>
      </c>
      <c r="D596" t="s">
        <v>5</v>
      </c>
      <c r="E596" t="s">
        <v>3</v>
      </c>
      <c r="F596">
        <v>10</v>
      </c>
      <c r="G596" t="s">
        <v>17</v>
      </c>
      <c r="H596" s="5">
        <v>43831</v>
      </c>
      <c r="I596" s="5">
        <v>44562</v>
      </c>
      <c r="J596">
        <v>14</v>
      </c>
      <c r="K596">
        <v>9</v>
      </c>
      <c r="L596">
        <v>30</v>
      </c>
      <c r="M596">
        <v>70</v>
      </c>
      <c r="N596">
        <v>10000</v>
      </c>
      <c r="W596"/>
    </row>
    <row r="597" spans="2:23" hidden="1">
      <c r="B597" s="13">
        <v>596</v>
      </c>
      <c r="C597" s="13" t="s">
        <v>56</v>
      </c>
      <c r="D597" t="s">
        <v>5</v>
      </c>
      <c r="E597" t="s">
        <v>3</v>
      </c>
      <c r="F597">
        <v>100</v>
      </c>
      <c r="G597" t="s">
        <v>17</v>
      </c>
      <c r="H597" s="5">
        <v>43831</v>
      </c>
      <c r="I597" s="5">
        <v>44562</v>
      </c>
      <c r="J597">
        <v>14</v>
      </c>
      <c r="K597">
        <v>9</v>
      </c>
      <c r="L597">
        <v>30</v>
      </c>
      <c r="M597">
        <v>70</v>
      </c>
      <c r="N597">
        <v>10000</v>
      </c>
      <c r="W597"/>
    </row>
    <row r="598" spans="2:23" hidden="1">
      <c r="B598" s="13">
        <v>597</v>
      </c>
      <c r="C598" s="13" t="s">
        <v>56</v>
      </c>
      <c r="D598" t="s">
        <v>5</v>
      </c>
      <c r="E598" t="s">
        <v>3</v>
      </c>
      <c r="F598">
        <v>200</v>
      </c>
      <c r="G598" t="s">
        <v>17</v>
      </c>
      <c r="H598" s="5">
        <v>43831</v>
      </c>
      <c r="I598" s="5">
        <v>44562</v>
      </c>
      <c r="J598">
        <v>14</v>
      </c>
      <c r="K598">
        <v>9</v>
      </c>
      <c r="L598">
        <v>30</v>
      </c>
      <c r="M598">
        <v>70</v>
      </c>
      <c r="N598">
        <v>10000</v>
      </c>
      <c r="W598"/>
    </row>
    <row r="599" spans="2:23" hidden="1">
      <c r="B599" s="13">
        <v>598</v>
      </c>
      <c r="C599" s="13" t="s">
        <v>56</v>
      </c>
      <c r="D599" t="s">
        <v>5</v>
      </c>
      <c r="E599" t="s">
        <v>2</v>
      </c>
      <c r="F599">
        <v>10</v>
      </c>
      <c r="G599" t="s">
        <v>17</v>
      </c>
      <c r="H599" s="5">
        <v>43831</v>
      </c>
      <c r="I599" s="5">
        <v>44562</v>
      </c>
      <c r="J599">
        <v>14</v>
      </c>
      <c r="K599">
        <v>9</v>
      </c>
      <c r="L599">
        <v>30</v>
      </c>
      <c r="M599">
        <v>70</v>
      </c>
      <c r="N599">
        <v>10000</v>
      </c>
      <c r="W599"/>
    </row>
    <row r="600" spans="2:23" hidden="1">
      <c r="B600" s="13">
        <v>599</v>
      </c>
      <c r="C600" s="13" t="s">
        <v>56</v>
      </c>
      <c r="D600" t="s">
        <v>5</v>
      </c>
      <c r="E600" t="s">
        <v>2</v>
      </c>
      <c r="F600">
        <v>100</v>
      </c>
      <c r="G600" t="s">
        <v>17</v>
      </c>
      <c r="H600" s="5">
        <v>43831</v>
      </c>
      <c r="I600" s="5">
        <v>44562</v>
      </c>
      <c r="J600">
        <v>14</v>
      </c>
      <c r="K600">
        <v>9</v>
      </c>
      <c r="L600">
        <v>30</v>
      </c>
      <c r="M600">
        <v>70</v>
      </c>
      <c r="N600">
        <v>10000</v>
      </c>
      <c r="W600"/>
    </row>
    <row r="601" spans="2:23" hidden="1">
      <c r="B601" s="13">
        <v>600</v>
      </c>
      <c r="C601" s="13" t="s">
        <v>56</v>
      </c>
      <c r="D601" t="s">
        <v>5</v>
      </c>
      <c r="E601" t="s">
        <v>2</v>
      </c>
      <c r="F601">
        <v>200</v>
      </c>
      <c r="G601" t="s">
        <v>17</v>
      </c>
      <c r="H601" s="5">
        <v>43831</v>
      </c>
      <c r="I601" s="5">
        <v>44562</v>
      </c>
      <c r="J601">
        <v>14</v>
      </c>
      <c r="K601">
        <v>9</v>
      </c>
      <c r="L601">
        <v>30</v>
      </c>
      <c r="M601">
        <v>70</v>
      </c>
      <c r="N601">
        <v>10000</v>
      </c>
      <c r="W601"/>
    </row>
    <row r="602" spans="2:23" hidden="1">
      <c r="B602" s="13">
        <v>601</v>
      </c>
      <c r="C602" s="13" t="s">
        <v>56</v>
      </c>
      <c r="D602" t="s">
        <v>5</v>
      </c>
      <c r="E602" t="s">
        <v>22</v>
      </c>
      <c r="F602">
        <v>10</v>
      </c>
      <c r="G602" t="s">
        <v>17</v>
      </c>
      <c r="H602" s="5">
        <v>43831</v>
      </c>
      <c r="I602" s="5">
        <v>44562</v>
      </c>
      <c r="J602">
        <v>14</v>
      </c>
      <c r="K602">
        <v>9</v>
      </c>
      <c r="L602">
        <v>30</v>
      </c>
      <c r="M602">
        <v>70</v>
      </c>
      <c r="N602">
        <v>10000</v>
      </c>
      <c r="W602"/>
    </row>
    <row r="603" spans="2:23" hidden="1">
      <c r="B603" s="13">
        <v>602</v>
      </c>
      <c r="C603" s="13" t="s">
        <v>56</v>
      </c>
      <c r="D603" t="s">
        <v>5</v>
      </c>
      <c r="E603" t="s">
        <v>22</v>
      </c>
      <c r="F603">
        <v>100</v>
      </c>
      <c r="G603" t="s">
        <v>17</v>
      </c>
      <c r="H603" s="5">
        <v>43831</v>
      </c>
      <c r="I603" s="5">
        <v>44562</v>
      </c>
      <c r="J603">
        <v>14</v>
      </c>
      <c r="K603">
        <v>9</v>
      </c>
      <c r="L603">
        <v>30</v>
      </c>
      <c r="M603">
        <v>70</v>
      </c>
      <c r="N603">
        <v>10000</v>
      </c>
      <c r="W603"/>
    </row>
    <row r="604" spans="2:23" hidden="1">
      <c r="B604" s="13">
        <v>603</v>
      </c>
      <c r="C604" s="13" t="s">
        <v>56</v>
      </c>
      <c r="D604" t="s">
        <v>5</v>
      </c>
      <c r="E604" t="s">
        <v>22</v>
      </c>
      <c r="F604">
        <v>200</v>
      </c>
      <c r="G604" t="s">
        <v>17</v>
      </c>
      <c r="H604" s="5">
        <v>43831</v>
      </c>
      <c r="I604" s="5">
        <v>44562</v>
      </c>
      <c r="J604">
        <v>14</v>
      </c>
      <c r="K604">
        <v>9</v>
      </c>
      <c r="L604">
        <v>30</v>
      </c>
      <c r="M604">
        <v>70</v>
      </c>
      <c r="N604">
        <v>10000</v>
      </c>
      <c r="W604"/>
    </row>
    <row r="605" spans="2:23" hidden="1">
      <c r="B605">
        <v>604</v>
      </c>
      <c r="C605" s="13" t="s">
        <v>56</v>
      </c>
      <c r="D605" t="s">
        <v>5</v>
      </c>
      <c r="E605" t="s">
        <v>3</v>
      </c>
      <c r="F605">
        <v>10</v>
      </c>
      <c r="G605" t="s">
        <v>17</v>
      </c>
      <c r="H605" s="5">
        <v>43831</v>
      </c>
      <c r="I605" s="5">
        <v>44562</v>
      </c>
      <c r="J605">
        <v>14</v>
      </c>
      <c r="K605">
        <v>9</v>
      </c>
      <c r="L605">
        <v>32</v>
      </c>
      <c r="M605">
        <v>68</v>
      </c>
      <c r="N605">
        <v>10000</v>
      </c>
    </row>
    <row r="606" spans="2:23" hidden="1">
      <c r="B606">
        <v>605</v>
      </c>
      <c r="C606" s="13" t="s">
        <v>56</v>
      </c>
      <c r="D606" t="s">
        <v>5</v>
      </c>
      <c r="E606" t="s">
        <v>3</v>
      </c>
      <c r="F606">
        <v>100</v>
      </c>
      <c r="G606" t="s">
        <v>17</v>
      </c>
      <c r="H606" s="5">
        <v>43831</v>
      </c>
      <c r="I606" s="5">
        <v>44562</v>
      </c>
      <c r="J606">
        <v>14</v>
      </c>
      <c r="K606">
        <v>9</v>
      </c>
      <c r="L606">
        <v>32</v>
      </c>
      <c r="M606">
        <v>68</v>
      </c>
      <c r="N606">
        <v>10000</v>
      </c>
    </row>
    <row r="607" spans="2:23" hidden="1">
      <c r="B607">
        <v>606</v>
      </c>
      <c r="C607" s="13" t="s">
        <v>56</v>
      </c>
      <c r="D607" t="s">
        <v>5</v>
      </c>
      <c r="E607" t="s">
        <v>3</v>
      </c>
      <c r="F607">
        <v>200</v>
      </c>
      <c r="G607" t="s">
        <v>17</v>
      </c>
      <c r="H607" s="5">
        <v>43831</v>
      </c>
      <c r="I607" s="5">
        <v>44562</v>
      </c>
      <c r="J607">
        <v>14</v>
      </c>
      <c r="K607">
        <v>9</v>
      </c>
      <c r="L607">
        <v>32</v>
      </c>
      <c r="M607">
        <v>68</v>
      </c>
      <c r="N607">
        <v>10000</v>
      </c>
    </row>
    <row r="608" spans="2:23" hidden="1">
      <c r="B608">
        <v>607</v>
      </c>
      <c r="C608" s="13" t="s">
        <v>56</v>
      </c>
      <c r="D608" t="s">
        <v>5</v>
      </c>
      <c r="E608" t="s">
        <v>2</v>
      </c>
      <c r="F608">
        <v>10</v>
      </c>
      <c r="G608" t="s">
        <v>17</v>
      </c>
      <c r="H608" s="5">
        <v>43831</v>
      </c>
      <c r="I608" s="5">
        <v>44562</v>
      </c>
      <c r="J608">
        <v>14</v>
      </c>
      <c r="K608">
        <v>9</v>
      </c>
      <c r="L608">
        <v>32</v>
      </c>
      <c r="M608">
        <v>68</v>
      </c>
      <c r="N608">
        <v>10000</v>
      </c>
    </row>
    <row r="609" spans="2:23" hidden="1">
      <c r="B609">
        <v>608</v>
      </c>
      <c r="C609" s="13" t="s">
        <v>56</v>
      </c>
      <c r="D609" t="s">
        <v>5</v>
      </c>
      <c r="E609" t="s">
        <v>2</v>
      </c>
      <c r="F609">
        <v>100</v>
      </c>
      <c r="G609" t="s">
        <v>17</v>
      </c>
      <c r="H609" s="5">
        <v>43831</v>
      </c>
      <c r="I609" s="5">
        <v>44562</v>
      </c>
      <c r="J609">
        <v>14</v>
      </c>
      <c r="K609">
        <v>9</v>
      </c>
      <c r="L609">
        <v>32</v>
      </c>
      <c r="M609">
        <v>68</v>
      </c>
      <c r="N609">
        <v>10000</v>
      </c>
    </row>
    <row r="610" spans="2:23" hidden="1">
      <c r="B610">
        <v>609</v>
      </c>
      <c r="C610" s="13" t="s">
        <v>56</v>
      </c>
      <c r="D610" t="s">
        <v>5</v>
      </c>
      <c r="E610" t="s">
        <v>2</v>
      </c>
      <c r="F610">
        <v>200</v>
      </c>
      <c r="G610" t="s">
        <v>17</v>
      </c>
      <c r="H610" s="5">
        <v>43831</v>
      </c>
      <c r="I610" s="5">
        <v>44562</v>
      </c>
      <c r="J610">
        <v>14</v>
      </c>
      <c r="K610">
        <v>9</v>
      </c>
      <c r="L610">
        <v>32</v>
      </c>
      <c r="M610">
        <v>68</v>
      </c>
      <c r="N610">
        <v>10000</v>
      </c>
    </row>
    <row r="611" spans="2:23" hidden="1">
      <c r="B611">
        <v>610</v>
      </c>
      <c r="C611" s="13" t="s">
        <v>56</v>
      </c>
      <c r="D611" t="s">
        <v>5</v>
      </c>
      <c r="E611" t="s">
        <v>22</v>
      </c>
      <c r="F611">
        <v>10</v>
      </c>
      <c r="G611" t="s">
        <v>17</v>
      </c>
      <c r="H611" s="5">
        <v>43831</v>
      </c>
      <c r="I611" s="5">
        <v>44562</v>
      </c>
      <c r="J611">
        <v>14</v>
      </c>
      <c r="K611">
        <v>9</v>
      </c>
      <c r="L611">
        <v>32</v>
      </c>
      <c r="M611">
        <v>68</v>
      </c>
      <c r="N611">
        <v>10000</v>
      </c>
    </row>
    <row r="612" spans="2:23" hidden="1">
      <c r="B612">
        <v>611</v>
      </c>
      <c r="C612" s="13" t="s">
        <v>56</v>
      </c>
      <c r="D612" t="s">
        <v>5</v>
      </c>
      <c r="E612" t="s">
        <v>22</v>
      </c>
      <c r="F612">
        <v>100</v>
      </c>
      <c r="G612" t="s">
        <v>17</v>
      </c>
      <c r="H612" s="5">
        <v>43831</v>
      </c>
      <c r="I612" s="5">
        <v>44562</v>
      </c>
      <c r="J612">
        <v>14</v>
      </c>
      <c r="K612">
        <v>9</v>
      </c>
      <c r="L612">
        <v>32</v>
      </c>
      <c r="M612">
        <v>68</v>
      </c>
      <c r="N612">
        <v>10000</v>
      </c>
    </row>
    <row r="613" spans="2:23" hidden="1">
      <c r="B613">
        <v>612</v>
      </c>
      <c r="C613" s="13" t="s">
        <v>56</v>
      </c>
      <c r="D613" t="s">
        <v>5</v>
      </c>
      <c r="E613" t="s">
        <v>22</v>
      </c>
      <c r="F613">
        <v>200</v>
      </c>
      <c r="G613" t="s">
        <v>17</v>
      </c>
      <c r="H613" s="5">
        <v>43831</v>
      </c>
      <c r="I613" s="5">
        <v>44562</v>
      </c>
      <c r="J613">
        <v>14</v>
      </c>
      <c r="K613">
        <v>9</v>
      </c>
      <c r="L613">
        <v>32</v>
      </c>
      <c r="M613">
        <v>68</v>
      </c>
      <c r="N613">
        <v>10000</v>
      </c>
    </row>
    <row r="614" spans="2:23" hidden="1">
      <c r="B614">
        <v>613</v>
      </c>
      <c r="C614" s="13" t="s">
        <v>56</v>
      </c>
      <c r="D614" t="s">
        <v>5</v>
      </c>
      <c r="E614" t="s">
        <v>3</v>
      </c>
      <c r="F614">
        <v>10</v>
      </c>
      <c r="G614" t="s">
        <v>17</v>
      </c>
      <c r="H614" s="5">
        <v>43831</v>
      </c>
      <c r="I614" s="5">
        <v>44562</v>
      </c>
      <c r="J614">
        <v>14</v>
      </c>
      <c r="K614">
        <v>9</v>
      </c>
      <c r="L614">
        <v>28</v>
      </c>
      <c r="M614">
        <v>72</v>
      </c>
      <c r="N614">
        <v>10000</v>
      </c>
    </row>
    <row r="615" spans="2:23" hidden="1">
      <c r="B615">
        <v>614</v>
      </c>
      <c r="C615" s="13" t="s">
        <v>56</v>
      </c>
      <c r="D615" t="s">
        <v>5</v>
      </c>
      <c r="E615" t="s">
        <v>3</v>
      </c>
      <c r="F615">
        <v>100</v>
      </c>
      <c r="G615" t="s">
        <v>17</v>
      </c>
      <c r="H615" s="5">
        <v>43831</v>
      </c>
      <c r="I615" s="5">
        <v>44562</v>
      </c>
      <c r="J615">
        <v>14</v>
      </c>
      <c r="K615">
        <v>9</v>
      </c>
      <c r="L615">
        <v>28</v>
      </c>
      <c r="M615">
        <v>72</v>
      </c>
      <c r="N615">
        <v>10000</v>
      </c>
    </row>
    <row r="616" spans="2:23" hidden="1">
      <c r="B616">
        <v>615</v>
      </c>
      <c r="C616" s="13" t="s">
        <v>56</v>
      </c>
      <c r="D616" t="s">
        <v>5</v>
      </c>
      <c r="E616" t="s">
        <v>3</v>
      </c>
      <c r="F616">
        <v>200</v>
      </c>
      <c r="G616" t="s">
        <v>17</v>
      </c>
      <c r="H616" s="5">
        <v>43831</v>
      </c>
      <c r="I616" s="5">
        <v>44562</v>
      </c>
      <c r="J616">
        <v>14</v>
      </c>
      <c r="K616">
        <v>9</v>
      </c>
      <c r="L616">
        <v>28</v>
      </c>
      <c r="M616">
        <v>72</v>
      </c>
      <c r="N616">
        <v>10000</v>
      </c>
    </row>
    <row r="617" spans="2:23" hidden="1">
      <c r="B617">
        <v>616</v>
      </c>
      <c r="C617" s="13" t="s">
        <v>56</v>
      </c>
      <c r="D617" t="s">
        <v>5</v>
      </c>
      <c r="E617" t="s">
        <v>2</v>
      </c>
      <c r="F617">
        <v>10</v>
      </c>
      <c r="G617" t="s">
        <v>17</v>
      </c>
      <c r="H617" s="5">
        <v>43831</v>
      </c>
      <c r="I617" s="5">
        <v>44562</v>
      </c>
      <c r="J617">
        <v>14</v>
      </c>
      <c r="K617">
        <v>9</v>
      </c>
      <c r="L617">
        <v>28</v>
      </c>
      <c r="M617">
        <v>72</v>
      </c>
      <c r="N617">
        <v>10000</v>
      </c>
    </row>
    <row r="618" spans="2:23" hidden="1">
      <c r="B618">
        <v>617</v>
      </c>
      <c r="C618" s="13" t="s">
        <v>56</v>
      </c>
      <c r="D618" t="s">
        <v>5</v>
      </c>
      <c r="E618" t="s">
        <v>2</v>
      </c>
      <c r="F618">
        <v>100</v>
      </c>
      <c r="G618" t="s">
        <v>17</v>
      </c>
      <c r="H618" s="5">
        <v>43831</v>
      </c>
      <c r="I618" s="5">
        <v>44562</v>
      </c>
      <c r="J618">
        <v>14</v>
      </c>
      <c r="K618">
        <v>9</v>
      </c>
      <c r="L618">
        <v>28</v>
      </c>
      <c r="M618">
        <v>72</v>
      </c>
      <c r="N618">
        <v>10000</v>
      </c>
    </row>
    <row r="619" spans="2:23" hidden="1">
      <c r="B619">
        <v>618</v>
      </c>
      <c r="C619" s="13" t="s">
        <v>56</v>
      </c>
      <c r="D619" t="s">
        <v>5</v>
      </c>
      <c r="E619" t="s">
        <v>2</v>
      </c>
      <c r="F619">
        <v>200</v>
      </c>
      <c r="G619" t="s">
        <v>17</v>
      </c>
      <c r="H619" s="5">
        <v>43831</v>
      </c>
      <c r="I619" s="5">
        <v>44562</v>
      </c>
      <c r="J619">
        <v>14</v>
      </c>
      <c r="K619">
        <v>9</v>
      </c>
      <c r="L619">
        <v>28</v>
      </c>
      <c r="M619">
        <v>72</v>
      </c>
      <c r="N619">
        <v>10000</v>
      </c>
    </row>
    <row r="620" spans="2:23" hidden="1">
      <c r="B620">
        <v>619</v>
      </c>
      <c r="C620" s="13" t="s">
        <v>56</v>
      </c>
      <c r="D620" t="s">
        <v>5</v>
      </c>
      <c r="E620" t="s">
        <v>22</v>
      </c>
      <c r="F620">
        <v>10</v>
      </c>
      <c r="G620" t="s">
        <v>17</v>
      </c>
      <c r="H620" s="5">
        <v>43831</v>
      </c>
      <c r="I620" s="5">
        <v>44562</v>
      </c>
      <c r="J620">
        <v>14</v>
      </c>
      <c r="K620">
        <v>9</v>
      </c>
      <c r="L620">
        <v>28</v>
      </c>
      <c r="M620">
        <v>72</v>
      </c>
      <c r="N620">
        <v>10000</v>
      </c>
    </row>
    <row r="621" spans="2:23" hidden="1">
      <c r="B621">
        <v>620</v>
      </c>
      <c r="C621" s="13" t="s">
        <v>56</v>
      </c>
      <c r="D621" t="s">
        <v>5</v>
      </c>
      <c r="E621" t="s">
        <v>22</v>
      </c>
      <c r="F621">
        <v>100</v>
      </c>
      <c r="G621" t="s">
        <v>17</v>
      </c>
      <c r="H621" s="5">
        <v>43831</v>
      </c>
      <c r="I621" s="5">
        <v>44562</v>
      </c>
      <c r="J621">
        <v>14</v>
      </c>
      <c r="K621">
        <v>9</v>
      </c>
      <c r="L621">
        <v>28</v>
      </c>
      <c r="M621">
        <v>72</v>
      </c>
      <c r="N621">
        <v>10000</v>
      </c>
    </row>
    <row r="622" spans="2:23" hidden="1">
      <c r="B622">
        <v>621</v>
      </c>
      <c r="C622" s="13" t="s">
        <v>56</v>
      </c>
      <c r="D622" t="s">
        <v>5</v>
      </c>
      <c r="E622" t="s">
        <v>22</v>
      </c>
      <c r="F622">
        <v>200</v>
      </c>
      <c r="G622" t="s">
        <v>17</v>
      </c>
      <c r="H622" s="5">
        <v>43831</v>
      </c>
      <c r="I622" s="5">
        <v>44562</v>
      </c>
      <c r="J622">
        <v>14</v>
      </c>
      <c r="K622">
        <v>9</v>
      </c>
      <c r="L622">
        <v>28</v>
      </c>
      <c r="M622">
        <v>72</v>
      </c>
      <c r="N622">
        <v>10000</v>
      </c>
    </row>
    <row r="623" spans="2:23" hidden="1">
      <c r="B623" s="13">
        <v>622</v>
      </c>
      <c r="C623" s="13" t="s">
        <v>56</v>
      </c>
      <c r="D623" t="s">
        <v>6</v>
      </c>
      <c r="E623" t="s">
        <v>3</v>
      </c>
      <c r="F623">
        <v>10</v>
      </c>
      <c r="G623" t="s">
        <v>17</v>
      </c>
      <c r="H623" s="5">
        <v>43831</v>
      </c>
      <c r="I623" s="5">
        <v>44562</v>
      </c>
      <c r="J623">
        <v>14</v>
      </c>
      <c r="K623">
        <v>9</v>
      </c>
      <c r="L623">
        <v>30</v>
      </c>
      <c r="M623">
        <v>70</v>
      </c>
      <c r="N623">
        <v>10000</v>
      </c>
      <c r="W623"/>
    </row>
    <row r="624" spans="2:23" hidden="1">
      <c r="B624" s="13">
        <v>623</v>
      </c>
      <c r="C624" s="13" t="s">
        <v>56</v>
      </c>
      <c r="D624" t="s">
        <v>6</v>
      </c>
      <c r="E624" t="s">
        <v>3</v>
      </c>
      <c r="F624">
        <v>100</v>
      </c>
      <c r="G624" t="s">
        <v>17</v>
      </c>
      <c r="H624" s="5">
        <v>43831</v>
      </c>
      <c r="I624" s="5">
        <v>44562</v>
      </c>
      <c r="J624">
        <v>14</v>
      </c>
      <c r="K624">
        <v>9</v>
      </c>
      <c r="L624">
        <v>30</v>
      </c>
      <c r="M624">
        <v>70</v>
      </c>
      <c r="N624">
        <v>10000</v>
      </c>
      <c r="W624"/>
    </row>
    <row r="625" spans="1:23" hidden="1">
      <c r="B625" s="20">
        <v>624</v>
      </c>
      <c r="C625" s="13" t="s">
        <v>56</v>
      </c>
      <c r="D625" s="7" t="s">
        <v>6</v>
      </c>
      <c r="E625" s="7" t="s">
        <v>3</v>
      </c>
      <c r="F625" s="7">
        <v>200</v>
      </c>
      <c r="G625" s="7" t="s">
        <v>17</v>
      </c>
      <c r="H625" s="21">
        <v>43831</v>
      </c>
      <c r="I625" s="21">
        <v>44562</v>
      </c>
      <c r="J625" s="7">
        <v>14</v>
      </c>
      <c r="K625" s="7">
        <v>9</v>
      </c>
      <c r="L625" s="7">
        <v>30</v>
      </c>
      <c r="M625" s="7">
        <v>70</v>
      </c>
      <c r="N625" s="7">
        <v>10000</v>
      </c>
      <c r="W625"/>
    </row>
    <row r="626" spans="1:23" hidden="1">
      <c r="B626" s="20">
        <v>625</v>
      </c>
      <c r="C626" s="13" t="s">
        <v>56</v>
      </c>
      <c r="D626" s="7" t="s">
        <v>6</v>
      </c>
      <c r="E626" s="7" t="s">
        <v>2</v>
      </c>
      <c r="F626" s="7">
        <v>10</v>
      </c>
      <c r="G626" s="7" t="s">
        <v>17</v>
      </c>
      <c r="H626" s="21">
        <v>43831</v>
      </c>
      <c r="I626" s="21">
        <v>44562</v>
      </c>
      <c r="J626" s="7">
        <v>14</v>
      </c>
      <c r="K626" s="7">
        <v>9</v>
      </c>
      <c r="L626" s="7">
        <v>30</v>
      </c>
      <c r="M626" s="7">
        <v>70</v>
      </c>
      <c r="N626" s="7">
        <v>10000</v>
      </c>
      <c r="W626"/>
    </row>
    <row r="627" spans="1:23" hidden="1">
      <c r="B627" s="13">
        <v>626</v>
      </c>
      <c r="C627" s="13" t="s">
        <v>56</v>
      </c>
      <c r="D627" t="s">
        <v>6</v>
      </c>
      <c r="E627" t="s">
        <v>2</v>
      </c>
      <c r="F627">
        <v>100</v>
      </c>
      <c r="G627" t="s">
        <v>17</v>
      </c>
      <c r="H627" s="5">
        <v>43831</v>
      </c>
      <c r="I627" s="5">
        <v>44562</v>
      </c>
      <c r="J627">
        <v>14</v>
      </c>
      <c r="K627">
        <v>9</v>
      </c>
      <c r="L627">
        <v>30</v>
      </c>
      <c r="M627">
        <v>70</v>
      </c>
      <c r="N627">
        <v>10000</v>
      </c>
      <c r="W627"/>
    </row>
    <row r="628" spans="1:23" hidden="1">
      <c r="B628" s="13">
        <v>627</v>
      </c>
      <c r="C628" s="13" t="s">
        <v>56</v>
      </c>
      <c r="D628" t="s">
        <v>6</v>
      </c>
      <c r="E628" t="s">
        <v>2</v>
      </c>
      <c r="F628">
        <v>200</v>
      </c>
      <c r="G628" t="s">
        <v>17</v>
      </c>
      <c r="H628" s="5">
        <v>43831</v>
      </c>
      <c r="I628" s="5">
        <v>44562</v>
      </c>
      <c r="J628">
        <v>14</v>
      </c>
      <c r="K628">
        <v>9</v>
      </c>
      <c r="L628">
        <v>30</v>
      </c>
      <c r="M628">
        <v>70</v>
      </c>
      <c r="N628">
        <v>10000</v>
      </c>
      <c r="W628"/>
    </row>
    <row r="629" spans="1:23" hidden="1">
      <c r="B629" s="13">
        <v>628</v>
      </c>
      <c r="C629" s="13" t="s">
        <v>56</v>
      </c>
      <c r="D629" t="s">
        <v>6</v>
      </c>
      <c r="E629" t="s">
        <v>22</v>
      </c>
      <c r="F629">
        <v>10</v>
      </c>
      <c r="G629" t="s">
        <v>17</v>
      </c>
      <c r="H629" s="5">
        <v>43831</v>
      </c>
      <c r="I629" s="5">
        <v>44562</v>
      </c>
      <c r="J629">
        <v>14</v>
      </c>
      <c r="K629">
        <v>9</v>
      </c>
      <c r="L629">
        <v>30</v>
      </c>
      <c r="M629">
        <v>70</v>
      </c>
      <c r="N629">
        <v>10000</v>
      </c>
      <c r="W629"/>
    </row>
    <row r="630" spans="1:23" hidden="1">
      <c r="B630" s="13">
        <v>629</v>
      </c>
      <c r="C630" s="13" t="s">
        <v>56</v>
      </c>
      <c r="D630" t="s">
        <v>6</v>
      </c>
      <c r="E630" t="s">
        <v>22</v>
      </c>
      <c r="F630">
        <v>100</v>
      </c>
      <c r="G630" t="s">
        <v>17</v>
      </c>
      <c r="H630" s="5">
        <v>43831</v>
      </c>
      <c r="I630" s="5">
        <v>44562</v>
      </c>
      <c r="J630">
        <v>14</v>
      </c>
      <c r="K630">
        <v>9</v>
      </c>
      <c r="L630">
        <v>30</v>
      </c>
      <c r="M630">
        <v>70</v>
      </c>
      <c r="N630">
        <v>10000</v>
      </c>
      <c r="W630"/>
    </row>
    <row r="631" spans="1:23" hidden="1">
      <c r="B631" s="13">
        <v>630</v>
      </c>
      <c r="C631" s="13" t="s">
        <v>56</v>
      </c>
      <c r="D631" t="s">
        <v>6</v>
      </c>
      <c r="E631" t="s">
        <v>22</v>
      </c>
      <c r="F631">
        <v>200</v>
      </c>
      <c r="G631" t="s">
        <v>17</v>
      </c>
      <c r="H631" s="5">
        <v>43831</v>
      </c>
      <c r="I631" s="5">
        <v>44562</v>
      </c>
      <c r="J631">
        <v>14</v>
      </c>
      <c r="K631">
        <v>9</v>
      </c>
      <c r="L631">
        <v>30</v>
      </c>
      <c r="M631">
        <v>70</v>
      </c>
      <c r="N631">
        <v>10000</v>
      </c>
      <c r="W631"/>
    </row>
    <row r="632" spans="1:23" hidden="1">
      <c r="B632">
        <v>631</v>
      </c>
      <c r="C632" s="13" t="s">
        <v>56</v>
      </c>
      <c r="D632" t="s">
        <v>6</v>
      </c>
      <c r="E632" t="s">
        <v>3</v>
      </c>
      <c r="F632">
        <v>10</v>
      </c>
      <c r="G632" t="s">
        <v>17</v>
      </c>
      <c r="H632" s="5">
        <v>43831</v>
      </c>
      <c r="I632" s="5">
        <v>44562</v>
      </c>
      <c r="J632">
        <v>14</v>
      </c>
      <c r="K632">
        <v>9</v>
      </c>
      <c r="L632">
        <v>32</v>
      </c>
      <c r="M632">
        <v>68</v>
      </c>
      <c r="N632">
        <v>10000</v>
      </c>
    </row>
    <row r="633" spans="1:23" hidden="1">
      <c r="B633">
        <v>632</v>
      </c>
      <c r="C633" s="13" t="s">
        <v>56</v>
      </c>
      <c r="D633" t="s">
        <v>6</v>
      </c>
      <c r="E633" t="s">
        <v>3</v>
      </c>
      <c r="F633">
        <v>100</v>
      </c>
      <c r="G633" t="s">
        <v>17</v>
      </c>
      <c r="H633" s="5">
        <v>43831</v>
      </c>
      <c r="I633" s="5">
        <v>44562</v>
      </c>
      <c r="J633">
        <v>14</v>
      </c>
      <c r="K633">
        <v>9</v>
      </c>
      <c r="L633">
        <v>32</v>
      </c>
      <c r="M633">
        <v>68</v>
      </c>
      <c r="N633">
        <v>10000</v>
      </c>
    </row>
    <row r="634" spans="1:23" hidden="1">
      <c r="B634">
        <v>633</v>
      </c>
      <c r="C634" s="13" t="s">
        <v>56</v>
      </c>
      <c r="D634" t="s">
        <v>6</v>
      </c>
      <c r="E634" t="s">
        <v>3</v>
      </c>
      <c r="F634">
        <v>200</v>
      </c>
      <c r="G634" t="s">
        <v>17</v>
      </c>
      <c r="H634" s="5">
        <v>43831</v>
      </c>
      <c r="I634" s="5">
        <v>44562</v>
      </c>
      <c r="J634">
        <v>14</v>
      </c>
      <c r="K634">
        <v>9</v>
      </c>
      <c r="L634">
        <v>32</v>
      </c>
      <c r="M634">
        <v>68</v>
      </c>
      <c r="N634">
        <v>10000</v>
      </c>
    </row>
    <row r="635" spans="1:23" hidden="1">
      <c r="B635">
        <v>634</v>
      </c>
      <c r="C635" s="13" t="s">
        <v>56</v>
      </c>
      <c r="D635" t="s">
        <v>6</v>
      </c>
      <c r="E635" t="s">
        <v>2</v>
      </c>
      <c r="F635">
        <v>10</v>
      </c>
      <c r="G635" t="s">
        <v>17</v>
      </c>
      <c r="H635" s="5">
        <v>43831</v>
      </c>
      <c r="I635" s="5">
        <v>44562</v>
      </c>
      <c r="J635">
        <v>14</v>
      </c>
      <c r="K635">
        <v>9</v>
      </c>
      <c r="L635">
        <v>32</v>
      </c>
      <c r="M635">
        <v>68</v>
      </c>
      <c r="N635">
        <v>10000</v>
      </c>
    </row>
    <row r="636" spans="1:23" hidden="1">
      <c r="B636">
        <v>635</v>
      </c>
      <c r="C636" s="13" t="s">
        <v>56</v>
      </c>
      <c r="D636" t="s">
        <v>6</v>
      </c>
      <c r="E636" t="s">
        <v>2</v>
      </c>
      <c r="F636">
        <v>100</v>
      </c>
      <c r="G636" t="s">
        <v>17</v>
      </c>
      <c r="H636" s="5">
        <v>43831</v>
      </c>
      <c r="I636" s="5">
        <v>44562</v>
      </c>
      <c r="J636">
        <v>14</v>
      </c>
      <c r="K636">
        <v>9</v>
      </c>
      <c r="L636">
        <v>32</v>
      </c>
      <c r="M636">
        <v>68</v>
      </c>
      <c r="N636">
        <v>10000</v>
      </c>
    </row>
    <row r="637" spans="1:23" hidden="1">
      <c r="B637">
        <v>636</v>
      </c>
      <c r="C637" s="13" t="s">
        <v>56</v>
      </c>
      <c r="D637" t="s">
        <v>6</v>
      </c>
      <c r="E637" t="s">
        <v>2</v>
      </c>
      <c r="F637">
        <v>200</v>
      </c>
      <c r="G637" t="s">
        <v>17</v>
      </c>
      <c r="H637" s="5">
        <v>43831</v>
      </c>
      <c r="I637" s="5">
        <v>44562</v>
      </c>
      <c r="J637">
        <v>14</v>
      </c>
      <c r="K637">
        <v>9</v>
      </c>
      <c r="L637">
        <v>32</v>
      </c>
      <c r="M637">
        <v>68</v>
      </c>
      <c r="N637">
        <v>10000</v>
      </c>
    </row>
    <row r="638" spans="1:23" hidden="1">
      <c r="B638">
        <v>637</v>
      </c>
      <c r="C638" s="13" t="s">
        <v>56</v>
      </c>
      <c r="D638" t="s">
        <v>6</v>
      </c>
      <c r="E638" t="s">
        <v>22</v>
      </c>
      <c r="F638">
        <v>10</v>
      </c>
      <c r="G638" t="s">
        <v>17</v>
      </c>
      <c r="H638" s="5">
        <v>43831</v>
      </c>
      <c r="I638" s="5">
        <v>44562</v>
      </c>
      <c r="J638">
        <v>14</v>
      </c>
      <c r="K638">
        <v>9</v>
      </c>
      <c r="L638">
        <v>32</v>
      </c>
      <c r="M638">
        <v>68</v>
      </c>
      <c r="N638">
        <v>10000</v>
      </c>
    </row>
    <row r="639" spans="1:23" hidden="1">
      <c r="B639">
        <v>638</v>
      </c>
      <c r="C639" s="13" t="s">
        <v>56</v>
      </c>
      <c r="D639" t="s">
        <v>6</v>
      </c>
      <c r="E639" t="s">
        <v>22</v>
      </c>
      <c r="F639">
        <v>100</v>
      </c>
      <c r="G639" t="s">
        <v>17</v>
      </c>
      <c r="H639" s="5">
        <v>43831</v>
      </c>
      <c r="I639" s="5">
        <v>44562</v>
      </c>
      <c r="J639">
        <v>14</v>
      </c>
      <c r="K639">
        <v>9</v>
      </c>
      <c r="L639">
        <v>32</v>
      </c>
      <c r="M639">
        <v>68</v>
      </c>
      <c r="N639">
        <v>10000</v>
      </c>
    </row>
    <row r="640" spans="1:23" hidden="1">
      <c r="A640" t="s">
        <v>61</v>
      </c>
      <c r="B640">
        <v>639</v>
      </c>
      <c r="C640" s="13" t="s">
        <v>56</v>
      </c>
      <c r="D640" t="s">
        <v>6</v>
      </c>
      <c r="E640" t="s">
        <v>22</v>
      </c>
      <c r="F640">
        <v>200</v>
      </c>
      <c r="G640" t="s">
        <v>17</v>
      </c>
      <c r="H640" s="5">
        <v>43831</v>
      </c>
      <c r="I640" s="5">
        <v>44562</v>
      </c>
      <c r="J640">
        <v>14</v>
      </c>
      <c r="K640">
        <v>9</v>
      </c>
      <c r="L640">
        <v>32</v>
      </c>
      <c r="M640">
        <v>68</v>
      </c>
      <c r="N640">
        <v>10000</v>
      </c>
    </row>
    <row r="641" spans="2:23" hidden="1">
      <c r="B641">
        <v>640</v>
      </c>
      <c r="C641" s="13" t="s">
        <v>56</v>
      </c>
      <c r="D641" t="s">
        <v>6</v>
      </c>
      <c r="E641" t="s">
        <v>3</v>
      </c>
      <c r="F641">
        <v>10</v>
      </c>
      <c r="G641" t="s">
        <v>17</v>
      </c>
      <c r="H641" s="5">
        <v>43831</v>
      </c>
      <c r="I641" s="5">
        <v>44562</v>
      </c>
      <c r="J641">
        <v>14</v>
      </c>
      <c r="K641">
        <v>9</v>
      </c>
      <c r="L641">
        <v>28</v>
      </c>
      <c r="M641">
        <v>72</v>
      </c>
      <c r="N641">
        <v>10000</v>
      </c>
    </row>
    <row r="642" spans="2:23" hidden="1">
      <c r="B642">
        <v>641</v>
      </c>
      <c r="C642" s="13" t="s">
        <v>56</v>
      </c>
      <c r="D642" t="s">
        <v>6</v>
      </c>
      <c r="E642" t="s">
        <v>3</v>
      </c>
      <c r="F642">
        <v>100</v>
      </c>
      <c r="G642" t="s">
        <v>17</v>
      </c>
      <c r="H642" s="5">
        <v>43831</v>
      </c>
      <c r="I642" s="5">
        <v>44562</v>
      </c>
      <c r="J642">
        <v>14</v>
      </c>
      <c r="K642">
        <v>9</v>
      </c>
      <c r="L642">
        <v>28</v>
      </c>
      <c r="M642">
        <v>72</v>
      </c>
      <c r="N642">
        <v>10000</v>
      </c>
    </row>
    <row r="643" spans="2:23" hidden="1">
      <c r="B643">
        <v>642</v>
      </c>
      <c r="C643" s="13" t="s">
        <v>56</v>
      </c>
      <c r="D643" t="s">
        <v>6</v>
      </c>
      <c r="E643" t="s">
        <v>3</v>
      </c>
      <c r="F643">
        <v>200</v>
      </c>
      <c r="G643" t="s">
        <v>17</v>
      </c>
      <c r="H643" s="5">
        <v>43831</v>
      </c>
      <c r="I643" s="5">
        <v>44562</v>
      </c>
      <c r="J643">
        <v>14</v>
      </c>
      <c r="K643">
        <v>9</v>
      </c>
      <c r="L643">
        <v>28</v>
      </c>
      <c r="M643">
        <v>72</v>
      </c>
      <c r="N643">
        <v>10000</v>
      </c>
    </row>
    <row r="644" spans="2:23" hidden="1">
      <c r="B644">
        <v>643</v>
      </c>
      <c r="C644" s="13" t="s">
        <v>56</v>
      </c>
      <c r="D644" t="s">
        <v>6</v>
      </c>
      <c r="E644" t="s">
        <v>2</v>
      </c>
      <c r="F644">
        <v>10</v>
      </c>
      <c r="G644" t="s">
        <v>17</v>
      </c>
      <c r="H644" s="5">
        <v>43831</v>
      </c>
      <c r="I644" s="5">
        <v>44562</v>
      </c>
      <c r="J644">
        <v>14</v>
      </c>
      <c r="K644">
        <v>9</v>
      </c>
      <c r="L644">
        <v>28</v>
      </c>
      <c r="M644">
        <v>72</v>
      </c>
      <c r="N644">
        <v>10000</v>
      </c>
    </row>
    <row r="645" spans="2:23" hidden="1">
      <c r="B645">
        <v>644</v>
      </c>
      <c r="C645" s="13" t="s">
        <v>56</v>
      </c>
      <c r="D645" t="s">
        <v>6</v>
      </c>
      <c r="E645" t="s">
        <v>2</v>
      </c>
      <c r="F645">
        <v>100</v>
      </c>
      <c r="G645" t="s">
        <v>17</v>
      </c>
      <c r="H645" s="5">
        <v>43831</v>
      </c>
      <c r="I645" s="5">
        <v>44562</v>
      </c>
      <c r="J645">
        <v>14</v>
      </c>
      <c r="K645">
        <v>9</v>
      </c>
      <c r="L645">
        <v>28</v>
      </c>
      <c r="M645">
        <v>72</v>
      </c>
      <c r="N645">
        <v>10000</v>
      </c>
    </row>
    <row r="646" spans="2:23" hidden="1">
      <c r="B646">
        <v>645</v>
      </c>
      <c r="C646" s="13" t="s">
        <v>56</v>
      </c>
      <c r="D646" t="s">
        <v>6</v>
      </c>
      <c r="E646" t="s">
        <v>2</v>
      </c>
      <c r="F646">
        <v>200</v>
      </c>
      <c r="G646" t="s">
        <v>17</v>
      </c>
      <c r="H646" s="5">
        <v>43831</v>
      </c>
      <c r="I646" s="5">
        <v>44562</v>
      </c>
      <c r="J646">
        <v>14</v>
      </c>
      <c r="K646">
        <v>9</v>
      </c>
      <c r="L646">
        <v>28</v>
      </c>
      <c r="M646">
        <v>72</v>
      </c>
      <c r="N646">
        <v>10000</v>
      </c>
    </row>
    <row r="647" spans="2:23" hidden="1">
      <c r="B647">
        <v>646</v>
      </c>
      <c r="C647" s="13" t="s">
        <v>56</v>
      </c>
      <c r="D647" t="s">
        <v>6</v>
      </c>
      <c r="E647" t="s">
        <v>22</v>
      </c>
      <c r="F647">
        <v>10</v>
      </c>
      <c r="G647" t="s">
        <v>17</v>
      </c>
      <c r="H647" s="5">
        <v>43831</v>
      </c>
      <c r="I647" s="5">
        <v>44562</v>
      </c>
      <c r="J647">
        <v>14</v>
      </c>
      <c r="K647">
        <v>9</v>
      </c>
      <c r="L647">
        <v>28</v>
      </c>
      <c r="M647">
        <v>72</v>
      </c>
      <c r="N647">
        <v>10000</v>
      </c>
    </row>
    <row r="648" spans="2:23" hidden="1">
      <c r="B648">
        <v>647</v>
      </c>
      <c r="C648" s="13" t="s">
        <v>56</v>
      </c>
      <c r="D648" t="s">
        <v>6</v>
      </c>
      <c r="E648" t="s">
        <v>22</v>
      </c>
      <c r="F648">
        <v>100</v>
      </c>
      <c r="G648" t="s">
        <v>17</v>
      </c>
      <c r="H648" s="5">
        <v>43831</v>
      </c>
      <c r="I648" s="5">
        <v>44562</v>
      </c>
      <c r="J648">
        <v>14</v>
      </c>
      <c r="K648">
        <v>9</v>
      </c>
      <c r="L648">
        <v>28</v>
      </c>
      <c r="M648">
        <v>72</v>
      </c>
      <c r="N648">
        <v>10000</v>
      </c>
    </row>
    <row r="649" spans="2:23" hidden="1">
      <c r="B649">
        <v>648</v>
      </c>
      <c r="C649" s="13" t="s">
        <v>56</v>
      </c>
      <c r="D649" t="s">
        <v>6</v>
      </c>
      <c r="E649" t="s">
        <v>22</v>
      </c>
      <c r="F649">
        <v>200</v>
      </c>
      <c r="G649" t="s">
        <v>17</v>
      </c>
      <c r="H649" s="5">
        <v>43831</v>
      </c>
      <c r="I649" s="5">
        <v>44562</v>
      </c>
      <c r="J649">
        <v>14</v>
      </c>
      <c r="K649">
        <v>9</v>
      </c>
      <c r="L649">
        <v>28</v>
      </c>
      <c r="M649">
        <v>72</v>
      </c>
      <c r="N649">
        <v>10000</v>
      </c>
    </row>
    <row r="650" spans="2:23" hidden="1">
      <c r="B650" s="13">
        <v>649</v>
      </c>
      <c r="C650" s="13" t="s">
        <v>56</v>
      </c>
      <c r="D650" t="s">
        <v>7</v>
      </c>
      <c r="E650" t="s">
        <v>3</v>
      </c>
      <c r="F650">
        <v>10</v>
      </c>
      <c r="G650" t="s">
        <v>17</v>
      </c>
      <c r="H650" s="5">
        <v>43831</v>
      </c>
      <c r="I650" s="5">
        <v>44562</v>
      </c>
      <c r="J650">
        <v>14</v>
      </c>
      <c r="K650">
        <v>9</v>
      </c>
      <c r="L650">
        <v>30</v>
      </c>
      <c r="M650">
        <v>70</v>
      </c>
      <c r="N650">
        <v>10000</v>
      </c>
      <c r="W650"/>
    </row>
    <row r="651" spans="2:23" hidden="1">
      <c r="B651" s="20">
        <v>650</v>
      </c>
      <c r="C651" s="13" t="s">
        <v>56</v>
      </c>
      <c r="D651" s="7" t="s">
        <v>7</v>
      </c>
      <c r="E651" s="7" t="s">
        <v>3</v>
      </c>
      <c r="F651" s="7">
        <v>100</v>
      </c>
      <c r="G651" s="7" t="s">
        <v>17</v>
      </c>
      <c r="H651" s="21">
        <v>43831</v>
      </c>
      <c r="I651" s="21">
        <v>44562</v>
      </c>
      <c r="J651" s="7">
        <v>14</v>
      </c>
      <c r="K651" s="7">
        <v>9</v>
      </c>
      <c r="L651" s="7">
        <v>30</v>
      </c>
      <c r="M651" s="7">
        <v>70</v>
      </c>
      <c r="N651" s="7">
        <v>10000</v>
      </c>
      <c r="W651"/>
    </row>
    <row r="652" spans="2:23" hidden="1">
      <c r="B652" s="13">
        <v>651</v>
      </c>
      <c r="C652" s="13" t="s">
        <v>56</v>
      </c>
      <c r="D652" t="s">
        <v>7</v>
      </c>
      <c r="E652" t="s">
        <v>3</v>
      </c>
      <c r="F652">
        <v>200</v>
      </c>
      <c r="G652" t="s">
        <v>17</v>
      </c>
      <c r="H652" s="5">
        <v>43831</v>
      </c>
      <c r="I652" s="5">
        <v>44562</v>
      </c>
      <c r="J652">
        <v>14</v>
      </c>
      <c r="K652">
        <v>9</v>
      </c>
      <c r="L652">
        <v>30</v>
      </c>
      <c r="M652">
        <v>70</v>
      </c>
      <c r="N652">
        <v>10000</v>
      </c>
      <c r="W652"/>
    </row>
    <row r="653" spans="2:23" hidden="1">
      <c r="B653" s="13">
        <v>652</v>
      </c>
      <c r="C653" s="13" t="s">
        <v>56</v>
      </c>
      <c r="D653" t="s">
        <v>7</v>
      </c>
      <c r="E653" t="s">
        <v>2</v>
      </c>
      <c r="F653">
        <v>10</v>
      </c>
      <c r="G653" t="s">
        <v>17</v>
      </c>
      <c r="H653" s="5">
        <v>43831</v>
      </c>
      <c r="I653" s="5">
        <v>44562</v>
      </c>
      <c r="J653">
        <v>14</v>
      </c>
      <c r="K653">
        <v>9</v>
      </c>
      <c r="L653">
        <v>30</v>
      </c>
      <c r="M653">
        <v>70</v>
      </c>
      <c r="N653">
        <v>10000</v>
      </c>
      <c r="W653"/>
    </row>
    <row r="654" spans="2:23" hidden="1">
      <c r="B654" s="13">
        <v>653</v>
      </c>
      <c r="C654" s="13" t="s">
        <v>56</v>
      </c>
      <c r="D654" t="s">
        <v>7</v>
      </c>
      <c r="E654" t="s">
        <v>2</v>
      </c>
      <c r="F654">
        <v>100</v>
      </c>
      <c r="G654" t="s">
        <v>17</v>
      </c>
      <c r="H654" s="5">
        <v>43831</v>
      </c>
      <c r="I654" s="5">
        <v>44562</v>
      </c>
      <c r="J654">
        <v>14</v>
      </c>
      <c r="K654">
        <v>9</v>
      </c>
      <c r="L654">
        <v>30</v>
      </c>
      <c r="M654">
        <v>70</v>
      </c>
      <c r="N654">
        <v>10000</v>
      </c>
      <c r="W654"/>
    </row>
    <row r="655" spans="2:23" hidden="1">
      <c r="B655" s="13">
        <v>654</v>
      </c>
      <c r="C655" s="13" t="s">
        <v>56</v>
      </c>
      <c r="D655" t="s">
        <v>7</v>
      </c>
      <c r="E655" t="s">
        <v>2</v>
      </c>
      <c r="F655">
        <v>200</v>
      </c>
      <c r="G655" t="s">
        <v>17</v>
      </c>
      <c r="H655" s="5">
        <v>43831</v>
      </c>
      <c r="I655" s="5">
        <v>44562</v>
      </c>
      <c r="J655">
        <v>14</v>
      </c>
      <c r="K655">
        <v>9</v>
      </c>
      <c r="L655">
        <v>30</v>
      </c>
      <c r="M655">
        <v>70</v>
      </c>
      <c r="N655">
        <v>10000</v>
      </c>
      <c r="W655"/>
    </row>
    <row r="656" spans="2:23" hidden="1">
      <c r="B656" s="13">
        <v>655</v>
      </c>
      <c r="C656" s="13" t="s">
        <v>56</v>
      </c>
      <c r="D656" t="s">
        <v>7</v>
      </c>
      <c r="E656" t="s">
        <v>22</v>
      </c>
      <c r="F656">
        <v>10</v>
      </c>
      <c r="G656" t="s">
        <v>17</v>
      </c>
      <c r="H656" s="5">
        <v>43831</v>
      </c>
      <c r="I656" s="5">
        <v>44562</v>
      </c>
      <c r="J656">
        <v>14</v>
      </c>
      <c r="K656">
        <v>9</v>
      </c>
      <c r="L656">
        <v>30</v>
      </c>
      <c r="M656">
        <v>70</v>
      </c>
      <c r="N656">
        <v>10000</v>
      </c>
      <c r="W656"/>
    </row>
    <row r="657" spans="2:23" hidden="1">
      <c r="B657" s="13">
        <v>656</v>
      </c>
      <c r="C657" s="13" t="s">
        <v>56</v>
      </c>
      <c r="D657" t="s">
        <v>7</v>
      </c>
      <c r="E657" t="s">
        <v>22</v>
      </c>
      <c r="F657">
        <v>100</v>
      </c>
      <c r="G657" t="s">
        <v>17</v>
      </c>
      <c r="H657" s="5">
        <v>43831</v>
      </c>
      <c r="I657" s="5">
        <v>44562</v>
      </c>
      <c r="J657">
        <v>14</v>
      </c>
      <c r="K657">
        <v>9</v>
      </c>
      <c r="L657">
        <v>30</v>
      </c>
      <c r="M657">
        <v>70</v>
      </c>
      <c r="N657">
        <v>10000</v>
      </c>
      <c r="W657"/>
    </row>
    <row r="658" spans="2:23" hidden="1">
      <c r="B658" s="13">
        <v>657</v>
      </c>
      <c r="C658" s="13" t="s">
        <v>56</v>
      </c>
      <c r="D658" t="s">
        <v>7</v>
      </c>
      <c r="E658" t="s">
        <v>22</v>
      </c>
      <c r="F658">
        <v>200</v>
      </c>
      <c r="G658" t="s">
        <v>17</v>
      </c>
      <c r="H658" s="5">
        <v>43831</v>
      </c>
      <c r="I658" s="5">
        <v>44562</v>
      </c>
      <c r="J658">
        <v>14</v>
      </c>
      <c r="K658">
        <v>9</v>
      </c>
      <c r="L658">
        <v>30</v>
      </c>
      <c r="M658">
        <v>70</v>
      </c>
      <c r="N658">
        <v>10000</v>
      </c>
      <c r="W658"/>
    </row>
    <row r="659" spans="2:23" hidden="1">
      <c r="B659">
        <v>658</v>
      </c>
      <c r="C659" s="13" t="s">
        <v>56</v>
      </c>
      <c r="D659" t="s">
        <v>7</v>
      </c>
      <c r="E659" t="s">
        <v>3</v>
      </c>
      <c r="F659">
        <v>10</v>
      </c>
      <c r="G659" t="s">
        <v>17</v>
      </c>
      <c r="H659" s="5">
        <v>43831</v>
      </c>
      <c r="I659" s="5">
        <v>44562</v>
      </c>
      <c r="J659">
        <v>14</v>
      </c>
      <c r="K659">
        <v>9</v>
      </c>
      <c r="L659">
        <v>32</v>
      </c>
      <c r="M659">
        <v>68</v>
      </c>
      <c r="N659">
        <v>10000</v>
      </c>
    </row>
    <row r="660" spans="2:23" hidden="1">
      <c r="B660">
        <v>659</v>
      </c>
      <c r="C660" s="13" t="s">
        <v>56</v>
      </c>
      <c r="D660" t="s">
        <v>7</v>
      </c>
      <c r="E660" t="s">
        <v>3</v>
      </c>
      <c r="F660">
        <v>100</v>
      </c>
      <c r="G660" t="s">
        <v>17</v>
      </c>
      <c r="H660" s="5">
        <v>43831</v>
      </c>
      <c r="I660" s="5">
        <v>44562</v>
      </c>
      <c r="J660">
        <v>14</v>
      </c>
      <c r="K660">
        <v>9</v>
      </c>
      <c r="L660">
        <v>32</v>
      </c>
      <c r="M660">
        <v>68</v>
      </c>
      <c r="N660">
        <v>10000</v>
      </c>
    </row>
    <row r="661" spans="2:23" hidden="1">
      <c r="B661">
        <v>660</v>
      </c>
      <c r="C661" s="13" t="s">
        <v>56</v>
      </c>
      <c r="D661" t="s">
        <v>7</v>
      </c>
      <c r="E661" t="s">
        <v>3</v>
      </c>
      <c r="F661">
        <v>200</v>
      </c>
      <c r="G661" t="s">
        <v>17</v>
      </c>
      <c r="H661" s="5">
        <v>43831</v>
      </c>
      <c r="I661" s="5">
        <v>44562</v>
      </c>
      <c r="J661">
        <v>14</v>
      </c>
      <c r="K661">
        <v>9</v>
      </c>
      <c r="L661">
        <v>32</v>
      </c>
      <c r="M661">
        <v>68</v>
      </c>
      <c r="N661">
        <v>10000</v>
      </c>
    </row>
    <row r="662" spans="2:23" hidden="1">
      <c r="B662">
        <v>661</v>
      </c>
      <c r="C662" s="13" t="s">
        <v>56</v>
      </c>
      <c r="D662" t="s">
        <v>7</v>
      </c>
      <c r="E662" t="s">
        <v>2</v>
      </c>
      <c r="F662">
        <v>10</v>
      </c>
      <c r="G662" t="s">
        <v>17</v>
      </c>
      <c r="H662" s="5">
        <v>43831</v>
      </c>
      <c r="I662" s="5">
        <v>44562</v>
      </c>
      <c r="J662">
        <v>14</v>
      </c>
      <c r="K662">
        <v>9</v>
      </c>
      <c r="L662">
        <v>32</v>
      </c>
      <c r="M662">
        <v>68</v>
      </c>
      <c r="N662">
        <v>10000</v>
      </c>
    </row>
    <row r="663" spans="2:23" hidden="1">
      <c r="B663">
        <v>662</v>
      </c>
      <c r="C663" s="13" t="s">
        <v>56</v>
      </c>
      <c r="D663" t="s">
        <v>7</v>
      </c>
      <c r="E663" t="s">
        <v>2</v>
      </c>
      <c r="F663">
        <v>100</v>
      </c>
      <c r="G663" t="s">
        <v>17</v>
      </c>
      <c r="H663" s="5">
        <v>43831</v>
      </c>
      <c r="I663" s="5">
        <v>44562</v>
      </c>
      <c r="J663">
        <v>14</v>
      </c>
      <c r="K663">
        <v>9</v>
      </c>
      <c r="L663">
        <v>32</v>
      </c>
      <c r="M663">
        <v>68</v>
      </c>
      <c r="N663">
        <v>10000</v>
      </c>
    </row>
    <row r="664" spans="2:23" hidden="1">
      <c r="B664">
        <v>663</v>
      </c>
      <c r="C664" s="13" t="s">
        <v>56</v>
      </c>
      <c r="D664" t="s">
        <v>7</v>
      </c>
      <c r="E664" t="s">
        <v>2</v>
      </c>
      <c r="F664">
        <v>200</v>
      </c>
      <c r="G664" t="s">
        <v>17</v>
      </c>
      <c r="H664" s="5">
        <v>43831</v>
      </c>
      <c r="I664" s="5">
        <v>44562</v>
      </c>
      <c r="J664">
        <v>14</v>
      </c>
      <c r="K664">
        <v>9</v>
      </c>
      <c r="L664">
        <v>32</v>
      </c>
      <c r="M664">
        <v>68</v>
      </c>
      <c r="N664">
        <v>10000</v>
      </c>
    </row>
    <row r="665" spans="2:23" hidden="1">
      <c r="B665">
        <v>664</v>
      </c>
      <c r="C665" s="13" t="s">
        <v>56</v>
      </c>
      <c r="D665" t="s">
        <v>7</v>
      </c>
      <c r="E665" t="s">
        <v>22</v>
      </c>
      <c r="F665">
        <v>10</v>
      </c>
      <c r="G665" t="s">
        <v>17</v>
      </c>
      <c r="H665" s="5">
        <v>43831</v>
      </c>
      <c r="I665" s="5">
        <v>44562</v>
      </c>
      <c r="J665">
        <v>14</v>
      </c>
      <c r="K665">
        <v>9</v>
      </c>
      <c r="L665">
        <v>32</v>
      </c>
      <c r="M665">
        <v>68</v>
      </c>
      <c r="N665">
        <v>10000</v>
      </c>
    </row>
    <row r="666" spans="2:23" hidden="1">
      <c r="B666">
        <v>665</v>
      </c>
      <c r="C666" s="13" t="s">
        <v>56</v>
      </c>
      <c r="D666" t="s">
        <v>7</v>
      </c>
      <c r="E666" t="s">
        <v>22</v>
      </c>
      <c r="F666">
        <v>100</v>
      </c>
      <c r="G666" t="s">
        <v>17</v>
      </c>
      <c r="H666" s="5">
        <v>43831</v>
      </c>
      <c r="I666" s="5">
        <v>44562</v>
      </c>
      <c r="J666">
        <v>14</v>
      </c>
      <c r="K666">
        <v>9</v>
      </c>
      <c r="L666">
        <v>32</v>
      </c>
      <c r="M666">
        <v>68</v>
      </c>
      <c r="N666">
        <v>10000</v>
      </c>
    </row>
    <row r="667" spans="2:23" hidden="1">
      <c r="B667">
        <v>666</v>
      </c>
      <c r="C667" s="13" t="s">
        <v>56</v>
      </c>
      <c r="D667" t="s">
        <v>7</v>
      </c>
      <c r="E667" t="s">
        <v>22</v>
      </c>
      <c r="F667">
        <v>200</v>
      </c>
      <c r="G667" t="s">
        <v>17</v>
      </c>
      <c r="H667" s="5">
        <v>43831</v>
      </c>
      <c r="I667" s="5">
        <v>44562</v>
      </c>
      <c r="J667">
        <v>14</v>
      </c>
      <c r="K667">
        <v>9</v>
      </c>
      <c r="L667">
        <v>32</v>
      </c>
      <c r="M667">
        <v>68</v>
      </c>
      <c r="N667">
        <v>10000</v>
      </c>
    </row>
    <row r="668" spans="2:23" hidden="1">
      <c r="B668">
        <v>667</v>
      </c>
      <c r="C668" s="13" t="s">
        <v>56</v>
      </c>
      <c r="D668" t="s">
        <v>7</v>
      </c>
      <c r="E668" t="s">
        <v>3</v>
      </c>
      <c r="F668">
        <v>10</v>
      </c>
      <c r="G668" t="s">
        <v>17</v>
      </c>
      <c r="H668" s="5">
        <v>43831</v>
      </c>
      <c r="I668" s="5">
        <v>44562</v>
      </c>
      <c r="J668">
        <v>14</v>
      </c>
      <c r="K668">
        <v>9</v>
      </c>
      <c r="L668">
        <v>28</v>
      </c>
      <c r="M668">
        <v>72</v>
      </c>
      <c r="N668">
        <v>10000</v>
      </c>
    </row>
    <row r="669" spans="2:23" hidden="1">
      <c r="B669">
        <v>668</v>
      </c>
      <c r="C669" s="13" t="s">
        <v>56</v>
      </c>
      <c r="D669" t="s">
        <v>7</v>
      </c>
      <c r="E669" t="s">
        <v>3</v>
      </c>
      <c r="F669">
        <v>100</v>
      </c>
      <c r="G669" t="s">
        <v>17</v>
      </c>
      <c r="H669" s="5">
        <v>43831</v>
      </c>
      <c r="I669" s="5">
        <v>44562</v>
      </c>
      <c r="J669">
        <v>14</v>
      </c>
      <c r="K669">
        <v>9</v>
      </c>
      <c r="L669">
        <v>28</v>
      </c>
      <c r="M669">
        <v>72</v>
      </c>
      <c r="N669">
        <v>10000</v>
      </c>
    </row>
    <row r="670" spans="2:23" hidden="1">
      <c r="B670">
        <v>669</v>
      </c>
      <c r="C670" s="13" t="s">
        <v>56</v>
      </c>
      <c r="D670" t="s">
        <v>7</v>
      </c>
      <c r="E670" t="s">
        <v>3</v>
      </c>
      <c r="F670">
        <v>200</v>
      </c>
      <c r="G670" t="s">
        <v>17</v>
      </c>
      <c r="H670" s="5">
        <v>43831</v>
      </c>
      <c r="I670" s="5">
        <v>44562</v>
      </c>
      <c r="J670">
        <v>14</v>
      </c>
      <c r="K670">
        <v>9</v>
      </c>
      <c r="L670">
        <v>28</v>
      </c>
      <c r="M670">
        <v>72</v>
      </c>
      <c r="N670">
        <v>10000</v>
      </c>
    </row>
    <row r="671" spans="2:23" hidden="1">
      <c r="B671">
        <v>670</v>
      </c>
      <c r="C671" s="13" t="s">
        <v>56</v>
      </c>
      <c r="D671" t="s">
        <v>7</v>
      </c>
      <c r="E671" t="s">
        <v>2</v>
      </c>
      <c r="F671">
        <v>10</v>
      </c>
      <c r="G671" t="s">
        <v>17</v>
      </c>
      <c r="H671" s="5">
        <v>43831</v>
      </c>
      <c r="I671" s="5">
        <v>44562</v>
      </c>
      <c r="J671">
        <v>14</v>
      </c>
      <c r="K671">
        <v>9</v>
      </c>
      <c r="L671">
        <v>28</v>
      </c>
      <c r="M671">
        <v>72</v>
      </c>
      <c r="N671">
        <v>10000</v>
      </c>
    </row>
    <row r="672" spans="2:23" hidden="1">
      <c r="B672">
        <v>671</v>
      </c>
      <c r="C672" s="13" t="s">
        <v>56</v>
      </c>
      <c r="D672" t="s">
        <v>7</v>
      </c>
      <c r="E672" t="s">
        <v>2</v>
      </c>
      <c r="F672">
        <v>100</v>
      </c>
      <c r="G672" t="s">
        <v>17</v>
      </c>
      <c r="H672" s="5">
        <v>43831</v>
      </c>
      <c r="I672" s="5">
        <v>44562</v>
      </c>
      <c r="J672">
        <v>14</v>
      </c>
      <c r="K672">
        <v>9</v>
      </c>
      <c r="L672">
        <v>28</v>
      </c>
      <c r="M672">
        <v>72</v>
      </c>
      <c r="N672">
        <v>10000</v>
      </c>
    </row>
    <row r="673" spans="2:35" hidden="1">
      <c r="B673">
        <v>672</v>
      </c>
      <c r="C673" s="13" t="s">
        <v>56</v>
      </c>
      <c r="D673" t="s">
        <v>7</v>
      </c>
      <c r="E673" t="s">
        <v>2</v>
      </c>
      <c r="F673">
        <v>200</v>
      </c>
      <c r="G673" t="s">
        <v>17</v>
      </c>
      <c r="H673" s="5">
        <v>43831</v>
      </c>
      <c r="I673" s="5">
        <v>44562</v>
      </c>
      <c r="J673">
        <v>14</v>
      </c>
      <c r="K673">
        <v>9</v>
      </c>
      <c r="L673">
        <v>28</v>
      </c>
      <c r="M673">
        <v>72</v>
      </c>
      <c r="N673">
        <v>10000</v>
      </c>
    </row>
    <row r="674" spans="2:35" hidden="1">
      <c r="B674">
        <v>673</v>
      </c>
      <c r="C674" s="13" t="s">
        <v>56</v>
      </c>
      <c r="D674" t="s">
        <v>7</v>
      </c>
      <c r="E674" t="s">
        <v>22</v>
      </c>
      <c r="F674">
        <v>10</v>
      </c>
      <c r="G674" t="s">
        <v>17</v>
      </c>
      <c r="H674" s="5">
        <v>43831</v>
      </c>
      <c r="I674" s="5">
        <v>44562</v>
      </c>
      <c r="J674">
        <v>14</v>
      </c>
      <c r="K674">
        <v>9</v>
      </c>
      <c r="L674">
        <v>28</v>
      </c>
      <c r="M674">
        <v>72</v>
      </c>
      <c r="N674">
        <v>10000</v>
      </c>
    </row>
    <row r="675" spans="2:35" hidden="1">
      <c r="B675">
        <v>674</v>
      </c>
      <c r="C675" s="13" t="s">
        <v>56</v>
      </c>
      <c r="D675" t="s">
        <v>7</v>
      </c>
      <c r="E675" t="s">
        <v>22</v>
      </c>
      <c r="F675">
        <v>100</v>
      </c>
      <c r="G675" t="s">
        <v>17</v>
      </c>
      <c r="H675" s="5">
        <v>43831</v>
      </c>
      <c r="I675" s="5">
        <v>44562</v>
      </c>
      <c r="J675">
        <v>14</v>
      </c>
      <c r="K675">
        <v>9</v>
      </c>
      <c r="L675">
        <v>28</v>
      </c>
      <c r="M675">
        <v>72</v>
      </c>
      <c r="N675">
        <v>10000</v>
      </c>
    </row>
    <row r="676" spans="2:35" hidden="1">
      <c r="B676">
        <v>675</v>
      </c>
      <c r="C676" s="13" t="s">
        <v>56</v>
      </c>
      <c r="D676" t="s">
        <v>7</v>
      </c>
      <c r="E676" t="s">
        <v>22</v>
      </c>
      <c r="F676">
        <v>200</v>
      </c>
      <c r="G676" t="s">
        <v>17</v>
      </c>
      <c r="H676" s="5">
        <v>43831</v>
      </c>
      <c r="I676" s="5">
        <v>44562</v>
      </c>
      <c r="J676">
        <v>14</v>
      </c>
      <c r="K676">
        <v>9</v>
      </c>
      <c r="L676">
        <v>28</v>
      </c>
      <c r="M676">
        <v>72</v>
      </c>
      <c r="N676">
        <v>10000</v>
      </c>
    </row>
    <row r="677" spans="2:35" hidden="1">
      <c r="B677" s="13">
        <v>676</v>
      </c>
      <c r="C677" s="13" t="s">
        <v>56</v>
      </c>
      <c r="D677" t="s">
        <v>19</v>
      </c>
      <c r="E677" t="s">
        <v>3</v>
      </c>
      <c r="F677">
        <v>10</v>
      </c>
      <c r="G677" t="s">
        <v>17</v>
      </c>
      <c r="H677" s="5">
        <v>43831</v>
      </c>
      <c r="I677" s="5">
        <v>44562</v>
      </c>
      <c r="J677">
        <v>14</v>
      </c>
      <c r="K677">
        <v>9</v>
      </c>
      <c r="L677">
        <v>30</v>
      </c>
      <c r="M677">
        <v>70</v>
      </c>
      <c r="N677">
        <v>10000</v>
      </c>
      <c r="P677">
        <v>-6</v>
      </c>
      <c r="Q677" t="e">
        <f>VLOOKUP($B677&amp;Q$1,Data!$A$2:$D$5000,4,FALSE)</f>
        <v>#N/A</v>
      </c>
      <c r="R677" t="e">
        <f>VLOOKUP($B677&amp;R$1,Data!$A$2:$D$5000,4,FALSE)</f>
        <v>#N/A</v>
      </c>
      <c r="S677" t="e">
        <f>VLOOKUP($B677&amp;S$1,Data!$A$2:$D$5000,4,FALSE)</f>
        <v>#N/A</v>
      </c>
      <c r="T677" t="e">
        <f>VLOOKUP($B677&amp;T$1,Data!$A$2:$D$5000,4,FALSE)</f>
        <v>#N/A</v>
      </c>
      <c r="U677" t="e">
        <f>VLOOKUP($B677&amp;U$1,Data!$A$2:$D$5000,4,FALSE)</f>
        <v>#N/A</v>
      </c>
      <c r="V677" t="e">
        <f>VLOOKUP($B677&amp;V$1,Data!$A$2:$D$5000,4,FALSE)</f>
        <v>#N/A</v>
      </c>
      <c r="W677" t="e">
        <f>VLOOKUP($B677&amp;W$1,Data!$A$2:$D$5000,4,FALSE)</f>
        <v>#N/A</v>
      </c>
      <c r="X677" t="e">
        <f>VLOOKUP($B677&amp;X$1,Data!$A$2:$D$5000,4,FALSE)</f>
        <v>#N/A</v>
      </c>
      <c r="Y677" t="e">
        <f>VLOOKUP($B677&amp;Y$1,Data!$A$2:$D$5000,4,FALSE)</f>
        <v>#N/A</v>
      </c>
      <c r="Z677" t="e">
        <f>VLOOKUP($B677&amp;Z$1,Data!$A$2:$D$5000,4,FALSE)</f>
        <v>#N/A</v>
      </c>
      <c r="AA677" t="e">
        <f>VLOOKUP($B677&amp;AA$1,Data!$A$2:$D$5000,4,FALSE)</f>
        <v>#N/A</v>
      </c>
      <c r="AB677" t="e">
        <f>VLOOKUP($B677&amp;AB$1,Data!$A$2:$D$5000,4,FALSE)</f>
        <v>#N/A</v>
      </c>
      <c r="AC677" t="e">
        <f>VLOOKUP($B677&amp;AC$1,Data!$A$2:$D$5000,4,FALSE)</f>
        <v>#N/A</v>
      </c>
      <c r="AD677" t="e">
        <f>VLOOKUP($B677&amp;AD$1,Data!$A$2:$D$5000,4,FALSE)</f>
        <v>#N/A</v>
      </c>
      <c r="AE677" t="e">
        <f>VLOOKUP($B677&amp;AE$1,Data!$A$2:$D$5000,4,FALSE)</f>
        <v>#N/A</v>
      </c>
      <c r="AF677" t="e">
        <f>VLOOKUP($B677&amp;AF$1,Data!$A$2:$D$5000,4,FALSE)</f>
        <v>#N/A</v>
      </c>
      <c r="AG677" t="e">
        <f>VLOOKUP($B677&amp;AG$1,Data!$A$2:$D$5000,4,FALSE)</f>
        <v>#N/A</v>
      </c>
      <c r="AH677" t="e">
        <f>VLOOKUP($B677&amp;AH$1,Data!$A$2:$D$5000,4,FALSE)</f>
        <v>#N/A</v>
      </c>
      <c r="AI677" t="e">
        <f>VLOOKUP($B677&amp;AI$1,Data!$A$2:$D$5000,4,FALSE)</f>
        <v>#N/A</v>
      </c>
    </row>
    <row r="678" spans="2:35" hidden="1">
      <c r="B678" s="13">
        <v>677</v>
      </c>
      <c r="C678" s="13" t="s">
        <v>56</v>
      </c>
      <c r="D678" t="s">
        <v>19</v>
      </c>
      <c r="E678" t="s">
        <v>3</v>
      </c>
      <c r="F678">
        <v>100</v>
      </c>
      <c r="G678" t="s">
        <v>17</v>
      </c>
      <c r="H678" s="5">
        <v>43831</v>
      </c>
      <c r="I678" s="5">
        <v>44562</v>
      </c>
      <c r="J678">
        <v>14</v>
      </c>
      <c r="K678">
        <v>9</v>
      </c>
      <c r="L678">
        <v>30</v>
      </c>
      <c r="M678">
        <v>70</v>
      </c>
      <c r="N678">
        <v>10000</v>
      </c>
      <c r="W678"/>
    </row>
    <row r="679" spans="2:35" hidden="1">
      <c r="B679" s="13">
        <v>678</v>
      </c>
      <c r="C679" s="13" t="s">
        <v>56</v>
      </c>
      <c r="D679" t="s">
        <v>19</v>
      </c>
      <c r="E679" t="s">
        <v>3</v>
      </c>
      <c r="F679">
        <v>200</v>
      </c>
      <c r="G679" t="s">
        <v>17</v>
      </c>
      <c r="H679" s="5">
        <v>43831</v>
      </c>
      <c r="I679" s="5">
        <v>44562</v>
      </c>
      <c r="J679">
        <v>14</v>
      </c>
      <c r="K679">
        <v>9</v>
      </c>
      <c r="L679">
        <v>30</v>
      </c>
      <c r="M679">
        <v>70</v>
      </c>
      <c r="N679">
        <v>10000</v>
      </c>
      <c r="W679"/>
    </row>
    <row r="680" spans="2:35" hidden="1">
      <c r="B680" s="13">
        <v>679</v>
      </c>
      <c r="C680" s="13" t="s">
        <v>56</v>
      </c>
      <c r="D680" t="s">
        <v>19</v>
      </c>
      <c r="E680" t="s">
        <v>2</v>
      </c>
      <c r="F680">
        <v>10</v>
      </c>
      <c r="G680" t="s">
        <v>17</v>
      </c>
      <c r="H680" s="5">
        <v>43831</v>
      </c>
      <c r="I680" s="5">
        <v>44562</v>
      </c>
      <c r="J680">
        <v>14</v>
      </c>
      <c r="K680">
        <v>9</v>
      </c>
      <c r="L680">
        <v>30</v>
      </c>
      <c r="M680">
        <v>70</v>
      </c>
      <c r="N680">
        <v>10000</v>
      </c>
      <c r="W680"/>
    </row>
    <row r="681" spans="2:35" hidden="1">
      <c r="B681" s="13">
        <v>680</v>
      </c>
      <c r="C681" s="13" t="s">
        <v>56</v>
      </c>
      <c r="D681" t="s">
        <v>19</v>
      </c>
      <c r="E681" t="s">
        <v>2</v>
      </c>
      <c r="F681">
        <v>100</v>
      </c>
      <c r="G681" t="s">
        <v>17</v>
      </c>
      <c r="H681" s="5">
        <v>43831</v>
      </c>
      <c r="I681" s="5">
        <v>44562</v>
      </c>
      <c r="J681">
        <v>14</v>
      </c>
      <c r="K681">
        <v>9</v>
      </c>
      <c r="L681">
        <v>30</v>
      </c>
      <c r="M681">
        <v>70</v>
      </c>
      <c r="N681">
        <v>10000</v>
      </c>
      <c r="W681"/>
    </row>
    <row r="682" spans="2:35" hidden="1">
      <c r="B682" s="13">
        <v>681</v>
      </c>
      <c r="C682" s="13" t="s">
        <v>56</v>
      </c>
      <c r="D682" t="s">
        <v>19</v>
      </c>
      <c r="E682" t="s">
        <v>2</v>
      </c>
      <c r="F682">
        <v>200</v>
      </c>
      <c r="G682" t="s">
        <v>17</v>
      </c>
      <c r="H682" s="5">
        <v>43831</v>
      </c>
      <c r="I682" s="5">
        <v>44562</v>
      </c>
      <c r="J682">
        <v>14</v>
      </c>
      <c r="K682">
        <v>9</v>
      </c>
      <c r="L682">
        <v>30</v>
      </c>
      <c r="M682">
        <v>70</v>
      </c>
      <c r="N682">
        <v>10000</v>
      </c>
      <c r="W682"/>
    </row>
    <row r="683" spans="2:35" hidden="1">
      <c r="B683" s="13">
        <v>682</v>
      </c>
      <c r="C683" s="13" t="s">
        <v>56</v>
      </c>
      <c r="D683" t="s">
        <v>19</v>
      </c>
      <c r="E683" t="s">
        <v>22</v>
      </c>
      <c r="F683">
        <v>10</v>
      </c>
      <c r="G683" t="s">
        <v>17</v>
      </c>
      <c r="H683" s="5">
        <v>43831</v>
      </c>
      <c r="I683" s="5">
        <v>44562</v>
      </c>
      <c r="J683">
        <v>14</v>
      </c>
      <c r="K683">
        <v>9</v>
      </c>
      <c r="L683">
        <v>30</v>
      </c>
      <c r="M683">
        <v>70</v>
      </c>
      <c r="N683">
        <v>10000</v>
      </c>
      <c r="W683"/>
    </row>
    <row r="684" spans="2:35" hidden="1">
      <c r="B684" s="13">
        <v>683</v>
      </c>
      <c r="C684" s="13" t="s">
        <v>56</v>
      </c>
      <c r="D684" t="s">
        <v>19</v>
      </c>
      <c r="E684" t="s">
        <v>22</v>
      </c>
      <c r="F684">
        <v>100</v>
      </c>
      <c r="G684" t="s">
        <v>17</v>
      </c>
      <c r="H684" s="5">
        <v>43831</v>
      </c>
      <c r="I684" s="5">
        <v>44562</v>
      </c>
      <c r="J684">
        <v>14</v>
      </c>
      <c r="K684">
        <v>9</v>
      </c>
      <c r="L684">
        <v>30</v>
      </c>
      <c r="M684">
        <v>70</v>
      </c>
      <c r="N684">
        <v>10000</v>
      </c>
      <c r="W684"/>
    </row>
    <row r="685" spans="2:35" hidden="1">
      <c r="B685" s="13">
        <v>684</v>
      </c>
      <c r="C685" s="13" t="s">
        <v>56</v>
      </c>
      <c r="D685" t="s">
        <v>19</v>
      </c>
      <c r="E685" t="s">
        <v>22</v>
      </c>
      <c r="F685">
        <v>200</v>
      </c>
      <c r="G685" t="s">
        <v>17</v>
      </c>
      <c r="H685" s="5">
        <v>43831</v>
      </c>
      <c r="I685" s="5">
        <v>44562</v>
      </c>
      <c r="J685">
        <v>14</v>
      </c>
      <c r="K685">
        <v>9</v>
      </c>
      <c r="L685">
        <v>30</v>
      </c>
      <c r="M685">
        <v>70</v>
      </c>
      <c r="N685">
        <v>10000</v>
      </c>
      <c r="W685"/>
    </row>
    <row r="686" spans="2:35" hidden="1">
      <c r="B686">
        <v>685</v>
      </c>
      <c r="C686" s="13" t="s">
        <v>56</v>
      </c>
      <c r="D686" t="s">
        <v>19</v>
      </c>
      <c r="E686" t="s">
        <v>3</v>
      </c>
      <c r="F686">
        <v>10</v>
      </c>
      <c r="G686" t="s">
        <v>17</v>
      </c>
      <c r="H686" s="5">
        <v>43831</v>
      </c>
      <c r="I686" s="5">
        <v>44562</v>
      </c>
      <c r="J686">
        <v>14</v>
      </c>
      <c r="K686">
        <v>9</v>
      </c>
      <c r="L686">
        <v>32</v>
      </c>
      <c r="M686">
        <v>68</v>
      </c>
      <c r="N686">
        <v>10000</v>
      </c>
    </row>
    <row r="687" spans="2:35" hidden="1">
      <c r="B687">
        <v>686</v>
      </c>
      <c r="C687" s="13" t="s">
        <v>56</v>
      </c>
      <c r="D687" t="s">
        <v>19</v>
      </c>
      <c r="E687" t="s">
        <v>3</v>
      </c>
      <c r="F687">
        <v>100</v>
      </c>
      <c r="G687" t="s">
        <v>17</v>
      </c>
      <c r="H687" s="5">
        <v>43831</v>
      </c>
      <c r="I687" s="5">
        <v>44562</v>
      </c>
      <c r="J687">
        <v>14</v>
      </c>
      <c r="K687">
        <v>9</v>
      </c>
      <c r="L687">
        <v>32</v>
      </c>
      <c r="M687">
        <v>68</v>
      </c>
      <c r="N687">
        <v>10000</v>
      </c>
    </row>
    <row r="688" spans="2:35" hidden="1">
      <c r="B688">
        <v>687</v>
      </c>
      <c r="C688" s="13" t="s">
        <v>56</v>
      </c>
      <c r="D688" t="s">
        <v>19</v>
      </c>
      <c r="E688" t="s">
        <v>3</v>
      </c>
      <c r="F688">
        <v>200</v>
      </c>
      <c r="G688" t="s">
        <v>17</v>
      </c>
      <c r="H688" s="5">
        <v>43831</v>
      </c>
      <c r="I688" s="5">
        <v>44562</v>
      </c>
      <c r="J688">
        <v>14</v>
      </c>
      <c r="K688">
        <v>9</v>
      </c>
      <c r="L688">
        <v>32</v>
      </c>
      <c r="M688">
        <v>68</v>
      </c>
      <c r="N688">
        <v>10000</v>
      </c>
    </row>
    <row r="689" spans="2:23" hidden="1">
      <c r="B689">
        <v>688</v>
      </c>
      <c r="C689" s="13" t="s">
        <v>56</v>
      </c>
      <c r="D689" t="s">
        <v>19</v>
      </c>
      <c r="E689" t="s">
        <v>2</v>
      </c>
      <c r="F689">
        <v>10</v>
      </c>
      <c r="G689" t="s">
        <v>17</v>
      </c>
      <c r="H689" s="5">
        <v>43831</v>
      </c>
      <c r="I689" s="5">
        <v>44562</v>
      </c>
      <c r="J689">
        <v>14</v>
      </c>
      <c r="K689">
        <v>9</v>
      </c>
      <c r="L689">
        <v>32</v>
      </c>
      <c r="M689">
        <v>68</v>
      </c>
      <c r="N689">
        <v>10000</v>
      </c>
    </row>
    <row r="690" spans="2:23" hidden="1">
      <c r="B690">
        <v>689</v>
      </c>
      <c r="C690" s="13" t="s">
        <v>56</v>
      </c>
      <c r="D690" t="s">
        <v>19</v>
      </c>
      <c r="E690" t="s">
        <v>2</v>
      </c>
      <c r="F690">
        <v>100</v>
      </c>
      <c r="G690" t="s">
        <v>17</v>
      </c>
      <c r="H690" s="5">
        <v>43831</v>
      </c>
      <c r="I690" s="5">
        <v>44562</v>
      </c>
      <c r="J690">
        <v>14</v>
      </c>
      <c r="K690">
        <v>9</v>
      </c>
      <c r="L690">
        <v>32</v>
      </c>
      <c r="M690">
        <v>68</v>
      </c>
      <c r="N690">
        <v>10000</v>
      </c>
    </row>
    <row r="691" spans="2:23" hidden="1">
      <c r="B691">
        <v>690</v>
      </c>
      <c r="C691" s="13" t="s">
        <v>56</v>
      </c>
      <c r="D691" t="s">
        <v>19</v>
      </c>
      <c r="E691" t="s">
        <v>2</v>
      </c>
      <c r="F691">
        <v>200</v>
      </c>
      <c r="G691" t="s">
        <v>17</v>
      </c>
      <c r="H691" s="5">
        <v>43831</v>
      </c>
      <c r="I691" s="5">
        <v>44562</v>
      </c>
      <c r="J691">
        <v>14</v>
      </c>
      <c r="K691">
        <v>9</v>
      </c>
      <c r="L691">
        <v>32</v>
      </c>
      <c r="M691">
        <v>68</v>
      </c>
      <c r="N691">
        <v>10000</v>
      </c>
    </row>
    <row r="692" spans="2:23" hidden="1">
      <c r="B692">
        <v>691</v>
      </c>
      <c r="C692" s="13" t="s">
        <v>56</v>
      </c>
      <c r="D692" t="s">
        <v>19</v>
      </c>
      <c r="E692" t="s">
        <v>22</v>
      </c>
      <c r="F692">
        <v>10</v>
      </c>
      <c r="G692" t="s">
        <v>17</v>
      </c>
      <c r="H692" s="5">
        <v>43831</v>
      </c>
      <c r="I692" s="5">
        <v>44562</v>
      </c>
      <c r="J692">
        <v>14</v>
      </c>
      <c r="K692">
        <v>9</v>
      </c>
      <c r="L692">
        <v>32</v>
      </c>
      <c r="M692">
        <v>68</v>
      </c>
      <c r="N692">
        <v>10000</v>
      </c>
    </row>
    <row r="693" spans="2:23" hidden="1">
      <c r="B693">
        <v>692</v>
      </c>
      <c r="C693" s="13" t="s">
        <v>56</v>
      </c>
      <c r="D693" t="s">
        <v>19</v>
      </c>
      <c r="E693" t="s">
        <v>22</v>
      </c>
      <c r="F693">
        <v>100</v>
      </c>
      <c r="G693" t="s">
        <v>17</v>
      </c>
      <c r="H693" s="5">
        <v>43831</v>
      </c>
      <c r="I693" s="5">
        <v>44562</v>
      </c>
      <c r="J693">
        <v>14</v>
      </c>
      <c r="K693">
        <v>9</v>
      </c>
      <c r="L693">
        <v>32</v>
      </c>
      <c r="M693">
        <v>68</v>
      </c>
      <c r="N693">
        <v>10000</v>
      </c>
    </row>
    <row r="694" spans="2:23" hidden="1">
      <c r="B694">
        <v>693</v>
      </c>
      <c r="C694" s="13" t="s">
        <v>56</v>
      </c>
      <c r="D694" t="s">
        <v>19</v>
      </c>
      <c r="E694" t="s">
        <v>22</v>
      </c>
      <c r="F694">
        <v>200</v>
      </c>
      <c r="G694" t="s">
        <v>17</v>
      </c>
      <c r="H694" s="5">
        <v>43831</v>
      </c>
      <c r="I694" s="5">
        <v>44562</v>
      </c>
      <c r="J694">
        <v>14</v>
      </c>
      <c r="K694">
        <v>9</v>
      </c>
      <c r="L694">
        <v>32</v>
      </c>
      <c r="M694">
        <v>68</v>
      </c>
      <c r="N694">
        <v>10000</v>
      </c>
    </row>
    <row r="695" spans="2:23" hidden="1">
      <c r="B695">
        <v>694</v>
      </c>
      <c r="C695" s="13" t="s">
        <v>56</v>
      </c>
      <c r="D695" t="s">
        <v>19</v>
      </c>
      <c r="E695" t="s">
        <v>3</v>
      </c>
      <c r="F695">
        <v>10</v>
      </c>
      <c r="G695" t="s">
        <v>17</v>
      </c>
      <c r="H695" s="5">
        <v>43831</v>
      </c>
      <c r="I695" s="5">
        <v>44562</v>
      </c>
      <c r="J695">
        <v>14</v>
      </c>
      <c r="K695">
        <v>9</v>
      </c>
      <c r="L695">
        <v>28</v>
      </c>
      <c r="M695">
        <v>72</v>
      </c>
      <c r="N695">
        <v>10000</v>
      </c>
    </row>
    <row r="696" spans="2:23" hidden="1">
      <c r="B696">
        <v>695</v>
      </c>
      <c r="C696" s="13" t="s">
        <v>56</v>
      </c>
      <c r="D696" t="s">
        <v>19</v>
      </c>
      <c r="E696" t="s">
        <v>3</v>
      </c>
      <c r="F696">
        <v>100</v>
      </c>
      <c r="G696" t="s">
        <v>17</v>
      </c>
      <c r="H696" s="5">
        <v>43831</v>
      </c>
      <c r="I696" s="5">
        <v>44562</v>
      </c>
      <c r="J696">
        <v>14</v>
      </c>
      <c r="K696">
        <v>9</v>
      </c>
      <c r="L696">
        <v>28</v>
      </c>
      <c r="M696">
        <v>72</v>
      </c>
      <c r="N696">
        <v>10000</v>
      </c>
    </row>
    <row r="697" spans="2:23" hidden="1">
      <c r="B697">
        <v>696</v>
      </c>
      <c r="C697" s="13" t="s">
        <v>56</v>
      </c>
      <c r="D697" t="s">
        <v>19</v>
      </c>
      <c r="E697" t="s">
        <v>3</v>
      </c>
      <c r="F697">
        <v>200</v>
      </c>
      <c r="G697" t="s">
        <v>17</v>
      </c>
      <c r="H697" s="5">
        <v>43831</v>
      </c>
      <c r="I697" s="5">
        <v>44562</v>
      </c>
      <c r="J697">
        <v>14</v>
      </c>
      <c r="K697">
        <v>9</v>
      </c>
      <c r="L697">
        <v>28</v>
      </c>
      <c r="M697">
        <v>72</v>
      </c>
      <c r="N697">
        <v>10000</v>
      </c>
    </row>
    <row r="698" spans="2:23" hidden="1">
      <c r="B698">
        <v>697</v>
      </c>
      <c r="C698" s="13" t="s">
        <v>56</v>
      </c>
      <c r="D698" t="s">
        <v>19</v>
      </c>
      <c r="E698" t="s">
        <v>2</v>
      </c>
      <c r="F698">
        <v>10</v>
      </c>
      <c r="G698" t="s">
        <v>17</v>
      </c>
      <c r="H698" s="5">
        <v>43831</v>
      </c>
      <c r="I698" s="5">
        <v>44562</v>
      </c>
      <c r="J698">
        <v>14</v>
      </c>
      <c r="K698">
        <v>9</v>
      </c>
      <c r="L698">
        <v>28</v>
      </c>
      <c r="M698">
        <v>72</v>
      </c>
      <c r="N698">
        <v>10000</v>
      </c>
    </row>
    <row r="699" spans="2:23" hidden="1">
      <c r="B699">
        <v>698</v>
      </c>
      <c r="C699" s="13" t="s">
        <v>56</v>
      </c>
      <c r="D699" t="s">
        <v>19</v>
      </c>
      <c r="E699" t="s">
        <v>2</v>
      </c>
      <c r="F699">
        <v>100</v>
      </c>
      <c r="G699" t="s">
        <v>17</v>
      </c>
      <c r="H699" s="5">
        <v>43831</v>
      </c>
      <c r="I699" s="5">
        <v>44562</v>
      </c>
      <c r="J699">
        <v>14</v>
      </c>
      <c r="K699">
        <v>9</v>
      </c>
      <c r="L699">
        <v>28</v>
      </c>
      <c r="M699">
        <v>72</v>
      </c>
      <c r="N699">
        <v>10000</v>
      </c>
    </row>
    <row r="700" spans="2:23" hidden="1">
      <c r="B700">
        <v>699</v>
      </c>
      <c r="C700" s="13" t="s">
        <v>56</v>
      </c>
      <c r="D700" t="s">
        <v>19</v>
      </c>
      <c r="E700" t="s">
        <v>2</v>
      </c>
      <c r="F700">
        <v>200</v>
      </c>
      <c r="G700" t="s">
        <v>17</v>
      </c>
      <c r="H700" s="5">
        <v>43831</v>
      </c>
      <c r="I700" s="5">
        <v>44562</v>
      </c>
      <c r="J700">
        <v>14</v>
      </c>
      <c r="K700">
        <v>9</v>
      </c>
      <c r="L700">
        <v>28</v>
      </c>
      <c r="M700">
        <v>72</v>
      </c>
      <c r="N700">
        <v>10000</v>
      </c>
    </row>
    <row r="701" spans="2:23" hidden="1">
      <c r="B701">
        <v>700</v>
      </c>
      <c r="C701" s="13" t="s">
        <v>56</v>
      </c>
      <c r="D701" t="s">
        <v>19</v>
      </c>
      <c r="E701" t="s">
        <v>22</v>
      </c>
      <c r="F701">
        <v>10</v>
      </c>
      <c r="G701" t="s">
        <v>17</v>
      </c>
      <c r="H701" s="5">
        <v>43831</v>
      </c>
      <c r="I701" s="5">
        <v>44562</v>
      </c>
      <c r="J701">
        <v>14</v>
      </c>
      <c r="K701">
        <v>9</v>
      </c>
      <c r="L701">
        <v>28</v>
      </c>
      <c r="M701">
        <v>72</v>
      </c>
      <c r="N701">
        <v>10000</v>
      </c>
    </row>
    <row r="702" spans="2:23" hidden="1">
      <c r="B702">
        <v>701</v>
      </c>
      <c r="C702" s="13" t="s">
        <v>56</v>
      </c>
      <c r="D702" t="s">
        <v>19</v>
      </c>
      <c r="E702" t="s">
        <v>22</v>
      </c>
      <c r="F702">
        <v>100</v>
      </c>
      <c r="G702" t="s">
        <v>17</v>
      </c>
      <c r="H702" s="5">
        <v>43831</v>
      </c>
      <c r="I702" s="5">
        <v>44562</v>
      </c>
      <c r="J702">
        <v>14</v>
      </c>
      <c r="K702">
        <v>9</v>
      </c>
      <c r="L702">
        <v>28</v>
      </c>
      <c r="M702">
        <v>72</v>
      </c>
      <c r="N702">
        <v>10000</v>
      </c>
    </row>
    <row r="703" spans="2:23" hidden="1">
      <c r="B703">
        <v>702</v>
      </c>
      <c r="C703" s="13" t="s">
        <v>56</v>
      </c>
      <c r="D703" t="s">
        <v>19</v>
      </c>
      <c r="E703" t="s">
        <v>22</v>
      </c>
      <c r="F703">
        <v>200</v>
      </c>
      <c r="G703" t="s">
        <v>17</v>
      </c>
      <c r="H703" s="5">
        <v>43831</v>
      </c>
      <c r="I703" s="5">
        <v>44562</v>
      </c>
      <c r="J703">
        <v>14</v>
      </c>
      <c r="K703">
        <v>9</v>
      </c>
      <c r="L703">
        <v>28</v>
      </c>
      <c r="M703">
        <v>72</v>
      </c>
      <c r="N703">
        <v>10000</v>
      </c>
    </row>
    <row r="704" spans="2:23" hidden="1">
      <c r="B704" s="13">
        <v>703</v>
      </c>
      <c r="C704" s="13" t="s">
        <v>56</v>
      </c>
      <c r="D704" t="s">
        <v>20</v>
      </c>
      <c r="E704" t="s">
        <v>3</v>
      </c>
      <c r="F704">
        <v>10</v>
      </c>
      <c r="G704" t="s">
        <v>17</v>
      </c>
      <c r="H704" s="5">
        <v>43831</v>
      </c>
      <c r="I704" s="5">
        <v>44562</v>
      </c>
      <c r="J704">
        <v>14</v>
      </c>
      <c r="K704">
        <v>9</v>
      </c>
      <c r="L704">
        <v>30</v>
      </c>
      <c r="M704">
        <v>70</v>
      </c>
      <c r="N704">
        <v>10000</v>
      </c>
      <c r="W704"/>
    </row>
    <row r="705" spans="2:23" hidden="1">
      <c r="B705" s="13">
        <v>704</v>
      </c>
      <c r="C705" s="13" t="s">
        <v>56</v>
      </c>
      <c r="D705" t="s">
        <v>20</v>
      </c>
      <c r="E705" t="s">
        <v>3</v>
      </c>
      <c r="F705">
        <v>100</v>
      </c>
      <c r="G705" t="s">
        <v>17</v>
      </c>
      <c r="H705" s="5">
        <v>43831</v>
      </c>
      <c r="I705" s="5">
        <v>44562</v>
      </c>
      <c r="J705">
        <v>14</v>
      </c>
      <c r="K705">
        <v>9</v>
      </c>
      <c r="L705">
        <v>30</v>
      </c>
      <c r="M705">
        <v>70</v>
      </c>
      <c r="N705">
        <v>10000</v>
      </c>
      <c r="W705"/>
    </row>
    <row r="706" spans="2:23" hidden="1">
      <c r="B706" s="13">
        <v>705</v>
      </c>
      <c r="C706" s="13" t="s">
        <v>56</v>
      </c>
      <c r="D706" t="s">
        <v>20</v>
      </c>
      <c r="E706" t="s">
        <v>3</v>
      </c>
      <c r="F706">
        <v>200</v>
      </c>
      <c r="G706" t="s">
        <v>17</v>
      </c>
      <c r="H706" s="5">
        <v>43831</v>
      </c>
      <c r="I706" s="5">
        <v>44562</v>
      </c>
      <c r="J706">
        <v>14</v>
      </c>
      <c r="K706">
        <v>9</v>
      </c>
      <c r="L706">
        <v>30</v>
      </c>
      <c r="M706">
        <v>70</v>
      </c>
      <c r="N706">
        <v>10000</v>
      </c>
      <c r="W706"/>
    </row>
    <row r="707" spans="2:23" hidden="1">
      <c r="B707" s="13">
        <v>706</v>
      </c>
      <c r="C707" s="13" t="s">
        <v>56</v>
      </c>
      <c r="D707" t="s">
        <v>20</v>
      </c>
      <c r="E707" t="s">
        <v>2</v>
      </c>
      <c r="F707">
        <v>10</v>
      </c>
      <c r="G707" t="s">
        <v>17</v>
      </c>
      <c r="H707" s="5">
        <v>43831</v>
      </c>
      <c r="I707" s="5">
        <v>44562</v>
      </c>
      <c r="J707">
        <v>14</v>
      </c>
      <c r="K707">
        <v>9</v>
      </c>
      <c r="L707">
        <v>30</v>
      </c>
      <c r="M707">
        <v>70</v>
      </c>
      <c r="N707">
        <v>10000</v>
      </c>
      <c r="W707"/>
    </row>
    <row r="708" spans="2:23" hidden="1">
      <c r="B708" s="13">
        <v>707</v>
      </c>
      <c r="C708" s="13" t="s">
        <v>56</v>
      </c>
      <c r="D708" t="s">
        <v>20</v>
      </c>
      <c r="E708" t="s">
        <v>2</v>
      </c>
      <c r="F708">
        <v>100</v>
      </c>
      <c r="G708" t="s">
        <v>17</v>
      </c>
      <c r="H708" s="5">
        <v>43831</v>
      </c>
      <c r="I708" s="5">
        <v>44562</v>
      </c>
      <c r="J708">
        <v>14</v>
      </c>
      <c r="K708">
        <v>9</v>
      </c>
      <c r="L708">
        <v>30</v>
      </c>
      <c r="M708">
        <v>70</v>
      </c>
      <c r="N708">
        <v>10000</v>
      </c>
      <c r="W708"/>
    </row>
    <row r="709" spans="2:23" hidden="1">
      <c r="B709" s="13">
        <v>708</v>
      </c>
      <c r="C709" s="13" t="s">
        <v>56</v>
      </c>
      <c r="D709" t="s">
        <v>20</v>
      </c>
      <c r="E709" t="s">
        <v>2</v>
      </c>
      <c r="F709">
        <v>200</v>
      </c>
      <c r="G709" t="s">
        <v>17</v>
      </c>
      <c r="H709" s="5">
        <v>43831</v>
      </c>
      <c r="I709" s="5">
        <v>44562</v>
      </c>
      <c r="J709">
        <v>14</v>
      </c>
      <c r="K709">
        <v>9</v>
      </c>
      <c r="L709">
        <v>30</v>
      </c>
      <c r="M709">
        <v>70</v>
      </c>
      <c r="N709">
        <v>10000</v>
      </c>
      <c r="W709"/>
    </row>
    <row r="710" spans="2:23" hidden="1">
      <c r="B710" s="13">
        <v>709</v>
      </c>
      <c r="C710" s="13" t="s">
        <v>56</v>
      </c>
      <c r="D710" t="s">
        <v>20</v>
      </c>
      <c r="E710" t="s">
        <v>22</v>
      </c>
      <c r="F710">
        <v>10</v>
      </c>
      <c r="G710" t="s">
        <v>17</v>
      </c>
      <c r="H710" s="5">
        <v>43831</v>
      </c>
      <c r="I710" s="5">
        <v>44562</v>
      </c>
      <c r="J710">
        <v>14</v>
      </c>
      <c r="K710">
        <v>9</v>
      </c>
      <c r="L710">
        <v>30</v>
      </c>
      <c r="M710">
        <v>70</v>
      </c>
      <c r="N710">
        <v>10000</v>
      </c>
      <c r="W710"/>
    </row>
    <row r="711" spans="2:23" hidden="1">
      <c r="B711" s="20">
        <v>710</v>
      </c>
      <c r="C711" s="13" t="s">
        <v>56</v>
      </c>
      <c r="D711" t="s">
        <v>20</v>
      </c>
      <c r="E711" t="s">
        <v>22</v>
      </c>
      <c r="F711">
        <v>100</v>
      </c>
      <c r="G711" t="s">
        <v>17</v>
      </c>
      <c r="H711" s="5">
        <v>43831</v>
      </c>
      <c r="I711" s="5">
        <v>44562</v>
      </c>
      <c r="J711">
        <v>14</v>
      </c>
      <c r="K711">
        <v>9</v>
      </c>
      <c r="L711">
        <v>30</v>
      </c>
      <c r="M711">
        <v>70</v>
      </c>
      <c r="N711">
        <v>10000</v>
      </c>
      <c r="W711"/>
    </row>
    <row r="712" spans="2:23" hidden="1">
      <c r="B712" s="13">
        <v>711</v>
      </c>
      <c r="C712" s="13" t="s">
        <v>56</v>
      </c>
      <c r="D712" t="s">
        <v>20</v>
      </c>
      <c r="E712" t="s">
        <v>22</v>
      </c>
      <c r="F712">
        <v>200</v>
      </c>
      <c r="G712" t="s">
        <v>17</v>
      </c>
      <c r="H712" s="5">
        <v>43831</v>
      </c>
      <c r="I712" s="5">
        <v>44562</v>
      </c>
      <c r="J712">
        <v>14</v>
      </c>
      <c r="K712">
        <v>9</v>
      </c>
      <c r="L712">
        <v>30</v>
      </c>
      <c r="M712">
        <v>70</v>
      </c>
      <c r="N712">
        <v>10000</v>
      </c>
      <c r="W712"/>
    </row>
    <row r="713" spans="2:23" hidden="1">
      <c r="B713">
        <v>712</v>
      </c>
      <c r="C713" s="13" t="s">
        <v>56</v>
      </c>
      <c r="D713" t="s">
        <v>20</v>
      </c>
      <c r="E713" t="s">
        <v>3</v>
      </c>
      <c r="F713">
        <v>10</v>
      </c>
      <c r="G713" t="s">
        <v>17</v>
      </c>
      <c r="H713" s="5">
        <v>43831</v>
      </c>
      <c r="I713" s="5">
        <v>44562</v>
      </c>
      <c r="J713">
        <v>14</v>
      </c>
      <c r="K713">
        <v>9</v>
      </c>
      <c r="L713">
        <v>32</v>
      </c>
      <c r="M713">
        <v>68</v>
      </c>
      <c r="N713">
        <v>10000</v>
      </c>
    </row>
    <row r="714" spans="2:23" hidden="1">
      <c r="B714">
        <v>713</v>
      </c>
      <c r="C714" s="13" t="s">
        <v>56</v>
      </c>
      <c r="D714" t="s">
        <v>20</v>
      </c>
      <c r="E714" t="s">
        <v>3</v>
      </c>
      <c r="F714">
        <v>100</v>
      </c>
      <c r="G714" t="s">
        <v>17</v>
      </c>
      <c r="H714" s="5">
        <v>43831</v>
      </c>
      <c r="I714" s="5">
        <v>44562</v>
      </c>
      <c r="J714">
        <v>14</v>
      </c>
      <c r="K714">
        <v>9</v>
      </c>
      <c r="L714">
        <v>32</v>
      </c>
      <c r="M714">
        <v>68</v>
      </c>
      <c r="N714">
        <v>10000</v>
      </c>
    </row>
    <row r="715" spans="2:23" hidden="1">
      <c r="B715">
        <v>714</v>
      </c>
      <c r="C715" s="13" t="s">
        <v>56</v>
      </c>
      <c r="D715" t="s">
        <v>20</v>
      </c>
      <c r="E715" t="s">
        <v>3</v>
      </c>
      <c r="F715">
        <v>200</v>
      </c>
      <c r="G715" t="s">
        <v>17</v>
      </c>
      <c r="H715" s="5">
        <v>43831</v>
      </c>
      <c r="I715" s="5">
        <v>44562</v>
      </c>
      <c r="J715">
        <v>14</v>
      </c>
      <c r="K715">
        <v>9</v>
      </c>
      <c r="L715">
        <v>32</v>
      </c>
      <c r="M715">
        <v>68</v>
      </c>
      <c r="N715">
        <v>10000</v>
      </c>
    </row>
    <row r="716" spans="2:23" hidden="1">
      <c r="B716">
        <v>715</v>
      </c>
      <c r="C716" s="13" t="s">
        <v>56</v>
      </c>
      <c r="D716" t="s">
        <v>20</v>
      </c>
      <c r="E716" t="s">
        <v>2</v>
      </c>
      <c r="F716">
        <v>10</v>
      </c>
      <c r="G716" t="s">
        <v>17</v>
      </c>
      <c r="H716" s="5">
        <v>43831</v>
      </c>
      <c r="I716" s="5">
        <v>44562</v>
      </c>
      <c r="J716">
        <v>14</v>
      </c>
      <c r="K716">
        <v>9</v>
      </c>
      <c r="L716">
        <v>32</v>
      </c>
      <c r="M716">
        <v>68</v>
      </c>
      <c r="N716">
        <v>10000</v>
      </c>
    </row>
    <row r="717" spans="2:23" hidden="1">
      <c r="B717">
        <v>716</v>
      </c>
      <c r="C717" s="13" t="s">
        <v>56</v>
      </c>
      <c r="D717" t="s">
        <v>20</v>
      </c>
      <c r="E717" t="s">
        <v>2</v>
      </c>
      <c r="F717">
        <v>100</v>
      </c>
      <c r="G717" t="s">
        <v>17</v>
      </c>
      <c r="H717" s="5">
        <v>43831</v>
      </c>
      <c r="I717" s="5">
        <v>44562</v>
      </c>
      <c r="J717">
        <v>14</v>
      </c>
      <c r="K717">
        <v>9</v>
      </c>
      <c r="L717">
        <v>32</v>
      </c>
      <c r="M717">
        <v>68</v>
      </c>
      <c r="N717">
        <v>10000</v>
      </c>
    </row>
    <row r="718" spans="2:23" hidden="1">
      <c r="B718">
        <v>717</v>
      </c>
      <c r="C718" s="13" t="s">
        <v>56</v>
      </c>
      <c r="D718" t="s">
        <v>20</v>
      </c>
      <c r="E718" t="s">
        <v>2</v>
      </c>
      <c r="F718">
        <v>200</v>
      </c>
      <c r="G718" t="s">
        <v>17</v>
      </c>
      <c r="H718" s="5">
        <v>43831</v>
      </c>
      <c r="I718" s="5">
        <v>44562</v>
      </c>
      <c r="J718">
        <v>14</v>
      </c>
      <c r="K718">
        <v>9</v>
      </c>
      <c r="L718">
        <v>32</v>
      </c>
      <c r="M718">
        <v>68</v>
      </c>
      <c r="N718">
        <v>10000</v>
      </c>
    </row>
    <row r="719" spans="2:23" hidden="1">
      <c r="B719">
        <v>718</v>
      </c>
      <c r="C719" s="13" t="s">
        <v>56</v>
      </c>
      <c r="D719" t="s">
        <v>20</v>
      </c>
      <c r="E719" t="s">
        <v>22</v>
      </c>
      <c r="F719">
        <v>10</v>
      </c>
      <c r="G719" t="s">
        <v>17</v>
      </c>
      <c r="H719" s="5">
        <v>43831</v>
      </c>
      <c r="I719" s="5">
        <v>44562</v>
      </c>
      <c r="J719">
        <v>14</v>
      </c>
      <c r="K719">
        <v>9</v>
      </c>
      <c r="L719">
        <v>32</v>
      </c>
      <c r="M719">
        <v>68</v>
      </c>
      <c r="N719">
        <v>10000</v>
      </c>
    </row>
    <row r="720" spans="2:23" hidden="1">
      <c r="B720">
        <v>719</v>
      </c>
      <c r="C720" s="13" t="s">
        <v>56</v>
      </c>
      <c r="D720" t="s">
        <v>20</v>
      </c>
      <c r="E720" t="s">
        <v>22</v>
      </c>
      <c r="F720">
        <v>100</v>
      </c>
      <c r="G720" t="s">
        <v>17</v>
      </c>
      <c r="H720" s="5">
        <v>43831</v>
      </c>
      <c r="I720" s="5">
        <v>44562</v>
      </c>
      <c r="J720">
        <v>14</v>
      </c>
      <c r="K720">
        <v>9</v>
      </c>
      <c r="L720">
        <v>32</v>
      </c>
      <c r="M720">
        <v>68</v>
      </c>
      <c r="N720">
        <v>10000</v>
      </c>
    </row>
    <row r="721" spans="2:23" hidden="1">
      <c r="B721">
        <v>720</v>
      </c>
      <c r="C721" s="13" t="s">
        <v>56</v>
      </c>
      <c r="D721" t="s">
        <v>20</v>
      </c>
      <c r="E721" t="s">
        <v>22</v>
      </c>
      <c r="F721">
        <v>200</v>
      </c>
      <c r="G721" t="s">
        <v>17</v>
      </c>
      <c r="H721" s="5">
        <v>43831</v>
      </c>
      <c r="I721" s="5">
        <v>44562</v>
      </c>
      <c r="J721">
        <v>14</v>
      </c>
      <c r="K721">
        <v>9</v>
      </c>
      <c r="L721">
        <v>32</v>
      </c>
      <c r="M721">
        <v>68</v>
      </c>
      <c r="N721">
        <v>10000</v>
      </c>
    </row>
    <row r="722" spans="2:23" hidden="1">
      <c r="B722">
        <v>721</v>
      </c>
      <c r="C722" s="13" t="s">
        <v>56</v>
      </c>
      <c r="D722" t="s">
        <v>20</v>
      </c>
      <c r="E722" t="s">
        <v>3</v>
      </c>
      <c r="F722">
        <v>10</v>
      </c>
      <c r="G722" t="s">
        <v>17</v>
      </c>
      <c r="H722" s="5">
        <v>43831</v>
      </c>
      <c r="I722" s="5">
        <v>44562</v>
      </c>
      <c r="J722">
        <v>14</v>
      </c>
      <c r="K722">
        <v>9</v>
      </c>
      <c r="L722">
        <v>28</v>
      </c>
      <c r="M722">
        <v>72</v>
      </c>
      <c r="N722">
        <v>10000</v>
      </c>
    </row>
    <row r="723" spans="2:23" hidden="1">
      <c r="B723">
        <v>722</v>
      </c>
      <c r="C723" s="13" t="s">
        <v>56</v>
      </c>
      <c r="D723" t="s">
        <v>20</v>
      </c>
      <c r="E723" t="s">
        <v>3</v>
      </c>
      <c r="F723">
        <v>100</v>
      </c>
      <c r="G723" t="s">
        <v>17</v>
      </c>
      <c r="H723" s="5">
        <v>43831</v>
      </c>
      <c r="I723" s="5">
        <v>44562</v>
      </c>
      <c r="J723">
        <v>14</v>
      </c>
      <c r="K723">
        <v>9</v>
      </c>
      <c r="L723">
        <v>28</v>
      </c>
      <c r="M723">
        <v>72</v>
      </c>
      <c r="N723">
        <v>10000</v>
      </c>
    </row>
    <row r="724" spans="2:23" hidden="1">
      <c r="B724">
        <v>723</v>
      </c>
      <c r="C724" s="13" t="s">
        <v>56</v>
      </c>
      <c r="D724" t="s">
        <v>20</v>
      </c>
      <c r="E724" t="s">
        <v>3</v>
      </c>
      <c r="F724">
        <v>200</v>
      </c>
      <c r="G724" t="s">
        <v>17</v>
      </c>
      <c r="H724" s="5">
        <v>43831</v>
      </c>
      <c r="I724" s="5">
        <v>44562</v>
      </c>
      <c r="J724">
        <v>14</v>
      </c>
      <c r="K724">
        <v>9</v>
      </c>
      <c r="L724">
        <v>28</v>
      </c>
      <c r="M724">
        <v>72</v>
      </c>
      <c r="N724">
        <v>10000</v>
      </c>
    </row>
    <row r="725" spans="2:23" hidden="1">
      <c r="B725">
        <v>724</v>
      </c>
      <c r="C725" s="13" t="s">
        <v>56</v>
      </c>
      <c r="D725" t="s">
        <v>20</v>
      </c>
      <c r="E725" t="s">
        <v>2</v>
      </c>
      <c r="F725">
        <v>10</v>
      </c>
      <c r="G725" t="s">
        <v>17</v>
      </c>
      <c r="H725" s="5">
        <v>43831</v>
      </c>
      <c r="I725" s="5">
        <v>44562</v>
      </c>
      <c r="J725">
        <v>14</v>
      </c>
      <c r="K725">
        <v>9</v>
      </c>
      <c r="L725">
        <v>28</v>
      </c>
      <c r="M725">
        <v>72</v>
      </c>
      <c r="N725">
        <v>10000</v>
      </c>
    </row>
    <row r="726" spans="2:23" hidden="1">
      <c r="B726">
        <v>725</v>
      </c>
      <c r="C726" s="13" t="s">
        <v>56</v>
      </c>
      <c r="D726" t="s">
        <v>20</v>
      </c>
      <c r="E726" t="s">
        <v>2</v>
      </c>
      <c r="F726">
        <v>100</v>
      </c>
      <c r="G726" t="s">
        <v>17</v>
      </c>
      <c r="H726" s="5">
        <v>43831</v>
      </c>
      <c r="I726" s="5">
        <v>44562</v>
      </c>
      <c r="J726">
        <v>14</v>
      </c>
      <c r="K726">
        <v>9</v>
      </c>
      <c r="L726">
        <v>28</v>
      </c>
      <c r="M726">
        <v>72</v>
      </c>
      <c r="N726">
        <v>10000</v>
      </c>
    </row>
    <row r="727" spans="2:23" hidden="1">
      <c r="B727">
        <v>726</v>
      </c>
      <c r="C727" s="13" t="s">
        <v>56</v>
      </c>
      <c r="D727" t="s">
        <v>20</v>
      </c>
      <c r="E727" t="s">
        <v>2</v>
      </c>
      <c r="F727">
        <v>200</v>
      </c>
      <c r="G727" t="s">
        <v>17</v>
      </c>
      <c r="H727" s="5">
        <v>43831</v>
      </c>
      <c r="I727" s="5">
        <v>44562</v>
      </c>
      <c r="J727">
        <v>14</v>
      </c>
      <c r="K727">
        <v>9</v>
      </c>
      <c r="L727">
        <v>28</v>
      </c>
      <c r="M727">
        <v>72</v>
      </c>
      <c r="N727">
        <v>10000</v>
      </c>
    </row>
    <row r="728" spans="2:23" hidden="1">
      <c r="B728">
        <v>727</v>
      </c>
      <c r="C728" s="13" t="s">
        <v>56</v>
      </c>
      <c r="D728" t="s">
        <v>20</v>
      </c>
      <c r="E728" t="s">
        <v>22</v>
      </c>
      <c r="F728">
        <v>10</v>
      </c>
      <c r="G728" t="s">
        <v>17</v>
      </c>
      <c r="H728" s="5">
        <v>43831</v>
      </c>
      <c r="I728" s="5">
        <v>44562</v>
      </c>
      <c r="J728">
        <v>14</v>
      </c>
      <c r="K728">
        <v>9</v>
      </c>
      <c r="L728">
        <v>28</v>
      </c>
      <c r="M728">
        <v>72</v>
      </c>
      <c r="N728">
        <v>10000</v>
      </c>
    </row>
    <row r="729" spans="2:23" hidden="1">
      <c r="B729">
        <v>728</v>
      </c>
      <c r="C729" s="13" t="s">
        <v>56</v>
      </c>
      <c r="D729" t="s">
        <v>20</v>
      </c>
      <c r="E729" t="s">
        <v>22</v>
      </c>
      <c r="F729">
        <v>100</v>
      </c>
      <c r="G729" t="s">
        <v>17</v>
      </c>
      <c r="H729" s="5">
        <v>43831</v>
      </c>
      <c r="I729" s="5">
        <v>44562</v>
      </c>
      <c r="J729">
        <v>14</v>
      </c>
      <c r="K729">
        <v>9</v>
      </c>
      <c r="L729">
        <v>28</v>
      </c>
      <c r="M729">
        <v>72</v>
      </c>
      <c r="N729">
        <v>10000</v>
      </c>
    </row>
    <row r="730" spans="2:23" hidden="1">
      <c r="B730">
        <v>729</v>
      </c>
      <c r="C730" s="13" t="s">
        <v>56</v>
      </c>
      <c r="D730" t="s">
        <v>20</v>
      </c>
      <c r="E730" t="s">
        <v>22</v>
      </c>
      <c r="F730">
        <v>200</v>
      </c>
      <c r="G730" t="s">
        <v>17</v>
      </c>
      <c r="H730" s="5">
        <v>43831</v>
      </c>
      <c r="I730" s="5">
        <v>44562</v>
      </c>
      <c r="J730">
        <v>14</v>
      </c>
      <c r="K730">
        <v>9</v>
      </c>
      <c r="L730">
        <v>28</v>
      </c>
      <c r="M730">
        <v>72</v>
      </c>
      <c r="N730">
        <v>10000</v>
      </c>
    </row>
    <row r="731" spans="2:23" hidden="1">
      <c r="B731" s="13">
        <v>730</v>
      </c>
      <c r="C731" s="13" t="s">
        <v>56</v>
      </c>
      <c r="D731" t="s">
        <v>21</v>
      </c>
      <c r="E731" t="s">
        <v>3</v>
      </c>
      <c r="F731">
        <v>10</v>
      </c>
      <c r="G731" t="s">
        <v>17</v>
      </c>
      <c r="H731" s="5">
        <v>43831</v>
      </c>
      <c r="I731" s="5">
        <v>44562</v>
      </c>
      <c r="J731">
        <v>14</v>
      </c>
      <c r="K731">
        <v>9</v>
      </c>
      <c r="L731">
        <v>30</v>
      </c>
      <c r="M731">
        <v>70</v>
      </c>
      <c r="N731">
        <v>10000</v>
      </c>
      <c r="W731"/>
    </row>
    <row r="732" spans="2:23" hidden="1">
      <c r="B732" s="13">
        <v>731</v>
      </c>
      <c r="C732" s="13" t="s">
        <v>56</v>
      </c>
      <c r="D732" t="s">
        <v>21</v>
      </c>
      <c r="E732" t="s">
        <v>3</v>
      </c>
      <c r="F732">
        <v>100</v>
      </c>
      <c r="G732" t="s">
        <v>17</v>
      </c>
      <c r="H732" s="5">
        <v>43831</v>
      </c>
      <c r="I732" s="5">
        <v>44562</v>
      </c>
      <c r="J732">
        <v>14</v>
      </c>
      <c r="K732">
        <v>9</v>
      </c>
      <c r="L732">
        <v>30</v>
      </c>
      <c r="M732">
        <v>70</v>
      </c>
      <c r="N732">
        <v>10000</v>
      </c>
      <c r="W732"/>
    </row>
    <row r="733" spans="2:23" hidden="1">
      <c r="B733" s="13">
        <v>732</v>
      </c>
      <c r="C733" s="13" t="s">
        <v>56</v>
      </c>
      <c r="D733" t="s">
        <v>21</v>
      </c>
      <c r="E733" t="s">
        <v>3</v>
      </c>
      <c r="F733">
        <v>200</v>
      </c>
      <c r="G733" t="s">
        <v>17</v>
      </c>
      <c r="H733" s="5">
        <v>43831</v>
      </c>
      <c r="I733" s="5">
        <v>44562</v>
      </c>
      <c r="J733">
        <v>14</v>
      </c>
      <c r="K733">
        <v>9</v>
      </c>
      <c r="L733">
        <v>30</v>
      </c>
      <c r="M733">
        <v>70</v>
      </c>
      <c r="N733">
        <v>10000</v>
      </c>
      <c r="W733"/>
    </row>
    <row r="734" spans="2:23" hidden="1">
      <c r="B734">
        <v>733</v>
      </c>
      <c r="C734" s="13" t="s">
        <v>56</v>
      </c>
      <c r="D734" t="s">
        <v>21</v>
      </c>
      <c r="E734" t="s">
        <v>2</v>
      </c>
      <c r="F734">
        <v>10</v>
      </c>
      <c r="G734" t="s">
        <v>17</v>
      </c>
      <c r="H734" s="5">
        <v>43831</v>
      </c>
      <c r="I734" s="5">
        <v>44562</v>
      </c>
      <c r="J734">
        <v>14</v>
      </c>
      <c r="K734">
        <v>9</v>
      </c>
      <c r="L734">
        <v>30</v>
      </c>
      <c r="M734">
        <v>70</v>
      </c>
      <c r="N734">
        <v>10000</v>
      </c>
      <c r="W734"/>
    </row>
    <row r="735" spans="2:23" hidden="1">
      <c r="B735">
        <v>734</v>
      </c>
      <c r="C735" s="13" t="s">
        <v>56</v>
      </c>
      <c r="D735" t="s">
        <v>21</v>
      </c>
      <c r="E735" t="s">
        <v>2</v>
      </c>
      <c r="F735">
        <v>100</v>
      </c>
      <c r="G735" t="s">
        <v>17</v>
      </c>
      <c r="H735" s="5">
        <v>43831</v>
      </c>
      <c r="I735" s="5">
        <v>44562</v>
      </c>
      <c r="J735">
        <v>14</v>
      </c>
      <c r="K735">
        <v>9</v>
      </c>
      <c r="L735">
        <v>30</v>
      </c>
      <c r="M735">
        <v>70</v>
      </c>
      <c r="N735">
        <v>10000</v>
      </c>
      <c r="W735"/>
    </row>
    <row r="736" spans="2:23" hidden="1">
      <c r="B736">
        <v>735</v>
      </c>
      <c r="C736" s="13" t="s">
        <v>56</v>
      </c>
      <c r="D736" t="s">
        <v>21</v>
      </c>
      <c r="E736" t="s">
        <v>2</v>
      </c>
      <c r="F736">
        <v>200</v>
      </c>
      <c r="G736" t="s">
        <v>17</v>
      </c>
      <c r="H736" s="5">
        <v>43831</v>
      </c>
      <c r="I736" s="5">
        <v>44562</v>
      </c>
      <c r="J736">
        <v>14</v>
      </c>
      <c r="K736">
        <v>9</v>
      </c>
      <c r="L736">
        <v>30</v>
      </c>
      <c r="M736">
        <v>70</v>
      </c>
      <c r="N736">
        <v>10000</v>
      </c>
      <c r="W736"/>
    </row>
    <row r="737" spans="2:23" hidden="1">
      <c r="B737">
        <v>736</v>
      </c>
      <c r="C737" s="13" t="s">
        <v>56</v>
      </c>
      <c r="D737" t="s">
        <v>21</v>
      </c>
      <c r="E737" t="s">
        <v>22</v>
      </c>
      <c r="F737">
        <v>10</v>
      </c>
      <c r="G737" t="s">
        <v>17</v>
      </c>
      <c r="H737" s="5">
        <v>43831</v>
      </c>
      <c r="I737" s="5">
        <v>44562</v>
      </c>
      <c r="J737">
        <v>14</v>
      </c>
      <c r="K737">
        <v>9</v>
      </c>
      <c r="L737">
        <v>30</v>
      </c>
      <c r="M737">
        <v>70</v>
      </c>
      <c r="N737">
        <v>10000</v>
      </c>
      <c r="W737"/>
    </row>
    <row r="738" spans="2:23" hidden="1">
      <c r="B738">
        <v>737</v>
      </c>
      <c r="C738" s="13" t="s">
        <v>56</v>
      </c>
      <c r="D738" t="s">
        <v>21</v>
      </c>
      <c r="E738" t="s">
        <v>22</v>
      </c>
      <c r="F738">
        <v>100</v>
      </c>
      <c r="G738" t="s">
        <v>17</v>
      </c>
      <c r="H738" s="5">
        <v>43831</v>
      </c>
      <c r="I738" s="5">
        <v>44562</v>
      </c>
      <c r="J738">
        <v>14</v>
      </c>
      <c r="K738">
        <v>9</v>
      </c>
      <c r="L738">
        <v>30</v>
      </c>
      <c r="M738">
        <v>70</v>
      </c>
      <c r="N738">
        <v>10000</v>
      </c>
      <c r="W738"/>
    </row>
    <row r="739" spans="2:23" hidden="1">
      <c r="B739">
        <v>738</v>
      </c>
      <c r="C739" s="13" t="s">
        <v>56</v>
      </c>
      <c r="D739" t="s">
        <v>21</v>
      </c>
      <c r="E739" t="s">
        <v>22</v>
      </c>
      <c r="F739">
        <v>200</v>
      </c>
      <c r="G739" t="s">
        <v>17</v>
      </c>
      <c r="H739" s="5">
        <v>43831</v>
      </c>
      <c r="I739" s="5">
        <v>44562</v>
      </c>
      <c r="J739">
        <v>14</v>
      </c>
      <c r="K739">
        <v>9</v>
      </c>
      <c r="L739">
        <v>30</v>
      </c>
      <c r="M739">
        <v>70</v>
      </c>
      <c r="N739">
        <v>10000</v>
      </c>
      <c r="W739"/>
    </row>
    <row r="740" spans="2:23" hidden="1">
      <c r="B740">
        <v>739</v>
      </c>
      <c r="C740" s="13" t="s">
        <v>56</v>
      </c>
      <c r="D740" t="s">
        <v>21</v>
      </c>
      <c r="E740" t="s">
        <v>3</v>
      </c>
      <c r="F740">
        <v>10</v>
      </c>
      <c r="G740" t="s">
        <v>17</v>
      </c>
      <c r="H740" s="5">
        <v>43831</v>
      </c>
      <c r="I740" s="5">
        <v>44562</v>
      </c>
      <c r="J740">
        <v>14</v>
      </c>
      <c r="K740">
        <v>9</v>
      </c>
      <c r="L740">
        <v>32</v>
      </c>
      <c r="M740">
        <v>68</v>
      </c>
      <c r="N740">
        <v>10000</v>
      </c>
      <c r="W740"/>
    </row>
    <row r="741" spans="2:23" hidden="1">
      <c r="B741">
        <v>740</v>
      </c>
      <c r="C741" s="13" t="s">
        <v>56</v>
      </c>
      <c r="D741" t="s">
        <v>21</v>
      </c>
      <c r="E741" t="s">
        <v>3</v>
      </c>
      <c r="F741">
        <v>100</v>
      </c>
      <c r="G741" t="s">
        <v>17</v>
      </c>
      <c r="H741" s="5">
        <v>43831</v>
      </c>
      <c r="I741" s="5">
        <v>44562</v>
      </c>
      <c r="J741">
        <v>14</v>
      </c>
      <c r="K741">
        <v>9</v>
      </c>
      <c r="L741">
        <v>32</v>
      </c>
      <c r="M741">
        <v>68</v>
      </c>
      <c r="N741">
        <v>10000</v>
      </c>
      <c r="W741"/>
    </row>
    <row r="742" spans="2:23" hidden="1">
      <c r="B742">
        <v>741</v>
      </c>
      <c r="C742" s="13" t="s">
        <v>56</v>
      </c>
      <c r="D742" t="s">
        <v>21</v>
      </c>
      <c r="E742" t="s">
        <v>3</v>
      </c>
      <c r="F742">
        <v>200</v>
      </c>
      <c r="G742" t="s">
        <v>17</v>
      </c>
      <c r="H742" s="5">
        <v>43831</v>
      </c>
      <c r="I742" s="5">
        <v>44562</v>
      </c>
      <c r="J742">
        <v>14</v>
      </c>
      <c r="K742">
        <v>9</v>
      </c>
      <c r="L742">
        <v>32</v>
      </c>
      <c r="M742">
        <v>68</v>
      </c>
      <c r="N742">
        <v>10000</v>
      </c>
      <c r="W742"/>
    </row>
    <row r="743" spans="2:23" hidden="1">
      <c r="B743">
        <v>742</v>
      </c>
      <c r="C743" s="13" t="s">
        <v>56</v>
      </c>
      <c r="D743" t="s">
        <v>21</v>
      </c>
      <c r="E743" t="s">
        <v>2</v>
      </c>
      <c r="F743">
        <v>10</v>
      </c>
      <c r="G743" t="s">
        <v>17</v>
      </c>
      <c r="H743" s="5">
        <v>43831</v>
      </c>
      <c r="I743" s="5">
        <v>44562</v>
      </c>
      <c r="J743">
        <v>14</v>
      </c>
      <c r="K743">
        <v>9</v>
      </c>
      <c r="L743">
        <v>32</v>
      </c>
      <c r="M743">
        <v>68</v>
      </c>
      <c r="N743">
        <v>10000</v>
      </c>
      <c r="W743"/>
    </row>
    <row r="744" spans="2:23" hidden="1">
      <c r="B744">
        <v>743</v>
      </c>
      <c r="C744" s="13" t="s">
        <v>56</v>
      </c>
      <c r="D744" t="s">
        <v>21</v>
      </c>
      <c r="E744" t="s">
        <v>2</v>
      </c>
      <c r="F744">
        <v>100</v>
      </c>
      <c r="G744" t="s">
        <v>17</v>
      </c>
      <c r="H744" s="5">
        <v>43831</v>
      </c>
      <c r="I744" s="5">
        <v>44562</v>
      </c>
      <c r="J744">
        <v>14</v>
      </c>
      <c r="K744">
        <v>9</v>
      </c>
      <c r="L744">
        <v>32</v>
      </c>
      <c r="M744">
        <v>68</v>
      </c>
      <c r="N744">
        <v>10000</v>
      </c>
      <c r="W744"/>
    </row>
    <row r="745" spans="2:23" hidden="1">
      <c r="B745">
        <v>744</v>
      </c>
      <c r="C745" s="13" t="s">
        <v>56</v>
      </c>
      <c r="D745" t="s">
        <v>21</v>
      </c>
      <c r="E745" t="s">
        <v>2</v>
      </c>
      <c r="F745">
        <v>200</v>
      </c>
      <c r="G745" t="s">
        <v>17</v>
      </c>
      <c r="H745" s="5">
        <v>43831</v>
      </c>
      <c r="I745" s="5">
        <v>44562</v>
      </c>
      <c r="J745">
        <v>14</v>
      </c>
      <c r="K745">
        <v>9</v>
      </c>
      <c r="L745">
        <v>32</v>
      </c>
      <c r="M745">
        <v>68</v>
      </c>
      <c r="N745">
        <v>10000</v>
      </c>
      <c r="W745"/>
    </row>
    <row r="746" spans="2:23" hidden="1">
      <c r="B746">
        <v>745</v>
      </c>
      <c r="C746" s="13" t="s">
        <v>56</v>
      </c>
      <c r="D746" t="s">
        <v>21</v>
      </c>
      <c r="E746" t="s">
        <v>22</v>
      </c>
      <c r="F746">
        <v>10</v>
      </c>
      <c r="G746" t="s">
        <v>17</v>
      </c>
      <c r="H746" s="5">
        <v>43831</v>
      </c>
      <c r="I746" s="5">
        <v>44562</v>
      </c>
      <c r="J746">
        <v>14</v>
      </c>
      <c r="K746">
        <v>9</v>
      </c>
      <c r="L746">
        <v>32</v>
      </c>
      <c r="M746">
        <v>68</v>
      </c>
      <c r="N746">
        <v>10000</v>
      </c>
      <c r="W746"/>
    </row>
    <row r="747" spans="2:23" hidden="1">
      <c r="B747">
        <v>746</v>
      </c>
      <c r="C747" s="13" t="s">
        <v>56</v>
      </c>
      <c r="D747" t="s">
        <v>21</v>
      </c>
      <c r="E747" t="s">
        <v>22</v>
      </c>
      <c r="F747">
        <v>100</v>
      </c>
      <c r="G747" t="s">
        <v>17</v>
      </c>
      <c r="H747" s="5">
        <v>43831</v>
      </c>
      <c r="I747" s="5">
        <v>44562</v>
      </c>
      <c r="J747">
        <v>14</v>
      </c>
      <c r="K747">
        <v>9</v>
      </c>
      <c r="L747">
        <v>32</v>
      </c>
      <c r="M747">
        <v>68</v>
      </c>
      <c r="N747">
        <v>10000</v>
      </c>
      <c r="W747"/>
    </row>
    <row r="748" spans="2:23" hidden="1">
      <c r="B748">
        <v>747</v>
      </c>
      <c r="C748" s="13" t="s">
        <v>56</v>
      </c>
      <c r="D748" t="s">
        <v>21</v>
      </c>
      <c r="E748" t="s">
        <v>22</v>
      </c>
      <c r="F748">
        <v>200</v>
      </c>
      <c r="G748" t="s">
        <v>17</v>
      </c>
      <c r="H748" s="5">
        <v>43831</v>
      </c>
      <c r="I748" s="5">
        <v>44562</v>
      </c>
      <c r="J748">
        <v>14</v>
      </c>
      <c r="K748">
        <v>9</v>
      </c>
      <c r="L748">
        <v>32</v>
      </c>
      <c r="M748">
        <v>68</v>
      </c>
      <c r="N748">
        <v>10000</v>
      </c>
      <c r="W748"/>
    </row>
    <row r="749" spans="2:23" hidden="1">
      <c r="B749">
        <v>748</v>
      </c>
      <c r="C749" s="13" t="s">
        <v>56</v>
      </c>
      <c r="D749" t="s">
        <v>21</v>
      </c>
      <c r="E749" t="s">
        <v>3</v>
      </c>
      <c r="F749">
        <v>10</v>
      </c>
      <c r="G749" t="s">
        <v>17</v>
      </c>
      <c r="H749" s="5">
        <v>43831</v>
      </c>
      <c r="I749" s="5">
        <v>44562</v>
      </c>
      <c r="J749">
        <v>14</v>
      </c>
      <c r="K749">
        <v>9</v>
      </c>
      <c r="L749">
        <v>28</v>
      </c>
      <c r="M749">
        <v>72</v>
      </c>
      <c r="N749">
        <v>10000</v>
      </c>
      <c r="W749"/>
    </row>
    <row r="750" spans="2:23" hidden="1">
      <c r="B750">
        <v>749</v>
      </c>
      <c r="C750" s="13" t="s">
        <v>56</v>
      </c>
      <c r="D750" t="s">
        <v>21</v>
      </c>
      <c r="E750" t="s">
        <v>3</v>
      </c>
      <c r="F750">
        <v>100</v>
      </c>
      <c r="G750" t="s">
        <v>17</v>
      </c>
      <c r="H750" s="5">
        <v>43831</v>
      </c>
      <c r="I750" s="5">
        <v>44562</v>
      </c>
      <c r="J750">
        <v>14</v>
      </c>
      <c r="K750">
        <v>9</v>
      </c>
      <c r="L750">
        <v>28</v>
      </c>
      <c r="M750">
        <v>72</v>
      </c>
      <c r="N750">
        <v>10000</v>
      </c>
      <c r="W750"/>
    </row>
    <row r="751" spans="2:23" hidden="1">
      <c r="B751">
        <v>750</v>
      </c>
      <c r="C751" s="13" t="s">
        <v>56</v>
      </c>
      <c r="D751" t="s">
        <v>21</v>
      </c>
      <c r="E751" t="s">
        <v>3</v>
      </c>
      <c r="F751">
        <v>200</v>
      </c>
      <c r="G751" t="s">
        <v>17</v>
      </c>
      <c r="H751" s="5">
        <v>43831</v>
      </c>
      <c r="I751" s="5">
        <v>44562</v>
      </c>
      <c r="J751">
        <v>14</v>
      </c>
      <c r="K751">
        <v>9</v>
      </c>
      <c r="L751">
        <v>28</v>
      </c>
      <c r="M751">
        <v>72</v>
      </c>
      <c r="N751">
        <v>10000</v>
      </c>
      <c r="W751"/>
    </row>
    <row r="752" spans="2:23" hidden="1">
      <c r="B752">
        <v>751</v>
      </c>
      <c r="C752" s="13" t="s">
        <v>56</v>
      </c>
      <c r="D752" t="s">
        <v>21</v>
      </c>
      <c r="E752" t="s">
        <v>2</v>
      </c>
      <c r="F752">
        <v>10</v>
      </c>
      <c r="G752" t="s">
        <v>17</v>
      </c>
      <c r="H752" s="5">
        <v>43831</v>
      </c>
      <c r="I752" s="5">
        <v>44562</v>
      </c>
      <c r="J752">
        <v>14</v>
      </c>
      <c r="K752">
        <v>9</v>
      </c>
      <c r="L752">
        <v>28</v>
      </c>
      <c r="M752">
        <v>72</v>
      </c>
      <c r="N752">
        <v>10000</v>
      </c>
      <c r="W752"/>
    </row>
    <row r="753" spans="2:35" hidden="1">
      <c r="B753">
        <v>752</v>
      </c>
      <c r="C753" s="13" t="s">
        <v>56</v>
      </c>
      <c r="D753" t="s">
        <v>21</v>
      </c>
      <c r="E753" t="s">
        <v>2</v>
      </c>
      <c r="F753">
        <v>100</v>
      </c>
      <c r="G753" t="s">
        <v>17</v>
      </c>
      <c r="H753" s="5">
        <v>43831</v>
      </c>
      <c r="I753" s="5">
        <v>44562</v>
      </c>
      <c r="J753">
        <v>14</v>
      </c>
      <c r="K753">
        <v>9</v>
      </c>
      <c r="L753">
        <v>28</v>
      </c>
      <c r="M753">
        <v>72</v>
      </c>
      <c r="N753">
        <v>10000</v>
      </c>
      <c r="W753"/>
    </row>
    <row r="754" spans="2:35" hidden="1">
      <c r="B754">
        <v>753</v>
      </c>
      <c r="C754" s="13" t="s">
        <v>56</v>
      </c>
      <c r="D754" t="s">
        <v>21</v>
      </c>
      <c r="E754" t="s">
        <v>2</v>
      </c>
      <c r="F754">
        <v>200</v>
      </c>
      <c r="G754" t="s">
        <v>17</v>
      </c>
      <c r="H754" s="5">
        <v>43831</v>
      </c>
      <c r="I754" s="5">
        <v>44562</v>
      </c>
      <c r="J754">
        <v>14</v>
      </c>
      <c r="K754">
        <v>9</v>
      </c>
      <c r="L754">
        <v>28</v>
      </c>
      <c r="M754">
        <v>72</v>
      </c>
      <c r="N754">
        <v>10000</v>
      </c>
      <c r="W754"/>
    </row>
    <row r="755" spans="2:35" hidden="1">
      <c r="B755">
        <v>754</v>
      </c>
      <c r="C755" s="13" t="s">
        <v>56</v>
      </c>
      <c r="D755" t="s">
        <v>21</v>
      </c>
      <c r="E755" t="s">
        <v>22</v>
      </c>
      <c r="F755">
        <v>10</v>
      </c>
      <c r="G755" t="s">
        <v>17</v>
      </c>
      <c r="H755" s="5">
        <v>43831</v>
      </c>
      <c r="I755" s="5">
        <v>44562</v>
      </c>
      <c r="J755">
        <v>14</v>
      </c>
      <c r="K755">
        <v>9</v>
      </c>
      <c r="L755">
        <v>28</v>
      </c>
      <c r="M755">
        <v>72</v>
      </c>
      <c r="N755">
        <v>10000</v>
      </c>
      <c r="W755"/>
    </row>
    <row r="756" spans="2:35" hidden="1">
      <c r="B756">
        <v>755</v>
      </c>
      <c r="C756" s="13" t="s">
        <v>56</v>
      </c>
      <c r="D756" t="s">
        <v>21</v>
      </c>
      <c r="E756" t="s">
        <v>22</v>
      </c>
      <c r="F756">
        <v>100</v>
      </c>
      <c r="G756" t="s">
        <v>17</v>
      </c>
      <c r="H756" s="5">
        <v>43831</v>
      </c>
      <c r="I756" s="5">
        <v>44562</v>
      </c>
      <c r="J756">
        <v>14</v>
      </c>
      <c r="K756">
        <v>9</v>
      </c>
      <c r="L756">
        <v>28</v>
      </c>
      <c r="M756">
        <v>72</v>
      </c>
      <c r="N756">
        <v>10000</v>
      </c>
      <c r="W756"/>
    </row>
    <row r="757" spans="2:35" hidden="1">
      <c r="B757">
        <v>756</v>
      </c>
      <c r="C757" s="13" t="s">
        <v>56</v>
      </c>
      <c r="D757" t="s">
        <v>21</v>
      </c>
      <c r="E757" t="s">
        <v>22</v>
      </c>
      <c r="F757">
        <v>200</v>
      </c>
      <c r="G757" t="s">
        <v>17</v>
      </c>
      <c r="H757" s="5">
        <v>43831</v>
      </c>
      <c r="I757" s="5">
        <v>44562</v>
      </c>
      <c r="J757">
        <v>14</v>
      </c>
      <c r="K757">
        <v>9</v>
      </c>
      <c r="L757">
        <v>28</v>
      </c>
      <c r="M757">
        <v>72</v>
      </c>
      <c r="N757">
        <v>10000</v>
      </c>
      <c r="W757"/>
    </row>
    <row r="758" spans="2:35" s="1" customFormat="1" hidden="1">
      <c r="B758" s="23">
        <v>757</v>
      </c>
      <c r="C758" s="1" t="s">
        <v>58</v>
      </c>
      <c r="D758" s="1" t="s">
        <v>0</v>
      </c>
      <c r="E758" s="1" t="s">
        <v>3</v>
      </c>
      <c r="F758" s="1">
        <v>100</v>
      </c>
      <c r="G758" s="1" t="s">
        <v>17</v>
      </c>
      <c r="H758" s="22">
        <v>43831</v>
      </c>
      <c r="I758" s="22">
        <v>44562</v>
      </c>
      <c r="J758" s="1">
        <v>14</v>
      </c>
      <c r="K758" s="1">
        <v>9</v>
      </c>
      <c r="L758" s="1">
        <v>30</v>
      </c>
      <c r="M758" s="1">
        <v>70</v>
      </c>
      <c r="N758" s="1">
        <v>1000000</v>
      </c>
      <c r="O758">
        <f>VLOOKUP($B758&amp;O$1,Data!$A$2:$D$8000,4,FALSE)</f>
        <v>5.5829999999999998E-2</v>
      </c>
      <c r="P758">
        <f>VLOOKUP($B758&amp;P$1,Data!$A$2:$D$8000,4,FALSE)</f>
        <v>-0.61</v>
      </c>
      <c r="Q758">
        <f>VLOOKUP($B758&amp;Q$1,Data!$A$2:$D$8000,4,FALSE)</f>
        <v>1026</v>
      </c>
      <c r="R758">
        <f>VLOOKUP($B758&amp;R$1,Data!$A$2:$D$8000,4,FALSE)</f>
        <v>2.0000000000000001E-4</v>
      </c>
      <c r="S758">
        <f>VLOOKUP($B758&amp;S$1,Data!$A$2:$D$8000,4,FALSE)</f>
        <v>-4.0000000000000002E-4</v>
      </c>
      <c r="T758">
        <f>VLOOKUP($B758&amp;T$1,Data!$A$2:$D$8000,4,FALSE)</f>
        <v>-5.7499999999999999E-3</v>
      </c>
      <c r="U758">
        <f>VLOOKUP($B758&amp;U$1,Data!$A$2:$D$8000,4,FALSE)</f>
        <v>1.0999999999999999E-2</v>
      </c>
      <c r="V758">
        <f>VLOOKUP($B758&amp;V$1,Data!$A$2:$D$8000,4,FALSE)</f>
        <v>-8.1000000000000003E-2</v>
      </c>
      <c r="W758">
        <f>VLOOKUP($B758&amp;W$1,Data!$A$2:$D$8000,4,FALSE)</f>
        <v>-3.81E-3</v>
      </c>
      <c r="X758">
        <f>VLOOKUP($B758&amp;X$1,Data!$A$2:$D$8000,4,FALSE)</f>
        <v>0.39</v>
      </c>
      <c r="Y758">
        <f>VLOOKUP($B758&amp;Y$1,Data!$A$2:$D$8000,4,FALSE)</f>
        <v>0.61</v>
      </c>
      <c r="Z758">
        <f>VLOOKUP($B758&amp;Z$1,Data!$A$2:$D$8000,4,FALSE)</f>
        <v>0.5</v>
      </c>
      <c r="AA758">
        <f>VLOOKUP($B758&amp;AA$1,Data!$A$2:$D$8000,4,FALSE)</f>
        <v>-4.0000000000000001E-3</v>
      </c>
      <c r="AB758">
        <f>VLOOKUP($B758&amp;AB$1,Data!$A$2:$D$8000,4,FALSE)</f>
        <v>-8.0000000000000002E-3</v>
      </c>
      <c r="AC758">
        <f>VLOOKUP($B758&amp;AC$1,Data!$A$2:$D$8000,4,FALSE)</f>
        <v>7.0000000000000001E-3</v>
      </c>
      <c r="AD758">
        <f>VLOOKUP($B758&amp;AD$1,Data!$A$2:$D$8000,4,FALSE)</f>
        <v>0</v>
      </c>
      <c r="AE758">
        <f>VLOOKUP($B758&amp;AE$1,Data!$A$2:$D$8000,4,FALSE)</f>
        <v>-0.81299999999999994</v>
      </c>
      <c r="AF758">
        <f>VLOOKUP($B758&amp;AF$1,Data!$A$2:$D$8000,4,FALSE)</f>
        <v>6.8000000000000005E-2</v>
      </c>
      <c r="AG758">
        <f>VLOOKUP($B758&amp;AG$1,Data!$A$2:$D$8000,4,FALSE)</f>
        <v>0.48699999999999999</v>
      </c>
      <c r="AH758">
        <f>VLOOKUP($B758&amp;AH$1,Data!$A$2:$D$8000,4,FALSE)</f>
        <v>0</v>
      </c>
      <c r="AI758">
        <f>VLOOKUP($B758&amp;AI$1,Data!$A$2:$D$8000,4,FALSE)</f>
        <v>15000000</v>
      </c>
    </row>
    <row r="759" spans="2:35" hidden="1">
      <c r="B759" s="23">
        <v>758</v>
      </c>
      <c r="C759" s="13" t="s">
        <v>58</v>
      </c>
      <c r="D759" t="s">
        <v>0</v>
      </c>
      <c r="E759" t="s">
        <v>3</v>
      </c>
      <c r="F759">
        <v>1000</v>
      </c>
      <c r="G759" t="s">
        <v>17</v>
      </c>
      <c r="H759" s="5">
        <v>43831</v>
      </c>
      <c r="I759" s="5">
        <v>44562</v>
      </c>
      <c r="J759">
        <v>14</v>
      </c>
      <c r="K759">
        <v>9</v>
      </c>
      <c r="L759">
        <v>30</v>
      </c>
      <c r="M759">
        <v>70</v>
      </c>
      <c r="N759">
        <v>1000000</v>
      </c>
      <c r="O759">
        <f>VLOOKUP($B759&amp;O$1,Data!$A$2:$D$8000,4,FALSE)</f>
        <v>6.1190000000000001E-2</v>
      </c>
      <c r="P759">
        <f>VLOOKUP($B759&amp;P$1,Data!$A$2:$D$8000,4,FALSE)</f>
        <v>-0.56299999999999994</v>
      </c>
      <c r="Q759">
        <f>VLOOKUP($B759&amp;Q$1,Data!$A$2:$D$8000,4,FALSE)</f>
        <v>805</v>
      </c>
      <c r="R759">
        <f>VLOOKUP($B759&amp;R$1,Data!$A$2:$D$8000,4,FALSE)</f>
        <v>5.9999999999999995E-4</v>
      </c>
      <c r="S759">
        <f>VLOOKUP($B759&amp;S$1,Data!$A$2:$D$8000,4,FALSE)</f>
        <v>-1.1999999999999999E-3</v>
      </c>
      <c r="T759">
        <f>VLOOKUP($B759&amp;T$1,Data!$A$2:$D$8000,4,FALSE)</f>
        <v>-1.5959999999999998E-2</v>
      </c>
      <c r="U759">
        <f>VLOOKUP($B759&amp;U$1,Data!$A$2:$D$8000,4,FALSE)</f>
        <v>3.5999999999999997E-2</v>
      </c>
      <c r="V759">
        <f>VLOOKUP($B759&amp;V$1,Data!$A$2:$D$8000,4,FALSE)</f>
        <v>-6.8000000000000005E-2</v>
      </c>
      <c r="W759">
        <f>VLOOKUP($B759&amp;W$1,Data!$A$2:$D$8000,4,FALSE)</f>
        <v>-1.061E-2</v>
      </c>
      <c r="X759">
        <f>VLOOKUP($B759&amp;X$1,Data!$A$2:$D$8000,4,FALSE)</f>
        <v>0.38</v>
      </c>
      <c r="Y759">
        <f>VLOOKUP($B759&amp;Y$1,Data!$A$2:$D$8000,4,FALSE)</f>
        <v>0.62</v>
      </c>
      <c r="Z759">
        <f>VLOOKUP($B759&amp;Z$1,Data!$A$2:$D$8000,4,FALSE)</f>
        <v>0.5</v>
      </c>
      <c r="AA759">
        <f>VLOOKUP($B759&amp;AA$1,Data!$A$2:$D$8000,4,FALSE)</f>
        <v>-1.0999999999999999E-2</v>
      </c>
      <c r="AB759">
        <f>VLOOKUP($B759&amp;AB$1,Data!$A$2:$D$8000,4,FALSE)</f>
        <v>0</v>
      </c>
      <c r="AC759">
        <f>VLOOKUP($B759&amp;AC$1,Data!$A$2:$D$8000,4,FALSE)</f>
        <v>1.9E-2</v>
      </c>
      <c r="AD759">
        <f>VLOOKUP($B759&amp;AD$1,Data!$A$2:$D$8000,4,FALSE)</f>
        <v>0</v>
      </c>
      <c r="AE759">
        <f>VLOOKUP($B759&amp;AE$1,Data!$A$2:$D$8000,4,FALSE)</f>
        <v>-0.89</v>
      </c>
      <c r="AF759">
        <f>VLOOKUP($B759&amp;AF$1,Data!$A$2:$D$8000,4,FALSE)</f>
        <v>7.0000000000000007E-2</v>
      </c>
      <c r="AG759">
        <f>VLOOKUP($B759&amp;AG$1,Data!$A$2:$D$8000,4,FALSE)</f>
        <v>-31.282</v>
      </c>
      <c r="AH759">
        <f>VLOOKUP($B759&amp;AH$1,Data!$A$2:$D$8000,4,FALSE)</f>
        <v>0</v>
      </c>
      <c r="AI759">
        <f>VLOOKUP($B759&amp;AI$1,Data!$A$2:$D$8000,4,FALSE)</f>
        <v>6100000</v>
      </c>
    </row>
    <row r="760" spans="2:35" hidden="1">
      <c r="B760" s="23">
        <v>759</v>
      </c>
      <c r="C760" s="13" t="s">
        <v>58</v>
      </c>
      <c r="D760" t="s">
        <v>0</v>
      </c>
      <c r="E760" t="s">
        <v>3</v>
      </c>
      <c r="F760">
        <v>5000</v>
      </c>
      <c r="G760" t="s">
        <v>17</v>
      </c>
      <c r="H760" s="5">
        <v>43831</v>
      </c>
      <c r="I760" s="5">
        <v>44562</v>
      </c>
      <c r="J760">
        <v>14</v>
      </c>
      <c r="K760">
        <v>9</v>
      </c>
      <c r="L760">
        <v>30</v>
      </c>
      <c r="M760">
        <v>70</v>
      </c>
      <c r="N760">
        <v>1000000</v>
      </c>
      <c r="O760">
        <f>VLOOKUP($B760&amp;O$1,Data!$A$2:$D$8000,4,FALSE)</f>
        <v>2.2040000000000001E-2</v>
      </c>
      <c r="P760">
        <f>VLOOKUP($B760&amp;P$1,Data!$A$2:$D$8000,4,FALSE)</f>
        <v>-1.046</v>
      </c>
      <c r="Q760">
        <f>VLOOKUP($B760&amp;Q$1,Data!$A$2:$D$8000,4,FALSE)</f>
        <v>613</v>
      </c>
      <c r="R760">
        <f>VLOOKUP($B760&amp;R$1,Data!$A$2:$D$8000,4,FALSE)</f>
        <v>8.9999999999999998E-4</v>
      </c>
      <c r="S760">
        <f>VLOOKUP($B760&amp;S$1,Data!$A$2:$D$8000,4,FALSE)</f>
        <v>-1.6999999999999999E-3</v>
      </c>
      <c r="T760">
        <f>VLOOKUP($B760&amp;T$1,Data!$A$2:$D$8000,4,FALSE)</f>
        <v>-3.601E-2</v>
      </c>
      <c r="U760">
        <f>VLOOKUP($B760&amp;U$1,Data!$A$2:$D$8000,4,FALSE)</f>
        <v>5.0999999999999997E-2</v>
      </c>
      <c r="V760">
        <f>VLOOKUP($B760&amp;V$1,Data!$A$2:$D$8000,4,FALSE)</f>
        <v>-0.126</v>
      </c>
      <c r="W760">
        <f>VLOOKUP($B760&amp;W$1,Data!$A$2:$D$8000,4,FALSE)</f>
        <v>-2.402E-2</v>
      </c>
      <c r="X760">
        <f>VLOOKUP($B760&amp;X$1,Data!$A$2:$D$8000,4,FALSE)</f>
        <v>0.42</v>
      </c>
      <c r="Y760">
        <f>VLOOKUP($B760&amp;Y$1,Data!$A$2:$D$8000,4,FALSE)</f>
        <v>0.57999999999999996</v>
      </c>
      <c r="Z760">
        <f>VLOOKUP($B760&amp;Z$1,Data!$A$2:$D$8000,4,FALSE)</f>
        <v>0.5</v>
      </c>
      <c r="AA760">
        <f>VLOOKUP($B760&amp;AA$1,Data!$A$2:$D$8000,4,FALSE)</f>
        <v>-2.5000000000000001E-2</v>
      </c>
      <c r="AB760">
        <f>VLOOKUP($B760&amp;AB$1,Data!$A$2:$D$8000,4,FALSE)</f>
        <v>-2E-3</v>
      </c>
      <c r="AC760">
        <f>VLOOKUP($B760&amp;AC$1,Data!$A$2:$D$8000,4,FALSE)</f>
        <v>2.4E-2</v>
      </c>
      <c r="AD760">
        <f>VLOOKUP($B760&amp;AD$1,Data!$A$2:$D$8000,4,FALSE)</f>
        <v>1E-3</v>
      </c>
      <c r="AE760">
        <f>VLOOKUP($B760&amp;AE$1,Data!$A$2:$D$8000,4,FALSE)</f>
        <v>-1.0660000000000001</v>
      </c>
      <c r="AF760">
        <f>VLOOKUP($B760&amp;AF$1,Data!$A$2:$D$8000,4,FALSE)</f>
        <v>7.1999999999999995E-2</v>
      </c>
      <c r="AG760">
        <f>VLOOKUP($B760&amp;AG$1,Data!$A$2:$D$8000,4,FALSE)</f>
        <v>12.055999999999999</v>
      </c>
      <c r="AH760">
        <f>VLOOKUP($B760&amp;AH$1,Data!$A$2:$D$8000,4,FALSE)</f>
        <v>0</v>
      </c>
      <c r="AI760">
        <f>VLOOKUP($B760&amp;AI$1,Data!$A$2:$D$8000,4,FALSE)</f>
        <v>8600000</v>
      </c>
    </row>
    <row r="761" spans="2:35" hidden="1">
      <c r="B761" s="23">
        <v>760</v>
      </c>
      <c r="C761" s="13" t="s">
        <v>58</v>
      </c>
      <c r="D761" t="s">
        <v>0</v>
      </c>
      <c r="E761" t="s">
        <v>2</v>
      </c>
      <c r="F761">
        <v>100</v>
      </c>
      <c r="G761" t="s">
        <v>17</v>
      </c>
      <c r="H761" s="5">
        <v>43831</v>
      </c>
      <c r="I761" s="5">
        <v>44562</v>
      </c>
      <c r="J761">
        <v>14</v>
      </c>
      <c r="K761">
        <v>9</v>
      </c>
      <c r="L761">
        <v>30</v>
      </c>
      <c r="M761">
        <v>70</v>
      </c>
      <c r="N761">
        <v>1000000</v>
      </c>
      <c r="O761">
        <f>VLOOKUP($B761&amp;O$1,Data!$A$2:$D$8000,4,FALSE)</f>
        <v>2.0000000000000002E-5</v>
      </c>
      <c r="P761">
        <f>VLOOKUP($B761&amp;P$1,Data!$A$2:$D$8000,4,FALSE)</f>
        <v>-2.1240000000000001</v>
      </c>
      <c r="Q761">
        <f>VLOOKUP($B761&amp;Q$1,Data!$A$2:$D$8000,4,FALSE)</f>
        <v>1141</v>
      </c>
      <c r="R761">
        <f>VLOOKUP($B761&amp;R$1,Data!$A$2:$D$8000,4,FALSE)</f>
        <v>1E-4</v>
      </c>
      <c r="S761">
        <f>VLOOKUP($B761&amp;S$1,Data!$A$2:$D$8000,4,FALSE)</f>
        <v>-4.0000000000000002E-4</v>
      </c>
      <c r="T761">
        <f>VLOOKUP($B761&amp;T$1,Data!$A$2:$D$8000,4,FALSE)</f>
        <v>-2.034E-2</v>
      </c>
      <c r="U761">
        <f>VLOOKUP($B761&amp;U$1,Data!$A$2:$D$8000,4,FALSE)</f>
        <v>1.4E-2</v>
      </c>
      <c r="V761">
        <f>VLOOKUP($B761&amp;V$1,Data!$A$2:$D$8000,4,FALSE)</f>
        <v>-0.26500000000000001</v>
      </c>
      <c r="W761">
        <f>VLOOKUP($B761&amp;W$1,Data!$A$2:$D$8000,4,FALSE)</f>
        <v>-1.353E-2</v>
      </c>
      <c r="X761">
        <f>VLOOKUP($B761&amp;X$1,Data!$A$2:$D$8000,4,FALSE)</f>
        <v>0.4</v>
      </c>
      <c r="Y761">
        <f>VLOOKUP($B761&amp;Y$1,Data!$A$2:$D$8000,4,FALSE)</f>
        <v>0.6</v>
      </c>
      <c r="Z761">
        <f>VLOOKUP($B761&amp;Z$1,Data!$A$2:$D$8000,4,FALSE)</f>
        <v>0.23</v>
      </c>
      <c r="AA761">
        <f>VLOOKUP($B761&amp;AA$1,Data!$A$2:$D$8000,4,FALSE)</f>
        <v>-1.4E-2</v>
      </c>
      <c r="AB761">
        <f>VLOOKUP($B761&amp;AB$1,Data!$A$2:$D$8000,4,FALSE)</f>
        <v>4.0000000000000001E-3</v>
      </c>
      <c r="AC761">
        <f>VLOOKUP($B761&amp;AC$1,Data!$A$2:$D$8000,4,FALSE)</f>
        <v>7.0000000000000001E-3</v>
      </c>
      <c r="AD761">
        <f>VLOOKUP($B761&amp;AD$1,Data!$A$2:$D$8000,4,FALSE)</f>
        <v>0</v>
      </c>
      <c r="AE761">
        <f>VLOOKUP($B761&amp;AE$1,Data!$A$2:$D$8000,4,FALSE)</f>
        <v>-0.97199999999999998</v>
      </c>
      <c r="AF761">
        <f>VLOOKUP($B761&amp;AF$1,Data!$A$2:$D$8000,4,FALSE)</f>
        <v>6.7000000000000004E-2</v>
      </c>
      <c r="AG761">
        <f>VLOOKUP($B761&amp;AG$1,Data!$A$2:$D$8000,4,FALSE)</f>
        <v>-3.8559999999999999</v>
      </c>
      <c r="AH761">
        <f>VLOOKUP($B761&amp;AH$1,Data!$A$2:$D$8000,4,FALSE)</f>
        <v>0</v>
      </c>
      <c r="AI761">
        <f>VLOOKUP($B761&amp;AI$1,Data!$A$2:$D$8000,4,FALSE)</f>
        <v>6400000</v>
      </c>
    </row>
    <row r="762" spans="2:35" hidden="1">
      <c r="B762" s="23">
        <v>761</v>
      </c>
      <c r="C762" s="13" t="s">
        <v>58</v>
      </c>
      <c r="D762" t="s">
        <v>0</v>
      </c>
      <c r="E762" t="s">
        <v>2</v>
      </c>
      <c r="F762">
        <v>1000</v>
      </c>
      <c r="G762" t="s">
        <v>17</v>
      </c>
      <c r="H762" s="5">
        <v>43831</v>
      </c>
      <c r="I762" s="5">
        <v>44562</v>
      </c>
      <c r="J762">
        <v>14</v>
      </c>
      <c r="K762">
        <v>9</v>
      </c>
      <c r="L762">
        <v>30</v>
      </c>
      <c r="M762">
        <v>70</v>
      </c>
      <c r="N762">
        <v>1000000</v>
      </c>
      <c r="O762">
        <f>VLOOKUP($B762&amp;O$1,Data!$A$2:$D$8000,4,FALSE)</f>
        <v>1.2999999999999999E-4</v>
      </c>
      <c r="P762">
        <f>VLOOKUP($B762&amp;P$1,Data!$A$2:$D$8000,4,FALSE)</f>
        <v>-2.1230000000000002</v>
      </c>
      <c r="Q762">
        <f>VLOOKUP($B762&amp;Q$1,Data!$A$2:$D$8000,4,FALSE)</f>
        <v>892</v>
      </c>
      <c r="R762">
        <f>VLOOKUP($B762&amp;R$1,Data!$A$2:$D$8000,4,FALSE)</f>
        <v>2.9999999999999997E-4</v>
      </c>
      <c r="S762">
        <f>VLOOKUP($B762&amp;S$1,Data!$A$2:$D$8000,4,FALSE)</f>
        <v>-1.1999999999999999E-3</v>
      </c>
      <c r="T762">
        <f>VLOOKUP($B762&amp;T$1,Data!$A$2:$D$8000,4,FALSE)</f>
        <v>-6.0019999999999997E-2</v>
      </c>
      <c r="U762">
        <f>VLOOKUP($B762&amp;U$1,Data!$A$2:$D$8000,4,FALSE)</f>
        <v>4.2000000000000003E-2</v>
      </c>
      <c r="V762">
        <f>VLOOKUP($B762&amp;V$1,Data!$A$2:$D$8000,4,FALSE)</f>
        <v>-0.251</v>
      </c>
      <c r="W762">
        <f>VLOOKUP($B762&amp;W$1,Data!$A$2:$D$8000,4,FALSE)</f>
        <v>-4.02E-2</v>
      </c>
      <c r="X762">
        <f>VLOOKUP($B762&amp;X$1,Data!$A$2:$D$8000,4,FALSE)</f>
        <v>0.4</v>
      </c>
      <c r="Y762">
        <f>VLOOKUP($B762&amp;Y$1,Data!$A$2:$D$8000,4,FALSE)</f>
        <v>0.6</v>
      </c>
      <c r="Z762">
        <f>VLOOKUP($B762&amp;Z$1,Data!$A$2:$D$8000,4,FALSE)</f>
        <v>0.25</v>
      </c>
      <c r="AA762">
        <f>VLOOKUP($B762&amp;AA$1,Data!$A$2:$D$8000,4,FALSE)</f>
        <v>-4.2000000000000003E-2</v>
      </c>
      <c r="AB762">
        <f>VLOOKUP($B762&amp;AB$1,Data!$A$2:$D$8000,4,FALSE)</f>
        <v>-5.0000000000000001E-3</v>
      </c>
      <c r="AC762">
        <f>VLOOKUP($B762&amp;AC$1,Data!$A$2:$D$8000,4,FALSE)</f>
        <v>0.02</v>
      </c>
      <c r="AD762">
        <f>VLOOKUP($B762&amp;AD$1,Data!$A$2:$D$8000,4,FALSE)</f>
        <v>0</v>
      </c>
      <c r="AE762">
        <f>VLOOKUP($B762&amp;AE$1,Data!$A$2:$D$8000,4,FALSE)</f>
        <v>-1.323</v>
      </c>
      <c r="AF762">
        <f>VLOOKUP($B762&amp;AF$1,Data!$A$2:$D$8000,4,FALSE)</f>
        <v>7.0999999999999994E-2</v>
      </c>
      <c r="AG762">
        <f>VLOOKUP($B762&amp;AG$1,Data!$A$2:$D$8000,4,FALSE)</f>
        <v>8.3770000000000007</v>
      </c>
      <c r="AH762">
        <f>VLOOKUP($B762&amp;AH$1,Data!$A$2:$D$8000,4,FALSE)</f>
        <v>0</v>
      </c>
      <c r="AI762">
        <f>VLOOKUP($B762&amp;AI$1,Data!$A$2:$D$8000,4,FALSE)</f>
        <v>8200000</v>
      </c>
    </row>
    <row r="763" spans="2:35" hidden="1">
      <c r="B763" s="23">
        <v>762</v>
      </c>
      <c r="C763" s="13" t="s">
        <v>58</v>
      </c>
      <c r="D763" t="s">
        <v>0</v>
      </c>
      <c r="E763" t="s">
        <v>2</v>
      </c>
      <c r="F763">
        <v>5000</v>
      </c>
      <c r="G763" t="s">
        <v>17</v>
      </c>
      <c r="H763" s="5">
        <v>43831</v>
      </c>
      <c r="I763" s="5">
        <v>44562</v>
      </c>
      <c r="J763">
        <v>14</v>
      </c>
      <c r="K763">
        <v>9</v>
      </c>
      <c r="L763">
        <v>30</v>
      </c>
      <c r="M763">
        <v>70</v>
      </c>
      <c r="N763">
        <v>1000000</v>
      </c>
      <c r="O763">
        <f>VLOOKUP($B763&amp;O$1,Data!$A$2:$D$8000,4,FALSE)</f>
        <v>7.9000000000000001E-4</v>
      </c>
      <c r="P763">
        <f>VLOOKUP($B763&amp;P$1,Data!$A$2:$D$8000,4,FALSE)</f>
        <v>-1.994</v>
      </c>
      <c r="Q763">
        <f>VLOOKUP($B763&amp;Q$1,Data!$A$2:$D$8000,4,FALSE)</f>
        <v>688</v>
      </c>
      <c r="R763">
        <f>VLOOKUP($B763&amp;R$1,Data!$A$2:$D$8000,4,FALSE)</f>
        <v>5.0000000000000001E-4</v>
      </c>
      <c r="S763">
        <f>VLOOKUP($B763&amp;S$1,Data!$A$2:$D$8000,4,FALSE)</f>
        <v>-1.6999999999999999E-3</v>
      </c>
      <c r="T763">
        <f>VLOOKUP($B763&amp;T$1,Data!$A$2:$D$8000,4,FALSE)</f>
        <v>-7.4969999999999995E-2</v>
      </c>
      <c r="U763">
        <f>VLOOKUP($B763&amp;U$1,Data!$A$2:$D$8000,4,FALSE)</f>
        <v>5.8000000000000003E-2</v>
      </c>
      <c r="V763">
        <f>VLOOKUP($B763&amp;V$1,Data!$A$2:$D$8000,4,FALSE)</f>
        <v>-0.23899999999999999</v>
      </c>
      <c r="W763">
        <f>VLOOKUP($B763&amp;W$1,Data!$A$2:$D$8000,4,FALSE)</f>
        <v>-5.0349999999999999E-2</v>
      </c>
      <c r="X763">
        <f>VLOOKUP($B763&amp;X$1,Data!$A$2:$D$8000,4,FALSE)</f>
        <v>0.42</v>
      </c>
      <c r="Y763">
        <f>VLOOKUP($B763&amp;Y$1,Data!$A$2:$D$8000,4,FALSE)</f>
        <v>0.57999999999999996</v>
      </c>
      <c r="Z763">
        <f>VLOOKUP($B763&amp;Z$1,Data!$A$2:$D$8000,4,FALSE)</f>
        <v>0.31</v>
      </c>
      <c r="AA763">
        <f>VLOOKUP($B763&amp;AA$1,Data!$A$2:$D$8000,4,FALSE)</f>
        <v>-4.9000000000000002E-2</v>
      </c>
      <c r="AB763">
        <f>VLOOKUP($B763&amp;AB$1,Data!$A$2:$D$8000,4,FALSE)</f>
        <v>-7.1999999999999995E-2</v>
      </c>
      <c r="AC763">
        <f>VLOOKUP($B763&amp;AC$1,Data!$A$2:$D$8000,4,FALSE)</f>
        <v>2.5999999999999999E-2</v>
      </c>
      <c r="AD763">
        <f>VLOOKUP($B763&amp;AD$1,Data!$A$2:$D$8000,4,FALSE)</f>
        <v>1E-3</v>
      </c>
      <c r="AE763">
        <f>VLOOKUP($B763&amp;AE$1,Data!$A$2:$D$8000,4,FALSE)</f>
        <v>-1.353</v>
      </c>
      <c r="AF763">
        <f>VLOOKUP($B763&amp;AF$1,Data!$A$2:$D$8000,4,FALSE)</f>
        <v>7.6999999999999999E-2</v>
      </c>
      <c r="AG763">
        <f>VLOOKUP($B763&amp;AG$1,Data!$A$2:$D$8000,4,FALSE)</f>
        <v>0.72799999999999998</v>
      </c>
      <c r="AH763">
        <f>VLOOKUP($B763&amp;AH$1,Data!$A$2:$D$8000,4,FALSE)</f>
        <v>0</v>
      </c>
      <c r="AI763">
        <f>VLOOKUP($B763&amp;AI$1,Data!$A$2:$D$8000,4,FALSE)</f>
        <v>8200000</v>
      </c>
    </row>
    <row r="764" spans="2:35" hidden="1">
      <c r="B764" s="23">
        <v>763</v>
      </c>
      <c r="C764" s="13" t="s">
        <v>58</v>
      </c>
      <c r="D764" t="s">
        <v>0</v>
      </c>
      <c r="E764" t="s">
        <v>22</v>
      </c>
      <c r="F764">
        <v>100</v>
      </c>
      <c r="G764" t="s">
        <v>17</v>
      </c>
      <c r="H764" s="5">
        <v>43831</v>
      </c>
      <c r="I764" s="5">
        <v>44562</v>
      </c>
      <c r="J764">
        <v>14</v>
      </c>
      <c r="K764">
        <v>9</v>
      </c>
      <c r="L764">
        <v>30</v>
      </c>
      <c r="M764">
        <v>70</v>
      </c>
      <c r="N764">
        <v>1000000</v>
      </c>
      <c r="O764">
        <f>VLOOKUP($B764&amp;O$1,Data!$A$2:$D$8000,4,FALSE)</f>
        <v>5.3659999999999999E-2</v>
      </c>
      <c r="P764">
        <f>VLOOKUP($B764&amp;P$1,Data!$A$2:$D$8000,4,FALSE)</f>
        <v>-0.65900000000000003</v>
      </c>
      <c r="Q764">
        <f>VLOOKUP($B764&amp;Q$1,Data!$A$2:$D$8000,4,FALSE)</f>
        <v>873</v>
      </c>
      <c r="R764">
        <f>VLOOKUP($B764&amp;R$1,Data!$A$2:$D$8000,4,FALSE)</f>
        <v>2.0000000000000001E-4</v>
      </c>
      <c r="S764">
        <f>VLOOKUP($B764&amp;S$1,Data!$A$2:$D$8000,4,FALSE)</f>
        <v>-4.0000000000000002E-4</v>
      </c>
      <c r="T764">
        <f>VLOOKUP($B764&amp;T$1,Data!$A$2:$D$8000,4,FALSE)</f>
        <v>-7.1000000000000004E-3</v>
      </c>
      <c r="U764">
        <f>VLOOKUP($B764&amp;U$1,Data!$A$2:$D$8000,4,FALSE)</f>
        <v>1.4E-2</v>
      </c>
      <c r="V764">
        <f>VLOOKUP($B764&amp;V$1,Data!$A$2:$D$8000,4,FALSE)</f>
        <v>-0.105</v>
      </c>
      <c r="W764">
        <f>VLOOKUP($B764&amp;W$1,Data!$A$2:$D$8000,4,FALSE)</f>
        <v>-4.7099999999999998E-3</v>
      </c>
      <c r="X764">
        <f>VLOOKUP($B764&amp;X$1,Data!$A$2:$D$8000,4,FALSE)</f>
        <v>0.37</v>
      </c>
      <c r="Y764">
        <f>VLOOKUP($B764&amp;Y$1,Data!$A$2:$D$8000,4,FALSE)</f>
        <v>0.63</v>
      </c>
      <c r="Z764">
        <f>VLOOKUP($B764&amp;Z$1,Data!$A$2:$D$8000,4,FALSE)</f>
        <v>0.43</v>
      </c>
      <c r="AA764">
        <f>VLOOKUP($B764&amp;AA$1,Data!$A$2:$D$8000,4,FALSE)</f>
        <v>-5.0000000000000001E-3</v>
      </c>
      <c r="AB764">
        <f>VLOOKUP($B764&amp;AB$1,Data!$A$2:$D$8000,4,FALSE)</f>
        <v>-7.0000000000000001E-3</v>
      </c>
      <c r="AC764">
        <f>VLOOKUP($B764&amp;AC$1,Data!$A$2:$D$8000,4,FALSE)</f>
        <v>7.0000000000000001E-3</v>
      </c>
      <c r="AD764">
        <f>VLOOKUP($B764&amp;AD$1,Data!$A$2:$D$8000,4,FALSE)</f>
        <v>0</v>
      </c>
      <c r="AE764">
        <f>VLOOKUP($B764&amp;AE$1,Data!$A$2:$D$8000,4,FALSE)</f>
        <v>-0.82599999999999996</v>
      </c>
      <c r="AF764">
        <f>VLOOKUP($B764&amp;AF$1,Data!$A$2:$D$8000,4,FALSE)</f>
        <v>6.8000000000000005E-2</v>
      </c>
      <c r="AG764">
        <f>VLOOKUP($B764&amp;AG$1,Data!$A$2:$D$8000,4,FALSE)</f>
        <v>0.68100000000000005</v>
      </c>
      <c r="AH764">
        <f>VLOOKUP($B764&amp;AH$1,Data!$A$2:$D$8000,4,FALSE)</f>
        <v>0</v>
      </c>
      <c r="AI764">
        <f>VLOOKUP($B764&amp;AI$1,Data!$A$2:$D$8000,4,FALSE)</f>
        <v>22000000</v>
      </c>
    </row>
    <row r="765" spans="2:35" hidden="1">
      <c r="B765" s="23">
        <v>764</v>
      </c>
      <c r="C765" s="13" t="s">
        <v>58</v>
      </c>
      <c r="D765" t="s">
        <v>0</v>
      </c>
      <c r="E765" t="s">
        <v>22</v>
      </c>
      <c r="F765">
        <v>1000</v>
      </c>
      <c r="G765" t="s">
        <v>17</v>
      </c>
      <c r="H765" s="5">
        <v>43831</v>
      </c>
      <c r="I765" s="5">
        <v>44562</v>
      </c>
      <c r="J765">
        <v>14</v>
      </c>
      <c r="K765">
        <v>9</v>
      </c>
      <c r="L765">
        <v>30</v>
      </c>
      <c r="M765">
        <v>70</v>
      </c>
      <c r="N765">
        <v>1000000</v>
      </c>
      <c r="O765">
        <f>VLOOKUP($B765&amp;O$1,Data!$A$2:$D$8000,4,FALSE)</f>
        <v>2.1190000000000001E-2</v>
      </c>
      <c r="P765">
        <f>VLOOKUP($B765&amp;P$1,Data!$A$2:$D$8000,4,FALSE)</f>
        <v>-1.085</v>
      </c>
      <c r="Q765">
        <f>VLOOKUP($B765&amp;Q$1,Data!$A$2:$D$8000,4,FALSE)</f>
        <v>711</v>
      </c>
      <c r="R765">
        <f>VLOOKUP($B765&amp;R$1,Data!$A$2:$D$8000,4,FALSE)</f>
        <v>5.0000000000000001E-4</v>
      </c>
      <c r="S765">
        <f>VLOOKUP($B765&amp;S$1,Data!$A$2:$D$8000,4,FALSE)</f>
        <v>-1.1999999999999999E-3</v>
      </c>
      <c r="T765">
        <f>VLOOKUP($B765&amp;T$1,Data!$A$2:$D$8000,4,FALSE)</f>
        <v>-2.9489999999999999E-2</v>
      </c>
      <c r="U765">
        <f>VLOOKUP($B765&amp;U$1,Data!$A$2:$D$8000,4,FALSE)</f>
        <v>3.4000000000000002E-2</v>
      </c>
      <c r="V765">
        <f>VLOOKUP($B765&amp;V$1,Data!$A$2:$D$8000,4,FALSE)</f>
        <v>-0.14899999999999999</v>
      </c>
      <c r="W765">
        <f>VLOOKUP($B765&amp;W$1,Data!$A$2:$D$8000,4,FALSE)</f>
        <v>-1.9640000000000001E-2</v>
      </c>
      <c r="X765">
        <f>VLOOKUP($B765&amp;X$1,Data!$A$2:$D$8000,4,FALSE)</f>
        <v>0.4</v>
      </c>
      <c r="Y765">
        <f>VLOOKUP($B765&amp;Y$1,Data!$A$2:$D$8000,4,FALSE)</f>
        <v>0.6</v>
      </c>
      <c r="Z765">
        <f>VLOOKUP($B765&amp;Z$1,Data!$A$2:$D$8000,4,FALSE)</f>
        <v>0.41</v>
      </c>
      <c r="AA765">
        <f>VLOOKUP($B765&amp;AA$1,Data!$A$2:$D$8000,4,FALSE)</f>
        <v>-0.02</v>
      </c>
      <c r="AB765">
        <f>VLOOKUP($B765&amp;AB$1,Data!$A$2:$D$8000,4,FALSE)</f>
        <v>-5.0000000000000001E-3</v>
      </c>
      <c r="AC765">
        <f>VLOOKUP($B765&amp;AC$1,Data!$A$2:$D$8000,4,FALSE)</f>
        <v>1.9E-2</v>
      </c>
      <c r="AD765">
        <f>VLOOKUP($B765&amp;AD$1,Data!$A$2:$D$8000,4,FALSE)</f>
        <v>0</v>
      </c>
      <c r="AE765">
        <f>VLOOKUP($B765&amp;AE$1,Data!$A$2:$D$8000,4,FALSE)</f>
        <v>-1.0309999999999999</v>
      </c>
      <c r="AF765">
        <f>VLOOKUP($B765&amp;AF$1,Data!$A$2:$D$8000,4,FALSE)</f>
        <v>7.0000000000000007E-2</v>
      </c>
      <c r="AG765">
        <f>VLOOKUP($B765&amp;AG$1,Data!$A$2:$D$8000,4,FALSE)</f>
        <v>3.7839999999999998</v>
      </c>
      <c r="AH765">
        <f>VLOOKUP($B765&amp;AH$1,Data!$A$2:$D$8000,4,FALSE)</f>
        <v>0</v>
      </c>
      <c r="AI765">
        <f>VLOOKUP($B765&amp;AI$1,Data!$A$2:$D$8000,4,FALSE)</f>
        <v>8000000</v>
      </c>
    </row>
    <row r="766" spans="2:35" hidden="1">
      <c r="B766" s="23">
        <v>765</v>
      </c>
      <c r="C766" s="13" t="s">
        <v>58</v>
      </c>
      <c r="D766" t="s">
        <v>0</v>
      </c>
      <c r="E766" t="s">
        <v>22</v>
      </c>
      <c r="F766">
        <v>5000</v>
      </c>
      <c r="G766" t="s">
        <v>17</v>
      </c>
      <c r="H766" s="5">
        <v>43831</v>
      </c>
      <c r="I766" s="5">
        <v>44562</v>
      </c>
      <c r="J766">
        <v>14</v>
      </c>
      <c r="K766">
        <v>9</v>
      </c>
      <c r="L766">
        <v>30</v>
      </c>
      <c r="M766">
        <v>70</v>
      </c>
      <c r="N766">
        <v>1000000</v>
      </c>
      <c r="O766">
        <f>VLOOKUP($B766&amp;O$1,Data!$A$2:$D$8000,4,FALSE)</f>
        <v>3.5450000000000002E-2</v>
      </c>
      <c r="P766">
        <f>VLOOKUP($B766&amp;P$1,Data!$A$2:$D$8000,4,FALSE)</f>
        <v>-0.80100000000000005</v>
      </c>
      <c r="Q766">
        <f>VLOOKUP($B766&amp;Q$1,Data!$A$2:$D$8000,4,FALSE)</f>
        <v>567</v>
      </c>
      <c r="R766">
        <f>VLOOKUP($B766&amp;R$1,Data!$A$2:$D$8000,4,FALSE)</f>
        <v>6.9999999999999999E-4</v>
      </c>
      <c r="S766">
        <f>VLOOKUP($B766&amp;S$1,Data!$A$2:$D$8000,4,FALSE)</f>
        <v>-1.5E-3</v>
      </c>
      <c r="T766">
        <f>VLOOKUP($B766&amp;T$1,Data!$A$2:$D$8000,4,FALSE)</f>
        <v>-2.5260000000000001E-2</v>
      </c>
      <c r="U766">
        <f>VLOOKUP($B766&amp;U$1,Data!$A$2:$D$8000,4,FALSE)</f>
        <v>3.2000000000000001E-2</v>
      </c>
      <c r="V766">
        <f>VLOOKUP($B766&amp;V$1,Data!$A$2:$D$8000,4,FALSE)</f>
        <v>-0.109</v>
      </c>
      <c r="W766">
        <f>VLOOKUP($B766&amp;W$1,Data!$A$2:$D$8000,4,FALSE)</f>
        <v>-1.6820000000000002E-2</v>
      </c>
      <c r="X766">
        <f>VLOOKUP($B766&amp;X$1,Data!$A$2:$D$8000,4,FALSE)</f>
        <v>0.38</v>
      </c>
      <c r="Y766">
        <f>VLOOKUP($B766&amp;Y$1,Data!$A$2:$D$8000,4,FALSE)</f>
        <v>0.62</v>
      </c>
      <c r="Z766">
        <f>VLOOKUP($B766&amp;Z$1,Data!$A$2:$D$8000,4,FALSE)</f>
        <v>0.43</v>
      </c>
      <c r="AA766">
        <f>VLOOKUP($B766&amp;AA$1,Data!$A$2:$D$8000,4,FALSE)</f>
        <v>-1.7000000000000001E-2</v>
      </c>
      <c r="AB766">
        <f>VLOOKUP($B766&amp;AB$1,Data!$A$2:$D$8000,4,FALSE)</f>
        <v>-1.4E-2</v>
      </c>
      <c r="AC766">
        <f>VLOOKUP($B766&amp;AC$1,Data!$A$2:$D$8000,4,FALSE)</f>
        <v>2.1999999999999999E-2</v>
      </c>
      <c r="AD766">
        <f>VLOOKUP($B766&amp;AD$1,Data!$A$2:$D$8000,4,FALSE)</f>
        <v>0</v>
      </c>
      <c r="AE766">
        <f>VLOOKUP($B766&amp;AE$1,Data!$A$2:$D$8000,4,FALSE)</f>
        <v>-0.96899999999999997</v>
      </c>
      <c r="AF766">
        <f>VLOOKUP($B766&amp;AF$1,Data!$A$2:$D$8000,4,FALSE)</f>
        <v>7.1999999999999995E-2</v>
      </c>
      <c r="AG766">
        <f>VLOOKUP($B766&amp;AG$1,Data!$A$2:$D$8000,4,FALSE)</f>
        <v>1.21</v>
      </c>
      <c r="AH766">
        <f>VLOOKUP($B766&amp;AH$1,Data!$A$2:$D$8000,4,FALSE)</f>
        <v>0</v>
      </c>
      <c r="AI766">
        <f>VLOOKUP($B766&amp;AI$1,Data!$A$2:$D$8000,4,FALSE)</f>
        <v>8400000</v>
      </c>
    </row>
    <row r="767" spans="2:35" hidden="1">
      <c r="B767" s="23">
        <v>766</v>
      </c>
      <c r="C767" s="13" t="s">
        <v>58</v>
      </c>
      <c r="D767" t="s">
        <v>0</v>
      </c>
      <c r="E767" t="s">
        <v>3</v>
      </c>
      <c r="F767">
        <v>100</v>
      </c>
      <c r="G767" t="s">
        <v>17</v>
      </c>
      <c r="H767" s="5">
        <v>43831</v>
      </c>
      <c r="I767" s="5">
        <v>44562</v>
      </c>
      <c r="J767">
        <v>14</v>
      </c>
      <c r="K767">
        <v>9</v>
      </c>
      <c r="L767">
        <v>32</v>
      </c>
      <c r="M767">
        <v>68</v>
      </c>
      <c r="N767">
        <v>1000000</v>
      </c>
      <c r="O767" t="e">
        <f>VLOOKUP($B767&amp;O$1,Data!$A$2:$D$8000,4,FALSE)</f>
        <v>#N/A</v>
      </c>
      <c r="P767">
        <f>VLOOKUP($B767&amp;P$1,Data!$A$2:$D$8000,4,FALSE)</f>
        <v>-0.61</v>
      </c>
      <c r="Q767">
        <f>VLOOKUP($B767&amp;Q$1,Data!$A$2:$D$8000,4,FALSE)</f>
        <v>1026</v>
      </c>
      <c r="R767">
        <f>VLOOKUP($B767&amp;R$1,Data!$A$2:$D$8000,4,FALSE)</f>
        <v>2.0000000000000001E-4</v>
      </c>
      <c r="S767">
        <f>VLOOKUP($B767&amp;S$1,Data!$A$2:$D$8000,4,FALSE)</f>
        <v>-4.0000000000000002E-4</v>
      </c>
      <c r="T767">
        <f>VLOOKUP($B767&amp;T$1,Data!$A$2:$D$8000,4,FALSE)</f>
        <v>-5.7499999999999999E-3</v>
      </c>
      <c r="U767">
        <f>VLOOKUP($B767&amp;U$1,Data!$A$2:$D$8000,4,FALSE)</f>
        <v>1.0999999999999999E-2</v>
      </c>
      <c r="V767">
        <f>VLOOKUP($B767&amp;V$1,Data!$A$2:$D$8000,4,FALSE)</f>
        <v>-8.1000000000000003E-2</v>
      </c>
      <c r="W767">
        <f>VLOOKUP($B767&amp;W$1,Data!$A$2:$D$8000,4,FALSE)</f>
        <v>-3.81E-3</v>
      </c>
      <c r="X767">
        <f>VLOOKUP($B767&amp;X$1,Data!$A$2:$D$8000,4,FALSE)</f>
        <v>0.39</v>
      </c>
      <c r="Y767">
        <f>VLOOKUP($B767&amp;Y$1,Data!$A$2:$D$8000,4,FALSE)</f>
        <v>0.61</v>
      </c>
      <c r="Z767">
        <f>VLOOKUP($B767&amp;Z$1,Data!$A$2:$D$8000,4,FALSE)</f>
        <v>0.5</v>
      </c>
      <c r="AA767">
        <f>VLOOKUP($B767&amp;AA$1,Data!$A$2:$D$8000,4,FALSE)</f>
        <v>-4.0000000000000001E-3</v>
      </c>
      <c r="AB767">
        <f>VLOOKUP($B767&amp;AB$1,Data!$A$2:$D$8000,4,FALSE)</f>
        <v>-8.0000000000000002E-3</v>
      </c>
      <c r="AC767">
        <f>VLOOKUP($B767&amp;AC$1,Data!$A$2:$D$8000,4,FALSE)</f>
        <v>7.0000000000000001E-3</v>
      </c>
      <c r="AD767">
        <f>VLOOKUP($B767&amp;AD$1,Data!$A$2:$D$8000,4,FALSE)</f>
        <v>0</v>
      </c>
      <c r="AE767">
        <f>VLOOKUP($B767&amp;AE$1,Data!$A$2:$D$8000,4,FALSE)</f>
        <v>-0.81299999999999994</v>
      </c>
      <c r="AF767">
        <f>VLOOKUP($B767&amp;AF$1,Data!$A$2:$D$8000,4,FALSE)</f>
        <v>6.8000000000000005E-2</v>
      </c>
      <c r="AG767">
        <f>VLOOKUP($B767&amp;AG$1,Data!$A$2:$D$8000,4,FALSE)</f>
        <v>0.48699999999999999</v>
      </c>
      <c r="AH767">
        <f>VLOOKUP($B767&amp;AH$1,Data!$A$2:$D$8000,4,FALSE)</f>
        <v>0</v>
      </c>
      <c r="AI767">
        <f>VLOOKUP($B767&amp;AI$1,Data!$A$2:$D$8000,4,FALSE)</f>
        <v>15000000</v>
      </c>
    </row>
    <row r="768" spans="2:35" hidden="1">
      <c r="B768" s="23">
        <v>767</v>
      </c>
      <c r="C768" s="13" t="s">
        <v>58</v>
      </c>
      <c r="D768" t="s">
        <v>0</v>
      </c>
      <c r="E768" t="s">
        <v>3</v>
      </c>
      <c r="F768">
        <v>1000</v>
      </c>
      <c r="G768" t="s">
        <v>17</v>
      </c>
      <c r="H768" s="5">
        <v>43831</v>
      </c>
      <c r="I768" s="5">
        <v>44562</v>
      </c>
      <c r="J768">
        <v>14</v>
      </c>
      <c r="K768">
        <v>9</v>
      </c>
      <c r="L768">
        <v>32</v>
      </c>
      <c r="M768">
        <v>68</v>
      </c>
      <c r="N768">
        <v>1000000</v>
      </c>
      <c r="O768">
        <f>VLOOKUP($B768&amp;O$1,Data!$A$2:$D$8000,4,FALSE)</f>
        <v>5.5829999999999998E-2</v>
      </c>
      <c r="P768">
        <f>VLOOKUP($B768&amp;P$1,Data!$A$2:$D$8000,4,FALSE)</f>
        <v>-0.61</v>
      </c>
      <c r="Q768">
        <f>VLOOKUP($B768&amp;Q$1,Data!$A$2:$D$8000,4,FALSE)</f>
        <v>1026</v>
      </c>
      <c r="R768">
        <f>VLOOKUP($B768&amp;R$1,Data!$A$2:$D$8000,4,FALSE)</f>
        <v>2.0000000000000001E-4</v>
      </c>
      <c r="S768">
        <f>VLOOKUP($B768&amp;S$1,Data!$A$2:$D$8000,4,FALSE)</f>
        <v>-4.0000000000000002E-4</v>
      </c>
      <c r="T768">
        <f>VLOOKUP($B768&amp;T$1,Data!$A$2:$D$8000,4,FALSE)</f>
        <v>-5.7499999999999999E-3</v>
      </c>
      <c r="U768">
        <f>VLOOKUP($B768&amp;U$1,Data!$A$2:$D$8000,4,FALSE)</f>
        <v>1.0999999999999999E-2</v>
      </c>
      <c r="V768">
        <f>VLOOKUP($B768&amp;V$1,Data!$A$2:$D$8000,4,FALSE)</f>
        <v>-8.1000000000000003E-2</v>
      </c>
      <c r="W768">
        <f>VLOOKUP($B768&amp;W$1,Data!$A$2:$D$8000,4,FALSE)</f>
        <v>-3.81E-3</v>
      </c>
      <c r="X768">
        <f>VLOOKUP($B768&amp;X$1,Data!$A$2:$D$8000,4,FALSE)</f>
        <v>0.39</v>
      </c>
      <c r="Y768">
        <f>VLOOKUP($B768&amp;Y$1,Data!$A$2:$D$8000,4,FALSE)</f>
        <v>0.61</v>
      </c>
      <c r="Z768">
        <f>VLOOKUP($B768&amp;Z$1,Data!$A$2:$D$8000,4,FALSE)</f>
        <v>0.5</v>
      </c>
      <c r="AA768">
        <f>VLOOKUP($B768&amp;AA$1,Data!$A$2:$D$8000,4,FALSE)</f>
        <v>-4.0000000000000001E-3</v>
      </c>
      <c r="AB768">
        <f>VLOOKUP($B768&amp;AB$1,Data!$A$2:$D$8000,4,FALSE)</f>
        <v>-8.0000000000000002E-3</v>
      </c>
      <c r="AC768">
        <f>VLOOKUP($B768&amp;AC$1,Data!$A$2:$D$8000,4,FALSE)</f>
        <v>7.0000000000000001E-3</v>
      </c>
      <c r="AD768">
        <f>VLOOKUP($B768&amp;AD$1,Data!$A$2:$D$8000,4,FALSE)</f>
        <v>0</v>
      </c>
      <c r="AE768">
        <f>VLOOKUP($B768&amp;AE$1,Data!$A$2:$D$8000,4,FALSE)</f>
        <v>-0.81299999999999994</v>
      </c>
      <c r="AF768">
        <f>VLOOKUP($B768&amp;AF$1,Data!$A$2:$D$8000,4,FALSE)</f>
        <v>6.8000000000000005E-2</v>
      </c>
      <c r="AG768">
        <f>VLOOKUP($B768&amp;AG$1,Data!$A$2:$D$8000,4,FALSE)</f>
        <v>0.48699999999999999</v>
      </c>
      <c r="AH768">
        <f>VLOOKUP($B768&amp;AH$1,Data!$A$2:$D$8000,4,FALSE)</f>
        <v>0</v>
      </c>
      <c r="AI768">
        <f>VLOOKUP($B768&amp;AI$1,Data!$A$2:$D$8000,4,FALSE)</f>
        <v>15000000</v>
      </c>
    </row>
    <row r="769" spans="2:35" hidden="1">
      <c r="B769" s="23">
        <v>768</v>
      </c>
      <c r="C769" s="13" t="s">
        <v>58</v>
      </c>
      <c r="D769" t="s">
        <v>0</v>
      </c>
      <c r="E769" t="s">
        <v>3</v>
      </c>
      <c r="F769">
        <v>5000</v>
      </c>
      <c r="G769" t="s">
        <v>17</v>
      </c>
      <c r="H769" s="5">
        <v>43831</v>
      </c>
      <c r="I769" s="5">
        <v>44562</v>
      </c>
      <c r="J769">
        <v>14</v>
      </c>
      <c r="K769">
        <v>9</v>
      </c>
      <c r="L769">
        <v>32</v>
      </c>
      <c r="M769">
        <v>68</v>
      </c>
      <c r="N769">
        <v>1000000</v>
      </c>
      <c r="O769">
        <f>VLOOKUP($B769&amp;O$1,Data!$A$2:$D$8000,4,FALSE)</f>
        <v>6.1800000000000001E-2</v>
      </c>
      <c r="P769">
        <f>VLOOKUP($B769&amp;P$1,Data!$A$2:$D$8000,4,FALSE)</f>
        <v>-0.56399999999999995</v>
      </c>
      <c r="Q769">
        <f>VLOOKUP($B769&amp;Q$1,Data!$A$2:$D$8000,4,FALSE)</f>
        <v>1003</v>
      </c>
      <c r="R769">
        <f>VLOOKUP($B769&amp;R$1,Data!$A$2:$D$8000,4,FALSE)</f>
        <v>6.9999999999999999E-4</v>
      </c>
      <c r="S769">
        <f>VLOOKUP($B769&amp;S$1,Data!$A$2:$D$8000,4,FALSE)</f>
        <v>-1.6999999999999999E-3</v>
      </c>
      <c r="T769">
        <f>VLOOKUP($B769&amp;T$1,Data!$A$2:$D$8000,4,FALSE)</f>
        <v>-2.2159999999999999E-2</v>
      </c>
      <c r="U769">
        <f>VLOOKUP($B769&amp;U$1,Data!$A$2:$D$8000,4,FALSE)</f>
        <v>3.5000000000000003E-2</v>
      </c>
      <c r="V769">
        <f>VLOOKUP($B769&amp;V$1,Data!$A$2:$D$8000,4,FALSE)</f>
        <v>-5.1999999999999998E-2</v>
      </c>
      <c r="W769">
        <f>VLOOKUP($B769&amp;W$1,Data!$A$2:$D$8000,4,FALSE)</f>
        <v>-1.474E-2</v>
      </c>
      <c r="X769">
        <f>VLOOKUP($B769&amp;X$1,Data!$A$2:$D$8000,4,FALSE)</f>
        <v>0.33</v>
      </c>
      <c r="Y769">
        <f>VLOOKUP($B769&amp;Y$1,Data!$A$2:$D$8000,4,FALSE)</f>
        <v>0.67</v>
      </c>
      <c r="Z769">
        <f>VLOOKUP($B769&amp;Z$1,Data!$A$2:$D$8000,4,FALSE)</f>
        <v>0.41</v>
      </c>
      <c r="AA769">
        <f>VLOOKUP($B769&amp;AA$1,Data!$A$2:$D$8000,4,FALSE)</f>
        <v>-1.2999999999999999E-2</v>
      </c>
      <c r="AB769">
        <f>VLOOKUP($B769&amp;AB$1,Data!$A$2:$D$8000,4,FALSE)</f>
        <v>-3.7999999999999999E-2</v>
      </c>
      <c r="AC769">
        <f>VLOOKUP($B769&amp;AC$1,Data!$A$2:$D$8000,4,FALSE)</f>
        <v>2.7E-2</v>
      </c>
      <c r="AD769">
        <f>VLOOKUP($B769&amp;AD$1,Data!$A$2:$D$8000,4,FALSE)</f>
        <v>1E-3</v>
      </c>
      <c r="AE769">
        <f>VLOOKUP($B769&amp;AE$1,Data!$A$2:$D$8000,4,FALSE)</f>
        <v>-0.88900000000000001</v>
      </c>
      <c r="AF769">
        <f>VLOOKUP($B769&amp;AF$1,Data!$A$2:$D$8000,4,FALSE)</f>
        <v>7.4999999999999997E-2</v>
      </c>
      <c r="AG769">
        <f>VLOOKUP($B769&amp;AG$1,Data!$A$2:$D$8000,4,FALSE)</f>
        <v>0.39500000000000002</v>
      </c>
      <c r="AH769">
        <f>VLOOKUP($B769&amp;AH$1,Data!$A$2:$D$8000,4,FALSE)</f>
        <v>0</v>
      </c>
      <c r="AI769">
        <f>VLOOKUP($B769&amp;AI$1,Data!$A$2:$D$8000,4,FALSE)</f>
        <v>5600000</v>
      </c>
    </row>
    <row r="770" spans="2:35" hidden="1">
      <c r="B770" s="23">
        <v>769</v>
      </c>
      <c r="C770" s="13" t="s">
        <v>58</v>
      </c>
      <c r="D770" t="s">
        <v>0</v>
      </c>
      <c r="E770" t="s">
        <v>2</v>
      </c>
      <c r="F770">
        <v>100</v>
      </c>
      <c r="G770" t="s">
        <v>17</v>
      </c>
      <c r="H770" s="5">
        <v>43831</v>
      </c>
      <c r="I770" s="5">
        <v>44562</v>
      </c>
      <c r="J770">
        <v>14</v>
      </c>
      <c r="K770">
        <v>9</v>
      </c>
      <c r="L770">
        <v>32</v>
      </c>
      <c r="M770">
        <v>68</v>
      </c>
      <c r="N770">
        <v>1000000</v>
      </c>
      <c r="O770">
        <f>VLOOKUP($B770&amp;O$1,Data!$A$2:$D$8000,4,FALSE)</f>
        <v>7.2480000000000003E-2</v>
      </c>
      <c r="P770">
        <f>VLOOKUP($B770&amp;P$1,Data!$A$2:$D$8000,4,FALSE)</f>
        <v>-0.495</v>
      </c>
      <c r="Q770">
        <f>VLOOKUP($B770&amp;Q$1,Data!$A$2:$D$8000,4,FALSE)</f>
        <v>1383</v>
      </c>
      <c r="R770">
        <f>VLOOKUP($B770&amp;R$1,Data!$A$2:$D$8000,4,FALSE)</f>
        <v>2.0000000000000001E-4</v>
      </c>
      <c r="S770">
        <f>VLOOKUP($B770&amp;S$1,Data!$A$2:$D$8000,4,FALSE)</f>
        <v>-2.9999999999999997E-4</v>
      </c>
      <c r="T770">
        <f>VLOOKUP($B770&amp;T$1,Data!$A$2:$D$8000,4,FALSE)</f>
        <v>-5.8500000000000002E-3</v>
      </c>
      <c r="U770">
        <f>VLOOKUP($B770&amp;U$1,Data!$A$2:$D$8000,4,FALSE)</f>
        <v>1.2999999999999999E-2</v>
      </c>
      <c r="V770">
        <f>VLOOKUP($B770&amp;V$1,Data!$A$2:$D$8000,4,FALSE)</f>
        <v>-6.8000000000000005E-2</v>
      </c>
      <c r="W770">
        <f>VLOOKUP($B770&amp;W$1,Data!$A$2:$D$8000,4,FALSE)</f>
        <v>-3.8800000000000002E-3</v>
      </c>
      <c r="X770">
        <f>VLOOKUP($B770&amp;X$1,Data!$A$2:$D$8000,4,FALSE)</f>
        <v>0.41</v>
      </c>
      <c r="Y770">
        <f>VLOOKUP($B770&amp;Y$1,Data!$A$2:$D$8000,4,FALSE)</f>
        <v>0.59</v>
      </c>
      <c r="Z770">
        <f>VLOOKUP($B770&amp;Z$1,Data!$A$2:$D$8000,4,FALSE)</f>
        <v>0.57999999999999996</v>
      </c>
      <c r="AA770">
        <f>VLOOKUP($B770&amp;AA$1,Data!$A$2:$D$8000,4,FALSE)</f>
        <v>-4.0000000000000001E-3</v>
      </c>
      <c r="AB770">
        <f>VLOOKUP($B770&amp;AB$1,Data!$A$2:$D$8000,4,FALSE)</f>
        <v>7.0000000000000001E-3</v>
      </c>
      <c r="AC770">
        <f>VLOOKUP($B770&amp;AC$1,Data!$A$2:$D$8000,4,FALSE)</f>
        <v>8.0000000000000002E-3</v>
      </c>
      <c r="AD770">
        <f>VLOOKUP($B770&amp;AD$1,Data!$A$2:$D$8000,4,FALSE)</f>
        <v>0</v>
      </c>
      <c r="AE770">
        <f>VLOOKUP($B770&amp;AE$1,Data!$A$2:$D$8000,4,FALSE)</f>
        <v>-0.83299999999999996</v>
      </c>
      <c r="AF770">
        <f>VLOOKUP($B770&amp;AF$1,Data!$A$2:$D$8000,4,FALSE)</f>
        <v>6.7000000000000004E-2</v>
      </c>
      <c r="AG770">
        <f>VLOOKUP($B770&amp;AG$1,Data!$A$2:$D$8000,4,FALSE)</f>
        <v>-0.56999999999999995</v>
      </c>
      <c r="AH770">
        <f>VLOOKUP($B770&amp;AH$1,Data!$A$2:$D$8000,4,FALSE)</f>
        <v>0</v>
      </c>
      <c r="AI770">
        <f>VLOOKUP($B770&amp;AI$1,Data!$A$2:$D$8000,4,FALSE)</f>
        <v>1300000000</v>
      </c>
    </row>
    <row r="771" spans="2:35" hidden="1">
      <c r="B771" s="23">
        <v>770</v>
      </c>
      <c r="C771" s="13" t="s">
        <v>58</v>
      </c>
      <c r="D771" t="s">
        <v>0</v>
      </c>
      <c r="E771" t="s">
        <v>2</v>
      </c>
      <c r="F771">
        <v>1000</v>
      </c>
      <c r="G771" t="s">
        <v>17</v>
      </c>
      <c r="H771" s="5">
        <v>43831</v>
      </c>
      <c r="I771" s="5">
        <v>44562</v>
      </c>
      <c r="J771">
        <v>14</v>
      </c>
      <c r="K771">
        <v>9</v>
      </c>
      <c r="L771">
        <v>32</v>
      </c>
      <c r="M771">
        <v>68</v>
      </c>
      <c r="N771">
        <v>1000000</v>
      </c>
      <c r="O771">
        <f>VLOOKUP($B771&amp;O$1,Data!$A$2:$D$8000,4,FALSE)</f>
        <v>3.6450000000000003E-2</v>
      </c>
      <c r="P771">
        <f>VLOOKUP($B771&amp;P$1,Data!$A$2:$D$8000,4,FALSE)</f>
        <v>-0.78300000000000003</v>
      </c>
      <c r="Q771">
        <f>VLOOKUP($B771&amp;Q$1,Data!$A$2:$D$8000,4,FALSE)</f>
        <v>1085</v>
      </c>
      <c r="R771">
        <f>VLOOKUP($B771&amp;R$1,Data!$A$2:$D$8000,4,FALSE)</f>
        <v>5.0000000000000001E-4</v>
      </c>
      <c r="S771">
        <f>VLOOKUP($B771&amp;S$1,Data!$A$2:$D$8000,4,FALSE)</f>
        <v>-1E-3</v>
      </c>
      <c r="T771">
        <f>VLOOKUP($B771&amp;T$1,Data!$A$2:$D$8000,4,FALSE)</f>
        <v>-2.1999999999999999E-2</v>
      </c>
      <c r="U771">
        <f>VLOOKUP($B771&amp;U$1,Data!$A$2:$D$8000,4,FALSE)</f>
        <v>3.7999999999999999E-2</v>
      </c>
      <c r="V771">
        <f>VLOOKUP($B771&amp;V$1,Data!$A$2:$D$8000,4,FALSE)</f>
        <v>-9.4E-2</v>
      </c>
      <c r="W771">
        <f>VLOOKUP($B771&amp;W$1,Data!$A$2:$D$8000,4,FALSE)</f>
        <v>-1.464E-2</v>
      </c>
      <c r="X771">
        <f>VLOOKUP($B771&amp;X$1,Data!$A$2:$D$8000,4,FALSE)</f>
        <v>0.39</v>
      </c>
      <c r="Y771">
        <f>VLOOKUP($B771&amp;Y$1,Data!$A$2:$D$8000,4,FALSE)</f>
        <v>0.61</v>
      </c>
      <c r="Z771">
        <f>VLOOKUP($B771&amp;Z$1,Data!$A$2:$D$8000,4,FALSE)</f>
        <v>0.49</v>
      </c>
      <c r="AA771">
        <f>VLOOKUP($B771&amp;AA$1,Data!$A$2:$D$8000,4,FALSE)</f>
        <v>-1.4999999999999999E-2</v>
      </c>
      <c r="AB771">
        <f>VLOOKUP($B771&amp;AB$1,Data!$A$2:$D$8000,4,FALSE)</f>
        <v>-1E-3</v>
      </c>
      <c r="AC771">
        <f>VLOOKUP($B771&amp;AC$1,Data!$A$2:$D$8000,4,FALSE)</f>
        <v>1.9E-2</v>
      </c>
      <c r="AD771">
        <f>VLOOKUP($B771&amp;AD$1,Data!$A$2:$D$8000,4,FALSE)</f>
        <v>0</v>
      </c>
      <c r="AE771">
        <f>VLOOKUP($B771&amp;AE$1,Data!$A$2:$D$8000,4,FALSE)</f>
        <v>-0.94899999999999995</v>
      </c>
      <c r="AF771">
        <f>VLOOKUP($B771&amp;AF$1,Data!$A$2:$D$8000,4,FALSE)</f>
        <v>7.0000000000000007E-2</v>
      </c>
      <c r="AG771">
        <f>VLOOKUP($B771&amp;AG$1,Data!$A$2:$D$8000,4,FALSE)</f>
        <v>14.757999999999999</v>
      </c>
      <c r="AH771">
        <f>VLOOKUP($B771&amp;AH$1,Data!$A$2:$D$8000,4,FALSE)</f>
        <v>0</v>
      </c>
      <c r="AI771">
        <f>VLOOKUP($B771&amp;AI$1,Data!$A$2:$D$8000,4,FALSE)</f>
        <v>130000000</v>
      </c>
    </row>
    <row r="772" spans="2:35" hidden="1">
      <c r="B772" s="23">
        <v>771</v>
      </c>
      <c r="C772" s="13" t="s">
        <v>58</v>
      </c>
      <c r="D772" t="s">
        <v>0</v>
      </c>
      <c r="E772" t="s">
        <v>2</v>
      </c>
      <c r="F772">
        <v>5000</v>
      </c>
      <c r="G772" t="s">
        <v>17</v>
      </c>
      <c r="H772" s="5">
        <v>43831</v>
      </c>
      <c r="I772" s="5">
        <v>44562</v>
      </c>
      <c r="J772">
        <v>14</v>
      </c>
      <c r="K772">
        <v>9</v>
      </c>
      <c r="L772">
        <v>32</v>
      </c>
      <c r="M772">
        <v>68</v>
      </c>
      <c r="N772">
        <v>1000000</v>
      </c>
      <c r="O772">
        <f>VLOOKUP($B772&amp;O$1,Data!$A$2:$D$8000,4,FALSE)</f>
        <v>6.4009999999999997E-2</v>
      </c>
      <c r="P772">
        <f>VLOOKUP($B772&amp;P$1,Data!$A$2:$D$8000,4,FALSE)</f>
        <v>-0.52800000000000002</v>
      </c>
      <c r="Q772">
        <f>VLOOKUP($B772&amp;Q$1,Data!$A$2:$D$8000,4,FALSE)</f>
        <v>824</v>
      </c>
      <c r="R772">
        <f>VLOOKUP($B772&amp;R$1,Data!$A$2:$D$8000,4,FALSE)</f>
        <v>5.9999999999999995E-4</v>
      </c>
      <c r="S772">
        <f>VLOOKUP($B772&amp;S$1,Data!$A$2:$D$8000,4,FALSE)</f>
        <v>-1.1999999999999999E-3</v>
      </c>
      <c r="T772">
        <f>VLOOKUP($B772&amp;T$1,Data!$A$2:$D$8000,4,FALSE)</f>
        <v>-1.7579999999999998E-2</v>
      </c>
      <c r="U772">
        <f>VLOOKUP($B772&amp;U$1,Data!$A$2:$D$8000,4,FALSE)</f>
        <v>4.1000000000000002E-2</v>
      </c>
      <c r="V772">
        <f>VLOOKUP($B772&amp;V$1,Data!$A$2:$D$8000,4,FALSE)</f>
        <v>-6.5000000000000002E-2</v>
      </c>
      <c r="W772">
        <f>VLOOKUP($B772&amp;W$1,Data!$A$2:$D$8000,4,FALSE)</f>
        <v>-1.1690000000000001E-2</v>
      </c>
      <c r="X772">
        <f>VLOOKUP($B772&amp;X$1,Data!$A$2:$D$8000,4,FALSE)</f>
        <v>0.38</v>
      </c>
      <c r="Y772">
        <f>VLOOKUP($B772&amp;Y$1,Data!$A$2:$D$8000,4,FALSE)</f>
        <v>0.62</v>
      </c>
      <c r="Z772">
        <f>VLOOKUP($B772&amp;Z$1,Data!$A$2:$D$8000,4,FALSE)</f>
        <v>0.51</v>
      </c>
      <c r="AA772">
        <f>VLOOKUP($B772&amp;AA$1,Data!$A$2:$D$8000,4,FALSE)</f>
        <v>-1.2E-2</v>
      </c>
      <c r="AB772">
        <f>VLOOKUP($B772&amp;AB$1,Data!$A$2:$D$8000,4,FALSE)</f>
        <v>6.0000000000000001E-3</v>
      </c>
      <c r="AC772">
        <f>VLOOKUP($B772&amp;AC$1,Data!$A$2:$D$8000,4,FALSE)</f>
        <v>2.3E-2</v>
      </c>
      <c r="AD772">
        <f>VLOOKUP($B772&amp;AD$1,Data!$A$2:$D$8000,4,FALSE)</f>
        <v>1E-3</v>
      </c>
      <c r="AE772">
        <f>VLOOKUP($B772&amp;AE$1,Data!$A$2:$D$8000,4,FALSE)</f>
        <v>-0.90600000000000003</v>
      </c>
      <c r="AF772">
        <f>VLOOKUP($B772&amp;AF$1,Data!$A$2:$D$8000,4,FALSE)</f>
        <v>7.0999999999999994E-2</v>
      </c>
      <c r="AG772">
        <f>VLOOKUP($B772&amp;AG$1,Data!$A$2:$D$8000,4,FALSE)</f>
        <v>-2.0979999999999999</v>
      </c>
      <c r="AH772">
        <f>VLOOKUP($B772&amp;AH$1,Data!$A$2:$D$8000,4,FALSE)</f>
        <v>0</v>
      </c>
      <c r="AI772">
        <f>VLOOKUP($B772&amp;AI$1,Data!$A$2:$D$8000,4,FALSE)</f>
        <v>32000000</v>
      </c>
    </row>
    <row r="773" spans="2:35" ht="15" hidden="1" customHeight="1">
      <c r="B773" s="23">
        <v>772</v>
      </c>
      <c r="C773" s="13" t="s">
        <v>58</v>
      </c>
      <c r="D773" t="s">
        <v>0</v>
      </c>
      <c r="E773" t="s">
        <v>22</v>
      </c>
      <c r="F773">
        <v>100</v>
      </c>
      <c r="G773" t="s">
        <v>17</v>
      </c>
      <c r="H773" s="5">
        <v>43831</v>
      </c>
      <c r="I773" s="5">
        <v>44562</v>
      </c>
      <c r="J773">
        <v>14</v>
      </c>
      <c r="K773">
        <v>9</v>
      </c>
      <c r="L773">
        <v>32</v>
      </c>
      <c r="M773">
        <v>68</v>
      </c>
      <c r="N773">
        <v>1000000</v>
      </c>
      <c r="O773">
        <f>VLOOKUP($B773&amp;O$1,Data!$A$2:$D$8000,4,FALSE)</f>
        <v>1.0000000000000001E-5</v>
      </c>
      <c r="P773">
        <f>VLOOKUP($B773&amp;P$1,Data!$A$2:$D$8000,4,FALSE)</f>
        <v>-2.16</v>
      </c>
      <c r="Q773">
        <f>VLOOKUP($B773&amp;Q$1,Data!$A$2:$D$8000,4,FALSE)</f>
        <v>1074</v>
      </c>
      <c r="R773">
        <f>VLOOKUP($B773&amp;R$1,Data!$A$2:$D$8000,4,FALSE)</f>
        <v>1E-4</v>
      </c>
      <c r="S773">
        <f>VLOOKUP($B773&amp;S$1,Data!$A$2:$D$8000,4,FALSE)</f>
        <v>-2.9999999999999997E-4</v>
      </c>
      <c r="T773">
        <f>VLOOKUP($B773&amp;T$1,Data!$A$2:$D$8000,4,FALSE)</f>
        <v>-1.771E-2</v>
      </c>
      <c r="U773">
        <f>VLOOKUP($B773&amp;U$1,Data!$A$2:$D$8000,4,FALSE)</f>
        <v>1.2E-2</v>
      </c>
      <c r="V773">
        <f>VLOOKUP($B773&amp;V$1,Data!$A$2:$D$8000,4,FALSE)</f>
        <v>-0.28999999999999998</v>
      </c>
      <c r="W773">
        <f>VLOOKUP($B773&amp;W$1,Data!$A$2:$D$8000,4,FALSE)</f>
        <v>-1.1780000000000001E-2</v>
      </c>
      <c r="X773">
        <f>VLOOKUP($B773&amp;X$1,Data!$A$2:$D$8000,4,FALSE)</f>
        <v>0.44</v>
      </c>
      <c r="Y773">
        <f>VLOOKUP($B773&amp;Y$1,Data!$A$2:$D$8000,4,FALSE)</f>
        <v>0.56000000000000005</v>
      </c>
      <c r="Z773">
        <f>VLOOKUP($B773&amp;Z$1,Data!$A$2:$D$8000,4,FALSE)</f>
        <v>0.27</v>
      </c>
      <c r="AA773">
        <f>VLOOKUP($B773&amp;AA$1,Data!$A$2:$D$8000,4,FALSE)</f>
        <v>-1.2E-2</v>
      </c>
      <c r="AB773">
        <f>VLOOKUP($B773&amp;AB$1,Data!$A$2:$D$8000,4,FALSE)</f>
        <v>-8.0000000000000002E-3</v>
      </c>
      <c r="AC773">
        <f>VLOOKUP($B773&amp;AC$1,Data!$A$2:$D$8000,4,FALSE)</f>
        <v>6.0000000000000001E-3</v>
      </c>
      <c r="AD773">
        <f>VLOOKUP($B773&amp;AD$1,Data!$A$2:$D$8000,4,FALSE)</f>
        <v>0</v>
      </c>
      <c r="AE773">
        <f>VLOOKUP($B773&amp;AE$1,Data!$A$2:$D$8000,4,FALSE)</f>
        <v>-0.93600000000000005</v>
      </c>
      <c r="AF773">
        <f>VLOOKUP($B773&amp;AF$1,Data!$A$2:$D$8000,4,FALSE)</f>
        <v>6.8000000000000005E-2</v>
      </c>
      <c r="AG773">
        <f>VLOOKUP($B773&amp;AG$1,Data!$A$2:$D$8000,4,FALSE)</f>
        <v>1.6060000000000001</v>
      </c>
      <c r="AH773">
        <f>VLOOKUP($B773&amp;AH$1,Data!$A$2:$D$8000,4,FALSE)</f>
        <v>0</v>
      </c>
      <c r="AI773">
        <f>VLOOKUP($B773&amp;AI$1,Data!$A$2:$D$8000,4,FALSE)</f>
        <v>7400000</v>
      </c>
    </row>
    <row r="774" spans="2:35" hidden="1">
      <c r="B774" s="23">
        <v>773</v>
      </c>
      <c r="C774" s="13" t="s">
        <v>58</v>
      </c>
      <c r="D774" t="s">
        <v>0</v>
      </c>
      <c r="E774" t="s">
        <v>22</v>
      </c>
      <c r="F774">
        <v>1000</v>
      </c>
      <c r="G774" t="s">
        <v>17</v>
      </c>
      <c r="H774" s="5">
        <v>43831</v>
      </c>
      <c r="I774" s="5">
        <v>44562</v>
      </c>
      <c r="J774">
        <v>14</v>
      </c>
      <c r="K774">
        <v>9</v>
      </c>
      <c r="L774">
        <v>32</v>
      </c>
      <c r="M774">
        <v>68</v>
      </c>
      <c r="N774">
        <v>1000000</v>
      </c>
      <c r="O774">
        <f>VLOOKUP($B774&amp;O$1,Data!$A$2:$D$8000,4,FALSE)</f>
        <v>5.28E-3</v>
      </c>
      <c r="P774">
        <f>VLOOKUP($B774&amp;P$1,Data!$A$2:$D$8000,4,FALSE)</f>
        <v>-1.5469999999999999</v>
      </c>
      <c r="Q774">
        <f>VLOOKUP($B774&amp;Q$1,Data!$A$2:$D$8000,4,FALSE)</f>
        <v>879</v>
      </c>
      <c r="R774">
        <f>VLOOKUP($B774&amp;R$1,Data!$A$2:$D$8000,4,FALSE)</f>
        <v>5.0000000000000001E-4</v>
      </c>
      <c r="S774">
        <f>VLOOKUP($B774&amp;S$1,Data!$A$2:$D$8000,4,FALSE)</f>
        <v>-1.1000000000000001E-3</v>
      </c>
      <c r="T774">
        <f>VLOOKUP($B774&amp;T$1,Data!$A$2:$D$8000,4,FALSE)</f>
        <v>-3.7359999999999997E-2</v>
      </c>
      <c r="U774">
        <f>VLOOKUP($B774&amp;U$1,Data!$A$2:$D$8000,4,FALSE)</f>
        <v>2.8000000000000001E-2</v>
      </c>
      <c r="V774">
        <f>VLOOKUP($B774&amp;V$1,Data!$A$2:$D$8000,4,FALSE)</f>
        <v>-0.18099999999999999</v>
      </c>
      <c r="W774">
        <f>VLOOKUP($B774&amp;W$1,Data!$A$2:$D$8000,4,FALSE)</f>
        <v>-2.4920000000000001E-2</v>
      </c>
      <c r="X774">
        <f>VLOOKUP($B774&amp;X$1,Data!$A$2:$D$8000,4,FALSE)</f>
        <v>0.44</v>
      </c>
      <c r="Y774">
        <f>VLOOKUP($B774&amp;Y$1,Data!$A$2:$D$8000,4,FALSE)</f>
        <v>0.56000000000000005</v>
      </c>
      <c r="Z774">
        <f>VLOOKUP($B774&amp;Z$1,Data!$A$2:$D$8000,4,FALSE)</f>
        <v>0.46</v>
      </c>
      <c r="AA774">
        <f>VLOOKUP($B774&amp;AA$1,Data!$A$2:$D$8000,4,FALSE)</f>
        <v>-2.5000000000000001E-2</v>
      </c>
      <c r="AB774">
        <f>VLOOKUP($B774&amp;AB$1,Data!$A$2:$D$8000,4,FALSE)</f>
        <v>-2.5999999999999999E-2</v>
      </c>
      <c r="AC774">
        <f>VLOOKUP($B774&amp;AC$1,Data!$A$2:$D$8000,4,FALSE)</f>
        <v>1.7000000000000001E-2</v>
      </c>
      <c r="AD774">
        <f>VLOOKUP($B774&amp;AD$1,Data!$A$2:$D$8000,4,FALSE)</f>
        <v>0</v>
      </c>
      <c r="AE774">
        <f>VLOOKUP($B774&amp;AE$1,Data!$A$2:$D$8000,4,FALSE)</f>
        <v>-1.0980000000000001</v>
      </c>
      <c r="AF774">
        <f>VLOOKUP($B774&amp;AF$1,Data!$A$2:$D$8000,4,FALSE)</f>
        <v>7.0999999999999994E-2</v>
      </c>
      <c r="AG774">
        <f>VLOOKUP($B774&amp;AG$1,Data!$A$2:$D$8000,4,FALSE)</f>
        <v>0.996</v>
      </c>
      <c r="AH774">
        <f>VLOOKUP($B774&amp;AH$1,Data!$A$2:$D$8000,4,FALSE)</f>
        <v>0</v>
      </c>
      <c r="AI774">
        <f>VLOOKUP($B774&amp;AI$1,Data!$A$2:$D$8000,4,FALSE)</f>
        <v>7300000</v>
      </c>
    </row>
    <row r="775" spans="2:35" hidden="1">
      <c r="B775" s="23">
        <v>774</v>
      </c>
      <c r="C775" s="13" t="s">
        <v>58</v>
      </c>
      <c r="D775" t="s">
        <v>0</v>
      </c>
      <c r="E775" t="s">
        <v>22</v>
      </c>
      <c r="F775">
        <v>5000</v>
      </c>
      <c r="G775" t="s">
        <v>17</v>
      </c>
      <c r="H775" s="5">
        <v>43831</v>
      </c>
      <c r="I775" s="5">
        <v>44562</v>
      </c>
      <c r="J775">
        <v>14</v>
      </c>
      <c r="K775">
        <v>9</v>
      </c>
      <c r="L775">
        <v>32</v>
      </c>
      <c r="M775">
        <v>68</v>
      </c>
      <c r="N775">
        <v>1000000</v>
      </c>
      <c r="O775">
        <f>VLOOKUP($B775&amp;O$1,Data!$A$2:$D$8000,4,FALSE)</f>
        <v>6.5100000000000002E-3</v>
      </c>
      <c r="P775">
        <f>VLOOKUP($B775&amp;P$1,Data!$A$2:$D$8000,4,FALSE)</f>
        <v>-1.3979999999999999</v>
      </c>
      <c r="Q775">
        <f>VLOOKUP($B775&amp;Q$1,Data!$A$2:$D$8000,4,FALSE)</f>
        <v>672</v>
      </c>
      <c r="R775">
        <f>VLOOKUP($B775&amp;R$1,Data!$A$2:$D$8000,4,FALSE)</f>
        <v>5.0000000000000001E-4</v>
      </c>
      <c r="S775">
        <f>VLOOKUP($B775&amp;S$1,Data!$A$2:$D$8000,4,FALSE)</f>
        <v>-1.2999999999999999E-3</v>
      </c>
      <c r="T775">
        <f>VLOOKUP($B775&amp;T$1,Data!$A$2:$D$8000,4,FALSE)</f>
        <v>-4.496E-2</v>
      </c>
      <c r="U775">
        <f>VLOOKUP($B775&amp;U$1,Data!$A$2:$D$8000,4,FALSE)</f>
        <v>3.4000000000000002E-2</v>
      </c>
      <c r="V775">
        <f>VLOOKUP($B775&amp;V$1,Data!$A$2:$D$8000,4,FALSE)</f>
        <v>-0.20799999999999999</v>
      </c>
      <c r="W775">
        <f>VLOOKUP($B775&amp;W$1,Data!$A$2:$D$8000,4,FALSE)</f>
        <v>-3.0030000000000001E-2</v>
      </c>
      <c r="X775">
        <f>VLOOKUP($B775&amp;X$1,Data!$A$2:$D$8000,4,FALSE)</f>
        <v>0.43</v>
      </c>
      <c r="Y775">
        <f>VLOOKUP($B775&amp;Y$1,Data!$A$2:$D$8000,4,FALSE)</f>
        <v>0.56999999999999995</v>
      </c>
      <c r="Z775">
        <f>VLOOKUP($B775&amp;Z$1,Data!$A$2:$D$8000,4,FALSE)</f>
        <v>0.39</v>
      </c>
      <c r="AA775">
        <f>VLOOKUP($B775&amp;AA$1,Data!$A$2:$D$8000,4,FALSE)</f>
        <v>-2.8000000000000001E-2</v>
      </c>
      <c r="AB775">
        <f>VLOOKUP($B775&amp;AB$1,Data!$A$2:$D$8000,4,FALSE)</f>
        <v>-5.2999999999999999E-2</v>
      </c>
      <c r="AC775">
        <f>VLOOKUP($B775&amp;AC$1,Data!$A$2:$D$8000,4,FALSE)</f>
        <v>2.1999999999999999E-2</v>
      </c>
      <c r="AD775">
        <f>VLOOKUP($B775&amp;AD$1,Data!$A$2:$D$8000,4,FALSE)</f>
        <v>0</v>
      </c>
      <c r="AE775">
        <f>VLOOKUP($B775&amp;AE$1,Data!$A$2:$D$8000,4,FALSE)</f>
        <v>-1.1220000000000001</v>
      </c>
      <c r="AF775">
        <f>VLOOKUP($B775&amp;AF$1,Data!$A$2:$D$8000,4,FALSE)</f>
        <v>7.3999999999999996E-2</v>
      </c>
      <c r="AG775">
        <f>VLOOKUP($B775&amp;AG$1,Data!$A$2:$D$8000,4,FALSE)</f>
        <v>0.59299999999999997</v>
      </c>
      <c r="AH775">
        <f>VLOOKUP($B775&amp;AH$1,Data!$A$2:$D$8000,4,FALSE)</f>
        <v>0</v>
      </c>
      <c r="AI775">
        <f>VLOOKUP($B775&amp;AI$1,Data!$A$2:$D$8000,4,FALSE)</f>
        <v>7400000</v>
      </c>
    </row>
    <row r="776" spans="2:35" hidden="1">
      <c r="B776" s="23">
        <v>775</v>
      </c>
      <c r="C776" s="13" t="s">
        <v>58</v>
      </c>
      <c r="D776" t="s">
        <v>0</v>
      </c>
      <c r="E776" t="s">
        <v>3</v>
      </c>
      <c r="F776">
        <v>100</v>
      </c>
      <c r="G776" t="s">
        <v>17</v>
      </c>
      <c r="H776" s="5">
        <v>43831</v>
      </c>
      <c r="I776" s="5">
        <v>44562</v>
      </c>
      <c r="J776">
        <v>14</v>
      </c>
      <c r="K776">
        <v>9</v>
      </c>
      <c r="L776">
        <v>28</v>
      </c>
      <c r="M776">
        <v>72</v>
      </c>
      <c r="N776">
        <v>1000000</v>
      </c>
      <c r="O776">
        <f>VLOOKUP($B776&amp;O$1,Data!$A$2:$D$12000,4,FALSE)</f>
        <v>4.0000000000000003E-5</v>
      </c>
      <c r="P776">
        <f>VLOOKUP($B776&amp;P$1,Data!$A$2:$D$12000,4,FALSE)</f>
        <v>-2.153</v>
      </c>
      <c r="Q776">
        <f>VLOOKUP($B776&amp;Q$1,Data!$A$2:$D$12000,4,FALSE)</f>
        <v>842</v>
      </c>
      <c r="R776">
        <f>VLOOKUP($B776&amp;R$1,Data!$A$2:$D$12000,4,FALSE)</f>
        <v>1E-4</v>
      </c>
      <c r="S776">
        <f>VLOOKUP($B776&amp;S$1,Data!$A$2:$D$12000,4,FALSE)</f>
        <v>-6.9999999999999999E-4</v>
      </c>
      <c r="T776">
        <f>VLOOKUP($B776&amp;T$1,Data!$A$2:$D$12000,4,FALSE)</f>
        <v>-2.0539999999999999E-2</v>
      </c>
      <c r="U776">
        <f>VLOOKUP($B776&amp;U$1,Data!$A$2:$D$12000,4,FALSE)</f>
        <v>1.4999999999999999E-2</v>
      </c>
      <c r="V776">
        <f>VLOOKUP($B776&amp;V$1,Data!$A$2:$D$12000,4,FALSE)</f>
        <v>-0.215</v>
      </c>
      <c r="W776">
        <f>VLOOKUP($B776&amp;W$1,Data!$A$2:$D$12000,4,FALSE)</f>
        <v>-1.372E-2</v>
      </c>
      <c r="X776">
        <f>VLOOKUP($B776&amp;X$1,Data!$A$2:$D$12000,4,FALSE)</f>
        <v>0.34</v>
      </c>
      <c r="Y776">
        <f>VLOOKUP($B776&amp;Y$1,Data!$A$2:$D$12000,4,FALSE)</f>
        <v>0.66</v>
      </c>
      <c r="Z776">
        <f>VLOOKUP($B776&amp;Z$1,Data!$A$2:$D$12000,4,FALSE)</f>
        <v>0.19</v>
      </c>
      <c r="AA776">
        <f>VLOOKUP($B776&amp;AA$1,Data!$A$2:$D$12000,4,FALSE)</f>
        <v>-1.4E-2</v>
      </c>
      <c r="AB776">
        <f>VLOOKUP($B776&amp;AB$1,Data!$A$2:$D$12000,4,FALSE)</f>
        <v>-8.0000000000000002E-3</v>
      </c>
      <c r="AC776">
        <f>VLOOKUP($B776&amp;AC$1,Data!$A$2:$D$12000,4,FALSE)</f>
        <v>7.0000000000000001E-3</v>
      </c>
      <c r="AD776">
        <f>VLOOKUP($B776&amp;AD$1,Data!$A$2:$D$12000,4,FALSE)</f>
        <v>0</v>
      </c>
      <c r="AE776">
        <f>VLOOKUP($B776&amp;AE$1,Data!$A$2:$D$12000,4,FALSE)</f>
        <v>-0.97199999999999998</v>
      </c>
      <c r="AF776">
        <f>VLOOKUP($B776&amp;AF$1,Data!$A$2:$D$12000,4,FALSE)</f>
        <v>6.8000000000000005E-2</v>
      </c>
      <c r="AG776">
        <f>VLOOKUP($B776&amp;AG$1,Data!$A$2:$D$12000,4,FALSE)</f>
        <v>1.7989999999999999</v>
      </c>
      <c r="AH776">
        <f>VLOOKUP($B776&amp;AH$1,Data!$A$2:$D$12000,4,FALSE)</f>
        <v>0</v>
      </c>
      <c r="AI776">
        <f>VLOOKUP($B776&amp;AI$1,Data!$A$2:$D$12000,4,FALSE)</f>
        <v>6500000</v>
      </c>
    </row>
    <row r="777" spans="2:35" hidden="1">
      <c r="B777" s="23">
        <v>776</v>
      </c>
      <c r="C777" s="13" t="s">
        <v>58</v>
      </c>
      <c r="D777" t="s">
        <v>0</v>
      </c>
      <c r="E777" t="s">
        <v>3</v>
      </c>
      <c r="F777">
        <v>1000</v>
      </c>
      <c r="G777" t="s">
        <v>17</v>
      </c>
      <c r="H777" s="5">
        <v>43831</v>
      </c>
      <c r="I777" s="5">
        <v>44562</v>
      </c>
      <c r="J777">
        <v>14</v>
      </c>
      <c r="K777">
        <v>9</v>
      </c>
      <c r="L777">
        <v>28</v>
      </c>
      <c r="M777">
        <v>72</v>
      </c>
      <c r="N777">
        <v>1000000</v>
      </c>
      <c r="O777">
        <f>VLOOKUP($B777&amp;O$1,Data!$A$2:$D$12000,4,FALSE)</f>
        <v>5.96E-3</v>
      </c>
      <c r="P777">
        <f>VLOOKUP($B777&amp;P$1,Data!$A$2:$D$12000,4,FALSE)</f>
        <v>-1.454</v>
      </c>
      <c r="Q777">
        <f>VLOOKUP($B777&amp;Q$1,Data!$A$2:$D$12000,4,FALSE)</f>
        <v>648</v>
      </c>
      <c r="R777">
        <f>VLOOKUP($B777&amp;R$1,Data!$A$2:$D$12000,4,FALSE)</f>
        <v>5.0000000000000001E-4</v>
      </c>
      <c r="S777">
        <f>VLOOKUP($B777&amp;S$1,Data!$A$2:$D$12000,4,FALSE)</f>
        <v>-1.6000000000000001E-3</v>
      </c>
      <c r="T777">
        <f>VLOOKUP($B777&amp;T$1,Data!$A$2:$D$12000,4,FALSE)</f>
        <v>-3.3500000000000002E-2</v>
      </c>
      <c r="U777">
        <f>VLOOKUP($B777&amp;U$1,Data!$A$2:$D$12000,4,FALSE)</f>
        <v>3.5999999999999997E-2</v>
      </c>
      <c r="V777">
        <f>VLOOKUP($B777&amp;V$1,Data!$A$2:$D$12000,4,FALSE)</f>
        <v>-0.154</v>
      </c>
      <c r="W777">
        <f>VLOOKUP($B777&amp;W$1,Data!$A$2:$D$12000,4,FALSE)</f>
        <v>-2.2419999999999999E-2</v>
      </c>
      <c r="X777">
        <f>VLOOKUP($B777&amp;X$1,Data!$A$2:$D$12000,4,FALSE)</f>
        <v>0.34</v>
      </c>
      <c r="Y777">
        <f>VLOOKUP($B777&amp;Y$1,Data!$A$2:$D$12000,4,FALSE)</f>
        <v>0.66</v>
      </c>
      <c r="Z777">
        <f>VLOOKUP($B777&amp;Z$1,Data!$A$2:$D$12000,4,FALSE)</f>
        <v>0.28000000000000003</v>
      </c>
      <c r="AA777">
        <f>VLOOKUP($B777&amp;AA$1,Data!$A$2:$D$12000,4,FALSE)</f>
        <v>-2.1999999999999999E-2</v>
      </c>
      <c r="AB777">
        <f>VLOOKUP($B777&amp;AB$1,Data!$A$2:$D$12000,4,FALSE)</f>
        <v>-1.9E-2</v>
      </c>
      <c r="AC777">
        <f>VLOOKUP($B777&amp;AC$1,Data!$A$2:$D$12000,4,FALSE)</f>
        <v>1.6E-2</v>
      </c>
      <c r="AD777">
        <f>VLOOKUP($B777&amp;AD$1,Data!$A$2:$D$12000,4,FALSE)</f>
        <v>0</v>
      </c>
      <c r="AE777">
        <f>VLOOKUP($B777&amp;AE$1,Data!$A$2:$D$12000,4,FALSE)</f>
        <v>-1.0289999999999999</v>
      </c>
      <c r="AF777">
        <f>VLOOKUP($B777&amp;AF$1,Data!$A$2:$D$12000,4,FALSE)</f>
        <v>7.0000000000000007E-2</v>
      </c>
      <c r="AG777">
        <f>VLOOKUP($B777&amp;AG$1,Data!$A$2:$D$12000,4,FALSE)</f>
        <v>1.2110000000000001</v>
      </c>
      <c r="AH777">
        <f>VLOOKUP($B777&amp;AH$1,Data!$A$2:$D$12000,4,FALSE)</f>
        <v>0</v>
      </c>
      <c r="AI777">
        <f>VLOOKUP($B777&amp;AI$1,Data!$A$2:$D$12000,4,FALSE)</f>
        <v>6500000</v>
      </c>
    </row>
    <row r="778" spans="2:35" hidden="1">
      <c r="B778" s="23">
        <v>777</v>
      </c>
      <c r="C778" s="13" t="s">
        <v>58</v>
      </c>
      <c r="D778" t="s">
        <v>0</v>
      </c>
      <c r="E778" t="s">
        <v>3</v>
      </c>
      <c r="F778">
        <v>5000</v>
      </c>
      <c r="G778" t="s">
        <v>17</v>
      </c>
      <c r="H778" s="5">
        <v>43831</v>
      </c>
      <c r="I778" s="5">
        <v>44562</v>
      </c>
      <c r="J778">
        <v>14</v>
      </c>
      <c r="K778">
        <v>9</v>
      </c>
      <c r="L778">
        <v>28</v>
      </c>
      <c r="M778">
        <v>72</v>
      </c>
      <c r="N778">
        <v>1000000</v>
      </c>
      <c r="O778">
        <f>VLOOKUP($B778&amp;O$1,Data!$A$2:$D$12000,4,FALSE)</f>
        <v>1.506E-2</v>
      </c>
      <c r="P778">
        <f>VLOOKUP($B778&amp;P$1,Data!$A$2:$D$12000,4,FALSE)</f>
        <v>-1.123</v>
      </c>
      <c r="Q778">
        <f>VLOOKUP($B778&amp;Q$1,Data!$A$2:$D$12000,4,FALSE)</f>
        <v>505</v>
      </c>
      <c r="R778">
        <f>VLOOKUP($B778&amp;R$1,Data!$A$2:$D$12000,4,FALSE)</f>
        <v>5.9999999999999995E-4</v>
      </c>
      <c r="S778">
        <f>VLOOKUP($B778&amp;S$1,Data!$A$2:$D$12000,4,FALSE)</f>
        <v>-2.3E-3</v>
      </c>
      <c r="T778">
        <f>VLOOKUP($B778&amp;T$1,Data!$A$2:$D$12000,4,FALSE)</f>
        <v>-3.2500000000000001E-2</v>
      </c>
      <c r="U778">
        <f>VLOOKUP($B778&amp;U$1,Data!$A$2:$D$12000,4,FALSE)</f>
        <v>0.05</v>
      </c>
      <c r="V778">
        <f>VLOOKUP($B778&amp;V$1,Data!$A$2:$D$12000,4,FALSE)</f>
        <v>-0.107</v>
      </c>
      <c r="W778">
        <f>VLOOKUP($B778&amp;W$1,Data!$A$2:$D$12000,4,FALSE)</f>
        <v>-2.1749999999999999E-2</v>
      </c>
      <c r="X778">
        <f>VLOOKUP($B778&amp;X$1,Data!$A$2:$D$12000,4,FALSE)</f>
        <v>0.3</v>
      </c>
      <c r="Y778">
        <f>VLOOKUP($B778&amp;Y$1,Data!$A$2:$D$12000,4,FALSE)</f>
        <v>0.7</v>
      </c>
      <c r="Z778">
        <f>VLOOKUP($B778&amp;Z$1,Data!$A$2:$D$12000,4,FALSE)</f>
        <v>0.27</v>
      </c>
      <c r="AA778">
        <f>VLOOKUP($B778&amp;AA$1,Data!$A$2:$D$12000,4,FALSE)</f>
        <v>-2.1999999999999999E-2</v>
      </c>
      <c r="AB778">
        <f>VLOOKUP($B778&amp;AB$1,Data!$A$2:$D$12000,4,FALSE)</f>
        <v>-5.0000000000000001E-3</v>
      </c>
      <c r="AC778">
        <f>VLOOKUP($B778&amp;AC$1,Data!$A$2:$D$12000,4,FALSE)</f>
        <v>0.02</v>
      </c>
      <c r="AD778">
        <f>VLOOKUP($B778&amp;AD$1,Data!$A$2:$D$12000,4,FALSE)</f>
        <v>0</v>
      </c>
      <c r="AE778">
        <f>VLOOKUP($B778&amp;AE$1,Data!$A$2:$D$12000,4,FALSE)</f>
        <v>-1.056</v>
      </c>
      <c r="AF778">
        <f>VLOOKUP($B778&amp;AF$1,Data!$A$2:$D$12000,4,FALSE)</f>
        <v>7.0000000000000007E-2</v>
      </c>
      <c r="AG778">
        <f>VLOOKUP($B778&amp;AG$1,Data!$A$2:$D$12000,4,FALSE)</f>
        <v>4.9290000000000003</v>
      </c>
      <c r="AH778">
        <f>VLOOKUP($B778&amp;AH$1,Data!$A$2:$D$12000,4,FALSE)</f>
        <v>0</v>
      </c>
      <c r="AI778">
        <f>VLOOKUP($B778&amp;AI$1,Data!$A$2:$D$12000,4,FALSE)</f>
        <v>6400000</v>
      </c>
    </row>
    <row r="779" spans="2:35" hidden="1">
      <c r="B779" s="23">
        <v>778</v>
      </c>
      <c r="C779" s="13" t="s">
        <v>58</v>
      </c>
      <c r="D779" t="s">
        <v>0</v>
      </c>
      <c r="E779" t="s">
        <v>2</v>
      </c>
      <c r="F779">
        <v>100</v>
      </c>
      <c r="G779" t="s">
        <v>17</v>
      </c>
      <c r="H779" s="5">
        <v>43831</v>
      </c>
      <c r="I779" s="5">
        <v>44562</v>
      </c>
      <c r="J779">
        <v>14</v>
      </c>
      <c r="K779">
        <v>9</v>
      </c>
      <c r="L779">
        <v>28</v>
      </c>
      <c r="M779">
        <v>72</v>
      </c>
      <c r="N779">
        <v>1000000</v>
      </c>
      <c r="O779">
        <f>VLOOKUP($B779&amp;O$1,Data!$A$2:$D$12000,4,FALSE)</f>
        <v>0</v>
      </c>
      <c r="P779">
        <f>VLOOKUP($B779&amp;P$1,Data!$A$2:$D$12000,4,FALSE)</f>
        <v>-3.0870000000000002</v>
      </c>
      <c r="Q779">
        <f>VLOOKUP($B779&amp;Q$1,Data!$A$2:$D$12000,4,FALSE)</f>
        <v>873</v>
      </c>
      <c r="R779">
        <f>VLOOKUP($B779&amp;R$1,Data!$A$2:$D$12000,4,FALSE)</f>
        <v>1E-4</v>
      </c>
      <c r="S779">
        <f>VLOOKUP($B779&amp;S$1,Data!$A$2:$D$12000,4,FALSE)</f>
        <v>-5.0000000000000001E-4</v>
      </c>
      <c r="T779">
        <f>VLOOKUP($B779&amp;T$1,Data!$A$2:$D$12000,4,FALSE)</f>
        <v>-2.298E-2</v>
      </c>
      <c r="U779">
        <f>VLOOKUP($B779&amp;U$1,Data!$A$2:$D$12000,4,FALSE)</f>
        <v>1.4999999999999999E-2</v>
      </c>
      <c r="V779">
        <f>VLOOKUP($B779&amp;V$1,Data!$A$2:$D$12000,4,FALSE)</f>
        <v>-0.30599999999999999</v>
      </c>
      <c r="W779">
        <f>VLOOKUP($B779&amp;W$1,Data!$A$2:$D$12000,4,FALSE)</f>
        <v>-1.5350000000000001E-2</v>
      </c>
      <c r="X779">
        <f>VLOOKUP($B779&amp;X$1,Data!$A$2:$D$12000,4,FALSE)</f>
        <v>0.4</v>
      </c>
      <c r="Y779">
        <f>VLOOKUP($B779&amp;Y$1,Data!$A$2:$D$12000,4,FALSE)</f>
        <v>0.6</v>
      </c>
      <c r="Z779">
        <f>VLOOKUP($B779&amp;Z$1,Data!$A$2:$D$12000,4,FALSE)</f>
        <v>0.16</v>
      </c>
      <c r="AA779">
        <f>VLOOKUP($B779&amp;AA$1,Data!$A$2:$D$12000,4,FALSE)</f>
        <v>-1.6E-2</v>
      </c>
      <c r="AB779">
        <f>VLOOKUP($B779&amp;AB$1,Data!$A$2:$D$12000,4,FALSE)</f>
        <v>-5.0000000000000001E-3</v>
      </c>
      <c r="AC779">
        <f>VLOOKUP($B779&amp;AC$1,Data!$A$2:$D$12000,4,FALSE)</f>
        <v>5.0000000000000001E-3</v>
      </c>
      <c r="AD779">
        <f>VLOOKUP($B779&amp;AD$1,Data!$A$2:$D$12000,4,FALSE)</f>
        <v>0</v>
      </c>
      <c r="AE779">
        <f>VLOOKUP($B779&amp;AE$1,Data!$A$2:$D$12000,4,FALSE)</f>
        <v>-1.002</v>
      </c>
      <c r="AF779">
        <f>VLOOKUP($B779&amp;AF$1,Data!$A$2:$D$12000,4,FALSE)</f>
        <v>6.8000000000000005E-2</v>
      </c>
      <c r="AG779">
        <f>VLOOKUP($B779&amp;AG$1,Data!$A$2:$D$12000,4,FALSE)</f>
        <v>3.2320000000000002</v>
      </c>
      <c r="AH779">
        <f>VLOOKUP($B779&amp;AH$1,Data!$A$2:$D$12000,4,FALSE)</f>
        <v>0</v>
      </c>
      <c r="AI779">
        <f>VLOOKUP($B779&amp;AI$1,Data!$A$2:$D$12000,4,FALSE)</f>
        <v>6700000</v>
      </c>
    </row>
    <row r="780" spans="2:35" hidden="1">
      <c r="B780" s="23">
        <v>779</v>
      </c>
      <c r="C780" s="13" t="s">
        <v>58</v>
      </c>
      <c r="D780" t="s">
        <v>0</v>
      </c>
      <c r="E780" t="s">
        <v>2</v>
      </c>
      <c r="F780">
        <v>1000</v>
      </c>
      <c r="G780" t="s">
        <v>17</v>
      </c>
      <c r="H780" s="5">
        <v>43831</v>
      </c>
      <c r="I780" s="5">
        <v>44562</v>
      </c>
      <c r="J780">
        <v>14</v>
      </c>
      <c r="K780">
        <v>9</v>
      </c>
      <c r="L780">
        <v>28</v>
      </c>
      <c r="M780">
        <v>72</v>
      </c>
      <c r="N780">
        <v>1000000</v>
      </c>
      <c r="O780">
        <f>VLOOKUP($B780&amp;O$1,Data!$A$2:$D$12000,4,FALSE)</f>
        <v>1.0000000000000001E-5</v>
      </c>
      <c r="P780">
        <f>VLOOKUP($B780&amp;P$1,Data!$A$2:$D$12000,4,FALSE)</f>
        <v>-2.7309999999999999</v>
      </c>
      <c r="Q780">
        <f>VLOOKUP($B780&amp;Q$1,Data!$A$2:$D$12000,4,FALSE)</f>
        <v>696</v>
      </c>
      <c r="R780">
        <f>VLOOKUP($B780&amp;R$1,Data!$A$2:$D$12000,4,FALSE)</f>
        <v>2.9999999999999997E-4</v>
      </c>
      <c r="S780">
        <f>VLOOKUP($B780&amp;S$1,Data!$A$2:$D$12000,4,FALSE)</f>
        <v>-1.2999999999999999E-3</v>
      </c>
      <c r="T780">
        <f>VLOOKUP($B780&amp;T$1,Data!$A$2:$D$12000,4,FALSE)</f>
        <v>-5.3949999999999998E-2</v>
      </c>
      <c r="U780">
        <f>VLOOKUP($B780&amp;U$1,Data!$A$2:$D$12000,4,FALSE)</f>
        <v>3.7999999999999999E-2</v>
      </c>
      <c r="V780">
        <f>VLOOKUP($B780&amp;V$1,Data!$A$2:$D$12000,4,FALSE)</f>
        <v>-0.25700000000000001</v>
      </c>
      <c r="W780">
        <f>VLOOKUP($B780&amp;W$1,Data!$A$2:$D$12000,4,FALSE)</f>
        <v>-3.6240000000000001E-2</v>
      </c>
      <c r="X780">
        <f>VLOOKUP($B780&amp;X$1,Data!$A$2:$D$12000,4,FALSE)</f>
        <v>0.39</v>
      </c>
      <c r="Y780">
        <f>VLOOKUP($B780&amp;Y$1,Data!$A$2:$D$12000,4,FALSE)</f>
        <v>0.61</v>
      </c>
      <c r="Z780">
        <f>VLOOKUP($B780&amp;Z$1,Data!$A$2:$D$12000,4,FALSE)</f>
        <v>0.21</v>
      </c>
      <c r="AA780">
        <f>VLOOKUP($B780&amp;AA$1,Data!$A$2:$D$12000,4,FALSE)</f>
        <v>-3.6999999999999998E-2</v>
      </c>
      <c r="AB780">
        <f>VLOOKUP($B780&amp;AB$1,Data!$A$2:$D$12000,4,FALSE)</f>
        <v>-1.9E-2</v>
      </c>
      <c r="AC780">
        <f>VLOOKUP($B780&amp;AC$1,Data!$A$2:$D$12000,4,FALSE)</f>
        <v>1.4E-2</v>
      </c>
      <c r="AD780">
        <f>VLOOKUP($B780&amp;AD$1,Data!$A$2:$D$12000,4,FALSE)</f>
        <v>0</v>
      </c>
      <c r="AE780">
        <f>VLOOKUP($B780&amp;AE$1,Data!$A$2:$D$12000,4,FALSE)</f>
        <v>-1.282</v>
      </c>
      <c r="AF780">
        <f>VLOOKUP($B780&amp;AF$1,Data!$A$2:$D$12000,4,FALSE)</f>
        <v>7.0000000000000007E-2</v>
      </c>
      <c r="AG780">
        <f>VLOOKUP($B780&amp;AG$1,Data!$A$2:$D$12000,4,FALSE)</f>
        <v>2.0329999999999999</v>
      </c>
      <c r="AH780">
        <f>VLOOKUP($B780&amp;AH$1,Data!$A$2:$D$12000,4,FALSE)</f>
        <v>0</v>
      </c>
      <c r="AI780">
        <f>VLOOKUP($B780&amp;AI$1,Data!$A$2:$D$12000,4,FALSE)</f>
        <v>7400000</v>
      </c>
    </row>
    <row r="781" spans="2:35" hidden="1">
      <c r="B781" s="23">
        <v>780</v>
      </c>
      <c r="C781" s="13" t="s">
        <v>58</v>
      </c>
      <c r="D781" t="s">
        <v>0</v>
      </c>
      <c r="E781" t="s">
        <v>2</v>
      </c>
      <c r="F781">
        <v>5000</v>
      </c>
      <c r="G781" t="s">
        <v>17</v>
      </c>
      <c r="H781" s="5">
        <v>43831</v>
      </c>
      <c r="I781" s="5">
        <v>44562</v>
      </c>
      <c r="J781">
        <v>14</v>
      </c>
      <c r="K781">
        <v>9</v>
      </c>
      <c r="L781">
        <v>28</v>
      </c>
      <c r="M781">
        <v>72</v>
      </c>
      <c r="N781">
        <v>1000000</v>
      </c>
      <c r="O781">
        <f>VLOOKUP($B781&amp;O$1,Data!$A$2:$D$12000,4,FALSE)</f>
        <v>2.3900000000000002E-3</v>
      </c>
      <c r="P781">
        <f>VLOOKUP($B781&amp;P$1,Data!$A$2:$D$12000,4,FALSE)</f>
        <v>-1.5880000000000001</v>
      </c>
      <c r="Q781">
        <f>VLOOKUP($B781&amp;Q$1,Data!$A$2:$D$12000,4,FALSE)</f>
        <v>535</v>
      </c>
      <c r="R781">
        <f>VLOOKUP($B781&amp;R$1,Data!$A$2:$D$12000,4,FALSE)</f>
        <v>5.9999999999999995E-4</v>
      </c>
      <c r="S781">
        <f>VLOOKUP($B781&amp;S$1,Data!$A$2:$D$12000,4,FALSE)</f>
        <v>-2.0999999999999999E-3</v>
      </c>
      <c r="T781">
        <f>VLOOKUP($B781&amp;T$1,Data!$A$2:$D$12000,4,FALSE)</f>
        <v>-4.7010000000000003E-2</v>
      </c>
      <c r="U781">
        <f>VLOOKUP($B781&amp;U$1,Data!$A$2:$D$12000,4,FALSE)</f>
        <v>3.7999999999999999E-2</v>
      </c>
      <c r="V781">
        <f>VLOOKUP($B781&amp;V$1,Data!$A$2:$D$12000,4,FALSE)</f>
        <v>-0.161</v>
      </c>
      <c r="W781">
        <f>VLOOKUP($B781&amp;W$1,Data!$A$2:$D$12000,4,FALSE)</f>
        <v>-3.1550000000000002E-2</v>
      </c>
      <c r="X781">
        <f>VLOOKUP($B781&amp;X$1,Data!$A$2:$D$12000,4,FALSE)</f>
        <v>0.34</v>
      </c>
      <c r="Y781">
        <f>VLOOKUP($B781&amp;Y$1,Data!$A$2:$D$12000,4,FALSE)</f>
        <v>0.66</v>
      </c>
      <c r="Z781">
        <f>VLOOKUP($B781&amp;Z$1,Data!$A$2:$D$12000,4,FALSE)</f>
        <v>0.27</v>
      </c>
      <c r="AA781">
        <f>VLOOKUP($B781&amp;AA$1,Data!$A$2:$D$12000,4,FALSE)</f>
        <v>-3.1E-2</v>
      </c>
      <c r="AB781">
        <f>VLOOKUP($B781&amp;AB$1,Data!$A$2:$D$12000,4,FALSE)</f>
        <v>-3.9E-2</v>
      </c>
      <c r="AC781">
        <f>VLOOKUP($B781&amp;AC$1,Data!$A$2:$D$12000,4,FALSE)</f>
        <v>2.1000000000000001E-2</v>
      </c>
      <c r="AD781">
        <f>VLOOKUP($B781&amp;AD$1,Data!$A$2:$D$12000,4,FALSE)</f>
        <v>0</v>
      </c>
      <c r="AE781">
        <f>VLOOKUP($B781&amp;AE$1,Data!$A$2:$D$12000,4,FALSE)</f>
        <v>-1.1619999999999999</v>
      </c>
      <c r="AF781">
        <f>VLOOKUP($B781&amp;AF$1,Data!$A$2:$D$12000,4,FALSE)</f>
        <v>7.2999999999999995E-2</v>
      </c>
      <c r="AG781">
        <f>VLOOKUP($B781&amp;AG$1,Data!$A$2:$D$12000,4,FALSE)</f>
        <v>0.83399999999999996</v>
      </c>
      <c r="AH781">
        <f>VLOOKUP($B781&amp;AH$1,Data!$A$2:$D$12000,4,FALSE)</f>
        <v>0</v>
      </c>
      <c r="AI781">
        <f>VLOOKUP($B781&amp;AI$1,Data!$A$2:$D$12000,4,FALSE)</f>
        <v>7500000</v>
      </c>
    </row>
    <row r="782" spans="2:35" hidden="1">
      <c r="B782" s="23">
        <v>781</v>
      </c>
      <c r="C782" s="13" t="s">
        <v>58</v>
      </c>
      <c r="D782" t="s">
        <v>0</v>
      </c>
      <c r="E782" t="s">
        <v>22</v>
      </c>
      <c r="F782">
        <v>100</v>
      </c>
      <c r="G782" t="s">
        <v>17</v>
      </c>
      <c r="H782" s="5">
        <v>43831</v>
      </c>
      <c r="I782" s="5">
        <v>44562</v>
      </c>
      <c r="J782">
        <v>14</v>
      </c>
      <c r="K782">
        <v>9</v>
      </c>
      <c r="L782">
        <v>28</v>
      </c>
      <c r="M782">
        <v>72</v>
      </c>
      <c r="N782">
        <v>1000000</v>
      </c>
      <c r="O782">
        <f>VLOOKUP($B782&amp;O$1,Data!$A$2:$D$12000,4,FALSE)</f>
        <v>0.15648999999999999</v>
      </c>
      <c r="P782">
        <f>VLOOKUP($B782&amp;P$1,Data!$A$2:$D$12000,4,FALSE)</f>
        <v>-3.3000000000000002E-2</v>
      </c>
      <c r="Q782">
        <f>VLOOKUP($B782&amp;Q$1,Data!$A$2:$D$12000,4,FALSE)</f>
        <v>760</v>
      </c>
      <c r="R782">
        <f>VLOOKUP($B782&amp;R$1,Data!$A$2:$D$12000,4,FALSE)</f>
        <v>1E-4</v>
      </c>
      <c r="S782">
        <f>VLOOKUP($B782&amp;S$1,Data!$A$2:$D$12000,4,FALSE)</f>
        <v>-2.9999999999999997E-4</v>
      </c>
      <c r="T782">
        <f>VLOOKUP($B782&amp;T$1,Data!$A$2:$D$12000,4,FALSE)</f>
        <v>-2.3000000000000001E-4</v>
      </c>
      <c r="U782">
        <f>VLOOKUP($B782&amp;U$1,Data!$A$2:$D$12000,4,FALSE)</f>
        <v>5.0000000000000001E-3</v>
      </c>
      <c r="V782">
        <f>VLOOKUP($B782&amp;V$1,Data!$A$2:$D$12000,4,FALSE)</f>
        <v>-4.0000000000000001E-3</v>
      </c>
      <c r="W782">
        <f>VLOOKUP($B782&amp;W$1,Data!$A$2:$D$12000,4,FALSE)</f>
        <v>-1.4999999999999999E-4</v>
      </c>
      <c r="X782">
        <f>VLOOKUP($B782&amp;X$1,Data!$A$2:$D$12000,4,FALSE)</f>
        <v>0.34</v>
      </c>
      <c r="Y782">
        <f>VLOOKUP($B782&amp;Y$1,Data!$A$2:$D$12000,4,FALSE)</f>
        <v>0.66</v>
      </c>
      <c r="Z782">
        <f>VLOOKUP($B782&amp;Z$1,Data!$A$2:$D$12000,4,FALSE)</f>
        <v>0.51</v>
      </c>
      <c r="AA782">
        <f>VLOOKUP($B782&amp;AA$1,Data!$A$2:$D$12000,4,FALSE)</f>
        <v>0</v>
      </c>
      <c r="AB782">
        <f>VLOOKUP($B782&amp;AB$1,Data!$A$2:$D$12000,4,FALSE)</f>
        <v>0</v>
      </c>
      <c r="AC782">
        <f>VLOOKUP($B782&amp;AC$1,Data!$A$2:$D$12000,4,FALSE)</f>
        <v>5.0000000000000001E-3</v>
      </c>
      <c r="AD782">
        <f>VLOOKUP($B782&amp;AD$1,Data!$A$2:$D$12000,4,FALSE)</f>
        <v>0</v>
      </c>
      <c r="AE782">
        <f>VLOOKUP($B782&amp;AE$1,Data!$A$2:$D$12000,4,FALSE)</f>
        <v>-0.77300000000000002</v>
      </c>
      <c r="AF782">
        <f>VLOOKUP($B782&amp;AF$1,Data!$A$2:$D$12000,4,FALSE)</f>
        <v>6.7000000000000004E-2</v>
      </c>
      <c r="AG782">
        <f>VLOOKUP($B782&amp;AG$1,Data!$A$2:$D$12000,4,FALSE)</f>
        <v>-0.63900000000000001</v>
      </c>
      <c r="AH782">
        <f>VLOOKUP($B782&amp;AH$1,Data!$A$2:$D$12000,4,FALSE)</f>
        <v>0</v>
      </c>
      <c r="AI782">
        <f>VLOOKUP($B782&amp;AI$1,Data!$A$2:$D$12000,4,FALSE)</f>
        <v>6600000</v>
      </c>
    </row>
    <row r="783" spans="2:35" hidden="1">
      <c r="B783" s="23">
        <v>782</v>
      </c>
      <c r="C783" s="13" t="s">
        <v>58</v>
      </c>
      <c r="D783" t="s">
        <v>0</v>
      </c>
      <c r="E783" t="s">
        <v>22</v>
      </c>
      <c r="F783">
        <v>1000</v>
      </c>
      <c r="G783" t="s">
        <v>17</v>
      </c>
      <c r="H783" s="5">
        <v>43831</v>
      </c>
      <c r="I783" s="5">
        <v>44562</v>
      </c>
      <c r="J783">
        <v>14</v>
      </c>
      <c r="K783">
        <v>9</v>
      </c>
      <c r="L783">
        <v>28</v>
      </c>
      <c r="M783">
        <v>72</v>
      </c>
      <c r="N783">
        <v>1000000</v>
      </c>
      <c r="O783">
        <f>VLOOKUP($B783&amp;O$1,Data!$A$2:$D$12000,4,FALSE)</f>
        <v>0.12211</v>
      </c>
      <c r="P783">
        <f>VLOOKUP($B783&amp;P$1,Data!$A$2:$D$12000,4,FALSE)</f>
        <v>-0.187</v>
      </c>
      <c r="Q783">
        <f>VLOOKUP($B783&amp;Q$1,Data!$A$2:$D$12000,4,FALSE)</f>
        <v>601</v>
      </c>
      <c r="R783">
        <f>VLOOKUP($B783&amp;R$1,Data!$A$2:$D$12000,4,FALSE)</f>
        <v>4.0000000000000002E-4</v>
      </c>
      <c r="S783">
        <f>VLOOKUP($B783&amp;S$1,Data!$A$2:$D$12000,4,FALSE)</f>
        <v>-1E-3</v>
      </c>
      <c r="T783">
        <f>VLOOKUP($B783&amp;T$1,Data!$A$2:$D$12000,4,FALSE)</f>
        <v>-4.4299999999999999E-3</v>
      </c>
      <c r="U783">
        <f>VLOOKUP($B783&amp;U$1,Data!$A$2:$D$12000,4,FALSE)</f>
        <v>1.7999999999999999E-2</v>
      </c>
      <c r="V783">
        <f>VLOOKUP($B783&amp;V$1,Data!$A$2:$D$12000,4,FALSE)</f>
        <v>-2.9000000000000001E-2</v>
      </c>
      <c r="W783">
        <f>VLOOKUP($B783&amp;W$1,Data!$A$2:$D$12000,4,FALSE)</f>
        <v>-2.9499999999999999E-3</v>
      </c>
      <c r="X783">
        <f>VLOOKUP($B783&amp;X$1,Data!$A$2:$D$12000,4,FALSE)</f>
        <v>0.32</v>
      </c>
      <c r="Y783">
        <f>VLOOKUP($B783&amp;Y$1,Data!$A$2:$D$12000,4,FALSE)</f>
        <v>0.68</v>
      </c>
      <c r="Z783">
        <f>VLOOKUP($B783&amp;Z$1,Data!$A$2:$D$12000,4,FALSE)</f>
        <v>0.43</v>
      </c>
      <c r="AA783">
        <f>VLOOKUP($B783&amp;AA$1,Data!$A$2:$D$12000,4,FALSE)</f>
        <v>-2E-3</v>
      </c>
      <c r="AB783">
        <f>VLOOKUP($B783&amp;AB$1,Data!$A$2:$D$12000,4,FALSE)</f>
        <v>-1.2E-2</v>
      </c>
      <c r="AC783">
        <f>VLOOKUP($B783&amp;AC$1,Data!$A$2:$D$12000,4,FALSE)</f>
        <v>1.6E-2</v>
      </c>
      <c r="AD783">
        <f>VLOOKUP($B783&amp;AD$1,Data!$A$2:$D$12000,4,FALSE)</f>
        <v>0</v>
      </c>
      <c r="AE783">
        <f>VLOOKUP($B783&amp;AE$1,Data!$A$2:$D$12000,4,FALSE)</f>
        <v>-0.78600000000000003</v>
      </c>
      <c r="AF783">
        <f>VLOOKUP($B783&amp;AF$1,Data!$A$2:$D$12000,4,FALSE)</f>
        <v>7.0000000000000007E-2</v>
      </c>
      <c r="AG783">
        <f>VLOOKUP($B783&amp;AG$1,Data!$A$2:$D$12000,4,FALSE)</f>
        <v>0.249</v>
      </c>
      <c r="AH783">
        <f>VLOOKUP($B783&amp;AH$1,Data!$A$2:$D$12000,4,FALSE)</f>
        <v>0</v>
      </c>
      <c r="AI783">
        <f>VLOOKUP($B783&amp;AI$1,Data!$A$2:$D$12000,4,FALSE)</f>
        <v>6900000</v>
      </c>
    </row>
    <row r="784" spans="2:35" hidden="1">
      <c r="B784" s="23">
        <v>783</v>
      </c>
      <c r="C784" s="13" t="s">
        <v>58</v>
      </c>
      <c r="D784" t="s">
        <v>0</v>
      </c>
      <c r="E784" t="s">
        <v>22</v>
      </c>
      <c r="F784">
        <v>5000</v>
      </c>
      <c r="G784" t="s">
        <v>17</v>
      </c>
      <c r="H784" s="5">
        <v>43831</v>
      </c>
      <c r="I784" s="5">
        <v>44562</v>
      </c>
      <c r="J784">
        <v>14</v>
      </c>
      <c r="K784">
        <v>9</v>
      </c>
      <c r="L784">
        <v>28</v>
      </c>
      <c r="M784">
        <v>72</v>
      </c>
      <c r="N784">
        <v>1000000</v>
      </c>
      <c r="O784">
        <f>VLOOKUP($B784&amp;O$1,Data!$A$2:$D$12000,4,FALSE)</f>
        <v>0.15756000000000001</v>
      </c>
      <c r="P784">
        <f>VLOOKUP($B784&amp;P$1,Data!$A$2:$D$12000,4,FALSE)</f>
        <v>-2.8000000000000001E-2</v>
      </c>
      <c r="Q784">
        <f>VLOOKUP($B784&amp;Q$1,Data!$A$2:$D$12000,4,FALSE)</f>
        <v>454</v>
      </c>
      <c r="R784">
        <f>VLOOKUP($B784&amp;R$1,Data!$A$2:$D$12000,4,FALSE)</f>
        <v>5.0000000000000001E-4</v>
      </c>
      <c r="S784">
        <f>VLOOKUP($B784&amp;S$1,Data!$A$2:$D$12000,4,FALSE)</f>
        <v>-1.1999999999999999E-3</v>
      </c>
      <c r="T784">
        <f>VLOOKUP($B784&amp;T$1,Data!$A$2:$D$12000,4,FALSE)</f>
        <v>-9.5E-4</v>
      </c>
      <c r="U784">
        <f>VLOOKUP($B784&amp;U$1,Data!$A$2:$D$12000,4,FALSE)</f>
        <v>1.4999999999999999E-2</v>
      </c>
      <c r="V784">
        <f>VLOOKUP($B784&amp;V$1,Data!$A$2:$D$12000,4,FALSE)</f>
        <v>-7.0000000000000001E-3</v>
      </c>
      <c r="W784">
        <f>VLOOKUP($B784&amp;W$1,Data!$A$2:$D$12000,4,FALSE)</f>
        <v>-6.3000000000000003E-4</v>
      </c>
      <c r="X784">
        <f>VLOOKUP($B784&amp;X$1,Data!$A$2:$D$12000,4,FALSE)</f>
        <v>0.32</v>
      </c>
      <c r="Y784">
        <f>VLOOKUP($B784&amp;Y$1,Data!$A$2:$D$12000,4,FALSE)</f>
        <v>0.68</v>
      </c>
      <c r="Z784">
        <f>VLOOKUP($B784&amp;Z$1,Data!$A$2:$D$12000,4,FALSE)</f>
        <v>0.46</v>
      </c>
      <c r="AA784">
        <f>VLOOKUP($B784&amp;AA$1,Data!$A$2:$D$12000,4,FALSE)</f>
        <v>0</v>
      </c>
      <c r="AB784">
        <f>VLOOKUP($B784&amp;AB$1,Data!$A$2:$D$12000,4,FALSE)</f>
        <v>-1.4999999999999999E-2</v>
      </c>
      <c r="AC784">
        <f>VLOOKUP($B784&amp;AC$1,Data!$A$2:$D$12000,4,FALSE)</f>
        <v>1.7999999999999999E-2</v>
      </c>
      <c r="AD784">
        <f>VLOOKUP($B784&amp;AD$1,Data!$A$2:$D$12000,4,FALSE)</f>
        <v>0</v>
      </c>
      <c r="AE784">
        <f>VLOOKUP($B784&amp;AE$1,Data!$A$2:$D$12000,4,FALSE)</f>
        <v>-0.74299999999999999</v>
      </c>
      <c r="AF784">
        <f>VLOOKUP($B784&amp;AF$1,Data!$A$2:$D$12000,4,FALSE)</f>
        <v>7.0999999999999994E-2</v>
      </c>
      <c r="AG784">
        <f>VLOOKUP($B784&amp;AG$1,Data!$A$2:$D$12000,4,FALSE)</f>
        <v>3.4000000000000002E-2</v>
      </c>
      <c r="AH784">
        <f>VLOOKUP($B784&amp;AH$1,Data!$A$2:$D$12000,4,FALSE)</f>
        <v>0</v>
      </c>
      <c r="AI784">
        <f>VLOOKUP($B784&amp;AI$1,Data!$A$2:$D$12000,4,FALSE)</f>
        <v>7000000</v>
      </c>
    </row>
    <row r="785" spans="2:35" hidden="1">
      <c r="B785" s="23">
        <v>784</v>
      </c>
      <c r="C785" s="13" t="s">
        <v>58</v>
      </c>
      <c r="D785" t="s">
        <v>5</v>
      </c>
      <c r="E785" t="s">
        <v>3</v>
      </c>
      <c r="F785">
        <v>100</v>
      </c>
      <c r="G785" t="s">
        <v>17</v>
      </c>
      <c r="H785" s="5">
        <v>43831</v>
      </c>
      <c r="I785" s="5">
        <v>44562</v>
      </c>
      <c r="J785">
        <v>14</v>
      </c>
      <c r="K785">
        <v>9</v>
      </c>
      <c r="L785">
        <v>30</v>
      </c>
      <c r="M785">
        <v>70</v>
      </c>
      <c r="N785">
        <v>1000000</v>
      </c>
      <c r="O785">
        <f>VLOOKUP($B785&amp;O$1,Data!$A$2:$D$12000,4,FALSE)</f>
        <v>5.5300000000000002E-2</v>
      </c>
      <c r="P785">
        <f>VLOOKUP($B785&amp;P$1,Data!$A$2:$D$12000,4,FALSE)</f>
        <v>-0.70099999999999996</v>
      </c>
      <c r="Q785">
        <f>VLOOKUP($B785&amp;Q$1,Data!$A$2:$D$12000,4,FALSE)</f>
        <v>1617</v>
      </c>
      <c r="R785">
        <f>VLOOKUP($B785&amp;R$1,Data!$A$2:$D$12000,4,FALSE)</f>
        <v>2.9999999999999997E-4</v>
      </c>
      <c r="S785">
        <f>VLOOKUP($B785&amp;S$1,Data!$A$2:$D$12000,4,FALSE)</f>
        <v>-5.9999999999999995E-4</v>
      </c>
      <c r="T785">
        <f>VLOOKUP($B785&amp;T$1,Data!$A$2:$D$12000,4,FALSE)</f>
        <v>-1.0359999999999999E-2</v>
      </c>
      <c r="U785">
        <f>VLOOKUP($B785&amp;U$1,Data!$A$2:$D$12000,4,FALSE)</f>
        <v>8.9999999999999993E-3</v>
      </c>
      <c r="V785">
        <f>VLOOKUP($B785&amp;V$1,Data!$A$2:$D$12000,4,FALSE)</f>
        <v>-7.9000000000000001E-2</v>
      </c>
      <c r="W785">
        <f>VLOOKUP($B785&amp;W$1,Data!$A$2:$D$12000,4,FALSE)</f>
        <v>-6.8799999999999998E-3</v>
      </c>
      <c r="X785">
        <f>VLOOKUP($B785&amp;X$1,Data!$A$2:$D$12000,4,FALSE)</f>
        <v>0.37</v>
      </c>
      <c r="Y785">
        <f>VLOOKUP($B785&amp;Y$1,Data!$A$2:$D$12000,4,FALSE)</f>
        <v>0.63</v>
      </c>
      <c r="Z785">
        <f>VLOOKUP($B785&amp;Z$1,Data!$A$2:$D$12000,4,FALSE)</f>
        <v>0.47</v>
      </c>
      <c r="AA785">
        <f>VLOOKUP($B785&amp;AA$1,Data!$A$2:$D$12000,4,FALSE)</f>
        <v>-8.0000000000000002E-3</v>
      </c>
      <c r="AB785">
        <f>VLOOKUP($B785&amp;AB$1,Data!$A$2:$D$12000,4,FALSE)</f>
        <v>2.1000000000000001E-2</v>
      </c>
      <c r="AC785">
        <f>VLOOKUP($B785&amp;AC$1,Data!$A$2:$D$12000,4,FALSE)</f>
        <v>0.01</v>
      </c>
      <c r="AD785">
        <f>VLOOKUP($B785&amp;AD$1,Data!$A$2:$D$12000,4,FALSE)</f>
        <v>0</v>
      </c>
      <c r="AE785">
        <f>VLOOKUP($B785&amp;AE$1,Data!$A$2:$D$12000,4,FALSE)</f>
        <v>-0.88800000000000001</v>
      </c>
      <c r="AF785">
        <f>VLOOKUP($B785&amp;AF$1,Data!$A$2:$D$12000,4,FALSE)</f>
        <v>6.7000000000000004E-2</v>
      </c>
      <c r="AG785">
        <f>VLOOKUP($B785&amp;AG$1,Data!$A$2:$D$12000,4,FALSE)</f>
        <v>-0.34499999999999997</v>
      </c>
      <c r="AH785">
        <f>VLOOKUP($B785&amp;AH$1,Data!$A$2:$D$12000,4,FALSE)</f>
        <v>0</v>
      </c>
      <c r="AI785">
        <f>VLOOKUP($B785&amp;AI$1,Data!$A$2:$D$12000,4,FALSE)</f>
        <v>3100000</v>
      </c>
    </row>
    <row r="786" spans="2:35" hidden="1">
      <c r="B786" s="23">
        <v>785</v>
      </c>
      <c r="C786" s="13" t="s">
        <v>58</v>
      </c>
      <c r="D786" t="s">
        <v>5</v>
      </c>
      <c r="E786" t="s">
        <v>3</v>
      </c>
      <c r="F786">
        <v>1000</v>
      </c>
      <c r="G786" t="s">
        <v>17</v>
      </c>
      <c r="H786" s="5">
        <v>43831</v>
      </c>
      <c r="I786" s="5">
        <v>44562</v>
      </c>
      <c r="J786">
        <v>14</v>
      </c>
      <c r="K786">
        <v>9</v>
      </c>
      <c r="L786">
        <v>30</v>
      </c>
      <c r="M786">
        <v>70</v>
      </c>
      <c r="N786">
        <v>1000000</v>
      </c>
      <c r="O786">
        <f>VLOOKUP($B786&amp;O$1,Data!$A$2:$D$12000,4,FALSE)</f>
        <v>4.1700000000000001E-3</v>
      </c>
      <c r="P786">
        <f>VLOOKUP($B786&amp;P$1,Data!$A$2:$D$12000,4,FALSE)</f>
        <v>-1.5920000000000001</v>
      </c>
      <c r="Q786">
        <f>VLOOKUP($B786&amp;Q$1,Data!$A$2:$D$12000,4,FALSE)</f>
        <v>1344</v>
      </c>
      <c r="R786">
        <f>VLOOKUP($B786&amp;R$1,Data!$A$2:$D$12000,4,FALSE)</f>
        <v>1.1000000000000001E-3</v>
      </c>
      <c r="S786">
        <f>VLOOKUP($B786&amp;S$1,Data!$A$2:$D$12000,4,FALSE)</f>
        <v>-3.0999999999999999E-3</v>
      </c>
      <c r="T786">
        <f>VLOOKUP($B786&amp;T$1,Data!$A$2:$D$12000,4,FALSE)</f>
        <v>-8.7029999999999996E-2</v>
      </c>
      <c r="U786">
        <f>VLOOKUP($B786&amp;U$1,Data!$A$2:$D$12000,4,FALSE)</f>
        <v>6.6000000000000003E-2</v>
      </c>
      <c r="V786">
        <f>VLOOKUP($B786&amp;V$1,Data!$A$2:$D$12000,4,FALSE)</f>
        <v>-0.14000000000000001</v>
      </c>
      <c r="W786">
        <f>VLOOKUP($B786&amp;W$1,Data!$A$2:$D$12000,4,FALSE)</f>
        <v>-5.8569999999999997E-2</v>
      </c>
      <c r="X786">
        <f>VLOOKUP($B786&amp;X$1,Data!$A$2:$D$12000,4,FALSE)</f>
        <v>0.37</v>
      </c>
      <c r="Y786">
        <f>VLOOKUP($B786&amp;Y$1,Data!$A$2:$D$12000,4,FALSE)</f>
        <v>0.63</v>
      </c>
      <c r="Z786">
        <f>VLOOKUP($B786&amp;Z$1,Data!$A$2:$D$12000,4,FALSE)</f>
        <v>0.36</v>
      </c>
      <c r="AA786">
        <f>VLOOKUP($B786&amp;AA$1,Data!$A$2:$D$12000,4,FALSE)</f>
        <v>-6.4000000000000001E-2</v>
      </c>
      <c r="AB786">
        <f>VLOOKUP($B786&amp;AB$1,Data!$A$2:$D$12000,4,FALSE)</f>
        <v>7.3999999999999996E-2</v>
      </c>
      <c r="AC786">
        <f>VLOOKUP($B786&amp;AC$1,Data!$A$2:$D$12000,4,FALSE)</f>
        <v>3.7999999999999999E-2</v>
      </c>
      <c r="AD786">
        <f>VLOOKUP($B786&amp;AD$1,Data!$A$2:$D$12000,4,FALSE)</f>
        <v>1E-3</v>
      </c>
      <c r="AE786">
        <f>VLOOKUP($B786&amp;AE$1,Data!$A$2:$D$12000,4,FALSE)</f>
        <v>-1.5369999999999999</v>
      </c>
      <c r="AF786">
        <f>VLOOKUP($B786&amp;AF$1,Data!$A$2:$D$12000,4,FALSE)</f>
        <v>7.2999999999999995E-2</v>
      </c>
      <c r="AG786">
        <f>VLOOKUP($B786&amp;AG$1,Data!$A$2:$D$12000,4,FALSE)</f>
        <v>-0.81499999999999995</v>
      </c>
      <c r="AH786">
        <f>VLOOKUP($B786&amp;AH$1,Data!$A$2:$D$12000,4,FALSE)</f>
        <v>0</v>
      </c>
      <c r="AI786">
        <f>VLOOKUP($B786&amp;AI$1,Data!$A$2:$D$12000,4,FALSE)</f>
        <v>3300000</v>
      </c>
    </row>
    <row r="787" spans="2:35" hidden="1">
      <c r="B787" s="23">
        <v>786</v>
      </c>
      <c r="C787" s="13" t="s">
        <v>58</v>
      </c>
      <c r="D787" t="s">
        <v>5</v>
      </c>
      <c r="E787" t="s">
        <v>3</v>
      </c>
      <c r="F787">
        <v>5000</v>
      </c>
      <c r="G787" t="s">
        <v>17</v>
      </c>
      <c r="H787" s="5">
        <v>43831</v>
      </c>
      <c r="I787" s="5">
        <v>44562</v>
      </c>
      <c r="J787">
        <v>14</v>
      </c>
      <c r="K787">
        <v>9</v>
      </c>
      <c r="L787">
        <v>30</v>
      </c>
      <c r="M787">
        <v>70</v>
      </c>
      <c r="N787">
        <v>1000000</v>
      </c>
      <c r="O787">
        <f>VLOOKUP($B787&amp;O$1,Data!$A$2:$D$12000,4,FALSE)</f>
        <v>7.6000000000000004E-4</v>
      </c>
      <c r="P787">
        <f>VLOOKUP($B787&amp;P$1,Data!$A$2:$D$12000,4,FALSE)</f>
        <v>-1.958</v>
      </c>
      <c r="Q787">
        <f>VLOOKUP($B787&amp;Q$1,Data!$A$2:$D$12000,4,FALSE)</f>
        <v>1018</v>
      </c>
      <c r="R787">
        <f>VLOOKUP($B787&amp;R$1,Data!$A$2:$D$12000,4,FALSE)</f>
        <v>1.1999999999999999E-3</v>
      </c>
      <c r="S787">
        <f>VLOOKUP($B787&amp;S$1,Data!$A$2:$D$12000,4,FALSE)</f>
        <v>-4.1000000000000003E-3</v>
      </c>
      <c r="T787">
        <f>VLOOKUP($B787&amp;T$1,Data!$A$2:$D$12000,4,FALSE)</f>
        <v>-0.11957</v>
      </c>
      <c r="U787">
        <f>VLOOKUP($B787&amp;U$1,Data!$A$2:$D$12000,4,FALSE)</f>
        <v>8.6999999999999994E-2</v>
      </c>
      <c r="V787">
        <f>VLOOKUP($B787&amp;V$1,Data!$A$2:$D$12000,4,FALSE)</f>
        <v>-0.159</v>
      </c>
      <c r="W787">
        <f>VLOOKUP($B787&amp;W$1,Data!$A$2:$D$12000,4,FALSE)</f>
        <v>-8.0949999999999994E-2</v>
      </c>
      <c r="X787">
        <f>VLOOKUP($B787&amp;X$1,Data!$A$2:$D$12000,4,FALSE)</f>
        <v>0.35</v>
      </c>
      <c r="Y787">
        <f>VLOOKUP($B787&amp;Y$1,Data!$A$2:$D$12000,4,FALSE)</f>
        <v>0.65</v>
      </c>
      <c r="Z787">
        <f>VLOOKUP($B787&amp;Z$1,Data!$A$2:$D$12000,4,FALSE)</f>
        <v>0.3</v>
      </c>
      <c r="AA787">
        <f>VLOOKUP($B787&amp;AA$1,Data!$A$2:$D$12000,4,FALSE)</f>
        <v>-8.8999999999999996E-2</v>
      </c>
      <c r="AB787">
        <f>VLOOKUP($B787&amp;AB$1,Data!$A$2:$D$12000,4,FALSE)</f>
        <v>9.4E-2</v>
      </c>
      <c r="AC787">
        <f>VLOOKUP($B787&amp;AC$1,Data!$A$2:$D$12000,4,FALSE)</f>
        <v>4.2999999999999997E-2</v>
      </c>
      <c r="AD787">
        <f>VLOOKUP($B787&amp;AD$1,Data!$A$2:$D$12000,4,FALSE)</f>
        <v>2E-3</v>
      </c>
      <c r="AE787">
        <f>VLOOKUP($B787&amp;AE$1,Data!$A$2:$D$12000,4,FALSE)</f>
        <v>-1.829</v>
      </c>
      <c r="AF787">
        <f>VLOOKUP($B787&amp;AF$1,Data!$A$2:$D$12000,4,FALSE)</f>
        <v>7.3999999999999996E-2</v>
      </c>
      <c r="AG787">
        <f>VLOOKUP($B787&amp;AG$1,Data!$A$2:$D$12000,4,FALSE)</f>
        <v>-0.88700000000000001</v>
      </c>
      <c r="AH787">
        <f>VLOOKUP($B787&amp;AH$1,Data!$A$2:$D$12000,4,FALSE)</f>
        <v>0</v>
      </c>
      <c r="AI787">
        <f>VLOOKUP($B787&amp;AI$1,Data!$A$2:$D$12000,4,FALSE)</f>
        <v>4300000</v>
      </c>
    </row>
    <row r="788" spans="2:35" hidden="1">
      <c r="B788" s="23">
        <v>787</v>
      </c>
      <c r="C788" s="13" t="s">
        <v>58</v>
      </c>
      <c r="D788" t="s">
        <v>5</v>
      </c>
      <c r="E788" t="s">
        <v>2</v>
      </c>
      <c r="F788">
        <v>100</v>
      </c>
      <c r="G788" t="s">
        <v>17</v>
      </c>
      <c r="H788" s="5">
        <v>43831</v>
      </c>
      <c r="I788" s="5">
        <v>44562</v>
      </c>
      <c r="J788">
        <v>14</v>
      </c>
      <c r="K788">
        <v>9</v>
      </c>
      <c r="L788">
        <v>30</v>
      </c>
      <c r="M788">
        <v>70</v>
      </c>
      <c r="N788">
        <v>1000000</v>
      </c>
      <c r="O788">
        <f>VLOOKUP($B788&amp;O$1,Data!$A$2:$D$12000,4,FALSE)</f>
        <v>3.9199999999999999E-3</v>
      </c>
      <c r="P788">
        <f>VLOOKUP($B788&amp;P$1,Data!$A$2:$D$12000,4,FALSE)</f>
        <v>-1.5309999999999999</v>
      </c>
      <c r="Q788">
        <f>VLOOKUP($B788&amp;Q$1,Data!$A$2:$D$12000,4,FALSE)</f>
        <v>1031</v>
      </c>
      <c r="R788">
        <f>VLOOKUP($B788&amp;R$1,Data!$A$2:$D$12000,4,FALSE)</f>
        <v>2.0000000000000001E-4</v>
      </c>
      <c r="S788">
        <f>VLOOKUP($B788&amp;S$1,Data!$A$2:$D$12000,4,FALSE)</f>
        <v>-5.9999999999999995E-4</v>
      </c>
      <c r="T788">
        <f>VLOOKUP($B788&amp;T$1,Data!$A$2:$D$12000,4,FALSE)</f>
        <v>-1.7610000000000001E-2</v>
      </c>
      <c r="U788">
        <f>VLOOKUP($B788&amp;U$1,Data!$A$2:$D$12000,4,FALSE)</f>
        <v>1.6E-2</v>
      </c>
      <c r="V788">
        <f>VLOOKUP($B788&amp;V$1,Data!$A$2:$D$12000,4,FALSE)</f>
        <v>-0.20399999999999999</v>
      </c>
      <c r="W788">
        <f>VLOOKUP($B788&amp;W$1,Data!$A$2:$D$12000,4,FALSE)</f>
        <v>-1.171E-2</v>
      </c>
      <c r="X788">
        <f>VLOOKUP($B788&amp;X$1,Data!$A$2:$D$12000,4,FALSE)</f>
        <v>0.38</v>
      </c>
      <c r="Y788">
        <f>VLOOKUP($B788&amp;Y$1,Data!$A$2:$D$12000,4,FALSE)</f>
        <v>0.62</v>
      </c>
      <c r="Z788">
        <f>VLOOKUP($B788&amp;Z$1,Data!$A$2:$D$12000,4,FALSE)</f>
        <v>0.28000000000000003</v>
      </c>
      <c r="AA788">
        <f>VLOOKUP($B788&amp;AA$1,Data!$A$2:$D$12000,4,FALSE)</f>
        <v>-1.2999999999999999E-2</v>
      </c>
      <c r="AB788">
        <f>VLOOKUP($B788&amp;AB$1,Data!$A$2:$D$12000,4,FALSE)</f>
        <v>1.6E-2</v>
      </c>
      <c r="AC788">
        <f>VLOOKUP($B788&amp;AC$1,Data!$A$2:$D$12000,4,FALSE)</f>
        <v>8.0000000000000002E-3</v>
      </c>
      <c r="AD788">
        <f>VLOOKUP($B788&amp;AD$1,Data!$A$2:$D$12000,4,FALSE)</f>
        <v>0</v>
      </c>
      <c r="AE788">
        <f>VLOOKUP($B788&amp;AE$1,Data!$A$2:$D$12000,4,FALSE)</f>
        <v>-0.95399999999999996</v>
      </c>
      <c r="AF788">
        <f>VLOOKUP($B788&amp;AF$1,Data!$A$2:$D$12000,4,FALSE)</f>
        <v>6.7000000000000004E-2</v>
      </c>
      <c r="AG788">
        <f>VLOOKUP($B788&amp;AG$1,Data!$A$2:$D$12000,4,FALSE)</f>
        <v>-0.74099999999999999</v>
      </c>
      <c r="AH788">
        <f>VLOOKUP($B788&amp;AH$1,Data!$A$2:$D$12000,4,FALSE)</f>
        <v>0</v>
      </c>
      <c r="AI788">
        <f>VLOOKUP($B788&amp;AI$1,Data!$A$2:$D$12000,4,FALSE)</f>
        <v>4000000000</v>
      </c>
    </row>
    <row r="789" spans="2:35" hidden="1">
      <c r="B789" s="23">
        <v>788</v>
      </c>
      <c r="C789" s="13" t="s">
        <v>58</v>
      </c>
      <c r="D789" t="s">
        <v>5</v>
      </c>
      <c r="E789" t="s">
        <v>2</v>
      </c>
      <c r="F789">
        <v>1000</v>
      </c>
      <c r="G789" t="s">
        <v>17</v>
      </c>
      <c r="H789" s="5">
        <v>43831</v>
      </c>
      <c r="I789" s="5">
        <v>44562</v>
      </c>
      <c r="J789">
        <v>14</v>
      </c>
      <c r="K789">
        <v>9</v>
      </c>
      <c r="L789">
        <v>30</v>
      </c>
      <c r="M789">
        <v>70</v>
      </c>
      <c r="N789">
        <v>1000000</v>
      </c>
      <c r="O789">
        <f>VLOOKUP($B789&amp;O$1,Data!$A$2:$D$12000,4,FALSE)</f>
        <v>1.21E-2</v>
      </c>
      <c r="P789">
        <f>VLOOKUP($B789&amp;P$1,Data!$A$2:$D$12000,4,FALSE)</f>
        <v>-1.2370000000000001</v>
      </c>
      <c r="Q789">
        <f>VLOOKUP($B789&amp;Q$1,Data!$A$2:$D$12000,4,FALSE)</f>
        <v>858</v>
      </c>
      <c r="R789">
        <f>VLOOKUP($B789&amp;R$1,Data!$A$2:$D$12000,4,FALSE)</f>
        <v>8.9999999999999998E-4</v>
      </c>
      <c r="S789">
        <f>VLOOKUP($B789&amp;S$1,Data!$A$2:$D$12000,4,FALSE)</f>
        <v>-2.3999999999999998E-3</v>
      </c>
      <c r="T789">
        <f>VLOOKUP($B789&amp;T$1,Data!$A$2:$D$12000,4,FALSE)</f>
        <v>-5.8590000000000003E-2</v>
      </c>
      <c r="U789">
        <f>VLOOKUP($B789&amp;U$1,Data!$A$2:$D$12000,4,FALSE)</f>
        <v>6.9000000000000006E-2</v>
      </c>
      <c r="V789">
        <f>VLOOKUP($B789&amp;V$1,Data!$A$2:$D$12000,4,FALSE)</f>
        <v>-0.16600000000000001</v>
      </c>
      <c r="W789">
        <f>VLOOKUP($B789&amp;W$1,Data!$A$2:$D$12000,4,FALSE)</f>
        <v>-3.9239999999999997E-2</v>
      </c>
      <c r="X789">
        <f>VLOOKUP($B789&amp;X$1,Data!$A$2:$D$12000,4,FALSE)</f>
        <v>0.39</v>
      </c>
      <c r="Y789">
        <f>VLOOKUP($B789&amp;Y$1,Data!$A$2:$D$12000,4,FALSE)</f>
        <v>0.61</v>
      </c>
      <c r="Z789">
        <f>VLOOKUP($B789&amp;Z$1,Data!$A$2:$D$12000,4,FALSE)</f>
        <v>0.36</v>
      </c>
      <c r="AA789">
        <f>VLOOKUP($B789&amp;AA$1,Data!$A$2:$D$12000,4,FALSE)</f>
        <v>-4.4999999999999998E-2</v>
      </c>
      <c r="AB789">
        <f>VLOOKUP($B789&amp;AB$1,Data!$A$2:$D$12000,4,FALSE)</f>
        <v>8.3000000000000004E-2</v>
      </c>
      <c r="AC789">
        <f>VLOOKUP($B789&amp;AC$1,Data!$A$2:$D$12000,4,FALSE)</f>
        <v>3.3000000000000002E-2</v>
      </c>
      <c r="AD789">
        <f>VLOOKUP($B789&amp;AD$1,Data!$A$2:$D$12000,4,FALSE)</f>
        <v>1E-3</v>
      </c>
      <c r="AE789">
        <f>VLOOKUP($B789&amp;AE$1,Data!$A$2:$D$12000,4,FALSE)</f>
        <v>-1.329</v>
      </c>
      <c r="AF789">
        <f>VLOOKUP($B789&amp;AF$1,Data!$A$2:$D$12000,4,FALSE)</f>
        <v>7.0000000000000007E-2</v>
      </c>
      <c r="AG789">
        <f>VLOOKUP($B789&amp;AG$1,Data!$A$2:$D$12000,4,FALSE)</f>
        <v>-0.48599999999999999</v>
      </c>
      <c r="AH789">
        <f>VLOOKUP($B789&amp;AH$1,Data!$A$2:$D$12000,4,FALSE)</f>
        <v>0</v>
      </c>
      <c r="AI789">
        <f>VLOOKUP($B789&amp;AI$1,Data!$A$2:$D$12000,4,FALSE)</f>
        <v>390000000</v>
      </c>
    </row>
    <row r="790" spans="2:35" hidden="1">
      <c r="B790" s="23">
        <v>789</v>
      </c>
      <c r="C790" s="13" t="s">
        <v>58</v>
      </c>
      <c r="D790" t="s">
        <v>5</v>
      </c>
      <c r="E790" t="s">
        <v>2</v>
      </c>
      <c r="F790">
        <v>5000</v>
      </c>
      <c r="G790" t="s">
        <v>17</v>
      </c>
      <c r="H790" s="5">
        <v>43831</v>
      </c>
      <c r="I790" s="5">
        <v>44562</v>
      </c>
      <c r="J790">
        <v>14</v>
      </c>
      <c r="K790">
        <v>9</v>
      </c>
      <c r="L790">
        <v>30</v>
      </c>
      <c r="M790">
        <v>70</v>
      </c>
      <c r="N790">
        <v>1000000</v>
      </c>
      <c r="O790">
        <f>VLOOKUP($B790&amp;O$1,Data!$A$2:$D$12000,4,FALSE)</f>
        <v>8.3000000000000001E-4</v>
      </c>
      <c r="P790">
        <f>VLOOKUP($B790&amp;P$1,Data!$A$2:$D$12000,4,FALSE)</f>
        <v>-1.901</v>
      </c>
      <c r="Q790">
        <f>VLOOKUP($B790&amp;Q$1,Data!$A$2:$D$12000,4,FALSE)</f>
        <v>664</v>
      </c>
      <c r="R790">
        <f>VLOOKUP($B790&amp;R$1,Data!$A$2:$D$12000,4,FALSE)</f>
        <v>1.1999999999999999E-3</v>
      </c>
      <c r="S790">
        <f>VLOOKUP($B790&amp;S$1,Data!$A$2:$D$12000,4,FALSE)</f>
        <v>-3.8999999999999998E-3</v>
      </c>
      <c r="T790">
        <f>VLOOKUP($B790&amp;T$1,Data!$A$2:$D$12000,4,FALSE)</f>
        <v>-0.11274000000000001</v>
      </c>
      <c r="U790">
        <f>VLOOKUP($B790&amp;U$1,Data!$A$2:$D$12000,4,FALSE)</f>
        <v>0.1</v>
      </c>
      <c r="V790">
        <f>VLOOKUP($B790&amp;V$1,Data!$A$2:$D$12000,4,FALSE)</f>
        <v>-0.22</v>
      </c>
      <c r="W790">
        <f>VLOOKUP($B790&amp;W$1,Data!$A$2:$D$12000,4,FALSE)</f>
        <v>-7.6230000000000006E-2</v>
      </c>
      <c r="X790">
        <f>VLOOKUP($B790&amp;X$1,Data!$A$2:$D$12000,4,FALSE)</f>
        <v>0.41</v>
      </c>
      <c r="Y790">
        <f>VLOOKUP($B790&amp;Y$1,Data!$A$2:$D$12000,4,FALSE)</f>
        <v>0.59</v>
      </c>
      <c r="Z790">
        <f>VLOOKUP($B790&amp;Z$1,Data!$A$2:$D$12000,4,FALSE)</f>
        <v>0.31</v>
      </c>
      <c r="AA790">
        <f>VLOOKUP($B790&amp;AA$1,Data!$A$2:$D$12000,4,FALSE)</f>
        <v>-8.5000000000000006E-2</v>
      </c>
      <c r="AB790">
        <f>VLOOKUP($B790&amp;AB$1,Data!$A$2:$D$12000,4,FALSE)</f>
        <v>0.124</v>
      </c>
      <c r="AC790">
        <f>VLOOKUP($B790&amp;AC$1,Data!$A$2:$D$12000,4,FALSE)</f>
        <v>4.1000000000000002E-2</v>
      </c>
      <c r="AD790">
        <f>VLOOKUP($B790&amp;AD$1,Data!$A$2:$D$12000,4,FALSE)</f>
        <v>2E-3</v>
      </c>
      <c r="AE790">
        <f>VLOOKUP($B790&amp;AE$1,Data!$A$2:$D$12000,4,FALSE)</f>
        <v>-1.8180000000000001</v>
      </c>
      <c r="AF790">
        <f>VLOOKUP($B790&amp;AF$1,Data!$A$2:$D$12000,4,FALSE)</f>
        <v>7.1999999999999995E-2</v>
      </c>
      <c r="AG790">
        <f>VLOOKUP($B790&amp;AG$1,Data!$A$2:$D$12000,4,FALSE)</f>
        <v>-0.63600000000000001</v>
      </c>
      <c r="AH790">
        <f>VLOOKUP($B790&amp;AH$1,Data!$A$2:$D$12000,4,FALSE)</f>
        <v>0</v>
      </c>
      <c r="AI790">
        <f>VLOOKUP($B790&amp;AI$1,Data!$A$2:$D$12000,4,FALSE)</f>
        <v>78000000</v>
      </c>
    </row>
    <row r="791" spans="2:35" hidden="1">
      <c r="B791" s="23">
        <v>790</v>
      </c>
      <c r="C791" s="13" t="s">
        <v>58</v>
      </c>
      <c r="D791" t="s">
        <v>5</v>
      </c>
      <c r="E791" t="s">
        <v>22</v>
      </c>
      <c r="F791">
        <v>100</v>
      </c>
      <c r="G791" t="s">
        <v>17</v>
      </c>
      <c r="H791" s="5">
        <v>43831</v>
      </c>
      <c r="I791" s="5">
        <v>44562</v>
      </c>
      <c r="J791">
        <v>14</v>
      </c>
      <c r="K791">
        <v>9</v>
      </c>
      <c r="L791">
        <v>30</v>
      </c>
      <c r="M791">
        <v>70</v>
      </c>
      <c r="N791">
        <v>1000000</v>
      </c>
      <c r="O791">
        <f>VLOOKUP($B791&amp;O$1,Data!$A$2:$D$12000,4,FALSE)</f>
        <v>6.6619999999999999E-2</v>
      </c>
      <c r="P791">
        <f>VLOOKUP($B791&amp;P$1,Data!$A$2:$D$12000,4,FALSE)</f>
        <v>-0.56399999999999995</v>
      </c>
      <c r="Q791">
        <f>VLOOKUP($B791&amp;Q$1,Data!$A$2:$D$12000,4,FALSE)</f>
        <v>758</v>
      </c>
      <c r="R791">
        <f>VLOOKUP($B791&amp;R$1,Data!$A$2:$D$12000,4,FALSE)</f>
        <v>2.0000000000000001E-4</v>
      </c>
      <c r="S791">
        <f>VLOOKUP($B791&amp;S$1,Data!$A$2:$D$12000,4,FALSE)</f>
        <v>-5.0000000000000001E-4</v>
      </c>
      <c r="T791">
        <f>VLOOKUP($B791&amp;T$1,Data!$A$2:$D$12000,4,FALSE)</f>
        <v>-5.5399999999999998E-3</v>
      </c>
      <c r="U791">
        <f>VLOOKUP($B791&amp;U$1,Data!$A$2:$D$12000,4,FALSE)</f>
        <v>8.9999999999999993E-3</v>
      </c>
      <c r="V791">
        <f>VLOOKUP($B791&amp;V$1,Data!$A$2:$D$12000,4,FALSE)</f>
        <v>-9.6000000000000002E-2</v>
      </c>
      <c r="W791">
        <f>VLOOKUP($B791&amp;W$1,Data!$A$2:$D$12000,4,FALSE)</f>
        <v>-3.6700000000000001E-3</v>
      </c>
      <c r="X791">
        <f>VLOOKUP($B791&amp;X$1,Data!$A$2:$D$12000,4,FALSE)</f>
        <v>0.38</v>
      </c>
      <c r="Y791">
        <f>VLOOKUP($B791&amp;Y$1,Data!$A$2:$D$12000,4,FALSE)</f>
        <v>0.62</v>
      </c>
      <c r="Z791">
        <f>VLOOKUP($B791&amp;Z$1,Data!$A$2:$D$12000,4,FALSE)</f>
        <v>0.47</v>
      </c>
      <c r="AA791">
        <f>VLOOKUP($B791&amp;AA$1,Data!$A$2:$D$12000,4,FALSE)</f>
        <v>-5.0000000000000001E-3</v>
      </c>
      <c r="AB791">
        <f>VLOOKUP($B791&amp;AB$1,Data!$A$2:$D$12000,4,FALSE)</f>
        <v>0.02</v>
      </c>
      <c r="AC791">
        <f>VLOOKUP($B791&amp;AC$1,Data!$A$2:$D$12000,4,FALSE)</f>
        <v>7.0000000000000001E-3</v>
      </c>
      <c r="AD791">
        <f>VLOOKUP($B791&amp;AD$1,Data!$A$2:$D$12000,4,FALSE)</f>
        <v>0</v>
      </c>
      <c r="AE791">
        <f>VLOOKUP($B791&amp;AE$1,Data!$A$2:$D$12000,4,FALSE)</f>
        <v>-0.83299999999999996</v>
      </c>
      <c r="AF791">
        <f>VLOOKUP($B791&amp;AF$1,Data!$A$2:$D$12000,4,FALSE)</f>
        <v>6.6000000000000003E-2</v>
      </c>
      <c r="AG791">
        <f>VLOOKUP($B791&amp;AG$1,Data!$A$2:$D$12000,4,FALSE)</f>
        <v>-0.19400000000000001</v>
      </c>
      <c r="AH791">
        <f>VLOOKUP($B791&amp;AH$1,Data!$A$2:$D$12000,4,FALSE)</f>
        <v>0</v>
      </c>
      <c r="AI791">
        <f>VLOOKUP($B791&amp;AI$1,Data!$A$2:$D$12000,4,FALSE)</f>
        <v>5200000</v>
      </c>
    </row>
    <row r="792" spans="2:35" hidden="1">
      <c r="B792" s="23">
        <v>791</v>
      </c>
      <c r="C792" s="13" t="s">
        <v>58</v>
      </c>
      <c r="D792" t="s">
        <v>5</v>
      </c>
      <c r="E792" t="s">
        <v>22</v>
      </c>
      <c r="F792">
        <v>1000</v>
      </c>
      <c r="G792" t="s">
        <v>17</v>
      </c>
      <c r="H792" s="5">
        <v>43831</v>
      </c>
      <c r="I792" s="5">
        <v>44562</v>
      </c>
      <c r="J792">
        <v>14</v>
      </c>
      <c r="K792">
        <v>9</v>
      </c>
      <c r="L792">
        <v>30</v>
      </c>
      <c r="M792">
        <v>70</v>
      </c>
      <c r="N792">
        <v>1000000</v>
      </c>
      <c r="O792">
        <f>VLOOKUP($B792&amp;O$1,Data!$A$2:$D$12000,4,FALSE)</f>
        <v>3.13E-3</v>
      </c>
      <c r="P792">
        <f>VLOOKUP($B792&amp;P$1,Data!$A$2:$D$12000,4,FALSE)</f>
        <v>-1.5149999999999999</v>
      </c>
      <c r="Q792">
        <f>VLOOKUP($B792&amp;Q$1,Data!$A$2:$D$12000,4,FALSE)</f>
        <v>651</v>
      </c>
      <c r="R792">
        <f>VLOOKUP($B792&amp;R$1,Data!$A$2:$D$12000,4,FALSE)</f>
        <v>1E-3</v>
      </c>
      <c r="S792">
        <f>VLOOKUP($B792&amp;S$1,Data!$A$2:$D$12000,4,FALSE)</f>
        <v>-2.8999999999999998E-3</v>
      </c>
      <c r="T792">
        <f>VLOOKUP($B792&amp;T$1,Data!$A$2:$D$12000,4,FALSE)</f>
        <v>-6.4180000000000001E-2</v>
      </c>
      <c r="U792">
        <f>VLOOKUP($B792&amp;U$1,Data!$A$2:$D$12000,4,FALSE)</f>
        <v>5.8999999999999997E-2</v>
      </c>
      <c r="V792">
        <f>VLOOKUP($B792&amp;V$1,Data!$A$2:$D$12000,4,FALSE)</f>
        <v>-0.20499999999999999</v>
      </c>
      <c r="W792">
        <f>VLOOKUP($B792&amp;W$1,Data!$A$2:$D$12000,4,FALSE)</f>
        <v>-4.3020000000000003E-2</v>
      </c>
      <c r="X792">
        <f>VLOOKUP($B792&amp;X$1,Data!$A$2:$D$12000,4,FALSE)</f>
        <v>0.4</v>
      </c>
      <c r="Y792">
        <f>VLOOKUP($B792&amp;Y$1,Data!$A$2:$D$12000,4,FALSE)</f>
        <v>0.6</v>
      </c>
      <c r="Z792">
        <f>VLOOKUP($B792&amp;Z$1,Data!$A$2:$D$12000,4,FALSE)</f>
        <v>0.33</v>
      </c>
      <c r="AA792">
        <f>VLOOKUP($B792&amp;AA$1,Data!$A$2:$D$12000,4,FALSE)</f>
        <v>-0.05</v>
      </c>
      <c r="AB792">
        <f>VLOOKUP($B792&amp;AB$1,Data!$A$2:$D$12000,4,FALSE)</f>
        <v>0.10100000000000001</v>
      </c>
      <c r="AC792">
        <f>VLOOKUP($B792&amp;AC$1,Data!$A$2:$D$12000,4,FALSE)</f>
        <v>2.9000000000000001E-2</v>
      </c>
      <c r="AD792">
        <f>VLOOKUP($B792&amp;AD$1,Data!$A$2:$D$12000,4,FALSE)</f>
        <v>1E-3</v>
      </c>
      <c r="AE792">
        <f>VLOOKUP($B792&amp;AE$1,Data!$A$2:$D$12000,4,FALSE)</f>
        <v>-1.444</v>
      </c>
      <c r="AF792">
        <f>VLOOKUP($B792&amp;AF$1,Data!$A$2:$D$12000,4,FALSE)</f>
        <v>6.7000000000000004E-2</v>
      </c>
      <c r="AG792">
        <f>VLOOKUP($B792&amp;AG$1,Data!$A$2:$D$12000,4,FALSE)</f>
        <v>-0.44</v>
      </c>
      <c r="AH792">
        <f>VLOOKUP($B792&amp;AH$1,Data!$A$2:$D$12000,4,FALSE)</f>
        <v>0</v>
      </c>
      <c r="AI792">
        <f>VLOOKUP($B792&amp;AI$1,Data!$A$2:$D$12000,4,FALSE)</f>
        <v>5300000</v>
      </c>
    </row>
    <row r="793" spans="2:35" hidden="1">
      <c r="B793" s="23">
        <v>792</v>
      </c>
      <c r="C793" s="13" t="s">
        <v>58</v>
      </c>
      <c r="D793" t="s">
        <v>5</v>
      </c>
      <c r="E793" t="s">
        <v>22</v>
      </c>
      <c r="F793">
        <v>5000</v>
      </c>
      <c r="G793" t="s">
        <v>17</v>
      </c>
      <c r="H793" s="5">
        <v>43831</v>
      </c>
      <c r="I793" s="5">
        <v>44562</v>
      </c>
      <c r="J793">
        <v>14</v>
      </c>
      <c r="K793">
        <v>9</v>
      </c>
      <c r="L793">
        <v>30</v>
      </c>
      <c r="M793">
        <v>70</v>
      </c>
      <c r="N793">
        <v>1000000</v>
      </c>
      <c r="O793">
        <f>VLOOKUP($B793&amp;O$1,Data!$A$2:$D$12000,4,FALSE)</f>
        <v>3.4499999999999999E-3</v>
      </c>
      <c r="P793">
        <f>VLOOKUP($B793&amp;P$1,Data!$A$2:$D$12000,4,FALSE)</f>
        <v>-1.4930000000000001</v>
      </c>
      <c r="Q793">
        <f>VLOOKUP($B793&amp;Q$1,Data!$A$2:$D$12000,4,FALSE)</f>
        <v>519</v>
      </c>
      <c r="R793">
        <f>VLOOKUP($B793&amp;R$1,Data!$A$2:$D$12000,4,FALSE)</f>
        <v>1.6000000000000001E-3</v>
      </c>
      <c r="S793">
        <f>VLOOKUP($B793&amp;S$1,Data!$A$2:$D$12000,4,FALSE)</f>
        <v>-4.7999999999999996E-3</v>
      </c>
      <c r="T793">
        <f>VLOOKUP($B793&amp;T$1,Data!$A$2:$D$12000,4,FALSE)</f>
        <v>-9.7049999999999997E-2</v>
      </c>
      <c r="U793">
        <f>VLOOKUP($B793&amp;U$1,Data!$A$2:$D$12000,4,FALSE)</f>
        <v>9.9000000000000005E-2</v>
      </c>
      <c r="V793">
        <f>VLOOKUP($B793&amp;V$1,Data!$A$2:$D$12000,4,FALSE)</f>
        <v>-0.20699999999999999</v>
      </c>
      <c r="W793">
        <f>VLOOKUP($B793&amp;W$1,Data!$A$2:$D$12000,4,FALSE)</f>
        <v>-6.5430000000000002E-2</v>
      </c>
      <c r="X793">
        <f>VLOOKUP($B793&amp;X$1,Data!$A$2:$D$12000,4,FALSE)</f>
        <v>0.4</v>
      </c>
      <c r="Y793">
        <f>VLOOKUP($B793&amp;Y$1,Data!$A$2:$D$12000,4,FALSE)</f>
        <v>0.6</v>
      </c>
      <c r="Z793">
        <f>VLOOKUP($B793&amp;Z$1,Data!$A$2:$D$12000,4,FALSE)</f>
        <v>0.33</v>
      </c>
      <c r="AA793">
        <f>VLOOKUP($B793&amp;AA$1,Data!$A$2:$D$12000,4,FALSE)</f>
        <v>-7.5999999999999998E-2</v>
      </c>
      <c r="AB793">
        <f>VLOOKUP($B793&amp;AB$1,Data!$A$2:$D$12000,4,FALSE)</f>
        <v>0.156</v>
      </c>
      <c r="AC793">
        <f>VLOOKUP($B793&amp;AC$1,Data!$A$2:$D$12000,4,FALSE)</f>
        <v>4.4999999999999998E-2</v>
      </c>
      <c r="AD793">
        <f>VLOOKUP($B793&amp;AD$1,Data!$A$2:$D$12000,4,FALSE)</f>
        <v>2E-3</v>
      </c>
      <c r="AE793">
        <f>VLOOKUP($B793&amp;AE$1,Data!$A$2:$D$12000,4,FALSE)</f>
        <v>-1.6639999999999999</v>
      </c>
      <c r="AF793">
        <f>VLOOKUP($B793&amp;AF$1,Data!$A$2:$D$12000,4,FALSE)</f>
        <v>7.1999999999999995E-2</v>
      </c>
      <c r="AG793">
        <f>VLOOKUP($B793&amp;AG$1,Data!$A$2:$D$12000,4,FALSE)</f>
        <v>-0.432</v>
      </c>
      <c r="AH793">
        <f>VLOOKUP($B793&amp;AH$1,Data!$A$2:$D$12000,4,FALSE)</f>
        <v>0</v>
      </c>
      <c r="AI793">
        <f>VLOOKUP($B793&amp;AI$1,Data!$A$2:$D$12000,4,FALSE)</f>
        <v>5200000</v>
      </c>
    </row>
    <row r="794" spans="2:35" hidden="1">
      <c r="B794" s="23">
        <v>793</v>
      </c>
      <c r="C794" s="13" t="s">
        <v>58</v>
      </c>
      <c r="D794" t="s">
        <v>5</v>
      </c>
      <c r="E794" t="s">
        <v>3</v>
      </c>
      <c r="F794">
        <v>100</v>
      </c>
      <c r="G794" t="s">
        <v>17</v>
      </c>
      <c r="H794" s="5">
        <v>43831</v>
      </c>
      <c r="I794" s="5">
        <v>44562</v>
      </c>
      <c r="J794">
        <v>14</v>
      </c>
      <c r="K794">
        <v>9</v>
      </c>
      <c r="L794">
        <v>32</v>
      </c>
      <c r="M794">
        <v>68</v>
      </c>
      <c r="N794">
        <v>1000000</v>
      </c>
      <c r="O794">
        <f>VLOOKUP($B794&amp;O$1,Data!$A$2:$D$12000,4,FALSE)</f>
        <v>0.10878</v>
      </c>
      <c r="P794">
        <f>VLOOKUP($B794&amp;P$1,Data!$A$2:$D$12000,4,FALSE)</f>
        <v>-0.245</v>
      </c>
      <c r="Q794">
        <f>VLOOKUP($B794&amp;Q$1,Data!$A$2:$D$12000,4,FALSE)</f>
        <v>2105</v>
      </c>
      <c r="R794">
        <f>VLOOKUP($B794&amp;R$1,Data!$A$2:$D$12000,4,FALSE)</f>
        <v>2.9999999999999997E-4</v>
      </c>
      <c r="S794">
        <f>VLOOKUP($B794&amp;S$1,Data!$A$2:$D$12000,4,FALSE)</f>
        <v>-5.9999999999999995E-4</v>
      </c>
      <c r="T794">
        <f>VLOOKUP($B794&amp;T$1,Data!$A$2:$D$12000,4,FALSE)</f>
        <v>-3.8800000000000002E-3</v>
      </c>
      <c r="U794">
        <f>VLOOKUP($B794&amp;U$1,Data!$A$2:$D$12000,4,FALSE)</f>
        <v>1.2999999999999999E-2</v>
      </c>
      <c r="V794">
        <f>VLOOKUP($B794&amp;V$1,Data!$A$2:$D$12000,4,FALSE)</f>
        <v>-2.5999999999999999E-2</v>
      </c>
      <c r="W794">
        <f>VLOOKUP($B794&amp;W$1,Data!$A$2:$D$12000,4,FALSE)</f>
        <v>-2.5699999999999998E-3</v>
      </c>
      <c r="X794">
        <f>VLOOKUP($B794&amp;X$1,Data!$A$2:$D$12000,4,FALSE)</f>
        <v>0.36</v>
      </c>
      <c r="Y794">
        <f>VLOOKUP($B794&amp;Y$1,Data!$A$2:$D$12000,4,FALSE)</f>
        <v>0.64</v>
      </c>
      <c r="Z794">
        <f>VLOOKUP($B794&amp;Z$1,Data!$A$2:$D$12000,4,FALSE)</f>
        <v>0.52</v>
      </c>
      <c r="AA794">
        <f>VLOOKUP($B794&amp;AA$1,Data!$A$2:$D$12000,4,FALSE)</f>
        <v>-4.0000000000000001E-3</v>
      </c>
      <c r="AB794">
        <f>VLOOKUP($B794&amp;AB$1,Data!$A$2:$D$12000,4,FALSE)</f>
        <v>2.4E-2</v>
      </c>
      <c r="AC794">
        <f>VLOOKUP($B794&amp;AC$1,Data!$A$2:$D$12000,4,FALSE)</f>
        <v>1.0999999999999999E-2</v>
      </c>
      <c r="AD794">
        <f>VLOOKUP($B794&amp;AD$1,Data!$A$2:$D$12000,4,FALSE)</f>
        <v>0</v>
      </c>
      <c r="AE794">
        <f>VLOOKUP($B794&amp;AE$1,Data!$A$2:$D$12000,4,FALSE)</f>
        <v>-0.81299999999999994</v>
      </c>
      <c r="AF794">
        <f>VLOOKUP($B794&amp;AF$1,Data!$A$2:$D$12000,4,FALSE)</f>
        <v>6.7000000000000004E-2</v>
      </c>
      <c r="AG794">
        <f>VLOOKUP($B794&amp;AG$1,Data!$A$2:$D$12000,4,FALSE)</f>
        <v>-0.109</v>
      </c>
      <c r="AH794">
        <f>VLOOKUP($B794&amp;AH$1,Data!$A$2:$D$12000,4,FALSE)</f>
        <v>0</v>
      </c>
      <c r="AI794">
        <f>VLOOKUP($B794&amp;AI$1,Data!$A$2:$D$12000,4,FALSE)</f>
        <v>110000000</v>
      </c>
    </row>
    <row r="795" spans="2:35" hidden="1">
      <c r="B795" s="23">
        <v>794</v>
      </c>
      <c r="C795" s="13" t="s">
        <v>58</v>
      </c>
      <c r="D795" t="s">
        <v>5</v>
      </c>
      <c r="E795" t="s">
        <v>3</v>
      </c>
      <c r="F795">
        <v>1000</v>
      </c>
      <c r="G795" t="s">
        <v>17</v>
      </c>
      <c r="H795" s="5">
        <v>43831</v>
      </c>
      <c r="I795" s="5">
        <v>44562</v>
      </c>
      <c r="J795">
        <v>14</v>
      </c>
      <c r="K795">
        <v>9</v>
      </c>
      <c r="L795">
        <v>32</v>
      </c>
      <c r="M795">
        <v>68</v>
      </c>
      <c r="N795">
        <v>1000000</v>
      </c>
      <c r="O795">
        <f>VLOOKUP($B795&amp;O$1,Data!$A$2:$D$12000,4,FALSE)</f>
        <v>0.13866999999999999</v>
      </c>
      <c r="P795">
        <f>VLOOKUP($B795&amp;P$1,Data!$A$2:$D$12000,4,FALSE)</f>
        <v>-0.111</v>
      </c>
      <c r="Q795">
        <f>VLOOKUP($B795&amp;Q$1,Data!$A$2:$D$12000,4,FALSE)</f>
        <v>1745</v>
      </c>
      <c r="R795">
        <f>VLOOKUP($B795&amp;R$1,Data!$A$2:$D$12000,4,FALSE)</f>
        <v>8.9999999999999998E-4</v>
      </c>
      <c r="S795">
        <f>VLOOKUP($B795&amp;S$1,Data!$A$2:$D$12000,4,FALSE)</f>
        <v>-1.8E-3</v>
      </c>
      <c r="T795">
        <f>VLOOKUP($B795&amp;T$1,Data!$A$2:$D$12000,4,FALSE)</f>
        <v>-6.0299999999999998E-3</v>
      </c>
      <c r="U795">
        <f>VLOOKUP($B795&amp;U$1,Data!$A$2:$D$12000,4,FALSE)</f>
        <v>3.5999999999999997E-2</v>
      </c>
      <c r="V795">
        <f>VLOOKUP($B795&amp;V$1,Data!$A$2:$D$12000,4,FALSE)</f>
        <v>-1.0999999999999999E-2</v>
      </c>
      <c r="W795">
        <f>VLOOKUP($B795&amp;W$1,Data!$A$2:$D$12000,4,FALSE)</f>
        <v>-4.0000000000000001E-3</v>
      </c>
      <c r="X795">
        <f>VLOOKUP($B795&amp;X$1,Data!$A$2:$D$12000,4,FALSE)</f>
        <v>0.35</v>
      </c>
      <c r="Y795">
        <f>VLOOKUP($B795&amp;Y$1,Data!$A$2:$D$12000,4,FALSE)</f>
        <v>0.65</v>
      </c>
      <c r="Z795">
        <f>VLOOKUP($B795&amp;Z$1,Data!$A$2:$D$12000,4,FALSE)</f>
        <v>0.51</v>
      </c>
      <c r="AA795">
        <f>VLOOKUP($B795&amp;AA$1,Data!$A$2:$D$12000,4,FALSE)</f>
        <v>-7.0000000000000001E-3</v>
      </c>
      <c r="AB795">
        <f>VLOOKUP($B795&amp;AB$1,Data!$A$2:$D$12000,4,FALSE)</f>
        <v>6.4000000000000001E-2</v>
      </c>
      <c r="AC795">
        <f>VLOOKUP($B795&amp;AC$1,Data!$A$2:$D$12000,4,FALSE)</f>
        <v>3.3000000000000002E-2</v>
      </c>
      <c r="AD795">
        <f>VLOOKUP($B795&amp;AD$1,Data!$A$2:$D$12000,4,FALSE)</f>
        <v>1E-3</v>
      </c>
      <c r="AE795">
        <f>VLOOKUP($B795&amp;AE$1,Data!$A$2:$D$12000,4,FALSE)</f>
        <v>-0.78600000000000003</v>
      </c>
      <c r="AF795">
        <f>VLOOKUP($B795&amp;AF$1,Data!$A$2:$D$12000,4,FALSE)</f>
        <v>7.0999999999999994E-2</v>
      </c>
      <c r="AG795">
        <f>VLOOKUP($B795&amp;AG$1,Data!$A$2:$D$12000,4,FALSE)</f>
        <v>-5.7000000000000002E-2</v>
      </c>
      <c r="AH795">
        <f>VLOOKUP($B795&amp;AH$1,Data!$A$2:$D$12000,4,FALSE)</f>
        <v>0</v>
      </c>
      <c r="AI795">
        <f>VLOOKUP($B795&amp;AI$1,Data!$A$2:$D$12000,4,FALSE)</f>
        <v>12000000</v>
      </c>
    </row>
    <row r="796" spans="2:35" hidden="1">
      <c r="B796" s="23">
        <v>795</v>
      </c>
      <c r="C796" s="13" t="s">
        <v>58</v>
      </c>
      <c r="D796" t="s">
        <v>5</v>
      </c>
      <c r="E796" t="s">
        <v>3</v>
      </c>
      <c r="F796">
        <v>5000</v>
      </c>
      <c r="G796" t="s">
        <v>17</v>
      </c>
      <c r="H796" s="5">
        <v>43831</v>
      </c>
      <c r="I796" s="5">
        <v>44562</v>
      </c>
      <c r="J796">
        <v>14</v>
      </c>
      <c r="K796">
        <v>9</v>
      </c>
      <c r="L796">
        <v>32</v>
      </c>
      <c r="M796">
        <v>68</v>
      </c>
      <c r="N796">
        <v>1000000</v>
      </c>
      <c r="O796">
        <f>VLOOKUP($B796&amp;O$1,Data!$A$2:$D$12000,4,FALSE)</f>
        <v>2.2530000000000001E-2</v>
      </c>
      <c r="P796">
        <f>VLOOKUP($B796&amp;P$1,Data!$A$2:$D$12000,4,FALSE)</f>
        <v>-1.0349999999999999</v>
      </c>
      <c r="Q796">
        <f>VLOOKUP($B796&amp;Q$1,Data!$A$2:$D$12000,4,FALSE)</f>
        <v>1331</v>
      </c>
      <c r="R796">
        <f>VLOOKUP($B796&amp;R$1,Data!$A$2:$D$12000,4,FALSE)</f>
        <v>1.1999999999999999E-3</v>
      </c>
      <c r="S796">
        <f>VLOOKUP($B796&amp;S$1,Data!$A$2:$D$12000,4,FALSE)</f>
        <v>-2.8E-3</v>
      </c>
      <c r="T796">
        <f>VLOOKUP($B796&amp;T$1,Data!$A$2:$D$12000,4,FALSE)</f>
        <v>-6.1859999999999998E-2</v>
      </c>
      <c r="U796">
        <f>VLOOKUP($B796&amp;U$1,Data!$A$2:$D$12000,4,FALSE)</f>
        <v>6.4000000000000001E-2</v>
      </c>
      <c r="V796">
        <f>VLOOKUP($B796&amp;V$1,Data!$A$2:$D$12000,4,FALSE)</f>
        <v>-9.8000000000000004E-2</v>
      </c>
      <c r="W796">
        <f>VLOOKUP($B796&amp;W$1,Data!$A$2:$D$12000,4,FALSE)</f>
        <v>-4.1450000000000001E-2</v>
      </c>
      <c r="X796">
        <f>VLOOKUP($B796&amp;X$1,Data!$A$2:$D$12000,4,FALSE)</f>
        <v>0.37</v>
      </c>
      <c r="Y796">
        <f>VLOOKUP($B796&amp;Y$1,Data!$A$2:$D$12000,4,FALSE)</f>
        <v>0.63</v>
      </c>
      <c r="Z796">
        <f>VLOOKUP($B796&amp;Z$1,Data!$A$2:$D$12000,4,FALSE)</f>
        <v>0.44</v>
      </c>
      <c r="AA796">
        <f>VLOOKUP($B796&amp;AA$1,Data!$A$2:$D$12000,4,FALSE)</f>
        <v>-4.7E-2</v>
      </c>
      <c r="AB796">
        <f>VLOOKUP($B796&amp;AB$1,Data!$A$2:$D$12000,4,FALSE)</f>
        <v>8.2000000000000003E-2</v>
      </c>
      <c r="AC796">
        <f>VLOOKUP($B796&amp;AC$1,Data!$A$2:$D$12000,4,FALSE)</f>
        <v>4.1000000000000002E-2</v>
      </c>
      <c r="AD796">
        <f>VLOOKUP($B796&amp;AD$1,Data!$A$2:$D$12000,4,FALSE)</f>
        <v>2E-3</v>
      </c>
      <c r="AE796">
        <f>VLOOKUP($B796&amp;AE$1,Data!$A$2:$D$12000,4,FALSE)</f>
        <v>-1.278</v>
      </c>
      <c r="AF796">
        <f>VLOOKUP($B796&amp;AF$1,Data!$A$2:$D$12000,4,FALSE)</f>
        <v>7.3999999999999996E-2</v>
      </c>
      <c r="AG796">
        <f>VLOOKUP($B796&amp;AG$1,Data!$A$2:$D$12000,4,FALSE)</f>
        <v>-0.52</v>
      </c>
      <c r="AH796">
        <f>VLOOKUP($B796&amp;AH$1,Data!$A$2:$D$12000,4,FALSE)</f>
        <v>0</v>
      </c>
      <c r="AI796">
        <f>VLOOKUP($B796&amp;AI$1,Data!$A$2:$D$12000,4,FALSE)</f>
        <v>3900000</v>
      </c>
    </row>
    <row r="797" spans="2:35" hidden="1">
      <c r="B797" s="23">
        <v>796</v>
      </c>
      <c r="C797" s="13" t="s">
        <v>58</v>
      </c>
      <c r="D797" t="s">
        <v>5</v>
      </c>
      <c r="E797" t="s">
        <v>2</v>
      </c>
      <c r="F797">
        <v>100</v>
      </c>
      <c r="G797" t="s">
        <v>17</v>
      </c>
      <c r="H797" s="5">
        <v>43831</v>
      </c>
      <c r="I797" s="5">
        <v>44562</v>
      </c>
      <c r="J797">
        <v>14</v>
      </c>
      <c r="K797">
        <v>9</v>
      </c>
      <c r="L797">
        <v>32</v>
      </c>
      <c r="M797">
        <v>68</v>
      </c>
      <c r="N797">
        <v>1000000</v>
      </c>
      <c r="O797">
        <f>VLOOKUP($B797&amp;O$1,Data!$A$2:$D$12000,4,FALSE)</f>
        <v>0.15889</v>
      </c>
      <c r="P797">
        <f>VLOOKUP($B797&amp;P$1,Data!$A$2:$D$12000,4,FALSE)</f>
        <v>-2.5000000000000001E-2</v>
      </c>
      <c r="Q797">
        <f>VLOOKUP($B797&amp;Q$1,Data!$A$2:$D$12000,4,FALSE)</f>
        <v>1377</v>
      </c>
      <c r="R797">
        <f>VLOOKUP($B797&amp;R$1,Data!$A$2:$D$12000,4,FALSE)</f>
        <v>2.9999999999999997E-4</v>
      </c>
      <c r="S797">
        <f>VLOOKUP($B797&amp;S$1,Data!$A$2:$D$12000,4,FALSE)</f>
        <v>-5.0000000000000001E-4</v>
      </c>
      <c r="T797">
        <f>VLOOKUP($B797&amp;T$1,Data!$A$2:$D$12000,4,FALSE)</f>
        <v>-3.6999999999999999E-4</v>
      </c>
      <c r="U797">
        <f>VLOOKUP($B797&amp;U$1,Data!$A$2:$D$12000,4,FALSE)</f>
        <v>1.2E-2</v>
      </c>
      <c r="V797">
        <f>VLOOKUP($B797&amp;V$1,Data!$A$2:$D$12000,4,FALSE)</f>
        <v>-3.0000000000000001E-3</v>
      </c>
      <c r="W797">
        <f>VLOOKUP($B797&amp;W$1,Data!$A$2:$D$12000,4,FALSE)</f>
        <v>-2.4000000000000001E-4</v>
      </c>
      <c r="X797">
        <f>VLOOKUP($B797&amp;X$1,Data!$A$2:$D$12000,4,FALSE)</f>
        <v>0.37</v>
      </c>
      <c r="Y797">
        <f>VLOOKUP($B797&amp;Y$1,Data!$A$2:$D$12000,4,FALSE)</f>
        <v>0.63</v>
      </c>
      <c r="Z797">
        <f>VLOOKUP($B797&amp;Z$1,Data!$A$2:$D$12000,4,FALSE)</f>
        <v>0.59</v>
      </c>
      <c r="AA797">
        <f>VLOOKUP($B797&amp;AA$1,Data!$A$2:$D$12000,4,FALSE)</f>
        <v>-2E-3</v>
      </c>
      <c r="AB797">
        <f>VLOOKUP($B797&amp;AB$1,Data!$A$2:$D$12000,4,FALSE)</f>
        <v>2.5999999999999999E-2</v>
      </c>
      <c r="AC797">
        <f>VLOOKUP($B797&amp;AC$1,Data!$A$2:$D$12000,4,FALSE)</f>
        <v>8.9999999999999993E-3</v>
      </c>
      <c r="AD797">
        <f>VLOOKUP($B797&amp;AD$1,Data!$A$2:$D$12000,4,FALSE)</f>
        <v>0</v>
      </c>
      <c r="AE797">
        <f>VLOOKUP($B797&amp;AE$1,Data!$A$2:$D$12000,4,FALSE)</f>
        <v>-0.79100000000000004</v>
      </c>
      <c r="AF797">
        <f>VLOOKUP($B797&amp;AF$1,Data!$A$2:$D$12000,4,FALSE)</f>
        <v>6.6000000000000003E-2</v>
      </c>
      <c r="AG797">
        <f>VLOOKUP($B797&amp;AG$1,Data!$A$2:$D$12000,4,FALSE)</f>
        <v>-8.0000000000000002E-3</v>
      </c>
      <c r="AH797">
        <f>VLOOKUP($B797&amp;AH$1,Data!$A$2:$D$12000,4,FALSE)</f>
        <v>0</v>
      </c>
      <c r="AI797">
        <f>VLOOKUP($B797&amp;AI$1,Data!$A$2:$D$12000,4,FALSE)</f>
        <v>4300000</v>
      </c>
    </row>
    <row r="798" spans="2:35" hidden="1">
      <c r="B798" s="23">
        <v>797</v>
      </c>
      <c r="C798" s="13" t="s">
        <v>58</v>
      </c>
      <c r="D798" t="s">
        <v>5</v>
      </c>
      <c r="E798" t="s">
        <v>2</v>
      </c>
      <c r="F798">
        <v>1000</v>
      </c>
      <c r="G798" t="s">
        <v>17</v>
      </c>
      <c r="H798" s="5">
        <v>43831</v>
      </c>
      <c r="I798" s="5">
        <v>44562</v>
      </c>
      <c r="J798">
        <v>14</v>
      </c>
      <c r="K798">
        <v>9</v>
      </c>
      <c r="L798">
        <v>32</v>
      </c>
      <c r="M798">
        <v>68</v>
      </c>
      <c r="N798">
        <v>1000000</v>
      </c>
      <c r="O798">
        <f>VLOOKUP($B798&amp;O$1,Data!$A$2:$D$12000,4,FALSE)</f>
        <v>0.46035999999999999</v>
      </c>
      <c r="P798">
        <f>VLOOKUP($B798&amp;P$1,Data!$A$2:$D$12000,4,FALSE)</f>
        <v>0.91300000000000003</v>
      </c>
      <c r="Q798">
        <f>VLOOKUP($B798&amp;Q$1,Data!$A$2:$D$12000,4,FALSE)</f>
        <v>1183</v>
      </c>
      <c r="R798">
        <f>VLOOKUP($B798&amp;R$1,Data!$A$2:$D$12000,4,FALSE)</f>
        <v>1.1999999999999999E-3</v>
      </c>
      <c r="S798">
        <f>VLOOKUP($B798&amp;S$1,Data!$A$2:$D$12000,4,FALSE)</f>
        <v>-1.5E-3</v>
      </c>
      <c r="T798">
        <f>VLOOKUP($B798&amp;T$1,Data!$A$2:$D$12000,4,FALSE)</f>
        <v>3.8589999999999999E-2</v>
      </c>
      <c r="U798">
        <f>VLOOKUP($B798&amp;U$1,Data!$A$2:$D$12000,4,FALSE)</f>
        <v>0.02</v>
      </c>
      <c r="V798">
        <f>VLOOKUP($B798&amp;V$1,Data!$A$2:$D$12000,4,FALSE)</f>
        <v>0.14199999999999999</v>
      </c>
      <c r="W798">
        <f>VLOOKUP($B798&amp;W$1,Data!$A$2:$D$12000,4,FALSE)</f>
        <v>2.5420000000000002E-2</v>
      </c>
      <c r="X798">
        <f>VLOOKUP($B798&amp;X$1,Data!$A$2:$D$12000,4,FALSE)</f>
        <v>0.38</v>
      </c>
      <c r="Y798">
        <f>VLOOKUP($B798&amp;Y$1,Data!$A$2:$D$12000,4,FALSE)</f>
        <v>0.62</v>
      </c>
      <c r="Z798">
        <f>VLOOKUP($B798&amp;Z$1,Data!$A$2:$D$12000,4,FALSE)</f>
        <v>0.85</v>
      </c>
      <c r="AA798">
        <f>VLOOKUP($B798&amp;AA$1,Data!$A$2:$D$12000,4,FALSE)</f>
        <v>2.1999999999999999E-2</v>
      </c>
      <c r="AB798">
        <f>VLOOKUP($B798&amp;AB$1,Data!$A$2:$D$12000,4,FALSE)</f>
        <v>0.10199999999999999</v>
      </c>
      <c r="AC798">
        <f>VLOOKUP($B798&amp;AC$1,Data!$A$2:$D$12000,4,FALSE)</f>
        <v>0.03</v>
      </c>
      <c r="AD798">
        <f>VLOOKUP($B798&amp;AD$1,Data!$A$2:$D$12000,4,FALSE)</f>
        <v>1E-3</v>
      </c>
      <c r="AE798">
        <f>VLOOKUP($B798&amp;AE$1,Data!$A$2:$D$12000,4,FALSE)</f>
        <v>-0.36499999999999999</v>
      </c>
      <c r="AF798">
        <f>VLOOKUP($B798&amp;AF$1,Data!$A$2:$D$12000,4,FALSE)</f>
        <v>6.7000000000000004E-2</v>
      </c>
      <c r="AG798">
        <f>VLOOKUP($B798&amp;AG$1,Data!$A$2:$D$12000,4,FALSE)</f>
        <v>0.26600000000000001</v>
      </c>
      <c r="AH798">
        <f>VLOOKUP($B798&amp;AH$1,Data!$A$2:$D$12000,4,FALSE)</f>
        <v>0</v>
      </c>
      <c r="AI798">
        <f>VLOOKUP($B798&amp;AI$1,Data!$A$2:$D$12000,4,FALSE)</f>
        <v>4400000</v>
      </c>
    </row>
    <row r="799" spans="2:35" hidden="1">
      <c r="B799" s="23">
        <v>798</v>
      </c>
      <c r="C799" s="13" t="s">
        <v>58</v>
      </c>
      <c r="D799" t="s">
        <v>5</v>
      </c>
      <c r="E799" t="s">
        <v>2</v>
      </c>
      <c r="F799">
        <v>5000</v>
      </c>
      <c r="G799" t="s">
        <v>17</v>
      </c>
      <c r="H799" s="5">
        <v>43831</v>
      </c>
      <c r="I799" s="5">
        <v>44562</v>
      </c>
      <c r="J799">
        <v>14</v>
      </c>
      <c r="K799">
        <v>9</v>
      </c>
      <c r="L799">
        <v>32</v>
      </c>
      <c r="M799">
        <v>68</v>
      </c>
      <c r="N799">
        <v>1000000</v>
      </c>
      <c r="O799">
        <f>VLOOKUP($B799&amp;O$1,Data!$A$2:$D$12000,4,FALSE)</f>
        <v>0.29559000000000002</v>
      </c>
      <c r="P799">
        <f>VLOOKUP($B799&amp;P$1,Data!$A$2:$D$12000,4,FALSE)</f>
        <v>0.45100000000000001</v>
      </c>
      <c r="Q799">
        <f>VLOOKUP($B799&amp;Q$1,Data!$A$2:$D$12000,4,FALSE)</f>
        <v>909</v>
      </c>
      <c r="R799">
        <f>VLOOKUP($B799&amp;R$1,Data!$A$2:$D$12000,4,FALSE)</f>
        <v>1.6999999999999999E-3</v>
      </c>
      <c r="S799">
        <f>VLOOKUP($B799&amp;S$1,Data!$A$2:$D$12000,4,FALSE)</f>
        <v>-2.3999999999999998E-3</v>
      </c>
      <c r="T799">
        <f>VLOOKUP($B799&amp;T$1,Data!$A$2:$D$12000,4,FALSE)</f>
        <v>2.3210000000000001E-2</v>
      </c>
      <c r="U799">
        <f>VLOOKUP($B799&amp;U$1,Data!$A$2:$D$12000,4,FALSE)</f>
        <v>0.03</v>
      </c>
      <c r="V799">
        <f>VLOOKUP($B799&amp;V$1,Data!$A$2:$D$12000,4,FALSE)</f>
        <v>6.2E-2</v>
      </c>
      <c r="W799">
        <f>VLOOKUP($B799&amp;W$1,Data!$A$2:$D$12000,4,FALSE)</f>
        <v>1.533E-2</v>
      </c>
      <c r="X799">
        <f>VLOOKUP($B799&amp;X$1,Data!$A$2:$D$12000,4,FALSE)</f>
        <v>0.38</v>
      </c>
      <c r="Y799">
        <f>VLOOKUP($B799&amp;Y$1,Data!$A$2:$D$12000,4,FALSE)</f>
        <v>0.62</v>
      </c>
      <c r="Z799">
        <f>VLOOKUP($B799&amp;Z$1,Data!$A$2:$D$12000,4,FALSE)</f>
        <v>0.71</v>
      </c>
      <c r="AA799">
        <f>VLOOKUP($B799&amp;AA$1,Data!$A$2:$D$12000,4,FALSE)</f>
        <v>8.0000000000000002E-3</v>
      </c>
      <c r="AB799">
        <f>VLOOKUP($B799&amp;AB$1,Data!$A$2:$D$12000,4,FALSE)</f>
        <v>0.16700000000000001</v>
      </c>
      <c r="AC799">
        <f>VLOOKUP($B799&amp;AC$1,Data!$A$2:$D$12000,4,FALSE)</f>
        <v>3.6999999999999998E-2</v>
      </c>
      <c r="AD799">
        <f>VLOOKUP($B799&amp;AD$1,Data!$A$2:$D$12000,4,FALSE)</f>
        <v>1E-3</v>
      </c>
      <c r="AE799">
        <f>VLOOKUP($B799&amp;AE$1,Data!$A$2:$D$12000,4,FALSE)</f>
        <v>-0.52400000000000002</v>
      </c>
      <c r="AF799">
        <f>VLOOKUP($B799&amp;AF$1,Data!$A$2:$D$12000,4,FALSE)</f>
        <v>6.6000000000000003E-2</v>
      </c>
      <c r="AG799">
        <f>VLOOKUP($B799&amp;AG$1,Data!$A$2:$D$12000,4,FALSE)</f>
        <v>0.1</v>
      </c>
      <c r="AH799">
        <f>VLOOKUP($B799&amp;AH$1,Data!$A$2:$D$12000,4,FALSE)</f>
        <v>0</v>
      </c>
      <c r="AI799">
        <f>VLOOKUP($B799&amp;AI$1,Data!$A$2:$D$12000,4,FALSE)</f>
        <v>4500000</v>
      </c>
    </row>
    <row r="800" spans="2:35" hidden="1">
      <c r="B800" s="23">
        <v>799</v>
      </c>
      <c r="C800" s="13" t="s">
        <v>58</v>
      </c>
      <c r="D800" t="s">
        <v>5</v>
      </c>
      <c r="E800" t="s">
        <v>22</v>
      </c>
      <c r="F800">
        <v>100</v>
      </c>
      <c r="G800" t="s">
        <v>17</v>
      </c>
      <c r="H800" s="5">
        <v>43831</v>
      </c>
      <c r="I800" s="5">
        <v>44562</v>
      </c>
      <c r="J800">
        <v>14</v>
      </c>
      <c r="K800">
        <v>9</v>
      </c>
      <c r="L800">
        <v>32</v>
      </c>
      <c r="M800">
        <v>68</v>
      </c>
      <c r="N800">
        <v>1000000</v>
      </c>
      <c r="O800">
        <f>VLOOKUP($B800&amp;O$1,Data!$A$2:$D$12000,4,FALSE)</f>
        <v>6.8900000000000003E-3</v>
      </c>
      <c r="P800">
        <f>VLOOKUP($B800&amp;P$1,Data!$A$2:$D$12000,4,FALSE)</f>
        <v>-1.1080000000000001</v>
      </c>
      <c r="Q800">
        <f>VLOOKUP($B800&amp;Q$1,Data!$A$2:$D$12000,4,FALSE)</f>
        <v>947</v>
      </c>
      <c r="R800">
        <f>VLOOKUP($B800&amp;R$1,Data!$A$2:$D$12000,4,FALSE)</f>
        <v>2.9999999999999997E-4</v>
      </c>
      <c r="S800">
        <f>VLOOKUP($B800&amp;S$1,Data!$A$2:$D$12000,4,FALSE)</f>
        <v>-8.0000000000000004E-4</v>
      </c>
      <c r="T800">
        <f>VLOOKUP($B800&amp;T$1,Data!$A$2:$D$12000,4,FALSE)</f>
        <v>-1.575E-2</v>
      </c>
      <c r="U800">
        <f>VLOOKUP($B800&amp;U$1,Data!$A$2:$D$12000,4,FALSE)</f>
        <v>1.2999999999999999E-2</v>
      </c>
      <c r="V800">
        <f>VLOOKUP($B800&amp;V$1,Data!$A$2:$D$12000,4,FALSE)</f>
        <v>-0.16200000000000001</v>
      </c>
      <c r="W800">
        <f>VLOOKUP($B800&amp;W$1,Data!$A$2:$D$12000,4,FALSE)</f>
        <v>-1.047E-2</v>
      </c>
      <c r="X800">
        <f>VLOOKUP($B800&amp;X$1,Data!$A$2:$D$12000,4,FALSE)</f>
        <v>0.38</v>
      </c>
      <c r="Y800">
        <f>VLOOKUP($B800&amp;Y$1,Data!$A$2:$D$12000,4,FALSE)</f>
        <v>0.62</v>
      </c>
      <c r="Z800">
        <f>VLOOKUP($B800&amp;Z$1,Data!$A$2:$D$12000,4,FALSE)</f>
        <v>0.34</v>
      </c>
      <c r="AA800">
        <f>VLOOKUP($B800&amp;AA$1,Data!$A$2:$D$12000,4,FALSE)</f>
        <v>-1.0999999999999999E-2</v>
      </c>
      <c r="AB800">
        <f>VLOOKUP($B800&amp;AB$1,Data!$A$2:$D$12000,4,FALSE)</f>
        <v>6.0000000000000001E-3</v>
      </c>
      <c r="AC800">
        <f>VLOOKUP($B800&amp;AC$1,Data!$A$2:$D$12000,4,FALSE)</f>
        <v>0.01</v>
      </c>
      <c r="AD800">
        <f>VLOOKUP($B800&amp;AD$1,Data!$A$2:$D$12000,4,FALSE)</f>
        <v>0</v>
      </c>
      <c r="AE800">
        <f>VLOOKUP($B800&amp;AE$1,Data!$A$2:$D$12000,4,FALSE)</f>
        <v>-0.93100000000000005</v>
      </c>
      <c r="AF800">
        <f>VLOOKUP($B800&amp;AF$1,Data!$A$2:$D$12000,4,FALSE)</f>
        <v>6.8000000000000005E-2</v>
      </c>
      <c r="AG800">
        <f>VLOOKUP($B800&amp;AG$1,Data!$A$2:$D$12000,4,FALSE)</f>
        <v>-1.7989999999999999</v>
      </c>
      <c r="AH800">
        <f>VLOOKUP($B800&amp;AH$1,Data!$A$2:$D$12000,4,FALSE)</f>
        <v>0</v>
      </c>
      <c r="AI800">
        <f>VLOOKUP($B800&amp;AI$1,Data!$A$2:$D$12000,4,FALSE)</f>
        <v>4800000</v>
      </c>
    </row>
    <row r="801" spans="1:35" hidden="1">
      <c r="B801" s="23">
        <v>800</v>
      </c>
      <c r="C801" s="13" t="s">
        <v>58</v>
      </c>
      <c r="D801" t="s">
        <v>5</v>
      </c>
      <c r="E801" t="s">
        <v>22</v>
      </c>
      <c r="F801">
        <v>1000</v>
      </c>
      <c r="G801" t="s">
        <v>17</v>
      </c>
      <c r="H801" s="5">
        <v>43831</v>
      </c>
      <c r="I801" s="5">
        <v>44562</v>
      </c>
      <c r="J801">
        <v>14</v>
      </c>
      <c r="K801">
        <v>9</v>
      </c>
      <c r="L801">
        <v>32</v>
      </c>
      <c r="M801">
        <v>68</v>
      </c>
      <c r="N801">
        <v>1000000</v>
      </c>
      <c r="O801">
        <f>VLOOKUP($B801&amp;O$1,Data!$A$2:$D$12000,4,FALSE)</f>
        <v>4.7010000000000003E-2</v>
      </c>
      <c r="P801">
        <f>VLOOKUP($B801&amp;P$1,Data!$A$2:$D$12000,4,FALSE)</f>
        <v>-0.64800000000000002</v>
      </c>
      <c r="Q801">
        <f>VLOOKUP($B801&amp;Q$1,Data!$A$2:$D$12000,4,FALSE)</f>
        <v>816</v>
      </c>
      <c r="R801">
        <f>VLOOKUP($B801&amp;R$1,Data!$A$2:$D$12000,4,FALSE)</f>
        <v>1.4E-3</v>
      </c>
      <c r="S801">
        <f>VLOOKUP($B801&amp;S$1,Data!$A$2:$D$12000,4,FALSE)</f>
        <v>-3.0999999999999999E-3</v>
      </c>
      <c r="T801">
        <f>VLOOKUP($B801&amp;T$1,Data!$A$2:$D$12000,4,FALSE)</f>
        <v>-3.3390000000000003E-2</v>
      </c>
      <c r="U801">
        <f>VLOOKUP($B801&amp;U$1,Data!$A$2:$D$12000,4,FALSE)</f>
        <v>4.2000000000000003E-2</v>
      </c>
      <c r="V801">
        <f>VLOOKUP($B801&amp;V$1,Data!$A$2:$D$12000,4,FALSE)</f>
        <v>-8.5000000000000006E-2</v>
      </c>
      <c r="W801">
        <f>VLOOKUP($B801&amp;W$1,Data!$A$2:$D$12000,4,FALSE)</f>
        <v>-2.2259999999999999E-2</v>
      </c>
      <c r="X801">
        <f>VLOOKUP($B801&amp;X$1,Data!$A$2:$D$12000,4,FALSE)</f>
        <v>0.37</v>
      </c>
      <c r="Y801">
        <f>VLOOKUP($B801&amp;Y$1,Data!$A$2:$D$12000,4,FALSE)</f>
        <v>0.63</v>
      </c>
      <c r="Z801">
        <f>VLOOKUP($B801&amp;Z$1,Data!$A$2:$D$12000,4,FALSE)</f>
        <v>0.45</v>
      </c>
      <c r="AA801">
        <f>VLOOKUP($B801&amp;AA$1,Data!$A$2:$D$12000,4,FALSE)</f>
        <v>-2.4E-2</v>
      </c>
      <c r="AB801">
        <f>VLOOKUP($B801&amp;AB$1,Data!$A$2:$D$12000,4,FALSE)</f>
        <v>1.9E-2</v>
      </c>
      <c r="AC801">
        <f>VLOOKUP($B801&amp;AC$1,Data!$A$2:$D$12000,4,FALSE)</f>
        <v>3.5000000000000003E-2</v>
      </c>
      <c r="AD801">
        <f>VLOOKUP($B801&amp;AD$1,Data!$A$2:$D$12000,4,FALSE)</f>
        <v>1E-3</v>
      </c>
      <c r="AE801">
        <f>VLOOKUP($B801&amp;AE$1,Data!$A$2:$D$12000,4,FALSE)</f>
        <v>-0.99099999999999999</v>
      </c>
      <c r="AF801">
        <f>VLOOKUP($B801&amp;AF$1,Data!$A$2:$D$12000,4,FALSE)</f>
        <v>7.4999999999999997E-2</v>
      </c>
      <c r="AG801">
        <f>VLOOKUP($B801&amp;AG$1,Data!$A$2:$D$12000,4,FALSE)</f>
        <v>-1.224</v>
      </c>
      <c r="AH801">
        <f>VLOOKUP($B801&amp;AH$1,Data!$A$2:$D$12000,4,FALSE)</f>
        <v>0</v>
      </c>
      <c r="AI801">
        <f>VLOOKUP($B801&amp;AI$1,Data!$A$2:$D$12000,4,FALSE)</f>
        <v>4700000</v>
      </c>
    </row>
    <row r="802" spans="1:35" hidden="1">
      <c r="B802" s="23">
        <v>801</v>
      </c>
      <c r="C802" s="13" t="s">
        <v>58</v>
      </c>
      <c r="D802" t="s">
        <v>5</v>
      </c>
      <c r="E802" t="s">
        <v>22</v>
      </c>
      <c r="F802">
        <v>5000</v>
      </c>
      <c r="G802" t="s">
        <v>17</v>
      </c>
      <c r="H802" s="5">
        <v>43831</v>
      </c>
      <c r="I802" s="5">
        <v>44562</v>
      </c>
      <c r="J802">
        <v>14</v>
      </c>
      <c r="K802">
        <v>9</v>
      </c>
      <c r="L802">
        <v>32</v>
      </c>
      <c r="M802">
        <v>68</v>
      </c>
      <c r="N802">
        <v>1000000</v>
      </c>
      <c r="O802">
        <f>VLOOKUP($B802&amp;O$1,Data!$A$2:$D$12000,4,FALSE)</f>
        <v>1.4200000000000001E-2</v>
      </c>
      <c r="P802">
        <f>VLOOKUP($B802&amp;P$1,Data!$A$2:$D$12000,4,FALSE)</f>
        <v>-1.0960000000000001</v>
      </c>
      <c r="Q802">
        <f>VLOOKUP($B802&amp;Q$1,Data!$A$2:$D$12000,4,FALSE)</f>
        <v>632</v>
      </c>
      <c r="R802">
        <f>VLOOKUP($B802&amp;R$1,Data!$A$2:$D$12000,4,FALSE)</f>
        <v>1.6999999999999999E-3</v>
      </c>
      <c r="S802">
        <f>VLOOKUP($B802&amp;S$1,Data!$A$2:$D$12000,4,FALSE)</f>
        <v>-4.3E-3</v>
      </c>
      <c r="T802">
        <f>VLOOKUP($B802&amp;T$1,Data!$A$2:$D$12000,4,FALSE)</f>
        <v>-7.4249999999999997E-2</v>
      </c>
      <c r="U802">
        <f>VLOOKUP($B802&amp;U$1,Data!$A$2:$D$12000,4,FALSE)</f>
        <v>6.8000000000000005E-2</v>
      </c>
      <c r="V802">
        <f>VLOOKUP($B802&amp;V$1,Data!$A$2:$D$12000,4,FALSE)</f>
        <v>-0.14799999999999999</v>
      </c>
      <c r="W802">
        <f>VLOOKUP($B802&amp;W$1,Data!$A$2:$D$12000,4,FALSE)</f>
        <v>-4.9860000000000002E-2</v>
      </c>
      <c r="X802">
        <f>VLOOKUP($B802&amp;X$1,Data!$A$2:$D$12000,4,FALSE)</f>
        <v>0.38</v>
      </c>
      <c r="Y802">
        <f>VLOOKUP($B802&amp;Y$1,Data!$A$2:$D$12000,4,FALSE)</f>
        <v>0.62</v>
      </c>
      <c r="Z802">
        <f>VLOOKUP($B802&amp;Z$1,Data!$A$2:$D$12000,4,FALSE)</f>
        <v>0.38</v>
      </c>
      <c r="AA802">
        <f>VLOOKUP($B802&amp;AA$1,Data!$A$2:$D$12000,4,FALSE)</f>
        <v>-5.2999999999999999E-2</v>
      </c>
      <c r="AB802">
        <f>VLOOKUP($B802&amp;AB$1,Data!$A$2:$D$12000,4,FALSE)</f>
        <v>4.3999999999999997E-2</v>
      </c>
      <c r="AC802">
        <f>VLOOKUP($B802&amp;AC$1,Data!$A$2:$D$12000,4,FALSE)</f>
        <v>4.7E-2</v>
      </c>
      <c r="AD802">
        <f>VLOOKUP($B802&amp;AD$1,Data!$A$2:$D$12000,4,FALSE)</f>
        <v>2E-3</v>
      </c>
      <c r="AE802">
        <f>VLOOKUP($B802&amp;AE$1,Data!$A$2:$D$12000,4,FALSE)</f>
        <v>-1.3</v>
      </c>
      <c r="AF802">
        <f>VLOOKUP($B802&amp;AF$1,Data!$A$2:$D$12000,4,FALSE)</f>
        <v>7.9000000000000001E-2</v>
      </c>
      <c r="AG802">
        <f>VLOOKUP($B802&amp;AG$1,Data!$A$2:$D$12000,4,FALSE)</f>
        <v>-1.149</v>
      </c>
      <c r="AH802">
        <f>VLOOKUP($B802&amp;AH$1,Data!$A$2:$D$12000,4,FALSE)</f>
        <v>0</v>
      </c>
      <c r="AI802">
        <f>VLOOKUP($B802&amp;AI$1,Data!$A$2:$D$12000,4,FALSE)</f>
        <v>4600000</v>
      </c>
    </row>
    <row r="803" spans="1:35" hidden="1">
      <c r="B803" s="23">
        <v>802</v>
      </c>
      <c r="C803" s="13" t="s">
        <v>58</v>
      </c>
      <c r="D803" t="s">
        <v>5</v>
      </c>
      <c r="E803" t="s">
        <v>3</v>
      </c>
      <c r="F803">
        <v>100</v>
      </c>
      <c r="G803" t="s">
        <v>17</v>
      </c>
      <c r="H803" s="5">
        <v>43831</v>
      </c>
      <c r="I803" s="5">
        <v>44562</v>
      </c>
      <c r="J803">
        <v>14</v>
      </c>
      <c r="K803">
        <v>9</v>
      </c>
      <c r="L803">
        <v>28</v>
      </c>
      <c r="M803">
        <v>72</v>
      </c>
      <c r="N803">
        <v>1000000</v>
      </c>
      <c r="O803">
        <f>VLOOKUP($B803&amp;O$1,Data!$A$2:$D$12000,4,FALSE)</f>
        <v>4.9300000000000004E-3</v>
      </c>
      <c r="P803">
        <f>VLOOKUP($B803&amp;P$1,Data!$A$2:$D$12000,4,FALSE)</f>
        <v>-1.5149999999999999</v>
      </c>
      <c r="Q803">
        <f>VLOOKUP($B803&amp;Q$1,Data!$A$2:$D$12000,4,FALSE)</f>
        <v>1229</v>
      </c>
      <c r="R803">
        <f>VLOOKUP($B803&amp;R$1,Data!$A$2:$D$12000,4,FALSE)</f>
        <v>2.0000000000000001E-4</v>
      </c>
      <c r="S803">
        <f>VLOOKUP($B803&amp;S$1,Data!$A$2:$D$12000,4,FALSE)</f>
        <v>-6.9999999999999999E-4</v>
      </c>
      <c r="T803">
        <f>VLOOKUP($B803&amp;T$1,Data!$A$2:$D$12000,4,FALSE)</f>
        <v>-1.9380000000000001E-2</v>
      </c>
      <c r="U803">
        <f>VLOOKUP($B803&amp;U$1,Data!$A$2:$D$12000,4,FALSE)</f>
        <v>1.4999999999999999E-2</v>
      </c>
      <c r="V803">
        <f>VLOOKUP($B803&amp;V$1,Data!$A$2:$D$12000,4,FALSE)</f>
        <v>-0.17699999999999999</v>
      </c>
      <c r="W803">
        <f>VLOOKUP($B803&amp;W$1,Data!$A$2:$D$12000,4,FALSE)</f>
        <v>-1.294E-2</v>
      </c>
      <c r="X803">
        <f>VLOOKUP($B803&amp;X$1,Data!$A$2:$D$12000,4,FALSE)</f>
        <v>0.39</v>
      </c>
      <c r="Y803">
        <f>VLOOKUP($B803&amp;Y$1,Data!$A$2:$D$12000,4,FALSE)</f>
        <v>0.61</v>
      </c>
      <c r="Z803">
        <f>VLOOKUP($B803&amp;Z$1,Data!$A$2:$D$12000,4,FALSE)</f>
        <v>0.35</v>
      </c>
      <c r="AA803">
        <f>VLOOKUP($B803&amp;AA$1,Data!$A$2:$D$12000,4,FALSE)</f>
        <v>-1.4999999999999999E-2</v>
      </c>
      <c r="AB803">
        <f>VLOOKUP($B803&amp;AB$1,Data!$A$2:$D$12000,4,FALSE)</f>
        <v>2.1999999999999999E-2</v>
      </c>
      <c r="AC803">
        <f>VLOOKUP($B803&amp;AC$1,Data!$A$2:$D$12000,4,FALSE)</f>
        <v>8.9999999999999993E-3</v>
      </c>
      <c r="AD803">
        <f>VLOOKUP($B803&amp;AD$1,Data!$A$2:$D$12000,4,FALSE)</f>
        <v>0</v>
      </c>
      <c r="AE803">
        <f>VLOOKUP($B803&amp;AE$1,Data!$A$2:$D$12000,4,FALSE)</f>
        <v>-0.98499999999999999</v>
      </c>
      <c r="AF803">
        <f>VLOOKUP($B803&amp;AF$1,Data!$A$2:$D$12000,4,FALSE)</f>
        <v>6.6000000000000003E-2</v>
      </c>
      <c r="AG803">
        <f>VLOOKUP($B803&amp;AG$1,Data!$A$2:$D$12000,4,FALSE)</f>
        <v>-0.60599999999999998</v>
      </c>
      <c r="AH803">
        <f>VLOOKUP($B803&amp;AH$1,Data!$A$2:$D$12000,4,FALSE)</f>
        <v>0</v>
      </c>
      <c r="AI803">
        <f>VLOOKUP($B803&amp;AI$1,Data!$A$2:$D$12000,4,FALSE)</f>
        <v>190000000</v>
      </c>
    </row>
    <row r="804" spans="1:35" hidden="1">
      <c r="B804" s="23">
        <v>803</v>
      </c>
      <c r="C804" s="13" t="s">
        <v>58</v>
      </c>
      <c r="D804" t="s">
        <v>5</v>
      </c>
      <c r="E804" t="s">
        <v>3</v>
      </c>
      <c r="F804">
        <v>1000</v>
      </c>
      <c r="G804" t="s">
        <v>17</v>
      </c>
      <c r="H804" s="5">
        <v>43831</v>
      </c>
      <c r="I804" s="5">
        <v>44562</v>
      </c>
      <c r="J804">
        <v>14</v>
      </c>
      <c r="K804">
        <v>9</v>
      </c>
      <c r="L804">
        <v>28</v>
      </c>
      <c r="M804">
        <v>72</v>
      </c>
      <c r="N804">
        <v>1000000</v>
      </c>
      <c r="O804">
        <f>VLOOKUP($B804&amp;O$1,Data!$A$2:$D$12000,4,FALSE)</f>
        <v>1.553E-2</v>
      </c>
      <c r="P804">
        <f>VLOOKUP($B804&amp;P$1,Data!$A$2:$D$12000,4,FALSE)</f>
        <v>-1.089</v>
      </c>
      <c r="Q804">
        <f>VLOOKUP($B804&amp;Q$1,Data!$A$2:$D$12000,4,FALSE)</f>
        <v>1024</v>
      </c>
      <c r="R804">
        <f>VLOOKUP($B804&amp;R$1,Data!$A$2:$D$12000,4,FALSE)</f>
        <v>1.1000000000000001E-3</v>
      </c>
      <c r="S804">
        <f>VLOOKUP($B804&amp;S$1,Data!$A$2:$D$12000,4,FALSE)</f>
        <v>-2.5999999999999999E-3</v>
      </c>
      <c r="T804">
        <f>VLOOKUP($B804&amp;T$1,Data!$A$2:$D$12000,4,FALSE)</f>
        <v>-5.6140000000000002E-2</v>
      </c>
      <c r="U804">
        <f>VLOOKUP($B804&amp;U$1,Data!$A$2:$D$12000,4,FALSE)</f>
        <v>4.9000000000000002E-2</v>
      </c>
      <c r="V804">
        <f>VLOOKUP($B804&amp;V$1,Data!$A$2:$D$12000,4,FALSE)</f>
        <v>-0.13800000000000001</v>
      </c>
      <c r="W804">
        <f>VLOOKUP($B804&amp;W$1,Data!$A$2:$D$12000,4,FALSE)</f>
        <v>-3.773E-2</v>
      </c>
      <c r="X804">
        <f>VLOOKUP($B804&amp;X$1,Data!$A$2:$D$12000,4,FALSE)</f>
        <v>0.39</v>
      </c>
      <c r="Y804">
        <f>VLOOKUP($B804&amp;Y$1,Data!$A$2:$D$12000,4,FALSE)</f>
        <v>0.61</v>
      </c>
      <c r="Z804">
        <f>VLOOKUP($B804&amp;Z$1,Data!$A$2:$D$12000,4,FALSE)</f>
        <v>0.42</v>
      </c>
      <c r="AA804">
        <f>VLOOKUP($B804&amp;AA$1,Data!$A$2:$D$12000,4,FALSE)</f>
        <v>-4.4999999999999998E-2</v>
      </c>
      <c r="AB804">
        <f>VLOOKUP($B804&amp;AB$1,Data!$A$2:$D$12000,4,FALSE)</f>
        <v>0.122</v>
      </c>
      <c r="AC804">
        <f>VLOOKUP($B804&amp;AC$1,Data!$A$2:$D$12000,4,FALSE)</f>
        <v>3.5000000000000003E-2</v>
      </c>
      <c r="AD804">
        <f>VLOOKUP($B804&amp;AD$1,Data!$A$2:$D$12000,4,FALSE)</f>
        <v>1E-3</v>
      </c>
      <c r="AE804">
        <f>VLOOKUP($B804&amp;AE$1,Data!$A$2:$D$12000,4,FALSE)</f>
        <v>-1.325</v>
      </c>
      <c r="AF804">
        <f>VLOOKUP($B804&amp;AF$1,Data!$A$2:$D$12000,4,FALSE)</f>
        <v>6.8000000000000005E-2</v>
      </c>
      <c r="AG804">
        <f>VLOOKUP($B804&amp;AG$1,Data!$A$2:$D$12000,4,FALSE)</f>
        <v>-0.316</v>
      </c>
      <c r="AH804">
        <f>VLOOKUP($B804&amp;AH$1,Data!$A$2:$D$12000,4,FALSE)</f>
        <v>0</v>
      </c>
      <c r="AI804">
        <f>VLOOKUP($B804&amp;AI$1,Data!$A$2:$D$12000,4,FALSE)</f>
        <v>20000000</v>
      </c>
    </row>
    <row r="805" spans="1:35" hidden="1">
      <c r="B805" s="23">
        <v>804</v>
      </c>
      <c r="C805" s="13" t="s">
        <v>58</v>
      </c>
      <c r="D805" t="s">
        <v>5</v>
      </c>
      <c r="E805" t="s">
        <v>3</v>
      </c>
      <c r="F805">
        <v>5000</v>
      </c>
      <c r="G805" t="s">
        <v>17</v>
      </c>
      <c r="H805" s="5">
        <v>43831</v>
      </c>
      <c r="I805" s="5">
        <v>44562</v>
      </c>
      <c r="J805">
        <v>14</v>
      </c>
      <c r="K805">
        <v>9</v>
      </c>
      <c r="L805">
        <v>28</v>
      </c>
      <c r="M805">
        <v>72</v>
      </c>
      <c r="N805">
        <v>1000000</v>
      </c>
      <c r="O805">
        <f>VLOOKUP($B805&amp;O$1,Data!$A$2:$D$12000,4,FALSE)</f>
        <v>4.5809999999999997E-2</v>
      </c>
      <c r="P805">
        <f>VLOOKUP($B805&amp;P$1,Data!$A$2:$D$12000,4,FALSE)</f>
        <v>-0.69199999999999995</v>
      </c>
      <c r="Q805">
        <f>VLOOKUP($B805&amp;Q$1,Data!$A$2:$D$12000,4,FALSE)</f>
        <v>808</v>
      </c>
      <c r="R805">
        <f>VLOOKUP($B805&amp;R$1,Data!$A$2:$D$12000,4,FALSE)</f>
        <v>1.8E-3</v>
      </c>
      <c r="S805">
        <f>VLOOKUP($B805&amp;S$1,Data!$A$2:$D$12000,4,FALSE)</f>
        <v>-3.0999999999999999E-3</v>
      </c>
      <c r="T805">
        <f>VLOOKUP($B805&amp;T$1,Data!$A$2:$D$12000,4,FALSE)</f>
        <v>-4.8829999999999998E-2</v>
      </c>
      <c r="U805">
        <f>VLOOKUP($B805&amp;U$1,Data!$A$2:$D$12000,4,FALSE)</f>
        <v>6.0999999999999999E-2</v>
      </c>
      <c r="V805">
        <f>VLOOKUP($B805&amp;V$1,Data!$A$2:$D$12000,4,FALSE)</f>
        <v>-0.106</v>
      </c>
      <c r="W805">
        <f>VLOOKUP($B805&amp;W$1,Data!$A$2:$D$12000,4,FALSE)</f>
        <v>-3.2779999999999997E-2</v>
      </c>
      <c r="X805">
        <f>VLOOKUP($B805&amp;X$1,Data!$A$2:$D$12000,4,FALSE)</f>
        <v>0.44</v>
      </c>
      <c r="Y805">
        <f>VLOOKUP($B805&amp;Y$1,Data!$A$2:$D$12000,4,FALSE)</f>
        <v>0.56000000000000005</v>
      </c>
      <c r="Z805">
        <f>VLOOKUP($B805&amp;Z$1,Data!$A$2:$D$12000,4,FALSE)</f>
        <v>0.6</v>
      </c>
      <c r="AA805">
        <f>VLOOKUP($B805&amp;AA$1,Data!$A$2:$D$12000,4,FALSE)</f>
        <v>-4.1000000000000002E-2</v>
      </c>
      <c r="AB805">
        <f>VLOOKUP($B805&amp;AB$1,Data!$A$2:$D$12000,4,FALSE)</f>
        <v>0.158</v>
      </c>
      <c r="AC805">
        <f>VLOOKUP($B805&amp;AC$1,Data!$A$2:$D$12000,4,FALSE)</f>
        <v>4.8000000000000001E-2</v>
      </c>
      <c r="AD805">
        <f>VLOOKUP($B805&amp;AD$1,Data!$A$2:$D$12000,4,FALSE)</f>
        <v>2E-3</v>
      </c>
      <c r="AE805">
        <f>VLOOKUP($B805&amp;AE$1,Data!$A$2:$D$12000,4,FALSE)</f>
        <v>-1.1599999999999999</v>
      </c>
      <c r="AF805">
        <f>VLOOKUP($B805&amp;AF$1,Data!$A$2:$D$12000,4,FALSE)</f>
        <v>7.2999999999999995E-2</v>
      </c>
      <c r="AG805">
        <f>VLOOKUP($B805&amp;AG$1,Data!$A$2:$D$12000,4,FALSE)</f>
        <v>-0.20799999999999999</v>
      </c>
      <c r="AH805">
        <f>VLOOKUP($B805&amp;AH$1,Data!$A$2:$D$12000,4,FALSE)</f>
        <v>0</v>
      </c>
      <c r="AI805">
        <f>VLOOKUP($B805&amp;AI$1,Data!$A$2:$D$12000,4,FALSE)</f>
        <v>6000000</v>
      </c>
    </row>
    <row r="806" spans="1:35" hidden="1">
      <c r="B806" s="23">
        <v>805</v>
      </c>
      <c r="C806" s="13" t="s">
        <v>58</v>
      </c>
      <c r="D806" t="s">
        <v>5</v>
      </c>
      <c r="E806" t="s">
        <v>2</v>
      </c>
      <c r="F806">
        <v>100</v>
      </c>
      <c r="G806" t="s">
        <v>17</v>
      </c>
      <c r="H806" s="5">
        <v>43831</v>
      </c>
      <c r="I806" s="5">
        <v>44562</v>
      </c>
      <c r="J806">
        <v>14</v>
      </c>
      <c r="K806">
        <v>9</v>
      </c>
      <c r="L806">
        <v>28</v>
      </c>
      <c r="M806">
        <v>72</v>
      </c>
      <c r="N806">
        <v>1000000</v>
      </c>
      <c r="O806">
        <f>VLOOKUP($B806&amp;O$1,Data!$A$2:$D$12000,4,FALSE)</f>
        <v>5.0160000000000003E-2</v>
      </c>
      <c r="P806">
        <f>VLOOKUP($B806&amp;P$1,Data!$A$2:$D$12000,4,FALSE)</f>
        <v>-0.64400000000000002</v>
      </c>
      <c r="Q806">
        <f>VLOOKUP($B806&amp;Q$1,Data!$A$2:$D$12000,4,FALSE)</f>
        <v>822</v>
      </c>
      <c r="R806">
        <f>VLOOKUP($B806&amp;R$1,Data!$A$2:$D$12000,4,FALSE)</f>
        <v>4.0000000000000002E-4</v>
      </c>
      <c r="S806">
        <f>VLOOKUP($B806&amp;S$1,Data!$A$2:$D$12000,4,FALSE)</f>
        <v>-5.9999999999999995E-4</v>
      </c>
      <c r="T806">
        <f>VLOOKUP($B806&amp;T$1,Data!$A$2:$D$12000,4,FALSE)</f>
        <v>-8.7799999999999996E-3</v>
      </c>
      <c r="U806">
        <f>VLOOKUP($B806&amp;U$1,Data!$A$2:$D$12000,4,FALSE)</f>
        <v>8.9999999999999993E-3</v>
      </c>
      <c r="V806">
        <f>VLOOKUP($B806&amp;V$1,Data!$A$2:$D$12000,4,FALSE)</f>
        <v>-0.121</v>
      </c>
      <c r="W806">
        <f>VLOOKUP($B806&amp;W$1,Data!$A$2:$D$12000,4,FALSE)</f>
        <v>-5.8500000000000002E-3</v>
      </c>
      <c r="X806">
        <f>VLOOKUP($B806&amp;X$1,Data!$A$2:$D$12000,4,FALSE)</f>
        <v>0.43</v>
      </c>
      <c r="Y806">
        <f>VLOOKUP($B806&amp;Y$1,Data!$A$2:$D$12000,4,FALSE)</f>
        <v>0.56999999999999995</v>
      </c>
      <c r="Z806">
        <f>VLOOKUP($B806&amp;Z$1,Data!$A$2:$D$12000,4,FALSE)</f>
        <v>0.55000000000000004</v>
      </c>
      <c r="AA806">
        <f>VLOOKUP($B806&amp;AA$1,Data!$A$2:$D$12000,4,FALSE)</f>
        <v>-6.0000000000000001E-3</v>
      </c>
      <c r="AB806">
        <f>VLOOKUP($B806&amp;AB$1,Data!$A$2:$D$12000,4,FALSE)</f>
        <v>8.9999999999999993E-3</v>
      </c>
      <c r="AC806">
        <f>VLOOKUP($B806&amp;AC$1,Data!$A$2:$D$12000,4,FALSE)</f>
        <v>8.9999999999999993E-3</v>
      </c>
      <c r="AD806">
        <f>VLOOKUP($B806&amp;AD$1,Data!$A$2:$D$12000,4,FALSE)</f>
        <v>0</v>
      </c>
      <c r="AE806">
        <f>VLOOKUP($B806&amp;AE$1,Data!$A$2:$D$12000,4,FALSE)</f>
        <v>-0.82099999999999995</v>
      </c>
      <c r="AF806">
        <f>VLOOKUP($B806&amp;AF$1,Data!$A$2:$D$12000,4,FALSE)</f>
        <v>6.7000000000000004E-2</v>
      </c>
      <c r="AG806">
        <f>VLOOKUP($B806&amp;AG$1,Data!$A$2:$D$12000,4,FALSE)</f>
        <v>-0.70499999999999996</v>
      </c>
      <c r="AH806">
        <f>VLOOKUP($B806&amp;AH$1,Data!$A$2:$D$12000,4,FALSE)</f>
        <v>0</v>
      </c>
      <c r="AI806">
        <f>VLOOKUP($B806&amp;AI$1,Data!$A$2:$D$12000,4,FALSE)</f>
        <v>170000000</v>
      </c>
    </row>
    <row r="807" spans="1:35" hidden="1">
      <c r="B807" s="23">
        <v>806</v>
      </c>
      <c r="C807" s="13" t="s">
        <v>58</v>
      </c>
      <c r="D807" t="s">
        <v>5</v>
      </c>
      <c r="E807" t="s">
        <v>2</v>
      </c>
      <c r="F807">
        <v>1000</v>
      </c>
      <c r="G807" t="s">
        <v>17</v>
      </c>
      <c r="H807" s="5">
        <v>43831</v>
      </c>
      <c r="I807" s="5">
        <v>44562</v>
      </c>
      <c r="J807">
        <v>14</v>
      </c>
      <c r="K807">
        <v>9</v>
      </c>
      <c r="L807">
        <v>28</v>
      </c>
      <c r="M807">
        <v>72</v>
      </c>
      <c r="N807">
        <v>1000000</v>
      </c>
      <c r="O807">
        <f>VLOOKUP($B807&amp;O$1,Data!$A$2:$D$12000,4,FALSE)</f>
        <v>0.22696</v>
      </c>
      <c r="P807">
        <f>VLOOKUP($B807&amp;P$1,Data!$A$2:$D$12000,4,FALSE)</f>
        <v>0.23599999999999999</v>
      </c>
      <c r="Q807">
        <f>VLOOKUP($B807&amp;Q$1,Data!$A$2:$D$12000,4,FALSE)</f>
        <v>703</v>
      </c>
      <c r="R807">
        <f>VLOOKUP($B807&amp;R$1,Data!$A$2:$D$12000,4,FALSE)</f>
        <v>1.5E-3</v>
      </c>
      <c r="S807">
        <f>VLOOKUP($B807&amp;S$1,Data!$A$2:$D$12000,4,FALSE)</f>
        <v>-2.0999999999999999E-3</v>
      </c>
      <c r="T807">
        <f>VLOOKUP($B807&amp;T$1,Data!$A$2:$D$12000,4,FALSE)</f>
        <v>1.0489999999999999E-2</v>
      </c>
      <c r="U807">
        <f>VLOOKUP($B807&amp;U$1,Data!$A$2:$D$12000,4,FALSE)</f>
        <v>2.1999999999999999E-2</v>
      </c>
      <c r="V807">
        <f>VLOOKUP($B807&amp;V$1,Data!$A$2:$D$12000,4,FALSE)</f>
        <v>4.8000000000000001E-2</v>
      </c>
      <c r="W807">
        <f>VLOOKUP($B807&amp;W$1,Data!$A$2:$D$12000,4,FALSE)</f>
        <v>6.9699999999999996E-3</v>
      </c>
      <c r="X807">
        <f>VLOOKUP($B807&amp;X$1,Data!$A$2:$D$12000,4,FALSE)</f>
        <v>0.39</v>
      </c>
      <c r="Y807">
        <f>VLOOKUP($B807&amp;Y$1,Data!$A$2:$D$12000,4,FALSE)</f>
        <v>0.61</v>
      </c>
      <c r="Z807">
        <f>VLOOKUP($B807&amp;Z$1,Data!$A$2:$D$12000,4,FALSE)</f>
        <v>0.72</v>
      </c>
      <c r="AA807">
        <f>VLOOKUP($B807&amp;AA$1,Data!$A$2:$D$12000,4,FALSE)</f>
        <v>4.0000000000000001E-3</v>
      </c>
      <c r="AB807">
        <f>VLOOKUP($B807&amp;AB$1,Data!$A$2:$D$12000,4,FALSE)</f>
        <v>8.5000000000000006E-2</v>
      </c>
      <c r="AC807">
        <f>VLOOKUP($B807&amp;AC$1,Data!$A$2:$D$12000,4,FALSE)</f>
        <v>3.3000000000000002E-2</v>
      </c>
      <c r="AD807">
        <f>VLOOKUP($B807&amp;AD$1,Data!$A$2:$D$12000,4,FALSE)</f>
        <v>1E-3</v>
      </c>
      <c r="AE807">
        <f>VLOOKUP($B807&amp;AE$1,Data!$A$2:$D$12000,4,FALSE)</f>
        <v>-0.59499999999999997</v>
      </c>
      <c r="AF807">
        <f>VLOOKUP($B807&amp;AF$1,Data!$A$2:$D$12000,4,FALSE)</f>
        <v>7.0000000000000007E-2</v>
      </c>
      <c r="AG807">
        <f>VLOOKUP($B807&amp;AG$1,Data!$A$2:$D$12000,4,FALSE)</f>
        <v>9.1999999999999998E-2</v>
      </c>
      <c r="AH807">
        <f>VLOOKUP($B807&amp;AH$1,Data!$A$2:$D$12000,4,FALSE)</f>
        <v>0</v>
      </c>
      <c r="AI807">
        <f>VLOOKUP($B807&amp;AI$1,Data!$A$2:$D$12000,4,FALSE)</f>
        <v>19000000</v>
      </c>
    </row>
    <row r="808" spans="1:35" hidden="1">
      <c r="B808" s="23">
        <v>807</v>
      </c>
      <c r="C808" s="13" t="s">
        <v>58</v>
      </c>
      <c r="D808" t="s">
        <v>5</v>
      </c>
      <c r="E808" t="s">
        <v>2</v>
      </c>
      <c r="F808">
        <v>5000</v>
      </c>
      <c r="G808" t="s">
        <v>17</v>
      </c>
      <c r="H808" s="5">
        <v>43831</v>
      </c>
      <c r="I808" s="5">
        <v>44562</v>
      </c>
      <c r="J808">
        <v>14</v>
      </c>
      <c r="K808">
        <v>9</v>
      </c>
      <c r="L808">
        <v>28</v>
      </c>
      <c r="M808">
        <v>72</v>
      </c>
      <c r="N808">
        <v>1000000</v>
      </c>
      <c r="O808">
        <f>VLOOKUP($B808&amp;O$1,Data!$A$2:$D$12000,4,FALSE)</f>
        <v>0.14913000000000001</v>
      </c>
      <c r="P808">
        <f>VLOOKUP($B808&amp;P$1,Data!$A$2:$D$12000,4,FALSE)</f>
        <v>-6.4000000000000001E-2</v>
      </c>
      <c r="Q808">
        <f>VLOOKUP($B808&amp;Q$1,Data!$A$2:$D$12000,4,FALSE)</f>
        <v>566</v>
      </c>
      <c r="R808">
        <f>VLOOKUP($B808&amp;R$1,Data!$A$2:$D$12000,4,FALSE)</f>
        <v>2.0999999999999999E-3</v>
      </c>
      <c r="S808">
        <f>VLOOKUP($B808&amp;S$1,Data!$A$2:$D$12000,4,FALSE)</f>
        <v>-3.5999999999999999E-3</v>
      </c>
      <c r="T808">
        <f>VLOOKUP($B808&amp;T$1,Data!$A$2:$D$12000,4,FALSE)</f>
        <v>-4.3699999999999998E-3</v>
      </c>
      <c r="U808">
        <f>VLOOKUP($B808&amp;U$1,Data!$A$2:$D$12000,4,FALSE)</f>
        <v>4.2000000000000003E-2</v>
      </c>
      <c r="V808">
        <f>VLOOKUP($B808&amp;V$1,Data!$A$2:$D$12000,4,FALSE)</f>
        <v>-8.0000000000000002E-3</v>
      </c>
      <c r="W808">
        <f>VLOOKUP($B808&amp;W$1,Data!$A$2:$D$12000,4,FALSE)</f>
        <v>-2.9099999999999998E-3</v>
      </c>
      <c r="X808">
        <f>VLOOKUP($B808&amp;X$1,Data!$A$2:$D$12000,4,FALSE)</f>
        <v>0.37</v>
      </c>
      <c r="Y808">
        <f>VLOOKUP($B808&amp;Y$1,Data!$A$2:$D$12000,4,FALSE)</f>
        <v>0.63</v>
      </c>
      <c r="Z808">
        <f>VLOOKUP($B808&amp;Z$1,Data!$A$2:$D$12000,4,FALSE)</f>
        <v>0.56999999999999995</v>
      </c>
      <c r="AA808">
        <f>VLOOKUP($B808&amp;AA$1,Data!$A$2:$D$12000,4,FALSE)</f>
        <v>-8.0000000000000002E-3</v>
      </c>
      <c r="AB808">
        <f>VLOOKUP($B808&amp;AB$1,Data!$A$2:$D$12000,4,FALSE)</f>
        <v>0.11600000000000001</v>
      </c>
      <c r="AC808">
        <f>VLOOKUP($B808&amp;AC$1,Data!$A$2:$D$12000,4,FALSE)</f>
        <v>3.6999999999999998E-2</v>
      </c>
      <c r="AD808">
        <f>VLOOKUP($B808&amp;AD$1,Data!$A$2:$D$12000,4,FALSE)</f>
        <v>1E-3</v>
      </c>
      <c r="AE808">
        <f>VLOOKUP($B808&amp;AE$1,Data!$A$2:$D$12000,4,FALSE)</f>
        <v>-0.78100000000000003</v>
      </c>
      <c r="AF808">
        <f>VLOOKUP($B808&amp;AF$1,Data!$A$2:$D$12000,4,FALSE)</f>
        <v>6.9000000000000006E-2</v>
      </c>
      <c r="AG808">
        <f>VLOOKUP($B808&amp;AG$1,Data!$A$2:$D$12000,4,FALSE)</f>
        <v>-0.02</v>
      </c>
      <c r="AH808">
        <f>VLOOKUP($B808&amp;AH$1,Data!$A$2:$D$12000,4,FALSE)</f>
        <v>0</v>
      </c>
      <c r="AI808">
        <f>VLOOKUP($B808&amp;AI$1,Data!$A$2:$D$12000,4,FALSE)</f>
        <v>6100000</v>
      </c>
    </row>
    <row r="809" spans="1:35" hidden="1">
      <c r="B809" s="23">
        <v>808</v>
      </c>
      <c r="C809" s="13" t="s">
        <v>58</v>
      </c>
      <c r="D809" t="s">
        <v>5</v>
      </c>
      <c r="E809" t="s">
        <v>22</v>
      </c>
      <c r="F809">
        <v>100</v>
      </c>
      <c r="G809" t="s">
        <v>17</v>
      </c>
      <c r="H809" s="5">
        <v>43831</v>
      </c>
      <c r="I809" s="5">
        <v>44562</v>
      </c>
      <c r="J809">
        <v>14</v>
      </c>
      <c r="K809">
        <v>9</v>
      </c>
      <c r="L809">
        <v>28</v>
      </c>
      <c r="M809">
        <v>72</v>
      </c>
      <c r="N809">
        <v>1000000</v>
      </c>
      <c r="O809">
        <f>VLOOKUP($B809&amp;O$1,Data!$A$2:$D$12000,4,FALSE)</f>
        <v>1.239E-2</v>
      </c>
      <c r="P809">
        <f>VLOOKUP($B809&amp;P$1,Data!$A$2:$D$12000,4,FALSE)</f>
        <v>-1.054</v>
      </c>
      <c r="Q809">
        <f>VLOOKUP($B809&amp;Q$1,Data!$A$2:$D$12000,4,FALSE)</f>
        <v>622</v>
      </c>
      <c r="R809">
        <f>VLOOKUP($B809&amp;R$1,Data!$A$2:$D$12000,4,FALSE)</f>
        <v>2.0000000000000001E-4</v>
      </c>
      <c r="S809">
        <f>VLOOKUP($B809&amp;S$1,Data!$A$2:$D$12000,4,FALSE)</f>
        <v>-5.9999999999999995E-4</v>
      </c>
      <c r="T809">
        <f>VLOOKUP($B809&amp;T$1,Data!$A$2:$D$12000,4,FALSE)</f>
        <v>-1.542E-2</v>
      </c>
      <c r="U809">
        <f>VLOOKUP($B809&amp;U$1,Data!$A$2:$D$12000,4,FALSE)</f>
        <v>1.4E-2</v>
      </c>
      <c r="V809">
        <f>VLOOKUP($B809&amp;V$1,Data!$A$2:$D$12000,4,FALSE)</f>
        <v>-0.28699999999999998</v>
      </c>
      <c r="W809">
        <f>VLOOKUP($B809&amp;W$1,Data!$A$2:$D$12000,4,FALSE)</f>
        <v>-1.0290000000000001E-2</v>
      </c>
      <c r="X809">
        <f>VLOOKUP($B809&amp;X$1,Data!$A$2:$D$12000,4,FALSE)</f>
        <v>0.43</v>
      </c>
      <c r="Y809">
        <f>VLOOKUP($B809&amp;Y$1,Data!$A$2:$D$12000,4,FALSE)</f>
        <v>0.56999999999999995</v>
      </c>
      <c r="Z809">
        <f>VLOOKUP($B809&amp;Z$1,Data!$A$2:$D$12000,4,FALSE)</f>
        <v>0.26</v>
      </c>
      <c r="AA809">
        <f>VLOOKUP($B809&amp;AA$1,Data!$A$2:$D$12000,4,FALSE)</f>
        <v>-1.2E-2</v>
      </c>
      <c r="AB809">
        <f>VLOOKUP($B809&amp;AB$1,Data!$A$2:$D$12000,4,FALSE)</f>
        <v>0.03</v>
      </c>
      <c r="AC809">
        <f>VLOOKUP($B809&amp;AC$1,Data!$A$2:$D$12000,4,FALSE)</f>
        <v>0.01</v>
      </c>
      <c r="AD809">
        <f>VLOOKUP($B809&amp;AD$1,Data!$A$2:$D$12000,4,FALSE)</f>
        <v>0</v>
      </c>
      <c r="AE809">
        <f>VLOOKUP($B809&amp;AE$1,Data!$A$2:$D$12000,4,FALSE)</f>
        <v>-0.94799999999999995</v>
      </c>
      <c r="AF809">
        <f>VLOOKUP($B809&amp;AF$1,Data!$A$2:$D$12000,4,FALSE)</f>
        <v>6.6000000000000003E-2</v>
      </c>
      <c r="AG809">
        <f>VLOOKUP($B809&amp;AG$1,Data!$A$2:$D$12000,4,FALSE)</f>
        <v>-0.35799999999999998</v>
      </c>
      <c r="AH809">
        <f>VLOOKUP($B809&amp;AH$1,Data!$A$2:$D$12000,4,FALSE)</f>
        <v>0</v>
      </c>
      <c r="AI809">
        <f>VLOOKUP($B809&amp;AI$1,Data!$A$2:$D$12000,4,FALSE)</f>
        <v>47000000</v>
      </c>
    </row>
    <row r="810" spans="1:35" hidden="1">
      <c r="B810" s="23">
        <v>809</v>
      </c>
      <c r="C810" s="13" t="s">
        <v>58</v>
      </c>
      <c r="D810" t="s">
        <v>5</v>
      </c>
      <c r="E810" t="s">
        <v>22</v>
      </c>
      <c r="F810">
        <v>1000</v>
      </c>
      <c r="G810" t="s">
        <v>17</v>
      </c>
      <c r="H810" s="5">
        <v>43831</v>
      </c>
      <c r="I810" s="5">
        <v>44562</v>
      </c>
      <c r="J810">
        <v>14</v>
      </c>
      <c r="K810">
        <v>9</v>
      </c>
      <c r="L810">
        <v>28</v>
      </c>
      <c r="M810">
        <v>72</v>
      </c>
      <c r="N810">
        <v>1000000</v>
      </c>
      <c r="O810">
        <f>VLOOKUP($B810&amp;O$1,Data!$A$2:$D$12000,4,FALSE)</f>
        <v>3.9530000000000003E-2</v>
      </c>
      <c r="P810">
        <f>VLOOKUP($B810&amp;P$1,Data!$A$2:$D$12000,4,FALSE)</f>
        <v>-0.74399999999999999</v>
      </c>
      <c r="Q810">
        <f>VLOOKUP($B810&amp;Q$1,Data!$A$2:$D$12000,4,FALSE)</f>
        <v>540</v>
      </c>
      <c r="R810">
        <f>VLOOKUP($B810&amp;R$1,Data!$A$2:$D$12000,4,FALSE)</f>
        <v>8.0000000000000004E-4</v>
      </c>
      <c r="S810">
        <f>VLOOKUP($B810&amp;S$1,Data!$A$2:$D$12000,4,FALSE)</f>
        <v>-2.3E-3</v>
      </c>
      <c r="T810">
        <f>VLOOKUP($B810&amp;T$1,Data!$A$2:$D$12000,4,FALSE)</f>
        <v>-3.3820000000000003E-2</v>
      </c>
      <c r="U810">
        <f>VLOOKUP($B810&amp;U$1,Data!$A$2:$D$12000,4,FALSE)</f>
        <v>3.6999999999999998E-2</v>
      </c>
      <c r="V810">
        <f>VLOOKUP($B810&amp;V$1,Data!$A$2:$D$12000,4,FALSE)</f>
        <v>-0.16600000000000001</v>
      </c>
      <c r="W810">
        <f>VLOOKUP($B810&amp;W$1,Data!$A$2:$D$12000,4,FALSE)</f>
        <v>-2.264E-2</v>
      </c>
      <c r="X810">
        <f>VLOOKUP($B810&amp;X$1,Data!$A$2:$D$12000,4,FALSE)</f>
        <v>0.38</v>
      </c>
      <c r="Y810">
        <f>VLOOKUP($B810&amp;Y$1,Data!$A$2:$D$12000,4,FALSE)</f>
        <v>0.62</v>
      </c>
      <c r="Z810">
        <f>VLOOKUP($B810&amp;Z$1,Data!$A$2:$D$12000,4,FALSE)</f>
        <v>0.35</v>
      </c>
      <c r="AA810">
        <f>VLOOKUP($B810&amp;AA$1,Data!$A$2:$D$12000,4,FALSE)</f>
        <v>-2.8000000000000001E-2</v>
      </c>
      <c r="AB810">
        <f>VLOOKUP($B810&amp;AB$1,Data!$A$2:$D$12000,4,FALSE)</f>
        <v>8.6999999999999994E-2</v>
      </c>
      <c r="AC810">
        <f>VLOOKUP($B810&amp;AC$1,Data!$A$2:$D$12000,4,FALSE)</f>
        <v>3.1E-2</v>
      </c>
      <c r="AD810">
        <f>VLOOKUP($B810&amp;AD$1,Data!$A$2:$D$12000,4,FALSE)</f>
        <v>1E-3</v>
      </c>
      <c r="AE810">
        <f>VLOOKUP($B810&amp;AE$1,Data!$A$2:$D$12000,4,FALSE)</f>
        <v>-1.0940000000000001</v>
      </c>
      <c r="AF810">
        <f>VLOOKUP($B810&amp;AF$1,Data!$A$2:$D$12000,4,FALSE)</f>
        <v>6.9000000000000006E-2</v>
      </c>
      <c r="AG810">
        <f>VLOOKUP($B810&amp;AG$1,Data!$A$2:$D$12000,4,FALSE)</f>
        <v>-0.26700000000000002</v>
      </c>
      <c r="AH810">
        <f>VLOOKUP($B810&amp;AH$1,Data!$A$2:$D$12000,4,FALSE)</f>
        <v>0</v>
      </c>
      <c r="AI810">
        <f>VLOOKUP($B810&amp;AI$1,Data!$A$2:$D$12000,4,FALSE)</f>
        <v>7300000</v>
      </c>
    </row>
    <row r="811" spans="1:35" hidden="1">
      <c r="B811" s="23">
        <v>810</v>
      </c>
      <c r="C811" s="13" t="s">
        <v>58</v>
      </c>
      <c r="D811" t="s">
        <v>5</v>
      </c>
      <c r="E811" t="s">
        <v>22</v>
      </c>
      <c r="F811">
        <v>5000</v>
      </c>
      <c r="G811" t="s">
        <v>17</v>
      </c>
      <c r="H811" s="5">
        <v>43831</v>
      </c>
      <c r="I811" s="5">
        <v>44562</v>
      </c>
      <c r="J811">
        <v>14</v>
      </c>
      <c r="K811">
        <v>9</v>
      </c>
      <c r="L811">
        <v>28</v>
      </c>
      <c r="M811">
        <v>72</v>
      </c>
      <c r="N811">
        <v>1000000</v>
      </c>
      <c r="O811">
        <f>VLOOKUP($B811&amp;O$1,Data!$A$2:$D$12000,4,FALSE)</f>
        <v>8.0599999999999995E-3</v>
      </c>
      <c r="P811">
        <f>VLOOKUP($B811&amp;P$1,Data!$A$2:$D$12000,4,FALSE)</f>
        <v>-1.278</v>
      </c>
      <c r="Q811">
        <f>VLOOKUP($B811&amp;Q$1,Data!$A$2:$D$12000,4,FALSE)</f>
        <v>438</v>
      </c>
      <c r="R811">
        <f>VLOOKUP($B811&amp;R$1,Data!$A$2:$D$12000,4,FALSE)</f>
        <v>1.2999999999999999E-3</v>
      </c>
      <c r="S811">
        <f>VLOOKUP($B811&amp;S$1,Data!$A$2:$D$12000,4,FALSE)</f>
        <v>-4.0000000000000001E-3</v>
      </c>
      <c r="T811">
        <f>VLOOKUP($B811&amp;T$1,Data!$A$2:$D$12000,4,FALSE)</f>
        <v>-6.8339999999999998E-2</v>
      </c>
      <c r="U811">
        <f>VLOOKUP($B811&amp;U$1,Data!$A$2:$D$12000,4,FALSE)</f>
        <v>6.2E-2</v>
      </c>
      <c r="V811">
        <f>VLOOKUP($B811&amp;V$1,Data!$A$2:$D$12000,4,FALSE)</f>
        <v>-0.21</v>
      </c>
      <c r="W811">
        <f>VLOOKUP($B811&amp;W$1,Data!$A$2:$D$12000,4,FALSE)</f>
        <v>-4.6030000000000001E-2</v>
      </c>
      <c r="X811">
        <f>VLOOKUP($B811&amp;X$1,Data!$A$2:$D$12000,4,FALSE)</f>
        <v>0.4</v>
      </c>
      <c r="Y811">
        <f>VLOOKUP($B811&amp;Y$1,Data!$A$2:$D$12000,4,FALSE)</f>
        <v>0.6</v>
      </c>
      <c r="Z811">
        <f>VLOOKUP($B811&amp;Z$1,Data!$A$2:$D$12000,4,FALSE)</f>
        <v>0.32</v>
      </c>
      <c r="AA811">
        <f>VLOOKUP($B811&amp;AA$1,Data!$A$2:$D$12000,4,FALSE)</f>
        <v>-5.1999999999999998E-2</v>
      </c>
      <c r="AB811">
        <f>VLOOKUP($B811&amp;AB$1,Data!$A$2:$D$12000,4,FALSE)</f>
        <v>8.7999999999999995E-2</v>
      </c>
      <c r="AC811">
        <f>VLOOKUP($B811&amp;AC$1,Data!$A$2:$D$12000,4,FALSE)</f>
        <v>3.6999999999999998E-2</v>
      </c>
      <c r="AD811">
        <f>VLOOKUP($B811&amp;AD$1,Data!$A$2:$D$12000,4,FALSE)</f>
        <v>1E-3</v>
      </c>
      <c r="AE811">
        <f>VLOOKUP($B811&amp;AE$1,Data!$A$2:$D$12000,4,FALSE)</f>
        <v>-1.39</v>
      </c>
      <c r="AF811">
        <f>VLOOKUP($B811&amp;AF$1,Data!$A$2:$D$12000,4,FALSE)</f>
        <v>7.0999999999999994E-2</v>
      </c>
      <c r="AG811">
        <f>VLOOKUP($B811&amp;AG$1,Data!$A$2:$D$12000,4,FALSE)</f>
        <v>-0.53600000000000003</v>
      </c>
      <c r="AH811">
        <f>VLOOKUP($B811&amp;AH$1,Data!$A$2:$D$12000,4,FALSE)</f>
        <v>0</v>
      </c>
      <c r="AI811">
        <f>VLOOKUP($B811&amp;AI$1,Data!$A$2:$D$12000,4,FALSE)</f>
        <v>4600000</v>
      </c>
    </row>
    <row r="812" spans="1:35" hidden="1">
      <c r="B812" s="23">
        <v>811</v>
      </c>
      <c r="C812" s="13" t="s">
        <v>58</v>
      </c>
      <c r="D812" t="s">
        <v>6</v>
      </c>
      <c r="E812" t="s">
        <v>3</v>
      </c>
      <c r="F812">
        <v>100</v>
      </c>
      <c r="G812" t="s">
        <v>17</v>
      </c>
      <c r="H812" s="5">
        <v>43831</v>
      </c>
      <c r="I812" s="5">
        <v>44562</v>
      </c>
      <c r="J812">
        <v>14</v>
      </c>
      <c r="K812">
        <v>9</v>
      </c>
      <c r="L812">
        <v>30</v>
      </c>
      <c r="M812">
        <v>70</v>
      </c>
      <c r="N812">
        <v>1000000</v>
      </c>
      <c r="O812">
        <f>VLOOKUP($B812&amp;O$1,Data!$A$2:$D$12000,4,FALSE)</f>
        <v>0.35848999999999998</v>
      </c>
      <c r="P812">
        <f>VLOOKUP($B812&amp;P$1,Data!$A$2:$D$12000,4,FALSE)</f>
        <v>0.64400000000000002</v>
      </c>
      <c r="Q812">
        <f>VLOOKUP($B812&amp;Q$1,Data!$A$2:$D$12000,4,FALSE)</f>
        <v>1435</v>
      </c>
      <c r="R812">
        <f>VLOOKUP($B812&amp;R$1,Data!$A$2:$D$12000,4,FALSE)</f>
        <v>6.9999999999999999E-4</v>
      </c>
      <c r="S812">
        <f>VLOOKUP($B812&amp;S$1,Data!$A$2:$D$12000,4,FALSE)</f>
        <v>-1E-3</v>
      </c>
      <c r="T812">
        <f>VLOOKUP($B812&amp;T$1,Data!$A$2:$D$12000,4,FALSE)</f>
        <v>1.533E-2</v>
      </c>
      <c r="U812">
        <f>VLOOKUP($B812&amp;U$1,Data!$A$2:$D$12000,4,FALSE)</f>
        <v>8.0000000000000002E-3</v>
      </c>
      <c r="V812">
        <f>VLOOKUP($B812&amp;V$1,Data!$A$2:$D$12000,4,FALSE)</f>
        <v>0.111</v>
      </c>
      <c r="W812">
        <f>VLOOKUP($B812&amp;W$1,Data!$A$2:$D$12000,4,FALSE)</f>
        <v>1.014E-2</v>
      </c>
      <c r="X812">
        <f>VLOOKUP($B812&amp;X$1,Data!$A$2:$D$12000,4,FALSE)</f>
        <v>0.36</v>
      </c>
      <c r="Y812">
        <f>VLOOKUP($B812&amp;Y$1,Data!$A$2:$D$12000,4,FALSE)</f>
        <v>0.64</v>
      </c>
      <c r="Z812">
        <f>VLOOKUP($B812&amp;Z$1,Data!$A$2:$D$12000,4,FALSE)</f>
        <v>0.74</v>
      </c>
      <c r="AA812">
        <f>VLOOKUP($B812&amp;AA$1,Data!$A$2:$D$12000,4,FALSE)</f>
        <v>1.0999999999999999E-2</v>
      </c>
      <c r="AB812">
        <f>VLOOKUP($B812&amp;AB$1,Data!$A$2:$D$12000,4,FALSE)</f>
        <v>-1E-3</v>
      </c>
      <c r="AC812">
        <f>VLOOKUP($B812&amp;AC$1,Data!$A$2:$D$12000,4,FALSE)</f>
        <v>1.7000000000000001E-2</v>
      </c>
      <c r="AD812">
        <f>VLOOKUP($B812&amp;AD$1,Data!$A$2:$D$12000,4,FALSE)</f>
        <v>0</v>
      </c>
      <c r="AE812">
        <f>VLOOKUP($B812&amp;AE$1,Data!$A$2:$D$12000,4,FALSE)</f>
        <v>-0.58599999999999997</v>
      </c>
      <c r="AF812">
        <f>VLOOKUP($B812&amp;AF$1,Data!$A$2:$D$12000,4,FALSE)</f>
        <v>7.0000000000000007E-2</v>
      </c>
      <c r="AG812">
        <f>VLOOKUP($B812&amp;AG$1,Data!$A$2:$D$12000,4,FALSE)</f>
        <v>-7.4749999999999996</v>
      </c>
      <c r="AH812">
        <f>VLOOKUP($B812&amp;AH$1,Data!$A$2:$D$12000,4,FALSE)</f>
        <v>0</v>
      </c>
      <c r="AI812">
        <f>VLOOKUP($B812&amp;AI$1,Data!$A$2:$D$12000,4,FALSE)</f>
        <v>5400000</v>
      </c>
    </row>
    <row r="813" spans="1:35" hidden="1">
      <c r="B813" s="23">
        <v>812</v>
      </c>
      <c r="C813" s="13" t="s">
        <v>58</v>
      </c>
      <c r="D813" t="s">
        <v>6</v>
      </c>
      <c r="E813" t="s">
        <v>3</v>
      </c>
      <c r="F813">
        <v>1000</v>
      </c>
      <c r="G813" t="s">
        <v>17</v>
      </c>
      <c r="H813" s="5">
        <v>43831</v>
      </c>
      <c r="I813" s="5">
        <v>44562</v>
      </c>
      <c r="J813">
        <v>14</v>
      </c>
      <c r="K813">
        <v>9</v>
      </c>
      <c r="L813">
        <v>30</v>
      </c>
      <c r="M813">
        <v>70</v>
      </c>
      <c r="N813">
        <v>1000000</v>
      </c>
      <c r="O813">
        <f>VLOOKUP($B813&amp;O$1,Data!$A$2:$D$12000,4,FALSE)</f>
        <v>0.56252000000000002</v>
      </c>
      <c r="P813">
        <f>VLOOKUP($B813&amp;P$1,Data!$A$2:$D$12000,4,FALSE)</f>
        <v>1.1739999999999999</v>
      </c>
      <c r="Q813">
        <f>VLOOKUP($B813&amp;Q$1,Data!$A$2:$D$12000,4,FALSE)</f>
        <v>1077</v>
      </c>
      <c r="R813">
        <f>VLOOKUP($B813&amp;R$1,Data!$A$2:$D$12000,4,FALSE)</f>
        <v>1.9E-3</v>
      </c>
      <c r="S813">
        <f>VLOOKUP($B813&amp;S$1,Data!$A$2:$D$12000,4,FALSE)</f>
        <v>-2.5000000000000001E-3</v>
      </c>
      <c r="T813">
        <f>VLOOKUP($B813&amp;T$1,Data!$A$2:$D$12000,4,FALSE)</f>
        <v>6.5040000000000001E-2</v>
      </c>
      <c r="U813">
        <f>VLOOKUP($B813&amp;U$1,Data!$A$2:$D$12000,4,FALSE)</f>
        <v>1.7999999999999999E-2</v>
      </c>
      <c r="V813">
        <f>VLOOKUP($B813&amp;V$1,Data!$A$2:$D$12000,4,FALSE)</f>
        <v>0.19700000000000001</v>
      </c>
      <c r="W813">
        <f>VLOOKUP($B813&amp;W$1,Data!$A$2:$D$12000,4,FALSE)</f>
        <v>4.2659999999999997E-2</v>
      </c>
      <c r="X813">
        <f>VLOOKUP($B813&amp;X$1,Data!$A$2:$D$12000,4,FALSE)</f>
        <v>0.32</v>
      </c>
      <c r="Y813">
        <f>VLOOKUP($B813&amp;Y$1,Data!$A$2:$D$12000,4,FALSE)</f>
        <v>0.68</v>
      </c>
      <c r="Z813">
        <f>VLOOKUP($B813&amp;Z$1,Data!$A$2:$D$12000,4,FALSE)</f>
        <v>0.77</v>
      </c>
      <c r="AA813">
        <f>VLOOKUP($B813&amp;AA$1,Data!$A$2:$D$12000,4,FALSE)</f>
        <v>4.3999999999999997E-2</v>
      </c>
      <c r="AB813">
        <f>VLOOKUP($B813&amp;AB$1,Data!$A$2:$D$12000,4,FALSE)</f>
        <v>2.5000000000000001E-2</v>
      </c>
      <c r="AC813">
        <f>VLOOKUP($B813&amp;AC$1,Data!$A$2:$D$12000,4,FALSE)</f>
        <v>3.9E-2</v>
      </c>
      <c r="AD813">
        <f>VLOOKUP($B813&amp;AD$1,Data!$A$2:$D$12000,4,FALSE)</f>
        <v>1E-3</v>
      </c>
      <c r="AE813">
        <f>VLOOKUP($B813&amp;AE$1,Data!$A$2:$D$12000,4,FALSE)</f>
        <v>-8.7999999999999995E-2</v>
      </c>
      <c r="AF813">
        <f>VLOOKUP($B813&amp;AF$1,Data!$A$2:$D$12000,4,FALSE)</f>
        <v>7.5999999999999998E-2</v>
      </c>
      <c r="AG813">
        <f>VLOOKUP($B813&amp;AG$1,Data!$A$2:$D$12000,4,FALSE)</f>
        <v>1.8</v>
      </c>
      <c r="AH813">
        <f>VLOOKUP($B813&amp;AH$1,Data!$A$2:$D$12000,4,FALSE)</f>
        <v>0</v>
      </c>
      <c r="AI813">
        <f>VLOOKUP($B813&amp;AI$1,Data!$A$2:$D$12000,4,FALSE)</f>
        <v>5800000</v>
      </c>
    </row>
    <row r="814" spans="1:35" hidden="1">
      <c r="B814" s="23">
        <v>813</v>
      </c>
      <c r="C814" s="13" t="s">
        <v>58</v>
      </c>
      <c r="D814" t="s">
        <v>6</v>
      </c>
      <c r="E814" t="s">
        <v>3</v>
      </c>
      <c r="F814">
        <v>5000</v>
      </c>
      <c r="G814" t="s">
        <v>17</v>
      </c>
      <c r="H814" s="5">
        <v>43831</v>
      </c>
      <c r="I814" s="5">
        <v>44562</v>
      </c>
      <c r="J814">
        <v>14</v>
      </c>
      <c r="K814">
        <v>9</v>
      </c>
      <c r="L814">
        <v>30</v>
      </c>
      <c r="M814">
        <v>70</v>
      </c>
      <c r="N814">
        <v>1000000</v>
      </c>
      <c r="O814">
        <f>VLOOKUP($B814&amp;O$1,Data!$A$2:$D$12000,4,FALSE)</f>
        <v>0.51939999999999997</v>
      </c>
      <c r="P814">
        <f>VLOOKUP($B814&amp;P$1,Data!$A$2:$D$12000,4,FALSE)</f>
        <v>1.069</v>
      </c>
      <c r="Q814">
        <f>VLOOKUP($B814&amp;Q$1,Data!$A$2:$D$12000,4,FALSE)</f>
        <v>788</v>
      </c>
      <c r="R814">
        <f>VLOOKUP($B814&amp;R$1,Data!$A$2:$D$12000,4,FALSE)</f>
        <v>2.2000000000000001E-3</v>
      </c>
      <c r="S814">
        <f>VLOOKUP($B814&amp;S$1,Data!$A$2:$D$12000,4,FALSE)</f>
        <v>-3.0999999999999999E-3</v>
      </c>
      <c r="T814">
        <f>VLOOKUP($B814&amp;T$1,Data!$A$2:$D$12000,4,FALSE)</f>
        <v>6.225E-2</v>
      </c>
      <c r="U814">
        <f>VLOOKUP($B814&amp;U$1,Data!$A$2:$D$12000,4,FALSE)</f>
        <v>2.8000000000000001E-2</v>
      </c>
      <c r="V814">
        <f>VLOOKUP($B814&amp;V$1,Data!$A$2:$D$12000,4,FALSE)</f>
        <v>0.157</v>
      </c>
      <c r="W814">
        <f>VLOOKUP($B814&amp;W$1,Data!$A$2:$D$12000,4,FALSE)</f>
        <v>4.0849999999999997E-2</v>
      </c>
      <c r="X814">
        <f>VLOOKUP($B814&amp;X$1,Data!$A$2:$D$12000,4,FALSE)</f>
        <v>0.33</v>
      </c>
      <c r="Y814">
        <f>VLOOKUP($B814&amp;Y$1,Data!$A$2:$D$12000,4,FALSE)</f>
        <v>0.67</v>
      </c>
      <c r="Z814">
        <f>VLOOKUP($B814&amp;Z$1,Data!$A$2:$D$12000,4,FALSE)</f>
        <v>0.72</v>
      </c>
      <c r="AA814">
        <f>VLOOKUP($B814&amp;AA$1,Data!$A$2:$D$12000,4,FALSE)</f>
        <v>4.2000000000000003E-2</v>
      </c>
      <c r="AB814">
        <f>VLOOKUP($B814&amp;AB$1,Data!$A$2:$D$12000,4,FALSE)</f>
        <v>2.5000000000000001E-2</v>
      </c>
      <c r="AC814">
        <f>VLOOKUP($B814&amp;AC$1,Data!$A$2:$D$12000,4,FALSE)</f>
        <v>4.1000000000000002E-2</v>
      </c>
      <c r="AD814">
        <f>VLOOKUP($B814&amp;AD$1,Data!$A$2:$D$12000,4,FALSE)</f>
        <v>2E-3</v>
      </c>
      <c r="AE814">
        <f>VLOOKUP($B814&amp;AE$1,Data!$A$2:$D$12000,4,FALSE)</f>
        <v>-0.10199999999999999</v>
      </c>
      <c r="AF814">
        <f>VLOOKUP($B814&amp;AF$1,Data!$A$2:$D$12000,4,FALSE)</f>
        <v>7.6999999999999999E-2</v>
      </c>
      <c r="AG814">
        <f>VLOOKUP($B814&amp;AG$1,Data!$A$2:$D$12000,4,FALSE)</f>
        <v>1.716</v>
      </c>
      <c r="AH814">
        <f>VLOOKUP($B814&amp;AH$1,Data!$A$2:$D$12000,4,FALSE)</f>
        <v>0</v>
      </c>
      <c r="AI814">
        <f>VLOOKUP($B814&amp;AI$1,Data!$A$2:$D$12000,4,FALSE)</f>
        <v>5900000</v>
      </c>
    </row>
    <row r="815" spans="1:35" hidden="1">
      <c r="B815" s="23">
        <v>814</v>
      </c>
      <c r="C815" s="13" t="s">
        <v>58</v>
      </c>
      <c r="D815" t="s">
        <v>6</v>
      </c>
      <c r="E815" t="s">
        <v>2</v>
      </c>
      <c r="F815">
        <v>100</v>
      </c>
      <c r="G815" t="s">
        <v>17</v>
      </c>
      <c r="H815" s="5">
        <v>43831</v>
      </c>
      <c r="I815" s="5">
        <v>44562</v>
      </c>
      <c r="J815">
        <v>14</v>
      </c>
      <c r="K815">
        <v>9</v>
      </c>
      <c r="L815">
        <v>30</v>
      </c>
      <c r="M815">
        <v>70</v>
      </c>
      <c r="N815">
        <v>1000000</v>
      </c>
      <c r="O815">
        <f>VLOOKUP($B815&amp;O$1,Data!$A$2:$D$12000,4,FALSE)</f>
        <v>0.68003000000000002</v>
      </c>
      <c r="P815">
        <f>VLOOKUP($B815&amp;P$1,Data!$A$2:$D$12000,4,FALSE)</f>
        <v>1.446</v>
      </c>
      <c r="Q815">
        <f>VLOOKUP($B815&amp;Q$1,Data!$A$2:$D$12000,4,FALSE)</f>
        <v>884</v>
      </c>
      <c r="R815">
        <f>VLOOKUP($B815&amp;R$1,Data!$A$2:$D$12000,4,FALSE)</f>
        <v>6.9999999999999999E-4</v>
      </c>
      <c r="S815">
        <f>VLOOKUP($B815&amp;S$1,Data!$A$2:$D$12000,4,FALSE)</f>
        <v>-8.0000000000000004E-4</v>
      </c>
      <c r="T815">
        <f>VLOOKUP($B815&amp;T$1,Data!$A$2:$D$12000,4,FALSE)</f>
        <v>2.6620000000000001E-2</v>
      </c>
      <c r="U815">
        <f>VLOOKUP($B815&amp;U$1,Data!$A$2:$D$12000,4,FALSE)</f>
        <v>7.0000000000000001E-3</v>
      </c>
      <c r="V815">
        <f>VLOOKUP($B815&amp;V$1,Data!$A$2:$D$12000,4,FALSE)</f>
        <v>0.32600000000000001</v>
      </c>
      <c r="W815">
        <f>VLOOKUP($B815&amp;W$1,Data!$A$2:$D$12000,4,FALSE)</f>
        <v>1.7569999999999999E-2</v>
      </c>
      <c r="X815">
        <f>VLOOKUP($B815&amp;X$1,Data!$A$2:$D$12000,4,FALSE)</f>
        <v>0.31</v>
      </c>
      <c r="Y815">
        <f>VLOOKUP($B815&amp;Y$1,Data!$A$2:$D$12000,4,FALSE)</f>
        <v>0.69</v>
      </c>
      <c r="Z815">
        <f>VLOOKUP($B815&amp;Z$1,Data!$A$2:$D$12000,4,FALSE)</f>
        <v>0.93</v>
      </c>
      <c r="AA815">
        <f>VLOOKUP($B815&amp;AA$1,Data!$A$2:$D$12000,4,FALSE)</f>
        <v>1.7999999999999999E-2</v>
      </c>
      <c r="AB815">
        <f>VLOOKUP($B815&amp;AB$1,Data!$A$2:$D$12000,4,FALSE)</f>
        <v>0</v>
      </c>
      <c r="AC815">
        <f>VLOOKUP($B815&amp;AC$1,Data!$A$2:$D$12000,4,FALSE)</f>
        <v>1.2999999999999999E-2</v>
      </c>
      <c r="AD815">
        <f>VLOOKUP($B815&amp;AD$1,Data!$A$2:$D$12000,4,FALSE)</f>
        <v>0</v>
      </c>
      <c r="AE815">
        <f>VLOOKUP($B815&amp;AE$1,Data!$A$2:$D$12000,4,FALSE)</f>
        <v>-0.48199999999999998</v>
      </c>
      <c r="AF815">
        <f>VLOOKUP($B815&amp;AF$1,Data!$A$2:$D$12000,4,FALSE)</f>
        <v>6.9000000000000006E-2</v>
      </c>
      <c r="AG815">
        <f>VLOOKUP($B815&amp;AG$1,Data!$A$2:$D$12000,4,FALSE)</f>
        <v>41.758000000000003</v>
      </c>
      <c r="AH815">
        <f>VLOOKUP($B815&amp;AH$1,Data!$A$2:$D$12000,4,FALSE)</f>
        <v>0</v>
      </c>
      <c r="AI815">
        <f>VLOOKUP($B815&amp;AI$1,Data!$A$2:$D$12000,4,FALSE)</f>
        <v>200000000</v>
      </c>
    </row>
    <row r="816" spans="1:35">
      <c r="A816" t="s">
        <v>59</v>
      </c>
      <c r="B816" s="23">
        <v>815</v>
      </c>
      <c r="C816" s="13" t="s">
        <v>58</v>
      </c>
      <c r="D816" t="s">
        <v>6</v>
      </c>
      <c r="E816" t="s">
        <v>2</v>
      </c>
      <c r="F816">
        <v>1000</v>
      </c>
      <c r="G816" t="s">
        <v>17</v>
      </c>
      <c r="H816" s="5">
        <v>43831</v>
      </c>
      <c r="I816" s="5">
        <v>44562</v>
      </c>
      <c r="J816">
        <v>14</v>
      </c>
      <c r="K816">
        <v>9</v>
      </c>
      <c r="L816">
        <v>30</v>
      </c>
      <c r="M816">
        <v>70</v>
      </c>
      <c r="N816">
        <v>1000000</v>
      </c>
      <c r="O816">
        <f>VLOOKUP($B816&amp;O$1,Data!$A$2:$D$12000,4,FALSE)</f>
        <v>0.69784000000000002</v>
      </c>
      <c r="P816">
        <f>VLOOKUP($B816&amp;P$1,Data!$A$2:$D$12000,4,FALSE)</f>
        <v>1.5469999999999999</v>
      </c>
      <c r="Q816">
        <f>VLOOKUP($B816&amp;Q$1,Data!$A$2:$D$12000,4,FALSE)</f>
        <v>676</v>
      </c>
      <c r="R816">
        <f>VLOOKUP($B816&amp;R$1,Data!$A$2:$D$12000,4,FALSE)</f>
        <v>1.8E-3</v>
      </c>
      <c r="S816">
        <f>VLOOKUP($B816&amp;S$1,Data!$A$2:$D$12000,4,FALSE)</f>
        <v>-2.0999999999999999E-3</v>
      </c>
      <c r="T816">
        <f>VLOOKUP($B816&amp;T$1,Data!$A$2:$D$12000,4,FALSE)</f>
        <v>6.5100000000000005E-2</v>
      </c>
      <c r="U816">
        <f>VLOOKUP($B816&amp;U$1,Data!$A$2:$D$12000,4,FALSE)</f>
        <v>1.6E-2</v>
      </c>
      <c r="V816">
        <f>VLOOKUP($B816&amp;V$1,Data!$A$2:$D$12000,4,FALSE)</f>
        <v>0.30099999999999999</v>
      </c>
      <c r="W816">
        <f>VLOOKUP($B816&amp;W$1,Data!$A$2:$D$12000,4,FALSE)</f>
        <v>4.2700000000000002E-2</v>
      </c>
      <c r="X816">
        <f>VLOOKUP($B816&amp;X$1,Data!$A$2:$D$12000,4,FALSE)</f>
        <v>0.3</v>
      </c>
      <c r="Y816">
        <f>VLOOKUP($B816&amp;Y$1,Data!$A$2:$D$12000,4,FALSE)</f>
        <v>0.7</v>
      </c>
      <c r="Z816">
        <f>VLOOKUP($B816&amp;Z$1,Data!$A$2:$D$12000,4,FALSE)</f>
        <v>0.87</v>
      </c>
      <c r="AA816">
        <f>VLOOKUP($B816&amp;AA$1,Data!$A$2:$D$12000,4,FALSE)</f>
        <v>4.2000000000000003E-2</v>
      </c>
      <c r="AB816">
        <f>VLOOKUP($B816&amp;AB$1,Data!$A$2:$D$12000,4,FALSE)</f>
        <v>5.5E-2</v>
      </c>
      <c r="AC816">
        <f>VLOOKUP($B816&amp;AC$1,Data!$A$2:$D$12000,4,FALSE)</f>
        <v>2.9000000000000001E-2</v>
      </c>
      <c r="AD816">
        <f>VLOOKUP($B816&amp;AD$1,Data!$A$2:$D$12000,4,FALSE)</f>
        <v>1E-3</v>
      </c>
      <c r="AE816">
        <f>VLOOKUP($B816&amp;AE$1,Data!$A$2:$D$12000,4,FALSE)</f>
        <v>-9.0999999999999998E-2</v>
      </c>
      <c r="AF816">
        <f>VLOOKUP($B816&amp;AF$1,Data!$A$2:$D$12000,4,FALSE)</f>
        <v>7.0000000000000007E-2</v>
      </c>
      <c r="AG816">
        <f>VLOOKUP($B816&amp;AG$1,Data!$A$2:$D$12000,4,FALSE)</f>
        <v>0.82699999999999996</v>
      </c>
      <c r="AH816">
        <f>VLOOKUP($B816&amp;AH$1,Data!$A$2:$D$12000,4,FALSE)</f>
        <v>0</v>
      </c>
      <c r="AI816">
        <f>VLOOKUP($B816&amp;AI$1,Data!$A$2:$D$12000,4,FALSE)</f>
        <v>25000000</v>
      </c>
    </row>
    <row r="817" spans="1:35" hidden="1">
      <c r="B817" s="23">
        <v>816</v>
      </c>
      <c r="C817" s="13" t="s">
        <v>58</v>
      </c>
      <c r="D817" t="s">
        <v>6</v>
      </c>
      <c r="E817" t="s">
        <v>2</v>
      </c>
      <c r="F817">
        <v>5000</v>
      </c>
      <c r="G817" t="s">
        <v>17</v>
      </c>
      <c r="H817" s="5">
        <v>43831</v>
      </c>
      <c r="I817" s="5">
        <v>44562</v>
      </c>
      <c r="J817">
        <v>14</v>
      </c>
      <c r="K817">
        <v>9</v>
      </c>
      <c r="L817">
        <v>30</v>
      </c>
      <c r="M817">
        <v>70</v>
      </c>
      <c r="N817">
        <v>1000000</v>
      </c>
      <c r="O817">
        <f>VLOOKUP($B817&amp;O$1,Data!$A$2:$D$12000,4,FALSE)</f>
        <v>0.58718999999999999</v>
      </c>
      <c r="P817">
        <f>VLOOKUP($B817&amp;P$1,Data!$A$2:$D$12000,4,FALSE)</f>
        <v>1.2470000000000001</v>
      </c>
      <c r="Q817">
        <f>VLOOKUP($B817&amp;Q$1,Data!$A$2:$D$12000,4,FALSE)</f>
        <v>506</v>
      </c>
      <c r="R817">
        <f>VLOOKUP($B817&amp;R$1,Data!$A$2:$D$12000,4,FALSE)</f>
        <v>2.3999999999999998E-3</v>
      </c>
      <c r="S817">
        <f>VLOOKUP($B817&amp;S$1,Data!$A$2:$D$12000,4,FALSE)</f>
        <v>-2.5000000000000001E-3</v>
      </c>
      <c r="T817">
        <f>VLOOKUP($B817&amp;T$1,Data!$A$2:$D$12000,4,FALSE)</f>
        <v>6.8180000000000004E-2</v>
      </c>
      <c r="U817">
        <f>VLOOKUP($B817&amp;U$1,Data!$A$2:$D$12000,4,FALSE)</f>
        <v>2.1000000000000001E-2</v>
      </c>
      <c r="V817">
        <f>VLOOKUP($B817&amp;V$1,Data!$A$2:$D$12000,4,FALSE)</f>
        <v>0.26300000000000001</v>
      </c>
      <c r="W817">
        <f>VLOOKUP($B817&amp;W$1,Data!$A$2:$D$12000,4,FALSE)</f>
        <v>4.4690000000000001E-2</v>
      </c>
      <c r="X817">
        <f>VLOOKUP($B817&amp;X$1,Data!$A$2:$D$12000,4,FALSE)</f>
        <v>0.35</v>
      </c>
      <c r="Y817">
        <f>VLOOKUP($B817&amp;Y$1,Data!$A$2:$D$12000,4,FALSE)</f>
        <v>0.65</v>
      </c>
      <c r="Z817">
        <f>VLOOKUP($B817&amp;Z$1,Data!$A$2:$D$12000,4,FALSE)</f>
        <v>0.94</v>
      </c>
      <c r="AA817">
        <f>VLOOKUP($B817&amp;AA$1,Data!$A$2:$D$12000,4,FALSE)</f>
        <v>4.5999999999999999E-2</v>
      </c>
      <c r="AB817">
        <f>VLOOKUP($B817&amp;AB$1,Data!$A$2:$D$12000,4,FALSE)</f>
        <v>2.9000000000000001E-2</v>
      </c>
      <c r="AC817">
        <f>VLOOKUP($B817&amp;AC$1,Data!$A$2:$D$12000,4,FALSE)</f>
        <v>3.7999999999999999E-2</v>
      </c>
      <c r="AD817">
        <f>VLOOKUP($B817&amp;AD$1,Data!$A$2:$D$12000,4,FALSE)</f>
        <v>1E-3</v>
      </c>
      <c r="AE817">
        <f>VLOOKUP($B817&amp;AE$1,Data!$A$2:$D$12000,4,FALSE)</f>
        <v>-5.1999999999999998E-2</v>
      </c>
      <c r="AF817">
        <f>VLOOKUP($B817&amp;AF$1,Data!$A$2:$D$12000,4,FALSE)</f>
        <v>7.5999999999999998E-2</v>
      </c>
      <c r="AG817">
        <f>VLOOKUP($B817&amp;AG$1,Data!$A$2:$D$12000,4,FALSE)</f>
        <v>1.6439999999999999</v>
      </c>
      <c r="AH817">
        <f>VLOOKUP($B817&amp;AH$1,Data!$A$2:$D$12000,4,FALSE)</f>
        <v>0</v>
      </c>
      <c r="AI817">
        <f>VLOOKUP($B817&amp;AI$1,Data!$A$2:$D$12000,4,FALSE)</f>
        <v>8500000</v>
      </c>
    </row>
    <row r="818" spans="1:35" hidden="1">
      <c r="B818" s="23">
        <v>817</v>
      </c>
      <c r="C818" s="13" t="s">
        <v>58</v>
      </c>
      <c r="D818" t="s">
        <v>6</v>
      </c>
      <c r="E818" t="s">
        <v>22</v>
      </c>
      <c r="F818">
        <v>100</v>
      </c>
      <c r="G818" t="s">
        <v>17</v>
      </c>
      <c r="H818" s="5">
        <v>43831</v>
      </c>
      <c r="I818" s="5">
        <v>44562</v>
      </c>
      <c r="J818">
        <v>14</v>
      </c>
      <c r="K818">
        <v>9</v>
      </c>
      <c r="L818">
        <v>30</v>
      </c>
      <c r="M818">
        <v>70</v>
      </c>
      <c r="N818">
        <v>1000000</v>
      </c>
      <c r="O818">
        <f>VLOOKUP($B818&amp;O$1,Data!$A$2:$D$12000,4,FALSE)</f>
        <v>0.18404000000000001</v>
      </c>
      <c r="P818">
        <f>VLOOKUP($B818&amp;P$1,Data!$A$2:$D$12000,4,FALSE)</f>
        <v>6.8000000000000005E-2</v>
      </c>
      <c r="Q818">
        <f>VLOOKUP($B818&amp;Q$1,Data!$A$2:$D$12000,4,FALSE)</f>
        <v>714</v>
      </c>
      <c r="R818">
        <f>VLOOKUP($B818&amp;R$1,Data!$A$2:$D$12000,4,FALSE)</f>
        <v>8.0000000000000004E-4</v>
      </c>
      <c r="S818">
        <f>VLOOKUP($B818&amp;S$1,Data!$A$2:$D$12000,4,FALSE)</f>
        <v>-1.4E-3</v>
      </c>
      <c r="T818">
        <f>VLOOKUP($B818&amp;T$1,Data!$A$2:$D$12000,4,FALSE)</f>
        <v>1.6299999999999999E-3</v>
      </c>
      <c r="U818">
        <f>VLOOKUP($B818&amp;U$1,Data!$A$2:$D$12000,4,FALSE)</f>
        <v>1.7000000000000001E-2</v>
      </c>
      <c r="V818">
        <f>VLOOKUP($B818&amp;V$1,Data!$A$2:$D$12000,4,FALSE)</f>
        <v>5.0000000000000001E-3</v>
      </c>
      <c r="W818">
        <f>VLOOKUP($B818&amp;W$1,Data!$A$2:$D$12000,4,FALSE)</f>
        <v>1.08E-3</v>
      </c>
      <c r="X818">
        <f>VLOOKUP($B818&amp;X$1,Data!$A$2:$D$12000,4,FALSE)</f>
        <v>0.36</v>
      </c>
      <c r="Y818">
        <f>VLOOKUP($B818&amp;Y$1,Data!$A$2:$D$12000,4,FALSE)</f>
        <v>0.64</v>
      </c>
      <c r="Z818">
        <f>VLOOKUP($B818&amp;Z$1,Data!$A$2:$D$12000,4,FALSE)</f>
        <v>0.56000000000000005</v>
      </c>
      <c r="AA818">
        <f>VLOOKUP($B818&amp;AA$1,Data!$A$2:$D$12000,4,FALSE)</f>
        <v>0</v>
      </c>
      <c r="AB818">
        <f>VLOOKUP($B818&amp;AB$1,Data!$A$2:$D$12000,4,FALSE)</f>
        <v>2.9000000000000001E-2</v>
      </c>
      <c r="AC818">
        <f>VLOOKUP($B818&amp;AC$1,Data!$A$2:$D$12000,4,FALSE)</f>
        <v>1.9E-2</v>
      </c>
      <c r="AD818">
        <f>VLOOKUP($B818&amp;AD$1,Data!$A$2:$D$12000,4,FALSE)</f>
        <v>0</v>
      </c>
      <c r="AE818">
        <f>VLOOKUP($B818&amp;AE$1,Data!$A$2:$D$12000,4,FALSE)</f>
        <v>-0.73599999999999999</v>
      </c>
      <c r="AF818">
        <f>VLOOKUP($B818&amp;AF$1,Data!$A$2:$D$12000,4,FALSE)</f>
        <v>6.8000000000000005E-2</v>
      </c>
      <c r="AG818">
        <f>VLOOKUP($B818&amp;AG$1,Data!$A$2:$D$12000,4,FALSE)</f>
        <v>4.5999999999999999E-2</v>
      </c>
      <c r="AH818">
        <f>VLOOKUP($B818&amp;AH$1,Data!$A$2:$D$12000,4,FALSE)</f>
        <v>0</v>
      </c>
      <c r="AI818">
        <f>VLOOKUP($B818&amp;AI$1,Data!$A$2:$D$12000,4,FALSE)</f>
        <v>7300000</v>
      </c>
    </row>
    <row r="819" spans="1:35" hidden="1">
      <c r="B819" s="23">
        <v>818</v>
      </c>
      <c r="C819" s="13" t="s">
        <v>58</v>
      </c>
      <c r="D819" t="s">
        <v>6</v>
      </c>
      <c r="E819" t="s">
        <v>22</v>
      </c>
      <c r="F819">
        <v>1000</v>
      </c>
      <c r="G819" t="s">
        <v>17</v>
      </c>
      <c r="H819" s="5">
        <v>43831</v>
      </c>
      <c r="I819" s="5">
        <v>44562</v>
      </c>
      <c r="J819">
        <v>14</v>
      </c>
      <c r="K819">
        <v>9</v>
      </c>
      <c r="L819">
        <v>30</v>
      </c>
      <c r="M819">
        <v>70</v>
      </c>
      <c r="N819">
        <v>1000000</v>
      </c>
      <c r="O819">
        <f>VLOOKUP($B819&amp;O$1,Data!$A$2:$D$12000,4,FALSE)</f>
        <v>0.31830000000000003</v>
      </c>
      <c r="P819">
        <f>VLOOKUP($B819&amp;P$1,Data!$A$2:$D$12000,4,FALSE)</f>
        <v>0.496</v>
      </c>
      <c r="Q819">
        <f>VLOOKUP($B819&amp;Q$1,Data!$A$2:$D$12000,4,FALSE)</f>
        <v>531</v>
      </c>
      <c r="R819">
        <f>VLOOKUP($B819&amp;R$1,Data!$A$2:$D$12000,4,FALSE)</f>
        <v>2.0999999999999999E-3</v>
      </c>
      <c r="S819">
        <f>VLOOKUP($B819&amp;S$1,Data!$A$2:$D$12000,4,FALSE)</f>
        <v>-4.0000000000000001E-3</v>
      </c>
      <c r="T819">
        <f>VLOOKUP($B819&amp;T$1,Data!$A$2:$D$12000,4,FALSE)</f>
        <v>2.7060000000000001E-2</v>
      </c>
      <c r="U819">
        <f>VLOOKUP($B819&amp;U$1,Data!$A$2:$D$12000,4,FALSE)</f>
        <v>2.8000000000000001E-2</v>
      </c>
      <c r="V819">
        <f>VLOOKUP($B819&amp;V$1,Data!$A$2:$D$12000,4,FALSE)</f>
        <v>8.3000000000000004E-2</v>
      </c>
      <c r="W819">
        <f>VLOOKUP($B819&amp;W$1,Data!$A$2:$D$12000,4,FALSE)</f>
        <v>1.7860000000000001E-2</v>
      </c>
      <c r="X819">
        <f>VLOOKUP($B819&amp;X$1,Data!$A$2:$D$12000,4,FALSE)</f>
        <v>0.3</v>
      </c>
      <c r="Y819">
        <f>VLOOKUP($B819&amp;Y$1,Data!$A$2:$D$12000,4,FALSE)</f>
        <v>0.7</v>
      </c>
      <c r="Z819">
        <f>VLOOKUP($B819&amp;Z$1,Data!$A$2:$D$12000,4,FALSE)</f>
        <v>0.54</v>
      </c>
      <c r="AA819">
        <f>VLOOKUP($B819&amp;AA$1,Data!$A$2:$D$12000,4,FALSE)</f>
        <v>1.6E-2</v>
      </c>
      <c r="AB819">
        <f>VLOOKUP($B819&amp;AB$1,Data!$A$2:$D$12000,4,FALSE)</f>
        <v>6.4000000000000001E-2</v>
      </c>
      <c r="AC819">
        <f>VLOOKUP($B819&amp;AC$1,Data!$A$2:$D$12000,4,FALSE)</f>
        <v>3.9E-2</v>
      </c>
      <c r="AD819">
        <f>VLOOKUP($B819&amp;AD$1,Data!$A$2:$D$12000,4,FALSE)</f>
        <v>2E-3</v>
      </c>
      <c r="AE819">
        <f>VLOOKUP($B819&amp;AE$1,Data!$A$2:$D$12000,4,FALSE)</f>
        <v>-0.432</v>
      </c>
      <c r="AF819">
        <f>VLOOKUP($B819&amp;AF$1,Data!$A$2:$D$12000,4,FALSE)</f>
        <v>7.3999999999999996E-2</v>
      </c>
      <c r="AG819">
        <f>VLOOKUP($B819&amp;AG$1,Data!$A$2:$D$12000,4,FALSE)</f>
        <v>0.30199999999999999</v>
      </c>
      <c r="AH819">
        <f>VLOOKUP($B819&amp;AH$1,Data!$A$2:$D$12000,4,FALSE)</f>
        <v>0</v>
      </c>
      <c r="AI819">
        <f>VLOOKUP($B819&amp;AI$1,Data!$A$2:$D$12000,4,FALSE)</f>
        <v>7600000</v>
      </c>
    </row>
    <row r="820" spans="1:35" hidden="1">
      <c r="B820" s="23">
        <v>819</v>
      </c>
      <c r="C820" s="13" t="s">
        <v>58</v>
      </c>
      <c r="D820" t="s">
        <v>6</v>
      </c>
      <c r="E820" t="s">
        <v>22</v>
      </c>
      <c r="F820">
        <v>5000</v>
      </c>
      <c r="G820" t="s">
        <v>17</v>
      </c>
      <c r="H820" s="5">
        <v>43831</v>
      </c>
      <c r="I820" s="5">
        <v>44562</v>
      </c>
      <c r="J820">
        <v>14</v>
      </c>
      <c r="K820">
        <v>9</v>
      </c>
      <c r="L820">
        <v>30</v>
      </c>
      <c r="M820">
        <v>70</v>
      </c>
      <c r="N820">
        <v>1000000</v>
      </c>
      <c r="O820">
        <f>VLOOKUP($B820&amp;O$1,Data!$A$2:$D$12000,4,FALSE)</f>
        <v>0.23036000000000001</v>
      </c>
      <c r="P820">
        <f>VLOOKUP($B820&amp;P$1,Data!$A$2:$D$12000,4,FALSE)</f>
        <v>0.23100000000000001</v>
      </c>
      <c r="Q820">
        <f>VLOOKUP($B820&amp;Q$1,Data!$A$2:$D$12000,4,FALSE)</f>
        <v>393</v>
      </c>
      <c r="R820">
        <f>VLOOKUP($B820&amp;R$1,Data!$A$2:$D$12000,4,FALSE)</f>
        <v>2.7000000000000001E-3</v>
      </c>
      <c r="S820">
        <f>VLOOKUP($B820&amp;S$1,Data!$A$2:$D$12000,4,FALSE)</f>
        <v>-5.4999999999999997E-3</v>
      </c>
      <c r="T820">
        <f>VLOOKUP($B820&amp;T$1,Data!$A$2:$D$12000,4,FALSE)</f>
        <v>1.387E-2</v>
      </c>
      <c r="U820">
        <f>VLOOKUP($B820&amp;U$1,Data!$A$2:$D$12000,4,FALSE)</f>
        <v>3.5000000000000003E-2</v>
      </c>
      <c r="V820">
        <f>VLOOKUP($B820&amp;V$1,Data!$A$2:$D$12000,4,FALSE)</f>
        <v>3.1E-2</v>
      </c>
      <c r="W820">
        <f>VLOOKUP($B820&amp;W$1,Data!$A$2:$D$12000,4,FALSE)</f>
        <v>9.1699999999999993E-3</v>
      </c>
      <c r="X820">
        <f>VLOOKUP($B820&amp;X$1,Data!$A$2:$D$12000,4,FALSE)</f>
        <v>0.31</v>
      </c>
      <c r="Y820">
        <f>VLOOKUP($B820&amp;Y$1,Data!$A$2:$D$12000,4,FALSE)</f>
        <v>0.69</v>
      </c>
      <c r="Z820">
        <f>VLOOKUP($B820&amp;Z$1,Data!$A$2:$D$12000,4,FALSE)</f>
        <v>0.49</v>
      </c>
      <c r="AA820">
        <f>VLOOKUP($B820&amp;AA$1,Data!$A$2:$D$12000,4,FALSE)</f>
        <v>6.0000000000000001E-3</v>
      </c>
      <c r="AB820">
        <f>VLOOKUP($B820&amp;AB$1,Data!$A$2:$D$12000,4,FALSE)</f>
        <v>8.5000000000000006E-2</v>
      </c>
      <c r="AC820">
        <f>VLOOKUP($B820&amp;AC$1,Data!$A$2:$D$12000,4,FALSE)</f>
        <v>4.5999999999999999E-2</v>
      </c>
      <c r="AD820">
        <f>VLOOKUP($B820&amp;AD$1,Data!$A$2:$D$12000,4,FALSE)</f>
        <v>2E-3</v>
      </c>
      <c r="AE820">
        <f>VLOOKUP($B820&amp;AE$1,Data!$A$2:$D$12000,4,FALSE)</f>
        <v>-0.53100000000000003</v>
      </c>
      <c r="AF820">
        <f>VLOOKUP($B820&amp;AF$1,Data!$A$2:$D$12000,4,FALSE)</f>
        <v>7.6999999999999999E-2</v>
      </c>
      <c r="AG820">
        <f>VLOOKUP($B820&amp;AG$1,Data!$A$2:$D$12000,4,FALSE)</f>
        <v>0.125</v>
      </c>
      <c r="AH820">
        <f>VLOOKUP($B820&amp;AH$1,Data!$A$2:$D$12000,4,FALSE)</f>
        <v>0</v>
      </c>
      <c r="AI820">
        <f>VLOOKUP($B820&amp;AI$1,Data!$A$2:$D$12000,4,FALSE)</f>
        <v>8200000</v>
      </c>
    </row>
    <row r="821" spans="1:35" hidden="1">
      <c r="B821" s="23">
        <v>820</v>
      </c>
      <c r="C821" s="13" t="s">
        <v>58</v>
      </c>
      <c r="D821" t="s">
        <v>6</v>
      </c>
      <c r="E821" t="s">
        <v>3</v>
      </c>
      <c r="F821">
        <v>100</v>
      </c>
      <c r="G821" t="s">
        <v>17</v>
      </c>
      <c r="H821" s="5">
        <v>43831</v>
      </c>
      <c r="I821" s="5">
        <v>44562</v>
      </c>
      <c r="J821">
        <v>14</v>
      </c>
      <c r="K821">
        <v>9</v>
      </c>
      <c r="L821">
        <v>32</v>
      </c>
      <c r="M821">
        <v>68</v>
      </c>
      <c r="N821">
        <v>1000000</v>
      </c>
      <c r="O821">
        <f>VLOOKUP($B821&amp;O$1,Data!$A$2:$D$12000,4,FALSE)</f>
        <v>4.5229999999999999E-2</v>
      </c>
      <c r="P821">
        <f>VLOOKUP($B821&amp;P$1,Data!$A$2:$D$12000,4,FALSE)</f>
        <v>-0.69899999999999995</v>
      </c>
      <c r="Q821">
        <f>VLOOKUP($B821&amp;Q$1,Data!$A$2:$D$12000,4,FALSE)</f>
        <v>1789</v>
      </c>
      <c r="R821">
        <f>VLOOKUP($B821&amp;R$1,Data!$A$2:$D$12000,4,FALSE)</f>
        <v>5.0000000000000001E-4</v>
      </c>
      <c r="S821">
        <f>VLOOKUP($B821&amp;S$1,Data!$A$2:$D$12000,4,FALSE)</f>
        <v>-1.2999999999999999E-3</v>
      </c>
      <c r="T821">
        <f>VLOOKUP($B821&amp;T$1,Data!$A$2:$D$12000,4,FALSE)</f>
        <v>-1.797E-2</v>
      </c>
      <c r="U821">
        <f>VLOOKUP($B821&amp;U$1,Data!$A$2:$D$12000,4,FALSE)</f>
        <v>2.3E-2</v>
      </c>
      <c r="V821">
        <f>VLOOKUP($B821&amp;V$1,Data!$A$2:$D$12000,4,FALSE)</f>
        <v>-8.5000000000000006E-2</v>
      </c>
      <c r="W821">
        <f>VLOOKUP($B821&amp;W$1,Data!$A$2:$D$12000,4,FALSE)</f>
        <v>-1.1950000000000001E-2</v>
      </c>
      <c r="X821">
        <f>VLOOKUP($B821&amp;X$1,Data!$A$2:$D$12000,4,FALSE)</f>
        <v>0.33</v>
      </c>
      <c r="Y821">
        <f>VLOOKUP($B821&amp;Y$1,Data!$A$2:$D$12000,4,FALSE)</f>
        <v>0.67</v>
      </c>
      <c r="Z821">
        <f>VLOOKUP($B821&amp;Z$1,Data!$A$2:$D$12000,4,FALSE)</f>
        <v>0.37</v>
      </c>
      <c r="AA821">
        <f>VLOOKUP($B821&amp;AA$1,Data!$A$2:$D$12000,4,FALSE)</f>
        <v>-1.2E-2</v>
      </c>
      <c r="AB821">
        <f>VLOOKUP($B821&amp;AB$1,Data!$A$2:$D$12000,4,FALSE)</f>
        <v>-5.0000000000000001E-3</v>
      </c>
      <c r="AC821">
        <f>VLOOKUP($B821&amp;AC$1,Data!$A$2:$D$12000,4,FALSE)</f>
        <v>1.7999999999999999E-2</v>
      </c>
      <c r="AD821">
        <f>VLOOKUP($B821&amp;AD$1,Data!$A$2:$D$12000,4,FALSE)</f>
        <v>0</v>
      </c>
      <c r="AE821">
        <f>VLOOKUP($B821&amp;AE$1,Data!$A$2:$D$12000,4,FALSE)</f>
        <v>-0.92100000000000004</v>
      </c>
      <c r="AF821">
        <f>VLOOKUP($B821&amp;AF$1,Data!$A$2:$D$12000,4,FALSE)</f>
        <v>7.0000000000000007E-2</v>
      </c>
      <c r="AG821">
        <f>VLOOKUP($B821&amp;AG$1,Data!$A$2:$D$12000,4,FALSE)</f>
        <v>2.2639999999999998</v>
      </c>
      <c r="AH821">
        <f>VLOOKUP($B821&amp;AH$1,Data!$A$2:$D$12000,4,FALSE)</f>
        <v>0</v>
      </c>
      <c r="AI821">
        <f>VLOOKUP($B821&amp;AI$1,Data!$A$2:$D$12000,4,FALSE)</f>
        <v>4700000</v>
      </c>
    </row>
    <row r="822" spans="1:35" hidden="1">
      <c r="B822" s="23">
        <v>821</v>
      </c>
      <c r="C822" s="13" t="s">
        <v>58</v>
      </c>
      <c r="D822" t="s">
        <v>6</v>
      </c>
      <c r="E822" t="s">
        <v>3</v>
      </c>
      <c r="F822">
        <v>1000</v>
      </c>
      <c r="G822" t="s">
        <v>17</v>
      </c>
      <c r="H822" s="5">
        <v>43831</v>
      </c>
      <c r="I822" s="5">
        <v>44562</v>
      </c>
      <c r="J822">
        <v>14</v>
      </c>
      <c r="K822">
        <v>9</v>
      </c>
      <c r="L822">
        <v>32</v>
      </c>
      <c r="M822">
        <v>68</v>
      </c>
      <c r="N822">
        <v>1000000</v>
      </c>
      <c r="O822">
        <f>VLOOKUP($B822&amp;O$1,Data!$A$2:$D$12000,4,FALSE)</f>
        <v>2.2349999999999998E-2</v>
      </c>
      <c r="P822">
        <f>VLOOKUP($B822&amp;P$1,Data!$A$2:$D$12000,4,FALSE)</f>
        <v>-0.89500000000000002</v>
      </c>
      <c r="Q822">
        <f>VLOOKUP($B822&amp;Q$1,Data!$A$2:$D$12000,4,FALSE)</f>
        <v>1301</v>
      </c>
      <c r="R822">
        <f>VLOOKUP($B822&amp;R$1,Data!$A$2:$D$12000,4,FALSE)</f>
        <v>1E-3</v>
      </c>
      <c r="S822">
        <f>VLOOKUP($B822&amp;S$1,Data!$A$2:$D$12000,4,FALSE)</f>
        <v>-2.7000000000000001E-3</v>
      </c>
      <c r="T822">
        <f>VLOOKUP($B822&amp;T$1,Data!$A$2:$D$12000,4,FALSE)</f>
        <v>-4.2470000000000001E-2</v>
      </c>
      <c r="U822">
        <f>VLOOKUP($B822&amp;U$1,Data!$A$2:$D$12000,4,FALSE)</f>
        <v>5.5E-2</v>
      </c>
      <c r="V822">
        <f>VLOOKUP($B822&amp;V$1,Data!$A$2:$D$12000,4,FALSE)</f>
        <v>-0.10100000000000001</v>
      </c>
      <c r="W822">
        <f>VLOOKUP($B822&amp;W$1,Data!$A$2:$D$12000,4,FALSE)</f>
        <v>-2.836E-2</v>
      </c>
      <c r="X822">
        <f>VLOOKUP($B822&amp;X$1,Data!$A$2:$D$12000,4,FALSE)</f>
        <v>0.34</v>
      </c>
      <c r="Y822">
        <f>VLOOKUP($B822&amp;Y$1,Data!$A$2:$D$12000,4,FALSE)</f>
        <v>0.66</v>
      </c>
      <c r="Z822">
        <f>VLOOKUP($B822&amp;Z$1,Data!$A$2:$D$12000,4,FALSE)</f>
        <v>0.36</v>
      </c>
      <c r="AA822">
        <f>VLOOKUP($B822&amp;AA$1,Data!$A$2:$D$12000,4,FALSE)</f>
        <v>-2.9000000000000001E-2</v>
      </c>
      <c r="AB822">
        <f>VLOOKUP($B822&amp;AB$1,Data!$A$2:$D$12000,4,FALSE)</f>
        <v>4.0000000000000001E-3</v>
      </c>
      <c r="AC822">
        <f>VLOOKUP($B822&amp;AC$1,Data!$A$2:$D$12000,4,FALSE)</f>
        <v>3.3000000000000002E-2</v>
      </c>
      <c r="AD822">
        <f>VLOOKUP($B822&amp;AD$1,Data!$A$2:$D$12000,4,FALSE)</f>
        <v>1E-3</v>
      </c>
      <c r="AE822">
        <f>VLOOKUP($B822&amp;AE$1,Data!$A$2:$D$12000,4,FALSE)</f>
        <v>-1.08</v>
      </c>
      <c r="AF822">
        <f>VLOOKUP($B822&amp;AF$1,Data!$A$2:$D$12000,4,FALSE)</f>
        <v>7.4999999999999997E-2</v>
      </c>
      <c r="AG822">
        <f>VLOOKUP($B822&amp;AG$1,Data!$A$2:$D$12000,4,FALSE)</f>
        <v>-7.907</v>
      </c>
      <c r="AH822">
        <f>VLOOKUP($B822&amp;AH$1,Data!$A$2:$D$12000,4,FALSE)</f>
        <v>0</v>
      </c>
      <c r="AI822">
        <f>VLOOKUP($B822&amp;AI$1,Data!$A$2:$D$12000,4,FALSE)</f>
        <v>5100000</v>
      </c>
    </row>
    <row r="823" spans="1:35" hidden="1">
      <c r="B823" s="23">
        <v>822</v>
      </c>
      <c r="C823" s="13" t="s">
        <v>58</v>
      </c>
      <c r="D823" t="s">
        <v>6</v>
      </c>
      <c r="E823" t="s">
        <v>3</v>
      </c>
      <c r="F823">
        <v>5000</v>
      </c>
      <c r="G823" t="s">
        <v>17</v>
      </c>
      <c r="H823" s="5">
        <v>43831</v>
      </c>
      <c r="I823" s="5">
        <v>44562</v>
      </c>
      <c r="J823">
        <v>14</v>
      </c>
      <c r="K823">
        <v>9</v>
      </c>
      <c r="L823">
        <v>32</v>
      </c>
      <c r="M823">
        <v>68</v>
      </c>
      <c r="N823">
        <v>1000000</v>
      </c>
      <c r="O823">
        <f>VLOOKUP($B823&amp;O$1,Data!$A$2:$D$12000,4,FALSE)</f>
        <v>0.17019000000000001</v>
      </c>
      <c r="P823">
        <f>VLOOKUP($B823&amp;P$1,Data!$A$2:$D$12000,4,FALSE)</f>
        <v>2.3E-2</v>
      </c>
      <c r="Q823">
        <f>VLOOKUP($B823&amp;Q$1,Data!$A$2:$D$12000,4,FALSE)</f>
        <v>960</v>
      </c>
      <c r="R823">
        <f>VLOOKUP($B823&amp;R$1,Data!$A$2:$D$12000,4,FALSE)</f>
        <v>1.6999999999999999E-3</v>
      </c>
      <c r="S823">
        <f>VLOOKUP($B823&amp;S$1,Data!$A$2:$D$12000,4,FALSE)</f>
        <v>-3.3E-3</v>
      </c>
      <c r="T823">
        <f>VLOOKUP($B823&amp;T$1,Data!$A$2:$D$12000,4,FALSE)</f>
        <v>6.0000000000000002E-5</v>
      </c>
      <c r="U823">
        <f>VLOOKUP($B823&amp;U$1,Data!$A$2:$D$12000,4,FALSE)</f>
        <v>5.3999999999999999E-2</v>
      </c>
      <c r="V823">
        <f>VLOOKUP($B823&amp;V$1,Data!$A$2:$D$12000,4,FALSE)</f>
        <v>-3.0000000000000001E-3</v>
      </c>
      <c r="W823">
        <f>VLOOKUP($B823&amp;W$1,Data!$A$2:$D$12000,4,FALSE)</f>
        <v>4.0000000000000003E-5</v>
      </c>
      <c r="X823">
        <f>VLOOKUP($B823&amp;X$1,Data!$A$2:$D$12000,4,FALSE)</f>
        <v>0.35</v>
      </c>
      <c r="Y823">
        <f>VLOOKUP($B823&amp;Y$1,Data!$A$2:$D$12000,4,FALSE)</f>
        <v>0.65</v>
      </c>
      <c r="Z823">
        <f>VLOOKUP($B823&amp;Z$1,Data!$A$2:$D$12000,4,FALSE)</f>
        <v>0.52</v>
      </c>
      <c r="AA823">
        <f>VLOOKUP($B823&amp;AA$1,Data!$A$2:$D$12000,4,FALSE)</f>
        <v>3.0000000000000001E-3</v>
      </c>
      <c r="AB823">
        <f>VLOOKUP($B823&amp;AB$1,Data!$A$2:$D$12000,4,FALSE)</f>
        <v>-4.2999999999999997E-2</v>
      </c>
      <c r="AC823">
        <f>VLOOKUP($B823&amp;AC$1,Data!$A$2:$D$12000,4,FALSE)</f>
        <v>4.4999999999999998E-2</v>
      </c>
      <c r="AD823">
        <f>VLOOKUP($B823&amp;AD$1,Data!$A$2:$D$12000,4,FALSE)</f>
        <v>2E-3</v>
      </c>
      <c r="AE823">
        <f>VLOOKUP($B823&amp;AE$1,Data!$A$2:$D$12000,4,FALSE)</f>
        <v>-0.60499999999999998</v>
      </c>
      <c r="AF823">
        <f>VLOOKUP($B823&amp;AF$1,Data!$A$2:$D$12000,4,FALSE)</f>
        <v>8.3000000000000004E-2</v>
      </c>
      <c r="AG823">
        <f>VLOOKUP($B823&amp;AG$1,Data!$A$2:$D$12000,4,FALSE)</f>
        <v>-2.4E-2</v>
      </c>
      <c r="AH823">
        <f>VLOOKUP($B823&amp;AH$1,Data!$A$2:$D$12000,4,FALSE)</f>
        <v>0</v>
      </c>
      <c r="AI823">
        <f>VLOOKUP($B823&amp;AI$1,Data!$A$2:$D$12000,4,FALSE)</f>
        <v>5400000</v>
      </c>
    </row>
    <row r="824" spans="1:35" hidden="1">
      <c r="B824" s="23">
        <v>823</v>
      </c>
      <c r="C824" s="13" t="s">
        <v>58</v>
      </c>
      <c r="D824" t="s">
        <v>6</v>
      </c>
      <c r="E824" t="s">
        <v>2</v>
      </c>
      <c r="F824">
        <v>100</v>
      </c>
      <c r="G824" t="s">
        <v>17</v>
      </c>
      <c r="H824" s="5">
        <v>43831</v>
      </c>
      <c r="I824" s="5">
        <v>44562</v>
      </c>
      <c r="J824">
        <v>14</v>
      </c>
      <c r="K824">
        <v>9</v>
      </c>
      <c r="L824">
        <v>32</v>
      </c>
      <c r="M824">
        <v>68</v>
      </c>
      <c r="N824">
        <v>1000000</v>
      </c>
      <c r="O824">
        <f>VLOOKUP($B824&amp;O$1,Data!$A$2:$D$12000,4,FALSE)</f>
        <v>0</v>
      </c>
      <c r="P824">
        <f>VLOOKUP($B824&amp;P$1,Data!$A$2:$D$12000,4,FALSE)</f>
        <v>-2.0299999999999998</v>
      </c>
      <c r="Q824">
        <f>VLOOKUP($B824&amp;Q$1,Data!$A$2:$D$12000,4,FALSE)</f>
        <v>1055</v>
      </c>
      <c r="R824">
        <f>VLOOKUP($B824&amp;R$1,Data!$A$2:$D$12000,4,FALSE)</f>
        <v>2.9999999999999997E-4</v>
      </c>
      <c r="S824">
        <f>VLOOKUP($B824&amp;S$1,Data!$A$2:$D$12000,4,FALSE)</f>
        <v>-1.8E-3</v>
      </c>
      <c r="T824">
        <f>VLOOKUP($B824&amp;T$1,Data!$A$2:$D$12000,4,FALSE)</f>
        <v>-5.5059999999999998E-2</v>
      </c>
      <c r="U824">
        <f>VLOOKUP($B824&amp;U$1,Data!$A$2:$D$12000,4,FALSE)</f>
        <v>3.7999999999999999E-2</v>
      </c>
      <c r="V824">
        <f>VLOOKUP($B824&amp;V$1,Data!$A$2:$D$12000,4,FALSE)</f>
        <v>-0.27200000000000002</v>
      </c>
      <c r="W824">
        <f>VLOOKUP($B824&amp;W$1,Data!$A$2:$D$12000,4,FALSE)</f>
        <v>-3.6850000000000001E-2</v>
      </c>
      <c r="X824">
        <f>VLOOKUP($B824&amp;X$1,Data!$A$2:$D$12000,4,FALSE)</f>
        <v>0.37</v>
      </c>
      <c r="Y824">
        <f>VLOOKUP($B824&amp;Y$1,Data!$A$2:$D$12000,4,FALSE)</f>
        <v>0.63</v>
      </c>
      <c r="Z824">
        <f>VLOOKUP($B824&amp;Z$1,Data!$A$2:$D$12000,4,FALSE)</f>
        <v>0.15</v>
      </c>
      <c r="AA824">
        <f>VLOOKUP($B824&amp;AA$1,Data!$A$2:$D$12000,4,FALSE)</f>
        <v>-3.6999999999999998E-2</v>
      </c>
      <c r="AB824">
        <f>VLOOKUP($B824&amp;AB$1,Data!$A$2:$D$12000,4,FALSE)</f>
        <v>-0.02</v>
      </c>
      <c r="AC824">
        <f>VLOOKUP($B824&amp;AC$1,Data!$A$2:$D$12000,4,FALSE)</f>
        <v>1.9E-2</v>
      </c>
      <c r="AD824">
        <f>VLOOKUP($B824&amp;AD$1,Data!$A$2:$D$12000,4,FALSE)</f>
        <v>0</v>
      </c>
      <c r="AE824">
        <f>VLOOKUP($B824&amp;AE$1,Data!$A$2:$D$12000,4,FALSE)</f>
        <v>-1.2689999999999999</v>
      </c>
      <c r="AF824">
        <f>VLOOKUP($B824&amp;AF$1,Data!$A$2:$D$12000,4,FALSE)</f>
        <v>7.0999999999999994E-2</v>
      </c>
      <c r="AG824">
        <f>VLOOKUP($B824&amp;AG$1,Data!$A$2:$D$12000,4,FALSE)</f>
        <v>1.8839999999999999</v>
      </c>
      <c r="AH824">
        <f>VLOOKUP($B824&amp;AH$1,Data!$A$2:$D$12000,4,FALSE)</f>
        <v>0</v>
      </c>
      <c r="AI824">
        <f>VLOOKUP($B824&amp;AI$1,Data!$A$2:$D$12000,4,FALSE)</f>
        <v>6400000</v>
      </c>
    </row>
    <row r="825" spans="1:35" hidden="1">
      <c r="B825" s="23">
        <v>824</v>
      </c>
      <c r="C825" s="13" t="s">
        <v>58</v>
      </c>
      <c r="D825" t="s">
        <v>6</v>
      </c>
      <c r="E825" t="s">
        <v>2</v>
      </c>
      <c r="F825">
        <v>1000</v>
      </c>
      <c r="G825" t="s">
        <v>17</v>
      </c>
      <c r="H825" s="5">
        <v>43831</v>
      </c>
      <c r="I825" s="5">
        <v>44562</v>
      </c>
      <c r="J825">
        <v>14</v>
      </c>
      <c r="K825">
        <v>9</v>
      </c>
      <c r="L825">
        <v>32</v>
      </c>
      <c r="M825">
        <v>68</v>
      </c>
      <c r="N825">
        <v>1000000</v>
      </c>
      <c r="O825">
        <f>VLOOKUP($B825&amp;O$1,Data!$A$2:$D$12000,4,FALSE)</f>
        <v>2.6880000000000001E-2</v>
      </c>
      <c r="P825">
        <f>VLOOKUP($B825&amp;P$1,Data!$A$2:$D$12000,4,FALSE)</f>
        <v>-0.82</v>
      </c>
      <c r="Q825">
        <f>VLOOKUP($B825&amp;Q$1,Data!$A$2:$D$12000,4,FALSE)</f>
        <v>777</v>
      </c>
      <c r="R825">
        <f>VLOOKUP($B825&amp;R$1,Data!$A$2:$D$12000,4,FALSE)</f>
        <v>1.4E-3</v>
      </c>
      <c r="S825">
        <f>VLOOKUP($B825&amp;S$1,Data!$A$2:$D$12000,4,FALSE)</f>
        <v>-3.5999999999999999E-3</v>
      </c>
      <c r="T825">
        <f>VLOOKUP($B825&amp;T$1,Data!$A$2:$D$12000,4,FALSE)</f>
        <v>-4.99E-2</v>
      </c>
      <c r="U825">
        <f>VLOOKUP($B825&amp;U$1,Data!$A$2:$D$12000,4,FALSE)</f>
        <v>6.5000000000000002E-2</v>
      </c>
      <c r="V825">
        <f>VLOOKUP($B825&amp;V$1,Data!$A$2:$D$12000,4,FALSE)</f>
        <v>-0.13200000000000001</v>
      </c>
      <c r="W825">
        <f>VLOOKUP($B825&amp;W$1,Data!$A$2:$D$12000,4,FALSE)</f>
        <v>-3.3360000000000001E-2</v>
      </c>
      <c r="X825">
        <f>VLOOKUP($B825&amp;X$1,Data!$A$2:$D$12000,4,FALSE)</f>
        <v>0.38</v>
      </c>
      <c r="Y825">
        <f>VLOOKUP($B825&amp;Y$1,Data!$A$2:$D$12000,4,FALSE)</f>
        <v>0.62</v>
      </c>
      <c r="Z825">
        <f>VLOOKUP($B825&amp;Z$1,Data!$A$2:$D$12000,4,FALSE)</f>
        <v>0.39</v>
      </c>
      <c r="AA825">
        <f>VLOOKUP($B825&amp;AA$1,Data!$A$2:$D$12000,4,FALSE)</f>
        <v>-3.4000000000000002E-2</v>
      </c>
      <c r="AB825">
        <f>VLOOKUP($B825&amp;AB$1,Data!$A$2:$D$12000,4,FALSE)</f>
        <v>-1E-3</v>
      </c>
      <c r="AC825">
        <f>VLOOKUP($B825&amp;AC$1,Data!$A$2:$D$12000,4,FALSE)</f>
        <v>4.1000000000000002E-2</v>
      </c>
      <c r="AD825">
        <f>VLOOKUP($B825&amp;AD$1,Data!$A$2:$D$12000,4,FALSE)</f>
        <v>2E-3</v>
      </c>
      <c r="AE825">
        <f>VLOOKUP($B825&amp;AE$1,Data!$A$2:$D$12000,4,FALSE)</f>
        <v>-1.08</v>
      </c>
      <c r="AF825">
        <f>VLOOKUP($B825&amp;AF$1,Data!$A$2:$D$12000,4,FALSE)</f>
        <v>7.9000000000000001E-2</v>
      </c>
      <c r="AG825">
        <f>VLOOKUP($B825&amp;AG$1,Data!$A$2:$D$12000,4,FALSE)</f>
        <v>33.119999999999997</v>
      </c>
      <c r="AH825">
        <f>VLOOKUP($B825&amp;AH$1,Data!$A$2:$D$12000,4,FALSE)</f>
        <v>0</v>
      </c>
      <c r="AI825">
        <f>VLOOKUP($B825&amp;AI$1,Data!$A$2:$D$12000,4,FALSE)</f>
        <v>7300000</v>
      </c>
    </row>
    <row r="826" spans="1:35" hidden="1">
      <c r="B826" s="23">
        <v>825</v>
      </c>
      <c r="C826" s="13" t="s">
        <v>58</v>
      </c>
      <c r="D826" t="s">
        <v>6</v>
      </c>
      <c r="E826" t="s">
        <v>2</v>
      </c>
      <c r="F826">
        <v>5000</v>
      </c>
      <c r="G826" t="s">
        <v>17</v>
      </c>
      <c r="H826" s="5">
        <v>43831</v>
      </c>
      <c r="I826" s="5">
        <v>44562</v>
      </c>
      <c r="J826">
        <v>14</v>
      </c>
      <c r="K826">
        <v>9</v>
      </c>
      <c r="L826">
        <v>32</v>
      </c>
      <c r="M826">
        <v>68</v>
      </c>
      <c r="N826">
        <v>1000000</v>
      </c>
      <c r="O826">
        <f>VLOOKUP($B826&amp;O$1,Data!$A$2:$D$12000,4,FALSE)</f>
        <v>0.18390999999999999</v>
      </c>
      <c r="P826">
        <f>VLOOKUP($B826&amp;P$1,Data!$A$2:$D$12000,4,FALSE)</f>
        <v>7.4999999999999997E-2</v>
      </c>
      <c r="Q826">
        <f>VLOOKUP($B826&amp;Q$1,Data!$A$2:$D$12000,4,FALSE)</f>
        <v>581</v>
      </c>
      <c r="R826">
        <f>VLOOKUP($B826&amp;R$1,Data!$A$2:$D$12000,4,FALSE)</f>
        <v>2.2000000000000001E-3</v>
      </c>
      <c r="S826">
        <f>VLOOKUP($B826&amp;S$1,Data!$A$2:$D$12000,4,FALSE)</f>
        <v>-5.0000000000000001E-3</v>
      </c>
      <c r="T826">
        <f>VLOOKUP($B826&amp;T$1,Data!$A$2:$D$12000,4,FALSE)</f>
        <v>3.64E-3</v>
      </c>
      <c r="U826">
        <f>VLOOKUP($B826&amp;U$1,Data!$A$2:$D$12000,4,FALSE)</f>
        <v>6.3E-2</v>
      </c>
      <c r="V826">
        <f>VLOOKUP($B826&amp;V$1,Data!$A$2:$D$12000,4,FALSE)</f>
        <v>2E-3</v>
      </c>
      <c r="W826">
        <f>VLOOKUP($B826&amp;W$1,Data!$A$2:$D$12000,4,FALSE)</f>
        <v>2.4099999999999998E-3</v>
      </c>
      <c r="X826">
        <f>VLOOKUP($B826&amp;X$1,Data!$A$2:$D$12000,4,FALSE)</f>
        <v>0.31</v>
      </c>
      <c r="Y826">
        <f>VLOOKUP($B826&amp;Y$1,Data!$A$2:$D$12000,4,FALSE)</f>
        <v>0.69</v>
      </c>
      <c r="Z826">
        <f>VLOOKUP($B826&amp;Z$1,Data!$A$2:$D$12000,4,FALSE)</f>
        <v>0.44</v>
      </c>
      <c r="AA826">
        <f>VLOOKUP($B826&amp;AA$1,Data!$A$2:$D$12000,4,FALSE)</f>
        <v>1E-3</v>
      </c>
      <c r="AB826">
        <f>VLOOKUP($B826&amp;AB$1,Data!$A$2:$D$12000,4,FALSE)</f>
        <v>5.7000000000000002E-2</v>
      </c>
      <c r="AC826">
        <f>VLOOKUP($B826&amp;AC$1,Data!$A$2:$D$12000,4,FALSE)</f>
        <v>5.0999999999999997E-2</v>
      </c>
      <c r="AD826">
        <f>VLOOKUP($B826&amp;AD$1,Data!$A$2:$D$12000,4,FALSE)</f>
        <v>3.0000000000000001E-3</v>
      </c>
      <c r="AE826">
        <f>VLOOKUP($B826&amp;AE$1,Data!$A$2:$D$12000,4,FALSE)</f>
        <v>-0.58599999999999997</v>
      </c>
      <c r="AF826">
        <f>VLOOKUP($B826&amp;AF$1,Data!$A$2:$D$12000,4,FALSE)</f>
        <v>8.1000000000000003E-2</v>
      </c>
      <c r="AG826">
        <f>VLOOKUP($B826&amp;AG$1,Data!$A$2:$D$12000,4,FALSE)</f>
        <v>6.7000000000000004E-2</v>
      </c>
      <c r="AH826">
        <f>VLOOKUP($B826&amp;AH$1,Data!$A$2:$D$12000,4,FALSE)</f>
        <v>0</v>
      </c>
      <c r="AI826">
        <f>VLOOKUP($B826&amp;AI$1,Data!$A$2:$D$12000,4,FALSE)</f>
        <v>9100000</v>
      </c>
    </row>
    <row r="827" spans="1:35" hidden="1">
      <c r="B827" s="23">
        <v>826</v>
      </c>
      <c r="C827" s="13" t="s">
        <v>58</v>
      </c>
      <c r="D827" t="s">
        <v>6</v>
      </c>
      <c r="E827" t="s">
        <v>22</v>
      </c>
      <c r="F827">
        <v>100</v>
      </c>
      <c r="G827" t="s">
        <v>17</v>
      </c>
      <c r="H827" s="5">
        <v>43831</v>
      </c>
      <c r="I827" s="5">
        <v>44562</v>
      </c>
      <c r="J827">
        <v>14</v>
      </c>
      <c r="K827">
        <v>9</v>
      </c>
      <c r="L827">
        <v>32</v>
      </c>
      <c r="M827">
        <v>68</v>
      </c>
      <c r="N827">
        <v>1000000</v>
      </c>
      <c r="O827">
        <f>VLOOKUP($B827&amp;O$1,Data!$A$2:$D$12000,4,FALSE)</f>
        <v>0.76551999999999998</v>
      </c>
      <c r="P827">
        <f>VLOOKUP($B827&amp;P$1,Data!$A$2:$D$12000,4,FALSE)</f>
        <v>1.67</v>
      </c>
      <c r="Q827">
        <f>VLOOKUP($B827&amp;Q$1,Data!$A$2:$D$12000,4,FALSE)</f>
        <v>880</v>
      </c>
      <c r="R827">
        <f>VLOOKUP($B827&amp;R$1,Data!$A$2:$D$12000,4,FALSE)</f>
        <v>8.0000000000000004E-4</v>
      </c>
      <c r="S827">
        <f>VLOOKUP($B827&amp;S$1,Data!$A$2:$D$12000,4,FALSE)</f>
        <v>-6.9999999999999999E-4</v>
      </c>
      <c r="T827">
        <f>VLOOKUP($B827&amp;T$1,Data!$A$2:$D$12000,4,FALSE)</f>
        <v>2.9780000000000001E-2</v>
      </c>
      <c r="U827">
        <f>VLOOKUP($B827&amp;U$1,Data!$A$2:$D$12000,4,FALSE)</f>
        <v>7.0000000000000001E-3</v>
      </c>
      <c r="V827">
        <f>VLOOKUP($B827&amp;V$1,Data!$A$2:$D$12000,4,FALSE)</f>
        <v>0.41899999999999998</v>
      </c>
      <c r="W827">
        <f>VLOOKUP($B827&amp;W$1,Data!$A$2:$D$12000,4,FALSE)</f>
        <v>1.9640000000000001E-2</v>
      </c>
      <c r="X827">
        <f>VLOOKUP($B827&amp;X$1,Data!$A$2:$D$12000,4,FALSE)</f>
        <v>0.31</v>
      </c>
      <c r="Y827">
        <f>VLOOKUP($B827&amp;Y$1,Data!$A$2:$D$12000,4,FALSE)</f>
        <v>0.69</v>
      </c>
      <c r="Z827">
        <f>VLOOKUP($B827&amp;Z$1,Data!$A$2:$D$12000,4,FALSE)</f>
        <v>1.06</v>
      </c>
      <c r="AA827">
        <f>VLOOKUP($B827&amp;AA$1,Data!$A$2:$D$12000,4,FALSE)</f>
        <v>0.02</v>
      </c>
      <c r="AB827">
        <f>VLOOKUP($B827&amp;AB$1,Data!$A$2:$D$12000,4,FALSE)</f>
        <v>2.1000000000000001E-2</v>
      </c>
      <c r="AC827">
        <f>VLOOKUP($B827&amp;AC$1,Data!$A$2:$D$12000,4,FALSE)</f>
        <v>1.2E-2</v>
      </c>
      <c r="AD827">
        <f>VLOOKUP($B827&amp;AD$1,Data!$A$2:$D$12000,4,FALSE)</f>
        <v>0</v>
      </c>
      <c r="AE827">
        <f>VLOOKUP($B827&amp;AE$1,Data!$A$2:$D$12000,4,FALSE)</f>
        <v>-0.46</v>
      </c>
      <c r="AF827">
        <f>VLOOKUP($B827&amp;AF$1,Data!$A$2:$D$12000,4,FALSE)</f>
        <v>6.7000000000000004E-2</v>
      </c>
      <c r="AG827">
        <f>VLOOKUP($B827&amp;AG$1,Data!$A$2:$D$12000,4,FALSE)</f>
        <v>0.96899999999999997</v>
      </c>
      <c r="AH827">
        <f>VLOOKUP($B827&amp;AH$1,Data!$A$2:$D$12000,4,FALSE)</f>
        <v>0</v>
      </c>
      <c r="AI827">
        <f>VLOOKUP($B827&amp;AI$1,Data!$A$2:$D$12000,4,FALSE)</f>
        <v>34000000</v>
      </c>
    </row>
    <row r="828" spans="1:35">
      <c r="A828" s="7" t="s">
        <v>59</v>
      </c>
      <c r="B828">
        <v>815.1</v>
      </c>
      <c r="C828" s="13" t="s">
        <v>58</v>
      </c>
      <c r="D828" t="s">
        <v>6</v>
      </c>
      <c r="E828" t="s">
        <v>2</v>
      </c>
      <c r="F828">
        <v>1000</v>
      </c>
      <c r="G828" t="s">
        <v>17</v>
      </c>
      <c r="H828" s="5">
        <v>43831</v>
      </c>
      <c r="I828" s="5">
        <v>44562</v>
      </c>
      <c r="J828">
        <v>14</v>
      </c>
      <c r="K828">
        <v>9</v>
      </c>
      <c r="L828">
        <v>30</v>
      </c>
      <c r="M828">
        <v>70</v>
      </c>
      <c r="N828">
        <v>1000000</v>
      </c>
      <c r="O828">
        <f>VLOOKUP($B828&amp;O$1,Data!$A$2:$D$14000,4,FALSE)</f>
        <v>0.6502</v>
      </c>
      <c r="P828" s="7">
        <f>VLOOKUP($B828&amp;P$1,Data!$A$2:$D$14000,4,FALSE)</f>
        <v>1.4079999999999999</v>
      </c>
      <c r="Q828">
        <f>VLOOKUP($B828&amp;Q$1,Data!$A$2:$D$14000,4,FALSE)</f>
        <v>693</v>
      </c>
      <c r="R828">
        <f>VLOOKUP($B828&amp;R$1,Data!$A$2:$D$14000,4,FALSE)</f>
        <v>1.6999999999999999E-3</v>
      </c>
      <c r="S828">
        <f>VLOOKUP($B828&amp;S$1,Data!$A$2:$D$14000,4,FALSE)</f>
        <v>-2.0999999999999999E-3</v>
      </c>
      <c r="T828">
        <f>VLOOKUP($B828&amp;T$1,Data!$A$2:$D$14000,4,FALSE)</f>
        <v>5.8819999999999997E-2</v>
      </c>
      <c r="U828">
        <f>VLOOKUP($B828&amp;U$1,Data!$A$2:$D$14000,4,FALSE)</f>
        <v>1.7000000000000001E-2</v>
      </c>
      <c r="V828">
        <f>VLOOKUP($B828&amp;V$1,Data!$A$2:$D$14000,4,FALSE)</f>
        <v>0.26700000000000002</v>
      </c>
      <c r="W828">
        <f>VLOOKUP($B828&amp;W$1,Data!$A$2:$D$14000,4,FALSE)</f>
        <v>3.9260000000000003E-2</v>
      </c>
      <c r="X828">
        <f>VLOOKUP($B828&amp;X$1,Data!$A$2:$D$14000,4,FALSE)</f>
        <v>0.31</v>
      </c>
      <c r="Y828">
        <f>VLOOKUP($B828&amp;Y$1,Data!$A$2:$D$14000,4,FALSE)</f>
        <v>0.69</v>
      </c>
      <c r="Z828">
        <f>VLOOKUP($B828&amp;Z$1,Data!$A$2:$D$14000,4,FALSE)</f>
        <v>0.82</v>
      </c>
      <c r="AA828">
        <f>VLOOKUP($B828&amp;AA$1,Data!$A$2:$D$14000,4,FALSE)</f>
        <v>3.7999999999999999E-2</v>
      </c>
      <c r="AB828">
        <f>VLOOKUP($B828&amp;AB$1,Data!$A$2:$D$14000,4,FALSE)</f>
        <v>5.6000000000000001E-2</v>
      </c>
      <c r="AC828">
        <f>VLOOKUP($B828&amp;AC$1,Data!$A$2:$D$14000,4,FALSE)</f>
        <v>2.9000000000000001E-2</v>
      </c>
      <c r="AD828">
        <f>VLOOKUP($B828&amp;AD$1,Data!$A$2:$D$14000,4,FALSE)</f>
        <v>1E-3</v>
      </c>
      <c r="AE828">
        <f>VLOOKUP($B828&amp;AE$1,Data!$A$2:$D$14000,4,FALSE)</f>
        <v>-4.7E-2</v>
      </c>
      <c r="AF828">
        <f>VLOOKUP($B828&amp;AF$1,Data!$A$2:$D$14000,4,FALSE)</f>
        <v>7.0000000000000007E-2</v>
      </c>
      <c r="AG828">
        <f>VLOOKUP($B828&amp;AG$1,Data!$A$2:$D$14000,4,FALSE)</f>
        <v>0.73499999999999999</v>
      </c>
      <c r="AH828">
        <f>VLOOKUP($B828&amp;AH$1,Data!$A$2:$D$14000,4,FALSE)</f>
        <v>0</v>
      </c>
      <c r="AI828">
        <f>VLOOKUP($B828&amp;AI$1,Data!$A$2:$D$14000,4,FALSE)</f>
        <v>7100000</v>
      </c>
    </row>
    <row r="829" spans="1:35" hidden="1">
      <c r="B829" s="23">
        <v>828</v>
      </c>
      <c r="C829" s="13" t="s">
        <v>58</v>
      </c>
      <c r="D829" t="s">
        <v>6</v>
      </c>
      <c r="E829" t="s">
        <v>22</v>
      </c>
      <c r="F829">
        <v>5000</v>
      </c>
      <c r="G829" t="s">
        <v>17</v>
      </c>
      <c r="H829" s="5">
        <v>43831</v>
      </c>
      <c r="I829" s="5">
        <v>44562</v>
      </c>
      <c r="J829">
        <v>14</v>
      </c>
      <c r="K829">
        <v>9</v>
      </c>
      <c r="L829">
        <v>32</v>
      </c>
      <c r="M829">
        <v>68</v>
      </c>
      <c r="N829">
        <v>1000000</v>
      </c>
      <c r="O829">
        <f>VLOOKUP($B829&amp;O$1,Data!$A$2:$D$12000,4,FALSE)</f>
        <v>0.76261000000000001</v>
      </c>
      <c r="P829">
        <f>VLOOKUP($B829&amp;P$1,Data!$A$2:$D$12000,4,FALSE)</f>
        <v>1.78</v>
      </c>
      <c r="Q829">
        <f>VLOOKUP($B829&amp;Q$1,Data!$A$2:$D$12000,4,FALSE)</f>
        <v>501</v>
      </c>
      <c r="R829">
        <f>VLOOKUP($B829&amp;R$1,Data!$A$2:$D$12000,4,FALSE)</f>
        <v>3.5000000000000001E-3</v>
      </c>
      <c r="S829">
        <f>VLOOKUP($B829&amp;S$1,Data!$A$2:$D$12000,4,FALSE)</f>
        <v>-2.5000000000000001E-3</v>
      </c>
      <c r="T829">
        <f>VLOOKUP($B829&amp;T$1,Data!$A$2:$D$12000,4,FALSE)</f>
        <v>0.12395</v>
      </c>
      <c r="U829">
        <f>VLOOKUP($B829&amp;U$1,Data!$A$2:$D$12000,4,FALSE)</f>
        <v>2.5999999999999999E-2</v>
      </c>
      <c r="V829">
        <f>VLOOKUP($B829&amp;V$1,Data!$A$2:$D$12000,4,FALSE)</f>
        <v>0.60899999999999999</v>
      </c>
      <c r="W829">
        <f>VLOOKUP($B829&amp;W$1,Data!$A$2:$D$12000,4,FALSE)</f>
        <v>8.054E-2</v>
      </c>
      <c r="X829">
        <f>VLOOKUP($B829&amp;X$1,Data!$A$2:$D$12000,4,FALSE)</f>
        <v>0.34</v>
      </c>
      <c r="Y829">
        <f>VLOOKUP($B829&amp;Y$1,Data!$A$2:$D$12000,4,FALSE)</f>
        <v>0.66</v>
      </c>
      <c r="Z829">
        <f>VLOOKUP($B829&amp;Z$1,Data!$A$2:$D$12000,4,FALSE)</f>
        <v>1.43</v>
      </c>
      <c r="AA829">
        <f>VLOOKUP($B829&amp;AA$1,Data!$A$2:$D$12000,4,FALSE)</f>
        <v>8.1000000000000003E-2</v>
      </c>
      <c r="AB829">
        <f>VLOOKUP($B829&amp;AB$1,Data!$A$2:$D$12000,4,FALSE)</f>
        <v>0.09</v>
      </c>
      <c r="AC829">
        <f>VLOOKUP($B829&amp;AC$1,Data!$A$2:$D$12000,4,FALSE)</f>
        <v>4.8000000000000001E-2</v>
      </c>
      <c r="AD829">
        <f>VLOOKUP($B829&amp;AD$1,Data!$A$2:$D$12000,4,FALSE)</f>
        <v>2E-3</v>
      </c>
      <c r="AE829">
        <f>VLOOKUP($B829&amp;AE$1,Data!$A$2:$D$12000,4,FALSE)</f>
        <v>0.439</v>
      </c>
      <c r="AF829">
        <f>VLOOKUP($B829&amp;AF$1,Data!$A$2:$D$12000,4,FALSE)</f>
        <v>7.8E-2</v>
      </c>
      <c r="AG829">
        <f>VLOOKUP($B829&amp;AG$1,Data!$A$2:$D$12000,4,FALSE)</f>
        <v>0.95499999999999996</v>
      </c>
      <c r="AH829">
        <f>VLOOKUP($B829&amp;AH$1,Data!$A$2:$D$12000,4,FALSE)</f>
        <v>0</v>
      </c>
      <c r="AI829">
        <f>VLOOKUP($B829&amp;AI$1,Data!$A$2:$D$12000,4,FALSE)</f>
        <v>6200000</v>
      </c>
    </row>
    <row r="830" spans="1:35" hidden="1">
      <c r="B830" s="23">
        <v>829</v>
      </c>
      <c r="C830" s="13" t="s">
        <v>58</v>
      </c>
      <c r="D830" t="s">
        <v>6</v>
      </c>
      <c r="E830" t="s">
        <v>3</v>
      </c>
      <c r="F830">
        <v>100</v>
      </c>
      <c r="G830" t="s">
        <v>17</v>
      </c>
      <c r="H830" s="5">
        <v>43831</v>
      </c>
      <c r="I830" s="5">
        <v>44562</v>
      </c>
      <c r="J830">
        <v>14</v>
      </c>
      <c r="K830">
        <v>9</v>
      </c>
      <c r="L830">
        <v>28</v>
      </c>
      <c r="M830">
        <v>72</v>
      </c>
      <c r="N830">
        <v>1000000</v>
      </c>
      <c r="O830">
        <f>VLOOKUP($B830&amp;O$1,Data!$A$2:$D$12000,4,FALSE)</f>
        <v>0.38532</v>
      </c>
      <c r="P830">
        <f>VLOOKUP($B830&amp;P$1,Data!$A$2:$D$12000,4,FALSE)</f>
        <v>0.71</v>
      </c>
      <c r="Q830">
        <f>VLOOKUP($B830&amp;Q$1,Data!$A$2:$D$12000,4,FALSE)</f>
        <v>1137</v>
      </c>
      <c r="R830">
        <f>VLOOKUP($B830&amp;R$1,Data!$A$2:$D$12000,4,FALSE)</f>
        <v>5.9999999999999995E-4</v>
      </c>
      <c r="S830">
        <f>VLOOKUP($B830&amp;S$1,Data!$A$2:$D$12000,4,FALSE)</f>
        <v>-1E-3</v>
      </c>
      <c r="T830">
        <f>VLOOKUP($B830&amp;T$1,Data!$A$2:$D$12000,4,FALSE)</f>
        <v>1.2460000000000001E-2</v>
      </c>
      <c r="U830">
        <f>VLOOKUP($B830&amp;U$1,Data!$A$2:$D$12000,4,FALSE)</f>
        <v>1.0999999999999999E-2</v>
      </c>
      <c r="V830">
        <f>VLOOKUP($B830&amp;V$1,Data!$A$2:$D$12000,4,FALSE)</f>
        <v>0.10100000000000001</v>
      </c>
      <c r="W830">
        <f>VLOOKUP($B830&amp;W$1,Data!$A$2:$D$12000,4,FALSE)</f>
        <v>8.2799999999999992E-3</v>
      </c>
      <c r="X830">
        <f>VLOOKUP($B830&amp;X$1,Data!$A$2:$D$12000,4,FALSE)</f>
        <v>0.3</v>
      </c>
      <c r="Y830">
        <f>VLOOKUP($B830&amp;Y$1,Data!$A$2:$D$12000,4,FALSE)</f>
        <v>0.7</v>
      </c>
      <c r="Z830">
        <f>VLOOKUP($B830&amp;Z$1,Data!$A$2:$D$12000,4,FALSE)</f>
        <v>0.56999999999999995</v>
      </c>
      <c r="AA830">
        <f>VLOOKUP($B830&amp;AA$1,Data!$A$2:$D$12000,4,FALSE)</f>
        <v>8.9999999999999993E-3</v>
      </c>
      <c r="AB830">
        <f>VLOOKUP($B830&amp;AB$1,Data!$A$2:$D$12000,4,FALSE)</f>
        <v>1E-3</v>
      </c>
      <c r="AC830">
        <f>VLOOKUP($B830&amp;AC$1,Data!$A$2:$D$12000,4,FALSE)</f>
        <v>1.2E-2</v>
      </c>
      <c r="AD830">
        <f>VLOOKUP($B830&amp;AD$1,Data!$A$2:$D$12000,4,FALSE)</f>
        <v>0</v>
      </c>
      <c r="AE830">
        <f>VLOOKUP($B830&amp;AE$1,Data!$A$2:$D$12000,4,FALSE)</f>
        <v>-0.63300000000000001</v>
      </c>
      <c r="AF830">
        <f>VLOOKUP($B830&amp;AF$1,Data!$A$2:$D$12000,4,FALSE)</f>
        <v>6.8000000000000005E-2</v>
      </c>
      <c r="AG830">
        <f>VLOOKUP($B830&amp;AG$1,Data!$A$2:$D$12000,4,FALSE)</f>
        <v>8.0060000000000002</v>
      </c>
      <c r="AH830">
        <f>VLOOKUP($B830&amp;AH$1,Data!$A$2:$D$12000,4,FALSE)</f>
        <v>0</v>
      </c>
      <c r="AI830">
        <f>VLOOKUP($B830&amp;AI$1,Data!$A$2:$D$12000,4,FALSE)</f>
        <v>14000000000</v>
      </c>
    </row>
    <row r="831" spans="1:35" hidden="1">
      <c r="B831" s="23">
        <v>830</v>
      </c>
      <c r="C831" s="13" t="s">
        <v>58</v>
      </c>
      <c r="D831" t="s">
        <v>6</v>
      </c>
      <c r="E831" t="s">
        <v>3</v>
      </c>
      <c r="F831">
        <v>1000</v>
      </c>
      <c r="G831" t="s">
        <v>17</v>
      </c>
      <c r="H831" s="5">
        <v>43831</v>
      </c>
      <c r="I831" s="5">
        <v>44562</v>
      </c>
      <c r="J831">
        <v>14</v>
      </c>
      <c r="K831">
        <v>9</v>
      </c>
      <c r="L831">
        <v>28</v>
      </c>
      <c r="M831">
        <v>72</v>
      </c>
      <c r="N831">
        <v>1000000</v>
      </c>
      <c r="O831">
        <f>VLOOKUP($B831&amp;O$1,Data!$A$2:$D$12000,4,FALSE)</f>
        <v>5.9029999999999999E-2</v>
      </c>
      <c r="P831">
        <f>VLOOKUP($B831&amp;P$1,Data!$A$2:$D$12000,4,FALSE)</f>
        <v>-0.59099999999999997</v>
      </c>
      <c r="Q831">
        <f>VLOOKUP($B831&amp;Q$1,Data!$A$2:$D$12000,4,FALSE)</f>
        <v>829</v>
      </c>
      <c r="R831">
        <f>VLOOKUP($B831&amp;R$1,Data!$A$2:$D$12000,4,FALSE)</f>
        <v>1.1999999999999999E-3</v>
      </c>
      <c r="S831">
        <f>VLOOKUP($B831&amp;S$1,Data!$A$2:$D$12000,4,FALSE)</f>
        <v>-3.0999999999999999E-3</v>
      </c>
      <c r="T831">
        <f>VLOOKUP($B831&amp;T$1,Data!$A$2:$D$12000,4,FALSE)</f>
        <v>-2.4819999999999998E-2</v>
      </c>
      <c r="U831">
        <f>VLOOKUP($B831&amp;U$1,Data!$A$2:$D$12000,4,FALSE)</f>
        <v>4.1000000000000002E-2</v>
      </c>
      <c r="V831">
        <f>VLOOKUP($B831&amp;V$1,Data!$A$2:$D$12000,4,FALSE)</f>
        <v>-7.8E-2</v>
      </c>
      <c r="W831">
        <f>VLOOKUP($B831&amp;W$1,Data!$A$2:$D$12000,4,FALSE)</f>
        <v>-1.6590000000000001E-2</v>
      </c>
      <c r="X831">
        <f>VLOOKUP($B831&amp;X$1,Data!$A$2:$D$12000,4,FALSE)</f>
        <v>0.34</v>
      </c>
      <c r="Y831">
        <f>VLOOKUP($B831&amp;Y$1,Data!$A$2:$D$12000,4,FALSE)</f>
        <v>0.66</v>
      </c>
      <c r="Z831">
        <f>VLOOKUP($B831&amp;Z$1,Data!$A$2:$D$12000,4,FALSE)</f>
        <v>0.39</v>
      </c>
      <c r="AA831">
        <f>VLOOKUP($B831&amp;AA$1,Data!$A$2:$D$12000,4,FALSE)</f>
        <v>-1.4999999999999999E-2</v>
      </c>
      <c r="AB831">
        <f>VLOOKUP($B831&amp;AB$1,Data!$A$2:$D$12000,4,FALSE)</f>
        <v>-2.7E-2</v>
      </c>
      <c r="AC831">
        <f>VLOOKUP($B831&amp;AC$1,Data!$A$2:$D$12000,4,FALSE)</f>
        <v>2.9000000000000001E-2</v>
      </c>
      <c r="AD831">
        <f>VLOOKUP($B831&amp;AD$1,Data!$A$2:$D$12000,4,FALSE)</f>
        <v>1E-3</v>
      </c>
      <c r="AE831">
        <f>VLOOKUP($B831&amp;AE$1,Data!$A$2:$D$12000,4,FALSE)</f>
        <v>-0.92100000000000004</v>
      </c>
      <c r="AF831">
        <f>VLOOKUP($B831&amp;AF$1,Data!$A$2:$D$12000,4,FALSE)</f>
        <v>7.4999999999999997E-2</v>
      </c>
      <c r="AG831">
        <f>VLOOKUP($B831&amp;AG$1,Data!$A$2:$D$12000,4,FALSE)</f>
        <v>0.63500000000000001</v>
      </c>
      <c r="AH831">
        <f>VLOOKUP($B831&amp;AH$1,Data!$A$2:$D$12000,4,FALSE)</f>
        <v>0</v>
      </c>
      <c r="AI831">
        <f>VLOOKUP($B831&amp;AI$1,Data!$A$2:$D$12000,4,FALSE)</f>
        <v>1400000000</v>
      </c>
    </row>
    <row r="832" spans="1:35" hidden="1">
      <c r="B832" s="23">
        <v>831</v>
      </c>
      <c r="C832" s="13" t="s">
        <v>58</v>
      </c>
      <c r="D832" t="s">
        <v>6</v>
      </c>
      <c r="E832" t="s">
        <v>3</v>
      </c>
      <c r="F832">
        <v>5000</v>
      </c>
      <c r="G832" t="s">
        <v>17</v>
      </c>
      <c r="H832" s="5">
        <v>43831</v>
      </c>
      <c r="I832" s="5">
        <v>44562</v>
      </c>
      <c r="J832">
        <v>14</v>
      </c>
      <c r="K832">
        <v>9</v>
      </c>
      <c r="L832">
        <v>28</v>
      </c>
      <c r="M832">
        <v>72</v>
      </c>
      <c r="N832">
        <v>1000000</v>
      </c>
      <c r="O832">
        <f>VLOOKUP($B832&amp;O$1,Data!$A$2:$D$12000,4,FALSE)</f>
        <v>0.13471</v>
      </c>
      <c r="P832">
        <f>VLOOKUP($B832&amp;P$1,Data!$A$2:$D$12000,4,FALSE)</f>
        <v>-0.128</v>
      </c>
      <c r="Q832">
        <f>VLOOKUP($B832&amp;Q$1,Data!$A$2:$D$12000,4,FALSE)</f>
        <v>606</v>
      </c>
      <c r="R832">
        <f>VLOOKUP($B832&amp;R$1,Data!$A$2:$D$12000,4,FALSE)</f>
        <v>1.9E-3</v>
      </c>
      <c r="S832">
        <f>VLOOKUP($B832&amp;S$1,Data!$A$2:$D$12000,4,FALSE)</f>
        <v>-4.0000000000000001E-3</v>
      </c>
      <c r="T832">
        <f>VLOOKUP($B832&amp;T$1,Data!$A$2:$D$12000,4,FALSE)</f>
        <v>-7.9600000000000001E-3</v>
      </c>
      <c r="U832">
        <f>VLOOKUP($B832&amp;U$1,Data!$A$2:$D$12000,4,FALSE)</f>
        <v>4.4999999999999998E-2</v>
      </c>
      <c r="V832">
        <f>VLOOKUP($B832&amp;V$1,Data!$A$2:$D$12000,4,FALSE)</f>
        <v>-2.4E-2</v>
      </c>
      <c r="W832">
        <f>VLOOKUP($B832&amp;W$1,Data!$A$2:$D$12000,4,FALSE)</f>
        <v>-5.3E-3</v>
      </c>
      <c r="X832">
        <f>VLOOKUP($B832&amp;X$1,Data!$A$2:$D$12000,4,FALSE)</f>
        <v>0.34</v>
      </c>
      <c r="Y832">
        <f>VLOOKUP($B832&amp;Y$1,Data!$A$2:$D$12000,4,FALSE)</f>
        <v>0.66</v>
      </c>
      <c r="Z832">
        <f>VLOOKUP($B832&amp;Z$1,Data!$A$2:$D$12000,4,FALSE)</f>
        <v>0.48</v>
      </c>
      <c r="AA832">
        <f>VLOOKUP($B832&amp;AA$1,Data!$A$2:$D$12000,4,FALSE)</f>
        <v>-5.0000000000000001E-3</v>
      </c>
      <c r="AB832">
        <f>VLOOKUP($B832&amp;AB$1,Data!$A$2:$D$12000,4,FALSE)</f>
        <v>1.0999999999999999E-2</v>
      </c>
      <c r="AC832">
        <f>VLOOKUP($B832&amp;AC$1,Data!$A$2:$D$12000,4,FALSE)</f>
        <v>3.7999999999999999E-2</v>
      </c>
      <c r="AD832">
        <f>VLOOKUP($B832&amp;AD$1,Data!$A$2:$D$12000,4,FALSE)</f>
        <v>1E-3</v>
      </c>
      <c r="AE832">
        <f>VLOOKUP($B832&amp;AE$1,Data!$A$2:$D$12000,4,FALSE)</f>
        <v>-0.70699999999999996</v>
      </c>
      <c r="AF832">
        <f>VLOOKUP($B832&amp;AF$1,Data!$A$2:$D$12000,4,FALSE)</f>
        <v>7.5999999999999998E-2</v>
      </c>
      <c r="AG832">
        <f>VLOOKUP($B832&amp;AG$1,Data!$A$2:$D$12000,4,FALSE)</f>
        <v>-0.42899999999999999</v>
      </c>
      <c r="AH832">
        <f>VLOOKUP($B832&amp;AH$1,Data!$A$2:$D$12000,4,FALSE)</f>
        <v>0</v>
      </c>
      <c r="AI832">
        <f>VLOOKUP($B832&amp;AI$1,Data!$A$2:$D$12000,4,FALSE)</f>
        <v>300000000</v>
      </c>
    </row>
    <row r="833" spans="2:35" hidden="1">
      <c r="B833" s="23">
        <v>832</v>
      </c>
      <c r="C833" s="13" t="s">
        <v>58</v>
      </c>
      <c r="D833" t="s">
        <v>6</v>
      </c>
      <c r="E833" t="s">
        <v>2</v>
      </c>
      <c r="F833">
        <v>100</v>
      </c>
      <c r="G833" t="s">
        <v>17</v>
      </c>
      <c r="H833" s="5">
        <v>43831</v>
      </c>
      <c r="I833" s="5">
        <v>44562</v>
      </c>
      <c r="J833">
        <v>14</v>
      </c>
      <c r="K833">
        <v>9</v>
      </c>
      <c r="L833">
        <v>28</v>
      </c>
      <c r="M833">
        <v>72</v>
      </c>
      <c r="N833">
        <v>1000000</v>
      </c>
      <c r="O833">
        <f>VLOOKUP($B833&amp;O$1,Data!$A$2:$D$12000,4,FALSE)</f>
        <v>0.12748000000000001</v>
      </c>
      <c r="P833">
        <f>VLOOKUP($B833&amp;P$1,Data!$A$2:$D$12000,4,FALSE)</f>
        <v>-0.157</v>
      </c>
      <c r="Q833">
        <f>VLOOKUP($B833&amp;Q$1,Data!$A$2:$D$12000,4,FALSE)</f>
        <v>703</v>
      </c>
      <c r="R833">
        <f>VLOOKUP($B833&amp;R$1,Data!$A$2:$D$12000,4,FALSE)</f>
        <v>6.9999999999999999E-4</v>
      </c>
      <c r="S833">
        <f>VLOOKUP($B833&amp;S$1,Data!$A$2:$D$12000,4,FALSE)</f>
        <v>-1.6000000000000001E-3</v>
      </c>
      <c r="T833">
        <f>VLOOKUP($B833&amp;T$1,Data!$A$2:$D$12000,4,FALSE)</f>
        <v>-3.8500000000000001E-3</v>
      </c>
      <c r="U833">
        <f>VLOOKUP($B833&amp;U$1,Data!$A$2:$D$12000,4,FALSE)</f>
        <v>2.4E-2</v>
      </c>
      <c r="V833">
        <f>VLOOKUP($B833&amp;V$1,Data!$A$2:$D$12000,4,FALSE)</f>
        <v>-4.1000000000000002E-2</v>
      </c>
      <c r="W833">
        <f>VLOOKUP($B833&amp;W$1,Data!$A$2:$D$12000,4,FALSE)</f>
        <v>-2.5600000000000002E-3</v>
      </c>
      <c r="X833">
        <f>VLOOKUP($B833&amp;X$1,Data!$A$2:$D$12000,4,FALSE)</f>
        <v>0.33</v>
      </c>
      <c r="Y833">
        <f>VLOOKUP($B833&amp;Y$1,Data!$A$2:$D$12000,4,FALSE)</f>
        <v>0.67</v>
      </c>
      <c r="Z833">
        <f>VLOOKUP($B833&amp;Z$1,Data!$A$2:$D$12000,4,FALSE)</f>
        <v>0.43</v>
      </c>
      <c r="AA833">
        <f>VLOOKUP($B833&amp;AA$1,Data!$A$2:$D$12000,4,FALSE)</f>
        <v>-2E-3</v>
      </c>
      <c r="AB833">
        <f>VLOOKUP($B833&amp;AB$1,Data!$A$2:$D$12000,4,FALSE)</f>
        <v>-6.0000000000000001E-3</v>
      </c>
      <c r="AC833">
        <f>VLOOKUP($B833&amp;AC$1,Data!$A$2:$D$12000,4,FALSE)</f>
        <v>1.6E-2</v>
      </c>
      <c r="AD833">
        <f>VLOOKUP($B833&amp;AD$1,Data!$A$2:$D$12000,4,FALSE)</f>
        <v>0</v>
      </c>
      <c r="AE833">
        <f>VLOOKUP($B833&amp;AE$1,Data!$A$2:$D$12000,4,FALSE)</f>
        <v>-0.78300000000000003</v>
      </c>
      <c r="AF833">
        <f>VLOOKUP($B833&amp;AF$1,Data!$A$2:$D$12000,4,FALSE)</f>
        <v>7.0000000000000007E-2</v>
      </c>
      <c r="AG833">
        <f>VLOOKUP($B833&amp;AG$1,Data!$A$2:$D$12000,4,FALSE)</f>
        <v>0.40500000000000003</v>
      </c>
      <c r="AH833">
        <f>VLOOKUP($B833&amp;AH$1,Data!$A$2:$D$12000,4,FALSE)</f>
        <v>0</v>
      </c>
      <c r="AI833">
        <f>VLOOKUP($B833&amp;AI$1,Data!$A$2:$D$12000,4,FALSE)</f>
        <v>21000000000</v>
      </c>
    </row>
    <row r="834" spans="2:35" hidden="1">
      <c r="B834" s="23">
        <v>833</v>
      </c>
      <c r="C834" s="13" t="s">
        <v>58</v>
      </c>
      <c r="D834" t="s">
        <v>6</v>
      </c>
      <c r="E834" t="s">
        <v>2</v>
      </c>
      <c r="F834">
        <v>1000</v>
      </c>
      <c r="G834" t="s">
        <v>17</v>
      </c>
      <c r="H834" s="5">
        <v>43831</v>
      </c>
      <c r="I834" s="5">
        <v>44562</v>
      </c>
      <c r="J834">
        <v>14</v>
      </c>
      <c r="K834">
        <v>9</v>
      </c>
      <c r="L834">
        <v>28</v>
      </c>
      <c r="M834">
        <v>72</v>
      </c>
      <c r="N834">
        <v>1000000</v>
      </c>
      <c r="O834">
        <f>VLOOKUP($B834&amp;O$1,Data!$A$2:$D$12000,4,FALSE)</f>
        <v>8.6080000000000004E-2</v>
      </c>
      <c r="P834">
        <f>VLOOKUP($B834&amp;P$1,Data!$A$2:$D$12000,4,FALSE)</f>
        <v>-0.38400000000000001</v>
      </c>
      <c r="Q834">
        <f>VLOOKUP($B834&amp;Q$1,Data!$A$2:$D$12000,4,FALSE)</f>
        <v>519</v>
      </c>
      <c r="R834">
        <f>VLOOKUP($B834&amp;R$1,Data!$A$2:$D$12000,4,FALSE)</f>
        <v>1.5E-3</v>
      </c>
      <c r="S834">
        <f>VLOOKUP($B834&amp;S$1,Data!$A$2:$D$12000,4,FALSE)</f>
        <v>-3.7000000000000002E-3</v>
      </c>
      <c r="T834">
        <f>VLOOKUP($B834&amp;T$1,Data!$A$2:$D$12000,4,FALSE)</f>
        <v>-1.7590000000000001E-2</v>
      </c>
      <c r="U834">
        <f>VLOOKUP($B834&amp;U$1,Data!$A$2:$D$12000,4,FALSE)</f>
        <v>4.3999999999999997E-2</v>
      </c>
      <c r="V834">
        <f>VLOOKUP($B834&amp;V$1,Data!$A$2:$D$12000,4,FALSE)</f>
        <v>-7.0000000000000007E-2</v>
      </c>
      <c r="W834">
        <f>VLOOKUP($B834&amp;W$1,Data!$A$2:$D$12000,4,FALSE)</f>
        <v>-1.174E-2</v>
      </c>
      <c r="X834">
        <f>VLOOKUP($B834&amp;X$1,Data!$A$2:$D$12000,4,FALSE)</f>
        <v>0.35</v>
      </c>
      <c r="Y834">
        <f>VLOOKUP($B834&amp;Y$1,Data!$A$2:$D$12000,4,FALSE)</f>
        <v>0.65</v>
      </c>
      <c r="Z834">
        <f>VLOOKUP($B834&amp;Z$1,Data!$A$2:$D$12000,4,FALSE)</f>
        <v>0.42</v>
      </c>
      <c r="AA834">
        <f>VLOOKUP($B834&amp;AA$1,Data!$A$2:$D$12000,4,FALSE)</f>
        <v>-1.2E-2</v>
      </c>
      <c r="AB834">
        <f>VLOOKUP($B834&amp;AB$1,Data!$A$2:$D$12000,4,FALSE)</f>
        <v>1.2999999999999999E-2</v>
      </c>
      <c r="AC834">
        <f>VLOOKUP($B834&amp;AC$1,Data!$A$2:$D$12000,4,FALSE)</f>
        <v>3.1E-2</v>
      </c>
      <c r="AD834">
        <f>VLOOKUP($B834&amp;AD$1,Data!$A$2:$D$12000,4,FALSE)</f>
        <v>1E-3</v>
      </c>
      <c r="AE834">
        <f>VLOOKUP($B834&amp;AE$1,Data!$A$2:$D$12000,4,FALSE)</f>
        <v>-0.871</v>
      </c>
      <c r="AF834">
        <f>VLOOKUP($B834&amp;AF$1,Data!$A$2:$D$12000,4,FALSE)</f>
        <v>7.2999999999999995E-2</v>
      </c>
      <c r="AG834">
        <f>VLOOKUP($B834&amp;AG$1,Data!$A$2:$D$12000,4,FALSE)</f>
        <v>-0.89100000000000001</v>
      </c>
      <c r="AH834">
        <f>VLOOKUP($B834&amp;AH$1,Data!$A$2:$D$12000,4,FALSE)</f>
        <v>0</v>
      </c>
      <c r="AI834">
        <f>VLOOKUP($B834&amp;AI$1,Data!$A$2:$D$12000,4,FALSE)</f>
        <v>2100000000</v>
      </c>
    </row>
    <row r="835" spans="2:35" hidden="1">
      <c r="B835" s="23">
        <v>834</v>
      </c>
      <c r="C835" s="13" t="s">
        <v>58</v>
      </c>
      <c r="D835" t="s">
        <v>6</v>
      </c>
      <c r="E835" t="s">
        <v>2</v>
      </c>
      <c r="F835">
        <v>5000</v>
      </c>
      <c r="G835" t="s">
        <v>17</v>
      </c>
      <c r="H835" s="5">
        <v>43831</v>
      </c>
      <c r="I835" s="5">
        <v>44562</v>
      </c>
      <c r="J835">
        <v>14</v>
      </c>
      <c r="K835">
        <v>9</v>
      </c>
      <c r="L835">
        <v>28</v>
      </c>
      <c r="M835">
        <v>72</v>
      </c>
      <c r="N835">
        <v>1000000</v>
      </c>
      <c r="O835">
        <f>VLOOKUP($B835&amp;O$1,Data!$A$2:$D$12000,4,FALSE)</f>
        <v>0.20243</v>
      </c>
      <c r="P835">
        <f>VLOOKUP($B835&amp;P$1,Data!$A$2:$D$12000,4,FALSE)</f>
        <v>0.153</v>
      </c>
      <c r="Q835">
        <f>VLOOKUP($B835&amp;Q$1,Data!$A$2:$D$12000,4,FALSE)</f>
        <v>384</v>
      </c>
      <c r="R835">
        <f>VLOOKUP($B835&amp;R$1,Data!$A$2:$D$12000,4,FALSE)</f>
        <v>2.3999999999999998E-3</v>
      </c>
      <c r="S835">
        <f>VLOOKUP($B835&amp;S$1,Data!$A$2:$D$12000,4,FALSE)</f>
        <v>-5.1000000000000004E-3</v>
      </c>
      <c r="T835">
        <f>VLOOKUP($B835&amp;T$1,Data!$A$2:$D$12000,4,FALSE)</f>
        <v>7.9299999999999995E-3</v>
      </c>
      <c r="U835">
        <f>VLOOKUP($B835&amp;U$1,Data!$A$2:$D$12000,4,FALSE)</f>
        <v>3.6999999999999998E-2</v>
      </c>
      <c r="V835">
        <f>VLOOKUP($B835&amp;V$1,Data!$A$2:$D$12000,4,FALSE)</f>
        <v>1.9E-2</v>
      </c>
      <c r="W835">
        <f>VLOOKUP($B835&amp;W$1,Data!$A$2:$D$12000,4,FALSE)</f>
        <v>5.2700000000000004E-3</v>
      </c>
      <c r="X835">
        <f>VLOOKUP($B835&amp;X$1,Data!$A$2:$D$12000,4,FALSE)</f>
        <v>0.31</v>
      </c>
      <c r="Y835">
        <f>VLOOKUP($B835&amp;Y$1,Data!$A$2:$D$12000,4,FALSE)</f>
        <v>0.69</v>
      </c>
      <c r="Z835">
        <f>VLOOKUP($B835&amp;Z$1,Data!$A$2:$D$12000,4,FALSE)</f>
        <v>0.47</v>
      </c>
      <c r="AA835">
        <f>VLOOKUP($B835&amp;AA$1,Data!$A$2:$D$12000,4,FALSE)</f>
        <v>4.0000000000000001E-3</v>
      </c>
      <c r="AB835">
        <f>VLOOKUP($B835&amp;AB$1,Data!$A$2:$D$12000,4,FALSE)</f>
        <v>4.1000000000000002E-2</v>
      </c>
      <c r="AC835">
        <f>VLOOKUP($B835&amp;AC$1,Data!$A$2:$D$12000,4,FALSE)</f>
        <v>4.1000000000000002E-2</v>
      </c>
      <c r="AD835">
        <f>VLOOKUP($B835&amp;AD$1,Data!$A$2:$D$12000,4,FALSE)</f>
        <v>2E-3</v>
      </c>
      <c r="AE835">
        <f>VLOOKUP($B835&amp;AE$1,Data!$A$2:$D$12000,4,FALSE)</f>
        <v>-0.59499999999999997</v>
      </c>
      <c r="AF835">
        <f>VLOOKUP($B835&amp;AF$1,Data!$A$2:$D$12000,4,FALSE)</f>
        <v>7.6999999999999999E-2</v>
      </c>
      <c r="AG835">
        <f>VLOOKUP($B835&amp;AG$1,Data!$A$2:$D$12000,4,FALSE)</f>
        <v>0.154</v>
      </c>
      <c r="AH835">
        <f>VLOOKUP($B835&amp;AH$1,Data!$A$2:$D$12000,4,FALSE)</f>
        <v>0</v>
      </c>
      <c r="AI835">
        <f>VLOOKUP($B835&amp;AI$1,Data!$A$2:$D$12000,4,FALSE)</f>
        <v>670000000</v>
      </c>
    </row>
    <row r="836" spans="2:35" hidden="1">
      <c r="B836" s="23">
        <v>835</v>
      </c>
      <c r="C836" s="13" t="s">
        <v>58</v>
      </c>
      <c r="D836" t="s">
        <v>6</v>
      </c>
      <c r="E836" t="s">
        <v>22</v>
      </c>
      <c r="F836">
        <v>100</v>
      </c>
      <c r="G836" t="s">
        <v>17</v>
      </c>
      <c r="H836" s="5">
        <v>43831</v>
      </c>
      <c r="I836" s="5">
        <v>44562</v>
      </c>
      <c r="J836">
        <v>14</v>
      </c>
      <c r="K836">
        <v>9</v>
      </c>
      <c r="L836">
        <v>28</v>
      </c>
      <c r="M836">
        <v>72</v>
      </c>
      <c r="N836">
        <v>1000000</v>
      </c>
      <c r="O836">
        <f>VLOOKUP($B836&amp;O$1,Data!$A$2:$D$12000,4,FALSE)</f>
        <v>0.19963</v>
      </c>
      <c r="P836">
        <f>VLOOKUP($B836&amp;P$1,Data!$A$2:$D$12000,4,FALSE)</f>
        <v>0.14499999999999999</v>
      </c>
      <c r="Q836">
        <f>VLOOKUP($B836&amp;Q$1,Data!$A$2:$D$12000,4,FALSE)</f>
        <v>553</v>
      </c>
      <c r="R836">
        <f>VLOOKUP($B836&amp;R$1,Data!$A$2:$D$12000,4,FALSE)</f>
        <v>5.9999999999999995E-4</v>
      </c>
      <c r="S836">
        <f>VLOOKUP($B836&amp;S$1,Data!$A$2:$D$12000,4,FALSE)</f>
        <v>-1E-3</v>
      </c>
      <c r="T836">
        <f>VLOOKUP($B836&amp;T$1,Data!$A$2:$D$12000,4,FALSE)</f>
        <v>2.3700000000000001E-3</v>
      </c>
      <c r="U836">
        <f>VLOOKUP($B836&amp;U$1,Data!$A$2:$D$12000,4,FALSE)</f>
        <v>1.2E-2</v>
      </c>
      <c r="V836">
        <f>VLOOKUP($B836&amp;V$1,Data!$A$2:$D$12000,4,FALSE)</f>
        <v>3.6999999999999998E-2</v>
      </c>
      <c r="W836">
        <f>VLOOKUP($B836&amp;W$1,Data!$A$2:$D$12000,4,FALSE)</f>
        <v>1.58E-3</v>
      </c>
      <c r="X836">
        <f>VLOOKUP($B836&amp;X$1,Data!$A$2:$D$12000,4,FALSE)</f>
        <v>0.35</v>
      </c>
      <c r="Y836">
        <f>VLOOKUP($B836&amp;Y$1,Data!$A$2:$D$12000,4,FALSE)</f>
        <v>0.65</v>
      </c>
      <c r="Z836">
        <f>VLOOKUP($B836&amp;Z$1,Data!$A$2:$D$12000,4,FALSE)</f>
        <v>0.59</v>
      </c>
      <c r="AA836">
        <f>VLOOKUP($B836&amp;AA$1,Data!$A$2:$D$12000,4,FALSE)</f>
        <v>1E-3</v>
      </c>
      <c r="AB836">
        <f>VLOOKUP($B836&amp;AB$1,Data!$A$2:$D$12000,4,FALSE)</f>
        <v>8.9999999999999993E-3</v>
      </c>
      <c r="AC836">
        <f>VLOOKUP($B836&amp;AC$1,Data!$A$2:$D$12000,4,FALSE)</f>
        <v>1.2E-2</v>
      </c>
      <c r="AD836">
        <f>VLOOKUP($B836&amp;AD$1,Data!$A$2:$D$12000,4,FALSE)</f>
        <v>0</v>
      </c>
      <c r="AE836">
        <f>VLOOKUP($B836&amp;AE$1,Data!$A$2:$D$12000,4,FALSE)</f>
        <v>-0.74199999999999999</v>
      </c>
      <c r="AF836">
        <f>VLOOKUP($B836&amp;AF$1,Data!$A$2:$D$12000,4,FALSE)</f>
        <v>6.8000000000000005E-2</v>
      </c>
      <c r="AG836">
        <f>VLOOKUP($B836&amp;AG$1,Data!$A$2:$D$12000,4,FALSE)</f>
        <v>0.19</v>
      </c>
      <c r="AH836">
        <f>VLOOKUP($B836&amp;AH$1,Data!$A$2:$D$12000,4,FALSE)</f>
        <v>0</v>
      </c>
      <c r="AI836">
        <f>VLOOKUP($B836&amp;AI$1,Data!$A$2:$D$12000,4,FALSE)</f>
        <v>12000000</v>
      </c>
    </row>
    <row r="837" spans="2:35" hidden="1">
      <c r="B837" s="23">
        <v>836</v>
      </c>
      <c r="C837" s="13" t="s">
        <v>58</v>
      </c>
      <c r="D837" t="s">
        <v>6</v>
      </c>
      <c r="E837" t="s">
        <v>22</v>
      </c>
      <c r="F837">
        <v>1000</v>
      </c>
      <c r="G837" t="s">
        <v>17</v>
      </c>
      <c r="H837" s="5">
        <v>43831</v>
      </c>
      <c r="I837" s="5">
        <v>44562</v>
      </c>
      <c r="J837">
        <v>14</v>
      </c>
      <c r="K837">
        <v>9</v>
      </c>
      <c r="L837">
        <v>28</v>
      </c>
      <c r="M837">
        <v>72</v>
      </c>
      <c r="N837">
        <v>1000000</v>
      </c>
      <c r="O837">
        <f>VLOOKUP($B837&amp;O$1,Data!$A$2:$D$12000,4,FALSE)</f>
        <v>0.24882000000000001</v>
      </c>
      <c r="P837">
        <f>VLOOKUP($B837&amp;P$1,Data!$A$2:$D$12000,4,FALSE)</f>
        <v>0.314</v>
      </c>
      <c r="Q837">
        <f>VLOOKUP($B837&amp;Q$1,Data!$A$2:$D$12000,4,FALSE)</f>
        <v>421</v>
      </c>
      <c r="R837">
        <f>VLOOKUP($B837&amp;R$1,Data!$A$2:$D$12000,4,FALSE)</f>
        <v>1.2999999999999999E-3</v>
      </c>
      <c r="S837">
        <f>VLOOKUP($B837&amp;S$1,Data!$A$2:$D$12000,4,FALSE)</f>
        <v>-2.5000000000000001E-3</v>
      </c>
      <c r="T837">
        <f>VLOOKUP($B837&amp;T$1,Data!$A$2:$D$12000,4,FALSE)</f>
        <v>1.1809999999999999E-2</v>
      </c>
      <c r="U837">
        <f>VLOOKUP($B837&amp;U$1,Data!$A$2:$D$12000,4,FALSE)</f>
        <v>2.1000000000000001E-2</v>
      </c>
      <c r="V837">
        <f>VLOOKUP($B837&amp;V$1,Data!$A$2:$D$12000,4,FALSE)</f>
        <v>0.09</v>
      </c>
      <c r="W837">
        <f>VLOOKUP($B837&amp;W$1,Data!$A$2:$D$12000,4,FALSE)</f>
        <v>7.8499999999999993E-3</v>
      </c>
      <c r="X837">
        <f>VLOOKUP($B837&amp;X$1,Data!$A$2:$D$12000,4,FALSE)</f>
        <v>0.28000000000000003</v>
      </c>
      <c r="Y837">
        <f>VLOOKUP($B837&amp;Y$1,Data!$A$2:$D$12000,4,FALSE)</f>
        <v>0.72</v>
      </c>
      <c r="Z837">
        <f>VLOOKUP($B837&amp;Z$1,Data!$A$2:$D$12000,4,FALSE)</f>
        <v>0.51</v>
      </c>
      <c r="AA837">
        <f>VLOOKUP($B837&amp;AA$1,Data!$A$2:$D$12000,4,FALSE)</f>
        <v>7.0000000000000001E-3</v>
      </c>
      <c r="AB837">
        <f>VLOOKUP($B837&amp;AB$1,Data!$A$2:$D$12000,4,FALSE)</f>
        <v>2.4E-2</v>
      </c>
      <c r="AC837">
        <f>VLOOKUP($B837&amp;AC$1,Data!$A$2:$D$12000,4,FALSE)</f>
        <v>2.7E-2</v>
      </c>
      <c r="AD837">
        <f>VLOOKUP($B837&amp;AD$1,Data!$A$2:$D$12000,4,FALSE)</f>
        <v>1E-3</v>
      </c>
      <c r="AE837">
        <f>VLOOKUP($B837&amp;AE$1,Data!$A$2:$D$12000,4,FALSE)</f>
        <v>-0.61</v>
      </c>
      <c r="AF837">
        <f>VLOOKUP($B837&amp;AF$1,Data!$A$2:$D$12000,4,FALSE)</f>
        <v>7.0999999999999994E-2</v>
      </c>
      <c r="AG837">
        <f>VLOOKUP($B837&amp;AG$1,Data!$A$2:$D$12000,4,FALSE)</f>
        <v>0.36099999999999999</v>
      </c>
      <c r="AH837">
        <f>VLOOKUP($B837&amp;AH$1,Data!$A$2:$D$12000,4,FALSE)</f>
        <v>0</v>
      </c>
      <c r="AI837">
        <f>VLOOKUP($B837&amp;AI$1,Data!$A$2:$D$12000,4,FALSE)</f>
        <v>9900000</v>
      </c>
    </row>
    <row r="838" spans="2:35" hidden="1">
      <c r="B838" s="23">
        <v>837</v>
      </c>
      <c r="C838" s="13" t="s">
        <v>58</v>
      </c>
      <c r="D838" t="s">
        <v>6</v>
      </c>
      <c r="E838" t="s">
        <v>22</v>
      </c>
      <c r="F838">
        <v>5000</v>
      </c>
      <c r="G838" t="s">
        <v>17</v>
      </c>
      <c r="H838" s="5">
        <v>43831</v>
      </c>
      <c r="I838" s="5">
        <v>44562</v>
      </c>
      <c r="J838">
        <v>14</v>
      </c>
      <c r="K838">
        <v>9</v>
      </c>
      <c r="L838">
        <v>28</v>
      </c>
      <c r="M838">
        <v>72</v>
      </c>
      <c r="N838">
        <v>1000000</v>
      </c>
      <c r="O838">
        <f>VLOOKUP($B838&amp;O$1,Data!$A$2:$D$12000,4,FALSE)</f>
        <v>0.30095</v>
      </c>
      <c r="P838">
        <f>VLOOKUP($B838&amp;P$1,Data!$A$2:$D$12000,4,FALSE)</f>
        <v>0.48199999999999998</v>
      </c>
      <c r="Q838">
        <f>VLOOKUP($B838&amp;Q$1,Data!$A$2:$D$12000,4,FALSE)</f>
        <v>301</v>
      </c>
      <c r="R838">
        <f>VLOOKUP($B838&amp;R$1,Data!$A$2:$D$12000,4,FALSE)</f>
        <v>2E-3</v>
      </c>
      <c r="S838">
        <f>VLOOKUP($B838&amp;S$1,Data!$A$2:$D$12000,4,FALSE)</f>
        <v>-3.0999999999999999E-3</v>
      </c>
      <c r="T838">
        <f>VLOOKUP($B838&amp;T$1,Data!$A$2:$D$12000,4,FALSE)</f>
        <v>2.7310000000000001E-2</v>
      </c>
      <c r="U838">
        <f>VLOOKUP($B838&amp;U$1,Data!$A$2:$D$12000,4,FALSE)</f>
        <v>2.5999999999999999E-2</v>
      </c>
      <c r="V838">
        <f>VLOOKUP($B838&amp;V$1,Data!$A$2:$D$12000,4,FALSE)</f>
        <v>0.13600000000000001</v>
      </c>
      <c r="W838">
        <f>VLOOKUP($B838&amp;W$1,Data!$A$2:$D$12000,4,FALSE)</f>
        <v>1.8100000000000002E-2</v>
      </c>
      <c r="X838">
        <f>VLOOKUP($B838&amp;X$1,Data!$A$2:$D$12000,4,FALSE)</f>
        <v>0.31</v>
      </c>
      <c r="Y838">
        <f>VLOOKUP($B838&amp;Y$1,Data!$A$2:$D$12000,4,FALSE)</f>
        <v>0.69</v>
      </c>
      <c r="Z838">
        <f>VLOOKUP($B838&amp;Z$1,Data!$A$2:$D$12000,4,FALSE)</f>
        <v>0.64</v>
      </c>
      <c r="AA838">
        <f>VLOOKUP($B838&amp;AA$1,Data!$A$2:$D$12000,4,FALSE)</f>
        <v>1.7999999999999999E-2</v>
      </c>
      <c r="AB838">
        <f>VLOOKUP($B838&amp;AB$1,Data!$A$2:$D$12000,4,FALSE)</f>
        <v>3.1E-2</v>
      </c>
      <c r="AC838">
        <f>VLOOKUP($B838&amp;AC$1,Data!$A$2:$D$12000,4,FALSE)</f>
        <v>4.1000000000000002E-2</v>
      </c>
      <c r="AD838">
        <f>VLOOKUP($B838&amp;AD$1,Data!$A$2:$D$12000,4,FALSE)</f>
        <v>2E-3</v>
      </c>
      <c r="AE838">
        <f>VLOOKUP($B838&amp;AE$1,Data!$A$2:$D$12000,4,FALSE)</f>
        <v>-0.41899999999999998</v>
      </c>
      <c r="AF838">
        <f>VLOOKUP($B838&amp;AF$1,Data!$A$2:$D$12000,4,FALSE)</f>
        <v>7.6999999999999999E-2</v>
      </c>
      <c r="AG838">
        <f>VLOOKUP($B838&amp;AG$1,Data!$A$2:$D$12000,4,FALSE)</f>
        <v>0.626</v>
      </c>
      <c r="AH838">
        <f>VLOOKUP($B838&amp;AH$1,Data!$A$2:$D$12000,4,FALSE)</f>
        <v>0</v>
      </c>
      <c r="AI838">
        <f>VLOOKUP($B838&amp;AI$1,Data!$A$2:$D$12000,4,FALSE)</f>
        <v>9100000</v>
      </c>
    </row>
    <row r="839" spans="2:35" hidden="1">
      <c r="B839" s="23">
        <v>838</v>
      </c>
      <c r="C839" s="13" t="s">
        <v>58</v>
      </c>
      <c r="D839" t="s">
        <v>7</v>
      </c>
      <c r="E839" t="s">
        <v>3</v>
      </c>
      <c r="F839">
        <v>100</v>
      </c>
      <c r="G839" t="s">
        <v>17</v>
      </c>
      <c r="H839" s="5">
        <v>43831</v>
      </c>
      <c r="I839" s="5">
        <v>44562</v>
      </c>
      <c r="J839">
        <v>14</v>
      </c>
      <c r="K839">
        <v>9</v>
      </c>
      <c r="L839">
        <v>30</v>
      </c>
      <c r="M839">
        <v>70</v>
      </c>
      <c r="N839">
        <v>1000000</v>
      </c>
      <c r="O839">
        <f>VLOOKUP($B839&amp;O$1,Data!$A$2:$D$12000,4,FALSE)</f>
        <v>0.29382000000000003</v>
      </c>
      <c r="P839">
        <f>VLOOKUP($B839&amp;P$1,Data!$A$2:$D$12000,4,FALSE)</f>
        <v>0.44400000000000001</v>
      </c>
      <c r="Q839">
        <f>VLOOKUP($B839&amp;Q$1,Data!$A$2:$D$12000,4,FALSE)</f>
        <v>1559</v>
      </c>
      <c r="R839">
        <f>VLOOKUP($B839&amp;R$1,Data!$A$2:$D$12000,4,FALSE)</f>
        <v>5.0000000000000001E-4</v>
      </c>
      <c r="S839">
        <f>VLOOKUP($B839&amp;S$1,Data!$A$2:$D$12000,4,FALSE)</f>
        <v>-8.0000000000000004E-4</v>
      </c>
      <c r="T839">
        <f>VLOOKUP($B839&amp;T$1,Data!$A$2:$D$12000,4,FALSE)</f>
        <v>8.0700000000000008E-3</v>
      </c>
      <c r="U839">
        <f>VLOOKUP($B839&amp;U$1,Data!$A$2:$D$12000,4,FALSE)</f>
        <v>1.2999999999999999E-2</v>
      </c>
      <c r="V839">
        <f>VLOOKUP($B839&amp;V$1,Data!$A$2:$D$12000,4,FALSE)</f>
        <v>0.06</v>
      </c>
      <c r="W839">
        <f>VLOOKUP($B839&amp;W$1,Data!$A$2:$D$12000,4,FALSE)</f>
        <v>5.3400000000000001E-3</v>
      </c>
      <c r="X839">
        <f>VLOOKUP($B839&amp;X$1,Data!$A$2:$D$12000,4,FALSE)</f>
        <v>0.35</v>
      </c>
      <c r="Y839">
        <f>VLOOKUP($B839&amp;Y$1,Data!$A$2:$D$12000,4,FALSE)</f>
        <v>0.65</v>
      </c>
      <c r="Z839">
        <f>VLOOKUP($B839&amp;Z$1,Data!$A$2:$D$12000,4,FALSE)</f>
        <v>0.64</v>
      </c>
      <c r="AA839">
        <f>VLOOKUP($B839&amp;AA$1,Data!$A$2:$D$12000,4,FALSE)</f>
        <v>5.0000000000000001E-3</v>
      </c>
      <c r="AB839">
        <f>VLOOKUP($B839&amp;AB$1,Data!$A$2:$D$12000,4,FALSE)</f>
        <v>1.7999999999999999E-2</v>
      </c>
      <c r="AC839">
        <f>VLOOKUP($B839&amp;AC$1,Data!$A$2:$D$12000,4,FALSE)</f>
        <v>1.2999999999999999E-2</v>
      </c>
      <c r="AD839">
        <f>VLOOKUP($B839&amp;AD$1,Data!$A$2:$D$12000,4,FALSE)</f>
        <v>0</v>
      </c>
      <c r="AE839">
        <f>VLOOKUP($B839&amp;AE$1,Data!$A$2:$D$12000,4,FALSE)</f>
        <v>-0.68</v>
      </c>
      <c r="AF839">
        <f>VLOOKUP($B839&amp;AF$1,Data!$A$2:$D$12000,4,FALSE)</f>
        <v>6.7000000000000004E-2</v>
      </c>
      <c r="AG839">
        <f>VLOOKUP($B839&amp;AG$1,Data!$A$2:$D$12000,4,FALSE)</f>
        <v>0.32400000000000001</v>
      </c>
      <c r="AH839">
        <f>VLOOKUP($B839&amp;AH$1,Data!$A$2:$D$12000,4,FALSE)</f>
        <v>0</v>
      </c>
      <c r="AI839">
        <f>VLOOKUP($B839&amp;AI$1,Data!$A$2:$D$12000,4,FALSE)</f>
        <v>32000000</v>
      </c>
    </row>
    <row r="840" spans="2:35" hidden="1">
      <c r="B840" s="23">
        <v>839</v>
      </c>
      <c r="C840" s="13" t="s">
        <v>58</v>
      </c>
      <c r="D840" t="s">
        <v>7</v>
      </c>
      <c r="E840" t="s">
        <v>3</v>
      </c>
      <c r="F840">
        <v>1000</v>
      </c>
      <c r="G840" t="s">
        <v>17</v>
      </c>
      <c r="H840" s="5">
        <v>43831</v>
      </c>
      <c r="I840" s="5">
        <v>44562</v>
      </c>
      <c r="J840">
        <v>14</v>
      </c>
      <c r="K840">
        <v>9</v>
      </c>
      <c r="L840">
        <v>30</v>
      </c>
      <c r="M840">
        <v>70</v>
      </c>
      <c r="N840">
        <v>1000000</v>
      </c>
      <c r="O840">
        <f>VLOOKUP($B840&amp;O$1,Data!$A$2:$D$12000,4,FALSE)</f>
        <v>0.18518000000000001</v>
      </c>
      <c r="P840">
        <f>VLOOKUP($B840&amp;P$1,Data!$A$2:$D$12000,4,FALSE)</f>
        <v>8.2000000000000003E-2</v>
      </c>
      <c r="Q840">
        <f>VLOOKUP($B840&amp;Q$1,Data!$A$2:$D$12000,4,FALSE)</f>
        <v>1174</v>
      </c>
      <c r="R840">
        <f>VLOOKUP($B840&amp;R$1,Data!$A$2:$D$12000,4,FALSE)</f>
        <v>1.5E-3</v>
      </c>
      <c r="S840">
        <f>VLOOKUP($B840&amp;S$1,Data!$A$2:$D$12000,4,FALSE)</f>
        <v>-2.3E-3</v>
      </c>
      <c r="T840">
        <f>VLOOKUP($B840&amp;T$1,Data!$A$2:$D$12000,4,FALSE)</f>
        <v>2.8500000000000001E-3</v>
      </c>
      <c r="U840">
        <f>VLOOKUP($B840&amp;U$1,Data!$A$2:$D$12000,4,FALSE)</f>
        <v>3.7999999999999999E-2</v>
      </c>
      <c r="V840">
        <f>VLOOKUP($B840&amp;V$1,Data!$A$2:$D$12000,4,FALSE)</f>
        <v>0.01</v>
      </c>
      <c r="W840">
        <f>VLOOKUP($B840&amp;W$1,Data!$A$2:$D$12000,4,FALSE)</f>
        <v>1.89E-3</v>
      </c>
      <c r="X840">
        <f>VLOOKUP($B840&amp;X$1,Data!$A$2:$D$12000,4,FALSE)</f>
        <v>0.39</v>
      </c>
      <c r="Y840">
        <f>VLOOKUP($B840&amp;Y$1,Data!$A$2:$D$12000,4,FALSE)</f>
        <v>0.61</v>
      </c>
      <c r="Z840">
        <f>VLOOKUP($B840&amp;Z$1,Data!$A$2:$D$12000,4,FALSE)</f>
        <v>0.65</v>
      </c>
      <c r="AA840">
        <f>VLOOKUP($B840&amp;AA$1,Data!$A$2:$D$12000,4,FALSE)</f>
        <v>-1E-3</v>
      </c>
      <c r="AB840">
        <f>VLOOKUP($B840&amp;AB$1,Data!$A$2:$D$12000,4,FALSE)</f>
        <v>7.1999999999999995E-2</v>
      </c>
      <c r="AC840">
        <f>VLOOKUP($B840&amp;AC$1,Data!$A$2:$D$12000,4,FALSE)</f>
        <v>2.9000000000000001E-2</v>
      </c>
      <c r="AD840">
        <f>VLOOKUP($B840&amp;AD$1,Data!$A$2:$D$12000,4,FALSE)</f>
        <v>1E-3</v>
      </c>
      <c r="AE840">
        <f>VLOOKUP($B840&amp;AE$1,Data!$A$2:$D$12000,4,FALSE)</f>
        <v>-0.71399999999999997</v>
      </c>
      <c r="AF840">
        <f>VLOOKUP($B840&amp;AF$1,Data!$A$2:$D$12000,4,FALSE)</f>
        <v>6.9000000000000006E-2</v>
      </c>
      <c r="AG840">
        <f>VLOOKUP($B840&amp;AG$1,Data!$A$2:$D$12000,4,FALSE)</f>
        <v>3.3000000000000002E-2</v>
      </c>
      <c r="AH840">
        <f>VLOOKUP($B840&amp;AH$1,Data!$A$2:$D$12000,4,FALSE)</f>
        <v>0</v>
      </c>
      <c r="AI840">
        <f>VLOOKUP($B840&amp;AI$1,Data!$A$2:$D$12000,4,FALSE)</f>
        <v>6700000</v>
      </c>
    </row>
    <row r="841" spans="2:35" hidden="1">
      <c r="B841" s="23">
        <v>840</v>
      </c>
      <c r="C841" s="13" t="s">
        <v>58</v>
      </c>
      <c r="D841" t="s">
        <v>7</v>
      </c>
      <c r="E841" t="s">
        <v>3</v>
      </c>
      <c r="F841">
        <v>5000</v>
      </c>
      <c r="G841" t="s">
        <v>17</v>
      </c>
      <c r="H841" s="5">
        <v>43831</v>
      </c>
      <c r="I841" s="5">
        <v>44562</v>
      </c>
      <c r="J841">
        <v>14</v>
      </c>
      <c r="K841">
        <v>9</v>
      </c>
      <c r="L841">
        <v>30</v>
      </c>
      <c r="M841">
        <v>70</v>
      </c>
      <c r="N841">
        <v>1000000</v>
      </c>
      <c r="O841">
        <f>VLOOKUP($B841&amp;O$1,Data!$A$2:$D$12000,4,FALSE)</f>
        <v>4.4260000000000001E-2</v>
      </c>
      <c r="P841">
        <f>VLOOKUP($B841&amp;P$1,Data!$A$2:$D$12000,4,FALSE)</f>
        <v>-0.69699999999999995</v>
      </c>
      <c r="Q841">
        <f>VLOOKUP($B841&amp;Q$1,Data!$A$2:$D$12000,4,FALSE)</f>
        <v>848</v>
      </c>
      <c r="R841">
        <f>VLOOKUP($B841&amp;R$1,Data!$A$2:$D$12000,4,FALSE)</f>
        <v>1.8E-3</v>
      </c>
      <c r="S841">
        <f>VLOOKUP($B841&amp;S$1,Data!$A$2:$D$12000,4,FALSE)</f>
        <v>-3.5999999999999999E-3</v>
      </c>
      <c r="T841">
        <f>VLOOKUP($B841&amp;T$1,Data!$A$2:$D$12000,4,FALSE)</f>
        <v>-3.687E-2</v>
      </c>
      <c r="U841">
        <f>VLOOKUP($B841&amp;U$1,Data!$A$2:$D$12000,4,FALSE)</f>
        <v>5.6000000000000001E-2</v>
      </c>
      <c r="V841">
        <f>VLOOKUP($B841&amp;V$1,Data!$A$2:$D$12000,4,FALSE)</f>
        <v>-7.2999999999999995E-2</v>
      </c>
      <c r="W841">
        <f>VLOOKUP($B841&amp;W$1,Data!$A$2:$D$12000,4,FALSE)</f>
        <v>-2.46E-2</v>
      </c>
      <c r="X841">
        <f>VLOOKUP($B841&amp;X$1,Data!$A$2:$D$12000,4,FALSE)</f>
        <v>0.39</v>
      </c>
      <c r="Y841">
        <f>VLOOKUP($B841&amp;Y$1,Data!$A$2:$D$12000,4,FALSE)</f>
        <v>0.61</v>
      </c>
      <c r="Z841">
        <f>VLOOKUP($B841&amp;Z$1,Data!$A$2:$D$12000,4,FALSE)</f>
        <v>0.51</v>
      </c>
      <c r="AA841">
        <f>VLOOKUP($B841&amp;AA$1,Data!$A$2:$D$12000,4,FALSE)</f>
        <v>-3.3000000000000002E-2</v>
      </c>
      <c r="AB841">
        <f>VLOOKUP($B841&amp;AB$1,Data!$A$2:$D$12000,4,FALSE)</f>
        <v>0.153</v>
      </c>
      <c r="AC841">
        <f>VLOOKUP($B841&amp;AC$1,Data!$A$2:$D$12000,4,FALSE)</f>
        <v>3.5999999999999997E-2</v>
      </c>
      <c r="AD841">
        <f>VLOOKUP($B841&amp;AD$1,Data!$A$2:$D$12000,4,FALSE)</f>
        <v>1E-3</v>
      </c>
      <c r="AE841">
        <f>VLOOKUP($B841&amp;AE$1,Data!$A$2:$D$12000,4,FALSE)</f>
        <v>-1.1479999999999999</v>
      </c>
      <c r="AF841">
        <f>VLOOKUP($B841&amp;AF$1,Data!$A$2:$D$12000,4,FALSE)</f>
        <v>6.7000000000000004E-2</v>
      </c>
      <c r="AG841">
        <f>VLOOKUP($B841&amp;AG$1,Data!$A$2:$D$12000,4,FALSE)</f>
        <v>-0.16400000000000001</v>
      </c>
      <c r="AH841">
        <f>VLOOKUP($B841&amp;AH$1,Data!$A$2:$D$12000,4,FALSE)</f>
        <v>0</v>
      </c>
      <c r="AI841">
        <f>VLOOKUP($B841&amp;AI$1,Data!$A$2:$D$12000,4,FALSE)</f>
        <v>6100000</v>
      </c>
    </row>
    <row r="842" spans="2:35" hidden="1">
      <c r="B842" s="23">
        <v>841</v>
      </c>
      <c r="C842" s="13" t="s">
        <v>58</v>
      </c>
      <c r="D842" t="s">
        <v>7</v>
      </c>
      <c r="E842" t="s">
        <v>2</v>
      </c>
      <c r="F842">
        <v>100</v>
      </c>
      <c r="G842" t="s">
        <v>17</v>
      </c>
      <c r="H842" s="5">
        <v>43831</v>
      </c>
      <c r="I842" s="5">
        <v>44562</v>
      </c>
      <c r="J842">
        <v>14</v>
      </c>
      <c r="K842">
        <v>9</v>
      </c>
      <c r="L842">
        <v>30</v>
      </c>
      <c r="M842">
        <v>70</v>
      </c>
      <c r="N842">
        <v>1000000</v>
      </c>
      <c r="O842">
        <f>VLOOKUP($B842&amp;O$1,Data!$A$2:$D$12000,4,FALSE)</f>
        <v>1.755E-2</v>
      </c>
      <c r="P842">
        <f>VLOOKUP($B842&amp;P$1,Data!$A$2:$D$12000,4,FALSE)</f>
        <v>-1.196</v>
      </c>
      <c r="Q842">
        <f>VLOOKUP($B842&amp;Q$1,Data!$A$2:$D$12000,4,FALSE)</f>
        <v>996</v>
      </c>
      <c r="R842">
        <f>VLOOKUP($B842&amp;R$1,Data!$A$2:$D$12000,4,FALSE)</f>
        <v>5.0000000000000001E-4</v>
      </c>
      <c r="S842">
        <f>VLOOKUP($B842&amp;S$1,Data!$A$2:$D$12000,4,FALSE)</f>
        <v>-1E-3</v>
      </c>
      <c r="T842">
        <f>VLOOKUP($B842&amp;T$1,Data!$A$2:$D$12000,4,FALSE)</f>
        <v>-2.2589999999999999E-2</v>
      </c>
      <c r="U842">
        <f>VLOOKUP($B842&amp;U$1,Data!$A$2:$D$12000,4,FALSE)</f>
        <v>0.02</v>
      </c>
      <c r="V842">
        <f>VLOOKUP($B842&amp;V$1,Data!$A$2:$D$12000,4,FALSE)</f>
        <v>-0.19800000000000001</v>
      </c>
      <c r="W842">
        <f>VLOOKUP($B842&amp;W$1,Data!$A$2:$D$12000,4,FALSE)</f>
        <v>-1.503E-2</v>
      </c>
      <c r="X842">
        <f>VLOOKUP($B842&amp;X$1,Data!$A$2:$D$12000,4,FALSE)</f>
        <v>0.47</v>
      </c>
      <c r="Y842">
        <f>VLOOKUP($B842&amp;Y$1,Data!$A$2:$D$12000,4,FALSE)</f>
        <v>0.53</v>
      </c>
      <c r="Z842">
        <f>VLOOKUP($B842&amp;Z$1,Data!$A$2:$D$12000,4,FALSE)</f>
        <v>0.51</v>
      </c>
      <c r="AA842">
        <f>VLOOKUP($B842&amp;AA$1,Data!$A$2:$D$12000,4,FALSE)</f>
        <v>-1.7999999999999999E-2</v>
      </c>
      <c r="AB842">
        <f>VLOOKUP($B842&amp;AB$1,Data!$A$2:$D$12000,4,FALSE)</f>
        <v>0.04</v>
      </c>
      <c r="AC842">
        <f>VLOOKUP($B842&amp;AC$1,Data!$A$2:$D$12000,4,FALSE)</f>
        <v>1.2999999999999999E-2</v>
      </c>
      <c r="AD842">
        <f>VLOOKUP($B842&amp;AD$1,Data!$A$2:$D$12000,4,FALSE)</f>
        <v>0</v>
      </c>
      <c r="AE842">
        <f>VLOOKUP($B842&amp;AE$1,Data!$A$2:$D$12000,4,FALSE)</f>
        <v>-1.018</v>
      </c>
      <c r="AF842">
        <f>VLOOKUP($B842&amp;AF$1,Data!$A$2:$D$12000,4,FALSE)</f>
        <v>6.6000000000000003E-2</v>
      </c>
      <c r="AG842">
        <f>VLOOKUP($B842&amp;AG$1,Data!$A$2:$D$12000,4,FALSE)</f>
        <v>-0.38800000000000001</v>
      </c>
      <c r="AH842">
        <f>VLOOKUP($B842&amp;AH$1,Data!$A$2:$D$12000,4,FALSE)</f>
        <v>0</v>
      </c>
      <c r="AI842">
        <f>VLOOKUP($B842&amp;AI$1,Data!$A$2:$D$12000,4,FALSE)</f>
        <v>7700000</v>
      </c>
    </row>
    <row r="843" spans="2:35" hidden="1">
      <c r="B843" s="23">
        <v>842</v>
      </c>
      <c r="C843" s="13" t="s">
        <v>58</v>
      </c>
      <c r="D843" t="s">
        <v>7</v>
      </c>
      <c r="E843" t="s">
        <v>2</v>
      </c>
      <c r="F843">
        <v>1000</v>
      </c>
      <c r="G843" t="s">
        <v>17</v>
      </c>
      <c r="H843" s="5">
        <v>43831</v>
      </c>
      <c r="I843" s="5">
        <v>44562</v>
      </c>
      <c r="J843">
        <v>14</v>
      </c>
      <c r="K843">
        <v>9</v>
      </c>
      <c r="L843">
        <v>30</v>
      </c>
      <c r="M843">
        <v>70</v>
      </c>
      <c r="N843">
        <v>1000000</v>
      </c>
      <c r="O843">
        <f>VLOOKUP($B843&amp;O$1,Data!$A$2:$D$12000,4,FALSE)</f>
        <v>2.7969999999999998E-2</v>
      </c>
      <c r="P843">
        <f>VLOOKUP($B843&amp;P$1,Data!$A$2:$D$12000,4,FALSE)</f>
        <v>-0.94399999999999995</v>
      </c>
      <c r="Q843">
        <f>VLOOKUP($B843&amp;Q$1,Data!$A$2:$D$12000,4,FALSE)</f>
        <v>747</v>
      </c>
      <c r="R843">
        <f>VLOOKUP($B843&amp;R$1,Data!$A$2:$D$12000,4,FALSE)</f>
        <v>8.0000000000000004E-4</v>
      </c>
      <c r="S843">
        <f>VLOOKUP($B843&amp;S$1,Data!$A$2:$D$12000,4,FALSE)</f>
        <v>-2.2000000000000001E-3</v>
      </c>
      <c r="T843">
        <f>VLOOKUP($B843&amp;T$1,Data!$A$2:$D$12000,4,FALSE)</f>
        <v>-3.6209999999999999E-2</v>
      </c>
      <c r="U843">
        <f>VLOOKUP($B843&amp;U$1,Data!$A$2:$D$12000,4,FALSE)</f>
        <v>4.4999999999999998E-2</v>
      </c>
      <c r="V843">
        <f>VLOOKUP($B843&amp;V$1,Data!$A$2:$D$12000,4,FALSE)</f>
        <v>-0.14499999999999999</v>
      </c>
      <c r="W843">
        <f>VLOOKUP($B843&amp;W$1,Data!$A$2:$D$12000,4,FALSE)</f>
        <v>-2.4150000000000001E-2</v>
      </c>
      <c r="X843">
        <f>VLOOKUP($B843&amp;X$1,Data!$A$2:$D$12000,4,FALSE)</f>
        <v>0.37</v>
      </c>
      <c r="Y843">
        <f>VLOOKUP($B843&amp;Y$1,Data!$A$2:$D$12000,4,FALSE)</f>
        <v>0.63</v>
      </c>
      <c r="Z843">
        <f>VLOOKUP($B843&amp;Z$1,Data!$A$2:$D$12000,4,FALSE)</f>
        <v>0.35</v>
      </c>
      <c r="AA843">
        <f>VLOOKUP($B843&amp;AA$1,Data!$A$2:$D$12000,4,FALSE)</f>
        <v>-3.2000000000000001E-2</v>
      </c>
      <c r="AB843">
        <f>VLOOKUP($B843&amp;AB$1,Data!$A$2:$D$12000,4,FALSE)</f>
        <v>0.13</v>
      </c>
      <c r="AC843">
        <f>VLOOKUP($B843&amp;AC$1,Data!$A$2:$D$12000,4,FALSE)</f>
        <v>2.5999999999999999E-2</v>
      </c>
      <c r="AD843">
        <f>VLOOKUP($B843&amp;AD$1,Data!$A$2:$D$12000,4,FALSE)</f>
        <v>1E-3</v>
      </c>
      <c r="AE843">
        <f>VLOOKUP($B843&amp;AE$1,Data!$A$2:$D$12000,4,FALSE)</f>
        <v>-1.2</v>
      </c>
      <c r="AF843">
        <f>VLOOKUP($B843&amp;AF$1,Data!$A$2:$D$12000,4,FALSE)</f>
        <v>6.4000000000000001E-2</v>
      </c>
      <c r="AG843">
        <f>VLOOKUP($B843&amp;AG$1,Data!$A$2:$D$12000,4,FALSE)</f>
        <v>-0.191</v>
      </c>
      <c r="AH843">
        <f>VLOOKUP($B843&amp;AH$1,Data!$A$2:$D$12000,4,FALSE)</f>
        <v>0</v>
      </c>
      <c r="AI843">
        <f>VLOOKUP($B843&amp;AI$1,Data!$A$2:$D$12000,4,FALSE)</f>
        <v>7900000</v>
      </c>
    </row>
    <row r="844" spans="2:35" hidden="1">
      <c r="B844" s="23">
        <v>843</v>
      </c>
      <c r="C844" s="13" t="s">
        <v>58</v>
      </c>
      <c r="D844" t="s">
        <v>7</v>
      </c>
      <c r="E844" t="s">
        <v>2</v>
      </c>
      <c r="F844">
        <v>5000</v>
      </c>
      <c r="G844" t="s">
        <v>17</v>
      </c>
      <c r="H844" s="5">
        <v>43831</v>
      </c>
      <c r="I844" s="5">
        <v>44562</v>
      </c>
      <c r="J844">
        <v>14</v>
      </c>
      <c r="K844">
        <v>9</v>
      </c>
      <c r="L844">
        <v>30</v>
      </c>
      <c r="M844">
        <v>70</v>
      </c>
      <c r="N844">
        <v>1000000</v>
      </c>
      <c r="O844">
        <f>VLOOKUP($B844&amp;O$1,Data!$A$2:$D$12000,4,FALSE)</f>
        <v>8.7900000000000006E-2</v>
      </c>
      <c r="P844">
        <f>VLOOKUP($B844&amp;P$1,Data!$A$2:$D$12000,4,FALSE)</f>
        <v>-0.39600000000000002</v>
      </c>
      <c r="Q844">
        <f>VLOOKUP($B844&amp;Q$1,Data!$A$2:$D$12000,4,FALSE)</f>
        <v>551</v>
      </c>
      <c r="R844">
        <f>VLOOKUP($B844&amp;R$1,Data!$A$2:$D$12000,4,FALSE)</f>
        <v>1.5E-3</v>
      </c>
      <c r="S844">
        <f>VLOOKUP($B844&amp;S$1,Data!$A$2:$D$12000,4,FALSE)</f>
        <v>-3.0000000000000001E-3</v>
      </c>
      <c r="T844">
        <f>VLOOKUP($B844&amp;T$1,Data!$A$2:$D$12000,4,FALSE)</f>
        <v>-1.788E-2</v>
      </c>
      <c r="U844">
        <f>VLOOKUP($B844&amp;U$1,Data!$A$2:$D$12000,4,FALSE)</f>
        <v>5.2999999999999999E-2</v>
      </c>
      <c r="V844">
        <f>VLOOKUP($B844&amp;V$1,Data!$A$2:$D$12000,4,FALSE)</f>
        <v>-5.3999999999999999E-2</v>
      </c>
      <c r="W844">
        <f>VLOOKUP($B844&amp;W$1,Data!$A$2:$D$12000,4,FALSE)</f>
        <v>-1.189E-2</v>
      </c>
      <c r="X844">
        <f>VLOOKUP($B844&amp;X$1,Data!$A$2:$D$12000,4,FALSE)</f>
        <v>0.37</v>
      </c>
      <c r="Y844">
        <f>VLOOKUP($B844&amp;Y$1,Data!$A$2:$D$12000,4,FALSE)</f>
        <v>0.63</v>
      </c>
      <c r="Z844">
        <f>VLOOKUP($B844&amp;Z$1,Data!$A$2:$D$12000,4,FALSE)</f>
        <v>0.49</v>
      </c>
      <c r="AA844">
        <f>VLOOKUP($B844&amp;AA$1,Data!$A$2:$D$12000,4,FALSE)</f>
        <v>-0.02</v>
      </c>
      <c r="AB844">
        <f>VLOOKUP($B844&amp;AB$1,Data!$A$2:$D$12000,4,FALSE)</f>
        <v>0.157</v>
      </c>
      <c r="AC844">
        <f>VLOOKUP($B844&amp;AC$1,Data!$A$2:$D$12000,4,FALSE)</f>
        <v>0.03</v>
      </c>
      <c r="AD844">
        <f>VLOOKUP($B844&amp;AD$1,Data!$A$2:$D$12000,4,FALSE)</f>
        <v>1E-3</v>
      </c>
      <c r="AE844">
        <f>VLOOKUP($B844&amp;AE$1,Data!$A$2:$D$12000,4,FALSE)</f>
        <v>-0.999</v>
      </c>
      <c r="AF844">
        <f>VLOOKUP($B844&amp;AF$1,Data!$A$2:$D$12000,4,FALSE)</f>
        <v>6.3E-2</v>
      </c>
      <c r="AG844">
        <f>VLOOKUP($B844&amp;AG$1,Data!$A$2:$D$12000,4,FALSE)</f>
        <v>-7.6999999999999999E-2</v>
      </c>
      <c r="AH844">
        <f>VLOOKUP($B844&amp;AH$1,Data!$A$2:$D$12000,4,FALSE)</f>
        <v>0</v>
      </c>
      <c r="AI844">
        <f>VLOOKUP($B844&amp;AI$1,Data!$A$2:$D$12000,4,FALSE)</f>
        <v>8100000</v>
      </c>
    </row>
    <row r="845" spans="2:35" hidden="1">
      <c r="B845" s="23">
        <v>844</v>
      </c>
      <c r="C845" s="13" t="s">
        <v>58</v>
      </c>
      <c r="D845" t="s">
        <v>7</v>
      </c>
      <c r="E845" t="s">
        <v>22</v>
      </c>
      <c r="F845">
        <v>100</v>
      </c>
      <c r="G845" t="s">
        <v>17</v>
      </c>
      <c r="H845" s="5">
        <v>43831</v>
      </c>
      <c r="I845" s="5">
        <v>44562</v>
      </c>
      <c r="J845">
        <v>14</v>
      </c>
      <c r="K845">
        <v>9</v>
      </c>
      <c r="L845">
        <v>30</v>
      </c>
      <c r="M845">
        <v>70</v>
      </c>
      <c r="N845">
        <v>1000000</v>
      </c>
      <c r="O845">
        <f>VLOOKUP($B845&amp;O$1,Data!$A$2:$D$12000,4,FALSE)</f>
        <v>1.014E-2</v>
      </c>
      <c r="P845">
        <f>VLOOKUP($B845&amp;P$1,Data!$A$2:$D$12000,4,FALSE)</f>
        <v>-1.2490000000000001</v>
      </c>
      <c r="Q845">
        <f>VLOOKUP($B845&amp;Q$1,Data!$A$2:$D$12000,4,FALSE)</f>
        <v>707</v>
      </c>
      <c r="R845">
        <f>VLOOKUP($B845&amp;R$1,Data!$A$2:$D$12000,4,FALSE)</f>
        <v>5.0000000000000001E-4</v>
      </c>
      <c r="S845">
        <f>VLOOKUP($B845&amp;S$1,Data!$A$2:$D$12000,4,FALSE)</f>
        <v>-1.1000000000000001E-3</v>
      </c>
      <c r="T845">
        <f>VLOOKUP($B845&amp;T$1,Data!$A$2:$D$12000,4,FALSE)</f>
        <v>-2.0990000000000002E-2</v>
      </c>
      <c r="U845">
        <f>VLOOKUP($B845&amp;U$1,Data!$A$2:$D$12000,4,FALSE)</f>
        <v>2.5000000000000001E-2</v>
      </c>
      <c r="V845">
        <f>VLOOKUP($B845&amp;V$1,Data!$A$2:$D$12000,4,FALSE)</f>
        <v>-0.223</v>
      </c>
      <c r="W845">
        <f>VLOOKUP($B845&amp;W$1,Data!$A$2:$D$12000,4,FALSE)</f>
        <v>-1.397E-2</v>
      </c>
      <c r="X845">
        <f>VLOOKUP($B845&amp;X$1,Data!$A$2:$D$12000,4,FALSE)</f>
        <v>0.45</v>
      </c>
      <c r="Y845">
        <f>VLOOKUP($B845&amp;Y$1,Data!$A$2:$D$12000,4,FALSE)</f>
        <v>0.55000000000000004</v>
      </c>
      <c r="Z845">
        <f>VLOOKUP($B845&amp;Z$1,Data!$A$2:$D$12000,4,FALSE)</f>
        <v>0.42</v>
      </c>
      <c r="AA845">
        <f>VLOOKUP($B845&amp;AA$1,Data!$A$2:$D$12000,4,FALSE)</f>
        <v>-1.4999999999999999E-2</v>
      </c>
      <c r="AB845">
        <f>VLOOKUP($B845&amp;AB$1,Data!$A$2:$D$12000,4,FALSE)</f>
        <v>1.7000000000000001E-2</v>
      </c>
      <c r="AC845">
        <f>VLOOKUP($B845&amp;AC$1,Data!$A$2:$D$12000,4,FALSE)</f>
        <v>1.2E-2</v>
      </c>
      <c r="AD845">
        <f>VLOOKUP($B845&amp;AD$1,Data!$A$2:$D$12000,4,FALSE)</f>
        <v>0</v>
      </c>
      <c r="AE845">
        <f>VLOOKUP($B845&amp;AE$1,Data!$A$2:$D$12000,4,FALSE)</f>
        <v>-0.98199999999999998</v>
      </c>
      <c r="AF845">
        <f>VLOOKUP($B845&amp;AF$1,Data!$A$2:$D$12000,4,FALSE)</f>
        <v>6.7000000000000004E-2</v>
      </c>
      <c r="AG845">
        <f>VLOOKUP($B845&amp;AG$1,Data!$A$2:$D$12000,4,FALSE)</f>
        <v>-0.85399999999999998</v>
      </c>
      <c r="AH845">
        <f>VLOOKUP($B845&amp;AH$1,Data!$A$2:$D$12000,4,FALSE)</f>
        <v>0</v>
      </c>
      <c r="AI845">
        <f>VLOOKUP($B845&amp;AI$1,Data!$A$2:$D$12000,4,FALSE)</f>
        <v>1000000000</v>
      </c>
    </row>
    <row r="846" spans="2:35" hidden="1">
      <c r="B846" s="23">
        <v>845</v>
      </c>
      <c r="C846" s="13" t="s">
        <v>58</v>
      </c>
      <c r="D846" t="s">
        <v>7</v>
      </c>
      <c r="E846" t="s">
        <v>22</v>
      </c>
      <c r="F846">
        <v>1000</v>
      </c>
      <c r="G846" t="s">
        <v>17</v>
      </c>
      <c r="H846" s="5">
        <v>43831</v>
      </c>
      <c r="I846" s="5">
        <v>44562</v>
      </c>
      <c r="J846">
        <v>14</v>
      </c>
      <c r="K846">
        <v>9</v>
      </c>
      <c r="L846">
        <v>30</v>
      </c>
      <c r="M846">
        <v>70</v>
      </c>
      <c r="N846">
        <v>1000000</v>
      </c>
      <c r="O846">
        <f>VLOOKUP($B846&amp;O$1,Data!$A$2:$D$12000,4,FALSE)</f>
        <v>4.0169999999999997E-2</v>
      </c>
      <c r="P846">
        <f>VLOOKUP($B846&amp;P$1,Data!$A$2:$D$12000,4,FALSE)</f>
        <v>-0.74099999999999999</v>
      </c>
      <c r="Q846">
        <f>VLOOKUP($B846&amp;Q$1,Data!$A$2:$D$12000,4,FALSE)</f>
        <v>535</v>
      </c>
      <c r="R846">
        <f>VLOOKUP($B846&amp;R$1,Data!$A$2:$D$12000,4,FALSE)</f>
        <v>1.4E-3</v>
      </c>
      <c r="S846">
        <f>VLOOKUP($B846&amp;S$1,Data!$A$2:$D$12000,4,FALSE)</f>
        <v>-2.3E-3</v>
      </c>
      <c r="T846">
        <f>VLOOKUP($B846&amp;T$1,Data!$A$2:$D$12000,4,FALSE)</f>
        <v>-3.0980000000000001E-2</v>
      </c>
      <c r="U846">
        <f>VLOOKUP($B846&amp;U$1,Data!$A$2:$D$12000,4,FALSE)</f>
        <v>5.2999999999999999E-2</v>
      </c>
      <c r="V846">
        <f>VLOOKUP($B846&amp;V$1,Data!$A$2:$D$12000,4,FALSE)</f>
        <v>-0.16500000000000001</v>
      </c>
      <c r="W846">
        <f>VLOOKUP($B846&amp;W$1,Data!$A$2:$D$12000,4,FALSE)</f>
        <v>-2.0650000000000002E-2</v>
      </c>
      <c r="X846">
        <f>VLOOKUP($B846&amp;X$1,Data!$A$2:$D$12000,4,FALSE)</f>
        <v>0.48</v>
      </c>
      <c r="Y846">
        <f>VLOOKUP($B846&amp;Y$1,Data!$A$2:$D$12000,4,FALSE)</f>
        <v>0.52</v>
      </c>
      <c r="Z846">
        <f>VLOOKUP($B846&amp;Z$1,Data!$A$2:$D$12000,4,FALSE)</f>
        <v>0.61</v>
      </c>
      <c r="AA846">
        <f>VLOOKUP($B846&amp;AA$1,Data!$A$2:$D$12000,4,FALSE)</f>
        <v>-2.5999999999999999E-2</v>
      </c>
      <c r="AB846">
        <f>VLOOKUP($B846&amp;AB$1,Data!$A$2:$D$12000,4,FALSE)</f>
        <v>8.5999999999999993E-2</v>
      </c>
      <c r="AC846">
        <f>VLOOKUP($B846&amp;AC$1,Data!$A$2:$D$12000,4,FALSE)</f>
        <v>2.9000000000000001E-2</v>
      </c>
      <c r="AD846">
        <f>VLOOKUP($B846&amp;AD$1,Data!$A$2:$D$12000,4,FALSE)</f>
        <v>1E-3</v>
      </c>
      <c r="AE846">
        <f>VLOOKUP($B846&amp;AE$1,Data!$A$2:$D$12000,4,FALSE)</f>
        <v>-1.0740000000000001</v>
      </c>
      <c r="AF846">
        <f>VLOOKUP($B846&amp;AF$1,Data!$A$2:$D$12000,4,FALSE)</f>
        <v>6.8000000000000005E-2</v>
      </c>
      <c r="AG846">
        <f>VLOOKUP($B846&amp;AG$1,Data!$A$2:$D$12000,4,FALSE)</f>
        <v>-0.246</v>
      </c>
      <c r="AH846">
        <f>VLOOKUP($B846&amp;AH$1,Data!$A$2:$D$12000,4,FALSE)</f>
        <v>0</v>
      </c>
      <c r="AI846">
        <f>VLOOKUP($B846&amp;AI$1,Data!$A$2:$D$12000,4,FALSE)</f>
        <v>110000000</v>
      </c>
    </row>
    <row r="847" spans="2:35" hidden="1">
      <c r="B847" s="23">
        <v>846</v>
      </c>
      <c r="C847" s="13" t="s">
        <v>58</v>
      </c>
      <c r="D847" t="s">
        <v>7</v>
      </c>
      <c r="E847" t="s">
        <v>22</v>
      </c>
      <c r="F847">
        <v>5000</v>
      </c>
      <c r="G847" t="s">
        <v>17</v>
      </c>
      <c r="H847" s="5">
        <v>43831</v>
      </c>
      <c r="I847" s="5">
        <v>44562</v>
      </c>
      <c r="J847">
        <v>14</v>
      </c>
      <c r="K847">
        <v>9</v>
      </c>
      <c r="L847">
        <v>30</v>
      </c>
      <c r="M847">
        <v>70</v>
      </c>
      <c r="N847">
        <v>1000000</v>
      </c>
      <c r="O847">
        <f>VLOOKUP($B847&amp;O$1,Data!$A$2:$D$12000,4,FALSE)</f>
        <v>9.9239999999999995E-2</v>
      </c>
      <c r="P847">
        <f>VLOOKUP($B847&amp;P$1,Data!$A$2:$D$12000,4,FALSE)</f>
        <v>-0.309</v>
      </c>
      <c r="Q847">
        <f>VLOOKUP($B847&amp;Q$1,Data!$A$2:$D$12000,4,FALSE)</f>
        <v>400</v>
      </c>
      <c r="R847">
        <f>VLOOKUP($B847&amp;R$1,Data!$A$2:$D$12000,4,FALSE)</f>
        <v>1.6999999999999999E-3</v>
      </c>
      <c r="S847">
        <f>VLOOKUP($B847&amp;S$1,Data!$A$2:$D$12000,4,FALSE)</f>
        <v>-2.8E-3</v>
      </c>
      <c r="T847">
        <f>VLOOKUP($B847&amp;T$1,Data!$A$2:$D$12000,4,FALSE)</f>
        <v>-1.5010000000000001E-2</v>
      </c>
      <c r="U847">
        <f>VLOOKUP($B847&amp;U$1,Data!$A$2:$D$12000,4,FALSE)</f>
        <v>4.2000000000000003E-2</v>
      </c>
      <c r="V847">
        <f>VLOOKUP($B847&amp;V$1,Data!$A$2:$D$12000,4,FALSE)</f>
        <v>-6.6000000000000003E-2</v>
      </c>
      <c r="W847">
        <f>VLOOKUP($B847&amp;W$1,Data!$A$2:$D$12000,4,FALSE)</f>
        <v>-9.9799999999999993E-3</v>
      </c>
      <c r="X847">
        <f>VLOOKUP($B847&amp;X$1,Data!$A$2:$D$12000,4,FALSE)</f>
        <v>0.42</v>
      </c>
      <c r="Y847">
        <f>VLOOKUP($B847&amp;Y$1,Data!$A$2:$D$12000,4,FALSE)</f>
        <v>0.57999999999999996</v>
      </c>
      <c r="Z847">
        <f>VLOOKUP($B847&amp;Z$1,Data!$A$2:$D$12000,4,FALSE)</f>
        <v>0.62</v>
      </c>
      <c r="AA847">
        <f>VLOOKUP($B847&amp;AA$1,Data!$A$2:$D$12000,4,FALSE)</f>
        <v>-1.9E-2</v>
      </c>
      <c r="AB847">
        <f>VLOOKUP($B847&amp;AB$1,Data!$A$2:$D$12000,4,FALSE)</f>
        <v>0.17</v>
      </c>
      <c r="AC847">
        <f>VLOOKUP($B847&amp;AC$1,Data!$A$2:$D$12000,4,FALSE)</f>
        <v>3.2000000000000001E-2</v>
      </c>
      <c r="AD847">
        <f>VLOOKUP($B847&amp;AD$1,Data!$A$2:$D$12000,4,FALSE)</f>
        <v>1E-3</v>
      </c>
      <c r="AE847">
        <f>VLOOKUP($B847&amp;AE$1,Data!$A$2:$D$12000,4,FALSE)</f>
        <v>-0.96699999999999997</v>
      </c>
      <c r="AF847">
        <f>VLOOKUP($B847&amp;AF$1,Data!$A$2:$D$12000,4,FALSE)</f>
        <v>6.3E-2</v>
      </c>
      <c r="AG847">
        <f>VLOOKUP($B847&amp;AG$1,Data!$A$2:$D$12000,4,FALSE)</f>
        <v>-5.8000000000000003E-2</v>
      </c>
      <c r="AH847">
        <f>VLOOKUP($B847&amp;AH$1,Data!$A$2:$D$12000,4,FALSE)</f>
        <v>0</v>
      </c>
      <c r="AI847">
        <f>VLOOKUP($B847&amp;AI$1,Data!$A$2:$D$12000,4,FALSE)</f>
        <v>26000000</v>
      </c>
    </row>
    <row r="848" spans="2:35" hidden="1">
      <c r="B848" s="23">
        <v>847</v>
      </c>
      <c r="C848" s="13" t="s">
        <v>58</v>
      </c>
      <c r="D848" t="s">
        <v>7</v>
      </c>
      <c r="E848" t="s">
        <v>3</v>
      </c>
      <c r="F848">
        <v>100</v>
      </c>
      <c r="G848" t="s">
        <v>17</v>
      </c>
      <c r="H848" s="5">
        <v>43831</v>
      </c>
      <c r="I848" s="5">
        <v>44562</v>
      </c>
      <c r="J848">
        <v>14</v>
      </c>
      <c r="K848">
        <v>9</v>
      </c>
      <c r="L848">
        <v>32</v>
      </c>
      <c r="M848">
        <v>68</v>
      </c>
      <c r="N848">
        <v>1000000</v>
      </c>
      <c r="O848">
        <f>VLOOKUP($B848&amp;O$1,Data!$A$2:$D$12000,4,FALSE)</f>
        <v>5.6899999999999997E-3</v>
      </c>
      <c r="P848">
        <f>VLOOKUP($B848&amp;P$1,Data!$A$2:$D$12000,4,FALSE)</f>
        <v>-1.643</v>
      </c>
      <c r="Q848">
        <f>VLOOKUP($B848&amp;Q$1,Data!$A$2:$D$12000,4,FALSE)</f>
        <v>1913</v>
      </c>
      <c r="R848">
        <f>VLOOKUP($B848&amp;R$1,Data!$A$2:$D$12000,4,FALSE)</f>
        <v>2.9999999999999997E-4</v>
      </c>
      <c r="S848">
        <f>VLOOKUP($B848&amp;S$1,Data!$A$2:$D$12000,4,FALSE)</f>
        <v>-1E-3</v>
      </c>
      <c r="T848">
        <f>VLOOKUP($B848&amp;T$1,Data!$A$2:$D$12000,4,FALSE)</f>
        <v>-3.023E-2</v>
      </c>
      <c r="U848">
        <f>VLOOKUP($B848&amp;U$1,Data!$A$2:$D$12000,4,FALSE)</f>
        <v>2.7E-2</v>
      </c>
      <c r="V848">
        <f>VLOOKUP($B848&amp;V$1,Data!$A$2:$D$12000,4,FALSE)</f>
        <v>-0.155</v>
      </c>
      <c r="W848">
        <f>VLOOKUP($B848&amp;W$1,Data!$A$2:$D$12000,4,FALSE)</f>
        <v>-2.0140000000000002E-2</v>
      </c>
      <c r="X848">
        <f>VLOOKUP($B848&amp;X$1,Data!$A$2:$D$12000,4,FALSE)</f>
        <v>0.38</v>
      </c>
      <c r="Y848">
        <f>VLOOKUP($B848&amp;Y$1,Data!$A$2:$D$12000,4,FALSE)</f>
        <v>0.62</v>
      </c>
      <c r="Z848">
        <f>VLOOKUP($B848&amp;Z$1,Data!$A$2:$D$12000,4,FALSE)</f>
        <v>0.35</v>
      </c>
      <c r="AA848">
        <f>VLOOKUP($B848&amp;AA$1,Data!$A$2:$D$12000,4,FALSE)</f>
        <v>-2.4E-2</v>
      </c>
      <c r="AB848">
        <f>VLOOKUP($B848&amp;AB$1,Data!$A$2:$D$12000,4,FALSE)</f>
        <v>0.05</v>
      </c>
      <c r="AC848">
        <f>VLOOKUP($B848&amp;AC$1,Data!$A$2:$D$12000,4,FALSE)</f>
        <v>1.2999999999999999E-2</v>
      </c>
      <c r="AD848">
        <f>VLOOKUP($B848&amp;AD$1,Data!$A$2:$D$12000,4,FALSE)</f>
        <v>0</v>
      </c>
      <c r="AE848">
        <f>VLOOKUP($B848&amp;AE$1,Data!$A$2:$D$12000,4,FALSE)</f>
        <v>-1.1220000000000001</v>
      </c>
      <c r="AF848">
        <f>VLOOKUP($B848&amp;AF$1,Data!$A$2:$D$12000,4,FALSE)</f>
        <v>6.5000000000000002E-2</v>
      </c>
      <c r="AG848">
        <f>VLOOKUP($B848&amp;AG$1,Data!$A$2:$D$12000,4,FALSE)</f>
        <v>-0.42</v>
      </c>
      <c r="AH848">
        <f>VLOOKUP($B848&amp;AH$1,Data!$A$2:$D$12000,4,FALSE)</f>
        <v>0</v>
      </c>
      <c r="AI848">
        <f>VLOOKUP($B848&amp;AI$1,Data!$A$2:$D$12000,4,FALSE)</f>
        <v>6500000</v>
      </c>
    </row>
    <row r="849" spans="2:35" hidden="1">
      <c r="B849" s="23">
        <v>848</v>
      </c>
      <c r="C849" s="13" t="s">
        <v>58</v>
      </c>
      <c r="D849" t="s">
        <v>7</v>
      </c>
      <c r="E849" t="s">
        <v>3</v>
      </c>
      <c r="F849">
        <v>1000</v>
      </c>
      <c r="G849" t="s">
        <v>17</v>
      </c>
      <c r="H849" s="5">
        <v>43831</v>
      </c>
      <c r="I849" s="5">
        <v>44562</v>
      </c>
      <c r="J849">
        <v>14</v>
      </c>
      <c r="K849">
        <v>9</v>
      </c>
      <c r="L849">
        <v>32</v>
      </c>
      <c r="M849">
        <v>68</v>
      </c>
      <c r="N849">
        <v>1000000</v>
      </c>
      <c r="O849">
        <f>VLOOKUP($B849&amp;O$1,Data!$A$2:$D$12000,4,FALSE)</f>
        <v>2.7099999999999999E-2</v>
      </c>
      <c r="P849">
        <f>VLOOKUP($B849&amp;P$1,Data!$A$2:$D$12000,4,FALSE)</f>
        <v>-0.89800000000000002</v>
      </c>
      <c r="Q849">
        <f>VLOOKUP($B849&amp;Q$1,Data!$A$2:$D$12000,4,FALSE)</f>
        <v>1414</v>
      </c>
      <c r="R849">
        <f>VLOOKUP($B849&amp;R$1,Data!$A$2:$D$12000,4,FALSE)</f>
        <v>1E-3</v>
      </c>
      <c r="S849">
        <f>VLOOKUP($B849&amp;S$1,Data!$A$2:$D$12000,4,FALSE)</f>
        <v>-2.3999999999999998E-3</v>
      </c>
      <c r="T849">
        <f>VLOOKUP($B849&amp;T$1,Data!$A$2:$D$12000,4,FALSE)</f>
        <v>-4.2380000000000001E-2</v>
      </c>
      <c r="U849">
        <f>VLOOKUP($B849&amp;U$1,Data!$A$2:$D$12000,4,FALSE)</f>
        <v>5.1999999999999998E-2</v>
      </c>
      <c r="V849">
        <f>VLOOKUP($B849&amp;V$1,Data!$A$2:$D$12000,4,FALSE)</f>
        <v>-0.09</v>
      </c>
      <c r="W849">
        <f>VLOOKUP($B849&amp;W$1,Data!$A$2:$D$12000,4,FALSE)</f>
        <v>-2.8299999999999999E-2</v>
      </c>
      <c r="X849">
        <f>VLOOKUP($B849&amp;X$1,Data!$A$2:$D$12000,4,FALSE)</f>
        <v>0.35</v>
      </c>
      <c r="Y849">
        <f>VLOOKUP($B849&amp;Y$1,Data!$A$2:$D$12000,4,FALSE)</f>
        <v>0.65</v>
      </c>
      <c r="Z849">
        <f>VLOOKUP($B849&amp;Z$1,Data!$A$2:$D$12000,4,FALSE)</f>
        <v>0.4</v>
      </c>
      <c r="AA849">
        <f>VLOOKUP($B849&amp;AA$1,Data!$A$2:$D$12000,4,FALSE)</f>
        <v>-3.7999999999999999E-2</v>
      </c>
      <c r="AB849">
        <f>VLOOKUP($B849&amp;AB$1,Data!$A$2:$D$12000,4,FALSE)</f>
        <v>0.17</v>
      </c>
      <c r="AC849">
        <f>VLOOKUP($B849&amp;AC$1,Data!$A$2:$D$12000,4,FALSE)</f>
        <v>3.2000000000000001E-2</v>
      </c>
      <c r="AD849">
        <f>VLOOKUP($B849&amp;AD$1,Data!$A$2:$D$12000,4,FALSE)</f>
        <v>1E-3</v>
      </c>
      <c r="AE849">
        <f>VLOOKUP($B849&amp;AE$1,Data!$A$2:$D$12000,4,FALSE)</f>
        <v>-1.2669999999999999</v>
      </c>
      <c r="AF849">
        <f>VLOOKUP($B849&amp;AF$1,Data!$A$2:$D$12000,4,FALSE)</f>
        <v>6.4000000000000001E-2</v>
      </c>
      <c r="AG849">
        <f>VLOOKUP($B849&amp;AG$1,Data!$A$2:$D$12000,4,FALSE)</f>
        <v>-0.17100000000000001</v>
      </c>
      <c r="AH849">
        <f>VLOOKUP($B849&amp;AH$1,Data!$A$2:$D$12000,4,FALSE)</f>
        <v>0</v>
      </c>
      <c r="AI849">
        <f>VLOOKUP($B849&amp;AI$1,Data!$A$2:$D$12000,4,FALSE)</f>
        <v>6700000</v>
      </c>
    </row>
    <row r="850" spans="2:35" hidden="1">
      <c r="B850" s="23">
        <v>849</v>
      </c>
      <c r="C850" s="13" t="s">
        <v>58</v>
      </c>
      <c r="D850" t="s">
        <v>7</v>
      </c>
      <c r="E850" t="s">
        <v>3</v>
      </c>
      <c r="F850">
        <v>5000</v>
      </c>
      <c r="G850" t="s">
        <v>17</v>
      </c>
      <c r="H850" s="5">
        <v>43831</v>
      </c>
      <c r="I850" s="5">
        <v>44562</v>
      </c>
      <c r="J850">
        <v>14</v>
      </c>
      <c r="K850">
        <v>9</v>
      </c>
      <c r="L850">
        <v>32</v>
      </c>
      <c r="M850">
        <v>68</v>
      </c>
      <c r="N850">
        <v>1000000</v>
      </c>
      <c r="O850">
        <f>VLOOKUP($B850&amp;O$1,Data!$A$2:$D$12000,4,FALSE)</f>
        <v>0.12424</v>
      </c>
      <c r="P850">
        <f>VLOOKUP($B850&amp;P$1,Data!$A$2:$D$12000,4,FALSE)</f>
        <v>-0.17499999999999999</v>
      </c>
      <c r="Q850">
        <f>VLOOKUP($B850&amp;Q$1,Data!$A$2:$D$12000,4,FALSE)</f>
        <v>1040</v>
      </c>
      <c r="R850">
        <f>VLOOKUP($B850&amp;R$1,Data!$A$2:$D$12000,4,FALSE)</f>
        <v>1.5E-3</v>
      </c>
      <c r="S850">
        <f>VLOOKUP($B850&amp;S$1,Data!$A$2:$D$12000,4,FALSE)</f>
        <v>-2.8999999999999998E-3</v>
      </c>
      <c r="T850">
        <f>VLOOKUP($B850&amp;T$1,Data!$A$2:$D$12000,4,FALSE)</f>
        <v>-1.0999999999999999E-2</v>
      </c>
      <c r="U850">
        <f>VLOOKUP($B850&amp;U$1,Data!$A$2:$D$12000,4,FALSE)</f>
        <v>5.8999999999999997E-2</v>
      </c>
      <c r="V850">
        <f>VLOOKUP($B850&amp;V$1,Data!$A$2:$D$12000,4,FALSE)</f>
        <v>-1.9E-2</v>
      </c>
      <c r="W850">
        <f>VLOOKUP($B850&amp;W$1,Data!$A$2:$D$12000,4,FALSE)</f>
        <v>-7.3099999999999997E-3</v>
      </c>
      <c r="X850">
        <f>VLOOKUP($B850&amp;X$1,Data!$A$2:$D$12000,4,FALSE)</f>
        <v>0.35</v>
      </c>
      <c r="Y850">
        <f>VLOOKUP($B850&amp;Y$1,Data!$A$2:$D$12000,4,FALSE)</f>
        <v>0.65</v>
      </c>
      <c r="Z850">
        <f>VLOOKUP($B850&amp;Z$1,Data!$A$2:$D$12000,4,FALSE)</f>
        <v>0.51</v>
      </c>
      <c r="AA850">
        <f>VLOOKUP($B850&amp;AA$1,Data!$A$2:$D$12000,4,FALSE)</f>
        <v>-1.9E-2</v>
      </c>
      <c r="AB850">
        <f>VLOOKUP($B850&amp;AB$1,Data!$A$2:$D$12000,4,FALSE)</f>
        <v>0.22600000000000001</v>
      </c>
      <c r="AC850">
        <f>VLOOKUP($B850&amp;AC$1,Data!$A$2:$D$12000,4,FALSE)</f>
        <v>3.9E-2</v>
      </c>
      <c r="AD850">
        <f>VLOOKUP($B850&amp;AD$1,Data!$A$2:$D$12000,4,FALSE)</f>
        <v>2E-3</v>
      </c>
      <c r="AE850">
        <f>VLOOKUP($B850&amp;AE$1,Data!$A$2:$D$12000,4,FALSE)</f>
        <v>-0.92800000000000005</v>
      </c>
      <c r="AF850">
        <f>VLOOKUP($B850&amp;AF$1,Data!$A$2:$D$12000,4,FALSE)</f>
        <v>6.4000000000000001E-2</v>
      </c>
      <c r="AG850">
        <f>VLOOKUP($B850&amp;AG$1,Data!$A$2:$D$12000,4,FALSE)</f>
        <v>-0.03</v>
      </c>
      <c r="AH850">
        <f>VLOOKUP($B850&amp;AH$1,Data!$A$2:$D$12000,4,FALSE)</f>
        <v>0</v>
      </c>
      <c r="AI850">
        <f>VLOOKUP($B850&amp;AI$1,Data!$A$2:$D$12000,4,FALSE)</f>
        <v>7000000</v>
      </c>
    </row>
    <row r="851" spans="2:35" hidden="1">
      <c r="B851" s="23">
        <v>850</v>
      </c>
      <c r="C851" s="13" t="s">
        <v>58</v>
      </c>
      <c r="D851" t="s">
        <v>7</v>
      </c>
      <c r="E851" t="s">
        <v>2</v>
      </c>
      <c r="F851">
        <v>100</v>
      </c>
      <c r="G851" t="s">
        <v>17</v>
      </c>
      <c r="H851" s="5">
        <v>43831</v>
      </c>
      <c r="I851" s="5">
        <v>44562</v>
      </c>
      <c r="J851">
        <v>14</v>
      </c>
      <c r="K851">
        <v>9</v>
      </c>
      <c r="L851">
        <v>32</v>
      </c>
      <c r="M851">
        <v>68</v>
      </c>
      <c r="N851">
        <v>1000000</v>
      </c>
      <c r="O851">
        <f>VLOOKUP($B851&amp;O$1,Data!$A$2:$D$12000,4,FALSE)</f>
        <v>4.1110000000000001E-2</v>
      </c>
      <c r="P851">
        <f>VLOOKUP($B851&amp;P$1,Data!$A$2:$D$12000,4,FALSE)</f>
        <v>-0.746</v>
      </c>
      <c r="Q851">
        <f>VLOOKUP($B851&amp;Q$1,Data!$A$2:$D$12000,4,FALSE)</f>
        <v>1228</v>
      </c>
      <c r="R851">
        <f>VLOOKUP($B851&amp;R$1,Data!$A$2:$D$12000,4,FALSE)</f>
        <v>4.0000000000000002E-4</v>
      </c>
      <c r="S851">
        <f>VLOOKUP($B851&amp;S$1,Data!$A$2:$D$12000,4,FALSE)</f>
        <v>-1.1000000000000001E-3</v>
      </c>
      <c r="T851">
        <f>VLOOKUP($B851&amp;T$1,Data!$A$2:$D$12000,4,FALSE)</f>
        <v>-1.285E-2</v>
      </c>
      <c r="U851">
        <f>VLOOKUP($B851&amp;U$1,Data!$A$2:$D$12000,4,FALSE)</f>
        <v>1.4E-2</v>
      </c>
      <c r="V851">
        <f>VLOOKUP($B851&amp;V$1,Data!$A$2:$D$12000,4,FALSE)</f>
        <v>-8.1000000000000003E-2</v>
      </c>
      <c r="W851">
        <f>VLOOKUP($B851&amp;W$1,Data!$A$2:$D$12000,4,FALSE)</f>
        <v>-8.5400000000000007E-3</v>
      </c>
      <c r="X851">
        <f>VLOOKUP($B851&amp;X$1,Data!$A$2:$D$12000,4,FALSE)</f>
        <v>0.33</v>
      </c>
      <c r="Y851">
        <f>VLOOKUP($B851&amp;Y$1,Data!$A$2:$D$12000,4,FALSE)</f>
        <v>0.67</v>
      </c>
      <c r="Z851">
        <f>VLOOKUP($B851&amp;Z$1,Data!$A$2:$D$12000,4,FALSE)</f>
        <v>0.36</v>
      </c>
      <c r="AA851">
        <f>VLOOKUP($B851&amp;AA$1,Data!$A$2:$D$12000,4,FALSE)</f>
        <v>-1.0999999999999999E-2</v>
      </c>
      <c r="AB851">
        <f>VLOOKUP($B851&amp;AB$1,Data!$A$2:$D$12000,4,FALSE)</f>
        <v>3.6999999999999998E-2</v>
      </c>
      <c r="AC851">
        <f>VLOOKUP($B851&amp;AC$1,Data!$A$2:$D$12000,4,FALSE)</f>
        <v>1.2E-2</v>
      </c>
      <c r="AD851">
        <f>VLOOKUP($B851&amp;AD$1,Data!$A$2:$D$12000,4,FALSE)</f>
        <v>0</v>
      </c>
      <c r="AE851">
        <f>VLOOKUP($B851&amp;AE$1,Data!$A$2:$D$12000,4,FALSE)</f>
        <v>-0.92500000000000004</v>
      </c>
      <c r="AF851">
        <f>VLOOKUP($B851&amp;AF$1,Data!$A$2:$D$12000,4,FALSE)</f>
        <v>6.6000000000000003E-2</v>
      </c>
      <c r="AG851">
        <f>VLOOKUP($B851&amp;AG$1,Data!$A$2:$D$12000,4,FALSE)</f>
        <v>-0.24</v>
      </c>
      <c r="AH851">
        <f>VLOOKUP($B851&amp;AH$1,Data!$A$2:$D$12000,4,FALSE)</f>
        <v>0</v>
      </c>
      <c r="AI851">
        <f>VLOOKUP($B851&amp;AI$1,Data!$A$2:$D$12000,4,FALSE)</f>
        <v>6800000</v>
      </c>
    </row>
    <row r="852" spans="2:35" hidden="1">
      <c r="B852" s="23">
        <v>851</v>
      </c>
      <c r="C852" s="13" t="s">
        <v>58</v>
      </c>
      <c r="D852" t="s">
        <v>7</v>
      </c>
      <c r="E852" t="s">
        <v>2</v>
      </c>
      <c r="F852">
        <v>1000</v>
      </c>
      <c r="G852" t="s">
        <v>17</v>
      </c>
      <c r="H852" s="5">
        <v>43831</v>
      </c>
      <c r="I852" s="5">
        <v>44562</v>
      </c>
      <c r="J852">
        <v>14</v>
      </c>
      <c r="K852">
        <v>9</v>
      </c>
      <c r="L852">
        <v>32</v>
      </c>
      <c r="M852">
        <v>68</v>
      </c>
      <c r="N852">
        <v>1000000</v>
      </c>
      <c r="O852">
        <f>VLOOKUP($B852&amp;O$1,Data!$A$2:$D$12000,4,FALSE)</f>
        <v>0.11477999999999999</v>
      </c>
      <c r="P852">
        <f>VLOOKUP($B852&amp;P$1,Data!$A$2:$D$12000,4,FALSE)</f>
        <v>-0.223</v>
      </c>
      <c r="Q852">
        <f>VLOOKUP($B852&amp;Q$1,Data!$A$2:$D$12000,4,FALSE)</f>
        <v>910</v>
      </c>
      <c r="R852">
        <f>VLOOKUP($B852&amp;R$1,Data!$A$2:$D$12000,4,FALSE)</f>
        <v>1.2999999999999999E-3</v>
      </c>
      <c r="S852">
        <f>VLOOKUP($B852&amp;S$1,Data!$A$2:$D$12000,4,FALSE)</f>
        <v>-2.8E-3</v>
      </c>
      <c r="T852">
        <f>VLOOKUP($B852&amp;T$1,Data!$A$2:$D$12000,4,FALSE)</f>
        <v>-9.1000000000000004E-3</v>
      </c>
      <c r="U852">
        <f>VLOOKUP($B852&amp;U$1,Data!$A$2:$D$12000,4,FALSE)</f>
        <v>4.2000000000000003E-2</v>
      </c>
      <c r="V852">
        <f>VLOOKUP($B852&amp;V$1,Data!$A$2:$D$12000,4,FALSE)</f>
        <v>-2.3E-2</v>
      </c>
      <c r="W852">
        <f>VLOOKUP($B852&amp;W$1,Data!$A$2:$D$12000,4,FALSE)</f>
        <v>-6.0400000000000002E-3</v>
      </c>
      <c r="X852">
        <f>VLOOKUP($B852&amp;X$1,Data!$A$2:$D$12000,4,FALSE)</f>
        <v>0.33</v>
      </c>
      <c r="Y852">
        <f>VLOOKUP($B852&amp;Y$1,Data!$A$2:$D$12000,4,FALSE)</f>
        <v>0.67</v>
      </c>
      <c r="Z852">
        <f>VLOOKUP($B852&amp;Z$1,Data!$A$2:$D$12000,4,FALSE)</f>
        <v>0.47</v>
      </c>
      <c r="AA852">
        <f>VLOOKUP($B852&amp;AA$1,Data!$A$2:$D$12000,4,FALSE)</f>
        <v>-1.2999999999999999E-2</v>
      </c>
      <c r="AB852">
        <f>VLOOKUP($B852&amp;AB$1,Data!$A$2:$D$12000,4,FALSE)</f>
        <v>0.13200000000000001</v>
      </c>
      <c r="AC852">
        <f>VLOOKUP($B852&amp;AC$1,Data!$A$2:$D$12000,4,FALSE)</f>
        <v>2.7E-2</v>
      </c>
      <c r="AD852">
        <f>VLOOKUP($B852&amp;AD$1,Data!$A$2:$D$12000,4,FALSE)</f>
        <v>1E-3</v>
      </c>
      <c r="AE852">
        <f>VLOOKUP($B852&amp;AE$1,Data!$A$2:$D$12000,4,FALSE)</f>
        <v>-0.90200000000000002</v>
      </c>
      <c r="AF852">
        <f>VLOOKUP($B852&amp;AF$1,Data!$A$2:$D$12000,4,FALSE)</f>
        <v>6.4000000000000001E-2</v>
      </c>
      <c r="AG852">
        <f>VLOOKUP($B852&amp;AG$1,Data!$A$2:$D$12000,4,FALSE)</f>
        <v>-4.4999999999999998E-2</v>
      </c>
      <c r="AH852">
        <f>VLOOKUP($B852&amp;AH$1,Data!$A$2:$D$12000,4,FALSE)</f>
        <v>0</v>
      </c>
      <c r="AI852">
        <f>VLOOKUP($B852&amp;AI$1,Data!$A$2:$D$12000,4,FALSE)</f>
        <v>7200000</v>
      </c>
    </row>
    <row r="853" spans="2:35" hidden="1">
      <c r="B853" s="23">
        <v>852</v>
      </c>
      <c r="C853" s="13" t="s">
        <v>58</v>
      </c>
      <c r="D853" t="s">
        <v>7</v>
      </c>
      <c r="E853" t="s">
        <v>2</v>
      </c>
      <c r="F853">
        <v>5000</v>
      </c>
      <c r="G853" t="s">
        <v>17</v>
      </c>
      <c r="H853" s="5">
        <v>43831</v>
      </c>
      <c r="I853" s="5">
        <v>44562</v>
      </c>
      <c r="J853">
        <v>14</v>
      </c>
      <c r="K853">
        <v>9</v>
      </c>
      <c r="L853">
        <v>32</v>
      </c>
      <c r="M853">
        <v>68</v>
      </c>
      <c r="N853">
        <v>1000000</v>
      </c>
      <c r="O853">
        <f>VLOOKUP($B853&amp;O$1,Data!$A$2:$D$12000,4,FALSE)</f>
        <v>5.7660000000000003E-2</v>
      </c>
      <c r="P853">
        <f>VLOOKUP($B853&amp;P$1,Data!$A$2:$D$12000,4,FALSE)</f>
        <v>-0.57599999999999996</v>
      </c>
      <c r="Q853">
        <f>VLOOKUP($B853&amp;Q$1,Data!$A$2:$D$12000,4,FALSE)</f>
        <v>660</v>
      </c>
      <c r="R853">
        <f>VLOOKUP($B853&amp;R$1,Data!$A$2:$D$12000,4,FALSE)</f>
        <v>1.6000000000000001E-3</v>
      </c>
      <c r="S853">
        <f>VLOOKUP($B853&amp;S$1,Data!$A$2:$D$12000,4,FALSE)</f>
        <v>-3.8E-3</v>
      </c>
      <c r="T853">
        <f>VLOOKUP($B853&amp;T$1,Data!$A$2:$D$12000,4,FALSE)</f>
        <v>-2.963E-2</v>
      </c>
      <c r="U853">
        <f>VLOOKUP($B853&amp;U$1,Data!$A$2:$D$12000,4,FALSE)</f>
        <v>5.0999999999999997E-2</v>
      </c>
      <c r="V853">
        <f>VLOOKUP($B853&amp;V$1,Data!$A$2:$D$12000,4,FALSE)</f>
        <v>-6.5000000000000002E-2</v>
      </c>
      <c r="W853">
        <f>VLOOKUP($B853&amp;W$1,Data!$A$2:$D$12000,4,FALSE)</f>
        <v>-1.9740000000000001E-2</v>
      </c>
      <c r="X853">
        <f>VLOOKUP($B853&amp;X$1,Data!$A$2:$D$12000,4,FALSE)</f>
        <v>0.35</v>
      </c>
      <c r="Y853">
        <f>VLOOKUP($B853&amp;Y$1,Data!$A$2:$D$12000,4,FALSE)</f>
        <v>0.65</v>
      </c>
      <c r="Z853">
        <f>VLOOKUP($B853&amp;Z$1,Data!$A$2:$D$12000,4,FALSE)</f>
        <v>0.43</v>
      </c>
      <c r="AA853">
        <f>VLOOKUP($B853&amp;AA$1,Data!$A$2:$D$12000,4,FALSE)</f>
        <v>-0.03</v>
      </c>
      <c r="AB853">
        <f>VLOOKUP($B853&amp;AB$1,Data!$A$2:$D$12000,4,FALSE)</f>
        <v>0.193</v>
      </c>
      <c r="AC853">
        <f>VLOOKUP($B853&amp;AC$1,Data!$A$2:$D$12000,4,FALSE)</f>
        <v>3.5000000000000003E-2</v>
      </c>
      <c r="AD853">
        <f>VLOOKUP($B853&amp;AD$1,Data!$A$2:$D$12000,4,FALSE)</f>
        <v>1E-3</v>
      </c>
      <c r="AE853">
        <f>VLOOKUP($B853&amp;AE$1,Data!$A$2:$D$12000,4,FALSE)</f>
        <v>-1.131</v>
      </c>
      <c r="AF853">
        <f>VLOOKUP($B853&amp;AF$1,Data!$A$2:$D$12000,4,FALSE)</f>
        <v>6.3E-2</v>
      </c>
      <c r="AG853">
        <f>VLOOKUP($B853&amp;AG$1,Data!$A$2:$D$12000,4,FALSE)</f>
        <v>-0.104</v>
      </c>
      <c r="AH853">
        <f>VLOOKUP($B853&amp;AH$1,Data!$A$2:$D$12000,4,FALSE)</f>
        <v>0</v>
      </c>
      <c r="AI853">
        <f>VLOOKUP($B853&amp;AI$1,Data!$A$2:$D$12000,4,FALSE)</f>
        <v>7600000</v>
      </c>
    </row>
    <row r="854" spans="2:35" hidden="1">
      <c r="B854" s="23">
        <v>853</v>
      </c>
      <c r="C854" s="13" t="s">
        <v>58</v>
      </c>
      <c r="D854" t="s">
        <v>7</v>
      </c>
      <c r="E854" t="s">
        <v>22</v>
      </c>
      <c r="F854">
        <v>100</v>
      </c>
      <c r="G854" t="s">
        <v>17</v>
      </c>
      <c r="H854" s="5">
        <v>43831</v>
      </c>
      <c r="I854" s="5">
        <v>44562</v>
      </c>
      <c r="J854">
        <v>14</v>
      </c>
      <c r="K854">
        <v>9</v>
      </c>
      <c r="L854">
        <v>32</v>
      </c>
      <c r="M854">
        <v>68</v>
      </c>
      <c r="N854">
        <v>1000000</v>
      </c>
      <c r="O854">
        <f>VLOOKUP($B854&amp;O$1,Data!$A$2:$D$12000,4,FALSE)</f>
        <v>0.29550999999999999</v>
      </c>
      <c r="P854">
        <f>VLOOKUP($B854&amp;P$1,Data!$A$2:$D$12000,4,FALSE)</f>
        <v>0.47399999999999998</v>
      </c>
      <c r="Q854">
        <f>VLOOKUP($B854&amp;Q$1,Data!$A$2:$D$12000,4,FALSE)</f>
        <v>879</v>
      </c>
      <c r="R854">
        <f>VLOOKUP($B854&amp;R$1,Data!$A$2:$D$12000,4,FALSE)</f>
        <v>5.0000000000000001E-4</v>
      </c>
      <c r="S854">
        <f>VLOOKUP($B854&amp;S$1,Data!$A$2:$D$12000,4,FALSE)</f>
        <v>-8.0000000000000004E-4</v>
      </c>
      <c r="T854">
        <f>VLOOKUP($B854&amp;T$1,Data!$A$2:$D$12000,4,FALSE)</f>
        <v>8.3800000000000003E-3</v>
      </c>
      <c r="U854">
        <f>VLOOKUP($B854&amp;U$1,Data!$A$2:$D$12000,4,FALSE)</f>
        <v>1.7000000000000001E-2</v>
      </c>
      <c r="V854">
        <f>VLOOKUP($B854&amp;V$1,Data!$A$2:$D$12000,4,FALSE)</f>
        <v>9.0999999999999998E-2</v>
      </c>
      <c r="W854">
        <f>VLOOKUP($B854&amp;W$1,Data!$A$2:$D$12000,4,FALSE)</f>
        <v>5.5399999999999998E-3</v>
      </c>
      <c r="X854">
        <f>VLOOKUP($B854&amp;X$1,Data!$A$2:$D$12000,4,FALSE)</f>
        <v>0.33</v>
      </c>
      <c r="Y854">
        <f>VLOOKUP($B854&amp;Y$1,Data!$A$2:$D$12000,4,FALSE)</f>
        <v>0.67</v>
      </c>
      <c r="Z854">
        <f>VLOOKUP($B854&amp;Z$1,Data!$A$2:$D$12000,4,FALSE)</f>
        <v>0.64</v>
      </c>
      <c r="AA854">
        <f>VLOOKUP($B854&amp;AA$1,Data!$A$2:$D$12000,4,FALSE)</f>
        <v>4.0000000000000001E-3</v>
      </c>
      <c r="AB854">
        <f>VLOOKUP($B854&amp;AB$1,Data!$A$2:$D$12000,4,FALSE)</f>
        <v>3.3000000000000002E-2</v>
      </c>
      <c r="AC854">
        <f>VLOOKUP($B854&amp;AC$1,Data!$A$2:$D$12000,4,FALSE)</f>
        <v>1.2E-2</v>
      </c>
      <c r="AD854">
        <f>VLOOKUP($B854&amp;AD$1,Data!$A$2:$D$12000,4,FALSE)</f>
        <v>0</v>
      </c>
      <c r="AE854">
        <f>VLOOKUP($B854&amp;AE$1,Data!$A$2:$D$12000,4,FALSE)</f>
        <v>-0.69799999999999995</v>
      </c>
      <c r="AF854">
        <f>VLOOKUP($B854&amp;AF$1,Data!$A$2:$D$12000,4,FALSE)</f>
        <v>6.6000000000000003E-2</v>
      </c>
      <c r="AG854">
        <f>VLOOKUP($B854&amp;AG$1,Data!$A$2:$D$12000,4,FALSE)</f>
        <v>0.17699999999999999</v>
      </c>
      <c r="AH854">
        <f>VLOOKUP($B854&amp;AH$1,Data!$A$2:$D$12000,4,FALSE)</f>
        <v>0</v>
      </c>
      <c r="AI854">
        <f>VLOOKUP($B854&amp;AI$1,Data!$A$2:$D$12000,4,FALSE)</f>
        <v>180000000</v>
      </c>
    </row>
    <row r="855" spans="2:35" hidden="1">
      <c r="B855" s="23">
        <v>854</v>
      </c>
      <c r="C855" s="13" t="s">
        <v>58</v>
      </c>
      <c r="D855" t="s">
        <v>7</v>
      </c>
      <c r="E855" t="s">
        <v>22</v>
      </c>
      <c r="F855">
        <v>1000</v>
      </c>
      <c r="G855" t="s">
        <v>17</v>
      </c>
      <c r="H855" s="5">
        <v>43831</v>
      </c>
      <c r="I855" s="5">
        <v>44562</v>
      </c>
      <c r="J855">
        <v>14</v>
      </c>
      <c r="K855">
        <v>9</v>
      </c>
      <c r="L855">
        <v>32</v>
      </c>
      <c r="M855">
        <v>68</v>
      </c>
      <c r="N855">
        <v>1000000</v>
      </c>
      <c r="O855">
        <f>VLOOKUP($B855&amp;O$1,Data!$A$2:$D$12000,4,FALSE)</f>
        <v>0.32758999999999999</v>
      </c>
      <c r="P855">
        <f>VLOOKUP($B855&amp;P$1,Data!$A$2:$D$12000,4,FALSE)</f>
        <v>0.54400000000000004</v>
      </c>
      <c r="Q855">
        <f>VLOOKUP($B855&amp;Q$1,Data!$A$2:$D$12000,4,FALSE)</f>
        <v>687</v>
      </c>
      <c r="R855">
        <f>VLOOKUP($B855&amp;R$1,Data!$A$2:$D$12000,4,FALSE)</f>
        <v>1.2999999999999999E-3</v>
      </c>
      <c r="S855">
        <f>VLOOKUP($B855&amp;S$1,Data!$A$2:$D$12000,4,FALSE)</f>
        <v>-2.0999999999999999E-3</v>
      </c>
      <c r="T855">
        <f>VLOOKUP($B855&amp;T$1,Data!$A$2:$D$12000,4,FALSE)</f>
        <v>2.0029999999999999E-2</v>
      </c>
      <c r="U855">
        <f>VLOOKUP($B855&amp;U$1,Data!$A$2:$D$12000,4,FALSE)</f>
        <v>0.04</v>
      </c>
      <c r="V855">
        <f>VLOOKUP($B855&amp;V$1,Data!$A$2:$D$12000,4,FALSE)</f>
        <v>8.5999999999999993E-2</v>
      </c>
      <c r="W855">
        <f>VLOOKUP($B855&amp;W$1,Data!$A$2:$D$12000,4,FALSE)</f>
        <v>1.323E-2</v>
      </c>
      <c r="X855">
        <f>VLOOKUP($B855&amp;X$1,Data!$A$2:$D$12000,4,FALSE)</f>
        <v>0.32</v>
      </c>
      <c r="Y855">
        <f>VLOOKUP($B855&amp;Y$1,Data!$A$2:$D$12000,4,FALSE)</f>
        <v>0.68</v>
      </c>
      <c r="Z855">
        <f>VLOOKUP($B855&amp;Z$1,Data!$A$2:$D$12000,4,FALSE)</f>
        <v>0.6</v>
      </c>
      <c r="AA855">
        <f>VLOOKUP($B855&amp;AA$1,Data!$A$2:$D$12000,4,FALSE)</f>
        <v>8.0000000000000002E-3</v>
      </c>
      <c r="AB855">
        <f>VLOOKUP($B855&amp;AB$1,Data!$A$2:$D$12000,4,FALSE)</f>
        <v>0.11899999999999999</v>
      </c>
      <c r="AC855">
        <f>VLOOKUP($B855&amp;AC$1,Data!$A$2:$D$12000,4,FALSE)</f>
        <v>2.5999999999999999E-2</v>
      </c>
      <c r="AD855">
        <f>VLOOKUP($B855&amp;AD$1,Data!$A$2:$D$12000,4,FALSE)</f>
        <v>1E-3</v>
      </c>
      <c r="AE855">
        <f>VLOOKUP($B855&amp;AE$1,Data!$A$2:$D$12000,4,FALSE)</f>
        <v>-0.59</v>
      </c>
      <c r="AF855">
        <f>VLOOKUP($B855&amp;AF$1,Data!$A$2:$D$12000,4,FALSE)</f>
        <v>6.4000000000000001E-2</v>
      </c>
      <c r="AG855">
        <f>VLOOKUP($B855&amp;AG$1,Data!$A$2:$D$12000,4,FALSE)</f>
        <v>0.11899999999999999</v>
      </c>
      <c r="AH855">
        <f>VLOOKUP($B855&amp;AH$1,Data!$A$2:$D$12000,4,FALSE)</f>
        <v>0</v>
      </c>
      <c r="AI855">
        <f>VLOOKUP($B855&amp;AI$1,Data!$A$2:$D$12000,4,FALSE)</f>
        <v>24000000</v>
      </c>
    </row>
    <row r="856" spans="2:35" hidden="1">
      <c r="B856" s="23">
        <v>855</v>
      </c>
      <c r="C856" s="13" t="s">
        <v>58</v>
      </c>
      <c r="D856" t="s">
        <v>7</v>
      </c>
      <c r="E856" t="s">
        <v>22</v>
      </c>
      <c r="F856">
        <v>5000</v>
      </c>
      <c r="G856" t="s">
        <v>17</v>
      </c>
      <c r="H856" s="5">
        <v>43831</v>
      </c>
      <c r="I856" s="5">
        <v>44562</v>
      </c>
      <c r="J856">
        <v>14</v>
      </c>
      <c r="K856">
        <v>9</v>
      </c>
      <c r="L856">
        <v>32</v>
      </c>
      <c r="M856">
        <v>68</v>
      </c>
      <c r="N856">
        <v>1000000</v>
      </c>
      <c r="O856">
        <f>VLOOKUP($B856&amp;O$1,Data!$A$2:$D$12000,4,FALSE)</f>
        <v>0.14724000000000001</v>
      </c>
      <c r="P856">
        <f>VLOOKUP($B856&amp;P$1,Data!$A$2:$D$12000,4,FALSE)</f>
        <v>-7.1999999999999995E-2</v>
      </c>
      <c r="Q856">
        <f>VLOOKUP($B856&amp;Q$1,Data!$A$2:$D$12000,4,FALSE)</f>
        <v>514</v>
      </c>
      <c r="R856">
        <f>VLOOKUP($B856&amp;R$1,Data!$A$2:$D$12000,4,FALSE)</f>
        <v>1.5E-3</v>
      </c>
      <c r="S856">
        <f>VLOOKUP($B856&amp;S$1,Data!$A$2:$D$12000,4,FALSE)</f>
        <v>-3.5999999999999999E-3</v>
      </c>
      <c r="T856">
        <f>VLOOKUP($B856&amp;T$1,Data!$A$2:$D$12000,4,FALSE)</f>
        <v>-4.2300000000000003E-3</v>
      </c>
      <c r="U856">
        <f>VLOOKUP($B856&amp;U$1,Data!$A$2:$D$12000,4,FALSE)</f>
        <v>4.2000000000000003E-2</v>
      </c>
      <c r="V856">
        <f>VLOOKUP($B856&amp;V$1,Data!$A$2:$D$12000,4,FALSE)</f>
        <v>-0.01</v>
      </c>
      <c r="W856">
        <f>VLOOKUP($B856&amp;W$1,Data!$A$2:$D$12000,4,FALSE)</f>
        <v>-2.81E-3</v>
      </c>
      <c r="X856">
        <f>VLOOKUP($B856&amp;X$1,Data!$A$2:$D$12000,4,FALSE)</f>
        <v>0.3</v>
      </c>
      <c r="Y856">
        <f>VLOOKUP($B856&amp;Y$1,Data!$A$2:$D$12000,4,FALSE)</f>
        <v>0.7</v>
      </c>
      <c r="Z856">
        <f>VLOOKUP($B856&amp;Z$1,Data!$A$2:$D$12000,4,FALSE)</f>
        <v>0.42</v>
      </c>
      <c r="AA856">
        <f>VLOOKUP($B856&amp;AA$1,Data!$A$2:$D$12000,4,FALSE)</f>
        <v>-0.01</v>
      </c>
      <c r="AB856">
        <f>VLOOKUP($B856&amp;AB$1,Data!$A$2:$D$12000,4,FALSE)</f>
        <v>0.14699999999999999</v>
      </c>
      <c r="AC856">
        <f>VLOOKUP($B856&amp;AC$1,Data!$A$2:$D$12000,4,FALSE)</f>
        <v>3.3000000000000002E-2</v>
      </c>
      <c r="AD856">
        <f>VLOOKUP($B856&amp;AD$1,Data!$A$2:$D$12000,4,FALSE)</f>
        <v>1E-3</v>
      </c>
      <c r="AE856">
        <f>VLOOKUP($B856&amp;AE$1,Data!$A$2:$D$12000,4,FALSE)</f>
        <v>-0.83</v>
      </c>
      <c r="AF856">
        <f>VLOOKUP($B856&amp;AF$1,Data!$A$2:$D$12000,4,FALSE)</f>
        <v>6.6000000000000003E-2</v>
      </c>
      <c r="AG856">
        <f>VLOOKUP($B856&amp;AG$1,Data!$A$2:$D$12000,4,FALSE)</f>
        <v>-1.6E-2</v>
      </c>
      <c r="AH856">
        <f>VLOOKUP($B856&amp;AH$1,Data!$A$2:$D$12000,4,FALSE)</f>
        <v>0</v>
      </c>
      <c r="AI856">
        <f>VLOOKUP($B856&amp;AI$1,Data!$A$2:$D$12000,4,FALSE)</f>
        <v>9200000</v>
      </c>
    </row>
    <row r="857" spans="2:35" hidden="1">
      <c r="B857" s="23">
        <v>856</v>
      </c>
      <c r="C857" s="13" t="s">
        <v>58</v>
      </c>
      <c r="D857" t="s">
        <v>7</v>
      </c>
      <c r="E857" t="s">
        <v>3</v>
      </c>
      <c r="F857">
        <v>100</v>
      </c>
      <c r="G857" t="s">
        <v>17</v>
      </c>
      <c r="H857" s="5">
        <v>43831</v>
      </c>
      <c r="I857" s="5">
        <v>44562</v>
      </c>
      <c r="J857">
        <v>14</v>
      </c>
      <c r="K857">
        <v>9</v>
      </c>
      <c r="L857">
        <v>28</v>
      </c>
      <c r="M857">
        <v>72</v>
      </c>
      <c r="N857">
        <v>1000000</v>
      </c>
      <c r="O857">
        <f>VLOOKUP($B857&amp;O$1,Data!$A$2:$D$12000,4,FALSE)</f>
        <v>9.6519999999999995E-2</v>
      </c>
      <c r="P857">
        <f>VLOOKUP($B857&amp;P$1,Data!$A$2:$D$12000,4,FALSE)</f>
        <v>-0.33300000000000002</v>
      </c>
      <c r="Q857">
        <f>VLOOKUP($B857&amp;Q$1,Data!$A$2:$D$12000,4,FALSE)</f>
        <v>1146</v>
      </c>
      <c r="R857">
        <f>VLOOKUP($B857&amp;R$1,Data!$A$2:$D$12000,4,FALSE)</f>
        <v>4.0000000000000002E-4</v>
      </c>
      <c r="S857">
        <f>VLOOKUP($B857&amp;S$1,Data!$A$2:$D$12000,4,FALSE)</f>
        <v>-8.9999999999999998E-4</v>
      </c>
      <c r="T857">
        <f>VLOOKUP($B857&amp;T$1,Data!$A$2:$D$12000,4,FALSE)</f>
        <v>-4.8799999999999998E-3</v>
      </c>
      <c r="U857">
        <f>VLOOKUP($B857&amp;U$1,Data!$A$2:$D$12000,4,FALSE)</f>
        <v>8.9999999999999993E-3</v>
      </c>
      <c r="V857">
        <f>VLOOKUP($B857&amp;V$1,Data!$A$2:$D$12000,4,FALSE)</f>
        <v>-4.2999999999999997E-2</v>
      </c>
      <c r="W857">
        <f>VLOOKUP($B857&amp;W$1,Data!$A$2:$D$12000,4,FALSE)</f>
        <v>-3.2499999999999999E-3</v>
      </c>
      <c r="X857">
        <f>VLOOKUP($B857&amp;X$1,Data!$A$2:$D$12000,4,FALSE)</f>
        <v>0.36</v>
      </c>
      <c r="Y857">
        <f>VLOOKUP($B857&amp;Y$1,Data!$A$2:$D$12000,4,FALSE)</f>
        <v>0.64</v>
      </c>
      <c r="Z857">
        <f>VLOOKUP($B857&amp;Z$1,Data!$A$2:$D$12000,4,FALSE)</f>
        <v>0.51</v>
      </c>
      <c r="AA857">
        <f>VLOOKUP($B857&amp;AA$1,Data!$A$2:$D$12000,4,FALSE)</f>
        <v>-5.0000000000000001E-3</v>
      </c>
      <c r="AB857">
        <f>VLOOKUP($B857&amp;AB$1,Data!$A$2:$D$12000,4,FALSE)</f>
        <v>3.9E-2</v>
      </c>
      <c r="AC857">
        <f>VLOOKUP($B857&amp;AC$1,Data!$A$2:$D$12000,4,FALSE)</f>
        <v>0.01</v>
      </c>
      <c r="AD857">
        <f>VLOOKUP($B857&amp;AD$1,Data!$A$2:$D$12000,4,FALSE)</f>
        <v>0</v>
      </c>
      <c r="AE857">
        <f>VLOOKUP($B857&amp;AE$1,Data!$A$2:$D$12000,4,FALSE)</f>
        <v>-0.80400000000000005</v>
      </c>
      <c r="AF857">
        <f>VLOOKUP($B857&amp;AF$1,Data!$A$2:$D$12000,4,FALSE)</f>
        <v>6.5000000000000002E-2</v>
      </c>
      <c r="AG857">
        <f>VLOOKUP($B857&amp;AG$1,Data!$A$2:$D$12000,4,FALSE)</f>
        <v>-8.5999999999999993E-2</v>
      </c>
      <c r="AH857">
        <f>VLOOKUP($B857&amp;AH$1,Data!$A$2:$D$12000,4,FALSE)</f>
        <v>0</v>
      </c>
      <c r="AI857">
        <f>VLOOKUP($B857&amp;AI$1,Data!$A$2:$D$12000,4,FALSE)</f>
        <v>8700000</v>
      </c>
    </row>
    <row r="858" spans="2:35" hidden="1">
      <c r="B858" s="23">
        <v>857</v>
      </c>
      <c r="C858" s="13" t="s">
        <v>58</v>
      </c>
      <c r="D858" t="s">
        <v>7</v>
      </c>
      <c r="E858" t="s">
        <v>3</v>
      </c>
      <c r="F858">
        <v>1000</v>
      </c>
      <c r="G858" t="s">
        <v>17</v>
      </c>
      <c r="H858" s="5">
        <v>43831</v>
      </c>
      <c r="I858" s="5">
        <v>44562</v>
      </c>
      <c r="J858">
        <v>14</v>
      </c>
      <c r="K858">
        <v>9</v>
      </c>
      <c r="L858">
        <v>28</v>
      </c>
      <c r="M858">
        <v>72</v>
      </c>
      <c r="N858">
        <v>1000000</v>
      </c>
      <c r="O858">
        <f>VLOOKUP($B858&amp;O$1,Data!$A$2:$D$12000,4,FALSE)</f>
        <v>0.25697999999999999</v>
      </c>
      <c r="P858">
        <f>VLOOKUP($B858&amp;P$1,Data!$A$2:$D$12000,4,FALSE)</f>
        <v>0.33900000000000002</v>
      </c>
      <c r="Q858">
        <f>VLOOKUP($B858&amp;Q$1,Data!$A$2:$D$12000,4,FALSE)</f>
        <v>868</v>
      </c>
      <c r="R858">
        <f>VLOOKUP($B858&amp;R$1,Data!$A$2:$D$12000,4,FALSE)</f>
        <v>1.4E-3</v>
      </c>
      <c r="S858">
        <f>VLOOKUP($B858&amp;S$1,Data!$A$2:$D$12000,4,FALSE)</f>
        <v>-2.5999999999999999E-3</v>
      </c>
      <c r="T858">
        <f>VLOOKUP($B858&amp;T$1,Data!$A$2:$D$12000,4,FALSE)</f>
        <v>1.1849999999999999E-2</v>
      </c>
      <c r="U858">
        <f>VLOOKUP($B858&amp;U$1,Data!$A$2:$D$12000,4,FALSE)</f>
        <v>2.1999999999999999E-2</v>
      </c>
      <c r="V858">
        <f>VLOOKUP($B858&amp;V$1,Data!$A$2:$D$12000,4,FALSE)</f>
        <v>3.9E-2</v>
      </c>
      <c r="W858">
        <f>VLOOKUP($B858&amp;W$1,Data!$A$2:$D$12000,4,FALSE)</f>
        <v>7.8700000000000003E-3</v>
      </c>
      <c r="X858">
        <f>VLOOKUP($B858&amp;X$1,Data!$A$2:$D$12000,4,FALSE)</f>
        <v>0.33</v>
      </c>
      <c r="Y858">
        <f>VLOOKUP($B858&amp;Y$1,Data!$A$2:$D$12000,4,FALSE)</f>
        <v>0.67</v>
      </c>
      <c r="Z858">
        <f>VLOOKUP($B858&amp;Z$1,Data!$A$2:$D$12000,4,FALSE)</f>
        <v>0.55000000000000004</v>
      </c>
      <c r="AA858">
        <f>VLOOKUP($B858&amp;AA$1,Data!$A$2:$D$12000,4,FALSE)</f>
        <v>3.0000000000000001E-3</v>
      </c>
      <c r="AB858">
        <f>VLOOKUP($B858&amp;AB$1,Data!$A$2:$D$12000,4,FALSE)</f>
        <v>0.11899999999999999</v>
      </c>
      <c r="AC858">
        <f>VLOOKUP($B858&amp;AC$1,Data!$A$2:$D$12000,4,FALSE)</f>
        <v>2.5000000000000001E-2</v>
      </c>
      <c r="AD858">
        <f>VLOOKUP($B858&amp;AD$1,Data!$A$2:$D$12000,4,FALSE)</f>
        <v>1E-3</v>
      </c>
      <c r="AE858">
        <f>VLOOKUP($B858&amp;AE$1,Data!$A$2:$D$12000,4,FALSE)</f>
        <v>-0.63700000000000001</v>
      </c>
      <c r="AF858">
        <f>VLOOKUP($B858&amp;AF$1,Data!$A$2:$D$12000,4,FALSE)</f>
        <v>6.4000000000000001E-2</v>
      </c>
      <c r="AG858">
        <f>VLOOKUP($B858&amp;AG$1,Data!$A$2:$D$12000,4,FALSE)</f>
        <v>7.1999999999999995E-2</v>
      </c>
      <c r="AH858">
        <f>VLOOKUP($B858&amp;AH$1,Data!$A$2:$D$12000,4,FALSE)</f>
        <v>0</v>
      </c>
      <c r="AI858">
        <f>VLOOKUP($B858&amp;AI$1,Data!$A$2:$D$12000,4,FALSE)</f>
        <v>8900000</v>
      </c>
    </row>
    <row r="859" spans="2:35" hidden="1">
      <c r="B859" s="23">
        <v>858</v>
      </c>
      <c r="C859" s="13" t="s">
        <v>58</v>
      </c>
      <c r="D859" t="s">
        <v>7</v>
      </c>
      <c r="E859" t="s">
        <v>3</v>
      </c>
      <c r="F859">
        <v>5000</v>
      </c>
      <c r="G859" t="s">
        <v>17</v>
      </c>
      <c r="H859" s="5">
        <v>43831</v>
      </c>
      <c r="I859" s="5">
        <v>44562</v>
      </c>
      <c r="J859">
        <v>14</v>
      </c>
      <c r="K859">
        <v>9</v>
      </c>
      <c r="L859">
        <v>28</v>
      </c>
      <c r="M859">
        <v>72</v>
      </c>
      <c r="N859">
        <v>1000000</v>
      </c>
      <c r="O859">
        <f>VLOOKUP($B859&amp;O$1,Data!$A$2:$D$12000,4,FALSE)</f>
        <v>0.1283</v>
      </c>
      <c r="P859">
        <f>VLOOKUP($B859&amp;P$1,Data!$A$2:$D$12000,4,FALSE)</f>
        <v>-0.158</v>
      </c>
      <c r="Q859">
        <f>VLOOKUP($B859&amp;Q$1,Data!$A$2:$D$12000,4,FALSE)</f>
        <v>635</v>
      </c>
      <c r="R859">
        <f>VLOOKUP($B859&amp;R$1,Data!$A$2:$D$12000,4,FALSE)</f>
        <v>2.0999999999999999E-3</v>
      </c>
      <c r="S859">
        <f>VLOOKUP($B859&amp;S$1,Data!$A$2:$D$12000,4,FALSE)</f>
        <v>-4.0000000000000001E-3</v>
      </c>
      <c r="T859">
        <f>VLOOKUP($B859&amp;T$1,Data!$A$2:$D$12000,4,FALSE)</f>
        <v>-8.9800000000000001E-3</v>
      </c>
      <c r="U859">
        <f>VLOOKUP($B859&amp;U$1,Data!$A$2:$D$12000,4,FALSE)</f>
        <v>0.05</v>
      </c>
      <c r="V859">
        <f>VLOOKUP($B859&amp;V$1,Data!$A$2:$D$12000,4,FALSE)</f>
        <v>-1.7000000000000001E-2</v>
      </c>
      <c r="W859">
        <f>VLOOKUP($B859&amp;W$1,Data!$A$2:$D$12000,4,FALSE)</f>
        <v>-5.9800000000000001E-3</v>
      </c>
      <c r="X859">
        <f>VLOOKUP($B859&amp;X$1,Data!$A$2:$D$12000,4,FALSE)</f>
        <v>0.36</v>
      </c>
      <c r="Y859">
        <f>VLOOKUP($B859&amp;Y$1,Data!$A$2:$D$12000,4,FALSE)</f>
        <v>0.64</v>
      </c>
      <c r="Z859">
        <f>VLOOKUP($B859&amp;Z$1,Data!$A$2:$D$12000,4,FALSE)</f>
        <v>0.53</v>
      </c>
      <c r="AA859">
        <f>VLOOKUP($B859&amp;AA$1,Data!$A$2:$D$12000,4,FALSE)</f>
        <v>-1.4999999999999999E-2</v>
      </c>
      <c r="AB859">
        <f>VLOOKUP($B859&amp;AB$1,Data!$A$2:$D$12000,4,FALSE)</f>
        <v>0.186</v>
      </c>
      <c r="AC859">
        <f>VLOOKUP($B859&amp;AC$1,Data!$A$2:$D$12000,4,FALSE)</f>
        <v>3.5000000000000003E-2</v>
      </c>
      <c r="AD859">
        <f>VLOOKUP($B859&amp;AD$1,Data!$A$2:$D$12000,4,FALSE)</f>
        <v>1E-3</v>
      </c>
      <c r="AE859">
        <f>VLOOKUP($B859&amp;AE$1,Data!$A$2:$D$12000,4,FALSE)</f>
        <v>-0.85699999999999998</v>
      </c>
      <c r="AF859">
        <f>VLOOKUP($B859&amp;AF$1,Data!$A$2:$D$12000,4,FALSE)</f>
        <v>6.4000000000000001E-2</v>
      </c>
      <c r="AG859">
        <f>VLOOKUP($B859&amp;AG$1,Data!$A$2:$D$12000,4,FALSE)</f>
        <v>-0.03</v>
      </c>
      <c r="AH859">
        <f>VLOOKUP($B859&amp;AH$1,Data!$A$2:$D$12000,4,FALSE)</f>
        <v>0</v>
      </c>
      <c r="AI859">
        <f>VLOOKUP($B859&amp;AI$1,Data!$A$2:$D$12000,4,FALSE)</f>
        <v>9100000</v>
      </c>
    </row>
    <row r="860" spans="2:35" hidden="1">
      <c r="B860" s="23">
        <v>859</v>
      </c>
      <c r="C860" s="13" t="s">
        <v>58</v>
      </c>
      <c r="D860" t="s">
        <v>7</v>
      </c>
      <c r="E860" t="s">
        <v>2</v>
      </c>
      <c r="F860">
        <v>100</v>
      </c>
      <c r="G860" t="s">
        <v>17</v>
      </c>
      <c r="H860" s="5">
        <v>43831</v>
      </c>
      <c r="I860" s="5">
        <v>44562</v>
      </c>
      <c r="J860">
        <v>14</v>
      </c>
      <c r="K860">
        <v>9</v>
      </c>
      <c r="L860">
        <v>28</v>
      </c>
      <c r="M860">
        <v>72</v>
      </c>
      <c r="N860">
        <v>1000000</v>
      </c>
      <c r="O860">
        <f>VLOOKUP($B860&amp;O$1,Data!$A$2:$D$12000,4,FALSE)</f>
        <v>0.53608999999999996</v>
      </c>
      <c r="P860">
        <f>VLOOKUP($B860&amp;P$1,Data!$A$2:$D$12000,4,FALSE)</f>
        <v>1.1000000000000001</v>
      </c>
      <c r="Q860">
        <f>VLOOKUP($B860&amp;Q$1,Data!$A$2:$D$12000,4,FALSE)</f>
        <v>807</v>
      </c>
      <c r="R860">
        <f>VLOOKUP($B860&amp;R$1,Data!$A$2:$D$12000,4,FALSE)</f>
        <v>1E-3</v>
      </c>
      <c r="S860">
        <f>VLOOKUP($B860&amp;S$1,Data!$A$2:$D$12000,4,FALSE)</f>
        <v>-8.9999999999999998E-4</v>
      </c>
      <c r="T860">
        <f>VLOOKUP($B860&amp;T$1,Data!$A$2:$D$12000,4,FALSE)</f>
        <v>2.2710000000000001E-2</v>
      </c>
      <c r="U860">
        <f>VLOOKUP($B860&amp;U$1,Data!$A$2:$D$12000,4,FALSE)</f>
        <v>1.4E-2</v>
      </c>
      <c r="V860">
        <f>VLOOKUP($B860&amp;V$1,Data!$A$2:$D$12000,4,FALSE)</f>
        <v>0.25900000000000001</v>
      </c>
      <c r="W860">
        <f>VLOOKUP($B860&amp;W$1,Data!$A$2:$D$12000,4,FALSE)</f>
        <v>1.506E-2</v>
      </c>
      <c r="X860">
        <f>VLOOKUP($B860&amp;X$1,Data!$A$2:$D$12000,4,FALSE)</f>
        <v>0.39</v>
      </c>
      <c r="Y860">
        <f>VLOOKUP($B860&amp;Y$1,Data!$A$2:$D$12000,4,FALSE)</f>
        <v>0.61</v>
      </c>
      <c r="Z860">
        <f>VLOOKUP($B860&amp;Z$1,Data!$A$2:$D$12000,4,FALSE)</f>
        <v>1.08</v>
      </c>
      <c r="AA860">
        <f>VLOOKUP($B860&amp;AA$1,Data!$A$2:$D$12000,4,FALSE)</f>
        <v>1.2999999999999999E-2</v>
      </c>
      <c r="AB860">
        <f>VLOOKUP($B860&amp;AB$1,Data!$A$2:$D$12000,4,FALSE)</f>
        <v>4.4999999999999998E-2</v>
      </c>
      <c r="AC860">
        <f>VLOOKUP($B860&amp;AC$1,Data!$A$2:$D$12000,4,FALSE)</f>
        <v>1.4E-2</v>
      </c>
      <c r="AD860">
        <f>VLOOKUP($B860&amp;AD$1,Data!$A$2:$D$12000,4,FALSE)</f>
        <v>0</v>
      </c>
      <c r="AE860">
        <f>VLOOKUP($B860&amp;AE$1,Data!$A$2:$D$12000,4,FALSE)</f>
        <v>-0.55000000000000004</v>
      </c>
      <c r="AF860">
        <f>VLOOKUP($B860&amp;AF$1,Data!$A$2:$D$12000,4,FALSE)</f>
        <v>6.6000000000000003E-2</v>
      </c>
      <c r="AG860">
        <f>VLOOKUP($B860&amp;AG$1,Data!$A$2:$D$12000,4,FALSE)</f>
        <v>0.34799999999999998</v>
      </c>
      <c r="AH860">
        <f>VLOOKUP($B860&amp;AH$1,Data!$A$2:$D$12000,4,FALSE)</f>
        <v>0</v>
      </c>
      <c r="AI860">
        <f>VLOOKUP($B860&amp;AI$1,Data!$A$2:$D$12000,4,FALSE)</f>
        <v>7900000</v>
      </c>
    </row>
    <row r="861" spans="2:35" hidden="1">
      <c r="B861" s="23">
        <v>860</v>
      </c>
      <c r="C861" s="13" t="s">
        <v>58</v>
      </c>
      <c r="D861" t="s">
        <v>7</v>
      </c>
      <c r="E861" t="s">
        <v>2</v>
      </c>
      <c r="F861">
        <v>1000</v>
      </c>
      <c r="G861" t="s">
        <v>17</v>
      </c>
      <c r="H861" s="5">
        <v>43831</v>
      </c>
      <c r="I861" s="5">
        <v>44562</v>
      </c>
      <c r="J861">
        <v>14</v>
      </c>
      <c r="K861">
        <v>9</v>
      </c>
      <c r="L861">
        <v>28</v>
      </c>
      <c r="M861">
        <v>72</v>
      </c>
      <c r="N861">
        <v>1000000</v>
      </c>
      <c r="O861">
        <f>VLOOKUP($B861&amp;O$1,Data!$A$2:$D$12000,4,FALSE)</f>
        <v>0.60116000000000003</v>
      </c>
      <c r="P861">
        <f>VLOOKUP($B861&amp;P$1,Data!$A$2:$D$12000,4,FALSE)</f>
        <v>1.288</v>
      </c>
      <c r="Q861">
        <f>VLOOKUP($B861&amp;Q$1,Data!$A$2:$D$12000,4,FALSE)</f>
        <v>614</v>
      </c>
      <c r="R861">
        <f>VLOOKUP($B861&amp;R$1,Data!$A$2:$D$12000,4,FALSE)</f>
        <v>2.0999999999999999E-3</v>
      </c>
      <c r="S861">
        <f>VLOOKUP($B861&amp;S$1,Data!$A$2:$D$12000,4,FALSE)</f>
        <v>-2.3999999999999998E-3</v>
      </c>
      <c r="T861">
        <f>VLOOKUP($B861&amp;T$1,Data!$A$2:$D$12000,4,FALSE)</f>
        <v>5.1639999999999998E-2</v>
      </c>
      <c r="U861">
        <f>VLOOKUP($B861&amp;U$1,Data!$A$2:$D$12000,4,FALSE)</f>
        <v>2.9000000000000001E-2</v>
      </c>
      <c r="V861">
        <f>VLOOKUP($B861&amp;V$1,Data!$A$2:$D$12000,4,FALSE)</f>
        <v>0.23200000000000001</v>
      </c>
      <c r="W861">
        <f>VLOOKUP($B861&amp;W$1,Data!$A$2:$D$12000,4,FALSE)</f>
        <v>3.4079999999999999E-2</v>
      </c>
      <c r="X861">
        <f>VLOOKUP($B861&amp;X$1,Data!$A$2:$D$12000,4,FALSE)</f>
        <v>0.34</v>
      </c>
      <c r="Y861">
        <f>VLOOKUP($B861&amp;Y$1,Data!$A$2:$D$12000,4,FALSE)</f>
        <v>0.66</v>
      </c>
      <c r="Z861">
        <f>VLOOKUP($B861&amp;Z$1,Data!$A$2:$D$12000,4,FALSE)</f>
        <v>0.88</v>
      </c>
      <c r="AA861">
        <f>VLOOKUP($B861&amp;AA$1,Data!$A$2:$D$12000,4,FALSE)</f>
        <v>3.1E-2</v>
      </c>
      <c r="AB861">
        <f>VLOOKUP($B861&amp;AB$1,Data!$A$2:$D$12000,4,FALSE)</f>
        <v>9.0999999999999998E-2</v>
      </c>
      <c r="AC861">
        <f>VLOOKUP($B861&amp;AC$1,Data!$A$2:$D$12000,4,FALSE)</f>
        <v>2.8000000000000001E-2</v>
      </c>
      <c r="AD861">
        <f>VLOOKUP($B861&amp;AD$1,Data!$A$2:$D$12000,4,FALSE)</f>
        <v>1E-3</v>
      </c>
      <c r="AE861">
        <f>VLOOKUP($B861&amp;AE$1,Data!$A$2:$D$12000,4,FALSE)</f>
        <v>-0.23899999999999999</v>
      </c>
      <c r="AF861">
        <f>VLOOKUP($B861&amp;AF$1,Data!$A$2:$D$12000,4,FALSE)</f>
        <v>6.7000000000000004E-2</v>
      </c>
      <c r="AG861">
        <f>VLOOKUP($B861&amp;AG$1,Data!$A$2:$D$12000,4,FALSE)</f>
        <v>0.39500000000000002</v>
      </c>
      <c r="AH861">
        <f>VLOOKUP($B861&amp;AH$1,Data!$A$2:$D$12000,4,FALSE)</f>
        <v>0</v>
      </c>
      <c r="AI861">
        <f>VLOOKUP($B861&amp;AI$1,Data!$A$2:$D$12000,4,FALSE)</f>
        <v>8000000</v>
      </c>
    </row>
    <row r="862" spans="2:35" hidden="1">
      <c r="B862" s="23">
        <v>861</v>
      </c>
      <c r="C862" s="13" t="s">
        <v>58</v>
      </c>
      <c r="D862" t="s">
        <v>7</v>
      </c>
      <c r="E862" t="s">
        <v>2</v>
      </c>
      <c r="F862">
        <v>5000</v>
      </c>
      <c r="G862" t="s">
        <v>17</v>
      </c>
      <c r="H862" s="5">
        <v>43831</v>
      </c>
      <c r="I862" s="5">
        <v>44562</v>
      </c>
      <c r="J862">
        <v>14</v>
      </c>
      <c r="K862">
        <v>9</v>
      </c>
      <c r="L862">
        <v>28</v>
      </c>
      <c r="M862">
        <v>72</v>
      </c>
      <c r="N862">
        <v>1000000</v>
      </c>
      <c r="O862">
        <f>VLOOKUP($B862&amp;O$1,Data!$A$2:$D$12000,4,FALSE)</f>
        <v>0.28982999999999998</v>
      </c>
      <c r="P862">
        <f>VLOOKUP($B862&amp;P$1,Data!$A$2:$D$12000,4,FALSE)</f>
        <v>0.437</v>
      </c>
      <c r="Q862">
        <f>VLOOKUP($B862&amp;Q$1,Data!$A$2:$D$12000,4,FALSE)</f>
        <v>459</v>
      </c>
      <c r="R862">
        <f>VLOOKUP($B862&amp;R$1,Data!$A$2:$D$12000,4,FALSE)</f>
        <v>2.3E-3</v>
      </c>
      <c r="S862">
        <f>VLOOKUP($B862&amp;S$1,Data!$A$2:$D$12000,4,FALSE)</f>
        <v>-3.0999999999999999E-3</v>
      </c>
      <c r="T862">
        <f>VLOOKUP($B862&amp;T$1,Data!$A$2:$D$12000,4,FALSE)</f>
        <v>1.8960000000000001E-2</v>
      </c>
      <c r="U862">
        <f>VLOOKUP($B862&amp;U$1,Data!$A$2:$D$12000,4,FALSE)</f>
        <v>3.6999999999999998E-2</v>
      </c>
      <c r="V862">
        <f>VLOOKUP($B862&amp;V$1,Data!$A$2:$D$12000,4,FALSE)</f>
        <v>7.2999999999999995E-2</v>
      </c>
      <c r="W862">
        <f>VLOOKUP($B862&amp;W$1,Data!$A$2:$D$12000,4,FALSE)</f>
        <v>1.2579999999999999E-2</v>
      </c>
      <c r="X862">
        <f>VLOOKUP($B862&amp;X$1,Data!$A$2:$D$12000,4,FALSE)</f>
        <v>0.39</v>
      </c>
      <c r="Y862">
        <f>VLOOKUP($B862&amp;Y$1,Data!$A$2:$D$12000,4,FALSE)</f>
        <v>0.61</v>
      </c>
      <c r="Z862">
        <f>VLOOKUP($B862&amp;Z$1,Data!$A$2:$D$12000,4,FALSE)</f>
        <v>0.76</v>
      </c>
      <c r="AA862">
        <f>VLOOKUP($B862&amp;AA$1,Data!$A$2:$D$12000,4,FALSE)</f>
        <v>8.9999999999999993E-3</v>
      </c>
      <c r="AB862">
        <f>VLOOKUP($B862&amp;AB$1,Data!$A$2:$D$12000,4,FALSE)</f>
        <v>9.8000000000000004E-2</v>
      </c>
      <c r="AC862">
        <f>VLOOKUP($B862&amp;AC$1,Data!$A$2:$D$12000,4,FALSE)</f>
        <v>3.1E-2</v>
      </c>
      <c r="AD862">
        <f>VLOOKUP($B862&amp;AD$1,Data!$A$2:$D$12000,4,FALSE)</f>
        <v>1E-3</v>
      </c>
      <c r="AE862">
        <f>VLOOKUP($B862&amp;AE$1,Data!$A$2:$D$12000,4,FALSE)</f>
        <v>-0.52500000000000002</v>
      </c>
      <c r="AF862">
        <f>VLOOKUP($B862&amp;AF$1,Data!$A$2:$D$12000,4,FALSE)</f>
        <v>6.8000000000000005E-2</v>
      </c>
      <c r="AG862">
        <f>VLOOKUP($B862&amp;AG$1,Data!$A$2:$D$12000,4,FALSE)</f>
        <v>0.13800000000000001</v>
      </c>
      <c r="AH862">
        <f>VLOOKUP($B862&amp;AH$1,Data!$A$2:$D$12000,4,FALSE)</f>
        <v>0</v>
      </c>
      <c r="AI862">
        <f>VLOOKUP($B862&amp;AI$1,Data!$A$2:$D$12000,4,FALSE)</f>
        <v>8300000</v>
      </c>
    </row>
    <row r="863" spans="2:35" hidden="1">
      <c r="B863" s="23">
        <v>862</v>
      </c>
      <c r="C863" s="13" t="s">
        <v>58</v>
      </c>
      <c r="D863" t="s">
        <v>7</v>
      </c>
      <c r="E863" t="s">
        <v>22</v>
      </c>
      <c r="F863">
        <v>100</v>
      </c>
      <c r="G863" t="s">
        <v>17</v>
      </c>
      <c r="H863" s="5">
        <v>43831</v>
      </c>
      <c r="I863" s="5">
        <v>44562</v>
      </c>
      <c r="J863">
        <v>14</v>
      </c>
      <c r="K863">
        <v>9</v>
      </c>
      <c r="L863">
        <v>28</v>
      </c>
      <c r="M863">
        <v>72</v>
      </c>
      <c r="N863">
        <v>1000000</v>
      </c>
      <c r="O863">
        <f>VLOOKUP($B863&amp;O$1,Data!$A$2:$D$12000,4,FALSE)</f>
        <v>0.10630000000000001</v>
      </c>
      <c r="P863">
        <f>VLOOKUP($B863&amp;P$1,Data!$A$2:$D$12000,4,FALSE)</f>
        <v>-0.26900000000000002</v>
      </c>
      <c r="Q863">
        <f>VLOOKUP($B863&amp;Q$1,Data!$A$2:$D$12000,4,FALSE)</f>
        <v>560</v>
      </c>
      <c r="R863">
        <f>VLOOKUP($B863&amp;R$1,Data!$A$2:$D$12000,4,FALSE)</f>
        <v>2.9999999999999997E-4</v>
      </c>
      <c r="S863">
        <f>VLOOKUP($B863&amp;S$1,Data!$A$2:$D$12000,4,FALSE)</f>
        <v>-6.9999999999999999E-4</v>
      </c>
      <c r="T863">
        <f>VLOOKUP($B863&amp;T$1,Data!$A$2:$D$12000,4,FALSE)</f>
        <v>-4.2199999999999998E-3</v>
      </c>
      <c r="U863">
        <f>VLOOKUP($B863&amp;U$1,Data!$A$2:$D$12000,4,FALSE)</f>
        <v>1.0999999999999999E-2</v>
      </c>
      <c r="V863">
        <f>VLOOKUP($B863&amp;V$1,Data!$A$2:$D$12000,4,FALSE)</f>
        <v>-7.0999999999999994E-2</v>
      </c>
      <c r="W863">
        <f>VLOOKUP($B863&amp;W$1,Data!$A$2:$D$12000,4,FALSE)</f>
        <v>-2.81E-3</v>
      </c>
      <c r="X863">
        <f>VLOOKUP($B863&amp;X$1,Data!$A$2:$D$12000,4,FALSE)</f>
        <v>0.37</v>
      </c>
      <c r="Y863">
        <f>VLOOKUP($B863&amp;Y$1,Data!$A$2:$D$12000,4,FALSE)</f>
        <v>0.63</v>
      </c>
      <c r="Z863">
        <f>VLOOKUP($B863&amp;Z$1,Data!$A$2:$D$12000,4,FALSE)</f>
        <v>0.48</v>
      </c>
      <c r="AA863">
        <f>VLOOKUP($B863&amp;AA$1,Data!$A$2:$D$12000,4,FALSE)</f>
        <v>-5.0000000000000001E-3</v>
      </c>
      <c r="AB863">
        <f>VLOOKUP($B863&amp;AB$1,Data!$A$2:$D$12000,4,FALSE)</f>
        <v>4.4999999999999998E-2</v>
      </c>
      <c r="AC863">
        <f>VLOOKUP($B863&amp;AC$1,Data!$A$2:$D$12000,4,FALSE)</f>
        <v>1.0999999999999999E-2</v>
      </c>
      <c r="AD863">
        <f>VLOOKUP($B863&amp;AD$1,Data!$A$2:$D$12000,4,FALSE)</f>
        <v>0</v>
      </c>
      <c r="AE863">
        <f>VLOOKUP($B863&amp;AE$1,Data!$A$2:$D$12000,4,FALSE)</f>
        <v>-0.84299999999999997</v>
      </c>
      <c r="AF863">
        <f>VLOOKUP($B863&amp;AF$1,Data!$A$2:$D$12000,4,FALSE)</f>
        <v>6.5000000000000002E-2</v>
      </c>
      <c r="AG863">
        <f>VLOOKUP($B863&amp;AG$1,Data!$A$2:$D$12000,4,FALSE)</f>
        <v>-6.4000000000000001E-2</v>
      </c>
      <c r="AH863">
        <f>VLOOKUP($B863&amp;AH$1,Data!$A$2:$D$12000,4,FALSE)</f>
        <v>0</v>
      </c>
      <c r="AI863">
        <f>VLOOKUP($B863&amp;AI$1,Data!$A$2:$D$12000,4,FALSE)</f>
        <v>9000000</v>
      </c>
    </row>
    <row r="864" spans="2:35" hidden="1">
      <c r="B864" s="23">
        <v>863</v>
      </c>
      <c r="C864" s="13" t="s">
        <v>58</v>
      </c>
      <c r="D864" t="s">
        <v>7</v>
      </c>
      <c r="E864" t="s">
        <v>22</v>
      </c>
      <c r="F864">
        <v>1000</v>
      </c>
      <c r="G864" t="s">
        <v>17</v>
      </c>
      <c r="H864" s="5">
        <v>43831</v>
      </c>
      <c r="I864" s="5">
        <v>44562</v>
      </c>
      <c r="J864">
        <v>14</v>
      </c>
      <c r="K864">
        <v>9</v>
      </c>
      <c r="L864">
        <v>28</v>
      </c>
      <c r="M864">
        <v>72</v>
      </c>
      <c r="N864">
        <v>1000000</v>
      </c>
      <c r="O864">
        <f>VLOOKUP($B864&amp;O$1,Data!$A$2:$D$12000,4,FALSE)</f>
        <v>0.13278999999999999</v>
      </c>
      <c r="P864">
        <f>VLOOKUP($B864&amp;P$1,Data!$A$2:$D$12000,4,FALSE)</f>
        <v>-0.13</v>
      </c>
      <c r="Q864">
        <f>VLOOKUP($B864&amp;Q$1,Data!$A$2:$D$12000,4,FALSE)</f>
        <v>444</v>
      </c>
      <c r="R864">
        <f>VLOOKUP($B864&amp;R$1,Data!$A$2:$D$12000,4,FALSE)</f>
        <v>1.4E-3</v>
      </c>
      <c r="S864">
        <f>VLOOKUP($B864&amp;S$1,Data!$A$2:$D$12000,4,FALSE)</f>
        <v>-2.8999999999999998E-3</v>
      </c>
      <c r="T864">
        <f>VLOOKUP($B864&amp;T$1,Data!$A$2:$D$12000,4,FALSE)</f>
        <v>-5.4999999999999997E-3</v>
      </c>
      <c r="U864">
        <f>VLOOKUP($B864&amp;U$1,Data!$A$2:$D$12000,4,FALSE)</f>
        <v>3.1E-2</v>
      </c>
      <c r="V864">
        <f>VLOOKUP($B864&amp;V$1,Data!$A$2:$D$12000,4,FALSE)</f>
        <v>-2.1999999999999999E-2</v>
      </c>
      <c r="W864">
        <f>VLOOKUP($B864&amp;W$1,Data!$A$2:$D$12000,4,FALSE)</f>
        <v>-3.6700000000000001E-3</v>
      </c>
      <c r="X864">
        <f>VLOOKUP($B864&amp;X$1,Data!$A$2:$D$12000,4,FALSE)</f>
        <v>0.35</v>
      </c>
      <c r="Y864">
        <f>VLOOKUP($B864&amp;Y$1,Data!$A$2:$D$12000,4,FALSE)</f>
        <v>0.65</v>
      </c>
      <c r="Z864">
        <f>VLOOKUP($B864&amp;Z$1,Data!$A$2:$D$12000,4,FALSE)</f>
        <v>0.5</v>
      </c>
      <c r="AA864">
        <f>VLOOKUP($B864&amp;AA$1,Data!$A$2:$D$12000,4,FALSE)</f>
        <v>-1.0999999999999999E-2</v>
      </c>
      <c r="AB864">
        <f>VLOOKUP($B864&amp;AB$1,Data!$A$2:$D$12000,4,FALSE)</f>
        <v>0.153</v>
      </c>
      <c r="AC864">
        <f>VLOOKUP($B864&amp;AC$1,Data!$A$2:$D$12000,4,FALSE)</f>
        <v>2.7E-2</v>
      </c>
      <c r="AD864">
        <f>VLOOKUP($B864&amp;AD$1,Data!$A$2:$D$12000,4,FALSE)</f>
        <v>1E-3</v>
      </c>
      <c r="AE864">
        <f>VLOOKUP($B864&amp;AE$1,Data!$A$2:$D$12000,4,FALSE)</f>
        <v>-0.89200000000000002</v>
      </c>
      <c r="AF864">
        <f>VLOOKUP($B864&amp;AF$1,Data!$A$2:$D$12000,4,FALSE)</f>
        <v>6.2E-2</v>
      </c>
      <c r="AG864">
        <f>VLOOKUP($B864&amp;AG$1,Data!$A$2:$D$12000,4,FALSE)</f>
        <v>-2.3E-2</v>
      </c>
      <c r="AH864">
        <f>VLOOKUP($B864&amp;AH$1,Data!$A$2:$D$12000,4,FALSE)</f>
        <v>0</v>
      </c>
      <c r="AI864">
        <f>VLOOKUP($B864&amp;AI$1,Data!$A$2:$D$12000,4,FALSE)</f>
        <v>8700000</v>
      </c>
    </row>
    <row r="865" spans="1:35" hidden="1">
      <c r="B865" s="23">
        <v>864</v>
      </c>
      <c r="C865" s="13" t="s">
        <v>58</v>
      </c>
      <c r="D865" t="s">
        <v>7</v>
      </c>
      <c r="E865" t="s">
        <v>22</v>
      </c>
      <c r="F865">
        <v>5000</v>
      </c>
      <c r="G865" t="s">
        <v>17</v>
      </c>
      <c r="H865" s="5">
        <v>43831</v>
      </c>
      <c r="I865" s="5">
        <v>44562</v>
      </c>
      <c r="J865">
        <v>14</v>
      </c>
      <c r="K865">
        <v>9</v>
      </c>
      <c r="L865">
        <v>28</v>
      </c>
      <c r="M865">
        <v>72</v>
      </c>
      <c r="N865">
        <v>1000000</v>
      </c>
      <c r="O865">
        <f>VLOOKUP($B865&amp;O$1,Data!$A$2:$D$12000,4,FALSE)</f>
        <v>0.34156999999999998</v>
      </c>
      <c r="P865">
        <f>VLOOKUP($B865&amp;P$1,Data!$A$2:$D$12000,4,FALSE)</f>
        <v>0.57799999999999996</v>
      </c>
      <c r="Q865">
        <f>VLOOKUP($B865&amp;Q$1,Data!$A$2:$D$12000,4,FALSE)</f>
        <v>336</v>
      </c>
      <c r="R865">
        <f>VLOOKUP($B865&amp;R$1,Data!$A$2:$D$12000,4,FALSE)</f>
        <v>2.8999999999999998E-3</v>
      </c>
      <c r="S865">
        <f>VLOOKUP($B865&amp;S$1,Data!$A$2:$D$12000,4,FALSE)</f>
        <v>-4.4000000000000003E-3</v>
      </c>
      <c r="T865">
        <f>VLOOKUP($B865&amp;T$1,Data!$A$2:$D$12000,4,FALSE)</f>
        <v>3.0259999999999999E-2</v>
      </c>
      <c r="U865">
        <f>VLOOKUP($B865&amp;U$1,Data!$A$2:$D$12000,4,FALSE)</f>
        <v>3.7999999999999999E-2</v>
      </c>
      <c r="V865">
        <f>VLOOKUP($B865&amp;V$1,Data!$A$2:$D$12000,4,FALSE)</f>
        <v>0.105</v>
      </c>
      <c r="W865">
        <f>VLOOKUP($B865&amp;W$1,Data!$A$2:$D$12000,4,FALSE)</f>
        <v>2.0039999999999999E-2</v>
      </c>
      <c r="X865">
        <f>VLOOKUP($B865&amp;X$1,Data!$A$2:$D$12000,4,FALSE)</f>
        <v>0.33</v>
      </c>
      <c r="Y865">
        <f>VLOOKUP($B865&amp;Y$1,Data!$A$2:$D$12000,4,FALSE)</f>
        <v>0.67</v>
      </c>
      <c r="Z865">
        <f>VLOOKUP($B865&amp;Z$1,Data!$A$2:$D$12000,4,FALSE)</f>
        <v>0.66</v>
      </c>
      <c r="AA865">
        <f>VLOOKUP($B865&amp;AA$1,Data!$A$2:$D$12000,4,FALSE)</f>
        <v>8.9999999999999993E-3</v>
      </c>
      <c r="AB865">
        <f>VLOOKUP($B865&amp;AB$1,Data!$A$2:$D$12000,4,FALSE)</f>
        <v>0.23699999999999999</v>
      </c>
      <c r="AC865">
        <f>VLOOKUP($B865&amp;AC$1,Data!$A$2:$D$12000,4,FALSE)</f>
        <v>3.6999999999999998E-2</v>
      </c>
      <c r="AD865">
        <f>VLOOKUP($B865&amp;AD$1,Data!$A$2:$D$12000,4,FALSE)</f>
        <v>1E-3</v>
      </c>
      <c r="AE865">
        <f>VLOOKUP($B865&amp;AE$1,Data!$A$2:$D$12000,4,FALSE)</f>
        <v>-0.49399999999999999</v>
      </c>
      <c r="AF865">
        <f>VLOOKUP($B865&amp;AF$1,Data!$A$2:$D$12000,4,FALSE)</f>
        <v>6.0999999999999999E-2</v>
      </c>
      <c r="AG865">
        <f>VLOOKUP($B865&amp;AG$1,Data!$A$2:$D$12000,4,FALSE)</f>
        <v>9.0999999999999998E-2</v>
      </c>
      <c r="AH865">
        <f>VLOOKUP($B865&amp;AH$1,Data!$A$2:$D$12000,4,FALSE)</f>
        <v>0</v>
      </c>
      <c r="AI865">
        <f>VLOOKUP($B865&amp;AI$1,Data!$A$2:$D$12000,4,FALSE)</f>
        <v>8100000</v>
      </c>
    </row>
    <row r="866" spans="1:35" hidden="1">
      <c r="B866" s="23">
        <v>865</v>
      </c>
      <c r="C866" s="13" t="s">
        <v>58</v>
      </c>
      <c r="D866" t="s">
        <v>19</v>
      </c>
      <c r="E866" t="s">
        <v>3</v>
      </c>
      <c r="F866">
        <v>100</v>
      </c>
      <c r="G866" t="s">
        <v>17</v>
      </c>
      <c r="H866" s="5">
        <v>43831</v>
      </c>
      <c r="I866" s="5">
        <v>44562</v>
      </c>
      <c r="J866">
        <v>14</v>
      </c>
      <c r="K866">
        <v>9</v>
      </c>
      <c r="L866">
        <v>30</v>
      </c>
      <c r="M866">
        <v>70</v>
      </c>
      <c r="N866">
        <v>1000000</v>
      </c>
      <c r="O866">
        <f>VLOOKUP($B866&amp;O$1,Data!$A$2:$D$12000,4,FALSE)</f>
        <v>3.1E-4</v>
      </c>
      <c r="P866">
        <f>VLOOKUP($B866&amp;P$1,Data!$A$2:$D$12000,4,FALSE)</f>
        <v>-2.6840000000000002</v>
      </c>
      <c r="Q866">
        <f>VLOOKUP($B866&amp;Q$1,Data!$A$2:$D$12000,4,FALSE)</f>
        <v>1490</v>
      </c>
      <c r="R866">
        <f>VLOOKUP($B866&amp;R$1,Data!$A$2:$D$12000,4,FALSE)</f>
        <v>1E-4</v>
      </c>
      <c r="S866">
        <f>VLOOKUP($B866&amp;S$1,Data!$A$2:$D$12000,4,FALSE)</f>
        <v>-5.0000000000000001E-4</v>
      </c>
      <c r="T866">
        <f>VLOOKUP($B866&amp;T$1,Data!$A$2:$D$12000,4,FALSE)</f>
        <v>-2.4680000000000001E-2</v>
      </c>
      <c r="U866">
        <f>VLOOKUP($B866&amp;U$1,Data!$A$2:$D$12000,4,FALSE)</f>
        <v>1.9E-2</v>
      </c>
      <c r="V866">
        <f>VLOOKUP($B866&amp;V$1,Data!$A$2:$D$12000,4,FALSE)</f>
        <v>-0.23100000000000001</v>
      </c>
      <c r="W866">
        <f>VLOOKUP($B866&amp;W$1,Data!$A$2:$D$12000,4,FALSE)</f>
        <v>-1.643E-2</v>
      </c>
      <c r="X866">
        <f>VLOOKUP($B866&amp;X$1,Data!$A$2:$D$12000,4,FALSE)</f>
        <v>0.35</v>
      </c>
      <c r="Y866">
        <f>VLOOKUP($B866&amp;Y$1,Data!$A$2:$D$12000,4,FALSE)</f>
        <v>0.65</v>
      </c>
      <c r="Z866">
        <f>VLOOKUP($B866&amp;Z$1,Data!$A$2:$D$12000,4,FALSE)</f>
        <v>0.18</v>
      </c>
      <c r="AA866">
        <f>VLOOKUP($B866&amp;AA$1,Data!$A$2:$D$12000,4,FALSE)</f>
        <v>-1.7000000000000001E-2</v>
      </c>
      <c r="AB866">
        <f>VLOOKUP($B866&amp;AB$1,Data!$A$2:$D$12000,4,FALSE)</f>
        <v>-4.0000000000000001E-3</v>
      </c>
      <c r="AC866">
        <f>VLOOKUP($B866&amp;AC$1,Data!$A$2:$D$12000,4,FALSE)</f>
        <v>6.0000000000000001E-3</v>
      </c>
      <c r="AD866">
        <f>VLOOKUP($B866&amp;AD$1,Data!$A$2:$D$12000,4,FALSE)</f>
        <v>0</v>
      </c>
      <c r="AE866">
        <f>VLOOKUP($B866&amp;AE$1,Data!$A$2:$D$12000,4,FALSE)</f>
        <v>-1.01</v>
      </c>
      <c r="AF866">
        <f>VLOOKUP($B866&amp;AF$1,Data!$A$2:$D$12000,4,FALSE)</f>
        <v>6.8000000000000005E-2</v>
      </c>
      <c r="AG866">
        <f>VLOOKUP($B866&amp;AG$1,Data!$A$2:$D$12000,4,FALSE)</f>
        <v>4.3879999999999999</v>
      </c>
      <c r="AH866">
        <f>VLOOKUP($B866&amp;AH$1,Data!$A$2:$D$12000,4,FALSE)</f>
        <v>0</v>
      </c>
      <c r="AI866">
        <f>VLOOKUP($B866&amp;AI$1,Data!$A$2:$D$12000,4,FALSE)</f>
        <v>19000000</v>
      </c>
    </row>
    <row r="867" spans="1:35" hidden="1">
      <c r="B867" s="23">
        <v>866</v>
      </c>
      <c r="C867" s="13" t="s">
        <v>58</v>
      </c>
      <c r="D867" t="s">
        <v>19</v>
      </c>
      <c r="E867" t="s">
        <v>3</v>
      </c>
      <c r="F867">
        <v>1000</v>
      </c>
      <c r="G867" t="s">
        <v>17</v>
      </c>
      <c r="H867" s="5">
        <v>43831</v>
      </c>
      <c r="I867" s="5">
        <v>44562</v>
      </c>
      <c r="J867">
        <v>14</v>
      </c>
      <c r="K867">
        <v>9</v>
      </c>
      <c r="L867">
        <v>30</v>
      </c>
      <c r="M867">
        <v>70</v>
      </c>
      <c r="N867">
        <v>1000000</v>
      </c>
      <c r="O867">
        <f>VLOOKUP($B867&amp;O$1,Data!$A$2:$D$12000,4,FALSE)</f>
        <v>3.2000000000000003E-4</v>
      </c>
      <c r="P867">
        <f>VLOOKUP($B867&amp;P$1,Data!$A$2:$D$12000,4,FALSE)</f>
        <v>-2.343</v>
      </c>
      <c r="Q867">
        <f>VLOOKUP($B867&amp;Q$1,Data!$A$2:$D$12000,4,FALSE)</f>
        <v>1155</v>
      </c>
      <c r="R867">
        <f>VLOOKUP($B867&amp;R$1,Data!$A$2:$D$12000,4,FALSE)</f>
        <v>4.0000000000000002E-4</v>
      </c>
      <c r="S867">
        <f>VLOOKUP($B867&amp;S$1,Data!$A$2:$D$12000,4,FALSE)</f>
        <v>-1.6000000000000001E-3</v>
      </c>
      <c r="T867">
        <f>VLOOKUP($B867&amp;T$1,Data!$A$2:$D$12000,4,FALSE)</f>
        <v>-6.7849999999999994E-2</v>
      </c>
      <c r="U867">
        <f>VLOOKUP($B867&amp;U$1,Data!$A$2:$D$12000,4,FALSE)</f>
        <v>5.3999999999999999E-2</v>
      </c>
      <c r="V867">
        <f>VLOOKUP($B867&amp;V$1,Data!$A$2:$D$12000,4,FALSE)</f>
        <v>-0.20899999999999999</v>
      </c>
      <c r="W867">
        <f>VLOOKUP($B867&amp;W$1,Data!$A$2:$D$12000,4,FALSE)</f>
        <v>-4.5510000000000002E-2</v>
      </c>
      <c r="X867">
        <f>VLOOKUP($B867&amp;X$1,Data!$A$2:$D$12000,4,FALSE)</f>
        <v>0.35</v>
      </c>
      <c r="Y867">
        <f>VLOOKUP($B867&amp;Y$1,Data!$A$2:$D$12000,4,FALSE)</f>
        <v>0.65</v>
      </c>
      <c r="Z867">
        <f>VLOOKUP($B867&amp;Z$1,Data!$A$2:$D$12000,4,FALSE)</f>
        <v>0.22</v>
      </c>
      <c r="AA867">
        <f>VLOOKUP($B867&amp;AA$1,Data!$A$2:$D$12000,4,FALSE)</f>
        <v>-4.5999999999999999E-2</v>
      </c>
      <c r="AB867">
        <f>VLOOKUP($B867&amp;AB$1,Data!$A$2:$D$12000,4,FALSE)</f>
        <v>-2.5999999999999999E-2</v>
      </c>
      <c r="AC867">
        <f>VLOOKUP($B867&amp;AC$1,Data!$A$2:$D$12000,4,FALSE)</f>
        <v>0.02</v>
      </c>
      <c r="AD867">
        <f>VLOOKUP($B867&amp;AD$1,Data!$A$2:$D$12000,4,FALSE)</f>
        <v>0</v>
      </c>
      <c r="AE867">
        <f>VLOOKUP($B867&amp;AE$1,Data!$A$2:$D$12000,4,FALSE)</f>
        <v>-1.3720000000000001</v>
      </c>
      <c r="AF867">
        <f>VLOOKUP($B867&amp;AF$1,Data!$A$2:$D$12000,4,FALSE)</f>
        <v>7.1999999999999995E-2</v>
      </c>
      <c r="AG867">
        <f>VLOOKUP($B867&amp;AG$1,Data!$A$2:$D$12000,4,FALSE)</f>
        <v>1.8160000000000001</v>
      </c>
      <c r="AH867">
        <f>VLOOKUP($B867&amp;AH$1,Data!$A$2:$D$12000,4,FALSE)</f>
        <v>0</v>
      </c>
      <c r="AI867">
        <f>VLOOKUP($B867&amp;AI$1,Data!$A$2:$D$12000,4,FALSE)</f>
        <v>4700000</v>
      </c>
    </row>
    <row r="868" spans="1:35" hidden="1">
      <c r="B868" s="23">
        <v>867</v>
      </c>
      <c r="C868" s="13" t="s">
        <v>58</v>
      </c>
      <c r="D868" t="s">
        <v>19</v>
      </c>
      <c r="E868" t="s">
        <v>3</v>
      </c>
      <c r="F868">
        <v>5000</v>
      </c>
      <c r="G868" t="s">
        <v>17</v>
      </c>
      <c r="H868" s="5">
        <v>43831</v>
      </c>
      <c r="I868" s="5">
        <v>44562</v>
      </c>
      <c r="J868">
        <v>14</v>
      </c>
      <c r="K868">
        <v>9</v>
      </c>
      <c r="L868">
        <v>30</v>
      </c>
      <c r="M868">
        <v>70</v>
      </c>
      <c r="N868">
        <v>1000000</v>
      </c>
      <c r="O868">
        <f>VLOOKUP($B868&amp;O$1,Data!$A$2:$D$12000,4,FALSE)</f>
        <v>2.99E-3</v>
      </c>
      <c r="P868">
        <f>VLOOKUP($B868&amp;P$1,Data!$A$2:$D$12000,4,FALSE)</f>
        <v>-1.702</v>
      </c>
      <c r="Q868">
        <f>VLOOKUP($B868&amp;Q$1,Data!$A$2:$D$12000,4,FALSE)</f>
        <v>878</v>
      </c>
      <c r="R868">
        <f>VLOOKUP($B868&amp;R$1,Data!$A$2:$D$12000,4,FALSE)</f>
        <v>5.9999999999999995E-4</v>
      </c>
      <c r="S868">
        <f>VLOOKUP($B868&amp;S$1,Data!$A$2:$D$12000,4,FALSE)</f>
        <v>-2.3E-3</v>
      </c>
      <c r="T868">
        <f>VLOOKUP($B868&amp;T$1,Data!$A$2:$D$12000,4,FALSE)</f>
        <v>-7.0599999999999996E-2</v>
      </c>
      <c r="U868">
        <f>VLOOKUP($B868&amp;U$1,Data!$A$2:$D$12000,4,FALSE)</f>
        <v>6.5000000000000002E-2</v>
      </c>
      <c r="V868">
        <f>VLOOKUP($B868&amp;V$1,Data!$A$2:$D$12000,4,FALSE)</f>
        <v>-0.158</v>
      </c>
      <c r="W868">
        <f>VLOOKUP($B868&amp;W$1,Data!$A$2:$D$12000,4,FALSE)</f>
        <v>-4.7379999999999999E-2</v>
      </c>
      <c r="X868">
        <f>VLOOKUP($B868&amp;X$1,Data!$A$2:$D$12000,4,FALSE)</f>
        <v>0.32</v>
      </c>
      <c r="Y868">
        <f>VLOOKUP($B868&amp;Y$1,Data!$A$2:$D$12000,4,FALSE)</f>
        <v>0.68</v>
      </c>
      <c r="Z868">
        <f>VLOOKUP($B868&amp;Z$1,Data!$A$2:$D$12000,4,FALSE)</f>
        <v>0.24</v>
      </c>
      <c r="AA868">
        <f>VLOOKUP($B868&amp;AA$1,Data!$A$2:$D$12000,4,FALSE)</f>
        <v>-4.8000000000000001E-2</v>
      </c>
      <c r="AB868">
        <f>VLOOKUP($B868&amp;AB$1,Data!$A$2:$D$12000,4,FALSE)</f>
        <v>-1.2999999999999999E-2</v>
      </c>
      <c r="AC868">
        <f>VLOOKUP($B868&amp;AC$1,Data!$A$2:$D$12000,4,FALSE)</f>
        <v>2.9000000000000001E-2</v>
      </c>
      <c r="AD868">
        <f>VLOOKUP($B868&amp;AD$1,Data!$A$2:$D$12000,4,FALSE)</f>
        <v>1E-3</v>
      </c>
      <c r="AE868">
        <f>VLOOKUP($B868&amp;AE$1,Data!$A$2:$D$12000,4,FALSE)</f>
        <v>-1.357</v>
      </c>
      <c r="AF868">
        <f>VLOOKUP($B868&amp;AF$1,Data!$A$2:$D$12000,4,FALSE)</f>
        <v>7.3999999999999996E-2</v>
      </c>
      <c r="AG868">
        <f>VLOOKUP($B868&amp;AG$1,Data!$A$2:$D$12000,4,FALSE)</f>
        <v>3.798</v>
      </c>
      <c r="AH868">
        <f>VLOOKUP($B868&amp;AH$1,Data!$A$2:$D$12000,4,FALSE)</f>
        <v>0</v>
      </c>
      <c r="AI868">
        <f>VLOOKUP($B868&amp;AI$1,Data!$A$2:$D$12000,4,FALSE)</f>
        <v>4600000</v>
      </c>
    </row>
    <row r="869" spans="1:35" hidden="1">
      <c r="B869" s="23">
        <v>868</v>
      </c>
      <c r="C869" s="13" t="s">
        <v>58</v>
      </c>
      <c r="D869" t="s">
        <v>19</v>
      </c>
      <c r="E869" t="s">
        <v>2</v>
      </c>
      <c r="F869">
        <v>100</v>
      </c>
      <c r="G869" t="s">
        <v>17</v>
      </c>
      <c r="H869" s="5">
        <v>43831</v>
      </c>
      <c r="I869" s="5">
        <v>44562</v>
      </c>
      <c r="J869">
        <v>14</v>
      </c>
      <c r="K869">
        <v>9</v>
      </c>
      <c r="L869">
        <v>30</v>
      </c>
      <c r="M869">
        <v>70</v>
      </c>
      <c r="N869">
        <v>1000000</v>
      </c>
      <c r="O869">
        <f>VLOOKUP($B869&amp;O$1,Data!$A$2:$D$12000,4,FALSE)</f>
        <v>0.2077</v>
      </c>
      <c r="P869">
        <f>VLOOKUP($B869&amp;P$1,Data!$A$2:$D$12000,4,FALSE)</f>
        <v>0.16900000000000001</v>
      </c>
      <c r="Q869">
        <f>VLOOKUP($B869&amp;Q$1,Data!$A$2:$D$12000,4,FALSE)</f>
        <v>1144</v>
      </c>
      <c r="R869">
        <f>VLOOKUP($B869&amp;R$1,Data!$A$2:$D$12000,4,FALSE)</f>
        <v>2.0000000000000001E-4</v>
      </c>
      <c r="S869">
        <f>VLOOKUP($B869&amp;S$1,Data!$A$2:$D$12000,4,FALSE)</f>
        <v>-4.0000000000000002E-4</v>
      </c>
      <c r="T869">
        <f>VLOOKUP($B869&amp;T$1,Data!$A$2:$D$12000,4,FALSE)</f>
        <v>1.7600000000000001E-3</v>
      </c>
      <c r="U869">
        <f>VLOOKUP($B869&amp;U$1,Data!$A$2:$D$12000,4,FALSE)</f>
        <v>8.0000000000000002E-3</v>
      </c>
      <c r="V869">
        <f>VLOOKUP($B869&amp;V$1,Data!$A$2:$D$12000,4,FALSE)</f>
        <v>0.02</v>
      </c>
      <c r="W869">
        <f>VLOOKUP($B869&amp;W$1,Data!$A$2:$D$12000,4,FALSE)</f>
        <v>1.17E-3</v>
      </c>
      <c r="X869">
        <f>VLOOKUP($B869&amp;X$1,Data!$A$2:$D$12000,4,FALSE)</f>
        <v>0.33</v>
      </c>
      <c r="Y869">
        <f>VLOOKUP($B869&amp;Y$1,Data!$A$2:$D$12000,4,FALSE)</f>
        <v>0.67</v>
      </c>
      <c r="Z869">
        <f>VLOOKUP($B869&amp;Z$1,Data!$A$2:$D$12000,4,FALSE)</f>
        <v>0.52</v>
      </c>
      <c r="AA869">
        <f>VLOOKUP($B869&amp;AA$1,Data!$A$2:$D$12000,4,FALSE)</f>
        <v>2E-3</v>
      </c>
      <c r="AB869">
        <f>VLOOKUP($B869&amp;AB$1,Data!$A$2:$D$12000,4,FALSE)</f>
        <v>-0.02</v>
      </c>
      <c r="AC869">
        <f>VLOOKUP($B869&amp;AC$1,Data!$A$2:$D$12000,4,FALSE)</f>
        <v>7.0000000000000001E-3</v>
      </c>
      <c r="AD869">
        <f>VLOOKUP($B869&amp;AD$1,Data!$A$2:$D$12000,4,FALSE)</f>
        <v>0</v>
      </c>
      <c r="AE869">
        <f>VLOOKUP($B869&amp;AE$1,Data!$A$2:$D$12000,4,FALSE)</f>
        <v>-0.72699999999999998</v>
      </c>
      <c r="AF869">
        <f>VLOOKUP($B869&amp;AF$1,Data!$A$2:$D$12000,4,FALSE)</f>
        <v>6.9000000000000006E-2</v>
      </c>
      <c r="AG869">
        <f>VLOOKUP($B869&amp;AG$1,Data!$A$2:$D$12000,4,FALSE)</f>
        <v>-6.2E-2</v>
      </c>
      <c r="AH869">
        <f>VLOOKUP($B869&amp;AH$1,Data!$A$2:$D$12000,4,FALSE)</f>
        <v>0</v>
      </c>
      <c r="AI869">
        <f>VLOOKUP($B869&amp;AI$1,Data!$A$2:$D$12000,4,FALSE)</f>
        <v>170000000</v>
      </c>
    </row>
    <row r="870" spans="1:35" hidden="1">
      <c r="B870" s="23">
        <v>869</v>
      </c>
      <c r="C870" s="13" t="s">
        <v>58</v>
      </c>
      <c r="D870" t="s">
        <v>19</v>
      </c>
      <c r="E870" t="s">
        <v>2</v>
      </c>
      <c r="F870">
        <v>1000</v>
      </c>
      <c r="G870" t="s">
        <v>17</v>
      </c>
      <c r="H870" s="5">
        <v>43831</v>
      </c>
      <c r="I870" s="5">
        <v>44562</v>
      </c>
      <c r="J870">
        <v>14</v>
      </c>
      <c r="K870">
        <v>9</v>
      </c>
      <c r="L870">
        <v>30</v>
      </c>
      <c r="M870">
        <v>70</v>
      </c>
      <c r="N870">
        <v>1000000</v>
      </c>
      <c r="O870">
        <f>VLOOKUP($B870&amp;O$1,Data!$A$2:$D$12000,4,FALSE)</f>
        <v>0.254</v>
      </c>
      <c r="P870">
        <f>VLOOKUP($B870&amp;P$1,Data!$A$2:$D$12000,4,FALSE)</f>
        <v>0.33200000000000002</v>
      </c>
      <c r="Q870">
        <f>VLOOKUP($B870&amp;Q$1,Data!$A$2:$D$12000,4,FALSE)</f>
        <v>896</v>
      </c>
      <c r="R870">
        <f>VLOOKUP($B870&amp;R$1,Data!$A$2:$D$12000,4,FALSE)</f>
        <v>6.9999999999999999E-4</v>
      </c>
      <c r="S870">
        <f>VLOOKUP($B870&amp;S$1,Data!$A$2:$D$12000,4,FALSE)</f>
        <v>-1.2999999999999999E-3</v>
      </c>
      <c r="T870">
        <f>VLOOKUP($B870&amp;T$1,Data!$A$2:$D$12000,4,FALSE)</f>
        <v>1.0460000000000001E-2</v>
      </c>
      <c r="U870">
        <f>VLOOKUP($B870&amp;U$1,Data!$A$2:$D$12000,4,FALSE)</f>
        <v>3.1E-2</v>
      </c>
      <c r="V870">
        <f>VLOOKUP($B870&amp;V$1,Data!$A$2:$D$12000,4,FALSE)</f>
        <v>0.04</v>
      </c>
      <c r="W870">
        <f>VLOOKUP($B870&amp;W$1,Data!$A$2:$D$12000,4,FALSE)</f>
        <v>6.9199999999999999E-3</v>
      </c>
      <c r="X870">
        <f>VLOOKUP($B870&amp;X$1,Data!$A$2:$D$12000,4,FALSE)</f>
        <v>0.33</v>
      </c>
      <c r="Y870">
        <f>VLOOKUP($B870&amp;Y$1,Data!$A$2:$D$12000,4,FALSE)</f>
        <v>0.67</v>
      </c>
      <c r="Z870">
        <f>VLOOKUP($B870&amp;Z$1,Data!$A$2:$D$12000,4,FALSE)</f>
        <v>0.55000000000000004</v>
      </c>
      <c r="AA870">
        <f>VLOOKUP($B870&amp;AA$1,Data!$A$2:$D$12000,4,FALSE)</f>
        <v>1.2E-2</v>
      </c>
      <c r="AB870">
        <f>VLOOKUP($B870&amp;AB$1,Data!$A$2:$D$12000,4,FALSE)</f>
        <v>-8.1000000000000003E-2</v>
      </c>
      <c r="AC870">
        <f>VLOOKUP($B870&amp;AC$1,Data!$A$2:$D$12000,4,FALSE)</f>
        <v>2.3E-2</v>
      </c>
      <c r="AD870">
        <f>VLOOKUP($B870&amp;AD$1,Data!$A$2:$D$12000,4,FALSE)</f>
        <v>1E-3</v>
      </c>
      <c r="AE870">
        <f>VLOOKUP($B870&amp;AE$1,Data!$A$2:$D$12000,4,FALSE)</f>
        <v>-0.58699999999999997</v>
      </c>
      <c r="AF870">
        <f>VLOOKUP($B870&amp;AF$1,Data!$A$2:$D$12000,4,FALSE)</f>
        <v>7.5999999999999998E-2</v>
      </c>
      <c r="AG870">
        <f>VLOOKUP($B870&amp;AG$1,Data!$A$2:$D$12000,4,FALSE)</f>
        <v>-9.1999999999999998E-2</v>
      </c>
      <c r="AH870">
        <f>VLOOKUP($B870&amp;AH$1,Data!$A$2:$D$12000,4,FALSE)</f>
        <v>0</v>
      </c>
      <c r="AI870">
        <f>VLOOKUP($B870&amp;AI$1,Data!$A$2:$D$12000,4,FALSE)</f>
        <v>23000000</v>
      </c>
    </row>
    <row r="871" spans="1:35" hidden="1">
      <c r="B871" s="23">
        <v>870</v>
      </c>
      <c r="C871" s="13" t="s">
        <v>58</v>
      </c>
      <c r="D871" t="s">
        <v>19</v>
      </c>
      <c r="E871" t="s">
        <v>2</v>
      </c>
      <c r="F871">
        <v>5000</v>
      </c>
      <c r="G871" t="s">
        <v>17</v>
      </c>
      <c r="H871" s="5">
        <v>43831</v>
      </c>
      <c r="I871" s="5">
        <v>44562</v>
      </c>
      <c r="J871">
        <v>14</v>
      </c>
      <c r="K871">
        <v>9</v>
      </c>
      <c r="L871">
        <v>30</v>
      </c>
      <c r="M871">
        <v>70</v>
      </c>
      <c r="N871">
        <v>1000000</v>
      </c>
      <c r="O871">
        <f>VLOOKUP($B871&amp;O$1,Data!$A$2:$D$12000,4,FALSE)</f>
        <v>4.4729999999999999E-2</v>
      </c>
      <c r="P871">
        <f>VLOOKUP($B871&amp;P$1,Data!$A$2:$D$12000,4,FALSE)</f>
        <v>-0.71199999999999997</v>
      </c>
      <c r="Q871">
        <f>VLOOKUP($B871&amp;Q$1,Data!$A$2:$D$12000,4,FALSE)</f>
        <v>677</v>
      </c>
      <c r="R871">
        <f>VLOOKUP($B871&amp;R$1,Data!$A$2:$D$12000,4,FALSE)</f>
        <v>8.0000000000000004E-4</v>
      </c>
      <c r="S871">
        <f>VLOOKUP($B871&amp;S$1,Data!$A$2:$D$12000,4,FALSE)</f>
        <v>-2.0999999999999999E-3</v>
      </c>
      <c r="T871">
        <f>VLOOKUP($B871&amp;T$1,Data!$A$2:$D$12000,4,FALSE)</f>
        <v>-2.7390000000000001E-2</v>
      </c>
      <c r="U871">
        <f>VLOOKUP($B871&amp;U$1,Data!$A$2:$D$12000,4,FALSE)</f>
        <v>4.4999999999999998E-2</v>
      </c>
      <c r="V871">
        <f>VLOOKUP($B871&amp;V$1,Data!$A$2:$D$12000,4,FALSE)</f>
        <v>-7.6999999999999999E-2</v>
      </c>
      <c r="W871">
        <f>VLOOKUP($B871&amp;W$1,Data!$A$2:$D$12000,4,FALSE)</f>
        <v>-1.8239999999999999E-2</v>
      </c>
      <c r="X871">
        <f>VLOOKUP($B871&amp;X$1,Data!$A$2:$D$12000,4,FALSE)</f>
        <v>0.32</v>
      </c>
      <c r="Y871">
        <f>VLOOKUP($B871&amp;Y$1,Data!$A$2:$D$12000,4,FALSE)</f>
        <v>0.68</v>
      </c>
      <c r="Z871">
        <f>VLOOKUP($B871&amp;Z$1,Data!$A$2:$D$12000,4,FALSE)</f>
        <v>0.36</v>
      </c>
      <c r="AA871">
        <f>VLOOKUP($B871&amp;AA$1,Data!$A$2:$D$12000,4,FALSE)</f>
        <v>-1.4E-2</v>
      </c>
      <c r="AB871">
        <f>VLOOKUP($B871&amp;AB$1,Data!$A$2:$D$12000,4,FALSE)</f>
        <v>-9.5000000000000001E-2</v>
      </c>
      <c r="AC871">
        <f>VLOOKUP($B871&amp;AC$1,Data!$A$2:$D$12000,4,FALSE)</f>
        <v>2.5999999999999999E-2</v>
      </c>
      <c r="AD871">
        <f>VLOOKUP($B871&amp;AD$1,Data!$A$2:$D$12000,4,FALSE)</f>
        <v>1E-3</v>
      </c>
      <c r="AE871">
        <f>VLOOKUP($B871&amp;AE$1,Data!$A$2:$D$12000,4,FALSE)</f>
        <v>-0.9</v>
      </c>
      <c r="AF871">
        <f>VLOOKUP($B871&amp;AF$1,Data!$A$2:$D$12000,4,FALSE)</f>
        <v>7.8E-2</v>
      </c>
      <c r="AG871">
        <f>VLOOKUP($B871&amp;AG$1,Data!$A$2:$D$12000,4,FALSE)</f>
        <v>0.19800000000000001</v>
      </c>
      <c r="AH871">
        <f>VLOOKUP($B871&amp;AH$1,Data!$A$2:$D$12000,4,FALSE)</f>
        <v>0</v>
      </c>
      <c r="AI871">
        <f>VLOOKUP($B871&amp;AI$1,Data!$A$2:$D$12000,4,FALSE)</f>
        <v>7100000</v>
      </c>
    </row>
    <row r="872" spans="1:35">
      <c r="A872" s="37" t="s">
        <v>59</v>
      </c>
      <c r="B872" s="37">
        <v>827</v>
      </c>
      <c r="C872" s="37" t="s">
        <v>58</v>
      </c>
      <c r="D872" s="37" t="s">
        <v>6</v>
      </c>
      <c r="E872" s="37" t="s">
        <v>22</v>
      </c>
      <c r="F872" s="37">
        <v>1000</v>
      </c>
      <c r="G872" s="37" t="s">
        <v>17</v>
      </c>
      <c r="H872" s="38">
        <v>43831</v>
      </c>
      <c r="I872" s="38">
        <v>44562</v>
      </c>
      <c r="J872" s="37">
        <v>14</v>
      </c>
      <c r="K872" s="37">
        <v>9</v>
      </c>
      <c r="L872" s="37">
        <v>32</v>
      </c>
      <c r="M872" s="37">
        <v>68</v>
      </c>
      <c r="N872" s="37">
        <v>1000000</v>
      </c>
      <c r="O872">
        <f>VLOOKUP($B872&amp;O$1,Data!$A$2:$D$12000,4,FALSE)</f>
        <v>0.99136000000000002</v>
      </c>
      <c r="P872">
        <f>VLOOKUP($B872&amp;P$1,Data!$A$2:$D$12000,4,FALSE)</f>
        <v>2.86</v>
      </c>
      <c r="Q872">
        <f>VLOOKUP($B872&amp;Q$1,Data!$A$2:$D$12000,4,FALSE)</f>
        <v>676</v>
      </c>
      <c r="R872">
        <f>VLOOKUP($B872&amp;R$1,Data!$A$2:$D$12000,4,FALSE)</f>
        <v>3.3E-3</v>
      </c>
      <c r="S872">
        <f>VLOOKUP($B872&amp;S$1,Data!$A$2:$D$12000,4,FALSE)</f>
        <v>-1.8E-3</v>
      </c>
      <c r="T872">
        <f>VLOOKUP($B872&amp;T$1,Data!$A$2:$D$12000,4,FALSE)</f>
        <v>0.16496</v>
      </c>
      <c r="U872">
        <f>VLOOKUP($B872&amp;U$1,Data!$A$2:$D$12000,4,FALSE)</f>
        <v>1.2E-2</v>
      </c>
      <c r="V872">
        <f>VLOOKUP($B872&amp;V$1,Data!$A$2:$D$12000,4,FALSE)</f>
        <v>1.04</v>
      </c>
      <c r="W872">
        <f>VLOOKUP($B872&amp;W$1,Data!$A$2:$D$12000,4,FALSE)</f>
        <v>0.10650999999999999</v>
      </c>
      <c r="X872">
        <f>VLOOKUP($B872&amp;X$1,Data!$A$2:$D$12000,4,FALSE)</f>
        <v>0.28999999999999998</v>
      </c>
      <c r="Y872">
        <f>VLOOKUP($B872&amp;Y$1,Data!$A$2:$D$12000,4,FALSE)</f>
        <v>0.71</v>
      </c>
      <c r="Z872">
        <f>VLOOKUP($B872&amp;Z$1,Data!$A$2:$D$12000,4,FALSE)</f>
        <v>1.89</v>
      </c>
      <c r="AA872">
        <f>VLOOKUP($B872&amp;AA$1,Data!$A$2:$D$12000,4,FALSE)</f>
        <v>0.109</v>
      </c>
      <c r="AB872">
        <f>VLOOKUP($B872&amp;AB$1,Data!$A$2:$D$12000,4,FALSE)</f>
        <v>5.8999999999999997E-2</v>
      </c>
      <c r="AC872">
        <f>VLOOKUP($B872&amp;AC$1,Data!$A$2:$D$12000,4,FALSE)</f>
        <v>3.9E-2</v>
      </c>
      <c r="AD872">
        <f>VLOOKUP($B872&amp;AD$1,Data!$A$2:$D$12000,4,FALSE)</f>
        <v>2E-3</v>
      </c>
      <c r="AE872">
        <f>VLOOKUP($B872&amp;AE$1,Data!$A$2:$D$12000,4,FALSE)</f>
        <v>0.81899999999999995</v>
      </c>
      <c r="AF872">
        <f>VLOOKUP($B872&amp;AF$1,Data!$A$2:$D$12000,4,FALSE)</f>
        <v>7.4999999999999997E-2</v>
      </c>
      <c r="AG872">
        <f>VLOOKUP($B872&amp;AG$1,Data!$A$2:$D$12000,4,FALSE)</f>
        <v>1.907</v>
      </c>
      <c r="AH872">
        <f>VLOOKUP($B872&amp;AH$1,Data!$A$2:$D$12000,4,FALSE)</f>
        <v>0</v>
      </c>
      <c r="AI872">
        <f>VLOOKUP($B872&amp;AI$1,Data!$A$2:$D$12000,4,FALSE)</f>
        <v>7700000</v>
      </c>
    </row>
    <row r="873" spans="1:35" hidden="1">
      <c r="B873" s="23">
        <v>872</v>
      </c>
      <c r="C873" s="13" t="s">
        <v>58</v>
      </c>
      <c r="D873" t="s">
        <v>19</v>
      </c>
      <c r="E873" t="s">
        <v>22</v>
      </c>
      <c r="F873">
        <v>1000</v>
      </c>
      <c r="G873" t="s">
        <v>17</v>
      </c>
      <c r="H873" s="5">
        <v>43831</v>
      </c>
      <c r="I873" s="5">
        <v>44562</v>
      </c>
      <c r="J873">
        <v>14</v>
      </c>
      <c r="K873">
        <v>9</v>
      </c>
      <c r="L873">
        <v>30</v>
      </c>
      <c r="M873">
        <v>70</v>
      </c>
      <c r="N873">
        <v>1000000</v>
      </c>
      <c r="O873">
        <f>VLOOKUP($B873&amp;O$1,Data!$A$2:$D$12000,4,FALSE)</f>
        <v>0.43635000000000002</v>
      </c>
      <c r="P873">
        <f>VLOOKUP($B873&amp;P$1,Data!$A$2:$D$12000,4,FALSE)</f>
        <v>0.85</v>
      </c>
      <c r="Q873">
        <f>VLOOKUP($B873&amp;Q$1,Data!$A$2:$D$12000,4,FALSE)</f>
        <v>663</v>
      </c>
      <c r="R873">
        <f>VLOOKUP($B873&amp;R$1,Data!$A$2:$D$12000,4,FALSE)</f>
        <v>6.9999999999999999E-4</v>
      </c>
      <c r="S873">
        <f>VLOOKUP($B873&amp;S$1,Data!$A$2:$D$12000,4,FALSE)</f>
        <v>-1.2999999999999999E-3</v>
      </c>
      <c r="T873">
        <f>VLOOKUP($B873&amp;T$1,Data!$A$2:$D$12000,4,FALSE)</f>
        <v>2.3619999999999999E-2</v>
      </c>
      <c r="U873">
        <f>VLOOKUP($B873&amp;U$1,Data!$A$2:$D$12000,4,FALSE)</f>
        <v>1.9E-2</v>
      </c>
      <c r="V873">
        <f>VLOOKUP($B873&amp;V$1,Data!$A$2:$D$12000,4,FALSE)</f>
        <v>0.13500000000000001</v>
      </c>
      <c r="W873">
        <f>VLOOKUP($B873&amp;W$1,Data!$A$2:$D$12000,4,FALSE)</f>
        <v>1.559E-2</v>
      </c>
      <c r="X873">
        <f>VLOOKUP($B873&amp;X$1,Data!$A$2:$D$12000,4,FALSE)</f>
        <v>0.26</v>
      </c>
      <c r="Y873">
        <f>VLOOKUP($B873&amp;Y$1,Data!$A$2:$D$12000,4,FALSE)</f>
        <v>0.74</v>
      </c>
      <c r="Z873">
        <f>VLOOKUP($B873&amp;Z$1,Data!$A$2:$D$12000,4,FALSE)</f>
        <v>0.53</v>
      </c>
      <c r="AA873">
        <f>VLOOKUP($B873&amp;AA$1,Data!$A$2:$D$12000,4,FALSE)</f>
        <v>1.7999999999999999E-2</v>
      </c>
      <c r="AB873">
        <f>VLOOKUP($B873&amp;AB$1,Data!$A$2:$D$12000,4,FALSE)</f>
        <v>-2.3E-2</v>
      </c>
      <c r="AC873">
        <f>VLOOKUP($B873&amp;AC$1,Data!$A$2:$D$12000,4,FALSE)</f>
        <v>1.9E-2</v>
      </c>
      <c r="AD873">
        <f>VLOOKUP($B873&amp;AD$1,Data!$A$2:$D$12000,4,FALSE)</f>
        <v>0</v>
      </c>
      <c r="AE873">
        <f>VLOOKUP($B873&amp;AE$1,Data!$A$2:$D$12000,4,FALSE)</f>
        <v>-0.48799999999999999</v>
      </c>
      <c r="AF873">
        <f>VLOOKUP($B873&amp;AF$1,Data!$A$2:$D$12000,4,FALSE)</f>
        <v>7.1999999999999995E-2</v>
      </c>
      <c r="AG873">
        <f>VLOOKUP($B873&amp;AG$1,Data!$A$2:$D$12000,4,FALSE)</f>
        <v>-0.70799999999999996</v>
      </c>
      <c r="AH873">
        <f>VLOOKUP($B873&amp;AH$1,Data!$A$2:$D$12000,4,FALSE)</f>
        <v>0</v>
      </c>
      <c r="AI873">
        <f>VLOOKUP($B873&amp;AI$1,Data!$A$2:$D$12000,4,FALSE)</f>
        <v>7800000</v>
      </c>
    </row>
    <row r="874" spans="1:35" hidden="1">
      <c r="B874" s="23">
        <v>873</v>
      </c>
      <c r="C874" s="13" t="s">
        <v>58</v>
      </c>
      <c r="D874" t="s">
        <v>19</v>
      </c>
      <c r="E874" t="s">
        <v>22</v>
      </c>
      <c r="F874">
        <v>5000</v>
      </c>
      <c r="G874" t="s">
        <v>17</v>
      </c>
      <c r="H874" s="5">
        <v>43831</v>
      </c>
      <c r="I874" s="5">
        <v>44562</v>
      </c>
      <c r="J874">
        <v>14</v>
      </c>
      <c r="K874">
        <v>9</v>
      </c>
      <c r="L874">
        <v>30</v>
      </c>
      <c r="M874">
        <v>70</v>
      </c>
      <c r="N874">
        <v>1000000</v>
      </c>
      <c r="O874">
        <f>VLOOKUP($B874&amp;O$1,Data!$A$2:$D$12000,4,FALSE)</f>
        <v>0.31566</v>
      </c>
      <c r="P874">
        <f>VLOOKUP($B874&amp;P$1,Data!$A$2:$D$12000,4,FALSE)</f>
        <v>0.52200000000000002</v>
      </c>
      <c r="Q874">
        <f>VLOOKUP($B874&amp;Q$1,Data!$A$2:$D$12000,4,FALSE)</f>
        <v>507</v>
      </c>
      <c r="R874">
        <f>VLOOKUP($B874&amp;R$1,Data!$A$2:$D$12000,4,FALSE)</f>
        <v>6.9999999999999999E-4</v>
      </c>
      <c r="S874">
        <f>VLOOKUP($B874&amp;S$1,Data!$A$2:$D$12000,4,FALSE)</f>
        <v>-1.8E-3</v>
      </c>
      <c r="T874">
        <f>VLOOKUP($B874&amp;T$1,Data!$A$2:$D$12000,4,FALSE)</f>
        <v>1.8380000000000001E-2</v>
      </c>
      <c r="U874">
        <f>VLOOKUP($B874&amp;U$1,Data!$A$2:$D$12000,4,FALSE)</f>
        <v>2.3E-2</v>
      </c>
      <c r="V874">
        <f>VLOOKUP($B874&amp;V$1,Data!$A$2:$D$12000,4,FALSE)</f>
        <v>9.5000000000000001E-2</v>
      </c>
      <c r="W874">
        <f>VLOOKUP($B874&amp;W$1,Data!$A$2:$D$12000,4,FALSE)</f>
        <v>1.2149999999999999E-2</v>
      </c>
      <c r="X874">
        <f>VLOOKUP($B874&amp;X$1,Data!$A$2:$D$12000,4,FALSE)</f>
        <v>0.23</v>
      </c>
      <c r="Y874">
        <f>VLOOKUP($B874&amp;Y$1,Data!$A$2:$D$12000,4,FALSE)</f>
        <v>0.77</v>
      </c>
      <c r="Z874">
        <f>VLOOKUP($B874&amp;Z$1,Data!$A$2:$D$12000,4,FALSE)</f>
        <v>0.42</v>
      </c>
      <c r="AA874">
        <f>VLOOKUP($B874&amp;AA$1,Data!$A$2:$D$12000,4,FALSE)</f>
        <v>1.6E-2</v>
      </c>
      <c r="AB874">
        <f>VLOOKUP($B874&amp;AB$1,Data!$A$2:$D$12000,4,FALSE)</f>
        <v>-0.06</v>
      </c>
      <c r="AC874">
        <f>VLOOKUP($B874&amp;AC$1,Data!$A$2:$D$12000,4,FALSE)</f>
        <v>2.5000000000000001E-2</v>
      </c>
      <c r="AD874">
        <f>VLOOKUP($B874&amp;AD$1,Data!$A$2:$D$12000,4,FALSE)</f>
        <v>1E-3</v>
      </c>
      <c r="AE874">
        <f>VLOOKUP($B874&amp;AE$1,Data!$A$2:$D$12000,4,FALSE)</f>
        <v>-0.50900000000000001</v>
      </c>
      <c r="AF874">
        <f>VLOOKUP($B874&amp;AF$1,Data!$A$2:$D$12000,4,FALSE)</f>
        <v>7.5999999999999998E-2</v>
      </c>
      <c r="AG874">
        <f>VLOOKUP($B874&amp;AG$1,Data!$A$2:$D$12000,4,FALSE)</f>
        <v>-0.218</v>
      </c>
      <c r="AH874">
        <f>VLOOKUP($B874&amp;AH$1,Data!$A$2:$D$12000,4,FALSE)</f>
        <v>0</v>
      </c>
      <c r="AI874">
        <f>VLOOKUP($B874&amp;AI$1,Data!$A$2:$D$12000,4,FALSE)</f>
        <v>6500000</v>
      </c>
    </row>
    <row r="875" spans="1:35" hidden="1">
      <c r="B875" s="23">
        <v>874</v>
      </c>
      <c r="C875" s="13" t="s">
        <v>58</v>
      </c>
      <c r="D875" t="s">
        <v>19</v>
      </c>
      <c r="E875" t="s">
        <v>3</v>
      </c>
      <c r="F875">
        <v>100</v>
      </c>
      <c r="G875" t="s">
        <v>17</v>
      </c>
      <c r="H875" s="5">
        <v>43831</v>
      </c>
      <c r="I875" s="5">
        <v>44562</v>
      </c>
      <c r="J875">
        <v>14</v>
      </c>
      <c r="K875">
        <v>9</v>
      </c>
      <c r="L875">
        <v>32</v>
      </c>
      <c r="M875">
        <v>68</v>
      </c>
      <c r="N875">
        <v>1000000</v>
      </c>
      <c r="O875">
        <f>VLOOKUP($B875&amp;O$1,Data!$A$2:$D$12000,4,FALSE)</f>
        <v>1.3999999999999999E-4</v>
      </c>
      <c r="P875">
        <f>VLOOKUP($B875&amp;P$1,Data!$A$2:$D$12000,4,FALSE)</f>
        <v>-2.395</v>
      </c>
      <c r="Q875">
        <f>VLOOKUP($B875&amp;Q$1,Data!$A$2:$D$12000,4,FALSE)</f>
        <v>1957</v>
      </c>
      <c r="R875">
        <f>VLOOKUP($B875&amp;R$1,Data!$A$2:$D$12000,4,FALSE)</f>
        <v>1E-4</v>
      </c>
      <c r="S875">
        <f>VLOOKUP($B875&amp;S$1,Data!$A$2:$D$12000,4,FALSE)</f>
        <v>-5.0000000000000001E-4</v>
      </c>
      <c r="T875">
        <f>VLOOKUP($B875&amp;T$1,Data!$A$2:$D$12000,4,FALSE)</f>
        <v>-2.3859999999999999E-2</v>
      </c>
      <c r="U875">
        <f>VLOOKUP($B875&amp;U$1,Data!$A$2:$D$12000,4,FALSE)</f>
        <v>1.9E-2</v>
      </c>
      <c r="V875">
        <f>VLOOKUP($B875&amp;V$1,Data!$A$2:$D$12000,4,FALSE)</f>
        <v>-0.17499999999999999</v>
      </c>
      <c r="W875">
        <f>VLOOKUP($B875&amp;W$1,Data!$A$2:$D$12000,4,FALSE)</f>
        <v>-1.5879999999999998E-2</v>
      </c>
      <c r="X875">
        <f>VLOOKUP($B875&amp;X$1,Data!$A$2:$D$12000,4,FALSE)</f>
        <v>0.33</v>
      </c>
      <c r="Y875">
        <f>VLOOKUP($B875&amp;Y$1,Data!$A$2:$D$12000,4,FALSE)</f>
        <v>0.67</v>
      </c>
      <c r="Z875">
        <f>VLOOKUP($B875&amp;Z$1,Data!$A$2:$D$12000,4,FALSE)</f>
        <v>0.23</v>
      </c>
      <c r="AA875">
        <f>VLOOKUP($B875&amp;AA$1,Data!$A$2:$D$12000,4,FALSE)</f>
        <v>-1.6E-2</v>
      </c>
      <c r="AB875">
        <f>VLOOKUP($B875&amp;AB$1,Data!$A$2:$D$12000,4,FALSE)</f>
        <v>-8.0000000000000002E-3</v>
      </c>
      <c r="AC875">
        <f>VLOOKUP($B875&amp;AC$1,Data!$A$2:$D$12000,4,FALSE)</f>
        <v>7.0000000000000001E-3</v>
      </c>
      <c r="AD875">
        <f>VLOOKUP($B875&amp;AD$1,Data!$A$2:$D$12000,4,FALSE)</f>
        <v>0</v>
      </c>
      <c r="AE875">
        <f>VLOOKUP($B875&amp;AE$1,Data!$A$2:$D$12000,4,FALSE)</f>
        <v>-0.997</v>
      </c>
      <c r="AF875">
        <f>VLOOKUP($B875&amp;AF$1,Data!$A$2:$D$12000,4,FALSE)</f>
        <v>6.8000000000000005E-2</v>
      </c>
      <c r="AG875">
        <f>VLOOKUP($B875&amp;AG$1,Data!$A$2:$D$12000,4,FALSE)</f>
        <v>2.1480000000000001</v>
      </c>
      <c r="AH875">
        <f>VLOOKUP($B875&amp;AH$1,Data!$A$2:$D$12000,4,FALSE)</f>
        <v>0</v>
      </c>
      <c r="AI875">
        <f>VLOOKUP($B875&amp;AI$1,Data!$A$2:$D$12000,4,FALSE)</f>
        <v>11000000000</v>
      </c>
    </row>
    <row r="876" spans="1:35" hidden="1">
      <c r="B876" s="23">
        <v>875</v>
      </c>
      <c r="C876" s="13" t="s">
        <v>58</v>
      </c>
      <c r="D876" t="s">
        <v>19</v>
      </c>
      <c r="E876" t="s">
        <v>3</v>
      </c>
      <c r="F876">
        <v>1000</v>
      </c>
      <c r="G876" t="s">
        <v>17</v>
      </c>
      <c r="H876" s="5">
        <v>43831</v>
      </c>
      <c r="I876" s="5">
        <v>44562</v>
      </c>
      <c r="J876">
        <v>14</v>
      </c>
      <c r="K876">
        <v>9</v>
      </c>
      <c r="L876">
        <v>32</v>
      </c>
      <c r="M876">
        <v>68</v>
      </c>
      <c r="N876">
        <v>1000000</v>
      </c>
      <c r="O876">
        <f>VLOOKUP($B876&amp;O$1,Data!$A$2:$D$12000,4,FALSE)</f>
        <v>1.3699999999999999E-3</v>
      </c>
      <c r="P876">
        <f>VLOOKUP($B876&amp;P$1,Data!$A$2:$D$12000,4,FALSE)</f>
        <v>-1.9350000000000001</v>
      </c>
      <c r="Q876">
        <f>VLOOKUP($B876&amp;Q$1,Data!$A$2:$D$12000,4,FALSE)</f>
        <v>1519</v>
      </c>
      <c r="R876">
        <f>VLOOKUP($B876&amp;R$1,Data!$A$2:$D$12000,4,FALSE)</f>
        <v>4.0000000000000002E-4</v>
      </c>
      <c r="S876">
        <f>VLOOKUP($B876&amp;S$1,Data!$A$2:$D$12000,4,FALSE)</f>
        <v>-1.2999999999999999E-3</v>
      </c>
      <c r="T876">
        <f>VLOOKUP($B876&amp;T$1,Data!$A$2:$D$12000,4,FALSE)</f>
        <v>-5.2019999999999997E-2</v>
      </c>
      <c r="U876">
        <f>VLOOKUP($B876&amp;U$1,Data!$A$2:$D$12000,4,FALSE)</f>
        <v>4.5999999999999999E-2</v>
      </c>
      <c r="V876">
        <f>VLOOKUP($B876&amp;V$1,Data!$A$2:$D$12000,4,FALSE)</f>
        <v>-0.14399999999999999</v>
      </c>
      <c r="W876">
        <f>VLOOKUP($B876&amp;W$1,Data!$A$2:$D$12000,4,FALSE)</f>
        <v>-3.4790000000000001E-2</v>
      </c>
      <c r="X876">
        <f>VLOOKUP($B876&amp;X$1,Data!$A$2:$D$12000,4,FALSE)</f>
        <v>0.34</v>
      </c>
      <c r="Y876">
        <f>VLOOKUP($B876&amp;Y$1,Data!$A$2:$D$12000,4,FALSE)</f>
        <v>0.66</v>
      </c>
      <c r="Z876">
        <f>VLOOKUP($B876&amp;Z$1,Data!$A$2:$D$12000,4,FALSE)</f>
        <v>0.3</v>
      </c>
      <c r="AA876">
        <f>VLOOKUP($B876&amp;AA$1,Data!$A$2:$D$12000,4,FALSE)</f>
        <v>-3.5000000000000003E-2</v>
      </c>
      <c r="AB876">
        <f>VLOOKUP($B876&amp;AB$1,Data!$A$2:$D$12000,4,FALSE)</f>
        <v>-3.1E-2</v>
      </c>
      <c r="AC876">
        <f>VLOOKUP($B876&amp;AC$1,Data!$A$2:$D$12000,4,FALSE)</f>
        <v>1.9E-2</v>
      </c>
      <c r="AD876">
        <f>VLOOKUP($B876&amp;AD$1,Data!$A$2:$D$12000,4,FALSE)</f>
        <v>0</v>
      </c>
      <c r="AE876">
        <f>VLOOKUP($B876&amp;AE$1,Data!$A$2:$D$12000,4,FALSE)</f>
        <v>-1.228</v>
      </c>
      <c r="AF876">
        <f>VLOOKUP($B876&amp;AF$1,Data!$A$2:$D$12000,4,FALSE)</f>
        <v>7.1999999999999995E-2</v>
      </c>
      <c r="AG876">
        <f>VLOOKUP($B876&amp;AG$1,Data!$A$2:$D$12000,4,FALSE)</f>
        <v>1.17</v>
      </c>
      <c r="AH876">
        <f>VLOOKUP($B876&amp;AH$1,Data!$A$2:$D$12000,4,FALSE)</f>
        <v>0</v>
      </c>
      <c r="AI876">
        <f>VLOOKUP($B876&amp;AI$1,Data!$A$2:$D$12000,4,FALSE)</f>
        <v>1200000000</v>
      </c>
    </row>
    <row r="877" spans="1:35" hidden="1">
      <c r="B877" s="23">
        <v>876</v>
      </c>
      <c r="C877" s="13" t="s">
        <v>58</v>
      </c>
      <c r="D877" t="s">
        <v>19</v>
      </c>
      <c r="E877" t="s">
        <v>3</v>
      </c>
      <c r="F877">
        <v>5000</v>
      </c>
      <c r="G877" t="s">
        <v>17</v>
      </c>
      <c r="H877" s="5">
        <v>43831</v>
      </c>
      <c r="I877" s="5">
        <v>44562</v>
      </c>
      <c r="J877">
        <v>14</v>
      </c>
      <c r="K877">
        <v>9</v>
      </c>
      <c r="L877">
        <v>32</v>
      </c>
      <c r="M877">
        <v>68</v>
      </c>
      <c r="N877">
        <v>1000000</v>
      </c>
      <c r="O877">
        <f>VLOOKUP($B877&amp;O$1,Data!$A$2:$D$12000,4,FALSE)</f>
        <v>6.8700000000000002E-3</v>
      </c>
      <c r="P877">
        <f>VLOOKUP($B877&amp;P$1,Data!$A$2:$D$12000,4,FALSE)</f>
        <v>-1.4359999999999999</v>
      </c>
      <c r="Q877">
        <f>VLOOKUP($B877&amp;Q$1,Data!$A$2:$D$12000,4,FALSE)</f>
        <v>1157</v>
      </c>
      <c r="R877">
        <f>VLOOKUP($B877&amp;R$1,Data!$A$2:$D$12000,4,FALSE)</f>
        <v>5.9999999999999995E-4</v>
      </c>
      <c r="S877">
        <f>VLOOKUP($B877&amp;S$1,Data!$A$2:$D$12000,4,FALSE)</f>
        <v>-1.9E-3</v>
      </c>
      <c r="T877">
        <f>VLOOKUP($B877&amp;T$1,Data!$A$2:$D$12000,4,FALSE)</f>
        <v>-5.4890000000000001E-2</v>
      </c>
      <c r="U877">
        <f>VLOOKUP($B877&amp;U$1,Data!$A$2:$D$12000,4,FALSE)</f>
        <v>4.4999999999999998E-2</v>
      </c>
      <c r="V877">
        <f>VLOOKUP($B877&amp;V$1,Data!$A$2:$D$12000,4,FALSE)</f>
        <v>-0.11</v>
      </c>
      <c r="W877">
        <f>VLOOKUP($B877&amp;W$1,Data!$A$2:$D$12000,4,FALSE)</f>
        <v>-3.6729999999999999E-2</v>
      </c>
      <c r="X877">
        <f>VLOOKUP($B877&amp;X$1,Data!$A$2:$D$12000,4,FALSE)</f>
        <v>0.32</v>
      </c>
      <c r="Y877">
        <f>VLOOKUP($B877&amp;Y$1,Data!$A$2:$D$12000,4,FALSE)</f>
        <v>0.68</v>
      </c>
      <c r="Z877">
        <f>VLOOKUP($B877&amp;Z$1,Data!$A$2:$D$12000,4,FALSE)</f>
        <v>0.31</v>
      </c>
      <c r="AA877">
        <f>VLOOKUP($B877&amp;AA$1,Data!$A$2:$D$12000,4,FALSE)</f>
        <v>-3.5000000000000003E-2</v>
      </c>
      <c r="AB877">
        <f>VLOOKUP($B877&amp;AB$1,Data!$A$2:$D$12000,4,FALSE)</f>
        <v>-6.3E-2</v>
      </c>
      <c r="AC877">
        <f>VLOOKUP($B877&amp;AC$1,Data!$A$2:$D$12000,4,FALSE)</f>
        <v>2.5999999999999999E-2</v>
      </c>
      <c r="AD877">
        <f>VLOOKUP($B877&amp;AD$1,Data!$A$2:$D$12000,4,FALSE)</f>
        <v>1E-3</v>
      </c>
      <c r="AE877">
        <f>VLOOKUP($B877&amp;AE$1,Data!$A$2:$D$12000,4,FALSE)</f>
        <v>-1.1830000000000001</v>
      </c>
      <c r="AF877">
        <f>VLOOKUP($B877&amp;AF$1,Data!$A$2:$D$12000,4,FALSE)</f>
        <v>7.5999999999999998E-2</v>
      </c>
      <c r="AG877">
        <f>VLOOKUP($B877&amp;AG$1,Data!$A$2:$D$12000,4,FALSE)</f>
        <v>0.60299999999999998</v>
      </c>
      <c r="AH877">
        <f>VLOOKUP($B877&amp;AH$1,Data!$A$2:$D$12000,4,FALSE)</f>
        <v>0</v>
      </c>
      <c r="AI877">
        <f>VLOOKUP($B877&amp;AI$1,Data!$A$2:$D$12000,4,FALSE)</f>
        <v>250000000</v>
      </c>
    </row>
    <row r="878" spans="1:35" hidden="1">
      <c r="B878" s="23">
        <v>877</v>
      </c>
      <c r="C878" s="13" t="s">
        <v>58</v>
      </c>
      <c r="D878" t="s">
        <v>19</v>
      </c>
      <c r="E878" t="s">
        <v>2</v>
      </c>
      <c r="F878">
        <v>100</v>
      </c>
      <c r="G878" t="s">
        <v>17</v>
      </c>
      <c r="H878" s="5">
        <v>43831</v>
      </c>
      <c r="I878" s="5">
        <v>44562</v>
      </c>
      <c r="J878">
        <v>14</v>
      </c>
      <c r="K878">
        <v>9</v>
      </c>
      <c r="L878">
        <v>32</v>
      </c>
      <c r="M878">
        <v>68</v>
      </c>
      <c r="N878">
        <v>1000000</v>
      </c>
      <c r="O878">
        <f>VLOOKUP($B878&amp;O$1,Data!$A$2:$D$12000,4,FALSE)</f>
        <v>7.9600000000000001E-3</v>
      </c>
      <c r="P878">
        <f>VLOOKUP($B878&amp;P$1,Data!$A$2:$D$12000,4,FALSE)</f>
        <v>-1.4830000000000001</v>
      </c>
      <c r="Q878">
        <f>VLOOKUP($B878&amp;Q$1,Data!$A$2:$D$12000,4,FALSE)</f>
        <v>1392</v>
      </c>
      <c r="R878">
        <f>VLOOKUP($B878&amp;R$1,Data!$A$2:$D$12000,4,FALSE)</f>
        <v>2.0000000000000001E-4</v>
      </c>
      <c r="S878">
        <f>VLOOKUP($B878&amp;S$1,Data!$A$2:$D$12000,4,FALSE)</f>
        <v>-4.0000000000000002E-4</v>
      </c>
      <c r="T878">
        <f>VLOOKUP($B878&amp;T$1,Data!$A$2:$D$12000,4,FALSE)</f>
        <v>-1.2500000000000001E-2</v>
      </c>
      <c r="U878">
        <f>VLOOKUP($B878&amp;U$1,Data!$A$2:$D$12000,4,FALSE)</f>
        <v>1.2E-2</v>
      </c>
      <c r="V878">
        <f>VLOOKUP($B878&amp;V$1,Data!$A$2:$D$12000,4,FALSE)</f>
        <v>-0.14499999999999999</v>
      </c>
      <c r="W878">
        <f>VLOOKUP($B878&amp;W$1,Data!$A$2:$D$12000,4,FALSE)</f>
        <v>-8.3099999999999997E-3</v>
      </c>
      <c r="X878">
        <f>VLOOKUP($B878&amp;X$1,Data!$A$2:$D$12000,4,FALSE)</f>
        <v>0.37</v>
      </c>
      <c r="Y878">
        <f>VLOOKUP($B878&amp;Y$1,Data!$A$2:$D$12000,4,FALSE)</f>
        <v>0.63</v>
      </c>
      <c r="Z878">
        <f>VLOOKUP($B878&amp;Z$1,Data!$A$2:$D$12000,4,FALSE)</f>
        <v>0.36</v>
      </c>
      <c r="AA878">
        <f>VLOOKUP($B878&amp;AA$1,Data!$A$2:$D$12000,4,FALSE)</f>
        <v>-8.0000000000000002E-3</v>
      </c>
      <c r="AB878">
        <f>VLOOKUP($B878&amp;AB$1,Data!$A$2:$D$12000,4,FALSE)</f>
        <v>-1.0999999999999999E-2</v>
      </c>
      <c r="AC878">
        <f>VLOOKUP($B878&amp;AC$1,Data!$A$2:$D$12000,4,FALSE)</f>
        <v>6.0000000000000001E-3</v>
      </c>
      <c r="AD878">
        <f>VLOOKUP($B878&amp;AD$1,Data!$A$2:$D$12000,4,FALSE)</f>
        <v>0</v>
      </c>
      <c r="AE878">
        <f>VLOOKUP($B878&amp;AE$1,Data!$A$2:$D$12000,4,FALSE)</f>
        <v>-0.89</v>
      </c>
      <c r="AF878">
        <f>VLOOKUP($B878&amp;AF$1,Data!$A$2:$D$12000,4,FALSE)</f>
        <v>6.8000000000000005E-2</v>
      </c>
      <c r="AG878">
        <f>VLOOKUP($B878&amp;AG$1,Data!$A$2:$D$12000,4,FALSE)</f>
        <v>0.80800000000000005</v>
      </c>
      <c r="AH878">
        <f>VLOOKUP($B878&amp;AH$1,Data!$A$2:$D$12000,4,FALSE)</f>
        <v>0</v>
      </c>
      <c r="AI878">
        <f>VLOOKUP($B878&amp;AI$1,Data!$A$2:$D$12000,4,FALSE)</f>
        <v>5300000000</v>
      </c>
    </row>
    <row r="879" spans="1:35" hidden="1">
      <c r="B879" s="23">
        <v>878</v>
      </c>
      <c r="C879" s="13" t="s">
        <v>58</v>
      </c>
      <c r="D879" t="s">
        <v>19</v>
      </c>
      <c r="E879" t="s">
        <v>2</v>
      </c>
      <c r="F879">
        <v>1000</v>
      </c>
      <c r="G879" t="s">
        <v>17</v>
      </c>
      <c r="H879" s="5">
        <v>43831</v>
      </c>
      <c r="I879" s="5">
        <v>44562</v>
      </c>
      <c r="J879">
        <v>14</v>
      </c>
      <c r="K879">
        <v>9</v>
      </c>
      <c r="L879">
        <v>32</v>
      </c>
      <c r="M879">
        <v>68</v>
      </c>
      <c r="N879">
        <v>1000000</v>
      </c>
      <c r="O879">
        <f>VLOOKUP($B879&amp;O$1,Data!$A$2:$D$12000,4,FALSE)</f>
        <v>1.7090000000000001E-2</v>
      </c>
      <c r="P879">
        <f>VLOOKUP($B879&amp;P$1,Data!$A$2:$D$12000,4,FALSE)</f>
        <v>-1.1479999999999999</v>
      </c>
      <c r="Q879">
        <f>VLOOKUP($B879&amp;Q$1,Data!$A$2:$D$12000,4,FALSE)</f>
        <v>1090</v>
      </c>
      <c r="R879">
        <f>VLOOKUP($B879&amp;R$1,Data!$A$2:$D$12000,4,FALSE)</f>
        <v>5.0000000000000001E-4</v>
      </c>
      <c r="S879">
        <f>VLOOKUP($B879&amp;S$1,Data!$A$2:$D$12000,4,FALSE)</f>
        <v>-1.1999999999999999E-3</v>
      </c>
      <c r="T879">
        <f>VLOOKUP($B879&amp;T$1,Data!$A$2:$D$12000,4,FALSE)</f>
        <v>-2.9100000000000001E-2</v>
      </c>
      <c r="U879">
        <f>VLOOKUP($B879&amp;U$1,Data!$A$2:$D$12000,4,FALSE)</f>
        <v>2.9000000000000001E-2</v>
      </c>
      <c r="V879">
        <f>VLOOKUP($B879&amp;V$1,Data!$A$2:$D$12000,4,FALSE)</f>
        <v>-0.123</v>
      </c>
      <c r="W879">
        <f>VLOOKUP($B879&amp;W$1,Data!$A$2:$D$12000,4,FALSE)</f>
        <v>-1.9390000000000001E-2</v>
      </c>
      <c r="X879">
        <f>VLOOKUP($B879&amp;X$1,Data!$A$2:$D$12000,4,FALSE)</f>
        <v>0.38</v>
      </c>
      <c r="Y879">
        <f>VLOOKUP($B879&amp;Y$1,Data!$A$2:$D$12000,4,FALSE)</f>
        <v>0.62</v>
      </c>
      <c r="Z879">
        <f>VLOOKUP($B879&amp;Z$1,Data!$A$2:$D$12000,4,FALSE)</f>
        <v>0.42</v>
      </c>
      <c r="AA879">
        <f>VLOOKUP($B879&amp;AA$1,Data!$A$2:$D$12000,4,FALSE)</f>
        <v>-1.7999999999999999E-2</v>
      </c>
      <c r="AB879">
        <f>VLOOKUP($B879&amp;AB$1,Data!$A$2:$D$12000,4,FALSE)</f>
        <v>-3.5000000000000003E-2</v>
      </c>
      <c r="AC879">
        <f>VLOOKUP($B879&amp;AC$1,Data!$A$2:$D$12000,4,FALSE)</f>
        <v>1.7999999999999999E-2</v>
      </c>
      <c r="AD879">
        <f>VLOOKUP($B879&amp;AD$1,Data!$A$2:$D$12000,4,FALSE)</f>
        <v>0</v>
      </c>
      <c r="AE879">
        <f>VLOOKUP($B879&amp;AE$1,Data!$A$2:$D$12000,4,FALSE)</f>
        <v>-0.996</v>
      </c>
      <c r="AF879">
        <f>VLOOKUP($B879&amp;AF$1,Data!$A$2:$D$12000,4,FALSE)</f>
        <v>7.1999999999999995E-2</v>
      </c>
      <c r="AG879">
        <f>VLOOKUP($B879&amp;AG$1,Data!$A$2:$D$12000,4,FALSE)</f>
        <v>0.57099999999999995</v>
      </c>
      <c r="AH879">
        <f>VLOOKUP($B879&amp;AH$1,Data!$A$2:$D$12000,4,FALSE)</f>
        <v>0</v>
      </c>
      <c r="AI879">
        <f>VLOOKUP($B879&amp;AI$1,Data!$A$2:$D$12000,4,FALSE)</f>
        <v>610000000</v>
      </c>
    </row>
    <row r="880" spans="1:35" hidden="1">
      <c r="B880" s="23">
        <v>879</v>
      </c>
      <c r="C880" s="13" t="s">
        <v>58</v>
      </c>
      <c r="D880" t="s">
        <v>19</v>
      </c>
      <c r="E880" t="s">
        <v>2</v>
      </c>
      <c r="F880">
        <v>5000</v>
      </c>
      <c r="G880" t="s">
        <v>17</v>
      </c>
      <c r="H880" s="5">
        <v>43831</v>
      </c>
      <c r="I880" s="5">
        <v>44562</v>
      </c>
      <c r="J880">
        <v>14</v>
      </c>
      <c r="K880">
        <v>9</v>
      </c>
      <c r="L880">
        <v>32</v>
      </c>
      <c r="M880">
        <v>68</v>
      </c>
      <c r="N880">
        <v>1000000</v>
      </c>
      <c r="O880">
        <f>VLOOKUP($B880&amp;O$1,Data!$A$2:$D$12000,4,FALSE)</f>
        <v>3.8690000000000002E-2</v>
      </c>
      <c r="P880">
        <f>VLOOKUP($B880&amp;P$1,Data!$A$2:$D$12000,4,FALSE)</f>
        <v>-0.79900000000000004</v>
      </c>
      <c r="Q880">
        <f>VLOOKUP($B880&amp;Q$1,Data!$A$2:$D$12000,4,FALSE)</f>
        <v>817</v>
      </c>
      <c r="R880">
        <f>VLOOKUP($B880&amp;R$1,Data!$A$2:$D$12000,4,FALSE)</f>
        <v>6.9999999999999999E-4</v>
      </c>
      <c r="S880">
        <f>VLOOKUP($B880&amp;S$1,Data!$A$2:$D$12000,4,FALSE)</f>
        <v>-1.6999999999999999E-3</v>
      </c>
      <c r="T880">
        <f>VLOOKUP($B880&amp;T$1,Data!$A$2:$D$12000,4,FALSE)</f>
        <v>-2.954E-2</v>
      </c>
      <c r="U880">
        <f>VLOOKUP($B880&amp;U$1,Data!$A$2:$D$12000,4,FALSE)</f>
        <v>4.2000000000000003E-2</v>
      </c>
      <c r="V880">
        <f>VLOOKUP($B880&amp;V$1,Data!$A$2:$D$12000,4,FALSE)</f>
        <v>-9.4E-2</v>
      </c>
      <c r="W880">
        <f>VLOOKUP($B880&amp;W$1,Data!$A$2:$D$12000,4,FALSE)</f>
        <v>-1.968E-2</v>
      </c>
      <c r="X880">
        <f>VLOOKUP($B880&amp;X$1,Data!$A$2:$D$12000,4,FALSE)</f>
        <v>0.36</v>
      </c>
      <c r="Y880">
        <f>VLOOKUP($B880&amp;Y$1,Data!$A$2:$D$12000,4,FALSE)</f>
        <v>0.64</v>
      </c>
      <c r="Z880">
        <f>VLOOKUP($B880&amp;Z$1,Data!$A$2:$D$12000,4,FALSE)</f>
        <v>0.41</v>
      </c>
      <c r="AA880">
        <f>VLOOKUP($B880&amp;AA$1,Data!$A$2:$D$12000,4,FALSE)</f>
        <v>-1.7000000000000001E-2</v>
      </c>
      <c r="AB880">
        <f>VLOOKUP($B880&amp;AB$1,Data!$A$2:$D$12000,4,FALSE)</f>
        <v>-6.3E-2</v>
      </c>
      <c r="AC880">
        <f>VLOOKUP($B880&amp;AC$1,Data!$A$2:$D$12000,4,FALSE)</f>
        <v>2.5000000000000001E-2</v>
      </c>
      <c r="AD880">
        <f>VLOOKUP($B880&amp;AD$1,Data!$A$2:$D$12000,4,FALSE)</f>
        <v>1E-3</v>
      </c>
      <c r="AE880">
        <f>VLOOKUP($B880&amp;AE$1,Data!$A$2:$D$12000,4,FALSE)</f>
        <v>-0.95499999999999996</v>
      </c>
      <c r="AF880">
        <f>VLOOKUP($B880&amp;AF$1,Data!$A$2:$D$12000,4,FALSE)</f>
        <v>7.5999999999999998E-2</v>
      </c>
      <c r="AG880">
        <f>VLOOKUP($B880&amp;AG$1,Data!$A$2:$D$12000,4,FALSE)</f>
        <v>0.32400000000000001</v>
      </c>
      <c r="AH880">
        <f>VLOOKUP($B880&amp;AH$1,Data!$A$2:$D$12000,4,FALSE)</f>
        <v>0</v>
      </c>
      <c r="AI880">
        <f>VLOOKUP($B880&amp;AI$1,Data!$A$2:$D$12000,4,FALSE)</f>
        <v>130000000</v>
      </c>
    </row>
    <row r="881" spans="2:35" hidden="1">
      <c r="B881" s="23">
        <v>880</v>
      </c>
      <c r="C881" s="13" t="s">
        <v>58</v>
      </c>
      <c r="D881" t="s">
        <v>19</v>
      </c>
      <c r="E881" t="s">
        <v>22</v>
      </c>
      <c r="F881">
        <v>100</v>
      </c>
      <c r="G881" t="s">
        <v>17</v>
      </c>
      <c r="H881" s="5">
        <v>43831</v>
      </c>
      <c r="I881" s="5">
        <v>44562</v>
      </c>
      <c r="J881">
        <v>14</v>
      </c>
      <c r="K881">
        <v>9</v>
      </c>
      <c r="L881">
        <v>32</v>
      </c>
      <c r="M881">
        <v>68</v>
      </c>
      <c r="N881">
        <v>1000000</v>
      </c>
      <c r="O881">
        <f>VLOOKUP($B881&amp;O$1,Data!$A$2:$D$12000,4,FALSE)</f>
        <v>8.1999999999999998E-4</v>
      </c>
      <c r="P881">
        <f>VLOOKUP($B881&amp;P$1,Data!$A$2:$D$12000,4,FALSE)</f>
        <v>-1.722</v>
      </c>
      <c r="Q881">
        <f>VLOOKUP($B881&amp;Q$1,Data!$A$2:$D$12000,4,FALSE)</f>
        <v>1006</v>
      </c>
      <c r="R881">
        <f>VLOOKUP($B881&amp;R$1,Data!$A$2:$D$12000,4,FALSE)</f>
        <v>1E-4</v>
      </c>
      <c r="S881">
        <f>VLOOKUP($B881&amp;S$1,Data!$A$2:$D$12000,4,FALSE)</f>
        <v>-5.0000000000000001E-4</v>
      </c>
      <c r="T881">
        <f>VLOOKUP($B881&amp;T$1,Data!$A$2:$D$12000,4,FALSE)</f>
        <v>-1.9879999999999998E-2</v>
      </c>
      <c r="U881">
        <f>VLOOKUP($B881&amp;U$1,Data!$A$2:$D$12000,4,FALSE)</f>
        <v>1.4E-2</v>
      </c>
      <c r="V881">
        <f>VLOOKUP($B881&amp;V$1,Data!$A$2:$D$12000,4,FALSE)</f>
        <v>-0.26800000000000002</v>
      </c>
      <c r="W881">
        <f>VLOOKUP($B881&amp;W$1,Data!$A$2:$D$12000,4,FALSE)</f>
        <v>-1.3220000000000001E-2</v>
      </c>
      <c r="X881">
        <f>VLOOKUP($B881&amp;X$1,Data!$A$2:$D$12000,4,FALSE)</f>
        <v>0.39</v>
      </c>
      <c r="Y881">
        <f>VLOOKUP($B881&amp;Y$1,Data!$A$2:$D$12000,4,FALSE)</f>
        <v>0.61</v>
      </c>
      <c r="Z881">
        <f>VLOOKUP($B881&amp;Z$1,Data!$A$2:$D$12000,4,FALSE)</f>
        <v>0.21</v>
      </c>
      <c r="AA881">
        <f>VLOOKUP($B881&amp;AA$1,Data!$A$2:$D$12000,4,FALSE)</f>
        <v>-1.4E-2</v>
      </c>
      <c r="AB881">
        <f>VLOOKUP($B881&amp;AB$1,Data!$A$2:$D$12000,4,FALSE)</f>
        <v>-2E-3</v>
      </c>
      <c r="AC881">
        <f>VLOOKUP($B881&amp;AC$1,Data!$A$2:$D$12000,4,FALSE)</f>
        <v>8.0000000000000002E-3</v>
      </c>
      <c r="AD881">
        <f>VLOOKUP($B881&amp;AD$1,Data!$A$2:$D$12000,4,FALSE)</f>
        <v>0</v>
      </c>
      <c r="AE881">
        <f>VLOOKUP($B881&amp;AE$1,Data!$A$2:$D$12000,4,FALSE)</f>
        <v>-0.96</v>
      </c>
      <c r="AF881">
        <f>VLOOKUP($B881&amp;AF$1,Data!$A$2:$D$12000,4,FALSE)</f>
        <v>6.8000000000000005E-2</v>
      </c>
      <c r="AG881">
        <f>VLOOKUP($B881&amp;AG$1,Data!$A$2:$D$12000,4,FALSE)</f>
        <v>5.6859999999999999</v>
      </c>
      <c r="AH881">
        <f>VLOOKUP($B881&amp;AH$1,Data!$A$2:$D$12000,4,FALSE)</f>
        <v>0</v>
      </c>
      <c r="AI881">
        <f>VLOOKUP($B881&amp;AI$1,Data!$A$2:$D$12000,4,FALSE)</f>
        <v>370000000</v>
      </c>
    </row>
    <row r="882" spans="2:35" hidden="1">
      <c r="B882" s="23">
        <v>881</v>
      </c>
      <c r="C882" s="13" t="s">
        <v>58</v>
      </c>
      <c r="D882" t="s">
        <v>19</v>
      </c>
      <c r="E882" t="s">
        <v>22</v>
      </c>
      <c r="F882">
        <v>1000</v>
      </c>
      <c r="G882" t="s">
        <v>17</v>
      </c>
      <c r="H882" s="5">
        <v>43831</v>
      </c>
      <c r="I882" s="5">
        <v>44562</v>
      </c>
      <c r="J882">
        <v>14</v>
      </c>
      <c r="K882">
        <v>9</v>
      </c>
      <c r="L882">
        <v>32</v>
      </c>
      <c r="M882">
        <v>68</v>
      </c>
      <c r="N882">
        <v>1000000</v>
      </c>
      <c r="O882">
        <f>VLOOKUP($B882&amp;O$1,Data!$A$2:$D$12000,4,FALSE)</f>
        <v>0</v>
      </c>
      <c r="P882">
        <f>VLOOKUP($B882&amp;P$1,Data!$A$2:$D$12000,4,FALSE)</f>
        <v>-2.919</v>
      </c>
      <c r="Q882">
        <f>VLOOKUP($B882&amp;Q$1,Data!$A$2:$D$12000,4,FALSE)</f>
        <v>792</v>
      </c>
      <c r="R882">
        <f>VLOOKUP($B882&amp;R$1,Data!$A$2:$D$12000,4,FALSE)</f>
        <v>2.0000000000000001E-4</v>
      </c>
      <c r="S882">
        <f>VLOOKUP($B882&amp;S$1,Data!$A$2:$D$12000,4,FALSE)</f>
        <v>-1.6000000000000001E-3</v>
      </c>
      <c r="T882">
        <f>VLOOKUP($B882&amp;T$1,Data!$A$2:$D$12000,4,FALSE)</f>
        <v>-8.3430000000000004E-2</v>
      </c>
      <c r="U882">
        <f>VLOOKUP($B882&amp;U$1,Data!$A$2:$D$12000,4,FALSE)</f>
        <v>5.8000000000000003E-2</v>
      </c>
      <c r="V882">
        <f>VLOOKUP($B882&amp;V$1,Data!$A$2:$D$12000,4,FALSE)</f>
        <v>-0.34799999999999998</v>
      </c>
      <c r="W882">
        <f>VLOOKUP($B882&amp;W$1,Data!$A$2:$D$12000,4,FALSE)</f>
        <v>-5.6120000000000003E-2</v>
      </c>
      <c r="X882">
        <f>VLOOKUP($B882&amp;X$1,Data!$A$2:$D$12000,4,FALSE)</f>
        <v>0.42</v>
      </c>
      <c r="Y882">
        <f>VLOOKUP($B882&amp;Y$1,Data!$A$2:$D$12000,4,FALSE)</f>
        <v>0.57999999999999996</v>
      </c>
      <c r="Z882">
        <f>VLOOKUP($B882&amp;Z$1,Data!$A$2:$D$12000,4,FALSE)</f>
        <v>0.13</v>
      </c>
      <c r="AA882">
        <f>VLOOKUP($B882&amp;AA$1,Data!$A$2:$D$12000,4,FALSE)</f>
        <v>-5.7000000000000002E-2</v>
      </c>
      <c r="AB882">
        <f>VLOOKUP($B882&amp;AB$1,Data!$A$2:$D$12000,4,FALSE)</f>
        <v>-2.7E-2</v>
      </c>
      <c r="AC882">
        <f>VLOOKUP($B882&amp;AC$1,Data!$A$2:$D$12000,4,FALSE)</f>
        <v>0.02</v>
      </c>
      <c r="AD882">
        <f>VLOOKUP($B882&amp;AD$1,Data!$A$2:$D$12000,4,FALSE)</f>
        <v>0</v>
      </c>
      <c r="AE882">
        <f>VLOOKUP($B882&amp;AE$1,Data!$A$2:$D$12000,4,FALSE)</f>
        <v>-1.5349999999999999</v>
      </c>
      <c r="AF882">
        <f>VLOOKUP($B882&amp;AF$1,Data!$A$2:$D$12000,4,FALSE)</f>
        <v>7.1999999999999995E-2</v>
      </c>
      <c r="AG882">
        <f>VLOOKUP($B882&amp;AG$1,Data!$A$2:$D$12000,4,FALSE)</f>
        <v>2.1349999999999998</v>
      </c>
      <c r="AH882">
        <f>VLOOKUP($B882&amp;AH$1,Data!$A$2:$D$12000,4,FALSE)</f>
        <v>0</v>
      </c>
      <c r="AI882">
        <f>VLOOKUP($B882&amp;AI$1,Data!$A$2:$D$12000,4,FALSE)</f>
        <v>45000000</v>
      </c>
    </row>
    <row r="883" spans="2:35" hidden="1">
      <c r="B883" s="23">
        <v>882</v>
      </c>
      <c r="C883" s="13" t="s">
        <v>58</v>
      </c>
      <c r="D883" t="s">
        <v>19</v>
      </c>
      <c r="E883" t="s">
        <v>22</v>
      </c>
      <c r="F883">
        <v>5000</v>
      </c>
      <c r="G883" t="s">
        <v>17</v>
      </c>
      <c r="H883" s="5">
        <v>43831</v>
      </c>
      <c r="I883" s="5">
        <v>44562</v>
      </c>
      <c r="J883">
        <v>14</v>
      </c>
      <c r="K883">
        <v>9</v>
      </c>
      <c r="L883">
        <v>32</v>
      </c>
      <c r="M883">
        <v>68</v>
      </c>
      <c r="N883">
        <v>1000000</v>
      </c>
      <c r="O883">
        <f>VLOOKUP($B883&amp;O$1,Data!$A$2:$D$12000,4,FALSE)</f>
        <v>8.0000000000000007E-5</v>
      </c>
      <c r="P883">
        <f>VLOOKUP($B883&amp;P$1,Data!$A$2:$D$12000,4,FALSE)</f>
        <v>-2.2189999999999999</v>
      </c>
      <c r="Q883">
        <f>VLOOKUP($B883&amp;Q$1,Data!$A$2:$D$12000,4,FALSE)</f>
        <v>581</v>
      </c>
      <c r="R883">
        <f>VLOOKUP($B883&amp;R$1,Data!$A$2:$D$12000,4,FALSE)</f>
        <v>4.0000000000000002E-4</v>
      </c>
      <c r="S883">
        <f>VLOOKUP($B883&amp;S$1,Data!$A$2:$D$12000,4,FALSE)</f>
        <v>-2.3E-3</v>
      </c>
      <c r="T883">
        <f>VLOOKUP($B883&amp;T$1,Data!$A$2:$D$12000,4,FALSE)</f>
        <v>-7.7640000000000001E-2</v>
      </c>
      <c r="U883">
        <f>VLOOKUP($B883&amp;U$1,Data!$A$2:$D$12000,4,FALSE)</f>
        <v>6.5000000000000002E-2</v>
      </c>
      <c r="V883">
        <f>VLOOKUP($B883&amp;V$1,Data!$A$2:$D$12000,4,FALSE)</f>
        <v>-0.28100000000000003</v>
      </c>
      <c r="W883">
        <f>VLOOKUP($B883&amp;W$1,Data!$A$2:$D$12000,4,FALSE)</f>
        <v>-5.2170000000000001E-2</v>
      </c>
      <c r="X883">
        <f>VLOOKUP($B883&amp;X$1,Data!$A$2:$D$12000,4,FALSE)</f>
        <v>0.39</v>
      </c>
      <c r="Y883">
        <f>VLOOKUP($B883&amp;Y$1,Data!$A$2:$D$12000,4,FALSE)</f>
        <v>0.61</v>
      </c>
      <c r="Z883">
        <f>VLOOKUP($B883&amp;Z$1,Data!$A$2:$D$12000,4,FALSE)</f>
        <v>0.18</v>
      </c>
      <c r="AA883">
        <f>VLOOKUP($B883&amp;AA$1,Data!$A$2:$D$12000,4,FALSE)</f>
        <v>-5.2999999999999999E-2</v>
      </c>
      <c r="AB883">
        <f>VLOOKUP($B883&amp;AB$1,Data!$A$2:$D$12000,4,FALSE)</f>
        <v>-3.2000000000000001E-2</v>
      </c>
      <c r="AC883">
        <f>VLOOKUP($B883&amp;AC$1,Data!$A$2:$D$12000,4,FALSE)</f>
        <v>2.4E-2</v>
      </c>
      <c r="AD883">
        <f>VLOOKUP($B883&amp;AD$1,Data!$A$2:$D$12000,4,FALSE)</f>
        <v>1E-3</v>
      </c>
      <c r="AE883">
        <f>VLOOKUP($B883&amp;AE$1,Data!$A$2:$D$12000,4,FALSE)</f>
        <v>-1.4350000000000001</v>
      </c>
      <c r="AF883">
        <f>VLOOKUP($B883&amp;AF$1,Data!$A$2:$D$12000,4,FALSE)</f>
        <v>7.3999999999999996E-2</v>
      </c>
      <c r="AG883">
        <f>VLOOKUP($B883&amp;AG$1,Data!$A$2:$D$12000,4,FALSE)</f>
        <v>1.7190000000000001</v>
      </c>
      <c r="AH883">
        <f>VLOOKUP($B883&amp;AH$1,Data!$A$2:$D$12000,4,FALSE)</f>
        <v>0</v>
      </c>
      <c r="AI883">
        <f>VLOOKUP($B883&amp;AI$1,Data!$A$2:$D$12000,4,FALSE)</f>
        <v>12000000</v>
      </c>
    </row>
    <row r="884" spans="2:35" hidden="1">
      <c r="B884" s="23">
        <v>883</v>
      </c>
      <c r="C884" s="13" t="s">
        <v>58</v>
      </c>
      <c r="D884" t="s">
        <v>19</v>
      </c>
      <c r="E884" t="s">
        <v>3</v>
      </c>
      <c r="F884">
        <v>100</v>
      </c>
      <c r="G884" t="s">
        <v>17</v>
      </c>
      <c r="H884" s="5">
        <v>43831</v>
      </c>
      <c r="I884" s="5">
        <v>44562</v>
      </c>
      <c r="J884">
        <v>14</v>
      </c>
      <c r="K884">
        <v>9</v>
      </c>
      <c r="L884">
        <v>28</v>
      </c>
      <c r="M884">
        <v>72</v>
      </c>
      <c r="N884">
        <v>1000000</v>
      </c>
      <c r="O884">
        <f>VLOOKUP($B884&amp;O$1,Data!$A$2:$D$12000,4,FALSE)</f>
        <v>5.271E-2</v>
      </c>
      <c r="P884">
        <f>VLOOKUP($B884&amp;P$1,Data!$A$2:$D$12000,4,FALSE)</f>
        <v>-0.69699999999999995</v>
      </c>
      <c r="Q884">
        <f>VLOOKUP($B884&amp;Q$1,Data!$A$2:$D$12000,4,FALSE)</f>
        <v>1137</v>
      </c>
      <c r="R884">
        <f>VLOOKUP($B884&amp;R$1,Data!$A$2:$D$12000,4,FALSE)</f>
        <v>2.0000000000000001E-4</v>
      </c>
      <c r="S884">
        <f>VLOOKUP($B884&amp;S$1,Data!$A$2:$D$12000,4,FALSE)</f>
        <v>-4.0000000000000002E-4</v>
      </c>
      <c r="T884">
        <f>VLOOKUP($B884&amp;T$1,Data!$A$2:$D$12000,4,FALSE)</f>
        <v>-6.8500000000000002E-3</v>
      </c>
      <c r="U884">
        <f>VLOOKUP($B884&amp;U$1,Data!$A$2:$D$12000,4,FALSE)</f>
        <v>8.9999999999999993E-3</v>
      </c>
      <c r="V884">
        <f>VLOOKUP($B884&amp;V$1,Data!$A$2:$D$12000,4,FALSE)</f>
        <v>-9.5000000000000001E-2</v>
      </c>
      <c r="W884">
        <f>VLOOKUP($B884&amp;W$1,Data!$A$2:$D$12000,4,FALSE)</f>
        <v>-4.5599999999999998E-3</v>
      </c>
      <c r="X884">
        <f>VLOOKUP($B884&amp;X$1,Data!$A$2:$D$12000,4,FALSE)</f>
        <v>0.37</v>
      </c>
      <c r="Y884">
        <f>VLOOKUP($B884&amp;Y$1,Data!$A$2:$D$12000,4,FALSE)</f>
        <v>0.63</v>
      </c>
      <c r="Z884">
        <f>VLOOKUP($B884&amp;Z$1,Data!$A$2:$D$12000,4,FALSE)</f>
        <v>0.43</v>
      </c>
      <c r="AA884">
        <f>VLOOKUP($B884&amp;AA$1,Data!$A$2:$D$12000,4,FALSE)</f>
        <v>-4.0000000000000001E-3</v>
      </c>
      <c r="AB884">
        <f>VLOOKUP($B884&amp;AB$1,Data!$A$2:$D$12000,4,FALSE)</f>
        <v>-6.0000000000000001E-3</v>
      </c>
      <c r="AC884">
        <f>VLOOKUP($B884&amp;AC$1,Data!$A$2:$D$12000,4,FALSE)</f>
        <v>7.0000000000000001E-3</v>
      </c>
      <c r="AD884">
        <f>VLOOKUP($B884&amp;AD$1,Data!$A$2:$D$12000,4,FALSE)</f>
        <v>0</v>
      </c>
      <c r="AE884">
        <f>VLOOKUP($B884&amp;AE$1,Data!$A$2:$D$12000,4,FALSE)</f>
        <v>-0.83299999999999996</v>
      </c>
      <c r="AF884">
        <f>VLOOKUP($B884&amp;AF$1,Data!$A$2:$D$12000,4,FALSE)</f>
        <v>6.8000000000000005E-2</v>
      </c>
      <c r="AG884">
        <f>VLOOKUP($B884&amp;AG$1,Data!$A$2:$D$12000,4,FALSE)</f>
        <v>0.75800000000000001</v>
      </c>
      <c r="AH884">
        <f>VLOOKUP($B884&amp;AH$1,Data!$A$2:$D$12000,4,FALSE)</f>
        <v>0</v>
      </c>
      <c r="AI884">
        <f>VLOOKUP($B884&amp;AI$1,Data!$A$2:$D$12000,4,FALSE)</f>
        <v>4800000</v>
      </c>
    </row>
    <row r="885" spans="2:35" hidden="1">
      <c r="B885" s="23">
        <v>884</v>
      </c>
      <c r="C885" s="13" t="s">
        <v>58</v>
      </c>
      <c r="D885" t="s">
        <v>19</v>
      </c>
      <c r="E885" t="s">
        <v>3</v>
      </c>
      <c r="F885">
        <v>1000</v>
      </c>
      <c r="G885" t="s">
        <v>17</v>
      </c>
      <c r="H885" s="5">
        <v>43831</v>
      </c>
      <c r="I885" s="5">
        <v>44562</v>
      </c>
      <c r="J885">
        <v>14</v>
      </c>
      <c r="K885">
        <v>9</v>
      </c>
      <c r="L885">
        <v>28</v>
      </c>
      <c r="M885">
        <v>72</v>
      </c>
      <c r="N885">
        <v>1000000</v>
      </c>
      <c r="O885">
        <f>VLOOKUP($B885&amp;O$1,Data!$A$2:$D$12000,4,FALSE)</f>
        <v>0.15578</v>
      </c>
      <c r="P885">
        <f>VLOOKUP($B885&amp;P$1,Data!$A$2:$D$12000,4,FALSE)</f>
        <v>-3.5999999999999997E-2</v>
      </c>
      <c r="Q885">
        <f>VLOOKUP($B885&amp;Q$1,Data!$A$2:$D$12000,4,FALSE)</f>
        <v>881</v>
      </c>
      <c r="R885">
        <f>VLOOKUP($B885&amp;R$1,Data!$A$2:$D$12000,4,FALSE)</f>
        <v>6.9999999999999999E-4</v>
      </c>
      <c r="S885">
        <f>VLOOKUP($B885&amp;S$1,Data!$A$2:$D$12000,4,FALSE)</f>
        <v>-1.5E-3</v>
      </c>
      <c r="T885">
        <f>VLOOKUP($B885&amp;T$1,Data!$A$2:$D$12000,4,FALSE)</f>
        <v>-1.4E-3</v>
      </c>
      <c r="U885">
        <f>VLOOKUP($B885&amp;U$1,Data!$A$2:$D$12000,4,FALSE)</f>
        <v>2.1999999999999999E-2</v>
      </c>
      <c r="V885">
        <f>VLOOKUP($B885&amp;V$1,Data!$A$2:$D$12000,4,FALSE)</f>
        <v>-5.0000000000000001E-3</v>
      </c>
      <c r="W885">
        <f>VLOOKUP($B885&amp;W$1,Data!$A$2:$D$12000,4,FALSE)</f>
        <v>-9.3000000000000005E-4</v>
      </c>
      <c r="X885">
        <f>VLOOKUP($B885&amp;X$1,Data!$A$2:$D$12000,4,FALSE)</f>
        <v>0.33</v>
      </c>
      <c r="Y885">
        <f>VLOOKUP($B885&amp;Y$1,Data!$A$2:$D$12000,4,FALSE)</f>
        <v>0.67</v>
      </c>
      <c r="Z885">
        <f>VLOOKUP($B885&amp;Z$1,Data!$A$2:$D$12000,4,FALSE)</f>
        <v>0.49</v>
      </c>
      <c r="AA885">
        <f>VLOOKUP($B885&amp;AA$1,Data!$A$2:$D$12000,4,FALSE)</f>
        <v>0</v>
      </c>
      <c r="AB885">
        <f>VLOOKUP($B885&amp;AB$1,Data!$A$2:$D$12000,4,FALSE)</f>
        <v>-2.3E-2</v>
      </c>
      <c r="AC885">
        <f>VLOOKUP($B885&amp;AC$1,Data!$A$2:$D$12000,4,FALSE)</f>
        <v>2.1000000000000001E-2</v>
      </c>
      <c r="AD885">
        <f>VLOOKUP($B885&amp;AD$1,Data!$A$2:$D$12000,4,FALSE)</f>
        <v>0</v>
      </c>
      <c r="AE885">
        <f>VLOOKUP($B885&amp;AE$1,Data!$A$2:$D$12000,4,FALSE)</f>
        <v>-0.73299999999999998</v>
      </c>
      <c r="AF885">
        <f>VLOOKUP($B885&amp;AF$1,Data!$A$2:$D$12000,4,FALSE)</f>
        <v>7.1999999999999995E-2</v>
      </c>
      <c r="AG885">
        <f>VLOOKUP($B885&amp;AG$1,Data!$A$2:$D$12000,4,FALSE)</f>
        <v>3.3000000000000002E-2</v>
      </c>
      <c r="AH885">
        <f>VLOOKUP($B885&amp;AH$1,Data!$A$2:$D$12000,4,FALSE)</f>
        <v>0</v>
      </c>
      <c r="AI885">
        <f>VLOOKUP($B885&amp;AI$1,Data!$A$2:$D$12000,4,FALSE)</f>
        <v>4900000</v>
      </c>
    </row>
    <row r="886" spans="2:35" hidden="1">
      <c r="B886" s="23">
        <v>885</v>
      </c>
      <c r="C886" s="13" t="s">
        <v>58</v>
      </c>
      <c r="D886" t="s">
        <v>19</v>
      </c>
      <c r="E886" t="s">
        <v>3</v>
      </c>
      <c r="F886">
        <v>5000</v>
      </c>
      <c r="G886" t="s">
        <v>17</v>
      </c>
      <c r="H886" s="5">
        <v>43831</v>
      </c>
      <c r="I886" s="5">
        <v>44562</v>
      </c>
      <c r="J886">
        <v>14</v>
      </c>
      <c r="K886">
        <v>9</v>
      </c>
      <c r="L886">
        <v>28</v>
      </c>
      <c r="M886">
        <v>72</v>
      </c>
      <c r="N886">
        <v>1000000</v>
      </c>
      <c r="O886">
        <f>VLOOKUP($B886&amp;O$1,Data!$A$2:$D$12000,4,FALSE)</f>
        <v>5.5359999999999999E-2</v>
      </c>
      <c r="P886">
        <f>VLOOKUP($B886&amp;P$1,Data!$A$2:$D$12000,4,FALSE)</f>
        <v>-0.63700000000000001</v>
      </c>
      <c r="Q886">
        <f>VLOOKUP($B886&amp;Q$1,Data!$A$2:$D$12000,4,FALSE)</f>
        <v>666</v>
      </c>
      <c r="R886">
        <f>VLOOKUP($B886&amp;R$1,Data!$A$2:$D$12000,4,FALSE)</f>
        <v>8.0000000000000004E-4</v>
      </c>
      <c r="S886">
        <f>VLOOKUP($B886&amp;S$1,Data!$A$2:$D$12000,4,FALSE)</f>
        <v>-2.2000000000000001E-3</v>
      </c>
      <c r="T886">
        <f>VLOOKUP($B886&amp;T$1,Data!$A$2:$D$12000,4,FALSE)</f>
        <v>-2.358E-2</v>
      </c>
      <c r="U886">
        <f>VLOOKUP($B886&amp;U$1,Data!$A$2:$D$12000,4,FALSE)</f>
        <v>3.5999999999999997E-2</v>
      </c>
      <c r="V886">
        <f>VLOOKUP($B886&amp;V$1,Data!$A$2:$D$12000,4,FALSE)</f>
        <v>-7.3999999999999996E-2</v>
      </c>
      <c r="W886">
        <f>VLOOKUP($B886&amp;W$1,Data!$A$2:$D$12000,4,FALSE)</f>
        <v>-1.576E-2</v>
      </c>
      <c r="X886">
        <f>VLOOKUP($B886&amp;X$1,Data!$A$2:$D$12000,4,FALSE)</f>
        <v>0.32</v>
      </c>
      <c r="Y886">
        <f>VLOOKUP($B886&amp;Y$1,Data!$A$2:$D$12000,4,FALSE)</f>
        <v>0.68</v>
      </c>
      <c r="Z886">
        <f>VLOOKUP($B886&amp;Z$1,Data!$A$2:$D$12000,4,FALSE)</f>
        <v>0.37</v>
      </c>
      <c r="AA886">
        <f>VLOOKUP($B886&amp;AA$1,Data!$A$2:$D$12000,4,FALSE)</f>
        <v>-1.2999999999999999E-2</v>
      </c>
      <c r="AB886">
        <f>VLOOKUP($B886&amp;AB$1,Data!$A$2:$D$12000,4,FALSE)</f>
        <v>-5.1999999999999998E-2</v>
      </c>
      <c r="AC886">
        <f>VLOOKUP($B886&amp;AC$1,Data!$A$2:$D$12000,4,FALSE)</f>
        <v>2.5000000000000001E-2</v>
      </c>
      <c r="AD886">
        <f>VLOOKUP($B886&amp;AD$1,Data!$A$2:$D$12000,4,FALSE)</f>
        <v>1E-3</v>
      </c>
      <c r="AE886">
        <f>VLOOKUP($B886&amp;AE$1,Data!$A$2:$D$12000,4,FALSE)</f>
        <v>-0.90600000000000003</v>
      </c>
      <c r="AF886">
        <f>VLOOKUP($B886&amp;AF$1,Data!$A$2:$D$12000,4,FALSE)</f>
        <v>7.4999999999999997E-2</v>
      </c>
      <c r="AG886">
        <f>VLOOKUP($B886&amp;AG$1,Data!$A$2:$D$12000,4,FALSE)</f>
        <v>0.307</v>
      </c>
      <c r="AH886">
        <f>VLOOKUP($B886&amp;AH$1,Data!$A$2:$D$12000,4,FALSE)</f>
        <v>0</v>
      </c>
      <c r="AI886">
        <f>VLOOKUP($B886&amp;AI$1,Data!$A$2:$D$12000,4,FALSE)</f>
        <v>5000000</v>
      </c>
    </row>
    <row r="887" spans="2:35" hidden="1">
      <c r="B887" s="23">
        <v>886</v>
      </c>
      <c r="C887" s="13" t="s">
        <v>58</v>
      </c>
      <c r="D887" t="s">
        <v>19</v>
      </c>
      <c r="E887" t="s">
        <v>2</v>
      </c>
      <c r="F887">
        <v>100</v>
      </c>
      <c r="G887" t="s">
        <v>17</v>
      </c>
      <c r="H887" s="5">
        <v>43831</v>
      </c>
      <c r="I887" s="5">
        <v>44562</v>
      </c>
      <c r="J887">
        <v>14</v>
      </c>
      <c r="K887">
        <v>9</v>
      </c>
      <c r="L887">
        <v>28</v>
      </c>
      <c r="M887">
        <v>72</v>
      </c>
      <c r="N887">
        <v>1000000</v>
      </c>
      <c r="O887">
        <f>VLOOKUP($B887&amp;O$1,Data!$A$2:$D$12000,4,FALSE)</f>
        <v>1.5E-3</v>
      </c>
      <c r="P887">
        <f>VLOOKUP($B887&amp;P$1,Data!$A$2:$D$12000,4,FALSE)</f>
        <v>-1.3919999999999999</v>
      </c>
      <c r="Q887">
        <f>VLOOKUP($B887&amp;Q$1,Data!$A$2:$D$12000,4,FALSE)</f>
        <v>935</v>
      </c>
      <c r="R887">
        <f>VLOOKUP($B887&amp;R$1,Data!$A$2:$D$12000,4,FALSE)</f>
        <v>1E-4</v>
      </c>
      <c r="S887">
        <f>VLOOKUP($B887&amp;S$1,Data!$A$2:$D$12000,4,FALSE)</f>
        <v>-5.9999999999999995E-4</v>
      </c>
      <c r="T887">
        <f>VLOOKUP($B887&amp;T$1,Data!$A$2:$D$12000,4,FALSE)</f>
        <v>-1.5140000000000001E-2</v>
      </c>
      <c r="U887">
        <f>VLOOKUP($B887&amp;U$1,Data!$A$2:$D$12000,4,FALSE)</f>
        <v>1.4E-2</v>
      </c>
      <c r="V887">
        <f>VLOOKUP($B887&amp;V$1,Data!$A$2:$D$12000,4,FALSE)</f>
        <v>-0.17299999999999999</v>
      </c>
      <c r="W887">
        <f>VLOOKUP($B887&amp;W$1,Data!$A$2:$D$12000,4,FALSE)</f>
        <v>-1.01E-2</v>
      </c>
      <c r="X887">
        <f>VLOOKUP($B887&amp;X$1,Data!$A$2:$D$12000,4,FALSE)</f>
        <v>0.34</v>
      </c>
      <c r="Y887">
        <f>VLOOKUP($B887&amp;Y$1,Data!$A$2:$D$12000,4,FALSE)</f>
        <v>0.66</v>
      </c>
      <c r="Z887">
        <f>VLOOKUP($B887&amp;Z$1,Data!$A$2:$D$12000,4,FALSE)</f>
        <v>0.25</v>
      </c>
      <c r="AA887">
        <f>VLOOKUP($B887&amp;AA$1,Data!$A$2:$D$12000,4,FALSE)</f>
        <v>-8.9999999999999993E-3</v>
      </c>
      <c r="AB887">
        <f>VLOOKUP($B887&amp;AB$1,Data!$A$2:$D$12000,4,FALSE)</f>
        <v>-2.3E-2</v>
      </c>
      <c r="AC887">
        <f>VLOOKUP($B887&amp;AC$1,Data!$A$2:$D$12000,4,FALSE)</f>
        <v>8.0000000000000002E-3</v>
      </c>
      <c r="AD887">
        <f>VLOOKUP($B887&amp;AD$1,Data!$A$2:$D$12000,4,FALSE)</f>
        <v>0</v>
      </c>
      <c r="AE887">
        <f>VLOOKUP($B887&amp;AE$1,Data!$A$2:$D$12000,4,FALSE)</f>
        <v>-0.86299999999999999</v>
      </c>
      <c r="AF887">
        <f>VLOOKUP($B887&amp;AF$1,Data!$A$2:$D$12000,4,FALSE)</f>
        <v>6.9000000000000006E-2</v>
      </c>
      <c r="AG887">
        <f>VLOOKUP($B887&amp;AG$1,Data!$A$2:$D$12000,4,FALSE)</f>
        <v>0.45200000000000001</v>
      </c>
      <c r="AH887">
        <f>VLOOKUP($B887&amp;AH$1,Data!$A$2:$D$12000,4,FALSE)</f>
        <v>0</v>
      </c>
      <c r="AI887">
        <f>VLOOKUP($B887&amp;AI$1,Data!$A$2:$D$12000,4,FALSE)</f>
        <v>6700000000</v>
      </c>
    </row>
    <row r="888" spans="2:35" hidden="1">
      <c r="B888" s="23">
        <v>887</v>
      </c>
      <c r="C888" s="13" t="s">
        <v>58</v>
      </c>
      <c r="D888" t="s">
        <v>19</v>
      </c>
      <c r="E888" t="s">
        <v>2</v>
      </c>
      <c r="F888">
        <v>1000</v>
      </c>
      <c r="G888" t="s">
        <v>17</v>
      </c>
      <c r="H888" s="5">
        <v>43831</v>
      </c>
      <c r="I888" s="5">
        <v>44562</v>
      </c>
      <c r="J888">
        <v>14</v>
      </c>
      <c r="K888">
        <v>9</v>
      </c>
      <c r="L888">
        <v>28</v>
      </c>
      <c r="M888">
        <v>72</v>
      </c>
      <c r="N888">
        <v>1000000</v>
      </c>
      <c r="O888">
        <f>VLOOKUP($B888&amp;O$1,Data!$A$2:$D$12000,4,FALSE)</f>
        <v>0.10446999999999999</v>
      </c>
      <c r="P888">
        <f>VLOOKUP($B888&amp;P$1,Data!$A$2:$D$12000,4,FALSE)</f>
        <v>-0.27</v>
      </c>
      <c r="Q888">
        <f>VLOOKUP($B888&amp;Q$1,Data!$A$2:$D$12000,4,FALSE)</f>
        <v>751</v>
      </c>
      <c r="R888">
        <f>VLOOKUP($B888&amp;R$1,Data!$A$2:$D$12000,4,FALSE)</f>
        <v>6.9999999999999999E-4</v>
      </c>
      <c r="S888">
        <f>VLOOKUP($B888&amp;S$1,Data!$A$2:$D$12000,4,FALSE)</f>
        <v>-1.4E-3</v>
      </c>
      <c r="T888">
        <f>VLOOKUP($B888&amp;T$1,Data!$A$2:$D$12000,4,FALSE)</f>
        <v>-8.4700000000000001E-3</v>
      </c>
      <c r="U888">
        <f>VLOOKUP($B888&amp;U$1,Data!$A$2:$D$12000,4,FALSE)</f>
        <v>2.4E-2</v>
      </c>
      <c r="V888">
        <f>VLOOKUP($B888&amp;V$1,Data!$A$2:$D$12000,4,FALSE)</f>
        <v>-3.6999999999999998E-2</v>
      </c>
      <c r="W888">
        <f>VLOOKUP($B888&amp;W$1,Data!$A$2:$D$12000,4,FALSE)</f>
        <v>-5.64E-3</v>
      </c>
      <c r="X888">
        <f>VLOOKUP($B888&amp;X$1,Data!$A$2:$D$12000,4,FALSE)</f>
        <v>0.35</v>
      </c>
      <c r="Y888">
        <f>VLOOKUP($B888&amp;Y$1,Data!$A$2:$D$12000,4,FALSE)</f>
        <v>0.65</v>
      </c>
      <c r="Z888">
        <f>VLOOKUP($B888&amp;Z$1,Data!$A$2:$D$12000,4,FALSE)</f>
        <v>0.48</v>
      </c>
      <c r="AA888">
        <f>VLOOKUP($B888&amp;AA$1,Data!$A$2:$D$12000,4,FALSE)</f>
        <v>-3.0000000000000001E-3</v>
      </c>
      <c r="AB888">
        <f>VLOOKUP($B888&amp;AB$1,Data!$A$2:$D$12000,4,FALSE)</f>
        <v>-5.2999999999999999E-2</v>
      </c>
      <c r="AC888">
        <f>VLOOKUP($B888&amp;AC$1,Data!$A$2:$D$12000,4,FALSE)</f>
        <v>2.1000000000000001E-2</v>
      </c>
      <c r="AD888">
        <f>VLOOKUP($B888&amp;AD$1,Data!$A$2:$D$12000,4,FALSE)</f>
        <v>0</v>
      </c>
      <c r="AE888">
        <f>VLOOKUP($B888&amp;AE$1,Data!$A$2:$D$12000,4,FALSE)</f>
        <v>-0.74399999999999999</v>
      </c>
      <c r="AF888">
        <f>VLOOKUP($B888&amp;AF$1,Data!$A$2:$D$12000,4,FALSE)</f>
        <v>7.3999999999999996E-2</v>
      </c>
      <c r="AG888">
        <f>VLOOKUP($B888&amp;AG$1,Data!$A$2:$D$12000,4,FALSE)</f>
        <v>0.107</v>
      </c>
      <c r="AH888">
        <f>VLOOKUP($B888&amp;AH$1,Data!$A$2:$D$12000,4,FALSE)</f>
        <v>0</v>
      </c>
      <c r="AI888">
        <f>VLOOKUP($B888&amp;AI$1,Data!$A$2:$D$12000,4,FALSE)</f>
        <v>710000000</v>
      </c>
    </row>
    <row r="889" spans="2:35" hidden="1">
      <c r="B889" s="23">
        <v>888</v>
      </c>
      <c r="C889" s="13" t="s">
        <v>58</v>
      </c>
      <c r="D889" t="s">
        <v>19</v>
      </c>
      <c r="E889" t="s">
        <v>2</v>
      </c>
      <c r="F889">
        <v>5000</v>
      </c>
      <c r="G889" t="s">
        <v>17</v>
      </c>
      <c r="H889" s="5">
        <v>43831</v>
      </c>
      <c r="I889" s="5">
        <v>44562</v>
      </c>
      <c r="J889">
        <v>14</v>
      </c>
      <c r="K889">
        <v>9</v>
      </c>
      <c r="L889">
        <v>28</v>
      </c>
      <c r="M889">
        <v>72</v>
      </c>
      <c r="N889">
        <v>1000000</v>
      </c>
      <c r="O889">
        <f>VLOOKUP($B889&amp;O$1,Data!$A$2:$D$12000,4,FALSE)</f>
        <v>0.12318999999999999</v>
      </c>
      <c r="P889">
        <f>VLOOKUP($B889&amp;P$1,Data!$A$2:$D$12000,4,FALSE)</f>
        <v>-0.184</v>
      </c>
      <c r="Q889">
        <f>VLOOKUP($B889&amp;Q$1,Data!$A$2:$D$12000,4,FALSE)</f>
        <v>572</v>
      </c>
      <c r="R889">
        <f>VLOOKUP($B889&amp;R$1,Data!$A$2:$D$12000,4,FALSE)</f>
        <v>8.0000000000000004E-4</v>
      </c>
      <c r="S889">
        <f>VLOOKUP($B889&amp;S$1,Data!$A$2:$D$12000,4,FALSE)</f>
        <v>-1.9E-3</v>
      </c>
      <c r="T889">
        <f>VLOOKUP($B889&amp;T$1,Data!$A$2:$D$12000,4,FALSE)</f>
        <v>-7.1599999999999997E-3</v>
      </c>
      <c r="U889">
        <f>VLOOKUP($B889&amp;U$1,Data!$A$2:$D$12000,4,FALSE)</f>
        <v>3.5000000000000003E-2</v>
      </c>
      <c r="V889">
        <f>VLOOKUP($B889&amp;V$1,Data!$A$2:$D$12000,4,FALSE)</f>
        <v>-2.5000000000000001E-2</v>
      </c>
      <c r="W889">
        <f>VLOOKUP($B889&amp;W$1,Data!$A$2:$D$12000,4,FALSE)</f>
        <v>-4.7699999999999999E-3</v>
      </c>
      <c r="X889">
        <f>VLOOKUP($B889&amp;X$1,Data!$A$2:$D$12000,4,FALSE)</f>
        <v>0.32</v>
      </c>
      <c r="Y889">
        <f>VLOOKUP($B889&amp;Y$1,Data!$A$2:$D$12000,4,FALSE)</f>
        <v>0.68</v>
      </c>
      <c r="Z889">
        <f>VLOOKUP($B889&amp;Z$1,Data!$A$2:$D$12000,4,FALSE)</f>
        <v>0.44</v>
      </c>
      <c r="AA889">
        <f>VLOOKUP($B889&amp;AA$1,Data!$A$2:$D$12000,4,FALSE)</f>
        <v>-2E-3</v>
      </c>
      <c r="AB889">
        <f>VLOOKUP($B889&amp;AB$1,Data!$A$2:$D$12000,4,FALSE)</f>
        <v>-4.7E-2</v>
      </c>
      <c r="AC889">
        <f>VLOOKUP($B889&amp;AC$1,Data!$A$2:$D$12000,4,FALSE)</f>
        <v>2.5000000000000001E-2</v>
      </c>
      <c r="AD889">
        <f>VLOOKUP($B889&amp;AD$1,Data!$A$2:$D$12000,4,FALSE)</f>
        <v>1E-3</v>
      </c>
      <c r="AE889">
        <f>VLOOKUP($B889&amp;AE$1,Data!$A$2:$D$12000,4,FALSE)</f>
        <v>-0.72099999999999997</v>
      </c>
      <c r="AF889">
        <f>VLOOKUP($B889&amp;AF$1,Data!$A$2:$D$12000,4,FALSE)</f>
        <v>7.4999999999999997E-2</v>
      </c>
      <c r="AG889">
        <f>VLOOKUP($B889&amp;AG$1,Data!$A$2:$D$12000,4,FALSE)</f>
        <v>9.9000000000000005E-2</v>
      </c>
      <c r="AH889">
        <f>VLOOKUP($B889&amp;AH$1,Data!$A$2:$D$12000,4,FALSE)</f>
        <v>0</v>
      </c>
      <c r="AI889">
        <f>VLOOKUP($B889&amp;AI$1,Data!$A$2:$D$12000,4,FALSE)</f>
        <v>150000000</v>
      </c>
    </row>
    <row r="890" spans="2:35" hidden="1">
      <c r="B890" s="23">
        <v>889</v>
      </c>
      <c r="C890" s="13" t="s">
        <v>58</v>
      </c>
      <c r="D890" t="s">
        <v>19</v>
      </c>
      <c r="E890" t="s">
        <v>22</v>
      </c>
      <c r="F890">
        <v>100</v>
      </c>
      <c r="G890" t="s">
        <v>17</v>
      </c>
      <c r="H890" s="5">
        <v>43831</v>
      </c>
      <c r="I890" s="5">
        <v>44562</v>
      </c>
      <c r="J890">
        <v>14</v>
      </c>
      <c r="K890">
        <v>9</v>
      </c>
      <c r="L890">
        <v>28</v>
      </c>
      <c r="M890">
        <v>72</v>
      </c>
      <c r="N890">
        <v>1000000</v>
      </c>
      <c r="O890">
        <f>VLOOKUP($B890&amp;O$1,Data!$A$2:$D$12000,4,FALSE)</f>
        <v>0.10492</v>
      </c>
      <c r="P890">
        <f>VLOOKUP($B890&amp;P$1,Data!$A$2:$D$12000,4,FALSE)</f>
        <v>-0.33300000000000002</v>
      </c>
      <c r="Q890">
        <f>VLOOKUP($B890&amp;Q$1,Data!$A$2:$D$12000,4,FALSE)</f>
        <v>674</v>
      </c>
      <c r="R890">
        <f>VLOOKUP($B890&amp;R$1,Data!$A$2:$D$12000,4,FALSE)</f>
        <v>2.0000000000000001E-4</v>
      </c>
      <c r="S890">
        <f>VLOOKUP($B890&amp;S$1,Data!$A$2:$D$12000,4,FALSE)</f>
        <v>-5.0000000000000001E-4</v>
      </c>
      <c r="T890">
        <f>VLOOKUP($B890&amp;T$1,Data!$A$2:$D$12000,4,FALSE)</f>
        <v>-3.2699999999999999E-3</v>
      </c>
      <c r="U890">
        <f>VLOOKUP($B890&amp;U$1,Data!$A$2:$D$12000,4,FALSE)</f>
        <v>8.9999999999999993E-3</v>
      </c>
      <c r="V890">
        <f>VLOOKUP($B890&amp;V$1,Data!$A$2:$D$12000,4,FALSE)</f>
        <v>-6.2E-2</v>
      </c>
      <c r="W890">
        <f>VLOOKUP($B890&amp;W$1,Data!$A$2:$D$12000,4,FALSE)</f>
        <v>-2.1800000000000001E-3</v>
      </c>
      <c r="X890">
        <f>VLOOKUP($B890&amp;X$1,Data!$A$2:$D$12000,4,FALSE)</f>
        <v>0.37</v>
      </c>
      <c r="Y890">
        <f>VLOOKUP($B890&amp;Y$1,Data!$A$2:$D$12000,4,FALSE)</f>
        <v>0.63</v>
      </c>
      <c r="Z890">
        <f>VLOOKUP($B890&amp;Z$1,Data!$A$2:$D$12000,4,FALSE)</f>
        <v>0.5</v>
      </c>
      <c r="AA890">
        <f>VLOOKUP($B890&amp;AA$1,Data!$A$2:$D$12000,4,FALSE)</f>
        <v>-2E-3</v>
      </c>
      <c r="AB890">
        <f>VLOOKUP($B890&amp;AB$1,Data!$A$2:$D$12000,4,FALSE)</f>
        <v>-8.9999999999999993E-3</v>
      </c>
      <c r="AC890">
        <f>VLOOKUP($B890&amp;AC$1,Data!$A$2:$D$12000,4,FALSE)</f>
        <v>7.0000000000000001E-3</v>
      </c>
      <c r="AD890">
        <f>VLOOKUP($B890&amp;AD$1,Data!$A$2:$D$12000,4,FALSE)</f>
        <v>0</v>
      </c>
      <c r="AE890">
        <f>VLOOKUP($B890&amp;AE$1,Data!$A$2:$D$12000,4,FALSE)</f>
        <v>-0.79400000000000004</v>
      </c>
      <c r="AF890">
        <f>VLOOKUP($B890&amp;AF$1,Data!$A$2:$D$12000,4,FALSE)</f>
        <v>6.8000000000000005E-2</v>
      </c>
      <c r="AG890">
        <f>VLOOKUP($B890&amp;AG$1,Data!$A$2:$D$12000,4,FALSE)</f>
        <v>0.25</v>
      </c>
      <c r="AH890">
        <f>VLOOKUP($B890&amp;AH$1,Data!$A$2:$D$12000,4,FALSE)</f>
        <v>0</v>
      </c>
      <c r="AI890">
        <f>VLOOKUP($B890&amp;AI$1,Data!$A$2:$D$12000,4,FALSE)</f>
        <v>4700000000</v>
      </c>
    </row>
    <row r="891" spans="2:35" hidden="1">
      <c r="B891" s="23">
        <v>890</v>
      </c>
      <c r="C891" s="13" t="s">
        <v>58</v>
      </c>
      <c r="D891" t="s">
        <v>19</v>
      </c>
      <c r="E891" t="s">
        <v>22</v>
      </c>
      <c r="F891">
        <v>1000</v>
      </c>
      <c r="G891" t="s">
        <v>17</v>
      </c>
      <c r="H891" s="5">
        <v>43831</v>
      </c>
      <c r="I891" s="5">
        <v>44562</v>
      </c>
      <c r="J891">
        <v>14</v>
      </c>
      <c r="K891">
        <v>9</v>
      </c>
      <c r="L891">
        <v>28</v>
      </c>
      <c r="M891">
        <v>72</v>
      </c>
      <c r="N891">
        <v>1000000</v>
      </c>
      <c r="O891">
        <f>VLOOKUP($B891&amp;O$1,Data!$A$2:$D$12000,4,FALSE)</f>
        <v>0.14940000000000001</v>
      </c>
      <c r="P891">
        <f>VLOOKUP($B891&amp;P$1,Data!$A$2:$D$12000,4,FALSE)</f>
        <v>-6.7000000000000004E-2</v>
      </c>
      <c r="Q891">
        <f>VLOOKUP($B891&amp;Q$1,Data!$A$2:$D$12000,4,FALSE)</f>
        <v>545</v>
      </c>
      <c r="R891">
        <f>VLOOKUP($B891&amp;R$1,Data!$A$2:$D$12000,4,FALSE)</f>
        <v>8.0000000000000004E-4</v>
      </c>
      <c r="S891">
        <f>VLOOKUP($B891&amp;S$1,Data!$A$2:$D$12000,4,FALSE)</f>
        <v>-1.5E-3</v>
      </c>
      <c r="T891">
        <f>VLOOKUP($B891&amp;T$1,Data!$A$2:$D$12000,4,FALSE)</f>
        <v>-1.9499999999999999E-3</v>
      </c>
      <c r="U891">
        <f>VLOOKUP($B891&amp;U$1,Data!$A$2:$D$12000,4,FALSE)</f>
        <v>2.1000000000000001E-2</v>
      </c>
      <c r="V891">
        <f>VLOOKUP($B891&amp;V$1,Data!$A$2:$D$12000,4,FALSE)</f>
        <v>-1.0999999999999999E-2</v>
      </c>
      <c r="W891">
        <f>VLOOKUP($B891&amp;W$1,Data!$A$2:$D$12000,4,FALSE)</f>
        <v>-1.2999999999999999E-3</v>
      </c>
      <c r="X891">
        <f>VLOOKUP($B891&amp;X$1,Data!$A$2:$D$12000,4,FALSE)</f>
        <v>0.35</v>
      </c>
      <c r="Y891">
        <f>VLOOKUP($B891&amp;Y$1,Data!$A$2:$D$12000,4,FALSE)</f>
        <v>0.65</v>
      </c>
      <c r="Z891">
        <f>VLOOKUP($B891&amp;Z$1,Data!$A$2:$D$12000,4,FALSE)</f>
        <v>0.53</v>
      </c>
      <c r="AA891">
        <f>VLOOKUP($B891&amp;AA$1,Data!$A$2:$D$12000,4,FALSE)</f>
        <v>0</v>
      </c>
      <c r="AB891">
        <f>VLOOKUP($B891&amp;AB$1,Data!$A$2:$D$12000,4,FALSE)</f>
        <v>-2.8000000000000001E-2</v>
      </c>
      <c r="AC891">
        <f>VLOOKUP($B891&amp;AC$1,Data!$A$2:$D$12000,4,FALSE)</f>
        <v>1.7999999999999999E-2</v>
      </c>
      <c r="AD891">
        <f>VLOOKUP($B891&amp;AD$1,Data!$A$2:$D$12000,4,FALSE)</f>
        <v>0</v>
      </c>
      <c r="AE891">
        <f>VLOOKUP($B891&amp;AE$1,Data!$A$2:$D$12000,4,FALSE)</f>
        <v>-0.74399999999999999</v>
      </c>
      <c r="AF891">
        <f>VLOOKUP($B891&amp;AF$1,Data!$A$2:$D$12000,4,FALSE)</f>
        <v>7.0999999999999994E-2</v>
      </c>
      <c r="AG891">
        <f>VLOOKUP($B891&amp;AG$1,Data!$A$2:$D$12000,4,FALSE)</f>
        <v>4.2000000000000003E-2</v>
      </c>
      <c r="AH891">
        <f>VLOOKUP($B891&amp;AH$1,Data!$A$2:$D$12000,4,FALSE)</f>
        <v>0</v>
      </c>
      <c r="AI891">
        <f>VLOOKUP($B891&amp;AI$1,Data!$A$2:$D$12000,4,FALSE)</f>
        <v>500000000</v>
      </c>
    </row>
    <row r="892" spans="2:35" hidden="1">
      <c r="B892" s="23">
        <v>891</v>
      </c>
      <c r="C892" s="13" t="s">
        <v>58</v>
      </c>
      <c r="D892" t="s">
        <v>19</v>
      </c>
      <c r="E892" t="s">
        <v>22</v>
      </c>
      <c r="F892">
        <v>5000</v>
      </c>
      <c r="G892" t="s">
        <v>17</v>
      </c>
      <c r="H892" s="5">
        <v>43831</v>
      </c>
      <c r="I892" s="5">
        <v>44562</v>
      </c>
      <c r="J892">
        <v>14</v>
      </c>
      <c r="K892">
        <v>9</v>
      </c>
      <c r="L892">
        <v>28</v>
      </c>
      <c r="M892">
        <v>72</v>
      </c>
      <c r="N892">
        <v>1000000</v>
      </c>
      <c r="O892">
        <f>VLOOKUP($B892&amp;O$1,Data!$A$2:$D$12000,4,FALSE)</f>
        <v>2.615E-2</v>
      </c>
      <c r="P892">
        <f>VLOOKUP($B892&amp;P$1,Data!$A$2:$D$12000,4,FALSE)</f>
        <v>-0.99</v>
      </c>
      <c r="Q892">
        <f>VLOOKUP($B892&amp;Q$1,Data!$A$2:$D$12000,4,FALSE)</f>
        <v>416</v>
      </c>
      <c r="R892">
        <f>VLOOKUP($B892&amp;R$1,Data!$A$2:$D$12000,4,FALSE)</f>
        <v>8.9999999999999998E-4</v>
      </c>
      <c r="S892">
        <f>VLOOKUP($B892&amp;S$1,Data!$A$2:$D$12000,4,FALSE)</f>
        <v>-2.2000000000000001E-3</v>
      </c>
      <c r="T892">
        <f>VLOOKUP($B892&amp;T$1,Data!$A$2:$D$12000,4,FALSE)</f>
        <v>-3.074E-2</v>
      </c>
      <c r="U892">
        <f>VLOOKUP($B892&amp;U$1,Data!$A$2:$D$12000,4,FALSE)</f>
        <v>3.6999999999999998E-2</v>
      </c>
      <c r="V892">
        <f>VLOOKUP($B892&amp;V$1,Data!$A$2:$D$12000,4,FALSE)</f>
        <v>-0.14699999999999999</v>
      </c>
      <c r="W892">
        <f>VLOOKUP($B892&amp;W$1,Data!$A$2:$D$12000,4,FALSE)</f>
        <v>-2.0570000000000001E-2</v>
      </c>
      <c r="X892">
        <f>VLOOKUP($B892&amp;X$1,Data!$A$2:$D$12000,4,FALSE)</f>
        <v>0.39</v>
      </c>
      <c r="Y892">
        <f>VLOOKUP($B892&amp;Y$1,Data!$A$2:$D$12000,4,FALSE)</f>
        <v>0.61</v>
      </c>
      <c r="Z892">
        <f>VLOOKUP($B892&amp;Z$1,Data!$A$2:$D$12000,4,FALSE)</f>
        <v>0.4</v>
      </c>
      <c r="AA892">
        <f>VLOOKUP($B892&amp;AA$1,Data!$A$2:$D$12000,4,FALSE)</f>
        <v>-1.9E-2</v>
      </c>
      <c r="AB892">
        <f>VLOOKUP($B892&amp;AB$1,Data!$A$2:$D$12000,4,FALSE)</f>
        <v>-0.04</v>
      </c>
      <c r="AC892">
        <f>VLOOKUP($B892&amp;AC$1,Data!$A$2:$D$12000,4,FALSE)</f>
        <v>2.1000000000000001E-2</v>
      </c>
      <c r="AD892">
        <f>VLOOKUP($B892&amp;AD$1,Data!$A$2:$D$12000,4,FALSE)</f>
        <v>0</v>
      </c>
      <c r="AE892">
        <f>VLOOKUP($B892&amp;AE$1,Data!$A$2:$D$12000,4,FALSE)</f>
        <v>-1</v>
      </c>
      <c r="AF892">
        <f>VLOOKUP($B892&amp;AF$1,Data!$A$2:$D$12000,4,FALSE)</f>
        <v>7.2999999999999995E-2</v>
      </c>
      <c r="AG892">
        <f>VLOOKUP($B892&amp;AG$1,Data!$A$2:$D$12000,4,FALSE)</f>
        <v>0.52600000000000002</v>
      </c>
      <c r="AH892">
        <f>VLOOKUP($B892&amp;AH$1,Data!$A$2:$D$12000,4,FALSE)</f>
        <v>0</v>
      </c>
      <c r="AI892">
        <f>VLOOKUP($B892&amp;AI$1,Data!$A$2:$D$12000,4,FALSE)</f>
        <v>120000000</v>
      </c>
    </row>
    <row r="893" spans="2:35" hidden="1">
      <c r="B893" s="23">
        <v>892</v>
      </c>
      <c r="C893" s="13" t="s">
        <v>58</v>
      </c>
      <c r="D893" t="s">
        <v>20</v>
      </c>
      <c r="E893" t="s">
        <v>3</v>
      </c>
      <c r="F893">
        <v>100</v>
      </c>
      <c r="G893" t="s">
        <v>17</v>
      </c>
      <c r="H893" s="5">
        <v>43831</v>
      </c>
      <c r="I893" s="5">
        <v>44562</v>
      </c>
      <c r="J893">
        <v>14</v>
      </c>
      <c r="K893">
        <v>9</v>
      </c>
      <c r="L893">
        <v>30</v>
      </c>
      <c r="M893">
        <v>70</v>
      </c>
      <c r="N893">
        <v>1000000</v>
      </c>
      <c r="O893">
        <f>VLOOKUP($B893&amp;O$1,Data!$A$2:$D$12000,4,FALSE)</f>
        <v>5.7029999999999997E-2</v>
      </c>
      <c r="P893">
        <f>VLOOKUP($B893&amp;P$1,Data!$A$2:$D$12000,4,FALSE)</f>
        <v>-0.66900000000000004</v>
      </c>
      <c r="Q893">
        <f>VLOOKUP($B893&amp;Q$1,Data!$A$2:$D$12000,4,FALSE)</f>
        <v>1495</v>
      </c>
      <c r="R893">
        <f>VLOOKUP($B893&amp;R$1,Data!$A$2:$D$12000,4,FALSE)</f>
        <v>2.0000000000000001E-4</v>
      </c>
      <c r="S893">
        <f>VLOOKUP($B893&amp;S$1,Data!$A$2:$D$12000,4,FALSE)</f>
        <v>-4.0000000000000002E-4</v>
      </c>
      <c r="T893">
        <f>VLOOKUP($B893&amp;T$1,Data!$A$2:$D$12000,4,FALSE)</f>
        <v>-9.6200000000000001E-3</v>
      </c>
      <c r="U893">
        <f>VLOOKUP($B893&amp;U$1,Data!$A$2:$D$12000,4,FALSE)</f>
        <v>1.7000000000000001E-2</v>
      </c>
      <c r="V893">
        <f>VLOOKUP($B893&amp;V$1,Data!$A$2:$D$12000,4,FALSE)</f>
        <v>-8.4000000000000005E-2</v>
      </c>
      <c r="W893">
        <f>VLOOKUP($B893&amp;W$1,Data!$A$2:$D$12000,4,FALSE)</f>
        <v>-6.3800000000000003E-3</v>
      </c>
      <c r="X893">
        <f>VLOOKUP($B893&amp;X$1,Data!$A$2:$D$12000,4,FALSE)</f>
        <v>0.36</v>
      </c>
      <c r="Y893">
        <f>VLOOKUP($B893&amp;Y$1,Data!$A$2:$D$12000,4,FALSE)</f>
        <v>0.64</v>
      </c>
      <c r="Z893">
        <f>VLOOKUP($B893&amp;Z$1,Data!$A$2:$D$12000,4,FALSE)</f>
        <v>0.44</v>
      </c>
      <c r="AA893">
        <f>VLOOKUP($B893&amp;AA$1,Data!$A$2:$D$12000,4,FALSE)</f>
        <v>-7.0000000000000001E-3</v>
      </c>
      <c r="AB893">
        <f>VLOOKUP($B893&amp;AB$1,Data!$A$2:$D$12000,4,FALSE)</f>
        <v>2E-3</v>
      </c>
      <c r="AC893">
        <f>VLOOKUP($B893&amp;AC$1,Data!$A$2:$D$12000,4,FALSE)</f>
        <v>0.01</v>
      </c>
      <c r="AD893">
        <f>VLOOKUP($B893&amp;AD$1,Data!$A$2:$D$12000,4,FALSE)</f>
        <v>0</v>
      </c>
      <c r="AE893">
        <f>VLOOKUP($B893&amp;AE$1,Data!$A$2:$D$12000,4,FALSE)</f>
        <v>-0.85499999999999998</v>
      </c>
      <c r="AF893">
        <f>VLOOKUP($B893&amp;AF$1,Data!$A$2:$D$12000,4,FALSE)</f>
        <v>6.8000000000000005E-2</v>
      </c>
      <c r="AG893">
        <f>VLOOKUP($B893&amp;AG$1,Data!$A$2:$D$12000,4,FALSE)</f>
        <v>-4.34</v>
      </c>
      <c r="AH893">
        <f>VLOOKUP($B893&amp;AH$1,Data!$A$2:$D$12000,4,FALSE)</f>
        <v>0</v>
      </c>
      <c r="AI893">
        <f>VLOOKUP($B893&amp;AI$1,Data!$A$2:$D$12000,4,FALSE)</f>
        <v>180000000</v>
      </c>
    </row>
    <row r="894" spans="2:35" hidden="1">
      <c r="B894" s="23">
        <v>893</v>
      </c>
      <c r="C894" s="13" t="s">
        <v>58</v>
      </c>
      <c r="D894" t="s">
        <v>20</v>
      </c>
      <c r="E894" t="s">
        <v>3</v>
      </c>
      <c r="F894">
        <v>1000</v>
      </c>
      <c r="G894" t="s">
        <v>17</v>
      </c>
      <c r="H894" s="5">
        <v>43831</v>
      </c>
      <c r="I894" s="5">
        <v>44562</v>
      </c>
      <c r="J894">
        <v>14</v>
      </c>
      <c r="K894">
        <v>9</v>
      </c>
      <c r="L894">
        <v>30</v>
      </c>
      <c r="M894">
        <v>70</v>
      </c>
      <c r="N894">
        <v>1000000</v>
      </c>
      <c r="O894">
        <f>VLOOKUP($B894&amp;O$1,Data!$A$2:$D$12000,4,FALSE)</f>
        <v>5.3E-3</v>
      </c>
      <c r="P894">
        <f>VLOOKUP($B894&amp;P$1,Data!$A$2:$D$12000,4,FALSE)</f>
        <v>-1.75</v>
      </c>
      <c r="Q894">
        <f>VLOOKUP($B894&amp;Q$1,Data!$A$2:$D$12000,4,FALSE)</f>
        <v>1173</v>
      </c>
      <c r="R894">
        <f>VLOOKUP($B894&amp;R$1,Data!$A$2:$D$12000,4,FALSE)</f>
        <v>5.9999999999999995E-4</v>
      </c>
      <c r="S894">
        <f>VLOOKUP($B894&amp;S$1,Data!$A$2:$D$12000,4,FALSE)</f>
        <v>-1.6999999999999999E-3</v>
      </c>
      <c r="T894">
        <f>VLOOKUP($B894&amp;T$1,Data!$A$2:$D$12000,4,FALSE)</f>
        <v>-6.6140000000000004E-2</v>
      </c>
      <c r="U894">
        <f>VLOOKUP($B894&amp;U$1,Data!$A$2:$D$12000,4,FALSE)</f>
        <v>5.8000000000000003E-2</v>
      </c>
      <c r="V894">
        <f>VLOOKUP($B894&amp;V$1,Data!$A$2:$D$12000,4,FALSE)</f>
        <v>-0.16500000000000001</v>
      </c>
      <c r="W894">
        <f>VLOOKUP($B894&amp;W$1,Data!$A$2:$D$12000,4,FALSE)</f>
        <v>-4.4350000000000001E-2</v>
      </c>
      <c r="X894">
        <f>VLOOKUP($B894&amp;X$1,Data!$A$2:$D$12000,4,FALSE)</f>
        <v>0.37</v>
      </c>
      <c r="Y894">
        <f>VLOOKUP($B894&amp;Y$1,Data!$A$2:$D$12000,4,FALSE)</f>
        <v>0.63</v>
      </c>
      <c r="Z894">
        <f>VLOOKUP($B894&amp;Z$1,Data!$A$2:$D$12000,4,FALSE)</f>
        <v>0.33</v>
      </c>
      <c r="AA894">
        <f>VLOOKUP($B894&amp;AA$1,Data!$A$2:$D$12000,4,FALSE)</f>
        <v>-4.8000000000000001E-2</v>
      </c>
      <c r="AB894">
        <f>VLOOKUP($B894&amp;AB$1,Data!$A$2:$D$12000,4,FALSE)</f>
        <v>0.04</v>
      </c>
      <c r="AC894">
        <f>VLOOKUP($B894&amp;AC$1,Data!$A$2:$D$12000,4,FALSE)</f>
        <v>2.5999999999999999E-2</v>
      </c>
      <c r="AD894">
        <f>VLOOKUP($B894&amp;AD$1,Data!$A$2:$D$12000,4,FALSE)</f>
        <v>1E-3</v>
      </c>
      <c r="AE894">
        <f>VLOOKUP($B894&amp;AE$1,Data!$A$2:$D$12000,4,FALSE)</f>
        <v>-1.3979999999999999</v>
      </c>
      <c r="AF894">
        <f>VLOOKUP($B894&amp;AF$1,Data!$A$2:$D$12000,4,FALSE)</f>
        <v>7.0000000000000007E-2</v>
      </c>
      <c r="AG894">
        <f>VLOOKUP($B894&amp;AG$1,Data!$A$2:$D$12000,4,FALSE)</f>
        <v>-1.1379999999999999</v>
      </c>
      <c r="AH894">
        <f>VLOOKUP($B894&amp;AH$1,Data!$A$2:$D$12000,4,FALSE)</f>
        <v>0</v>
      </c>
      <c r="AI894">
        <f>VLOOKUP($B894&amp;AI$1,Data!$A$2:$D$12000,4,FALSE)</f>
        <v>25000000</v>
      </c>
    </row>
    <row r="895" spans="2:35" hidden="1">
      <c r="B895" s="23">
        <v>894</v>
      </c>
      <c r="C895" s="13" t="s">
        <v>58</v>
      </c>
      <c r="D895" t="s">
        <v>20</v>
      </c>
      <c r="E895" t="s">
        <v>3</v>
      </c>
      <c r="F895">
        <v>5000</v>
      </c>
      <c r="G895" t="s">
        <v>17</v>
      </c>
      <c r="H895" s="5">
        <v>43831</v>
      </c>
      <c r="I895" s="5">
        <v>44562</v>
      </c>
      <c r="J895">
        <v>14</v>
      </c>
      <c r="K895">
        <v>9</v>
      </c>
      <c r="L895">
        <v>30</v>
      </c>
      <c r="M895">
        <v>70</v>
      </c>
      <c r="N895">
        <v>1000000</v>
      </c>
      <c r="O895">
        <f>VLOOKUP($B895&amp;O$1,Data!$A$2:$D$12000,4,FALSE)</f>
        <v>8.0000000000000007E-5</v>
      </c>
      <c r="P895">
        <f>VLOOKUP($B895&amp;P$1,Data!$A$2:$D$12000,4,FALSE)</f>
        <v>-2.4990000000000001</v>
      </c>
      <c r="Q895">
        <f>VLOOKUP($B895&amp;Q$1,Data!$A$2:$D$12000,4,FALSE)</f>
        <v>896</v>
      </c>
      <c r="R895">
        <f>VLOOKUP($B895&amp;R$1,Data!$A$2:$D$12000,4,FALSE)</f>
        <v>6.9999999999999999E-4</v>
      </c>
      <c r="S895">
        <f>VLOOKUP($B895&amp;S$1,Data!$A$2:$D$12000,4,FALSE)</f>
        <v>-2.5000000000000001E-3</v>
      </c>
      <c r="T895">
        <f>VLOOKUP($B895&amp;T$1,Data!$A$2:$D$12000,4,FALSE)</f>
        <v>-0.11194999999999999</v>
      </c>
      <c r="U895">
        <f>VLOOKUP($B895&amp;U$1,Data!$A$2:$D$12000,4,FALSE)</f>
        <v>7.9000000000000001E-2</v>
      </c>
      <c r="V895">
        <f>VLOOKUP($B895&amp;V$1,Data!$A$2:$D$12000,4,FALSE)</f>
        <v>-0.20799999999999999</v>
      </c>
      <c r="W895">
        <f>VLOOKUP($B895&amp;W$1,Data!$A$2:$D$12000,4,FALSE)</f>
        <v>-7.5689999999999993E-2</v>
      </c>
      <c r="X895">
        <f>VLOOKUP($B895&amp;X$1,Data!$A$2:$D$12000,4,FALSE)</f>
        <v>0.38</v>
      </c>
      <c r="Y895">
        <f>VLOOKUP($B895&amp;Y$1,Data!$A$2:$D$12000,4,FALSE)</f>
        <v>0.62</v>
      </c>
      <c r="Z895">
        <f>VLOOKUP($B895&amp;Z$1,Data!$A$2:$D$12000,4,FALSE)</f>
        <v>0.27</v>
      </c>
      <c r="AA895">
        <f>VLOOKUP($B895&amp;AA$1,Data!$A$2:$D$12000,4,FALSE)</f>
        <v>-8.1000000000000003E-2</v>
      </c>
      <c r="AB895">
        <f>VLOOKUP($B895&amp;AB$1,Data!$A$2:$D$12000,4,FALSE)</f>
        <v>0.05</v>
      </c>
      <c r="AC895">
        <f>VLOOKUP($B895&amp;AC$1,Data!$A$2:$D$12000,4,FALSE)</f>
        <v>3.1E-2</v>
      </c>
      <c r="AD895">
        <f>VLOOKUP($B895&amp;AD$1,Data!$A$2:$D$12000,4,FALSE)</f>
        <v>1E-3</v>
      </c>
      <c r="AE895">
        <f>VLOOKUP($B895&amp;AE$1,Data!$A$2:$D$12000,4,FALSE)</f>
        <v>-1.825</v>
      </c>
      <c r="AF895">
        <f>VLOOKUP($B895&amp;AF$1,Data!$A$2:$D$12000,4,FALSE)</f>
        <v>7.0999999999999994E-2</v>
      </c>
      <c r="AG895">
        <f>VLOOKUP($B895&amp;AG$1,Data!$A$2:$D$12000,4,FALSE)</f>
        <v>-1.581</v>
      </c>
      <c r="AH895">
        <f>VLOOKUP($B895&amp;AH$1,Data!$A$2:$D$12000,4,FALSE)</f>
        <v>0</v>
      </c>
      <c r="AI895">
        <f>VLOOKUP($B895&amp;AI$1,Data!$A$2:$D$12000,4,FALSE)</f>
        <v>8000000</v>
      </c>
    </row>
    <row r="896" spans="2:35" hidden="1">
      <c r="B896" s="23">
        <v>895</v>
      </c>
      <c r="C896" s="13" t="s">
        <v>58</v>
      </c>
      <c r="D896" t="s">
        <v>20</v>
      </c>
      <c r="E896" t="s">
        <v>2</v>
      </c>
      <c r="F896">
        <v>100</v>
      </c>
      <c r="G896" t="s">
        <v>17</v>
      </c>
      <c r="H896" s="5">
        <v>43831</v>
      </c>
      <c r="I896" s="5">
        <v>44562</v>
      </c>
      <c r="J896">
        <v>14</v>
      </c>
      <c r="K896">
        <v>9</v>
      </c>
      <c r="L896">
        <v>30</v>
      </c>
      <c r="M896">
        <v>70</v>
      </c>
      <c r="N896">
        <v>1000000</v>
      </c>
      <c r="O896">
        <f>VLOOKUP($B896&amp;O$1,Data!$A$2:$D$12000,4,FALSE)</f>
        <v>2.0039999999999999E-2</v>
      </c>
      <c r="P896">
        <f>VLOOKUP($B896&amp;P$1,Data!$A$2:$D$12000,4,FALSE)</f>
        <v>-1.1890000000000001</v>
      </c>
      <c r="Q896">
        <f>VLOOKUP($B896&amp;Q$1,Data!$A$2:$D$12000,4,FALSE)</f>
        <v>1226</v>
      </c>
      <c r="R896">
        <f>VLOOKUP($B896&amp;R$1,Data!$A$2:$D$12000,4,FALSE)</f>
        <v>1E-4</v>
      </c>
      <c r="S896">
        <f>VLOOKUP($B896&amp;S$1,Data!$A$2:$D$12000,4,FALSE)</f>
        <v>-2.9999999999999997E-4</v>
      </c>
      <c r="T896">
        <f>VLOOKUP($B896&amp;T$1,Data!$A$2:$D$12000,4,FALSE)</f>
        <v>-1.166E-2</v>
      </c>
      <c r="U896">
        <f>VLOOKUP($B896&amp;U$1,Data!$A$2:$D$12000,4,FALSE)</f>
        <v>1.4E-2</v>
      </c>
      <c r="V896">
        <f>VLOOKUP($B896&amp;V$1,Data!$A$2:$D$12000,4,FALSE)</f>
        <v>-0.157</v>
      </c>
      <c r="W896">
        <f>VLOOKUP($B896&amp;W$1,Data!$A$2:$D$12000,4,FALSE)</f>
        <v>-7.7499999999999999E-3</v>
      </c>
      <c r="X896">
        <f>VLOOKUP($B896&amp;X$1,Data!$A$2:$D$12000,4,FALSE)</f>
        <v>0.39</v>
      </c>
      <c r="Y896">
        <f>VLOOKUP($B896&amp;Y$1,Data!$A$2:$D$12000,4,FALSE)</f>
        <v>0.61</v>
      </c>
      <c r="Z896">
        <f>VLOOKUP($B896&amp;Z$1,Data!$A$2:$D$12000,4,FALSE)</f>
        <v>0.37</v>
      </c>
      <c r="AA896">
        <f>VLOOKUP($B896&amp;AA$1,Data!$A$2:$D$12000,4,FALSE)</f>
        <v>-8.0000000000000002E-3</v>
      </c>
      <c r="AB896">
        <f>VLOOKUP($B896&amp;AB$1,Data!$A$2:$D$12000,4,FALSE)</f>
        <v>4.0000000000000001E-3</v>
      </c>
      <c r="AC896">
        <f>VLOOKUP($B896&amp;AC$1,Data!$A$2:$D$12000,4,FALSE)</f>
        <v>7.0000000000000001E-3</v>
      </c>
      <c r="AD896">
        <f>VLOOKUP($B896&amp;AD$1,Data!$A$2:$D$12000,4,FALSE)</f>
        <v>0</v>
      </c>
      <c r="AE896">
        <f>VLOOKUP($B896&amp;AE$1,Data!$A$2:$D$12000,4,FALSE)</f>
        <v>-0.88300000000000001</v>
      </c>
      <c r="AF896">
        <f>VLOOKUP($B896&amp;AF$1,Data!$A$2:$D$12000,4,FALSE)</f>
        <v>6.7000000000000004E-2</v>
      </c>
      <c r="AG896">
        <f>VLOOKUP($B896&amp;AG$1,Data!$A$2:$D$12000,4,FALSE)</f>
        <v>-1.8120000000000001</v>
      </c>
      <c r="AH896">
        <f>VLOOKUP($B896&amp;AH$1,Data!$A$2:$D$12000,4,FALSE)</f>
        <v>0</v>
      </c>
      <c r="AI896">
        <f>VLOOKUP($B896&amp;AI$1,Data!$A$2:$D$12000,4,FALSE)</f>
        <v>160000000</v>
      </c>
    </row>
    <row r="897" spans="2:35" hidden="1">
      <c r="B897" s="23">
        <v>896</v>
      </c>
      <c r="C897" s="13" t="s">
        <v>58</v>
      </c>
      <c r="D897" t="s">
        <v>20</v>
      </c>
      <c r="E897" t="s">
        <v>2</v>
      </c>
      <c r="F897">
        <v>1000</v>
      </c>
      <c r="G897" t="s">
        <v>17</v>
      </c>
      <c r="H897" s="5">
        <v>43831</v>
      </c>
      <c r="I897" s="5">
        <v>44562</v>
      </c>
      <c r="J897">
        <v>14</v>
      </c>
      <c r="K897">
        <v>9</v>
      </c>
      <c r="L897">
        <v>30</v>
      </c>
      <c r="M897">
        <v>70</v>
      </c>
      <c r="N897">
        <v>1000000</v>
      </c>
      <c r="O897">
        <f>VLOOKUP($B897&amp;O$1,Data!$A$2:$D$12000,4,FALSE)</f>
        <v>1.7690000000000001E-2</v>
      </c>
      <c r="P897">
        <f>VLOOKUP($B897&amp;P$1,Data!$A$2:$D$12000,4,FALSE)</f>
        <v>-1.0509999999999999</v>
      </c>
      <c r="Q897">
        <f>VLOOKUP($B897&amp;Q$1,Data!$A$2:$D$12000,4,FALSE)</f>
        <v>970</v>
      </c>
      <c r="R897">
        <f>VLOOKUP($B897&amp;R$1,Data!$A$2:$D$12000,4,FALSE)</f>
        <v>5.0000000000000001E-4</v>
      </c>
      <c r="S897">
        <f>VLOOKUP($B897&amp;S$1,Data!$A$2:$D$12000,4,FALSE)</f>
        <v>-1.1000000000000001E-3</v>
      </c>
      <c r="T897">
        <f>VLOOKUP($B897&amp;T$1,Data!$A$2:$D$12000,4,FALSE)</f>
        <v>-3.0020000000000002E-2</v>
      </c>
      <c r="U897">
        <f>VLOOKUP($B897&amp;U$1,Data!$A$2:$D$12000,4,FALSE)</f>
        <v>2.9000000000000001E-2</v>
      </c>
      <c r="V897">
        <f>VLOOKUP($B897&amp;V$1,Data!$A$2:$D$12000,4,FALSE)</f>
        <v>-0.13300000000000001</v>
      </c>
      <c r="W897">
        <f>VLOOKUP($B897&amp;W$1,Data!$A$2:$D$12000,4,FALSE)</f>
        <v>-0.02</v>
      </c>
      <c r="X897">
        <f>VLOOKUP($B897&amp;X$1,Data!$A$2:$D$12000,4,FALSE)</f>
        <v>0.41</v>
      </c>
      <c r="Y897">
        <f>VLOOKUP($B897&amp;Y$1,Data!$A$2:$D$12000,4,FALSE)</f>
        <v>0.59</v>
      </c>
      <c r="Z897">
        <f>VLOOKUP($B897&amp;Z$1,Data!$A$2:$D$12000,4,FALSE)</f>
        <v>0.46</v>
      </c>
      <c r="AA897">
        <f>VLOOKUP($B897&amp;AA$1,Data!$A$2:$D$12000,4,FALSE)</f>
        <v>-2.1000000000000001E-2</v>
      </c>
      <c r="AB897">
        <f>VLOOKUP($B897&amp;AB$1,Data!$A$2:$D$12000,4,FALSE)</f>
        <v>-3.0000000000000001E-3</v>
      </c>
      <c r="AC897">
        <f>VLOOKUP($B897&amp;AC$1,Data!$A$2:$D$12000,4,FALSE)</f>
        <v>0.02</v>
      </c>
      <c r="AD897">
        <f>VLOOKUP($B897&amp;AD$1,Data!$A$2:$D$12000,4,FALSE)</f>
        <v>0</v>
      </c>
      <c r="AE897">
        <f>VLOOKUP($B897&amp;AE$1,Data!$A$2:$D$12000,4,FALSE)</f>
        <v>-1.026</v>
      </c>
      <c r="AF897">
        <f>VLOOKUP($B897&amp;AF$1,Data!$A$2:$D$12000,4,FALSE)</f>
        <v>7.0000000000000007E-2</v>
      </c>
      <c r="AG897">
        <f>VLOOKUP($B897&amp;AG$1,Data!$A$2:$D$12000,4,FALSE)</f>
        <v>7.6669999999999998</v>
      </c>
      <c r="AH897">
        <f>VLOOKUP($B897&amp;AH$1,Data!$A$2:$D$12000,4,FALSE)</f>
        <v>0</v>
      </c>
      <c r="AI897">
        <f>VLOOKUP($B897&amp;AI$1,Data!$A$2:$D$12000,4,FALSE)</f>
        <v>19000000</v>
      </c>
    </row>
    <row r="898" spans="2:35" hidden="1">
      <c r="B898" s="23">
        <v>897</v>
      </c>
      <c r="C898" s="13" t="s">
        <v>58</v>
      </c>
      <c r="D898" t="s">
        <v>20</v>
      </c>
      <c r="E898" t="s">
        <v>2</v>
      </c>
      <c r="F898">
        <v>5000</v>
      </c>
      <c r="G898" t="s">
        <v>17</v>
      </c>
      <c r="H898" s="5">
        <v>43831</v>
      </c>
      <c r="I898" s="5">
        <v>44562</v>
      </c>
      <c r="J898">
        <v>14</v>
      </c>
      <c r="K898">
        <v>9</v>
      </c>
      <c r="L898">
        <v>30</v>
      </c>
      <c r="M898">
        <v>70</v>
      </c>
      <c r="N898">
        <v>1000000</v>
      </c>
      <c r="O898">
        <f>VLOOKUP($B898&amp;O$1,Data!$A$2:$D$12000,4,FALSE)</f>
        <v>6.9999999999999994E-5</v>
      </c>
      <c r="P898">
        <f>VLOOKUP($B898&amp;P$1,Data!$A$2:$D$12000,4,FALSE)</f>
        <v>-2.2749999999999999</v>
      </c>
      <c r="Q898">
        <f>VLOOKUP($B898&amp;Q$1,Data!$A$2:$D$12000,4,FALSE)</f>
        <v>757</v>
      </c>
      <c r="R898">
        <f>VLOOKUP($B898&amp;R$1,Data!$A$2:$D$12000,4,FALSE)</f>
        <v>5.0000000000000001E-4</v>
      </c>
      <c r="S898">
        <f>VLOOKUP($B898&amp;S$1,Data!$A$2:$D$12000,4,FALSE)</f>
        <v>-1.9E-3</v>
      </c>
      <c r="T898">
        <f>VLOOKUP($B898&amp;T$1,Data!$A$2:$D$12000,4,FALSE)</f>
        <v>-8.7809999999999999E-2</v>
      </c>
      <c r="U898">
        <f>VLOOKUP($B898&amp;U$1,Data!$A$2:$D$12000,4,FALSE)</f>
        <v>6.5000000000000002E-2</v>
      </c>
      <c r="V898">
        <f>VLOOKUP($B898&amp;V$1,Data!$A$2:$D$12000,4,FALSE)</f>
        <v>-0.24199999999999999</v>
      </c>
      <c r="W898">
        <f>VLOOKUP($B898&amp;W$1,Data!$A$2:$D$12000,4,FALSE)</f>
        <v>-5.9110000000000003E-2</v>
      </c>
      <c r="X898">
        <f>VLOOKUP($B898&amp;X$1,Data!$A$2:$D$12000,4,FALSE)</f>
        <v>0.39</v>
      </c>
      <c r="Y898">
        <f>VLOOKUP($B898&amp;Y$1,Data!$A$2:$D$12000,4,FALSE)</f>
        <v>0.61</v>
      </c>
      <c r="Z898">
        <f>VLOOKUP($B898&amp;Z$1,Data!$A$2:$D$12000,4,FALSE)</f>
        <v>0.24</v>
      </c>
      <c r="AA898">
        <f>VLOOKUP($B898&amp;AA$1,Data!$A$2:$D$12000,4,FALSE)</f>
        <v>-5.8999999999999997E-2</v>
      </c>
      <c r="AB898">
        <f>VLOOKUP($B898&amp;AB$1,Data!$A$2:$D$12000,4,FALSE)</f>
        <v>-4.7E-2</v>
      </c>
      <c r="AC898">
        <f>VLOOKUP($B898&amp;AC$1,Data!$A$2:$D$12000,4,FALSE)</f>
        <v>2.7E-2</v>
      </c>
      <c r="AD898">
        <f>VLOOKUP($B898&amp;AD$1,Data!$A$2:$D$12000,4,FALSE)</f>
        <v>1E-3</v>
      </c>
      <c r="AE898">
        <f>VLOOKUP($B898&amp;AE$1,Data!$A$2:$D$12000,4,FALSE)</f>
        <v>-1.4950000000000001</v>
      </c>
      <c r="AF898">
        <f>VLOOKUP($B898&amp;AF$1,Data!$A$2:$D$12000,4,FALSE)</f>
        <v>7.4999999999999997E-2</v>
      </c>
      <c r="AG898">
        <f>VLOOKUP($B898&amp;AG$1,Data!$A$2:$D$12000,4,FALSE)</f>
        <v>1.3</v>
      </c>
      <c r="AH898">
        <f>VLOOKUP($B898&amp;AH$1,Data!$A$2:$D$12000,4,FALSE)</f>
        <v>0</v>
      </c>
      <c r="AI898">
        <f>VLOOKUP($B898&amp;AI$1,Data!$A$2:$D$12000,4,FALSE)</f>
        <v>6700000</v>
      </c>
    </row>
    <row r="899" spans="2:35" hidden="1">
      <c r="B899" s="23">
        <v>898</v>
      </c>
      <c r="C899" s="13" t="s">
        <v>58</v>
      </c>
      <c r="D899" t="s">
        <v>20</v>
      </c>
      <c r="E899" t="s">
        <v>22</v>
      </c>
      <c r="F899">
        <v>100</v>
      </c>
      <c r="G899" t="s">
        <v>17</v>
      </c>
      <c r="H899" s="5">
        <v>43831</v>
      </c>
      <c r="I899" s="5">
        <v>44562</v>
      </c>
      <c r="J899">
        <v>14</v>
      </c>
      <c r="K899">
        <v>9</v>
      </c>
      <c r="L899">
        <v>30</v>
      </c>
      <c r="M899">
        <v>70</v>
      </c>
      <c r="N899">
        <v>1000000</v>
      </c>
      <c r="O899">
        <f>VLOOKUP($B899&amp;O$1,Data!$A$2:$D$12000,4,FALSE)</f>
        <v>5.3460000000000001E-2</v>
      </c>
      <c r="P899">
        <f>VLOOKUP($B899&amp;P$1,Data!$A$2:$D$12000,4,FALSE)</f>
        <v>-0.70599999999999996</v>
      </c>
      <c r="Q899">
        <f>VLOOKUP($B899&amp;Q$1,Data!$A$2:$D$12000,4,FALSE)</f>
        <v>806</v>
      </c>
      <c r="R899">
        <f>VLOOKUP($B899&amp;R$1,Data!$A$2:$D$12000,4,FALSE)</f>
        <v>1E-4</v>
      </c>
      <c r="S899">
        <f>VLOOKUP($B899&amp;S$1,Data!$A$2:$D$12000,4,FALSE)</f>
        <v>-2.9999999999999997E-4</v>
      </c>
      <c r="T899">
        <f>VLOOKUP($B899&amp;T$1,Data!$A$2:$D$12000,4,FALSE)</f>
        <v>-6.5700000000000003E-3</v>
      </c>
      <c r="U899">
        <f>VLOOKUP($B899&amp;U$1,Data!$A$2:$D$12000,4,FALSE)</f>
        <v>8.0000000000000002E-3</v>
      </c>
      <c r="V899">
        <f>VLOOKUP($B899&amp;V$1,Data!$A$2:$D$12000,4,FALSE)</f>
        <v>-0.11899999999999999</v>
      </c>
      <c r="W899">
        <f>VLOOKUP($B899&amp;W$1,Data!$A$2:$D$12000,4,FALSE)</f>
        <v>-4.3600000000000002E-3</v>
      </c>
      <c r="X899">
        <f>VLOOKUP($B899&amp;X$1,Data!$A$2:$D$12000,4,FALSE)</f>
        <v>0.36</v>
      </c>
      <c r="Y899">
        <f>VLOOKUP($B899&amp;Y$1,Data!$A$2:$D$12000,4,FALSE)</f>
        <v>0.64</v>
      </c>
      <c r="Z899">
        <f>VLOOKUP($B899&amp;Z$1,Data!$A$2:$D$12000,4,FALSE)</f>
        <v>0.37</v>
      </c>
      <c r="AA899">
        <f>VLOOKUP($B899&amp;AA$1,Data!$A$2:$D$12000,4,FALSE)</f>
        <v>-4.0000000000000001E-3</v>
      </c>
      <c r="AB899">
        <f>VLOOKUP($B899&amp;AB$1,Data!$A$2:$D$12000,4,FALSE)</f>
        <v>-3.0000000000000001E-3</v>
      </c>
      <c r="AC899">
        <f>VLOOKUP($B899&amp;AC$1,Data!$A$2:$D$12000,4,FALSE)</f>
        <v>6.0000000000000001E-3</v>
      </c>
      <c r="AD899">
        <f>VLOOKUP($B899&amp;AD$1,Data!$A$2:$D$12000,4,FALSE)</f>
        <v>0</v>
      </c>
      <c r="AE899">
        <f>VLOOKUP($B899&amp;AE$1,Data!$A$2:$D$12000,4,FALSE)</f>
        <v>-0.82499999999999996</v>
      </c>
      <c r="AF899">
        <f>VLOOKUP($B899&amp;AF$1,Data!$A$2:$D$12000,4,FALSE)</f>
        <v>6.8000000000000005E-2</v>
      </c>
      <c r="AG899">
        <f>VLOOKUP($B899&amp;AG$1,Data!$A$2:$D$12000,4,FALSE)</f>
        <v>1.4570000000000001</v>
      </c>
      <c r="AH899">
        <f>VLOOKUP($B899&amp;AH$1,Data!$A$2:$D$12000,4,FALSE)</f>
        <v>0</v>
      </c>
      <c r="AI899">
        <f>VLOOKUP($B899&amp;AI$1,Data!$A$2:$D$12000,4,FALSE)</f>
        <v>28000000</v>
      </c>
    </row>
    <row r="900" spans="2:35" hidden="1">
      <c r="B900" s="23">
        <v>899</v>
      </c>
      <c r="C900" s="13" t="s">
        <v>58</v>
      </c>
      <c r="D900" t="s">
        <v>20</v>
      </c>
      <c r="E900" t="s">
        <v>22</v>
      </c>
      <c r="F900">
        <v>1000</v>
      </c>
      <c r="G900" t="s">
        <v>17</v>
      </c>
      <c r="H900" s="5">
        <v>43831</v>
      </c>
      <c r="I900" s="5">
        <v>44562</v>
      </c>
      <c r="J900">
        <v>14</v>
      </c>
      <c r="K900">
        <v>9</v>
      </c>
      <c r="L900">
        <v>30</v>
      </c>
      <c r="M900">
        <v>70</v>
      </c>
      <c r="N900">
        <v>1000000</v>
      </c>
      <c r="O900">
        <f>VLOOKUP($B900&amp;O$1,Data!$A$2:$D$12000,4,FALSE)</f>
        <v>5.6699999999999997E-3</v>
      </c>
      <c r="P900">
        <f>VLOOKUP($B900&amp;P$1,Data!$A$2:$D$12000,4,FALSE)</f>
        <v>-1.343</v>
      </c>
      <c r="Q900">
        <f>VLOOKUP($B900&amp;Q$1,Data!$A$2:$D$12000,4,FALSE)</f>
        <v>655</v>
      </c>
      <c r="R900">
        <f>VLOOKUP($B900&amp;R$1,Data!$A$2:$D$12000,4,FALSE)</f>
        <v>4.0000000000000002E-4</v>
      </c>
      <c r="S900">
        <f>VLOOKUP($B900&amp;S$1,Data!$A$2:$D$12000,4,FALSE)</f>
        <v>-1.6000000000000001E-3</v>
      </c>
      <c r="T900">
        <f>VLOOKUP($B900&amp;T$1,Data!$A$2:$D$12000,4,FALSE)</f>
        <v>-4.6240000000000003E-2</v>
      </c>
      <c r="U900">
        <f>VLOOKUP($B900&amp;U$1,Data!$A$2:$D$12000,4,FALSE)</f>
        <v>3.4000000000000002E-2</v>
      </c>
      <c r="V900">
        <f>VLOOKUP($B900&amp;V$1,Data!$A$2:$D$12000,4,FALSE)</f>
        <v>-0.17599999999999999</v>
      </c>
      <c r="W900">
        <f>VLOOKUP($B900&amp;W$1,Data!$A$2:$D$12000,4,FALSE)</f>
        <v>-3.0890000000000001E-2</v>
      </c>
      <c r="X900">
        <f>VLOOKUP($B900&amp;X$1,Data!$A$2:$D$12000,4,FALSE)</f>
        <v>0.34</v>
      </c>
      <c r="Y900">
        <f>VLOOKUP($B900&amp;Y$1,Data!$A$2:$D$12000,4,FALSE)</f>
        <v>0.66</v>
      </c>
      <c r="Z900">
        <f>VLOOKUP($B900&amp;Z$1,Data!$A$2:$D$12000,4,FALSE)</f>
        <v>0.25</v>
      </c>
      <c r="AA900">
        <f>VLOOKUP($B900&amp;AA$1,Data!$A$2:$D$12000,4,FALSE)</f>
        <v>-3.1E-2</v>
      </c>
      <c r="AB900">
        <f>VLOOKUP($B900&amp;AB$1,Data!$A$2:$D$12000,4,FALSE)</f>
        <v>-2.3E-2</v>
      </c>
      <c r="AC900">
        <f>VLOOKUP($B900&amp;AC$1,Data!$A$2:$D$12000,4,FALSE)</f>
        <v>2.4E-2</v>
      </c>
      <c r="AD900">
        <f>VLOOKUP($B900&amp;AD$1,Data!$A$2:$D$12000,4,FALSE)</f>
        <v>1E-3</v>
      </c>
      <c r="AE900">
        <f>VLOOKUP($B900&amp;AE$1,Data!$A$2:$D$12000,4,FALSE)</f>
        <v>-1.145</v>
      </c>
      <c r="AF900">
        <f>VLOOKUP($B900&amp;AF$1,Data!$A$2:$D$12000,4,FALSE)</f>
        <v>7.2999999999999995E-2</v>
      </c>
      <c r="AG900">
        <f>VLOOKUP($B900&amp;AG$1,Data!$A$2:$D$12000,4,FALSE)</f>
        <v>1.4059999999999999</v>
      </c>
      <c r="AH900">
        <f>VLOOKUP($B900&amp;AH$1,Data!$A$2:$D$12000,4,FALSE)</f>
        <v>0</v>
      </c>
      <c r="AI900">
        <f>VLOOKUP($B900&amp;AI$1,Data!$A$2:$D$12000,4,FALSE)</f>
        <v>6500000</v>
      </c>
    </row>
    <row r="901" spans="2:35" hidden="1">
      <c r="B901" s="23">
        <v>900</v>
      </c>
      <c r="C901" s="13" t="s">
        <v>58</v>
      </c>
      <c r="D901" t="s">
        <v>20</v>
      </c>
      <c r="E901" t="s">
        <v>22</v>
      </c>
      <c r="F901">
        <v>5000</v>
      </c>
      <c r="G901" t="s">
        <v>17</v>
      </c>
      <c r="H901" s="5">
        <v>43831</v>
      </c>
      <c r="I901" s="5">
        <v>44562</v>
      </c>
      <c r="J901">
        <v>14</v>
      </c>
      <c r="K901">
        <v>9</v>
      </c>
      <c r="L901">
        <v>30</v>
      </c>
      <c r="M901">
        <v>70</v>
      </c>
      <c r="N901">
        <v>1000000</v>
      </c>
      <c r="O901">
        <f>VLOOKUP($B901&amp;O$1,Data!$A$2:$D$12000,4,FALSE)</f>
        <v>1.086E-2</v>
      </c>
      <c r="P901">
        <f>VLOOKUP($B901&amp;P$1,Data!$A$2:$D$12000,4,FALSE)</f>
        <v>-1.149</v>
      </c>
      <c r="Q901">
        <f>VLOOKUP($B901&amp;Q$1,Data!$A$2:$D$12000,4,FALSE)</f>
        <v>503</v>
      </c>
      <c r="R901">
        <f>VLOOKUP($B901&amp;R$1,Data!$A$2:$D$12000,4,FALSE)</f>
        <v>5.9999999999999995E-4</v>
      </c>
      <c r="S901">
        <f>VLOOKUP($B901&amp;S$1,Data!$A$2:$D$12000,4,FALSE)</f>
        <v>-2E-3</v>
      </c>
      <c r="T901">
        <f>VLOOKUP($B901&amp;T$1,Data!$A$2:$D$12000,4,FALSE)</f>
        <v>-3.8080000000000003E-2</v>
      </c>
      <c r="U901">
        <f>VLOOKUP($B901&amp;U$1,Data!$A$2:$D$12000,4,FALSE)</f>
        <v>3.2000000000000001E-2</v>
      </c>
      <c r="V901">
        <f>VLOOKUP($B901&amp;V$1,Data!$A$2:$D$12000,4,FALSE)</f>
        <v>-0.13200000000000001</v>
      </c>
      <c r="W901">
        <f>VLOOKUP($B901&amp;W$1,Data!$A$2:$D$12000,4,FALSE)</f>
        <v>-2.5409999999999999E-2</v>
      </c>
      <c r="X901">
        <f>VLOOKUP($B901&amp;X$1,Data!$A$2:$D$12000,4,FALSE)</f>
        <v>0.33</v>
      </c>
      <c r="Y901">
        <f>VLOOKUP($B901&amp;Y$1,Data!$A$2:$D$12000,4,FALSE)</f>
        <v>0.67</v>
      </c>
      <c r="Z901">
        <f>VLOOKUP($B901&amp;Z$1,Data!$A$2:$D$12000,4,FALSE)</f>
        <v>0.3</v>
      </c>
      <c r="AA901">
        <f>VLOOKUP($B901&amp;AA$1,Data!$A$2:$D$12000,4,FALSE)</f>
        <v>-2.5000000000000001E-2</v>
      </c>
      <c r="AB901">
        <f>VLOOKUP($B901&amp;AB$1,Data!$A$2:$D$12000,4,FALSE)</f>
        <v>-1.9E-2</v>
      </c>
      <c r="AC901">
        <f>VLOOKUP($B901&amp;AC$1,Data!$A$2:$D$12000,4,FALSE)</f>
        <v>2.3E-2</v>
      </c>
      <c r="AD901">
        <f>VLOOKUP($B901&amp;AD$1,Data!$A$2:$D$12000,4,FALSE)</f>
        <v>1E-3</v>
      </c>
      <c r="AE901">
        <f>VLOOKUP($B901&amp;AE$1,Data!$A$2:$D$12000,4,FALSE)</f>
        <v>-1.0840000000000001</v>
      </c>
      <c r="AF901">
        <f>VLOOKUP($B901&amp;AF$1,Data!$A$2:$D$12000,4,FALSE)</f>
        <v>7.1999999999999995E-2</v>
      </c>
      <c r="AG901">
        <f>VLOOKUP($B901&amp;AG$1,Data!$A$2:$D$12000,4,FALSE)</f>
        <v>1.385</v>
      </c>
      <c r="AH901">
        <f>VLOOKUP($B901&amp;AH$1,Data!$A$2:$D$12000,4,FALSE)</f>
        <v>0</v>
      </c>
      <c r="AI901">
        <f>VLOOKUP($B901&amp;AI$1,Data!$A$2:$D$12000,4,FALSE)</f>
        <v>6400000</v>
      </c>
    </row>
    <row r="902" spans="2:35" hidden="1">
      <c r="B902" s="23">
        <v>901</v>
      </c>
      <c r="C902" s="13" t="s">
        <v>58</v>
      </c>
      <c r="D902" t="s">
        <v>20</v>
      </c>
      <c r="E902" t="s">
        <v>3</v>
      </c>
      <c r="F902">
        <v>100</v>
      </c>
      <c r="G902" t="s">
        <v>17</v>
      </c>
      <c r="H902" s="5">
        <v>43831</v>
      </c>
      <c r="I902" s="5">
        <v>44562</v>
      </c>
      <c r="J902">
        <v>14</v>
      </c>
      <c r="K902">
        <v>9</v>
      </c>
      <c r="L902">
        <v>32</v>
      </c>
      <c r="M902">
        <v>68</v>
      </c>
      <c r="N902">
        <v>1000000</v>
      </c>
      <c r="O902">
        <f>VLOOKUP($B902&amp;O$1,Data!$A$2:$D$12000,4,FALSE)</f>
        <v>2.48E-3</v>
      </c>
      <c r="P902">
        <f>VLOOKUP($B902&amp;P$1,Data!$A$2:$D$12000,4,FALSE)</f>
        <v>-1.8420000000000001</v>
      </c>
      <c r="Q902">
        <f>VLOOKUP($B902&amp;Q$1,Data!$A$2:$D$12000,4,FALSE)</f>
        <v>1939</v>
      </c>
      <c r="R902">
        <f>VLOOKUP($B902&amp;R$1,Data!$A$2:$D$12000,4,FALSE)</f>
        <v>2.0000000000000001E-4</v>
      </c>
      <c r="S902">
        <f>VLOOKUP($B902&amp;S$1,Data!$A$2:$D$12000,4,FALSE)</f>
        <v>-6.9999999999999999E-4</v>
      </c>
      <c r="T902">
        <f>VLOOKUP($B902&amp;T$1,Data!$A$2:$D$12000,4,FALSE)</f>
        <v>-3.083E-2</v>
      </c>
      <c r="U902">
        <f>VLOOKUP($B902&amp;U$1,Data!$A$2:$D$12000,4,FALSE)</f>
        <v>2.4E-2</v>
      </c>
      <c r="V902">
        <f>VLOOKUP($B902&amp;V$1,Data!$A$2:$D$12000,4,FALSE)</f>
        <v>-0.13900000000000001</v>
      </c>
      <c r="W902">
        <f>VLOOKUP($B902&amp;W$1,Data!$A$2:$D$12000,4,FALSE)</f>
        <v>-2.0549999999999999E-2</v>
      </c>
      <c r="X902">
        <f>VLOOKUP($B902&amp;X$1,Data!$A$2:$D$12000,4,FALSE)</f>
        <v>0.32</v>
      </c>
      <c r="Y902">
        <f>VLOOKUP($B902&amp;Y$1,Data!$A$2:$D$12000,4,FALSE)</f>
        <v>0.68</v>
      </c>
      <c r="Z902">
        <f>VLOOKUP($B902&amp;Z$1,Data!$A$2:$D$12000,4,FALSE)</f>
        <v>0.26</v>
      </c>
      <c r="AA902">
        <f>VLOOKUP($B902&amp;AA$1,Data!$A$2:$D$12000,4,FALSE)</f>
        <v>-2.1000000000000001E-2</v>
      </c>
      <c r="AB902">
        <f>VLOOKUP($B902&amp;AB$1,Data!$A$2:$D$12000,4,FALSE)</f>
        <v>-1.2999999999999999E-2</v>
      </c>
      <c r="AC902">
        <f>VLOOKUP($B902&amp;AC$1,Data!$A$2:$D$12000,4,FALSE)</f>
        <v>1.2E-2</v>
      </c>
      <c r="AD902">
        <f>VLOOKUP($B902&amp;AD$1,Data!$A$2:$D$12000,4,FALSE)</f>
        <v>0</v>
      </c>
      <c r="AE902">
        <f>VLOOKUP($B902&amp;AE$1,Data!$A$2:$D$12000,4,FALSE)</f>
        <v>-1.0529999999999999</v>
      </c>
      <c r="AF902">
        <f>VLOOKUP($B902&amp;AF$1,Data!$A$2:$D$12000,4,FALSE)</f>
        <v>6.9000000000000006E-2</v>
      </c>
      <c r="AG902">
        <f>VLOOKUP($B902&amp;AG$1,Data!$A$2:$D$12000,4,FALSE)</f>
        <v>1.6579999999999999</v>
      </c>
      <c r="AH902">
        <f>VLOOKUP($B902&amp;AH$1,Data!$A$2:$D$12000,4,FALSE)</f>
        <v>0</v>
      </c>
      <c r="AI902">
        <f>VLOOKUP($B902&amp;AI$1,Data!$A$2:$D$12000,4,FALSE)</f>
        <v>91000000</v>
      </c>
    </row>
    <row r="903" spans="2:35" hidden="1">
      <c r="B903" s="23">
        <v>902</v>
      </c>
      <c r="C903" s="13" t="s">
        <v>58</v>
      </c>
      <c r="D903" t="s">
        <v>20</v>
      </c>
      <c r="E903" t="s">
        <v>3</v>
      </c>
      <c r="F903">
        <v>1000</v>
      </c>
      <c r="G903" t="s">
        <v>17</v>
      </c>
      <c r="H903" s="5">
        <v>43831</v>
      </c>
      <c r="I903" s="5">
        <v>44562</v>
      </c>
      <c r="J903">
        <v>14</v>
      </c>
      <c r="K903">
        <v>9</v>
      </c>
      <c r="L903">
        <v>32</v>
      </c>
      <c r="M903">
        <v>68</v>
      </c>
      <c r="N903">
        <v>1000000</v>
      </c>
      <c r="O903">
        <f>VLOOKUP($B903&amp;O$1,Data!$A$2:$D$12000,4,FALSE)</f>
        <v>6.9999999999999999E-4</v>
      </c>
      <c r="P903">
        <f>VLOOKUP($B903&amp;P$1,Data!$A$2:$D$12000,4,FALSE)</f>
        <v>-2.0449999999999999</v>
      </c>
      <c r="Q903">
        <f>VLOOKUP($B903&amp;Q$1,Data!$A$2:$D$12000,4,FALSE)</f>
        <v>1506</v>
      </c>
      <c r="R903">
        <f>VLOOKUP($B903&amp;R$1,Data!$A$2:$D$12000,4,FALSE)</f>
        <v>5.0000000000000001E-4</v>
      </c>
      <c r="S903">
        <f>VLOOKUP($B903&amp;S$1,Data!$A$2:$D$12000,4,FALSE)</f>
        <v>-1.6999999999999999E-3</v>
      </c>
      <c r="T903">
        <f>VLOOKUP($B903&amp;T$1,Data!$A$2:$D$12000,4,FALSE)</f>
        <v>-8.0369999999999997E-2</v>
      </c>
      <c r="U903">
        <f>VLOOKUP($B903&amp;U$1,Data!$A$2:$D$12000,4,FALSE)</f>
        <v>5.8999999999999997E-2</v>
      </c>
      <c r="V903">
        <f>VLOOKUP($B903&amp;V$1,Data!$A$2:$D$12000,4,FALSE)</f>
        <v>-0.151</v>
      </c>
      <c r="W903">
        <f>VLOOKUP($B903&amp;W$1,Data!$A$2:$D$12000,4,FALSE)</f>
        <v>-5.4030000000000002E-2</v>
      </c>
      <c r="X903">
        <f>VLOOKUP($B903&amp;X$1,Data!$A$2:$D$12000,4,FALSE)</f>
        <v>0.35</v>
      </c>
      <c r="Y903">
        <f>VLOOKUP($B903&amp;Y$1,Data!$A$2:$D$12000,4,FALSE)</f>
        <v>0.65</v>
      </c>
      <c r="Z903">
        <f>VLOOKUP($B903&amp;Z$1,Data!$A$2:$D$12000,4,FALSE)</f>
        <v>0.3</v>
      </c>
      <c r="AA903">
        <f>VLOOKUP($B903&amp;AA$1,Data!$A$2:$D$12000,4,FALSE)</f>
        <v>-5.5E-2</v>
      </c>
      <c r="AB903">
        <f>VLOOKUP($B903&amp;AB$1,Data!$A$2:$D$12000,4,FALSE)</f>
        <v>-1.7000000000000001E-2</v>
      </c>
      <c r="AC903">
        <f>VLOOKUP($B903&amp;AC$1,Data!$A$2:$D$12000,4,FALSE)</f>
        <v>2.7E-2</v>
      </c>
      <c r="AD903">
        <f>VLOOKUP($B903&amp;AD$1,Data!$A$2:$D$12000,4,FALSE)</f>
        <v>1E-3</v>
      </c>
      <c r="AE903">
        <f>VLOOKUP($B903&amp;AE$1,Data!$A$2:$D$12000,4,FALSE)</f>
        <v>-1.466</v>
      </c>
      <c r="AF903">
        <f>VLOOKUP($B903&amp;AF$1,Data!$A$2:$D$12000,4,FALSE)</f>
        <v>7.3999999999999996E-2</v>
      </c>
      <c r="AG903">
        <f>VLOOKUP($B903&amp;AG$1,Data!$A$2:$D$12000,4,FALSE)</f>
        <v>3.2389999999999999</v>
      </c>
      <c r="AH903">
        <f>VLOOKUP($B903&amp;AH$1,Data!$A$2:$D$12000,4,FALSE)</f>
        <v>0</v>
      </c>
      <c r="AI903">
        <f>VLOOKUP($B903&amp;AI$1,Data!$A$2:$D$12000,4,FALSE)</f>
        <v>13000000</v>
      </c>
    </row>
    <row r="904" spans="2:35" hidden="1">
      <c r="B904" s="23">
        <v>903</v>
      </c>
      <c r="C904" s="13" t="s">
        <v>58</v>
      </c>
      <c r="D904" t="s">
        <v>20</v>
      </c>
      <c r="E904" t="s">
        <v>3</v>
      </c>
      <c r="F904">
        <v>5000</v>
      </c>
      <c r="G904" t="s">
        <v>17</v>
      </c>
      <c r="H904" s="5">
        <v>43831</v>
      </c>
      <c r="I904" s="5">
        <v>44562</v>
      </c>
      <c r="J904">
        <v>14</v>
      </c>
      <c r="K904">
        <v>9</v>
      </c>
      <c r="L904">
        <v>32</v>
      </c>
      <c r="M904">
        <v>68</v>
      </c>
      <c r="N904">
        <v>1000000</v>
      </c>
      <c r="O904">
        <f>VLOOKUP($B904&amp;O$1,Data!$A$2:$D$12000,4,FALSE)</f>
        <v>5.5000000000000003E-4</v>
      </c>
      <c r="P904">
        <f>VLOOKUP($B904&amp;P$1,Data!$A$2:$D$12000,4,FALSE)</f>
        <v>-2.036</v>
      </c>
      <c r="Q904">
        <f>VLOOKUP($B904&amp;Q$1,Data!$A$2:$D$12000,4,FALSE)</f>
        <v>1120</v>
      </c>
      <c r="R904">
        <f>VLOOKUP($B904&amp;R$1,Data!$A$2:$D$12000,4,FALSE)</f>
        <v>6.9999999999999999E-4</v>
      </c>
      <c r="S904">
        <f>VLOOKUP($B904&amp;S$1,Data!$A$2:$D$12000,4,FALSE)</f>
        <v>-2.3E-3</v>
      </c>
      <c r="T904">
        <f>VLOOKUP($B904&amp;T$1,Data!$A$2:$D$12000,4,FALSE)</f>
        <v>-0.10065</v>
      </c>
      <c r="U904">
        <f>VLOOKUP($B904&amp;U$1,Data!$A$2:$D$12000,4,FALSE)</f>
        <v>7.1999999999999995E-2</v>
      </c>
      <c r="V904">
        <f>VLOOKUP($B904&amp;V$1,Data!$A$2:$D$12000,4,FALSE)</f>
        <v>-0.157</v>
      </c>
      <c r="W904">
        <f>VLOOKUP($B904&amp;W$1,Data!$A$2:$D$12000,4,FALSE)</f>
        <v>-6.7909999999999998E-2</v>
      </c>
      <c r="X904">
        <f>VLOOKUP($B904&amp;X$1,Data!$A$2:$D$12000,4,FALSE)</f>
        <v>0.35</v>
      </c>
      <c r="Y904">
        <f>VLOOKUP($B904&amp;Y$1,Data!$A$2:$D$12000,4,FALSE)</f>
        <v>0.65</v>
      </c>
      <c r="Z904">
        <f>VLOOKUP($B904&amp;Z$1,Data!$A$2:$D$12000,4,FALSE)</f>
        <v>0.28999999999999998</v>
      </c>
      <c r="AA904">
        <f>VLOOKUP($B904&amp;AA$1,Data!$A$2:$D$12000,4,FALSE)</f>
        <v>-7.0999999999999994E-2</v>
      </c>
      <c r="AB904">
        <f>VLOOKUP($B904&amp;AB$1,Data!$A$2:$D$12000,4,FALSE)</f>
        <v>1.0999999999999999E-2</v>
      </c>
      <c r="AC904">
        <f>VLOOKUP($B904&amp;AC$1,Data!$A$2:$D$12000,4,FALSE)</f>
        <v>3.5000000000000003E-2</v>
      </c>
      <c r="AD904">
        <f>VLOOKUP($B904&amp;AD$1,Data!$A$2:$D$12000,4,FALSE)</f>
        <v>1E-3</v>
      </c>
      <c r="AE904">
        <f>VLOOKUP($B904&amp;AE$1,Data!$A$2:$D$12000,4,FALSE)</f>
        <v>-1.6319999999999999</v>
      </c>
      <c r="AF904">
        <f>VLOOKUP($B904&amp;AF$1,Data!$A$2:$D$12000,4,FALSE)</f>
        <v>7.4999999999999997E-2</v>
      </c>
      <c r="AG904">
        <f>VLOOKUP($B904&amp;AG$1,Data!$A$2:$D$12000,4,FALSE)</f>
        <v>-6.1239999999999997</v>
      </c>
      <c r="AH904">
        <f>VLOOKUP($B904&amp;AH$1,Data!$A$2:$D$12000,4,FALSE)</f>
        <v>0</v>
      </c>
      <c r="AI904">
        <f>VLOOKUP($B904&amp;AI$1,Data!$A$2:$D$12000,4,FALSE)</f>
        <v>5100000</v>
      </c>
    </row>
    <row r="905" spans="2:35" hidden="1">
      <c r="B905" s="23">
        <v>904</v>
      </c>
      <c r="C905" s="13" t="s">
        <v>58</v>
      </c>
      <c r="D905" t="s">
        <v>20</v>
      </c>
      <c r="E905" t="s">
        <v>2</v>
      </c>
      <c r="F905">
        <v>100</v>
      </c>
      <c r="G905" t="s">
        <v>17</v>
      </c>
      <c r="H905" s="5">
        <v>43831</v>
      </c>
      <c r="I905" s="5">
        <v>44562</v>
      </c>
      <c r="J905">
        <v>14</v>
      </c>
      <c r="K905">
        <v>9</v>
      </c>
      <c r="L905">
        <v>32</v>
      </c>
      <c r="M905">
        <v>68</v>
      </c>
      <c r="N905">
        <v>1000000</v>
      </c>
      <c r="O905">
        <f>VLOOKUP($B905&amp;O$1,Data!$A$2:$D$12000,4,FALSE)</f>
        <v>6.8700000000000002E-3</v>
      </c>
      <c r="P905">
        <f>VLOOKUP($B905&amp;P$1,Data!$A$2:$D$12000,4,FALSE)</f>
        <v>-1.33</v>
      </c>
      <c r="Q905">
        <f>VLOOKUP($B905&amp;Q$1,Data!$A$2:$D$12000,4,FALSE)</f>
        <v>1436</v>
      </c>
      <c r="R905">
        <f>VLOOKUP($B905&amp;R$1,Data!$A$2:$D$12000,4,FALSE)</f>
        <v>2.0000000000000001E-4</v>
      </c>
      <c r="S905">
        <f>VLOOKUP($B905&amp;S$1,Data!$A$2:$D$12000,4,FALSE)</f>
        <v>-5.0000000000000001E-4</v>
      </c>
      <c r="T905">
        <f>VLOOKUP($B905&amp;T$1,Data!$A$2:$D$12000,4,FALSE)</f>
        <v>-1.9480000000000001E-2</v>
      </c>
      <c r="U905">
        <f>VLOOKUP($B905&amp;U$1,Data!$A$2:$D$12000,4,FALSE)</f>
        <v>1.4E-2</v>
      </c>
      <c r="V905">
        <f>VLOOKUP($B905&amp;V$1,Data!$A$2:$D$12000,4,FALSE)</f>
        <v>-0.151</v>
      </c>
      <c r="W905">
        <f>VLOOKUP($B905&amp;W$1,Data!$A$2:$D$12000,4,FALSE)</f>
        <v>-1.2959999999999999E-2</v>
      </c>
      <c r="X905">
        <f>VLOOKUP($B905&amp;X$1,Data!$A$2:$D$12000,4,FALSE)</f>
        <v>0.4</v>
      </c>
      <c r="Y905">
        <f>VLOOKUP($B905&amp;Y$1,Data!$A$2:$D$12000,4,FALSE)</f>
        <v>0.6</v>
      </c>
      <c r="Z905">
        <f>VLOOKUP($B905&amp;Z$1,Data!$A$2:$D$12000,4,FALSE)</f>
        <v>0.42</v>
      </c>
      <c r="AA905">
        <f>VLOOKUP($B905&amp;AA$1,Data!$A$2:$D$12000,4,FALSE)</f>
        <v>-1.2999999999999999E-2</v>
      </c>
      <c r="AB905">
        <f>VLOOKUP($B905&amp;AB$1,Data!$A$2:$D$12000,4,FALSE)</f>
        <v>-6.0000000000000001E-3</v>
      </c>
      <c r="AC905">
        <f>VLOOKUP($B905&amp;AC$1,Data!$A$2:$D$12000,4,FALSE)</f>
        <v>0.01</v>
      </c>
      <c r="AD905">
        <f>VLOOKUP($B905&amp;AD$1,Data!$A$2:$D$12000,4,FALSE)</f>
        <v>0</v>
      </c>
      <c r="AE905">
        <f>VLOOKUP($B905&amp;AE$1,Data!$A$2:$D$12000,4,FALSE)</f>
        <v>-0.95699999999999996</v>
      </c>
      <c r="AF905">
        <f>VLOOKUP($B905&amp;AF$1,Data!$A$2:$D$12000,4,FALSE)</f>
        <v>6.9000000000000006E-2</v>
      </c>
      <c r="AG905">
        <f>VLOOKUP($B905&amp;AG$1,Data!$A$2:$D$12000,4,FALSE)</f>
        <v>2.1219999999999999</v>
      </c>
      <c r="AH905">
        <f>VLOOKUP($B905&amp;AH$1,Data!$A$2:$D$12000,4,FALSE)</f>
        <v>0</v>
      </c>
      <c r="AI905">
        <f>VLOOKUP($B905&amp;AI$1,Data!$A$2:$D$12000,4,FALSE)</f>
        <v>5900000</v>
      </c>
    </row>
    <row r="906" spans="2:35" hidden="1">
      <c r="B906" s="23">
        <v>905</v>
      </c>
      <c r="C906" s="13" t="s">
        <v>58</v>
      </c>
      <c r="D906" t="s">
        <v>20</v>
      </c>
      <c r="E906" t="s">
        <v>2</v>
      </c>
      <c r="F906">
        <v>1000</v>
      </c>
      <c r="G906" t="s">
        <v>17</v>
      </c>
      <c r="H906" s="5">
        <v>43831</v>
      </c>
      <c r="I906" s="5">
        <v>44562</v>
      </c>
      <c r="J906">
        <v>14</v>
      </c>
      <c r="K906">
        <v>9</v>
      </c>
      <c r="L906">
        <v>32</v>
      </c>
      <c r="M906">
        <v>68</v>
      </c>
      <c r="N906">
        <v>1000000</v>
      </c>
      <c r="O906">
        <f>VLOOKUP($B906&amp;O$1,Data!$A$2:$D$12000,4,FALSE)</f>
        <v>5.7400000000000003E-3</v>
      </c>
      <c r="P906">
        <f>VLOOKUP($B906&amp;P$1,Data!$A$2:$D$12000,4,FALSE)</f>
        <v>-1.282</v>
      </c>
      <c r="Q906">
        <f>VLOOKUP($B906&amp;Q$1,Data!$A$2:$D$12000,4,FALSE)</f>
        <v>1109</v>
      </c>
      <c r="R906">
        <f>VLOOKUP($B906&amp;R$1,Data!$A$2:$D$12000,4,FALSE)</f>
        <v>5.0000000000000001E-4</v>
      </c>
      <c r="S906">
        <f>VLOOKUP($B906&amp;S$1,Data!$A$2:$D$12000,4,FALSE)</f>
        <v>-1.4E-3</v>
      </c>
      <c r="T906">
        <f>VLOOKUP($B906&amp;T$1,Data!$A$2:$D$12000,4,FALSE)</f>
        <v>-4.7629999999999999E-2</v>
      </c>
      <c r="U906">
        <f>VLOOKUP($B906&amp;U$1,Data!$A$2:$D$12000,4,FALSE)</f>
        <v>3.7999999999999999E-2</v>
      </c>
      <c r="V906">
        <f>VLOOKUP($B906&amp;V$1,Data!$A$2:$D$12000,4,FALSE)</f>
        <v>-0.13200000000000001</v>
      </c>
      <c r="W906">
        <f>VLOOKUP($B906&amp;W$1,Data!$A$2:$D$12000,4,FALSE)</f>
        <v>-3.1829999999999997E-2</v>
      </c>
      <c r="X906">
        <f>VLOOKUP($B906&amp;X$1,Data!$A$2:$D$12000,4,FALSE)</f>
        <v>0.38</v>
      </c>
      <c r="Y906">
        <f>VLOOKUP($B906&amp;Y$1,Data!$A$2:$D$12000,4,FALSE)</f>
        <v>0.62</v>
      </c>
      <c r="Z906">
        <f>VLOOKUP($B906&amp;Z$1,Data!$A$2:$D$12000,4,FALSE)</f>
        <v>0.4</v>
      </c>
      <c r="AA906">
        <f>VLOOKUP($B906&amp;AA$1,Data!$A$2:$D$12000,4,FALSE)</f>
        <v>-3.3000000000000002E-2</v>
      </c>
      <c r="AB906">
        <f>VLOOKUP($B906&amp;AB$1,Data!$A$2:$D$12000,4,FALSE)</f>
        <v>7.0000000000000001E-3</v>
      </c>
      <c r="AC906">
        <f>VLOOKUP($B906&amp;AC$1,Data!$A$2:$D$12000,4,FALSE)</f>
        <v>2.5999999999999999E-2</v>
      </c>
      <c r="AD906">
        <f>VLOOKUP($B906&amp;AD$1,Data!$A$2:$D$12000,4,FALSE)</f>
        <v>1E-3</v>
      </c>
      <c r="AE906">
        <f>VLOOKUP($B906&amp;AE$1,Data!$A$2:$D$12000,4,FALSE)</f>
        <v>-1.1879999999999999</v>
      </c>
      <c r="AF906">
        <f>VLOOKUP($B906&amp;AF$1,Data!$A$2:$D$12000,4,FALSE)</f>
        <v>7.1999999999999995E-2</v>
      </c>
      <c r="AG906">
        <f>VLOOKUP($B906&amp;AG$1,Data!$A$2:$D$12000,4,FALSE)</f>
        <v>-4.3940000000000001</v>
      </c>
      <c r="AH906">
        <f>VLOOKUP($B906&amp;AH$1,Data!$A$2:$D$12000,4,FALSE)</f>
        <v>0</v>
      </c>
      <c r="AI906">
        <f>VLOOKUP($B906&amp;AI$1,Data!$A$2:$D$12000,4,FALSE)</f>
        <v>5300000</v>
      </c>
    </row>
    <row r="907" spans="2:35" hidden="1">
      <c r="B907" s="23">
        <v>906</v>
      </c>
      <c r="C907" s="13" t="s">
        <v>58</v>
      </c>
      <c r="D907" t="s">
        <v>20</v>
      </c>
      <c r="E907" t="s">
        <v>2</v>
      </c>
      <c r="F907">
        <v>5000</v>
      </c>
      <c r="G907" t="s">
        <v>17</v>
      </c>
      <c r="H907" s="5">
        <v>43831</v>
      </c>
      <c r="I907" s="5">
        <v>44562</v>
      </c>
      <c r="J907">
        <v>14</v>
      </c>
      <c r="K907">
        <v>9</v>
      </c>
      <c r="L907">
        <v>32</v>
      </c>
      <c r="M907">
        <v>68</v>
      </c>
      <c r="N907">
        <v>1000000</v>
      </c>
      <c r="O907">
        <f>VLOOKUP($B907&amp;O$1,Data!$A$2:$D$12000,4,FALSE)</f>
        <v>1.1E-4</v>
      </c>
      <c r="P907">
        <f>VLOOKUP($B907&amp;P$1,Data!$A$2:$D$12000,4,FALSE)</f>
        <v>-1.994</v>
      </c>
      <c r="Q907">
        <f>VLOOKUP($B907&amp;Q$1,Data!$A$2:$D$12000,4,FALSE)</f>
        <v>836</v>
      </c>
      <c r="R907">
        <f>VLOOKUP($B907&amp;R$1,Data!$A$2:$D$12000,4,FALSE)</f>
        <v>5.9999999999999995E-4</v>
      </c>
      <c r="S907">
        <f>VLOOKUP($B907&amp;S$1,Data!$A$2:$D$12000,4,FALSE)</f>
        <v>-1.9E-3</v>
      </c>
      <c r="T907">
        <f>VLOOKUP($B907&amp;T$1,Data!$A$2:$D$12000,4,FALSE)</f>
        <v>-8.5169999999999996E-2</v>
      </c>
      <c r="U907">
        <f>VLOOKUP($B907&amp;U$1,Data!$A$2:$D$12000,4,FALSE)</f>
        <v>6.3E-2</v>
      </c>
      <c r="V907">
        <f>VLOOKUP($B907&amp;V$1,Data!$A$2:$D$12000,4,FALSE)</f>
        <v>-0.19500000000000001</v>
      </c>
      <c r="W907">
        <f>VLOOKUP($B907&amp;W$1,Data!$A$2:$D$12000,4,FALSE)</f>
        <v>-5.7299999999999997E-2</v>
      </c>
      <c r="X907">
        <f>VLOOKUP($B907&amp;X$1,Data!$A$2:$D$12000,4,FALSE)</f>
        <v>0.39</v>
      </c>
      <c r="Y907">
        <f>VLOOKUP($B907&amp;Y$1,Data!$A$2:$D$12000,4,FALSE)</f>
        <v>0.61</v>
      </c>
      <c r="Z907">
        <f>VLOOKUP($B907&amp;Z$1,Data!$A$2:$D$12000,4,FALSE)</f>
        <v>0.31</v>
      </c>
      <c r="AA907">
        <f>VLOOKUP($B907&amp;AA$1,Data!$A$2:$D$12000,4,FALSE)</f>
        <v>-6.0999999999999999E-2</v>
      </c>
      <c r="AB907">
        <f>VLOOKUP($B907&amp;AB$1,Data!$A$2:$D$12000,4,FALSE)</f>
        <v>3.2000000000000001E-2</v>
      </c>
      <c r="AC907">
        <f>VLOOKUP($B907&amp;AC$1,Data!$A$2:$D$12000,4,FALSE)</f>
        <v>0.03</v>
      </c>
      <c r="AD907">
        <f>VLOOKUP($B907&amp;AD$1,Data!$A$2:$D$12000,4,FALSE)</f>
        <v>1E-3</v>
      </c>
      <c r="AE907">
        <f>VLOOKUP($B907&amp;AE$1,Data!$A$2:$D$12000,4,FALSE)</f>
        <v>-1.5569999999999999</v>
      </c>
      <c r="AF907">
        <f>VLOOKUP($B907&amp;AF$1,Data!$A$2:$D$12000,4,FALSE)</f>
        <v>7.1999999999999995E-2</v>
      </c>
      <c r="AG907">
        <f>VLOOKUP($B907&amp;AG$1,Data!$A$2:$D$12000,4,FALSE)</f>
        <v>-1.8440000000000001</v>
      </c>
      <c r="AH907">
        <f>VLOOKUP($B907&amp;AH$1,Data!$A$2:$D$12000,4,FALSE)</f>
        <v>0</v>
      </c>
      <c r="AI907">
        <f>VLOOKUP($B907&amp;AI$1,Data!$A$2:$D$12000,4,FALSE)</f>
        <v>4700000</v>
      </c>
    </row>
    <row r="908" spans="2:35" hidden="1">
      <c r="B908" s="23">
        <v>907</v>
      </c>
      <c r="C908" s="13" t="s">
        <v>58</v>
      </c>
      <c r="D908" t="s">
        <v>20</v>
      </c>
      <c r="E908" t="s">
        <v>22</v>
      </c>
      <c r="F908">
        <v>100</v>
      </c>
      <c r="G908" t="s">
        <v>17</v>
      </c>
      <c r="H908" s="5">
        <v>43831</v>
      </c>
      <c r="I908" s="5">
        <v>44562</v>
      </c>
      <c r="J908">
        <v>14</v>
      </c>
      <c r="K908">
        <v>9</v>
      </c>
      <c r="L908">
        <v>32</v>
      </c>
      <c r="M908">
        <v>68</v>
      </c>
      <c r="N908">
        <v>1000000</v>
      </c>
      <c r="O908">
        <f>VLOOKUP($B908&amp;O$1,Data!$A$2:$D$12000,4,FALSE)</f>
        <v>1.7600000000000001E-3</v>
      </c>
      <c r="P908">
        <f>VLOOKUP($B908&amp;P$1,Data!$A$2:$D$12000,4,FALSE)</f>
        <v>-1.6240000000000001</v>
      </c>
      <c r="Q908">
        <f>VLOOKUP($B908&amp;Q$1,Data!$A$2:$D$12000,4,FALSE)</f>
        <v>999</v>
      </c>
      <c r="R908">
        <f>VLOOKUP($B908&amp;R$1,Data!$A$2:$D$12000,4,FALSE)</f>
        <v>2.0000000000000001E-4</v>
      </c>
      <c r="S908">
        <f>VLOOKUP($B908&amp;S$1,Data!$A$2:$D$12000,4,FALSE)</f>
        <v>-5.9999999999999995E-4</v>
      </c>
      <c r="T908">
        <f>VLOOKUP($B908&amp;T$1,Data!$A$2:$D$12000,4,FALSE)</f>
        <v>-2.3709999999999998E-2</v>
      </c>
      <c r="U908">
        <f>VLOOKUP($B908&amp;U$1,Data!$A$2:$D$12000,4,FALSE)</f>
        <v>0.02</v>
      </c>
      <c r="V908">
        <f>VLOOKUP($B908&amp;V$1,Data!$A$2:$D$12000,4,FALSE)</f>
        <v>-0.2</v>
      </c>
      <c r="W908">
        <f>VLOOKUP($B908&amp;W$1,Data!$A$2:$D$12000,4,FALSE)</f>
        <v>-1.5779999999999999E-2</v>
      </c>
      <c r="X908">
        <f>VLOOKUP($B908&amp;X$1,Data!$A$2:$D$12000,4,FALSE)</f>
        <v>0.37</v>
      </c>
      <c r="Y908">
        <f>VLOOKUP($B908&amp;Y$1,Data!$A$2:$D$12000,4,FALSE)</f>
        <v>0.63</v>
      </c>
      <c r="Z908">
        <f>VLOOKUP($B908&amp;Z$1,Data!$A$2:$D$12000,4,FALSE)</f>
        <v>0.27</v>
      </c>
      <c r="AA908">
        <f>VLOOKUP($B908&amp;AA$1,Data!$A$2:$D$12000,4,FALSE)</f>
        <v>-1.7000000000000001E-2</v>
      </c>
      <c r="AB908">
        <f>VLOOKUP($B908&amp;AB$1,Data!$A$2:$D$12000,4,FALSE)</f>
        <v>0.01</v>
      </c>
      <c r="AC908">
        <f>VLOOKUP($B908&amp;AC$1,Data!$A$2:$D$12000,4,FALSE)</f>
        <v>0.01</v>
      </c>
      <c r="AD908">
        <f>VLOOKUP($B908&amp;AD$1,Data!$A$2:$D$12000,4,FALSE)</f>
        <v>0</v>
      </c>
      <c r="AE908">
        <f>VLOOKUP($B908&amp;AE$1,Data!$A$2:$D$12000,4,FALSE)</f>
        <v>-1.0169999999999999</v>
      </c>
      <c r="AF908">
        <f>VLOOKUP($B908&amp;AF$1,Data!$A$2:$D$12000,4,FALSE)</f>
        <v>6.7000000000000004E-2</v>
      </c>
      <c r="AG908">
        <f>VLOOKUP($B908&amp;AG$1,Data!$A$2:$D$12000,4,FALSE)</f>
        <v>-1.59</v>
      </c>
      <c r="AH908">
        <f>VLOOKUP($B908&amp;AH$1,Data!$A$2:$D$12000,4,FALSE)</f>
        <v>0</v>
      </c>
      <c r="AI908">
        <f>VLOOKUP($B908&amp;AI$1,Data!$A$2:$D$12000,4,FALSE)</f>
        <v>12000000</v>
      </c>
    </row>
    <row r="909" spans="2:35" hidden="1">
      <c r="B909" s="23">
        <v>908</v>
      </c>
      <c r="C909" s="13" t="s">
        <v>58</v>
      </c>
      <c r="D909" t="s">
        <v>20</v>
      </c>
      <c r="E909" t="s">
        <v>22</v>
      </c>
      <c r="F909">
        <v>1000</v>
      </c>
      <c r="G909" t="s">
        <v>17</v>
      </c>
      <c r="H909" s="5">
        <v>43831</v>
      </c>
      <c r="I909" s="5">
        <v>44562</v>
      </c>
      <c r="J909">
        <v>14</v>
      </c>
      <c r="K909">
        <v>9</v>
      </c>
      <c r="L909">
        <v>32</v>
      </c>
      <c r="M909">
        <v>68</v>
      </c>
      <c r="N909">
        <v>1000000</v>
      </c>
      <c r="O909">
        <f>VLOOKUP($B909&amp;O$1,Data!$A$2:$D$12000,4,FALSE)</f>
        <v>0</v>
      </c>
      <c r="P909">
        <f>VLOOKUP($B909&amp;P$1,Data!$A$2:$D$12000,4,FALSE)</f>
        <v>-2.585</v>
      </c>
      <c r="Q909">
        <f>VLOOKUP($B909&amp;Q$1,Data!$A$2:$D$12000,4,FALSE)</f>
        <v>786</v>
      </c>
      <c r="R909">
        <f>VLOOKUP($B909&amp;R$1,Data!$A$2:$D$12000,4,FALSE)</f>
        <v>2.9999999999999997E-4</v>
      </c>
      <c r="S909">
        <f>VLOOKUP($B909&amp;S$1,Data!$A$2:$D$12000,4,FALSE)</f>
        <v>-2.2000000000000001E-3</v>
      </c>
      <c r="T909">
        <f>VLOOKUP($B909&amp;T$1,Data!$A$2:$D$12000,4,FALSE)</f>
        <v>-0.10137</v>
      </c>
      <c r="U909">
        <f>VLOOKUP($B909&amp;U$1,Data!$A$2:$D$12000,4,FALSE)</f>
        <v>7.1999999999999995E-2</v>
      </c>
      <c r="V909">
        <f>VLOOKUP($B909&amp;V$1,Data!$A$2:$D$12000,4,FALSE)</f>
        <v>-0.24199999999999999</v>
      </c>
      <c r="W909">
        <f>VLOOKUP($B909&amp;W$1,Data!$A$2:$D$12000,4,FALSE)</f>
        <v>-6.8400000000000002E-2</v>
      </c>
      <c r="X909">
        <f>VLOOKUP($B909&amp;X$1,Data!$A$2:$D$12000,4,FALSE)</f>
        <v>0.33</v>
      </c>
      <c r="Y909">
        <f>VLOOKUP($B909&amp;Y$1,Data!$A$2:$D$12000,4,FALSE)</f>
        <v>0.67</v>
      </c>
      <c r="Z909">
        <f>VLOOKUP($B909&amp;Z$1,Data!$A$2:$D$12000,4,FALSE)</f>
        <v>0.14000000000000001</v>
      </c>
      <c r="AA909">
        <f>VLOOKUP($B909&amp;AA$1,Data!$A$2:$D$12000,4,FALSE)</f>
        <v>-7.1999999999999995E-2</v>
      </c>
      <c r="AB909">
        <f>VLOOKUP($B909&amp;AB$1,Data!$A$2:$D$12000,4,FALSE)</f>
        <v>2.5999999999999999E-2</v>
      </c>
      <c r="AC909">
        <f>VLOOKUP($B909&amp;AC$1,Data!$A$2:$D$12000,4,FALSE)</f>
        <v>2.7E-2</v>
      </c>
      <c r="AD909">
        <f>VLOOKUP($B909&amp;AD$1,Data!$A$2:$D$12000,4,FALSE)</f>
        <v>1E-3</v>
      </c>
      <c r="AE909">
        <f>VLOOKUP($B909&amp;AE$1,Data!$A$2:$D$12000,4,FALSE)</f>
        <v>-1.732</v>
      </c>
      <c r="AF909">
        <f>VLOOKUP($B909&amp;AF$1,Data!$A$2:$D$12000,4,FALSE)</f>
        <v>7.0999999999999994E-2</v>
      </c>
      <c r="AG909">
        <f>VLOOKUP($B909&amp;AG$1,Data!$A$2:$D$12000,4,FALSE)</f>
        <v>-2.7429999999999999</v>
      </c>
      <c r="AH909">
        <f>VLOOKUP($B909&amp;AH$1,Data!$A$2:$D$12000,4,FALSE)</f>
        <v>0</v>
      </c>
      <c r="AI909">
        <f>VLOOKUP($B909&amp;AI$1,Data!$A$2:$D$12000,4,FALSE)</f>
        <v>6000000</v>
      </c>
    </row>
    <row r="910" spans="2:35" hidden="1">
      <c r="B910" s="23">
        <v>909</v>
      </c>
      <c r="C910" s="13" t="s">
        <v>58</v>
      </c>
      <c r="D910" t="s">
        <v>20</v>
      </c>
      <c r="E910" t="s">
        <v>22</v>
      </c>
      <c r="F910">
        <v>5000</v>
      </c>
      <c r="G910" t="s">
        <v>17</v>
      </c>
      <c r="H910" s="5">
        <v>43831</v>
      </c>
      <c r="I910" s="5">
        <v>44562</v>
      </c>
      <c r="J910">
        <v>14</v>
      </c>
      <c r="K910">
        <v>9</v>
      </c>
      <c r="L910">
        <v>32</v>
      </c>
      <c r="M910">
        <v>68</v>
      </c>
      <c r="N910">
        <v>1000000</v>
      </c>
      <c r="O910">
        <f>VLOOKUP($B910&amp;O$1,Data!$A$2:$D$12000,4,FALSE)</f>
        <v>0</v>
      </c>
      <c r="P910">
        <f>VLOOKUP($B910&amp;P$1,Data!$A$2:$D$12000,4,FALSE)</f>
        <v>-2.5230000000000001</v>
      </c>
      <c r="Q910">
        <f>VLOOKUP($B910&amp;Q$1,Data!$A$2:$D$12000,4,FALSE)</f>
        <v>615</v>
      </c>
      <c r="R910">
        <f>VLOOKUP($B910&amp;R$1,Data!$A$2:$D$12000,4,FALSE)</f>
        <v>5.0000000000000001E-4</v>
      </c>
      <c r="S910">
        <f>VLOOKUP($B910&amp;S$1,Data!$A$2:$D$12000,4,FALSE)</f>
        <v>-2.7000000000000001E-3</v>
      </c>
      <c r="T910">
        <f>VLOOKUP($B910&amp;T$1,Data!$A$2:$D$12000,4,FALSE)</f>
        <v>-0.10677</v>
      </c>
      <c r="U910">
        <f>VLOOKUP($B910&amp;U$1,Data!$A$2:$D$12000,4,FALSE)</f>
        <v>7.5999999999999998E-2</v>
      </c>
      <c r="V910">
        <f>VLOOKUP($B910&amp;V$1,Data!$A$2:$D$12000,4,FALSE)</f>
        <v>-0.22600000000000001</v>
      </c>
      <c r="W910">
        <f>VLOOKUP($B910&amp;W$1,Data!$A$2:$D$12000,4,FALSE)</f>
        <v>-7.2109999999999994E-2</v>
      </c>
      <c r="X910">
        <f>VLOOKUP($B910&amp;X$1,Data!$A$2:$D$12000,4,FALSE)</f>
        <v>0.35</v>
      </c>
      <c r="Y910">
        <f>VLOOKUP($B910&amp;Y$1,Data!$A$2:$D$12000,4,FALSE)</f>
        <v>0.65</v>
      </c>
      <c r="Z910">
        <f>VLOOKUP($B910&amp;Z$1,Data!$A$2:$D$12000,4,FALSE)</f>
        <v>0.18</v>
      </c>
      <c r="AA910">
        <f>VLOOKUP($B910&amp;AA$1,Data!$A$2:$D$12000,4,FALSE)</f>
        <v>-7.5999999999999998E-2</v>
      </c>
      <c r="AB910">
        <f>VLOOKUP($B910&amp;AB$1,Data!$A$2:$D$12000,4,FALSE)</f>
        <v>0.02</v>
      </c>
      <c r="AC910">
        <f>VLOOKUP($B910&amp;AC$1,Data!$A$2:$D$12000,4,FALSE)</f>
        <v>0.03</v>
      </c>
      <c r="AD910">
        <f>VLOOKUP($B910&amp;AD$1,Data!$A$2:$D$12000,4,FALSE)</f>
        <v>1E-3</v>
      </c>
      <c r="AE910">
        <f>VLOOKUP($B910&amp;AE$1,Data!$A$2:$D$12000,4,FALSE)</f>
        <v>-1.746</v>
      </c>
      <c r="AF910">
        <f>VLOOKUP($B910&amp;AF$1,Data!$A$2:$D$12000,4,FALSE)</f>
        <v>7.1999999999999995E-2</v>
      </c>
      <c r="AG910">
        <f>VLOOKUP($B910&amp;AG$1,Data!$A$2:$D$12000,4,FALSE)</f>
        <v>-3.722</v>
      </c>
      <c r="AH910">
        <f>VLOOKUP($B910&amp;AH$1,Data!$A$2:$D$12000,4,FALSE)</f>
        <v>0</v>
      </c>
      <c r="AI910">
        <f>VLOOKUP($B910&amp;AI$1,Data!$A$2:$D$12000,4,FALSE)</f>
        <v>4900000</v>
      </c>
    </row>
    <row r="911" spans="2:35" hidden="1">
      <c r="B911" s="23">
        <v>910</v>
      </c>
      <c r="C911" s="13" t="s">
        <v>58</v>
      </c>
      <c r="D911" t="s">
        <v>20</v>
      </c>
      <c r="E911" t="s">
        <v>3</v>
      </c>
      <c r="F911">
        <v>100</v>
      </c>
      <c r="G911" t="s">
        <v>17</v>
      </c>
      <c r="H911" s="5">
        <v>43831</v>
      </c>
      <c r="I911" s="5">
        <v>44562</v>
      </c>
      <c r="J911">
        <v>14</v>
      </c>
      <c r="K911">
        <v>9</v>
      </c>
      <c r="L911">
        <v>28</v>
      </c>
      <c r="M911">
        <v>72</v>
      </c>
      <c r="N911">
        <v>1000000</v>
      </c>
      <c r="O911">
        <f>VLOOKUP($B911&amp;O$1,Data!$A$2:$D$12000,4,FALSE)</f>
        <v>0.25767000000000001</v>
      </c>
      <c r="P911">
        <f>VLOOKUP($B911&amp;P$1,Data!$A$2:$D$12000,4,FALSE)</f>
        <v>0.33</v>
      </c>
      <c r="Q911">
        <f>VLOOKUP($B911&amp;Q$1,Data!$A$2:$D$12000,4,FALSE)</f>
        <v>1080</v>
      </c>
      <c r="R911">
        <f>VLOOKUP($B911&amp;R$1,Data!$A$2:$D$12000,4,FALSE)</f>
        <v>2.0000000000000001E-4</v>
      </c>
      <c r="S911">
        <f>VLOOKUP($B911&amp;S$1,Data!$A$2:$D$12000,4,FALSE)</f>
        <v>-4.0000000000000002E-4</v>
      </c>
      <c r="T911">
        <f>VLOOKUP($B911&amp;T$1,Data!$A$2:$D$12000,4,FALSE)</f>
        <v>3.7499999999999999E-3</v>
      </c>
      <c r="U911">
        <f>VLOOKUP($B911&amp;U$1,Data!$A$2:$D$12000,4,FALSE)</f>
        <v>5.0000000000000001E-3</v>
      </c>
      <c r="V911">
        <f>VLOOKUP($B911&amp;V$1,Data!$A$2:$D$12000,4,FALSE)</f>
        <v>4.4999999999999998E-2</v>
      </c>
      <c r="W911">
        <f>VLOOKUP($B911&amp;W$1,Data!$A$2:$D$12000,4,FALSE)</f>
        <v>2.49E-3</v>
      </c>
      <c r="X911">
        <f>VLOOKUP($B911&amp;X$1,Data!$A$2:$D$12000,4,FALSE)</f>
        <v>0.33</v>
      </c>
      <c r="Y911">
        <f>VLOOKUP($B911&amp;Y$1,Data!$A$2:$D$12000,4,FALSE)</f>
        <v>0.67</v>
      </c>
      <c r="Z911">
        <f>VLOOKUP($B911&amp;Z$1,Data!$A$2:$D$12000,4,FALSE)</f>
        <v>0.55000000000000004</v>
      </c>
      <c r="AA911">
        <f>VLOOKUP($B911&amp;AA$1,Data!$A$2:$D$12000,4,FALSE)</f>
        <v>3.0000000000000001E-3</v>
      </c>
      <c r="AB911">
        <f>VLOOKUP($B911&amp;AB$1,Data!$A$2:$D$12000,4,FALSE)</f>
        <v>-3.0000000000000001E-3</v>
      </c>
      <c r="AC911">
        <f>VLOOKUP($B911&amp;AC$1,Data!$A$2:$D$12000,4,FALSE)</f>
        <v>8.0000000000000002E-3</v>
      </c>
      <c r="AD911">
        <f>VLOOKUP($B911&amp;AD$1,Data!$A$2:$D$12000,4,FALSE)</f>
        <v>0</v>
      </c>
      <c r="AE911">
        <f>VLOOKUP($B911&amp;AE$1,Data!$A$2:$D$12000,4,FALSE)</f>
        <v>-0.72599999999999998</v>
      </c>
      <c r="AF911">
        <f>VLOOKUP($B911&amp;AF$1,Data!$A$2:$D$12000,4,FALSE)</f>
        <v>6.8000000000000005E-2</v>
      </c>
      <c r="AG911">
        <f>VLOOKUP($B911&amp;AG$1,Data!$A$2:$D$12000,4,FALSE)</f>
        <v>-0.76500000000000001</v>
      </c>
      <c r="AH911">
        <f>VLOOKUP($B911&amp;AH$1,Data!$A$2:$D$12000,4,FALSE)</f>
        <v>0</v>
      </c>
      <c r="AI911">
        <f>VLOOKUP($B911&amp;AI$1,Data!$A$2:$D$12000,4,FALSE)</f>
        <v>18000000</v>
      </c>
    </row>
    <row r="912" spans="2:35" hidden="1">
      <c r="B912" s="23">
        <v>911</v>
      </c>
      <c r="C912" s="13" t="s">
        <v>58</v>
      </c>
      <c r="D912" t="s">
        <v>20</v>
      </c>
      <c r="E912" t="s">
        <v>3</v>
      </c>
      <c r="F912">
        <v>1000</v>
      </c>
      <c r="G912" t="s">
        <v>17</v>
      </c>
      <c r="H912" s="5">
        <v>43831</v>
      </c>
      <c r="I912" s="5">
        <v>44562</v>
      </c>
      <c r="J912">
        <v>14</v>
      </c>
      <c r="K912">
        <v>9</v>
      </c>
      <c r="L912">
        <v>28</v>
      </c>
      <c r="M912">
        <v>72</v>
      </c>
      <c r="N912">
        <v>1000000</v>
      </c>
      <c r="O912">
        <f>VLOOKUP($B912&amp;O$1,Data!$A$2:$D$12000,4,FALSE)</f>
        <v>8.4320000000000006E-2</v>
      </c>
      <c r="P912">
        <f>VLOOKUP($B912&amp;P$1,Data!$A$2:$D$12000,4,FALSE)</f>
        <v>-0.38200000000000001</v>
      </c>
      <c r="Q912">
        <f>VLOOKUP($B912&amp;Q$1,Data!$A$2:$D$12000,4,FALSE)</f>
        <v>858</v>
      </c>
      <c r="R912">
        <f>VLOOKUP($B912&amp;R$1,Data!$A$2:$D$12000,4,FALSE)</f>
        <v>6.9999999999999999E-4</v>
      </c>
      <c r="S912">
        <f>VLOOKUP($B912&amp;S$1,Data!$A$2:$D$12000,4,FALSE)</f>
        <v>-1.6999999999999999E-3</v>
      </c>
      <c r="T912">
        <f>VLOOKUP($B912&amp;T$1,Data!$A$2:$D$12000,4,FALSE)</f>
        <v>-1.2579999999999999E-2</v>
      </c>
      <c r="U912">
        <f>VLOOKUP($B912&amp;U$1,Data!$A$2:$D$12000,4,FALSE)</f>
        <v>0.02</v>
      </c>
      <c r="V912">
        <f>VLOOKUP($B912&amp;V$1,Data!$A$2:$D$12000,4,FALSE)</f>
        <v>-3.5999999999999997E-2</v>
      </c>
      <c r="W912">
        <f>VLOOKUP($B912&amp;W$1,Data!$A$2:$D$12000,4,FALSE)</f>
        <v>-8.3899999999999999E-3</v>
      </c>
      <c r="X912">
        <f>VLOOKUP($B912&amp;X$1,Data!$A$2:$D$12000,4,FALSE)</f>
        <v>0.32</v>
      </c>
      <c r="Y912">
        <f>VLOOKUP($B912&amp;Y$1,Data!$A$2:$D$12000,4,FALSE)</f>
        <v>0.68</v>
      </c>
      <c r="Z912">
        <f>VLOOKUP($B912&amp;Z$1,Data!$A$2:$D$12000,4,FALSE)</f>
        <v>0.43</v>
      </c>
      <c r="AA912">
        <f>VLOOKUP($B912&amp;AA$1,Data!$A$2:$D$12000,4,FALSE)</f>
        <v>-0.01</v>
      </c>
      <c r="AB912">
        <f>VLOOKUP($B912&amp;AB$1,Data!$A$2:$D$12000,4,FALSE)</f>
        <v>2.9000000000000001E-2</v>
      </c>
      <c r="AC912">
        <f>VLOOKUP($B912&amp;AC$1,Data!$A$2:$D$12000,4,FALSE)</f>
        <v>2.1999999999999999E-2</v>
      </c>
      <c r="AD912">
        <f>VLOOKUP($B912&amp;AD$1,Data!$A$2:$D$12000,4,FALSE)</f>
        <v>0</v>
      </c>
      <c r="AE912">
        <f>VLOOKUP($B912&amp;AE$1,Data!$A$2:$D$12000,4,FALSE)</f>
        <v>-0.876</v>
      </c>
      <c r="AF912">
        <f>VLOOKUP($B912&amp;AF$1,Data!$A$2:$D$12000,4,FALSE)</f>
        <v>6.9000000000000006E-2</v>
      </c>
      <c r="AG912">
        <f>VLOOKUP($B912&amp;AG$1,Data!$A$2:$D$12000,4,FALSE)</f>
        <v>-0.29799999999999999</v>
      </c>
      <c r="AH912">
        <f>VLOOKUP($B912&amp;AH$1,Data!$A$2:$D$12000,4,FALSE)</f>
        <v>0</v>
      </c>
      <c r="AI912">
        <f>VLOOKUP($B912&amp;AI$1,Data!$A$2:$D$12000,4,FALSE)</f>
        <v>4900000</v>
      </c>
    </row>
    <row r="913" spans="2:35" hidden="1">
      <c r="B913" s="23">
        <v>912</v>
      </c>
      <c r="C913" s="13" t="s">
        <v>58</v>
      </c>
      <c r="D913" t="s">
        <v>20</v>
      </c>
      <c r="E913" t="s">
        <v>3</v>
      </c>
      <c r="F913">
        <v>5000</v>
      </c>
      <c r="G913" t="s">
        <v>17</v>
      </c>
      <c r="H913" s="5">
        <v>43831</v>
      </c>
      <c r="I913" s="5">
        <v>44562</v>
      </c>
      <c r="J913">
        <v>14</v>
      </c>
      <c r="K913">
        <v>9</v>
      </c>
      <c r="L913">
        <v>28</v>
      </c>
      <c r="M913">
        <v>72</v>
      </c>
      <c r="N913">
        <v>1000000</v>
      </c>
      <c r="O913">
        <f>VLOOKUP($B913&amp;O$1,Data!$A$2:$D$12000,4,FALSE)</f>
        <v>3.63E-3</v>
      </c>
      <c r="P913">
        <f>VLOOKUP($B913&amp;P$1,Data!$A$2:$D$12000,4,FALSE)</f>
        <v>-1.4139999999999999</v>
      </c>
      <c r="Q913">
        <f>VLOOKUP($B913&amp;Q$1,Data!$A$2:$D$12000,4,FALSE)</f>
        <v>648</v>
      </c>
      <c r="R913">
        <f>VLOOKUP($B913&amp;R$1,Data!$A$2:$D$12000,4,FALSE)</f>
        <v>8.0000000000000004E-4</v>
      </c>
      <c r="S913">
        <f>VLOOKUP($B913&amp;S$1,Data!$A$2:$D$12000,4,FALSE)</f>
        <v>-2.8E-3</v>
      </c>
      <c r="T913">
        <f>VLOOKUP($B913&amp;T$1,Data!$A$2:$D$12000,4,FALSE)</f>
        <v>-5.8200000000000002E-2</v>
      </c>
      <c r="U913">
        <f>VLOOKUP($B913&amp;U$1,Data!$A$2:$D$12000,4,FALSE)</f>
        <v>4.4999999999999998E-2</v>
      </c>
      <c r="V913">
        <f>VLOOKUP($B913&amp;V$1,Data!$A$2:$D$12000,4,FALSE)</f>
        <v>-0.13100000000000001</v>
      </c>
      <c r="W913">
        <f>VLOOKUP($B913&amp;W$1,Data!$A$2:$D$12000,4,FALSE)</f>
        <v>-3.9129999999999998E-2</v>
      </c>
      <c r="X913">
        <f>VLOOKUP($B913&amp;X$1,Data!$A$2:$D$12000,4,FALSE)</f>
        <v>0.33</v>
      </c>
      <c r="Y913">
        <f>VLOOKUP($B913&amp;Y$1,Data!$A$2:$D$12000,4,FALSE)</f>
        <v>0.67</v>
      </c>
      <c r="Z913">
        <f>VLOOKUP($B913&amp;Z$1,Data!$A$2:$D$12000,4,FALSE)</f>
        <v>0.3</v>
      </c>
      <c r="AA913">
        <f>VLOOKUP($B913&amp;AA$1,Data!$A$2:$D$12000,4,FALSE)</f>
        <v>-4.2000000000000003E-2</v>
      </c>
      <c r="AB913">
        <f>VLOOKUP($B913&amp;AB$1,Data!$A$2:$D$12000,4,FALSE)</f>
        <v>2.5000000000000001E-2</v>
      </c>
      <c r="AC913">
        <f>VLOOKUP($B913&amp;AC$1,Data!$A$2:$D$12000,4,FALSE)</f>
        <v>2.9000000000000001E-2</v>
      </c>
      <c r="AD913">
        <f>VLOOKUP($B913&amp;AD$1,Data!$A$2:$D$12000,4,FALSE)</f>
        <v>1E-3</v>
      </c>
      <c r="AE913">
        <f>VLOOKUP($B913&amp;AE$1,Data!$A$2:$D$12000,4,FALSE)</f>
        <v>-1.2909999999999999</v>
      </c>
      <c r="AF913">
        <f>VLOOKUP($B913&amp;AF$1,Data!$A$2:$D$12000,4,FALSE)</f>
        <v>7.0999999999999994E-2</v>
      </c>
      <c r="AG913">
        <f>VLOOKUP($B913&amp;AG$1,Data!$A$2:$D$12000,4,FALSE)</f>
        <v>-1.6020000000000001</v>
      </c>
      <c r="AH913">
        <f>VLOOKUP($B913&amp;AH$1,Data!$A$2:$D$12000,4,FALSE)</f>
        <v>0</v>
      </c>
      <c r="AI913">
        <f>VLOOKUP($B913&amp;AI$1,Data!$A$2:$D$12000,4,FALSE)</f>
        <v>5500000</v>
      </c>
    </row>
    <row r="914" spans="2:35" hidden="1">
      <c r="B914" s="23">
        <v>913</v>
      </c>
      <c r="C914" s="13" t="s">
        <v>58</v>
      </c>
      <c r="D914" t="s">
        <v>20</v>
      </c>
      <c r="E914" t="s">
        <v>2</v>
      </c>
      <c r="F914">
        <v>100</v>
      </c>
      <c r="G914" t="s">
        <v>17</v>
      </c>
      <c r="H914" s="5">
        <v>43831</v>
      </c>
      <c r="I914" s="5">
        <v>44562</v>
      </c>
      <c r="J914">
        <v>14</v>
      </c>
      <c r="K914">
        <v>9</v>
      </c>
      <c r="L914">
        <v>28</v>
      </c>
      <c r="M914">
        <v>72</v>
      </c>
      <c r="N914">
        <v>1000000</v>
      </c>
      <c r="O914">
        <f>VLOOKUP($B914&amp;O$1,Data!$A$2:$D$12000,4,FALSE)</f>
        <v>4.4000000000000002E-4</v>
      </c>
      <c r="P914">
        <f>VLOOKUP($B914&amp;P$1,Data!$A$2:$D$12000,4,FALSE)</f>
        <v>-1.6539999999999999</v>
      </c>
      <c r="Q914">
        <f>VLOOKUP($B914&amp;Q$1,Data!$A$2:$D$12000,4,FALSE)</f>
        <v>923</v>
      </c>
      <c r="R914">
        <f>VLOOKUP($B914&amp;R$1,Data!$A$2:$D$12000,4,FALSE)</f>
        <v>1E-4</v>
      </c>
      <c r="S914">
        <f>VLOOKUP($B914&amp;S$1,Data!$A$2:$D$12000,4,FALSE)</f>
        <v>-5.0000000000000001E-4</v>
      </c>
      <c r="T914">
        <f>VLOOKUP($B914&amp;T$1,Data!$A$2:$D$12000,4,FALSE)</f>
        <v>-2.0219999999999998E-2</v>
      </c>
      <c r="U914">
        <f>VLOOKUP($B914&amp;U$1,Data!$A$2:$D$12000,4,FALSE)</f>
        <v>1.7000000000000001E-2</v>
      </c>
      <c r="V914">
        <f>VLOOKUP($B914&amp;V$1,Data!$A$2:$D$12000,4,FALSE)</f>
        <v>-0.23400000000000001</v>
      </c>
      <c r="W914">
        <f>VLOOKUP($B914&amp;W$1,Data!$A$2:$D$12000,4,FALSE)</f>
        <v>-1.35E-2</v>
      </c>
      <c r="X914">
        <f>VLOOKUP($B914&amp;X$1,Data!$A$2:$D$12000,4,FALSE)</f>
        <v>0.41</v>
      </c>
      <c r="Y914">
        <f>VLOOKUP($B914&amp;Y$1,Data!$A$2:$D$12000,4,FALSE)</f>
        <v>0.59</v>
      </c>
      <c r="Z914">
        <f>VLOOKUP($B914&amp;Z$1,Data!$A$2:$D$12000,4,FALSE)</f>
        <v>0.28999999999999998</v>
      </c>
      <c r="AA914">
        <f>VLOOKUP($B914&amp;AA$1,Data!$A$2:$D$12000,4,FALSE)</f>
        <v>-1.4E-2</v>
      </c>
      <c r="AB914">
        <f>VLOOKUP($B914&amp;AB$1,Data!$A$2:$D$12000,4,FALSE)</f>
        <v>4.0000000000000001E-3</v>
      </c>
      <c r="AC914">
        <f>VLOOKUP($B914&amp;AC$1,Data!$A$2:$D$12000,4,FALSE)</f>
        <v>8.0000000000000002E-3</v>
      </c>
      <c r="AD914">
        <f>VLOOKUP($B914&amp;AD$1,Data!$A$2:$D$12000,4,FALSE)</f>
        <v>0</v>
      </c>
      <c r="AE914">
        <f>VLOOKUP($B914&amp;AE$1,Data!$A$2:$D$12000,4,FALSE)</f>
        <v>-0.97699999999999998</v>
      </c>
      <c r="AF914">
        <f>VLOOKUP($B914&amp;AF$1,Data!$A$2:$D$12000,4,FALSE)</f>
        <v>6.8000000000000005E-2</v>
      </c>
      <c r="AG914">
        <f>VLOOKUP($B914&amp;AG$1,Data!$A$2:$D$12000,4,FALSE)</f>
        <v>-3.77</v>
      </c>
      <c r="AH914">
        <f>VLOOKUP($B914&amp;AH$1,Data!$A$2:$D$12000,4,FALSE)</f>
        <v>0</v>
      </c>
      <c r="AI914">
        <f>VLOOKUP($B914&amp;AI$1,Data!$A$2:$D$12000,4,FALSE)</f>
        <v>190000000</v>
      </c>
    </row>
    <row r="915" spans="2:35" hidden="1">
      <c r="B915" s="23">
        <v>914</v>
      </c>
      <c r="C915" s="13" t="s">
        <v>58</v>
      </c>
      <c r="D915" t="s">
        <v>20</v>
      </c>
      <c r="E915" t="s">
        <v>2</v>
      </c>
      <c r="F915">
        <v>1000</v>
      </c>
      <c r="G915" t="s">
        <v>17</v>
      </c>
      <c r="H915" s="5">
        <v>43831</v>
      </c>
      <c r="I915" s="5">
        <v>44562</v>
      </c>
      <c r="J915">
        <v>14</v>
      </c>
      <c r="K915">
        <v>9</v>
      </c>
      <c r="L915">
        <v>28</v>
      </c>
      <c r="M915">
        <v>72</v>
      </c>
      <c r="N915">
        <v>1000000</v>
      </c>
      <c r="O915">
        <f>VLOOKUP($B915&amp;O$1,Data!$A$2:$D$12000,4,FALSE)</f>
        <v>2.4000000000000001E-4</v>
      </c>
      <c r="P915">
        <f>VLOOKUP($B915&amp;P$1,Data!$A$2:$D$12000,4,FALSE)</f>
        <v>-1.8560000000000001</v>
      </c>
      <c r="Q915">
        <f>VLOOKUP($B915&amp;Q$1,Data!$A$2:$D$12000,4,FALSE)</f>
        <v>741</v>
      </c>
      <c r="R915">
        <f>VLOOKUP($B915&amp;R$1,Data!$A$2:$D$12000,4,FALSE)</f>
        <v>4.0000000000000002E-4</v>
      </c>
      <c r="S915">
        <f>VLOOKUP($B915&amp;S$1,Data!$A$2:$D$12000,4,FALSE)</f>
        <v>-1.6999999999999999E-3</v>
      </c>
      <c r="T915">
        <f>VLOOKUP($B915&amp;T$1,Data!$A$2:$D$12000,4,FALSE)</f>
        <v>-6.3619999999999996E-2</v>
      </c>
      <c r="U915">
        <f>VLOOKUP($B915&amp;U$1,Data!$A$2:$D$12000,4,FALSE)</f>
        <v>4.4999999999999998E-2</v>
      </c>
      <c r="V915">
        <f>VLOOKUP($B915&amp;V$1,Data!$A$2:$D$12000,4,FALSE)</f>
        <v>-0.23300000000000001</v>
      </c>
      <c r="W915">
        <f>VLOOKUP($B915&amp;W$1,Data!$A$2:$D$12000,4,FALSE)</f>
        <v>-4.2810000000000001E-2</v>
      </c>
      <c r="X915">
        <f>VLOOKUP($B915&amp;X$1,Data!$A$2:$D$12000,4,FALSE)</f>
        <v>0.39</v>
      </c>
      <c r="Y915">
        <f>VLOOKUP($B915&amp;Y$1,Data!$A$2:$D$12000,4,FALSE)</f>
        <v>0.61</v>
      </c>
      <c r="Z915">
        <f>VLOOKUP($B915&amp;Z$1,Data!$A$2:$D$12000,4,FALSE)</f>
        <v>0.26</v>
      </c>
      <c r="AA915">
        <f>VLOOKUP($B915&amp;AA$1,Data!$A$2:$D$12000,4,FALSE)</f>
        <v>-4.5999999999999999E-2</v>
      </c>
      <c r="AB915">
        <f>VLOOKUP($B915&amp;AB$1,Data!$A$2:$D$12000,4,FALSE)</f>
        <v>2.8000000000000001E-2</v>
      </c>
      <c r="AC915">
        <f>VLOOKUP($B915&amp;AC$1,Data!$A$2:$D$12000,4,FALSE)</f>
        <v>2.4E-2</v>
      </c>
      <c r="AD915">
        <f>VLOOKUP($B915&amp;AD$1,Data!$A$2:$D$12000,4,FALSE)</f>
        <v>1E-3</v>
      </c>
      <c r="AE915">
        <f>VLOOKUP($B915&amp;AE$1,Data!$A$2:$D$12000,4,FALSE)</f>
        <v>-1.383</v>
      </c>
      <c r="AF915">
        <f>VLOOKUP($B915&amp;AF$1,Data!$A$2:$D$12000,4,FALSE)</f>
        <v>7.0000000000000007E-2</v>
      </c>
      <c r="AG915">
        <f>VLOOKUP($B915&amp;AG$1,Data!$A$2:$D$12000,4,FALSE)</f>
        <v>-1.575</v>
      </c>
      <c r="AH915">
        <f>VLOOKUP($B915&amp;AH$1,Data!$A$2:$D$12000,4,FALSE)</f>
        <v>0</v>
      </c>
      <c r="AI915">
        <f>VLOOKUP($B915&amp;AI$1,Data!$A$2:$D$12000,4,FALSE)</f>
        <v>24000000</v>
      </c>
    </row>
    <row r="916" spans="2:35" hidden="1">
      <c r="B916" s="23">
        <v>915</v>
      </c>
      <c r="C916" s="13" t="s">
        <v>58</v>
      </c>
      <c r="D916" t="s">
        <v>20</v>
      </c>
      <c r="E916" t="s">
        <v>2</v>
      </c>
      <c r="F916">
        <v>5000</v>
      </c>
      <c r="G916" t="s">
        <v>17</v>
      </c>
      <c r="H916" s="5">
        <v>43831</v>
      </c>
      <c r="I916" s="5">
        <v>44562</v>
      </c>
      <c r="J916">
        <v>14</v>
      </c>
      <c r="K916">
        <v>9</v>
      </c>
      <c r="L916">
        <v>28</v>
      </c>
      <c r="M916">
        <v>72</v>
      </c>
      <c r="N916">
        <v>1000000</v>
      </c>
      <c r="O916">
        <f>VLOOKUP($B916&amp;O$1,Data!$A$2:$D$12000,4,FALSE)</f>
        <v>3.0000000000000001E-5</v>
      </c>
      <c r="P916">
        <f>VLOOKUP($B916&amp;P$1,Data!$A$2:$D$12000,4,FALSE)</f>
        <v>-2.0649999999999999</v>
      </c>
      <c r="Q916">
        <f>VLOOKUP($B916&amp;Q$1,Data!$A$2:$D$12000,4,FALSE)</f>
        <v>573</v>
      </c>
      <c r="R916">
        <f>VLOOKUP($B916&amp;R$1,Data!$A$2:$D$12000,4,FALSE)</f>
        <v>5.0000000000000001E-4</v>
      </c>
      <c r="S916">
        <f>VLOOKUP($B916&amp;S$1,Data!$A$2:$D$12000,4,FALSE)</f>
        <v>-2.3E-3</v>
      </c>
      <c r="T916">
        <f>VLOOKUP($B916&amp;T$1,Data!$A$2:$D$12000,4,FALSE)</f>
        <v>-8.2150000000000001E-2</v>
      </c>
      <c r="U916">
        <f>VLOOKUP($B916&amp;U$1,Data!$A$2:$D$12000,4,FALSE)</f>
        <v>5.7000000000000002E-2</v>
      </c>
      <c r="V916">
        <f>VLOOKUP($B916&amp;V$1,Data!$A$2:$D$12000,4,FALSE)</f>
        <v>-0.24099999999999999</v>
      </c>
      <c r="W916">
        <f>VLOOKUP($B916&amp;W$1,Data!$A$2:$D$12000,4,FALSE)</f>
        <v>-5.5460000000000002E-2</v>
      </c>
      <c r="X916">
        <f>VLOOKUP($B916&amp;X$1,Data!$A$2:$D$12000,4,FALSE)</f>
        <v>0.38</v>
      </c>
      <c r="Y916">
        <f>VLOOKUP($B916&amp;Y$1,Data!$A$2:$D$12000,4,FALSE)</f>
        <v>0.62</v>
      </c>
      <c r="Z916">
        <f>VLOOKUP($B916&amp;Z$1,Data!$A$2:$D$12000,4,FALSE)</f>
        <v>0.22</v>
      </c>
      <c r="AA916">
        <f>VLOOKUP($B916&amp;AA$1,Data!$A$2:$D$12000,4,FALSE)</f>
        <v>-5.8000000000000003E-2</v>
      </c>
      <c r="AB916">
        <f>VLOOKUP($B916&amp;AB$1,Data!$A$2:$D$12000,4,FALSE)</f>
        <v>1.2E-2</v>
      </c>
      <c r="AC916">
        <f>VLOOKUP($B916&amp;AC$1,Data!$A$2:$D$12000,4,FALSE)</f>
        <v>2.8000000000000001E-2</v>
      </c>
      <c r="AD916">
        <f>VLOOKUP($B916&amp;AD$1,Data!$A$2:$D$12000,4,FALSE)</f>
        <v>1E-3</v>
      </c>
      <c r="AE916">
        <f>VLOOKUP($B916&amp;AE$1,Data!$A$2:$D$12000,4,FALSE)</f>
        <v>-1.5169999999999999</v>
      </c>
      <c r="AF916">
        <f>VLOOKUP($B916&amp;AF$1,Data!$A$2:$D$12000,4,FALSE)</f>
        <v>7.1999999999999995E-2</v>
      </c>
      <c r="AG916">
        <f>VLOOKUP($B916&amp;AG$1,Data!$A$2:$D$12000,4,FALSE)</f>
        <v>-4.976</v>
      </c>
      <c r="AH916">
        <f>VLOOKUP($B916&amp;AH$1,Data!$A$2:$D$12000,4,FALSE)</f>
        <v>0</v>
      </c>
      <c r="AI916">
        <f>VLOOKUP($B916&amp;AI$1,Data!$A$2:$D$12000,4,FALSE)</f>
        <v>7800000</v>
      </c>
    </row>
    <row r="917" spans="2:35" hidden="1">
      <c r="B917" s="23">
        <v>916</v>
      </c>
      <c r="C917" s="13" t="s">
        <v>58</v>
      </c>
      <c r="D917" t="s">
        <v>20</v>
      </c>
      <c r="E917" t="s">
        <v>22</v>
      </c>
      <c r="F917">
        <v>100</v>
      </c>
      <c r="G917" t="s">
        <v>17</v>
      </c>
      <c r="H917" s="5">
        <v>43831</v>
      </c>
      <c r="I917" s="5">
        <v>44562</v>
      </c>
      <c r="J917">
        <v>14</v>
      </c>
      <c r="K917">
        <v>9</v>
      </c>
      <c r="L917">
        <v>28</v>
      </c>
      <c r="M917">
        <v>72</v>
      </c>
      <c r="N917">
        <v>1000000</v>
      </c>
      <c r="O917">
        <f>VLOOKUP($B917&amp;O$1,Data!$A$2:$D$12000,4,FALSE)</f>
        <v>2.707E-2</v>
      </c>
      <c r="P917">
        <f>VLOOKUP($B917&amp;P$1,Data!$A$2:$D$12000,4,FALSE)</f>
        <v>-0.98499999999999999</v>
      </c>
      <c r="Q917">
        <f>VLOOKUP($B917&amp;Q$1,Data!$A$2:$D$12000,4,FALSE)</f>
        <v>736</v>
      </c>
      <c r="R917">
        <f>VLOOKUP($B917&amp;R$1,Data!$A$2:$D$12000,4,FALSE)</f>
        <v>1E-4</v>
      </c>
      <c r="S917">
        <f>VLOOKUP($B917&amp;S$1,Data!$A$2:$D$12000,4,FALSE)</f>
        <v>-4.0000000000000002E-4</v>
      </c>
      <c r="T917">
        <f>VLOOKUP($B917&amp;T$1,Data!$A$2:$D$12000,4,FALSE)</f>
        <v>-1.1429999999999999E-2</v>
      </c>
      <c r="U917">
        <f>VLOOKUP($B917&amp;U$1,Data!$A$2:$D$12000,4,FALSE)</f>
        <v>0.01</v>
      </c>
      <c r="V917">
        <f>VLOOKUP($B917&amp;V$1,Data!$A$2:$D$12000,4,FALSE)</f>
        <v>-0.20599999999999999</v>
      </c>
      <c r="W917">
        <f>VLOOKUP($B917&amp;W$1,Data!$A$2:$D$12000,4,FALSE)</f>
        <v>-7.62E-3</v>
      </c>
      <c r="X917">
        <f>VLOOKUP($B917&amp;X$1,Data!$A$2:$D$12000,4,FALSE)</f>
        <v>0.41</v>
      </c>
      <c r="Y917">
        <f>VLOOKUP($B917&amp;Y$1,Data!$A$2:$D$12000,4,FALSE)</f>
        <v>0.59</v>
      </c>
      <c r="Z917">
        <f>VLOOKUP($B917&amp;Z$1,Data!$A$2:$D$12000,4,FALSE)</f>
        <v>0.35</v>
      </c>
      <c r="AA917">
        <f>VLOOKUP($B917&amp;AA$1,Data!$A$2:$D$12000,4,FALSE)</f>
        <v>-8.0000000000000002E-3</v>
      </c>
      <c r="AB917">
        <f>VLOOKUP($B917&amp;AB$1,Data!$A$2:$D$12000,4,FALSE)</f>
        <v>-6.0000000000000001E-3</v>
      </c>
      <c r="AC917">
        <f>VLOOKUP($B917&amp;AC$1,Data!$A$2:$D$12000,4,FALSE)</f>
        <v>8.0000000000000002E-3</v>
      </c>
      <c r="AD917">
        <f>VLOOKUP($B917&amp;AD$1,Data!$A$2:$D$12000,4,FALSE)</f>
        <v>0</v>
      </c>
      <c r="AE917">
        <f>VLOOKUP($B917&amp;AE$1,Data!$A$2:$D$12000,4,FALSE)</f>
        <v>-0.83899999999999997</v>
      </c>
      <c r="AF917">
        <f>VLOOKUP($B917&amp;AF$1,Data!$A$2:$D$12000,4,FALSE)</f>
        <v>6.8000000000000005E-2</v>
      </c>
      <c r="AG917">
        <f>VLOOKUP($B917&amp;AG$1,Data!$A$2:$D$12000,4,FALSE)</f>
        <v>1.321</v>
      </c>
      <c r="AH917">
        <f>VLOOKUP($B917&amp;AH$1,Data!$A$2:$D$12000,4,FALSE)</f>
        <v>0</v>
      </c>
      <c r="AI917">
        <f>VLOOKUP($B917&amp;AI$1,Data!$A$2:$D$12000,4,FALSE)</f>
        <v>2400000000</v>
      </c>
    </row>
    <row r="918" spans="2:35" hidden="1">
      <c r="B918" s="23">
        <v>917</v>
      </c>
      <c r="C918" s="13" t="s">
        <v>58</v>
      </c>
      <c r="D918" t="s">
        <v>20</v>
      </c>
      <c r="E918" t="s">
        <v>22</v>
      </c>
      <c r="F918">
        <v>1000</v>
      </c>
      <c r="G918" t="s">
        <v>17</v>
      </c>
      <c r="H918" s="5">
        <v>43831</v>
      </c>
      <c r="I918" s="5">
        <v>44562</v>
      </c>
      <c r="J918">
        <v>14</v>
      </c>
      <c r="K918">
        <v>9</v>
      </c>
      <c r="L918">
        <v>28</v>
      </c>
      <c r="M918">
        <v>72</v>
      </c>
      <c r="N918">
        <v>1000000</v>
      </c>
      <c r="O918">
        <f>VLOOKUP($B918&amp;O$1,Data!$A$2:$D$12000,4,FALSE)</f>
        <v>5.9999999999999995E-4</v>
      </c>
      <c r="P918">
        <f>VLOOKUP($B918&amp;P$1,Data!$A$2:$D$12000,4,FALSE)</f>
        <v>-1.7969999999999999</v>
      </c>
      <c r="Q918">
        <f>VLOOKUP($B918&amp;Q$1,Data!$A$2:$D$12000,4,FALSE)</f>
        <v>613</v>
      </c>
      <c r="R918">
        <f>VLOOKUP($B918&amp;R$1,Data!$A$2:$D$12000,4,FALSE)</f>
        <v>5.0000000000000001E-4</v>
      </c>
      <c r="S918">
        <f>VLOOKUP($B918&amp;S$1,Data!$A$2:$D$12000,4,FALSE)</f>
        <v>-1.6999999999999999E-3</v>
      </c>
      <c r="T918">
        <f>VLOOKUP($B918&amp;T$1,Data!$A$2:$D$12000,4,FALSE)</f>
        <v>-5.577E-2</v>
      </c>
      <c r="U918">
        <f>VLOOKUP($B918&amp;U$1,Data!$A$2:$D$12000,4,FALSE)</f>
        <v>4.9000000000000002E-2</v>
      </c>
      <c r="V918">
        <f>VLOOKUP($B918&amp;V$1,Data!$A$2:$D$12000,4,FALSE)</f>
        <v>-0.25700000000000001</v>
      </c>
      <c r="W918">
        <f>VLOOKUP($B918&amp;W$1,Data!$A$2:$D$12000,4,FALSE)</f>
        <v>-3.7479999999999999E-2</v>
      </c>
      <c r="X918">
        <f>VLOOKUP($B918&amp;X$1,Data!$A$2:$D$12000,4,FALSE)</f>
        <v>0.42</v>
      </c>
      <c r="Y918">
        <f>VLOOKUP($B918&amp;Y$1,Data!$A$2:$D$12000,4,FALSE)</f>
        <v>0.57999999999999996</v>
      </c>
      <c r="Z918">
        <f>VLOOKUP($B918&amp;Z$1,Data!$A$2:$D$12000,4,FALSE)</f>
        <v>0.27</v>
      </c>
      <c r="AA918">
        <f>VLOOKUP($B918&amp;AA$1,Data!$A$2:$D$12000,4,FALSE)</f>
        <v>-3.7999999999999999E-2</v>
      </c>
      <c r="AB918">
        <f>VLOOKUP($B918&amp;AB$1,Data!$A$2:$D$12000,4,FALSE)</f>
        <v>-1.6E-2</v>
      </c>
      <c r="AC918">
        <f>VLOOKUP($B918&amp;AC$1,Data!$A$2:$D$12000,4,FALSE)</f>
        <v>2.1999999999999999E-2</v>
      </c>
      <c r="AD918">
        <f>VLOOKUP($B918&amp;AD$1,Data!$A$2:$D$12000,4,FALSE)</f>
        <v>0</v>
      </c>
      <c r="AE918">
        <f>VLOOKUP($B918&amp;AE$1,Data!$A$2:$D$12000,4,FALSE)</f>
        <v>-1.2669999999999999</v>
      </c>
      <c r="AF918">
        <f>VLOOKUP($B918&amp;AF$1,Data!$A$2:$D$12000,4,FALSE)</f>
        <v>7.1999999999999995E-2</v>
      </c>
      <c r="AG918">
        <f>VLOOKUP($B918&amp;AG$1,Data!$A$2:$D$12000,4,FALSE)</f>
        <v>2.5009999999999999</v>
      </c>
      <c r="AH918">
        <f>VLOOKUP($B918&amp;AH$1,Data!$A$2:$D$12000,4,FALSE)</f>
        <v>0</v>
      </c>
      <c r="AI918">
        <f>VLOOKUP($B918&amp;AI$1,Data!$A$2:$D$12000,4,FALSE)</f>
        <v>290000000</v>
      </c>
    </row>
    <row r="919" spans="2:35" hidden="1">
      <c r="B919" s="23">
        <v>918</v>
      </c>
      <c r="C919" s="13" t="s">
        <v>58</v>
      </c>
      <c r="D919" t="s">
        <v>20</v>
      </c>
      <c r="E919" t="s">
        <v>22</v>
      </c>
      <c r="F919">
        <v>5000</v>
      </c>
      <c r="G919" t="s">
        <v>17</v>
      </c>
      <c r="H919" s="5">
        <v>43831</v>
      </c>
      <c r="I919" s="5">
        <v>44562</v>
      </c>
      <c r="J919">
        <v>14</v>
      </c>
      <c r="K919">
        <v>9</v>
      </c>
      <c r="L919">
        <v>28</v>
      </c>
      <c r="M919">
        <v>72</v>
      </c>
      <c r="N919">
        <v>1000000</v>
      </c>
      <c r="O919">
        <f>VLOOKUP($B919&amp;O$1,Data!$A$2:$D$12000,4,FALSE)</f>
        <v>1.108E-2</v>
      </c>
      <c r="P919">
        <f>VLOOKUP($B919&amp;P$1,Data!$A$2:$D$12000,4,FALSE)</f>
        <v>-1.079</v>
      </c>
      <c r="Q919">
        <f>VLOOKUP($B919&amp;Q$1,Data!$A$2:$D$12000,4,FALSE)</f>
        <v>495</v>
      </c>
      <c r="R919">
        <f>VLOOKUP($B919&amp;R$1,Data!$A$2:$D$12000,4,FALSE)</f>
        <v>1E-3</v>
      </c>
      <c r="S919">
        <f>VLOOKUP($B919&amp;S$1,Data!$A$2:$D$12000,4,FALSE)</f>
        <v>-2.7000000000000001E-3</v>
      </c>
      <c r="T919">
        <f>VLOOKUP($B919&amp;T$1,Data!$A$2:$D$12000,4,FALSE)</f>
        <v>-4.8169999999999998E-2</v>
      </c>
      <c r="U919">
        <f>VLOOKUP($B919&amp;U$1,Data!$A$2:$D$12000,4,FALSE)</f>
        <v>6.2E-2</v>
      </c>
      <c r="V919">
        <f>VLOOKUP($B919&amp;V$1,Data!$A$2:$D$12000,4,FALSE)</f>
        <v>-0.151</v>
      </c>
      <c r="W919">
        <f>VLOOKUP($B919&amp;W$1,Data!$A$2:$D$12000,4,FALSE)</f>
        <v>-3.2329999999999998E-2</v>
      </c>
      <c r="X919">
        <f>VLOOKUP($B919&amp;X$1,Data!$A$2:$D$12000,4,FALSE)</f>
        <v>0.38</v>
      </c>
      <c r="Y919">
        <f>VLOOKUP($B919&amp;Y$1,Data!$A$2:$D$12000,4,FALSE)</f>
        <v>0.62</v>
      </c>
      <c r="Z919">
        <f>VLOOKUP($B919&amp;Z$1,Data!$A$2:$D$12000,4,FALSE)</f>
        <v>0.38</v>
      </c>
      <c r="AA919">
        <f>VLOOKUP($B919&amp;AA$1,Data!$A$2:$D$12000,4,FALSE)</f>
        <v>-3.3000000000000002E-2</v>
      </c>
      <c r="AB919">
        <f>VLOOKUP($B919&amp;AB$1,Data!$A$2:$D$12000,4,FALSE)</f>
        <v>3.0000000000000001E-3</v>
      </c>
      <c r="AC919">
        <f>VLOOKUP($B919&amp;AC$1,Data!$A$2:$D$12000,4,FALSE)</f>
        <v>3.1E-2</v>
      </c>
      <c r="AD919">
        <f>VLOOKUP($B919&amp;AD$1,Data!$A$2:$D$12000,4,FALSE)</f>
        <v>1E-3</v>
      </c>
      <c r="AE919">
        <f>VLOOKUP($B919&amp;AE$1,Data!$A$2:$D$12000,4,FALSE)</f>
        <v>-1.1539999999999999</v>
      </c>
      <c r="AF919">
        <f>VLOOKUP($B919&amp;AF$1,Data!$A$2:$D$12000,4,FALSE)</f>
        <v>7.3999999999999996E-2</v>
      </c>
      <c r="AG919">
        <f>VLOOKUP($B919&amp;AG$1,Data!$A$2:$D$12000,4,FALSE)</f>
        <v>-12.081</v>
      </c>
      <c r="AH919">
        <f>VLOOKUP($B919&amp;AH$1,Data!$A$2:$D$12000,4,FALSE)</f>
        <v>0</v>
      </c>
      <c r="AI919">
        <f>VLOOKUP($B919&amp;AI$1,Data!$A$2:$D$12000,4,FALSE)</f>
        <v>67000000</v>
      </c>
    </row>
    <row r="920" spans="2:35" hidden="1">
      <c r="B920" s="23">
        <v>919</v>
      </c>
      <c r="C920" s="13" t="s">
        <v>58</v>
      </c>
      <c r="D920" t="s">
        <v>21</v>
      </c>
      <c r="E920" t="s">
        <v>3</v>
      </c>
      <c r="F920">
        <v>100</v>
      </c>
      <c r="G920" t="s">
        <v>17</v>
      </c>
      <c r="H920" s="5">
        <v>43831</v>
      </c>
      <c r="I920" s="5">
        <v>44562</v>
      </c>
      <c r="J920">
        <v>14</v>
      </c>
      <c r="K920">
        <v>9</v>
      </c>
      <c r="L920">
        <v>30</v>
      </c>
      <c r="M920">
        <v>70</v>
      </c>
      <c r="N920">
        <v>1000000</v>
      </c>
      <c r="O920">
        <f>VLOOKUP($B920&amp;O$1,Data!$A$2:$D$12000,4,FALSE)</f>
        <v>0.12928999999999999</v>
      </c>
      <c r="P920">
        <f>VLOOKUP($B920&amp;P$1,Data!$A$2:$D$12000,4,FALSE)</f>
        <v>-0.16</v>
      </c>
      <c r="Q920">
        <f>VLOOKUP($B920&amp;Q$1,Data!$A$2:$D$12000,4,FALSE)</f>
        <v>1771</v>
      </c>
      <c r="R920">
        <f>VLOOKUP($B920&amp;R$1,Data!$A$2:$D$12000,4,FALSE)</f>
        <v>4.0000000000000002E-4</v>
      </c>
      <c r="S920">
        <f>VLOOKUP($B920&amp;S$1,Data!$A$2:$D$12000,4,FALSE)</f>
        <v>-8.0000000000000004E-4</v>
      </c>
      <c r="T920">
        <f>VLOOKUP($B920&amp;T$1,Data!$A$2:$D$12000,4,FALSE)</f>
        <v>-3.0400000000000002E-3</v>
      </c>
      <c r="U920">
        <f>VLOOKUP($B920&amp;U$1,Data!$A$2:$D$12000,4,FALSE)</f>
        <v>1.7000000000000001E-2</v>
      </c>
      <c r="V920">
        <f>VLOOKUP($B920&amp;V$1,Data!$A$2:$D$12000,4,FALSE)</f>
        <v>-2.1000000000000001E-2</v>
      </c>
      <c r="W920">
        <f>VLOOKUP($B920&amp;W$1,Data!$A$2:$D$12000,4,FALSE)</f>
        <v>-2.0100000000000001E-3</v>
      </c>
      <c r="X920">
        <f>VLOOKUP($B920&amp;X$1,Data!$A$2:$D$12000,4,FALSE)</f>
        <v>0.36</v>
      </c>
      <c r="Y920">
        <f>VLOOKUP($B920&amp;Y$1,Data!$A$2:$D$12000,4,FALSE)</f>
        <v>0.64</v>
      </c>
      <c r="Z920">
        <f>VLOOKUP($B920&amp;Z$1,Data!$A$2:$D$12000,4,FALSE)</f>
        <v>0.53</v>
      </c>
      <c r="AA920">
        <f>VLOOKUP($B920&amp;AA$1,Data!$A$2:$D$12000,4,FALSE)</f>
        <v>-2E-3</v>
      </c>
      <c r="AB920">
        <f>VLOOKUP($B920&amp;AB$1,Data!$A$2:$D$12000,4,FALSE)</f>
        <v>-7.0000000000000001E-3</v>
      </c>
      <c r="AC920">
        <f>VLOOKUP($B920&amp;AC$1,Data!$A$2:$D$12000,4,FALSE)</f>
        <v>1.2999999999999999E-2</v>
      </c>
      <c r="AD920">
        <f>VLOOKUP($B920&amp;AD$1,Data!$A$2:$D$12000,4,FALSE)</f>
        <v>0</v>
      </c>
      <c r="AE920">
        <f>VLOOKUP($B920&amp;AE$1,Data!$A$2:$D$12000,4,FALSE)</f>
        <v>-0.77600000000000002</v>
      </c>
      <c r="AF920">
        <f>VLOOKUP($B920&amp;AF$1,Data!$A$2:$D$12000,4,FALSE)</f>
        <v>6.9000000000000006E-2</v>
      </c>
      <c r="AG920">
        <f>VLOOKUP($B920&amp;AG$1,Data!$A$2:$D$12000,4,FALSE)</f>
        <v>0.307</v>
      </c>
      <c r="AH920">
        <f>VLOOKUP($B920&amp;AH$1,Data!$A$2:$D$12000,4,FALSE)</f>
        <v>0</v>
      </c>
      <c r="AI920">
        <f>VLOOKUP($B920&amp;AI$1,Data!$A$2:$D$12000,4,FALSE)</f>
        <v>66000000</v>
      </c>
    </row>
    <row r="921" spans="2:35" hidden="1">
      <c r="B921" s="23">
        <v>920</v>
      </c>
      <c r="C921" s="13" t="s">
        <v>58</v>
      </c>
      <c r="D921" t="s">
        <v>21</v>
      </c>
      <c r="E921" t="s">
        <v>3</v>
      </c>
      <c r="F921">
        <v>1000</v>
      </c>
      <c r="G921" t="s">
        <v>17</v>
      </c>
      <c r="H921" s="5">
        <v>43831</v>
      </c>
      <c r="I921" s="5">
        <v>44562</v>
      </c>
      <c r="J921">
        <v>14</v>
      </c>
      <c r="K921">
        <v>9</v>
      </c>
      <c r="L921">
        <v>30</v>
      </c>
      <c r="M921">
        <v>70</v>
      </c>
      <c r="N921">
        <v>1000000</v>
      </c>
      <c r="O921">
        <f>VLOOKUP($B921&amp;O$1,Data!$A$2:$D$12000,4,FALSE)</f>
        <v>6.4659999999999995E-2</v>
      </c>
      <c r="P921">
        <f>VLOOKUP($B921&amp;P$1,Data!$A$2:$D$12000,4,FALSE)</f>
        <v>-0.54300000000000004</v>
      </c>
      <c r="Q921">
        <f>VLOOKUP($B921&amp;Q$1,Data!$A$2:$D$12000,4,FALSE)</f>
        <v>1353</v>
      </c>
      <c r="R921">
        <f>VLOOKUP($B921&amp;R$1,Data!$A$2:$D$12000,4,FALSE)</f>
        <v>1.1000000000000001E-3</v>
      </c>
      <c r="S921">
        <f>VLOOKUP($B921&amp;S$1,Data!$A$2:$D$12000,4,FALSE)</f>
        <v>-2.5999999999999999E-3</v>
      </c>
      <c r="T921">
        <f>VLOOKUP($B921&amp;T$1,Data!$A$2:$D$12000,4,FALSE)</f>
        <v>-2.886E-2</v>
      </c>
      <c r="U921">
        <f>VLOOKUP($B921&amp;U$1,Data!$A$2:$D$12000,4,FALSE)</f>
        <v>5.2999999999999999E-2</v>
      </c>
      <c r="V921">
        <f>VLOOKUP($B921&amp;V$1,Data!$A$2:$D$12000,4,FALSE)</f>
        <v>-6.0999999999999999E-2</v>
      </c>
      <c r="W921">
        <f>VLOOKUP($B921&amp;W$1,Data!$A$2:$D$12000,4,FALSE)</f>
        <v>-1.9230000000000001E-2</v>
      </c>
      <c r="X921">
        <f>VLOOKUP($B921&amp;X$1,Data!$A$2:$D$12000,4,FALSE)</f>
        <v>0.35</v>
      </c>
      <c r="Y921">
        <f>VLOOKUP($B921&amp;Y$1,Data!$A$2:$D$12000,4,FALSE)</f>
        <v>0.65</v>
      </c>
      <c r="Z921">
        <f>VLOOKUP($B921&amp;Z$1,Data!$A$2:$D$12000,4,FALSE)</f>
        <v>0.45</v>
      </c>
      <c r="AA921">
        <f>VLOOKUP($B921&amp;AA$1,Data!$A$2:$D$12000,4,FALSE)</f>
        <v>-1.6E-2</v>
      </c>
      <c r="AB921">
        <f>VLOOKUP($B921&amp;AB$1,Data!$A$2:$D$12000,4,FALSE)</f>
        <v>-6.9000000000000006E-2</v>
      </c>
      <c r="AC921">
        <f>VLOOKUP($B921&amp;AC$1,Data!$A$2:$D$12000,4,FALSE)</f>
        <v>3.5999999999999997E-2</v>
      </c>
      <c r="AD921">
        <f>VLOOKUP($B921&amp;AD$1,Data!$A$2:$D$12000,4,FALSE)</f>
        <v>1E-3</v>
      </c>
      <c r="AE921">
        <f>VLOOKUP($B921&amp;AE$1,Data!$A$2:$D$12000,4,FALSE)</f>
        <v>-0.88300000000000001</v>
      </c>
      <c r="AF921">
        <f>VLOOKUP($B921&amp;AF$1,Data!$A$2:$D$12000,4,FALSE)</f>
        <v>0.08</v>
      </c>
      <c r="AG921">
        <f>VLOOKUP($B921&amp;AG$1,Data!$A$2:$D$12000,4,FALSE)</f>
        <v>0.28100000000000003</v>
      </c>
      <c r="AH921">
        <f>VLOOKUP($B921&amp;AH$1,Data!$A$2:$D$12000,4,FALSE)</f>
        <v>0</v>
      </c>
      <c r="AI921">
        <f>VLOOKUP($B921&amp;AI$1,Data!$A$2:$D$12000,4,FALSE)</f>
        <v>9300000</v>
      </c>
    </row>
    <row r="922" spans="2:35" hidden="1">
      <c r="B922" s="23">
        <v>921</v>
      </c>
      <c r="C922" s="13" t="s">
        <v>58</v>
      </c>
      <c r="D922" t="s">
        <v>21</v>
      </c>
      <c r="E922" t="s">
        <v>3</v>
      </c>
      <c r="F922">
        <v>5000</v>
      </c>
      <c r="G922" t="s">
        <v>17</v>
      </c>
      <c r="H922" s="5">
        <v>43831</v>
      </c>
      <c r="I922" s="5">
        <v>44562</v>
      </c>
      <c r="J922">
        <v>14</v>
      </c>
      <c r="K922">
        <v>9</v>
      </c>
      <c r="L922">
        <v>30</v>
      </c>
      <c r="M922">
        <v>70</v>
      </c>
      <c r="N922">
        <v>1000000</v>
      </c>
      <c r="O922">
        <f>VLOOKUP($B922&amp;O$1,Data!$A$2:$D$12000,4,FALSE)</f>
        <v>0.33106000000000002</v>
      </c>
      <c r="P922">
        <f>VLOOKUP($B922&amp;P$1,Data!$A$2:$D$12000,4,FALSE)</f>
        <v>0.56100000000000005</v>
      </c>
      <c r="Q922">
        <f>VLOOKUP($B922&amp;Q$1,Data!$A$2:$D$12000,4,FALSE)</f>
        <v>1025</v>
      </c>
      <c r="R922">
        <f>VLOOKUP($B922&amp;R$1,Data!$A$2:$D$12000,4,FALSE)</f>
        <v>1.6999999999999999E-3</v>
      </c>
      <c r="S922">
        <f>VLOOKUP($B922&amp;S$1,Data!$A$2:$D$12000,4,FALSE)</f>
        <v>-3.0000000000000001E-3</v>
      </c>
      <c r="T922">
        <f>VLOOKUP($B922&amp;T$1,Data!$A$2:$D$12000,4,FALSE)</f>
        <v>3.3360000000000001E-2</v>
      </c>
      <c r="U922">
        <f>VLOOKUP($B922&amp;U$1,Data!$A$2:$D$12000,4,FALSE)</f>
        <v>0.05</v>
      </c>
      <c r="V922">
        <f>VLOOKUP($B922&amp;V$1,Data!$A$2:$D$12000,4,FALSE)</f>
        <v>5.6000000000000001E-2</v>
      </c>
      <c r="W922">
        <f>VLOOKUP($B922&amp;W$1,Data!$A$2:$D$12000,4,FALSE)</f>
        <v>2.1989999999999999E-2</v>
      </c>
      <c r="X922">
        <f>VLOOKUP($B922&amp;X$1,Data!$A$2:$D$12000,4,FALSE)</f>
        <v>0.32</v>
      </c>
      <c r="Y922">
        <f>VLOOKUP($B922&amp;Y$1,Data!$A$2:$D$12000,4,FALSE)</f>
        <v>0.68</v>
      </c>
      <c r="Z922">
        <f>VLOOKUP($B922&amp;Z$1,Data!$A$2:$D$12000,4,FALSE)</f>
        <v>0.55000000000000004</v>
      </c>
      <c r="AA922">
        <f>VLOOKUP($B922&amp;AA$1,Data!$A$2:$D$12000,4,FALSE)</f>
        <v>3.2000000000000001E-2</v>
      </c>
      <c r="AB922">
        <f>VLOOKUP($B922&amp;AB$1,Data!$A$2:$D$12000,4,FALSE)</f>
        <v>-0.151</v>
      </c>
      <c r="AC922">
        <f>VLOOKUP($B922&amp;AC$1,Data!$A$2:$D$12000,4,FALSE)</f>
        <v>4.2999999999999997E-2</v>
      </c>
      <c r="AD922">
        <f>VLOOKUP($B922&amp;AD$1,Data!$A$2:$D$12000,4,FALSE)</f>
        <v>2E-3</v>
      </c>
      <c r="AE922">
        <f>VLOOKUP($B922&amp;AE$1,Data!$A$2:$D$12000,4,FALSE)</f>
        <v>-0.313</v>
      </c>
      <c r="AF922">
        <f>VLOOKUP($B922&amp;AF$1,Data!$A$2:$D$12000,4,FALSE)</f>
        <v>8.7999999999999995E-2</v>
      </c>
      <c r="AG922">
        <f>VLOOKUP($B922&amp;AG$1,Data!$A$2:$D$12000,4,FALSE)</f>
        <v>-0.158</v>
      </c>
      <c r="AH922">
        <f>VLOOKUP($B922&amp;AH$1,Data!$A$2:$D$12000,4,FALSE)</f>
        <v>0</v>
      </c>
      <c r="AI922">
        <f>VLOOKUP($B922&amp;AI$1,Data!$A$2:$D$12000,4,FALSE)</f>
        <v>4700000</v>
      </c>
    </row>
    <row r="923" spans="2:35" hidden="1">
      <c r="B923" s="23">
        <v>922</v>
      </c>
      <c r="C923" s="13" t="s">
        <v>58</v>
      </c>
      <c r="D923" t="s">
        <v>21</v>
      </c>
      <c r="E923" t="s">
        <v>2</v>
      </c>
      <c r="F923">
        <v>100</v>
      </c>
      <c r="G923" t="s">
        <v>17</v>
      </c>
      <c r="H923" s="5">
        <v>43831</v>
      </c>
      <c r="I923" s="5">
        <v>44562</v>
      </c>
      <c r="J923">
        <v>14</v>
      </c>
      <c r="K923">
        <v>9</v>
      </c>
      <c r="L923">
        <v>30</v>
      </c>
      <c r="M923">
        <v>70</v>
      </c>
      <c r="N923">
        <v>1000000</v>
      </c>
      <c r="O923">
        <f>VLOOKUP($B923&amp;O$1,Data!$A$2:$D$12000,4,FALSE)</f>
        <v>0.18081</v>
      </c>
      <c r="P923">
        <f>VLOOKUP($B923&amp;P$1,Data!$A$2:$D$12000,4,FALSE)</f>
        <v>7.0999999999999994E-2</v>
      </c>
      <c r="Q923">
        <f>VLOOKUP($B923&amp;Q$1,Data!$A$2:$D$12000,4,FALSE)</f>
        <v>983</v>
      </c>
      <c r="R923">
        <f>VLOOKUP($B923&amp;R$1,Data!$A$2:$D$12000,4,FALSE)</f>
        <v>5.0000000000000001E-4</v>
      </c>
      <c r="S923">
        <f>VLOOKUP($B923&amp;S$1,Data!$A$2:$D$12000,4,FALSE)</f>
        <v>-1E-3</v>
      </c>
      <c r="T923">
        <f>VLOOKUP($B923&amp;T$1,Data!$A$2:$D$12000,4,FALSE)</f>
        <v>1.3699999999999999E-3</v>
      </c>
      <c r="U923">
        <f>VLOOKUP($B923&amp;U$1,Data!$A$2:$D$12000,4,FALSE)</f>
        <v>1.0999999999999999E-2</v>
      </c>
      <c r="V923">
        <f>VLOOKUP($B923&amp;V$1,Data!$A$2:$D$12000,4,FALSE)</f>
        <v>1.6E-2</v>
      </c>
      <c r="W923">
        <f>VLOOKUP($B923&amp;W$1,Data!$A$2:$D$12000,4,FALSE)</f>
        <v>9.1E-4</v>
      </c>
      <c r="X923">
        <f>VLOOKUP($B923&amp;X$1,Data!$A$2:$D$12000,4,FALSE)</f>
        <v>0.32</v>
      </c>
      <c r="Y923">
        <f>VLOOKUP($B923&amp;Y$1,Data!$A$2:$D$12000,4,FALSE)</f>
        <v>0.68</v>
      </c>
      <c r="Z923">
        <f>VLOOKUP($B923&amp;Z$1,Data!$A$2:$D$12000,4,FALSE)</f>
        <v>0.51</v>
      </c>
      <c r="AA923">
        <f>VLOOKUP($B923&amp;AA$1,Data!$A$2:$D$12000,4,FALSE)</f>
        <v>1E-3</v>
      </c>
      <c r="AB923">
        <f>VLOOKUP($B923&amp;AB$1,Data!$A$2:$D$12000,4,FALSE)</f>
        <v>0</v>
      </c>
      <c r="AC923">
        <f>VLOOKUP($B923&amp;AC$1,Data!$A$2:$D$12000,4,FALSE)</f>
        <v>1.4999999999999999E-2</v>
      </c>
      <c r="AD923">
        <f>VLOOKUP($B923&amp;AD$1,Data!$A$2:$D$12000,4,FALSE)</f>
        <v>0</v>
      </c>
      <c r="AE923">
        <f>VLOOKUP($B923&amp;AE$1,Data!$A$2:$D$12000,4,FALSE)</f>
        <v>-0.73099999999999998</v>
      </c>
      <c r="AF923">
        <f>VLOOKUP($B923&amp;AF$1,Data!$A$2:$D$12000,4,FALSE)</f>
        <v>6.9000000000000006E-2</v>
      </c>
      <c r="AG923">
        <f>VLOOKUP($B923&amp;AG$1,Data!$A$2:$D$12000,4,FALSE)</f>
        <v>-3.1709999999999998</v>
      </c>
      <c r="AH923">
        <f>VLOOKUP($B923&amp;AH$1,Data!$A$2:$D$12000,4,FALSE)</f>
        <v>0</v>
      </c>
      <c r="AI923">
        <f>VLOOKUP($B923&amp;AI$1,Data!$A$2:$D$12000,4,FALSE)</f>
        <v>24000000</v>
      </c>
    </row>
    <row r="924" spans="2:35" hidden="1">
      <c r="B924" s="23">
        <v>923</v>
      </c>
      <c r="C924" s="13" t="s">
        <v>58</v>
      </c>
      <c r="D924" t="s">
        <v>21</v>
      </c>
      <c r="E924" t="s">
        <v>2</v>
      </c>
      <c r="F924">
        <v>1000</v>
      </c>
      <c r="G924" t="s">
        <v>17</v>
      </c>
      <c r="H924" s="5">
        <v>43831</v>
      </c>
      <c r="I924" s="5">
        <v>44562</v>
      </c>
      <c r="J924">
        <v>14</v>
      </c>
      <c r="K924">
        <v>9</v>
      </c>
      <c r="L924">
        <v>30</v>
      </c>
      <c r="M924">
        <v>70</v>
      </c>
      <c r="N924">
        <v>1000000</v>
      </c>
      <c r="O924">
        <f>VLOOKUP($B924&amp;O$1,Data!$A$2:$D$12000,4,FALSE)</f>
        <v>3.2469999999999999E-2</v>
      </c>
      <c r="P924">
        <f>VLOOKUP($B924&amp;P$1,Data!$A$2:$D$12000,4,FALSE)</f>
        <v>-0.84</v>
      </c>
      <c r="Q924">
        <f>VLOOKUP($B924&amp;Q$1,Data!$A$2:$D$12000,4,FALSE)</f>
        <v>748</v>
      </c>
      <c r="R924">
        <f>VLOOKUP($B924&amp;R$1,Data!$A$2:$D$12000,4,FALSE)</f>
        <v>1.1000000000000001E-3</v>
      </c>
      <c r="S924">
        <f>VLOOKUP($B924&amp;S$1,Data!$A$2:$D$12000,4,FALSE)</f>
        <v>-3.3999999999999998E-3</v>
      </c>
      <c r="T924">
        <f>VLOOKUP($B924&amp;T$1,Data!$A$2:$D$12000,4,FALSE)</f>
        <v>-5.0389999999999997E-2</v>
      </c>
      <c r="U924">
        <f>VLOOKUP($B924&amp;U$1,Data!$A$2:$D$12000,4,FALSE)</f>
        <v>4.1000000000000002E-2</v>
      </c>
      <c r="V924">
        <f>VLOOKUP($B924&amp;V$1,Data!$A$2:$D$12000,4,FALSE)</f>
        <v>-0.14099999999999999</v>
      </c>
      <c r="W924">
        <f>VLOOKUP($B924&amp;W$1,Data!$A$2:$D$12000,4,FALSE)</f>
        <v>-3.3689999999999998E-2</v>
      </c>
      <c r="X924">
        <f>VLOOKUP($B924&amp;X$1,Data!$A$2:$D$12000,4,FALSE)</f>
        <v>0.35</v>
      </c>
      <c r="Y924">
        <f>VLOOKUP($B924&amp;Y$1,Data!$A$2:$D$12000,4,FALSE)</f>
        <v>0.65</v>
      </c>
      <c r="Z924">
        <f>VLOOKUP($B924&amp;Z$1,Data!$A$2:$D$12000,4,FALSE)</f>
        <v>0.31</v>
      </c>
      <c r="AA924">
        <f>VLOOKUP($B924&amp;AA$1,Data!$A$2:$D$12000,4,FALSE)</f>
        <v>-3.3000000000000002E-2</v>
      </c>
      <c r="AB924">
        <f>VLOOKUP($B924&amp;AB$1,Data!$A$2:$D$12000,4,FALSE)</f>
        <v>-3.2000000000000001E-2</v>
      </c>
      <c r="AC924">
        <f>VLOOKUP($B924&amp;AC$1,Data!$A$2:$D$12000,4,FALSE)</f>
        <v>4.1000000000000002E-2</v>
      </c>
      <c r="AD924">
        <f>VLOOKUP($B924&amp;AD$1,Data!$A$2:$D$12000,4,FALSE)</f>
        <v>2E-3</v>
      </c>
      <c r="AE924">
        <f>VLOOKUP($B924&amp;AE$1,Data!$A$2:$D$12000,4,FALSE)</f>
        <v>-1.0649999999999999</v>
      </c>
      <c r="AF924">
        <f>VLOOKUP($B924&amp;AF$1,Data!$A$2:$D$12000,4,FALSE)</f>
        <v>8.1000000000000003E-2</v>
      </c>
      <c r="AG924">
        <f>VLOOKUP($B924&amp;AG$1,Data!$A$2:$D$12000,4,FALSE)</f>
        <v>1.087</v>
      </c>
      <c r="AH924">
        <f>VLOOKUP($B924&amp;AH$1,Data!$A$2:$D$12000,4,FALSE)</f>
        <v>0</v>
      </c>
      <c r="AI924">
        <f>VLOOKUP($B924&amp;AI$1,Data!$A$2:$D$12000,4,FALSE)</f>
        <v>5700000</v>
      </c>
    </row>
    <row r="925" spans="2:35" hidden="1">
      <c r="B925" s="23">
        <v>924</v>
      </c>
      <c r="C925" s="13" t="s">
        <v>58</v>
      </c>
      <c r="D925" t="s">
        <v>21</v>
      </c>
      <c r="E925" t="s">
        <v>2</v>
      </c>
      <c r="F925">
        <v>5000</v>
      </c>
      <c r="G925" t="s">
        <v>17</v>
      </c>
      <c r="H925" s="5">
        <v>43831</v>
      </c>
      <c r="I925" s="5">
        <v>44562</v>
      </c>
      <c r="J925">
        <v>14</v>
      </c>
      <c r="K925">
        <v>9</v>
      </c>
      <c r="L925">
        <v>30</v>
      </c>
      <c r="M925">
        <v>70</v>
      </c>
      <c r="N925">
        <v>1000000</v>
      </c>
      <c r="O925">
        <f>VLOOKUP($B925&amp;O$1,Data!$A$2:$D$12000,4,FALSE)</f>
        <v>4.0509999999999997E-2</v>
      </c>
      <c r="P925">
        <f>VLOOKUP($B925&amp;P$1,Data!$A$2:$D$12000,4,FALSE)</f>
        <v>-0.77</v>
      </c>
      <c r="Q925">
        <f>VLOOKUP($B925&amp;Q$1,Data!$A$2:$D$12000,4,FALSE)</f>
        <v>551</v>
      </c>
      <c r="R925">
        <f>VLOOKUP($B925&amp;R$1,Data!$A$2:$D$12000,4,FALSE)</f>
        <v>1.6000000000000001E-3</v>
      </c>
      <c r="S925">
        <f>VLOOKUP($B925&amp;S$1,Data!$A$2:$D$12000,4,FALSE)</f>
        <v>-5.0000000000000001E-3</v>
      </c>
      <c r="T925">
        <f>VLOOKUP($B925&amp;T$1,Data!$A$2:$D$12000,4,FALSE)</f>
        <v>-4.5569999999999999E-2</v>
      </c>
      <c r="U925">
        <f>VLOOKUP($B925&amp;U$1,Data!$A$2:$D$12000,4,FALSE)</f>
        <v>5.5E-2</v>
      </c>
      <c r="V925">
        <f>VLOOKUP($B925&amp;V$1,Data!$A$2:$D$12000,4,FALSE)</f>
        <v>-9.2999999999999999E-2</v>
      </c>
      <c r="W925">
        <f>VLOOKUP($B925&amp;W$1,Data!$A$2:$D$12000,4,FALSE)</f>
        <v>-3.0439999999999998E-2</v>
      </c>
      <c r="X925">
        <f>VLOOKUP($B925&amp;X$1,Data!$A$2:$D$12000,4,FALSE)</f>
        <v>0.31</v>
      </c>
      <c r="Y925">
        <f>VLOOKUP($B925&amp;Y$1,Data!$A$2:$D$12000,4,FALSE)</f>
        <v>0.69</v>
      </c>
      <c r="Z925">
        <f>VLOOKUP($B925&amp;Z$1,Data!$A$2:$D$12000,4,FALSE)</f>
        <v>0.32</v>
      </c>
      <c r="AA925">
        <f>VLOOKUP($B925&amp;AA$1,Data!$A$2:$D$12000,4,FALSE)</f>
        <v>-2.4E-2</v>
      </c>
      <c r="AB925">
        <f>VLOOKUP($B925&amp;AB$1,Data!$A$2:$D$12000,4,FALSE)</f>
        <v>-0.13300000000000001</v>
      </c>
      <c r="AC925">
        <f>VLOOKUP($B925&amp;AC$1,Data!$A$2:$D$12000,4,FALSE)</f>
        <v>0.04</v>
      </c>
      <c r="AD925">
        <f>VLOOKUP($B925&amp;AD$1,Data!$A$2:$D$12000,4,FALSE)</f>
        <v>2E-3</v>
      </c>
      <c r="AE925">
        <f>VLOOKUP($B925&amp;AE$1,Data!$A$2:$D$12000,4,FALSE)</f>
        <v>-0.96099999999999997</v>
      </c>
      <c r="AF925">
        <f>VLOOKUP($B925&amp;AF$1,Data!$A$2:$D$12000,4,FALSE)</f>
        <v>8.5999999999999993E-2</v>
      </c>
      <c r="AG925">
        <f>VLOOKUP($B925&amp;AG$1,Data!$A$2:$D$12000,4,FALSE)</f>
        <v>0.23300000000000001</v>
      </c>
      <c r="AH925">
        <f>VLOOKUP($B925&amp;AH$1,Data!$A$2:$D$12000,4,FALSE)</f>
        <v>0</v>
      </c>
      <c r="AI925">
        <f>VLOOKUP($B925&amp;AI$1,Data!$A$2:$D$12000,4,FALSE)</f>
        <v>6100000</v>
      </c>
    </row>
    <row r="926" spans="2:35" hidden="1">
      <c r="B926" s="23">
        <v>925</v>
      </c>
      <c r="C926" s="13" t="s">
        <v>58</v>
      </c>
      <c r="D926" t="s">
        <v>21</v>
      </c>
      <c r="E926" t="s">
        <v>22</v>
      </c>
      <c r="F926">
        <v>100</v>
      </c>
      <c r="G926" t="s">
        <v>17</v>
      </c>
      <c r="H926" s="5">
        <v>43831</v>
      </c>
      <c r="I926" s="5">
        <v>44562</v>
      </c>
      <c r="J926">
        <v>14</v>
      </c>
      <c r="K926">
        <v>9</v>
      </c>
      <c r="L926">
        <v>30</v>
      </c>
      <c r="M926">
        <v>70</v>
      </c>
      <c r="N926">
        <v>1000000</v>
      </c>
      <c r="O926">
        <f>VLOOKUP($B926&amp;O$1,Data!$A$2:$D$12000,4,FALSE)</f>
        <v>0.16808000000000001</v>
      </c>
      <c r="P926">
        <f>VLOOKUP($B926&amp;P$1,Data!$A$2:$D$12000,4,FALSE)</f>
        <v>1.6E-2</v>
      </c>
      <c r="Q926">
        <f>VLOOKUP($B926&amp;Q$1,Data!$A$2:$D$12000,4,FALSE)</f>
        <v>722</v>
      </c>
      <c r="R926">
        <f>VLOOKUP($B926&amp;R$1,Data!$A$2:$D$12000,4,FALSE)</f>
        <v>4.0000000000000002E-4</v>
      </c>
      <c r="S926">
        <f>VLOOKUP($B926&amp;S$1,Data!$A$2:$D$12000,4,FALSE)</f>
        <v>-8.0000000000000004E-4</v>
      </c>
      <c r="T926">
        <f>VLOOKUP($B926&amp;T$1,Data!$A$2:$D$12000,4,FALSE)</f>
        <v>1.8000000000000001E-4</v>
      </c>
      <c r="U926">
        <f>VLOOKUP($B926&amp;U$1,Data!$A$2:$D$12000,4,FALSE)</f>
        <v>1.2999999999999999E-2</v>
      </c>
      <c r="V926">
        <f>VLOOKUP($B926&amp;V$1,Data!$A$2:$D$12000,4,FALSE)</f>
        <v>-4.0000000000000001E-3</v>
      </c>
      <c r="W926">
        <f>VLOOKUP($B926&amp;W$1,Data!$A$2:$D$12000,4,FALSE)</f>
        <v>1.2E-4</v>
      </c>
      <c r="X926">
        <f>VLOOKUP($B926&amp;X$1,Data!$A$2:$D$12000,4,FALSE)</f>
        <v>0.33</v>
      </c>
      <c r="Y926">
        <f>VLOOKUP($B926&amp;Y$1,Data!$A$2:$D$12000,4,FALSE)</f>
        <v>0.67</v>
      </c>
      <c r="Z926">
        <f>VLOOKUP($B926&amp;Z$1,Data!$A$2:$D$12000,4,FALSE)</f>
        <v>0.48</v>
      </c>
      <c r="AA926">
        <f>VLOOKUP($B926&amp;AA$1,Data!$A$2:$D$12000,4,FALSE)</f>
        <v>2E-3</v>
      </c>
      <c r="AB926">
        <f>VLOOKUP($B926&amp;AB$1,Data!$A$2:$D$12000,4,FALSE)</f>
        <v>-3.4000000000000002E-2</v>
      </c>
      <c r="AC926">
        <f>VLOOKUP($B926&amp;AC$1,Data!$A$2:$D$12000,4,FALSE)</f>
        <v>1.4E-2</v>
      </c>
      <c r="AD926">
        <f>VLOOKUP($B926&amp;AD$1,Data!$A$2:$D$12000,4,FALSE)</f>
        <v>0</v>
      </c>
      <c r="AE926">
        <f>VLOOKUP($B926&amp;AE$1,Data!$A$2:$D$12000,4,FALSE)</f>
        <v>-0.72099999999999997</v>
      </c>
      <c r="AF926">
        <f>VLOOKUP($B926&amp;AF$1,Data!$A$2:$D$12000,4,FALSE)</f>
        <v>7.0999999999999994E-2</v>
      </c>
      <c r="AG926">
        <f>VLOOKUP($B926&amp;AG$1,Data!$A$2:$D$12000,4,FALSE)</f>
        <v>-6.0000000000000001E-3</v>
      </c>
      <c r="AH926">
        <f>VLOOKUP($B926&amp;AH$1,Data!$A$2:$D$12000,4,FALSE)</f>
        <v>0</v>
      </c>
      <c r="AI926">
        <f>VLOOKUP($B926&amp;AI$1,Data!$A$2:$D$12000,4,FALSE)</f>
        <v>18000000</v>
      </c>
    </row>
    <row r="927" spans="2:35" hidden="1">
      <c r="B927" s="23">
        <v>926</v>
      </c>
      <c r="C927" s="13" t="s">
        <v>58</v>
      </c>
      <c r="D927" t="s">
        <v>21</v>
      </c>
      <c r="E927" t="s">
        <v>22</v>
      </c>
      <c r="F927">
        <v>1000</v>
      </c>
      <c r="G927" t="s">
        <v>17</v>
      </c>
      <c r="H927" s="5">
        <v>43831</v>
      </c>
      <c r="I927" s="5">
        <v>44562</v>
      </c>
      <c r="J927">
        <v>14</v>
      </c>
      <c r="K927">
        <v>9</v>
      </c>
      <c r="L927">
        <v>30</v>
      </c>
      <c r="M927">
        <v>70</v>
      </c>
      <c r="N927">
        <v>1000000</v>
      </c>
      <c r="O927">
        <f>VLOOKUP($B927&amp;O$1,Data!$A$2:$D$12000,4,FALSE)</f>
        <v>8.8230000000000003E-2</v>
      </c>
      <c r="P927">
        <f>VLOOKUP($B927&amp;P$1,Data!$A$2:$D$12000,4,FALSE)</f>
        <v>-0.39700000000000002</v>
      </c>
      <c r="Q927">
        <f>VLOOKUP($B927&amp;Q$1,Data!$A$2:$D$12000,4,FALSE)</f>
        <v>571</v>
      </c>
      <c r="R927">
        <f>VLOOKUP($B927&amp;R$1,Data!$A$2:$D$12000,4,FALSE)</f>
        <v>6.9999999999999999E-4</v>
      </c>
      <c r="S927">
        <f>VLOOKUP($B927&amp;S$1,Data!$A$2:$D$12000,4,FALSE)</f>
        <v>-2.0999999999999999E-3</v>
      </c>
      <c r="T927">
        <f>VLOOKUP($B927&amp;T$1,Data!$A$2:$D$12000,4,FALSE)</f>
        <v>-2.1760000000000002E-2</v>
      </c>
      <c r="U927">
        <f>VLOOKUP($B927&amp;U$1,Data!$A$2:$D$12000,4,FALSE)</f>
        <v>3.7999999999999999E-2</v>
      </c>
      <c r="V927">
        <f>VLOOKUP($B927&amp;V$1,Data!$A$2:$D$12000,4,FALSE)</f>
        <v>-0.13900000000000001</v>
      </c>
      <c r="W927">
        <f>VLOOKUP($B927&amp;W$1,Data!$A$2:$D$12000,4,FALSE)</f>
        <v>-1.448E-2</v>
      </c>
      <c r="X927">
        <f>VLOOKUP($B927&amp;X$1,Data!$A$2:$D$12000,4,FALSE)</f>
        <v>0.36</v>
      </c>
      <c r="Y927">
        <f>VLOOKUP($B927&amp;Y$1,Data!$A$2:$D$12000,4,FALSE)</f>
        <v>0.64</v>
      </c>
      <c r="Z927">
        <f>VLOOKUP($B927&amp;Z$1,Data!$A$2:$D$12000,4,FALSE)</f>
        <v>0.34</v>
      </c>
      <c r="AA927">
        <f>VLOOKUP($B927&amp;AA$1,Data!$A$2:$D$12000,4,FALSE)</f>
        <v>-1.0999999999999999E-2</v>
      </c>
      <c r="AB927">
        <f>VLOOKUP($B927&amp;AB$1,Data!$A$2:$D$12000,4,FALSE)</f>
        <v>-6.8000000000000005E-2</v>
      </c>
      <c r="AC927">
        <f>VLOOKUP($B927&amp;AC$1,Data!$A$2:$D$12000,4,FALSE)</f>
        <v>3.5999999999999997E-2</v>
      </c>
      <c r="AD927">
        <f>VLOOKUP($B927&amp;AD$1,Data!$A$2:$D$12000,4,FALSE)</f>
        <v>1E-3</v>
      </c>
      <c r="AE927">
        <f>VLOOKUP($B927&amp;AE$1,Data!$A$2:$D$12000,4,FALSE)</f>
        <v>-0.81899999999999995</v>
      </c>
      <c r="AF927">
        <f>VLOOKUP($B927&amp;AF$1,Data!$A$2:$D$12000,4,FALSE)</f>
        <v>8.1000000000000003E-2</v>
      </c>
      <c r="AG927">
        <f>VLOOKUP($B927&amp;AG$1,Data!$A$2:$D$12000,4,FALSE)</f>
        <v>0.214</v>
      </c>
      <c r="AH927">
        <f>VLOOKUP($B927&amp;AH$1,Data!$A$2:$D$12000,4,FALSE)</f>
        <v>0</v>
      </c>
      <c r="AI927">
        <f>VLOOKUP($B927&amp;AI$1,Data!$A$2:$D$12000,4,FALSE)</f>
        <v>6400000</v>
      </c>
    </row>
    <row r="928" spans="2:35" hidden="1">
      <c r="B928" s="23">
        <v>927</v>
      </c>
      <c r="C928" s="13" t="s">
        <v>58</v>
      </c>
      <c r="D928" t="s">
        <v>21</v>
      </c>
      <c r="E928" t="s">
        <v>22</v>
      </c>
      <c r="F928">
        <v>5000</v>
      </c>
      <c r="G928" t="s">
        <v>17</v>
      </c>
      <c r="H928" s="5">
        <v>43831</v>
      </c>
      <c r="I928" s="5">
        <v>44562</v>
      </c>
      <c r="J928">
        <v>14</v>
      </c>
      <c r="K928">
        <v>9</v>
      </c>
      <c r="L928">
        <v>30</v>
      </c>
      <c r="M928">
        <v>70</v>
      </c>
      <c r="N928">
        <v>1000000</v>
      </c>
      <c r="O928">
        <f>VLOOKUP($B928&amp;O$1,Data!$A$2:$D$12000,4,FALSE)</f>
        <v>9.7339999999999996E-2</v>
      </c>
      <c r="P928">
        <f>VLOOKUP($B928&amp;P$1,Data!$A$2:$D$12000,4,FALSE)</f>
        <v>-0.33400000000000002</v>
      </c>
      <c r="Q928">
        <f>VLOOKUP($B928&amp;Q$1,Data!$A$2:$D$12000,4,FALSE)</f>
        <v>443</v>
      </c>
      <c r="R928">
        <f>VLOOKUP($B928&amp;R$1,Data!$A$2:$D$12000,4,FALSE)</f>
        <v>1.5E-3</v>
      </c>
      <c r="S928">
        <f>VLOOKUP($B928&amp;S$1,Data!$A$2:$D$12000,4,FALSE)</f>
        <v>-3.8999999999999998E-3</v>
      </c>
      <c r="T928">
        <f>VLOOKUP($B928&amp;T$1,Data!$A$2:$D$12000,4,FALSE)</f>
        <v>-2.2450000000000001E-2</v>
      </c>
      <c r="U928">
        <f>VLOOKUP($B928&amp;U$1,Data!$A$2:$D$12000,4,FALSE)</f>
        <v>4.8000000000000001E-2</v>
      </c>
      <c r="V928">
        <f>VLOOKUP($B928&amp;V$1,Data!$A$2:$D$12000,4,FALSE)</f>
        <v>-7.6999999999999999E-2</v>
      </c>
      <c r="W928">
        <f>VLOOKUP($B928&amp;W$1,Data!$A$2:$D$12000,4,FALSE)</f>
        <v>-1.494E-2</v>
      </c>
      <c r="X928">
        <f>VLOOKUP($B928&amp;X$1,Data!$A$2:$D$12000,4,FALSE)</f>
        <v>0.33</v>
      </c>
      <c r="Y928">
        <f>VLOOKUP($B928&amp;Y$1,Data!$A$2:$D$12000,4,FALSE)</f>
        <v>0.67</v>
      </c>
      <c r="Z928">
        <f>VLOOKUP($B928&amp;Z$1,Data!$A$2:$D$12000,4,FALSE)</f>
        <v>0.38</v>
      </c>
      <c r="AA928">
        <f>VLOOKUP($B928&amp;AA$1,Data!$A$2:$D$12000,4,FALSE)</f>
        <v>-0.01</v>
      </c>
      <c r="AB928">
        <f>VLOOKUP($B928&amp;AB$1,Data!$A$2:$D$12000,4,FALSE)</f>
        <v>-8.3000000000000004E-2</v>
      </c>
      <c r="AC928">
        <f>VLOOKUP($B928&amp;AC$1,Data!$A$2:$D$12000,4,FALSE)</f>
        <v>4.3999999999999997E-2</v>
      </c>
      <c r="AD928">
        <f>VLOOKUP($B928&amp;AD$1,Data!$A$2:$D$12000,4,FALSE)</f>
        <v>2E-3</v>
      </c>
      <c r="AE928">
        <f>VLOOKUP($B928&amp;AE$1,Data!$A$2:$D$12000,4,FALSE)</f>
        <v>-0.77800000000000002</v>
      </c>
      <c r="AF928">
        <f>VLOOKUP($B928&amp;AF$1,Data!$A$2:$D$12000,4,FALSE)</f>
        <v>8.5000000000000006E-2</v>
      </c>
      <c r="AG928">
        <f>VLOOKUP($B928&amp;AG$1,Data!$A$2:$D$12000,4,FALSE)</f>
        <v>0.17599999999999999</v>
      </c>
      <c r="AH928">
        <f>VLOOKUP($B928&amp;AH$1,Data!$A$2:$D$12000,4,FALSE)</f>
        <v>0</v>
      </c>
      <c r="AI928">
        <f>VLOOKUP($B928&amp;AI$1,Data!$A$2:$D$12000,4,FALSE)</f>
        <v>9400000</v>
      </c>
    </row>
    <row r="929" spans="2:35" hidden="1">
      <c r="B929" s="23">
        <v>928</v>
      </c>
      <c r="C929" s="13" t="s">
        <v>58</v>
      </c>
      <c r="D929" t="s">
        <v>21</v>
      </c>
      <c r="E929" t="s">
        <v>3</v>
      </c>
      <c r="F929">
        <v>100</v>
      </c>
      <c r="G929" t="s">
        <v>17</v>
      </c>
      <c r="H929" s="5">
        <v>43831</v>
      </c>
      <c r="I929" s="5">
        <v>44562</v>
      </c>
      <c r="J929">
        <v>14</v>
      </c>
      <c r="K929">
        <v>9</v>
      </c>
      <c r="L929">
        <v>32</v>
      </c>
      <c r="M929">
        <v>68</v>
      </c>
      <c r="N929">
        <v>1000000</v>
      </c>
      <c r="O929">
        <f>VLOOKUP($B929&amp;O$1,Data!$A$2:$D$12000,4,FALSE)</f>
        <v>3.3660000000000002E-2</v>
      </c>
      <c r="P929">
        <f>VLOOKUP($B929&amp;P$1,Data!$A$2:$D$12000,4,FALSE)</f>
        <v>-0.80900000000000005</v>
      </c>
      <c r="Q929">
        <f>VLOOKUP($B929&amp;Q$1,Data!$A$2:$D$12000,4,FALSE)</f>
        <v>2124</v>
      </c>
      <c r="R929">
        <f>VLOOKUP($B929&amp;R$1,Data!$A$2:$D$12000,4,FALSE)</f>
        <v>2.9999999999999997E-4</v>
      </c>
      <c r="S929">
        <f>VLOOKUP($B929&amp;S$1,Data!$A$2:$D$12000,4,FALSE)</f>
        <v>-8.0000000000000004E-4</v>
      </c>
      <c r="T929">
        <f>VLOOKUP($B929&amp;T$1,Data!$A$2:$D$12000,4,FALSE)</f>
        <v>-1.7170000000000001E-2</v>
      </c>
      <c r="U929">
        <f>VLOOKUP($B929&amp;U$1,Data!$A$2:$D$12000,4,FALSE)</f>
        <v>2.5999999999999999E-2</v>
      </c>
      <c r="V929">
        <f>VLOOKUP($B929&amp;V$1,Data!$A$2:$D$12000,4,FALSE)</f>
        <v>-9.2999999999999999E-2</v>
      </c>
      <c r="W929">
        <f>VLOOKUP($B929&amp;W$1,Data!$A$2:$D$12000,4,FALSE)</f>
        <v>-1.142E-2</v>
      </c>
      <c r="X929">
        <f>VLOOKUP($B929&amp;X$1,Data!$A$2:$D$12000,4,FALSE)</f>
        <v>0.34</v>
      </c>
      <c r="Y929">
        <f>VLOOKUP($B929&amp;Y$1,Data!$A$2:$D$12000,4,FALSE)</f>
        <v>0.66</v>
      </c>
      <c r="Z929">
        <f>VLOOKUP($B929&amp;Z$1,Data!$A$2:$D$12000,4,FALSE)</f>
        <v>0.38</v>
      </c>
      <c r="AA929">
        <f>VLOOKUP($B929&amp;AA$1,Data!$A$2:$D$12000,4,FALSE)</f>
        <v>-8.9999999999999993E-3</v>
      </c>
      <c r="AB929">
        <f>VLOOKUP($B929&amp;AB$1,Data!$A$2:$D$12000,4,FALSE)</f>
        <v>-4.4999999999999998E-2</v>
      </c>
      <c r="AC929">
        <f>VLOOKUP($B929&amp;AC$1,Data!$A$2:$D$12000,4,FALSE)</f>
        <v>1.4999999999999999E-2</v>
      </c>
      <c r="AD929">
        <f>VLOOKUP($B929&amp;AD$1,Data!$A$2:$D$12000,4,FALSE)</f>
        <v>0</v>
      </c>
      <c r="AE929">
        <f>VLOOKUP($B929&amp;AE$1,Data!$A$2:$D$12000,4,FALSE)</f>
        <v>-0.89</v>
      </c>
      <c r="AF929">
        <f>VLOOKUP($B929&amp;AF$1,Data!$A$2:$D$12000,4,FALSE)</f>
        <v>7.1999999999999995E-2</v>
      </c>
      <c r="AG929">
        <f>VLOOKUP($B929&amp;AG$1,Data!$A$2:$D$12000,4,FALSE)</f>
        <v>0.26200000000000001</v>
      </c>
      <c r="AH929">
        <f>VLOOKUP($B929&amp;AH$1,Data!$A$2:$D$12000,4,FALSE)</f>
        <v>0</v>
      </c>
      <c r="AI929">
        <f>VLOOKUP($B929&amp;AI$1,Data!$A$2:$D$12000,4,FALSE)</f>
        <v>3700000</v>
      </c>
    </row>
    <row r="930" spans="2:35" hidden="1">
      <c r="B930" s="23">
        <v>929</v>
      </c>
      <c r="C930" s="13" t="s">
        <v>58</v>
      </c>
      <c r="D930" t="s">
        <v>21</v>
      </c>
      <c r="E930" t="s">
        <v>3</v>
      </c>
      <c r="F930">
        <v>1000</v>
      </c>
      <c r="G930" t="s">
        <v>17</v>
      </c>
      <c r="H930" s="5">
        <v>43831</v>
      </c>
      <c r="I930" s="5">
        <v>44562</v>
      </c>
      <c r="J930">
        <v>14</v>
      </c>
      <c r="K930">
        <v>9</v>
      </c>
      <c r="L930">
        <v>32</v>
      </c>
      <c r="M930">
        <v>68</v>
      </c>
      <c r="N930">
        <v>1000000</v>
      </c>
      <c r="O930">
        <f>VLOOKUP($B930&amp;O$1,Data!$A$2:$D$12000,4,FALSE)</f>
        <v>0.22624</v>
      </c>
      <c r="P930">
        <f>VLOOKUP($B930&amp;P$1,Data!$A$2:$D$12000,4,FALSE)</f>
        <v>0.22700000000000001</v>
      </c>
      <c r="Q930">
        <f>VLOOKUP($B930&amp;Q$1,Data!$A$2:$D$12000,4,FALSE)</f>
        <v>1615</v>
      </c>
      <c r="R930">
        <f>VLOOKUP($B930&amp;R$1,Data!$A$2:$D$12000,4,FALSE)</f>
        <v>1.1000000000000001E-3</v>
      </c>
      <c r="S930">
        <f>VLOOKUP($B930&amp;S$1,Data!$A$2:$D$12000,4,FALSE)</f>
        <v>-2.3E-3</v>
      </c>
      <c r="T930">
        <f>VLOOKUP($B930&amp;T$1,Data!$A$2:$D$12000,4,FALSE)</f>
        <v>1.189E-2</v>
      </c>
      <c r="U930">
        <f>VLOOKUP($B930&amp;U$1,Data!$A$2:$D$12000,4,FALSE)</f>
        <v>3.7999999999999999E-2</v>
      </c>
      <c r="V930">
        <f>VLOOKUP($B930&amp;V$1,Data!$A$2:$D$12000,4,FALSE)</f>
        <v>0.02</v>
      </c>
      <c r="W930">
        <f>VLOOKUP($B930&amp;W$1,Data!$A$2:$D$12000,4,FALSE)</f>
        <v>7.8600000000000007E-3</v>
      </c>
      <c r="X930">
        <f>VLOOKUP($B930&amp;X$1,Data!$A$2:$D$12000,4,FALSE)</f>
        <v>0.32</v>
      </c>
      <c r="Y930">
        <f>VLOOKUP($B930&amp;Y$1,Data!$A$2:$D$12000,4,FALSE)</f>
        <v>0.68</v>
      </c>
      <c r="Z930">
        <f>VLOOKUP($B930&amp;Z$1,Data!$A$2:$D$12000,4,FALSE)</f>
        <v>0.51</v>
      </c>
      <c r="AA930">
        <f>VLOOKUP($B930&amp;AA$1,Data!$A$2:$D$12000,4,FALSE)</f>
        <v>1.4999999999999999E-2</v>
      </c>
      <c r="AB930">
        <f>VLOOKUP($B930&amp;AB$1,Data!$A$2:$D$12000,4,FALSE)</f>
        <v>-0.105</v>
      </c>
      <c r="AC930">
        <f>VLOOKUP($B930&amp;AC$1,Data!$A$2:$D$12000,4,FALSE)</f>
        <v>0.04</v>
      </c>
      <c r="AD930">
        <f>VLOOKUP($B930&amp;AD$1,Data!$A$2:$D$12000,4,FALSE)</f>
        <v>2E-3</v>
      </c>
      <c r="AE930">
        <f>VLOOKUP($B930&amp;AE$1,Data!$A$2:$D$12000,4,FALSE)</f>
        <v>-0.51300000000000001</v>
      </c>
      <c r="AF930">
        <f>VLOOKUP($B930&amp;AF$1,Data!$A$2:$D$12000,4,FALSE)</f>
        <v>8.4000000000000005E-2</v>
      </c>
      <c r="AG930">
        <f>VLOOKUP($B930&amp;AG$1,Data!$A$2:$D$12000,4,FALSE)</f>
        <v>-8.5999999999999993E-2</v>
      </c>
      <c r="AH930">
        <f>VLOOKUP($B930&amp;AH$1,Data!$A$2:$D$12000,4,FALSE)</f>
        <v>0</v>
      </c>
      <c r="AI930">
        <f>VLOOKUP($B930&amp;AI$1,Data!$A$2:$D$12000,4,FALSE)</f>
        <v>4200000</v>
      </c>
    </row>
    <row r="931" spans="2:35" hidden="1">
      <c r="B931" s="23">
        <v>930</v>
      </c>
      <c r="C931" s="13" t="s">
        <v>58</v>
      </c>
      <c r="D931" t="s">
        <v>21</v>
      </c>
      <c r="E931" t="s">
        <v>3</v>
      </c>
      <c r="F931">
        <v>5000</v>
      </c>
      <c r="G931" t="s">
        <v>17</v>
      </c>
      <c r="H931" s="5">
        <v>43831</v>
      </c>
      <c r="I931" s="5">
        <v>44562</v>
      </c>
      <c r="J931">
        <v>14</v>
      </c>
      <c r="K931">
        <v>9</v>
      </c>
      <c r="L931">
        <v>32</v>
      </c>
      <c r="M931">
        <v>68</v>
      </c>
      <c r="N931">
        <v>1000000</v>
      </c>
      <c r="O931">
        <f>VLOOKUP($B931&amp;O$1,Data!$A$2:$D$12000,4,FALSE)</f>
        <v>0.38697999999999999</v>
      </c>
      <c r="P931">
        <f>VLOOKUP($B931&amp;P$1,Data!$A$2:$D$12000,4,FALSE)</f>
        <v>0.71299999999999997</v>
      </c>
      <c r="Q931">
        <f>VLOOKUP($B931&amp;Q$1,Data!$A$2:$D$12000,4,FALSE)</f>
        <v>1207</v>
      </c>
      <c r="R931">
        <f>VLOOKUP($B931&amp;R$1,Data!$A$2:$D$12000,4,FALSE)</f>
        <v>1.6000000000000001E-3</v>
      </c>
      <c r="S931">
        <f>VLOOKUP($B931&amp;S$1,Data!$A$2:$D$12000,4,FALSE)</f>
        <v>-2.5999999999999999E-3</v>
      </c>
      <c r="T931">
        <f>VLOOKUP($B931&amp;T$1,Data!$A$2:$D$12000,4,FALSE)</f>
        <v>4.1829999999999999E-2</v>
      </c>
      <c r="U931">
        <f>VLOOKUP($B931&amp;U$1,Data!$A$2:$D$12000,4,FALSE)</f>
        <v>3.9E-2</v>
      </c>
      <c r="V931">
        <f>VLOOKUP($B931&amp;V$1,Data!$A$2:$D$12000,4,FALSE)</f>
        <v>7.2999999999999995E-2</v>
      </c>
      <c r="W931">
        <f>VLOOKUP($B931&amp;W$1,Data!$A$2:$D$12000,4,FALSE)</f>
        <v>2.7539999999999999E-2</v>
      </c>
      <c r="X931">
        <f>VLOOKUP($B931&amp;X$1,Data!$A$2:$D$12000,4,FALSE)</f>
        <v>0.34</v>
      </c>
      <c r="Y931">
        <f>VLOOKUP($B931&amp;Y$1,Data!$A$2:$D$12000,4,FALSE)</f>
        <v>0.66</v>
      </c>
      <c r="Z931">
        <f>VLOOKUP($B931&amp;Z$1,Data!$A$2:$D$12000,4,FALSE)</f>
        <v>0.62</v>
      </c>
      <c r="AA931">
        <f>VLOOKUP($B931&amp;AA$1,Data!$A$2:$D$12000,4,FALSE)</f>
        <v>3.7999999999999999E-2</v>
      </c>
      <c r="AB931">
        <f>VLOOKUP($B931&amp;AB$1,Data!$A$2:$D$12000,4,FALSE)</f>
        <v>-0.16500000000000001</v>
      </c>
      <c r="AC931">
        <f>VLOOKUP($B931&amp;AC$1,Data!$A$2:$D$12000,4,FALSE)</f>
        <v>4.2000000000000003E-2</v>
      </c>
      <c r="AD931">
        <f>VLOOKUP($B931&amp;AD$1,Data!$A$2:$D$12000,4,FALSE)</f>
        <v>2E-3</v>
      </c>
      <c r="AE931">
        <f>VLOOKUP($B931&amp;AE$1,Data!$A$2:$D$12000,4,FALSE)</f>
        <v>-0.247</v>
      </c>
      <c r="AF931">
        <f>VLOOKUP($B931&amp;AF$1,Data!$A$2:$D$12000,4,FALSE)</f>
        <v>8.7999999999999995E-2</v>
      </c>
      <c r="AG931">
        <f>VLOOKUP($B931&amp;AG$1,Data!$A$2:$D$12000,4,FALSE)</f>
        <v>-0.18</v>
      </c>
      <c r="AH931">
        <f>VLOOKUP($B931&amp;AH$1,Data!$A$2:$D$12000,4,FALSE)</f>
        <v>0</v>
      </c>
      <c r="AI931">
        <f>VLOOKUP($B931&amp;AI$1,Data!$A$2:$D$12000,4,FALSE)</f>
        <v>4400000</v>
      </c>
    </row>
    <row r="932" spans="2:35" hidden="1">
      <c r="B932" s="23">
        <v>931</v>
      </c>
      <c r="C932" s="13" t="s">
        <v>58</v>
      </c>
      <c r="D932" t="s">
        <v>21</v>
      </c>
      <c r="E932" t="s">
        <v>2</v>
      </c>
      <c r="F932">
        <v>100</v>
      </c>
      <c r="G932" t="s">
        <v>17</v>
      </c>
      <c r="H932" s="5">
        <v>43831</v>
      </c>
      <c r="I932" s="5">
        <v>44562</v>
      </c>
      <c r="J932">
        <v>14</v>
      </c>
      <c r="K932">
        <v>9</v>
      </c>
      <c r="L932">
        <v>32</v>
      </c>
      <c r="M932">
        <v>68</v>
      </c>
      <c r="N932">
        <v>1000000</v>
      </c>
      <c r="O932">
        <f>VLOOKUP($B932&amp;O$1,Data!$A$2:$D$12000,4,FALSE)</f>
        <v>3.7879999999999997E-2</v>
      </c>
      <c r="P932">
        <f>VLOOKUP($B932&amp;P$1,Data!$A$2:$D$12000,4,FALSE)</f>
        <v>-0.69099999999999995</v>
      </c>
      <c r="Q932">
        <f>VLOOKUP($B932&amp;Q$1,Data!$A$2:$D$12000,4,FALSE)</f>
        <v>1200</v>
      </c>
      <c r="R932">
        <f>VLOOKUP($B932&amp;R$1,Data!$A$2:$D$12000,4,FALSE)</f>
        <v>4.0000000000000002E-4</v>
      </c>
      <c r="S932">
        <f>VLOOKUP($B932&amp;S$1,Data!$A$2:$D$12000,4,FALSE)</f>
        <v>-8.9999999999999998E-4</v>
      </c>
      <c r="T932">
        <f>VLOOKUP($B932&amp;T$1,Data!$A$2:$D$12000,4,FALSE)</f>
        <v>-1.4279999999999999E-2</v>
      </c>
      <c r="U932">
        <f>VLOOKUP($B932&amp;U$1,Data!$A$2:$D$12000,4,FALSE)</f>
        <v>2.1000000000000001E-2</v>
      </c>
      <c r="V932">
        <f>VLOOKUP($B932&amp;V$1,Data!$A$2:$D$12000,4,FALSE)</f>
        <v>-0.115</v>
      </c>
      <c r="W932">
        <f>VLOOKUP($B932&amp;W$1,Data!$A$2:$D$12000,4,FALSE)</f>
        <v>-9.5300000000000003E-3</v>
      </c>
      <c r="X932">
        <f>VLOOKUP($B932&amp;X$1,Data!$A$2:$D$12000,4,FALSE)</f>
        <v>0.39</v>
      </c>
      <c r="Y932">
        <f>VLOOKUP($B932&amp;Y$1,Data!$A$2:$D$12000,4,FALSE)</f>
        <v>0.61</v>
      </c>
      <c r="Z932">
        <f>VLOOKUP($B932&amp;Z$1,Data!$A$2:$D$12000,4,FALSE)</f>
        <v>0.45</v>
      </c>
      <c r="AA932">
        <f>VLOOKUP($B932&amp;AA$1,Data!$A$2:$D$12000,4,FALSE)</f>
        <v>-8.0000000000000002E-3</v>
      </c>
      <c r="AB932">
        <f>VLOOKUP($B932&amp;AB$1,Data!$A$2:$D$12000,4,FALSE)</f>
        <v>-3.3000000000000002E-2</v>
      </c>
      <c r="AC932">
        <f>VLOOKUP($B932&amp;AC$1,Data!$A$2:$D$12000,4,FALSE)</f>
        <v>1.4E-2</v>
      </c>
      <c r="AD932">
        <f>VLOOKUP($B932&amp;AD$1,Data!$A$2:$D$12000,4,FALSE)</f>
        <v>0</v>
      </c>
      <c r="AE932">
        <f>VLOOKUP($B932&amp;AE$1,Data!$A$2:$D$12000,4,FALSE)</f>
        <v>-0.871</v>
      </c>
      <c r="AF932">
        <f>VLOOKUP($B932&amp;AF$1,Data!$A$2:$D$12000,4,FALSE)</f>
        <v>7.0999999999999994E-2</v>
      </c>
      <c r="AG932">
        <f>VLOOKUP($B932&amp;AG$1,Data!$A$2:$D$12000,4,FALSE)</f>
        <v>0.3</v>
      </c>
      <c r="AH932">
        <f>VLOOKUP($B932&amp;AH$1,Data!$A$2:$D$12000,4,FALSE)</f>
        <v>0</v>
      </c>
      <c r="AI932">
        <f>VLOOKUP($B932&amp;AI$1,Data!$A$2:$D$12000,4,FALSE)</f>
        <v>4900000</v>
      </c>
    </row>
    <row r="933" spans="2:35" hidden="1">
      <c r="B933" s="23">
        <v>932</v>
      </c>
      <c r="C933" s="13" t="s">
        <v>58</v>
      </c>
      <c r="D933" t="s">
        <v>21</v>
      </c>
      <c r="E933" t="s">
        <v>2</v>
      </c>
      <c r="F933">
        <v>1000</v>
      </c>
      <c r="G933" t="s">
        <v>17</v>
      </c>
      <c r="H933" s="5">
        <v>43831</v>
      </c>
      <c r="I933" s="5">
        <v>44562</v>
      </c>
      <c r="J933">
        <v>14</v>
      </c>
      <c r="K933">
        <v>9</v>
      </c>
      <c r="L933">
        <v>32</v>
      </c>
      <c r="M933">
        <v>68</v>
      </c>
      <c r="N933">
        <v>1000000</v>
      </c>
      <c r="O933">
        <f>VLOOKUP($B933&amp;O$1,Data!$A$2:$D$12000,4,FALSE)</f>
        <v>9.6869999999999998E-2</v>
      </c>
      <c r="P933">
        <f>VLOOKUP($B933&amp;P$1,Data!$A$2:$D$12000,4,FALSE)</f>
        <v>-0.34899999999999998</v>
      </c>
      <c r="Q933">
        <f>VLOOKUP($B933&amp;Q$1,Data!$A$2:$D$12000,4,FALSE)</f>
        <v>914</v>
      </c>
      <c r="R933">
        <f>VLOOKUP($B933&amp;R$1,Data!$A$2:$D$12000,4,FALSE)</f>
        <v>1.4E-3</v>
      </c>
      <c r="S933">
        <f>VLOOKUP($B933&amp;S$1,Data!$A$2:$D$12000,4,FALSE)</f>
        <v>-2.5999999999999999E-3</v>
      </c>
      <c r="T933">
        <f>VLOOKUP($B933&amp;T$1,Data!$A$2:$D$12000,4,FALSE)</f>
        <v>-1.9970000000000002E-2</v>
      </c>
      <c r="U933">
        <f>VLOOKUP($B933&amp;U$1,Data!$A$2:$D$12000,4,FALSE)</f>
        <v>3.6999999999999998E-2</v>
      </c>
      <c r="V933">
        <f>VLOOKUP($B933&amp;V$1,Data!$A$2:$D$12000,4,FALSE)</f>
        <v>-4.9000000000000002E-2</v>
      </c>
      <c r="W933">
        <f>VLOOKUP($B933&amp;W$1,Data!$A$2:$D$12000,4,FALSE)</f>
        <v>-1.3339999999999999E-2</v>
      </c>
      <c r="X933">
        <f>VLOOKUP($B933&amp;X$1,Data!$A$2:$D$12000,4,FALSE)</f>
        <v>0.38</v>
      </c>
      <c r="Y933">
        <f>VLOOKUP($B933&amp;Y$1,Data!$A$2:$D$12000,4,FALSE)</f>
        <v>0.62</v>
      </c>
      <c r="Z933">
        <f>VLOOKUP($B933&amp;Z$1,Data!$A$2:$D$12000,4,FALSE)</f>
        <v>0.53</v>
      </c>
      <c r="AA933">
        <f>VLOOKUP($B933&amp;AA$1,Data!$A$2:$D$12000,4,FALSE)</f>
        <v>-0.01</v>
      </c>
      <c r="AB933">
        <f>VLOOKUP($B933&amp;AB$1,Data!$A$2:$D$12000,4,FALSE)</f>
        <v>-5.3999999999999999E-2</v>
      </c>
      <c r="AC933">
        <f>VLOOKUP($B933&amp;AC$1,Data!$A$2:$D$12000,4,FALSE)</f>
        <v>3.7999999999999999E-2</v>
      </c>
      <c r="AD933">
        <f>VLOOKUP($B933&amp;AD$1,Data!$A$2:$D$12000,4,FALSE)</f>
        <v>1E-3</v>
      </c>
      <c r="AE933">
        <f>VLOOKUP($B933&amp;AE$1,Data!$A$2:$D$12000,4,FALSE)</f>
        <v>-0.81100000000000005</v>
      </c>
      <c r="AF933">
        <f>VLOOKUP($B933&amp;AF$1,Data!$A$2:$D$12000,4,FALSE)</f>
        <v>0.08</v>
      </c>
      <c r="AG933">
        <f>VLOOKUP($B933&amp;AG$1,Data!$A$2:$D$12000,4,FALSE)</f>
        <v>0.24199999999999999</v>
      </c>
      <c r="AH933">
        <f>VLOOKUP($B933&amp;AH$1,Data!$A$2:$D$12000,4,FALSE)</f>
        <v>0</v>
      </c>
      <c r="AI933">
        <f>VLOOKUP($B933&amp;AI$1,Data!$A$2:$D$12000,4,FALSE)</f>
        <v>5900000</v>
      </c>
    </row>
    <row r="934" spans="2:35" hidden="1">
      <c r="B934" s="23">
        <v>933</v>
      </c>
      <c r="C934" s="13" t="s">
        <v>58</v>
      </c>
      <c r="D934" t="s">
        <v>21</v>
      </c>
      <c r="E934" t="s">
        <v>2</v>
      </c>
      <c r="F934">
        <v>5000</v>
      </c>
      <c r="G934" t="s">
        <v>17</v>
      </c>
      <c r="H934" s="5">
        <v>43831</v>
      </c>
      <c r="I934" s="5">
        <v>44562</v>
      </c>
      <c r="J934">
        <v>14</v>
      </c>
      <c r="K934">
        <v>9</v>
      </c>
      <c r="L934">
        <v>32</v>
      </c>
      <c r="M934">
        <v>68</v>
      </c>
      <c r="N934">
        <v>1000000</v>
      </c>
      <c r="O934">
        <f>VLOOKUP($B934&amp;O$1,Data!$A$2:$D$12000,4,FALSE)</f>
        <v>0.28488999999999998</v>
      </c>
      <c r="P934">
        <f>VLOOKUP($B934&amp;P$1,Data!$A$2:$D$12000,4,FALSE)</f>
        <v>0.438</v>
      </c>
      <c r="Q934">
        <f>VLOOKUP($B934&amp;Q$1,Data!$A$2:$D$12000,4,FALSE)</f>
        <v>688</v>
      </c>
      <c r="R934">
        <f>VLOOKUP($B934&amp;R$1,Data!$A$2:$D$12000,4,FALSE)</f>
        <v>2E-3</v>
      </c>
      <c r="S934">
        <f>VLOOKUP($B934&amp;S$1,Data!$A$2:$D$12000,4,FALSE)</f>
        <v>-2.8E-3</v>
      </c>
      <c r="T934">
        <f>VLOOKUP($B934&amp;T$1,Data!$A$2:$D$12000,4,FALSE)</f>
        <v>2.7089999999999999E-2</v>
      </c>
      <c r="U934">
        <f>VLOOKUP($B934&amp;U$1,Data!$A$2:$D$12000,4,FALSE)</f>
        <v>3.5999999999999997E-2</v>
      </c>
      <c r="V934">
        <f>VLOOKUP($B934&amp;V$1,Data!$A$2:$D$12000,4,FALSE)</f>
        <v>7.2999999999999995E-2</v>
      </c>
      <c r="W934">
        <f>VLOOKUP($B934&amp;W$1,Data!$A$2:$D$12000,4,FALSE)</f>
        <v>1.7950000000000001E-2</v>
      </c>
      <c r="X934">
        <f>VLOOKUP($B934&amp;X$1,Data!$A$2:$D$12000,4,FALSE)</f>
        <v>0.38</v>
      </c>
      <c r="Y934">
        <f>VLOOKUP($B934&amp;Y$1,Data!$A$2:$D$12000,4,FALSE)</f>
        <v>0.62</v>
      </c>
      <c r="Z934">
        <f>VLOOKUP($B934&amp;Z$1,Data!$A$2:$D$12000,4,FALSE)</f>
        <v>0.72</v>
      </c>
      <c r="AA934">
        <f>VLOOKUP($B934&amp;AA$1,Data!$A$2:$D$12000,4,FALSE)</f>
        <v>2.5000000000000001E-2</v>
      </c>
      <c r="AB934">
        <f>VLOOKUP($B934&amp;AB$1,Data!$A$2:$D$12000,4,FALSE)</f>
        <v>-0.1</v>
      </c>
      <c r="AC934">
        <f>VLOOKUP($B934&amp;AC$1,Data!$A$2:$D$12000,4,FALSE)</f>
        <v>4.4999999999999998E-2</v>
      </c>
      <c r="AD934">
        <f>VLOOKUP($B934&amp;AD$1,Data!$A$2:$D$12000,4,FALSE)</f>
        <v>2E-3</v>
      </c>
      <c r="AE934">
        <f>VLOOKUP($B934&amp;AE$1,Data!$A$2:$D$12000,4,FALSE)</f>
        <v>-0.373</v>
      </c>
      <c r="AF934">
        <f>VLOOKUP($B934&amp;AF$1,Data!$A$2:$D$12000,4,FALSE)</f>
        <v>8.5999999999999993E-2</v>
      </c>
      <c r="AG934">
        <f>VLOOKUP($B934&amp;AG$1,Data!$A$2:$D$12000,4,FALSE)</f>
        <v>-0.19700000000000001</v>
      </c>
      <c r="AH934">
        <f>VLOOKUP($B934&amp;AH$1,Data!$A$2:$D$12000,4,FALSE)</f>
        <v>0</v>
      </c>
      <c r="AI934">
        <f>VLOOKUP($B934&amp;AI$1,Data!$A$2:$D$12000,4,FALSE)</f>
        <v>6300000</v>
      </c>
    </row>
    <row r="935" spans="2:35" hidden="1">
      <c r="B935" s="23">
        <v>934</v>
      </c>
      <c r="C935" s="13" t="s">
        <v>58</v>
      </c>
      <c r="D935" t="s">
        <v>21</v>
      </c>
      <c r="E935" t="s">
        <v>22</v>
      </c>
      <c r="F935">
        <v>100</v>
      </c>
      <c r="G935" t="s">
        <v>17</v>
      </c>
      <c r="H935" s="5">
        <v>43831</v>
      </c>
      <c r="I935" s="5">
        <v>44562</v>
      </c>
      <c r="J935">
        <v>14</v>
      </c>
      <c r="K935">
        <v>9</v>
      </c>
      <c r="L935">
        <v>32</v>
      </c>
      <c r="M935">
        <v>68</v>
      </c>
      <c r="N935">
        <v>1000000</v>
      </c>
      <c r="O935">
        <f>VLOOKUP($B935&amp;O$1,Data!$A$2:$D$12000,4,FALSE)</f>
        <v>6.028E-2</v>
      </c>
      <c r="P935">
        <f>VLOOKUP($B935&amp;P$1,Data!$A$2:$D$12000,4,FALSE)</f>
        <v>-0.57399999999999995</v>
      </c>
      <c r="Q935">
        <f>VLOOKUP($B935&amp;Q$1,Data!$A$2:$D$12000,4,FALSE)</f>
        <v>857</v>
      </c>
      <c r="R935">
        <f>VLOOKUP($B935&amp;R$1,Data!$A$2:$D$12000,4,FALSE)</f>
        <v>4.0000000000000002E-4</v>
      </c>
      <c r="S935">
        <f>VLOOKUP($B935&amp;S$1,Data!$A$2:$D$12000,4,FALSE)</f>
        <v>-1E-3</v>
      </c>
      <c r="T935">
        <f>VLOOKUP($B935&amp;T$1,Data!$A$2:$D$12000,4,FALSE)</f>
        <v>-8.7600000000000004E-3</v>
      </c>
      <c r="U935">
        <f>VLOOKUP($B935&amp;U$1,Data!$A$2:$D$12000,4,FALSE)</f>
        <v>1.4999999999999999E-2</v>
      </c>
      <c r="V935">
        <f>VLOOKUP($B935&amp;V$1,Data!$A$2:$D$12000,4,FALSE)</f>
        <v>-8.6999999999999994E-2</v>
      </c>
      <c r="W935">
        <f>VLOOKUP($B935&amp;W$1,Data!$A$2:$D$12000,4,FALSE)</f>
        <v>-5.8399999999999997E-3</v>
      </c>
      <c r="X935">
        <f>VLOOKUP($B935&amp;X$1,Data!$A$2:$D$12000,4,FALSE)</f>
        <v>0.32</v>
      </c>
      <c r="Y935">
        <f>VLOOKUP($B935&amp;Y$1,Data!$A$2:$D$12000,4,FALSE)</f>
        <v>0.68</v>
      </c>
      <c r="Z935">
        <f>VLOOKUP($B935&amp;Z$1,Data!$A$2:$D$12000,4,FALSE)</f>
        <v>0.34</v>
      </c>
      <c r="AA935">
        <f>VLOOKUP($B935&amp;AA$1,Data!$A$2:$D$12000,4,FALSE)</f>
        <v>-5.0000000000000001E-3</v>
      </c>
      <c r="AB935">
        <f>VLOOKUP($B935&amp;AB$1,Data!$A$2:$D$12000,4,FALSE)</f>
        <v>-1.7999999999999999E-2</v>
      </c>
      <c r="AC935">
        <f>VLOOKUP($B935&amp;AC$1,Data!$A$2:$D$12000,4,FALSE)</f>
        <v>1.0999999999999999E-2</v>
      </c>
      <c r="AD935">
        <f>VLOOKUP($B935&amp;AD$1,Data!$A$2:$D$12000,4,FALSE)</f>
        <v>0</v>
      </c>
      <c r="AE935">
        <f>VLOOKUP($B935&amp;AE$1,Data!$A$2:$D$12000,4,FALSE)</f>
        <v>-0.83699999999999997</v>
      </c>
      <c r="AF935">
        <f>VLOOKUP($B935&amp;AF$1,Data!$A$2:$D$12000,4,FALSE)</f>
        <v>6.9000000000000006E-2</v>
      </c>
      <c r="AG935">
        <f>VLOOKUP($B935&amp;AG$1,Data!$A$2:$D$12000,4,FALSE)</f>
        <v>0.33200000000000002</v>
      </c>
      <c r="AH935">
        <f>VLOOKUP($B935&amp;AH$1,Data!$A$2:$D$12000,4,FALSE)</f>
        <v>0</v>
      </c>
      <c r="AI935">
        <f>VLOOKUP($B935&amp;AI$1,Data!$A$2:$D$12000,4,FALSE)</f>
        <v>220000000</v>
      </c>
    </row>
    <row r="936" spans="2:35" hidden="1">
      <c r="B936" s="23">
        <v>935</v>
      </c>
      <c r="C936" s="13" t="s">
        <v>58</v>
      </c>
      <c r="D936" t="s">
        <v>21</v>
      </c>
      <c r="E936" t="s">
        <v>22</v>
      </c>
      <c r="F936">
        <v>1000</v>
      </c>
      <c r="G936" t="s">
        <v>17</v>
      </c>
      <c r="H936" s="5">
        <v>43831</v>
      </c>
      <c r="I936" s="5">
        <v>44562</v>
      </c>
      <c r="J936">
        <v>14</v>
      </c>
      <c r="K936">
        <v>9</v>
      </c>
      <c r="L936">
        <v>32</v>
      </c>
      <c r="M936">
        <v>68</v>
      </c>
      <c r="N936">
        <v>1000000</v>
      </c>
      <c r="O936">
        <f>VLOOKUP($B936&amp;O$1,Data!$A$2:$D$12000,4,FALSE)</f>
        <v>0.17927999999999999</v>
      </c>
      <c r="P936">
        <f>VLOOKUP($B936&amp;P$1,Data!$A$2:$D$12000,4,FALSE)</f>
        <v>6.3E-2</v>
      </c>
      <c r="Q936">
        <f>VLOOKUP($B936&amp;Q$1,Data!$A$2:$D$12000,4,FALSE)</f>
        <v>679</v>
      </c>
      <c r="R936">
        <f>VLOOKUP($B936&amp;R$1,Data!$A$2:$D$12000,4,FALSE)</f>
        <v>1.2999999999999999E-3</v>
      </c>
      <c r="S936">
        <f>VLOOKUP($B936&amp;S$1,Data!$A$2:$D$12000,4,FALSE)</f>
        <v>-2.8999999999999998E-3</v>
      </c>
      <c r="T936">
        <f>VLOOKUP($B936&amp;T$1,Data!$A$2:$D$12000,4,FALSE)</f>
        <v>2.0100000000000001E-3</v>
      </c>
      <c r="U936">
        <f>VLOOKUP($B936&amp;U$1,Data!$A$2:$D$12000,4,FALSE)</f>
        <v>0.04</v>
      </c>
      <c r="V936">
        <f>VLOOKUP($B936&amp;V$1,Data!$A$2:$D$12000,4,FALSE)</f>
        <v>4.0000000000000001E-3</v>
      </c>
      <c r="W936">
        <f>VLOOKUP($B936&amp;W$1,Data!$A$2:$D$12000,4,FALSE)</f>
        <v>1.34E-3</v>
      </c>
      <c r="X936">
        <f>VLOOKUP($B936&amp;X$1,Data!$A$2:$D$12000,4,FALSE)</f>
        <v>0.31</v>
      </c>
      <c r="Y936">
        <f>VLOOKUP($B936&amp;Y$1,Data!$A$2:$D$12000,4,FALSE)</f>
        <v>0.69</v>
      </c>
      <c r="Z936">
        <f>VLOOKUP($B936&amp;Z$1,Data!$A$2:$D$12000,4,FALSE)</f>
        <v>0.45</v>
      </c>
      <c r="AA936">
        <f>VLOOKUP($B936&amp;AA$1,Data!$A$2:$D$12000,4,FALSE)</f>
        <v>5.0000000000000001E-3</v>
      </c>
      <c r="AB936">
        <f>VLOOKUP($B936&amp;AB$1,Data!$A$2:$D$12000,4,FALSE)</f>
        <v>-5.8000000000000003E-2</v>
      </c>
      <c r="AC936">
        <f>VLOOKUP($B936&amp;AC$1,Data!$A$2:$D$12000,4,FALSE)</f>
        <v>2.9000000000000001E-2</v>
      </c>
      <c r="AD936">
        <f>VLOOKUP($B936&amp;AD$1,Data!$A$2:$D$12000,4,FALSE)</f>
        <v>1E-3</v>
      </c>
      <c r="AE936">
        <f>VLOOKUP($B936&amp;AE$1,Data!$A$2:$D$12000,4,FALSE)</f>
        <v>-0.65400000000000003</v>
      </c>
      <c r="AF936">
        <f>VLOOKUP($B936&amp;AF$1,Data!$A$2:$D$12000,4,FALSE)</f>
        <v>7.6999999999999999E-2</v>
      </c>
      <c r="AG936">
        <f>VLOOKUP($B936&amp;AG$1,Data!$A$2:$D$12000,4,FALSE)</f>
        <v>-3.1E-2</v>
      </c>
      <c r="AH936">
        <f>VLOOKUP($B936&amp;AH$1,Data!$A$2:$D$12000,4,FALSE)</f>
        <v>0</v>
      </c>
      <c r="AI936">
        <f>VLOOKUP($B936&amp;AI$1,Data!$A$2:$D$12000,4,FALSE)</f>
        <v>26000000</v>
      </c>
    </row>
    <row r="937" spans="2:35" hidden="1">
      <c r="B937" s="23">
        <v>936</v>
      </c>
      <c r="C937" s="13" t="s">
        <v>58</v>
      </c>
      <c r="D937" t="s">
        <v>21</v>
      </c>
      <c r="E937" t="s">
        <v>22</v>
      </c>
      <c r="F937">
        <v>5000</v>
      </c>
      <c r="G937" t="s">
        <v>17</v>
      </c>
      <c r="H937" s="5">
        <v>43831</v>
      </c>
      <c r="I937" s="5">
        <v>44562</v>
      </c>
      <c r="J937">
        <v>14</v>
      </c>
      <c r="K937">
        <v>9</v>
      </c>
      <c r="L937">
        <v>32</v>
      </c>
      <c r="M937">
        <v>68</v>
      </c>
      <c r="N937">
        <v>1000000</v>
      </c>
      <c r="O937">
        <f>VLOOKUP($B937&amp;O$1,Data!$A$2:$D$12000,4,FALSE)</f>
        <v>0.16145999999999999</v>
      </c>
      <c r="P937">
        <f>VLOOKUP($B937&amp;P$1,Data!$A$2:$D$12000,4,FALSE)</f>
        <v>-1.0999999999999999E-2</v>
      </c>
      <c r="Q937">
        <f>VLOOKUP($B937&amp;Q$1,Data!$A$2:$D$12000,4,FALSE)</f>
        <v>519</v>
      </c>
      <c r="R937">
        <f>VLOOKUP($B937&amp;R$1,Data!$A$2:$D$12000,4,FALSE)</f>
        <v>1.9E-3</v>
      </c>
      <c r="S937">
        <f>VLOOKUP($B937&amp;S$1,Data!$A$2:$D$12000,4,FALSE)</f>
        <v>-4.4000000000000003E-3</v>
      </c>
      <c r="T937">
        <f>VLOOKUP($B937&amp;T$1,Data!$A$2:$D$12000,4,FALSE)</f>
        <v>-1.89E-3</v>
      </c>
      <c r="U937">
        <f>VLOOKUP($B937&amp;U$1,Data!$A$2:$D$12000,4,FALSE)</f>
        <v>5.3999999999999999E-2</v>
      </c>
      <c r="V937">
        <f>VLOOKUP($B937&amp;V$1,Data!$A$2:$D$12000,4,FALSE)</f>
        <v>-8.0000000000000002E-3</v>
      </c>
      <c r="W937">
        <f>VLOOKUP($B937&amp;W$1,Data!$A$2:$D$12000,4,FALSE)</f>
        <v>-1.2600000000000001E-3</v>
      </c>
      <c r="X937">
        <f>VLOOKUP($B937&amp;X$1,Data!$A$2:$D$12000,4,FALSE)</f>
        <v>0.31</v>
      </c>
      <c r="Y937">
        <f>VLOOKUP($B937&amp;Y$1,Data!$A$2:$D$12000,4,FALSE)</f>
        <v>0.69</v>
      </c>
      <c r="Z937">
        <f>VLOOKUP($B937&amp;Z$1,Data!$A$2:$D$12000,4,FALSE)</f>
        <v>0.44</v>
      </c>
      <c r="AA937">
        <f>VLOOKUP($B937&amp;AA$1,Data!$A$2:$D$12000,4,FALSE)</f>
        <v>3.0000000000000001E-3</v>
      </c>
      <c r="AB937">
        <f>VLOOKUP($B937&amp;AB$1,Data!$A$2:$D$12000,4,FALSE)</f>
        <v>-6.5000000000000002E-2</v>
      </c>
      <c r="AC937">
        <f>VLOOKUP($B937&amp;AC$1,Data!$A$2:$D$12000,4,FALSE)</f>
        <v>4.1000000000000002E-2</v>
      </c>
      <c r="AD937">
        <f>VLOOKUP($B937&amp;AD$1,Data!$A$2:$D$12000,4,FALSE)</f>
        <v>2E-3</v>
      </c>
      <c r="AE937">
        <f>VLOOKUP($B937&amp;AE$1,Data!$A$2:$D$12000,4,FALSE)</f>
        <v>-0.63500000000000001</v>
      </c>
      <c r="AF937">
        <f>VLOOKUP($B937&amp;AF$1,Data!$A$2:$D$12000,4,FALSE)</f>
        <v>8.2000000000000003E-2</v>
      </c>
      <c r="AG937">
        <f>VLOOKUP($B937&amp;AG$1,Data!$A$2:$D$12000,4,FALSE)</f>
        <v>7.0000000000000001E-3</v>
      </c>
      <c r="AH937">
        <f>VLOOKUP($B937&amp;AH$1,Data!$A$2:$D$12000,4,FALSE)</f>
        <v>0</v>
      </c>
      <c r="AI937">
        <f>VLOOKUP($B937&amp;AI$1,Data!$A$2:$D$12000,4,FALSE)</f>
        <v>8000000</v>
      </c>
    </row>
    <row r="938" spans="2:35" hidden="1">
      <c r="B938" s="23">
        <v>937</v>
      </c>
      <c r="C938" s="13" t="s">
        <v>58</v>
      </c>
      <c r="D938" t="s">
        <v>21</v>
      </c>
      <c r="E938" t="s">
        <v>3</v>
      </c>
      <c r="F938">
        <v>100</v>
      </c>
      <c r="G938" t="s">
        <v>17</v>
      </c>
      <c r="H938" s="5">
        <v>43831</v>
      </c>
      <c r="I938" s="5">
        <v>44562</v>
      </c>
      <c r="J938">
        <v>14</v>
      </c>
      <c r="K938">
        <v>9</v>
      </c>
      <c r="L938">
        <v>28</v>
      </c>
      <c r="M938">
        <v>72</v>
      </c>
      <c r="N938">
        <v>1000000</v>
      </c>
      <c r="O938">
        <f>VLOOKUP($B938&amp;O$1,Data!$A$2:$D$12000,4,FALSE)</f>
        <v>0.15426999999999999</v>
      </c>
      <c r="P938">
        <f>VLOOKUP($B938&amp;P$1,Data!$A$2:$D$12000,4,FALSE)</f>
        <v>-4.2999999999999997E-2</v>
      </c>
      <c r="Q938">
        <f>VLOOKUP($B938&amp;Q$1,Data!$A$2:$D$12000,4,FALSE)</f>
        <v>1435</v>
      </c>
      <c r="R938">
        <f>VLOOKUP($B938&amp;R$1,Data!$A$2:$D$12000,4,FALSE)</f>
        <v>5.0000000000000001E-4</v>
      </c>
      <c r="S938">
        <f>VLOOKUP($B938&amp;S$1,Data!$A$2:$D$12000,4,FALSE)</f>
        <v>-1.1000000000000001E-3</v>
      </c>
      <c r="T938">
        <f>VLOOKUP($B938&amp;T$1,Data!$A$2:$D$12000,4,FALSE)</f>
        <v>-9.2000000000000003E-4</v>
      </c>
      <c r="U938">
        <f>VLOOKUP($B938&amp;U$1,Data!$A$2:$D$12000,4,FALSE)</f>
        <v>1.2999999999999999E-2</v>
      </c>
      <c r="V938">
        <f>VLOOKUP($B938&amp;V$1,Data!$A$2:$D$12000,4,FALSE)</f>
        <v>-8.0000000000000002E-3</v>
      </c>
      <c r="W938">
        <f>VLOOKUP($B938&amp;W$1,Data!$A$2:$D$12000,4,FALSE)</f>
        <v>-6.0999999999999997E-4</v>
      </c>
      <c r="X938">
        <f>VLOOKUP($B938&amp;X$1,Data!$A$2:$D$12000,4,FALSE)</f>
        <v>0.31</v>
      </c>
      <c r="Y938">
        <f>VLOOKUP($B938&amp;Y$1,Data!$A$2:$D$12000,4,FALSE)</f>
        <v>0.69</v>
      </c>
      <c r="Z938">
        <f>VLOOKUP($B938&amp;Z$1,Data!$A$2:$D$12000,4,FALSE)</f>
        <v>0.43</v>
      </c>
      <c r="AA938">
        <f>VLOOKUP($B938&amp;AA$1,Data!$A$2:$D$12000,4,FALSE)</f>
        <v>0</v>
      </c>
      <c r="AB938">
        <f>VLOOKUP($B938&amp;AB$1,Data!$A$2:$D$12000,4,FALSE)</f>
        <v>-1.2E-2</v>
      </c>
      <c r="AC938">
        <f>VLOOKUP($B938&amp;AC$1,Data!$A$2:$D$12000,4,FALSE)</f>
        <v>1.2999999999999999E-2</v>
      </c>
      <c r="AD938">
        <f>VLOOKUP($B938&amp;AD$1,Data!$A$2:$D$12000,4,FALSE)</f>
        <v>0</v>
      </c>
      <c r="AE938">
        <f>VLOOKUP($B938&amp;AE$1,Data!$A$2:$D$12000,4,FALSE)</f>
        <v>-0.75700000000000001</v>
      </c>
      <c r="AF938">
        <f>VLOOKUP($B938&amp;AF$1,Data!$A$2:$D$12000,4,FALSE)</f>
        <v>6.9000000000000006E-2</v>
      </c>
      <c r="AG938">
        <f>VLOOKUP($B938&amp;AG$1,Data!$A$2:$D$12000,4,FALSE)</f>
        <v>4.4999999999999998E-2</v>
      </c>
      <c r="AH938">
        <f>VLOOKUP($B938&amp;AH$1,Data!$A$2:$D$12000,4,FALSE)</f>
        <v>0</v>
      </c>
      <c r="AI938">
        <f>VLOOKUP($B938&amp;AI$1,Data!$A$2:$D$12000,4,FALSE)</f>
        <v>4600000</v>
      </c>
    </row>
    <row r="939" spans="2:35" hidden="1">
      <c r="B939" s="23">
        <v>938</v>
      </c>
      <c r="C939" s="13" t="s">
        <v>58</v>
      </c>
      <c r="D939" t="s">
        <v>21</v>
      </c>
      <c r="E939" t="s">
        <v>3</v>
      </c>
      <c r="F939">
        <v>1000</v>
      </c>
      <c r="G939" t="s">
        <v>17</v>
      </c>
      <c r="H939" s="5">
        <v>43831</v>
      </c>
      <c r="I939" s="5">
        <v>44562</v>
      </c>
      <c r="J939">
        <v>14</v>
      </c>
      <c r="K939">
        <v>9</v>
      </c>
      <c r="L939">
        <v>28</v>
      </c>
      <c r="M939">
        <v>72</v>
      </c>
      <c r="N939">
        <v>1000000</v>
      </c>
      <c r="O939">
        <f>VLOOKUP($B939&amp;O$1,Data!$A$2:$D$12000,4,FALSE)</f>
        <v>0.12497</v>
      </c>
      <c r="P939">
        <f>VLOOKUP($B939&amp;P$1,Data!$A$2:$D$12000,4,FALSE)</f>
        <v>-0.18</v>
      </c>
      <c r="Q939">
        <f>VLOOKUP($B939&amp;Q$1,Data!$A$2:$D$12000,4,FALSE)</f>
        <v>1105</v>
      </c>
      <c r="R939">
        <f>VLOOKUP($B939&amp;R$1,Data!$A$2:$D$12000,4,FALSE)</f>
        <v>1.1000000000000001E-3</v>
      </c>
      <c r="S939">
        <f>VLOOKUP($B939&amp;S$1,Data!$A$2:$D$12000,4,FALSE)</f>
        <v>-2.0999999999999999E-3</v>
      </c>
      <c r="T939">
        <f>VLOOKUP($B939&amp;T$1,Data!$A$2:$D$12000,4,FALSE)</f>
        <v>-9.4599999999999997E-3</v>
      </c>
      <c r="U939">
        <f>VLOOKUP($B939&amp;U$1,Data!$A$2:$D$12000,4,FALSE)</f>
        <v>3.5000000000000003E-2</v>
      </c>
      <c r="V939">
        <f>VLOOKUP($B939&amp;V$1,Data!$A$2:$D$12000,4,FALSE)</f>
        <v>-3.3000000000000002E-2</v>
      </c>
      <c r="W939">
        <f>VLOOKUP($B939&amp;W$1,Data!$A$2:$D$12000,4,FALSE)</f>
        <v>-6.3099999999999996E-3</v>
      </c>
      <c r="X939">
        <f>VLOOKUP($B939&amp;X$1,Data!$A$2:$D$12000,4,FALSE)</f>
        <v>0.36</v>
      </c>
      <c r="Y939">
        <f>VLOOKUP($B939&amp;Y$1,Data!$A$2:$D$12000,4,FALSE)</f>
        <v>0.64</v>
      </c>
      <c r="Z939">
        <f>VLOOKUP($B939&amp;Z$1,Data!$A$2:$D$12000,4,FALSE)</f>
        <v>0.52</v>
      </c>
      <c r="AA939">
        <f>VLOOKUP($B939&amp;AA$1,Data!$A$2:$D$12000,4,FALSE)</f>
        <v>-2E-3</v>
      </c>
      <c r="AB939">
        <f>VLOOKUP($B939&amp;AB$1,Data!$A$2:$D$12000,4,FALSE)</f>
        <v>-0.08</v>
      </c>
      <c r="AC939">
        <f>VLOOKUP($B939&amp;AC$1,Data!$A$2:$D$12000,4,FALSE)</f>
        <v>3.3000000000000002E-2</v>
      </c>
      <c r="AD939">
        <f>VLOOKUP($B939&amp;AD$1,Data!$A$2:$D$12000,4,FALSE)</f>
        <v>1E-3</v>
      </c>
      <c r="AE939">
        <f>VLOOKUP($B939&amp;AE$1,Data!$A$2:$D$12000,4,FALSE)</f>
        <v>-0.72599999999999998</v>
      </c>
      <c r="AF939">
        <f>VLOOKUP($B939&amp;AF$1,Data!$A$2:$D$12000,4,FALSE)</f>
        <v>0.08</v>
      </c>
      <c r="AG939">
        <f>VLOOKUP($B939&amp;AG$1,Data!$A$2:$D$12000,4,FALSE)</f>
        <v>7.4999999999999997E-2</v>
      </c>
      <c r="AH939">
        <f>VLOOKUP($B939&amp;AH$1,Data!$A$2:$D$12000,4,FALSE)</f>
        <v>0</v>
      </c>
      <c r="AI939">
        <f>VLOOKUP($B939&amp;AI$1,Data!$A$2:$D$12000,4,FALSE)</f>
        <v>4800000</v>
      </c>
    </row>
    <row r="940" spans="2:35" hidden="1">
      <c r="B940" s="23">
        <v>939</v>
      </c>
      <c r="C940" s="13" t="s">
        <v>58</v>
      </c>
      <c r="D940" t="s">
        <v>21</v>
      </c>
      <c r="E940" t="s">
        <v>3</v>
      </c>
      <c r="F940">
        <v>5000</v>
      </c>
      <c r="G940" t="s">
        <v>17</v>
      </c>
      <c r="H940" s="5">
        <v>43831</v>
      </c>
      <c r="I940" s="5">
        <v>44562</v>
      </c>
      <c r="J940">
        <v>14</v>
      </c>
      <c r="K940">
        <v>9</v>
      </c>
      <c r="L940">
        <v>28</v>
      </c>
      <c r="M940">
        <v>72</v>
      </c>
      <c r="N940">
        <v>1000000</v>
      </c>
      <c r="O940">
        <f>VLOOKUP($B940&amp;O$1,Data!$A$2:$D$12000,4,FALSE)</f>
        <v>0.12273000000000001</v>
      </c>
      <c r="P940">
        <f>VLOOKUP($B940&amp;P$1,Data!$A$2:$D$12000,4,FALSE)</f>
        <v>-0.19600000000000001</v>
      </c>
      <c r="Q940">
        <f>VLOOKUP($B940&amp;Q$1,Data!$A$2:$D$12000,4,FALSE)</f>
        <v>831</v>
      </c>
      <c r="R940">
        <f>VLOOKUP($B940&amp;R$1,Data!$A$2:$D$12000,4,FALSE)</f>
        <v>1.6000000000000001E-3</v>
      </c>
      <c r="S940">
        <f>VLOOKUP($B940&amp;S$1,Data!$A$2:$D$12000,4,FALSE)</f>
        <v>-3.0999999999999999E-3</v>
      </c>
      <c r="T940">
        <f>VLOOKUP($B940&amp;T$1,Data!$A$2:$D$12000,4,FALSE)</f>
        <v>-1.4319999999999999E-2</v>
      </c>
      <c r="U940">
        <f>VLOOKUP($B940&amp;U$1,Data!$A$2:$D$12000,4,FALSE)</f>
        <v>4.2999999999999997E-2</v>
      </c>
      <c r="V940">
        <f>VLOOKUP($B940&amp;V$1,Data!$A$2:$D$12000,4,FALSE)</f>
        <v>-3.5000000000000003E-2</v>
      </c>
      <c r="W940">
        <f>VLOOKUP($B940&amp;W$1,Data!$A$2:$D$12000,4,FALSE)</f>
        <v>-9.5499999999999995E-3</v>
      </c>
      <c r="X940">
        <f>VLOOKUP($B940&amp;X$1,Data!$A$2:$D$12000,4,FALSE)</f>
        <v>0.37</v>
      </c>
      <c r="Y940">
        <f>VLOOKUP($B940&amp;Y$1,Data!$A$2:$D$12000,4,FALSE)</f>
        <v>0.63</v>
      </c>
      <c r="Z940">
        <f>VLOOKUP($B940&amp;Z$1,Data!$A$2:$D$12000,4,FALSE)</f>
        <v>0.53</v>
      </c>
      <c r="AA940">
        <f>VLOOKUP($B940&amp;AA$1,Data!$A$2:$D$12000,4,FALSE)</f>
        <v>-3.0000000000000001E-3</v>
      </c>
      <c r="AB940">
        <f>VLOOKUP($B940&amp;AB$1,Data!$A$2:$D$12000,4,FALSE)</f>
        <v>-0.122</v>
      </c>
      <c r="AC940">
        <f>VLOOKUP($B940&amp;AC$1,Data!$A$2:$D$12000,4,FALSE)</f>
        <v>4.5999999999999999E-2</v>
      </c>
      <c r="AD940">
        <f>VLOOKUP($B940&amp;AD$1,Data!$A$2:$D$12000,4,FALSE)</f>
        <v>2E-3</v>
      </c>
      <c r="AE940">
        <f>VLOOKUP($B940&amp;AE$1,Data!$A$2:$D$12000,4,FALSE)</f>
        <v>-0.69299999999999995</v>
      </c>
      <c r="AF940">
        <f>VLOOKUP($B940&amp;AF$1,Data!$A$2:$D$12000,4,FALSE)</f>
        <v>8.7999999999999995E-2</v>
      </c>
      <c r="AG940">
        <f>VLOOKUP($B940&amp;AG$1,Data!$A$2:$D$12000,4,FALSE)</f>
        <v>7.2999999999999995E-2</v>
      </c>
      <c r="AH940">
        <f>VLOOKUP($B940&amp;AH$1,Data!$A$2:$D$12000,4,FALSE)</f>
        <v>0</v>
      </c>
      <c r="AI940">
        <f>VLOOKUP($B940&amp;AI$1,Data!$A$2:$D$12000,4,FALSE)</f>
        <v>5100000</v>
      </c>
    </row>
    <row r="941" spans="2:35" hidden="1">
      <c r="B941" s="23">
        <v>940</v>
      </c>
      <c r="C941" s="13" t="s">
        <v>58</v>
      </c>
      <c r="D941" t="s">
        <v>21</v>
      </c>
      <c r="E941" t="s">
        <v>2</v>
      </c>
      <c r="F941">
        <v>100</v>
      </c>
      <c r="G941" t="s">
        <v>17</v>
      </c>
      <c r="H941" s="5">
        <v>43831</v>
      </c>
      <c r="I941" s="5">
        <v>44562</v>
      </c>
      <c r="J941">
        <v>14</v>
      </c>
      <c r="K941">
        <v>9</v>
      </c>
      <c r="L941">
        <v>28</v>
      </c>
      <c r="M941">
        <v>72</v>
      </c>
      <c r="N941">
        <v>1000000</v>
      </c>
      <c r="O941">
        <f>VLOOKUP($B941&amp;O$1,Data!$A$2:$D$12000,4,FALSE)</f>
        <v>7.2980000000000003E-2</v>
      </c>
      <c r="P941">
        <f>VLOOKUP($B941&amp;P$1,Data!$A$2:$D$12000,4,FALSE)</f>
        <v>-0.39500000000000002</v>
      </c>
      <c r="Q941">
        <f>VLOOKUP($B941&amp;Q$1,Data!$A$2:$D$12000,4,FALSE)</f>
        <v>728</v>
      </c>
      <c r="R941">
        <f>VLOOKUP($B941&amp;R$1,Data!$A$2:$D$12000,4,FALSE)</f>
        <v>5.0000000000000001E-4</v>
      </c>
      <c r="S941">
        <f>VLOOKUP($B941&amp;S$1,Data!$A$2:$D$12000,4,FALSE)</f>
        <v>-1.2999999999999999E-3</v>
      </c>
      <c r="T941">
        <f>VLOOKUP($B941&amp;T$1,Data!$A$2:$D$12000,4,FALSE)</f>
        <v>-7.9699999999999997E-3</v>
      </c>
      <c r="U941">
        <f>VLOOKUP($B941&amp;U$1,Data!$A$2:$D$12000,4,FALSE)</f>
        <v>1.0999999999999999E-2</v>
      </c>
      <c r="V941">
        <f>VLOOKUP($B941&amp;V$1,Data!$A$2:$D$12000,4,FALSE)</f>
        <v>-6.8000000000000005E-2</v>
      </c>
      <c r="W941">
        <f>VLOOKUP($B941&amp;W$1,Data!$A$2:$D$12000,4,FALSE)</f>
        <v>-5.3099999999999996E-3</v>
      </c>
      <c r="X941">
        <f>VLOOKUP($B941&amp;X$1,Data!$A$2:$D$12000,4,FALSE)</f>
        <v>0.32</v>
      </c>
      <c r="Y941">
        <f>VLOOKUP($B941&amp;Y$1,Data!$A$2:$D$12000,4,FALSE)</f>
        <v>0.68</v>
      </c>
      <c r="Z941">
        <f>VLOOKUP($B941&amp;Z$1,Data!$A$2:$D$12000,4,FALSE)</f>
        <v>0.38</v>
      </c>
      <c r="AA941">
        <f>VLOOKUP($B941&amp;AA$1,Data!$A$2:$D$12000,4,FALSE)</f>
        <v>-5.0000000000000001E-3</v>
      </c>
      <c r="AB941">
        <f>VLOOKUP($B941&amp;AB$1,Data!$A$2:$D$12000,4,FALSE)</f>
        <v>-1.6E-2</v>
      </c>
      <c r="AC941">
        <f>VLOOKUP($B941&amp;AC$1,Data!$A$2:$D$12000,4,FALSE)</f>
        <v>1.4E-2</v>
      </c>
      <c r="AD941">
        <f>VLOOKUP($B941&amp;AD$1,Data!$A$2:$D$12000,4,FALSE)</f>
        <v>0</v>
      </c>
      <c r="AE941">
        <f>VLOOKUP($B941&amp;AE$1,Data!$A$2:$D$12000,4,FALSE)</f>
        <v>-0.82299999999999995</v>
      </c>
      <c r="AF941">
        <f>VLOOKUP($B941&amp;AF$1,Data!$A$2:$D$12000,4,FALSE)</f>
        <v>7.0000000000000007E-2</v>
      </c>
      <c r="AG941">
        <f>VLOOKUP($B941&amp;AG$1,Data!$A$2:$D$12000,4,FALSE)</f>
        <v>0.33200000000000002</v>
      </c>
      <c r="AH941">
        <f>VLOOKUP($B941&amp;AH$1,Data!$A$2:$D$12000,4,FALSE)</f>
        <v>0</v>
      </c>
      <c r="AI941">
        <f>VLOOKUP($B941&amp;AI$1,Data!$A$2:$D$12000,4,FALSE)</f>
        <v>15000000</v>
      </c>
    </row>
    <row r="942" spans="2:35" hidden="1">
      <c r="B942" s="23">
        <v>941</v>
      </c>
      <c r="C942" s="13" t="s">
        <v>58</v>
      </c>
      <c r="D942" t="s">
        <v>21</v>
      </c>
      <c r="E942" t="s">
        <v>2</v>
      </c>
      <c r="F942">
        <v>1000</v>
      </c>
      <c r="G942" t="s">
        <v>17</v>
      </c>
      <c r="H942" s="5">
        <v>43831</v>
      </c>
      <c r="I942" s="5">
        <v>44562</v>
      </c>
      <c r="J942">
        <v>14</v>
      </c>
      <c r="K942">
        <v>9</v>
      </c>
      <c r="L942">
        <v>28</v>
      </c>
      <c r="M942">
        <v>72</v>
      </c>
      <c r="N942">
        <v>1000000</v>
      </c>
      <c r="O942">
        <f>VLOOKUP($B942&amp;O$1,Data!$A$2:$D$12000,4,FALSE)</f>
        <v>7.0269999999999999E-2</v>
      </c>
      <c r="P942">
        <f>VLOOKUP($B942&amp;P$1,Data!$A$2:$D$12000,4,FALSE)</f>
        <v>-0.46600000000000003</v>
      </c>
      <c r="Q942">
        <f>VLOOKUP($B942&amp;Q$1,Data!$A$2:$D$12000,4,FALSE)</f>
        <v>568</v>
      </c>
      <c r="R942">
        <f>VLOOKUP($B942&amp;R$1,Data!$A$2:$D$12000,4,FALSE)</f>
        <v>1.5E-3</v>
      </c>
      <c r="S942">
        <f>VLOOKUP($B942&amp;S$1,Data!$A$2:$D$12000,4,FALSE)</f>
        <v>-4.4000000000000003E-3</v>
      </c>
      <c r="T942">
        <f>VLOOKUP($B942&amp;T$1,Data!$A$2:$D$12000,4,FALSE)</f>
        <v>-2.6620000000000001E-2</v>
      </c>
      <c r="U942">
        <f>VLOOKUP($B942&amp;U$1,Data!$A$2:$D$12000,4,FALSE)</f>
        <v>3.1E-2</v>
      </c>
      <c r="V942">
        <f>VLOOKUP($B942&amp;V$1,Data!$A$2:$D$12000,4,FALSE)</f>
        <v>-6.5000000000000002E-2</v>
      </c>
      <c r="W942">
        <f>VLOOKUP($B942&amp;W$1,Data!$A$2:$D$12000,4,FALSE)</f>
        <v>-1.78E-2</v>
      </c>
      <c r="X942">
        <f>VLOOKUP($B942&amp;X$1,Data!$A$2:$D$12000,4,FALSE)</f>
        <v>0.3</v>
      </c>
      <c r="Y942">
        <f>VLOOKUP($B942&amp;Y$1,Data!$A$2:$D$12000,4,FALSE)</f>
        <v>0.7</v>
      </c>
      <c r="Z942">
        <f>VLOOKUP($B942&amp;Z$1,Data!$A$2:$D$12000,4,FALSE)</f>
        <v>0.34</v>
      </c>
      <c r="AA942">
        <f>VLOOKUP($B942&amp;AA$1,Data!$A$2:$D$12000,4,FALSE)</f>
        <v>-1.2999999999999999E-2</v>
      </c>
      <c r="AB942">
        <f>VLOOKUP($B942&amp;AB$1,Data!$A$2:$D$12000,4,FALSE)</f>
        <v>-9.1999999999999998E-2</v>
      </c>
      <c r="AC942">
        <f>VLOOKUP($B942&amp;AC$1,Data!$A$2:$D$12000,4,FALSE)</f>
        <v>3.7999999999999999E-2</v>
      </c>
      <c r="AD942">
        <f>VLOOKUP($B942&amp;AD$1,Data!$A$2:$D$12000,4,FALSE)</f>
        <v>1E-3</v>
      </c>
      <c r="AE942">
        <f>VLOOKUP($B942&amp;AE$1,Data!$A$2:$D$12000,4,FALSE)</f>
        <v>-0.84499999999999997</v>
      </c>
      <c r="AF942">
        <f>VLOOKUP($B942&amp;AF$1,Data!$A$2:$D$12000,4,FALSE)</f>
        <v>8.3000000000000004E-2</v>
      </c>
      <c r="AG942">
        <f>VLOOKUP($B942&amp;AG$1,Data!$A$2:$D$12000,4,FALSE)</f>
        <v>0.19400000000000001</v>
      </c>
      <c r="AH942">
        <f>VLOOKUP($B942&amp;AH$1,Data!$A$2:$D$12000,4,FALSE)</f>
        <v>0</v>
      </c>
      <c r="AI942">
        <f>VLOOKUP($B942&amp;AI$1,Data!$A$2:$D$12000,4,FALSE)</f>
        <v>6000000</v>
      </c>
    </row>
    <row r="943" spans="2:35" hidden="1">
      <c r="B943" s="23">
        <v>942</v>
      </c>
      <c r="C943" s="13" t="s">
        <v>58</v>
      </c>
      <c r="D943" t="s">
        <v>21</v>
      </c>
      <c r="E943" t="s">
        <v>2</v>
      </c>
      <c r="F943">
        <v>5000</v>
      </c>
      <c r="G943" t="s">
        <v>17</v>
      </c>
      <c r="H943" s="5">
        <v>43831</v>
      </c>
      <c r="I943" s="5">
        <v>44562</v>
      </c>
      <c r="J943">
        <v>14</v>
      </c>
      <c r="K943">
        <v>9</v>
      </c>
      <c r="L943">
        <v>28</v>
      </c>
      <c r="M943">
        <v>72</v>
      </c>
      <c r="N943">
        <v>1000000</v>
      </c>
      <c r="O943">
        <f>VLOOKUP($B943&amp;O$1,Data!$A$2:$D$12000,4,FALSE)</f>
        <v>4.8509999999999998E-2</v>
      </c>
      <c r="P943">
        <f>VLOOKUP($B943&amp;P$1,Data!$A$2:$D$12000,4,FALSE)</f>
        <v>-0.66800000000000004</v>
      </c>
      <c r="Q943">
        <f>VLOOKUP($B943&amp;Q$1,Data!$A$2:$D$12000,4,FALSE)</f>
        <v>425</v>
      </c>
      <c r="R943">
        <f>VLOOKUP($B943&amp;R$1,Data!$A$2:$D$12000,4,FALSE)</f>
        <v>2E-3</v>
      </c>
      <c r="S943">
        <f>VLOOKUP($B943&amp;S$1,Data!$A$2:$D$12000,4,FALSE)</f>
        <v>-4.4999999999999997E-3</v>
      </c>
      <c r="T943">
        <f>VLOOKUP($B943&amp;T$1,Data!$A$2:$D$12000,4,FALSE)</f>
        <v>-4.3400000000000001E-2</v>
      </c>
      <c r="U943">
        <f>VLOOKUP($B943&amp;U$1,Data!$A$2:$D$12000,4,FALSE)</f>
        <v>4.2000000000000003E-2</v>
      </c>
      <c r="V943">
        <f>VLOOKUP($B943&amp;V$1,Data!$A$2:$D$12000,4,FALSE)</f>
        <v>-0.111</v>
      </c>
      <c r="W943">
        <f>VLOOKUP($B943&amp;W$1,Data!$A$2:$D$12000,4,FALSE)</f>
        <v>-2.9100000000000001E-2</v>
      </c>
      <c r="X943">
        <f>VLOOKUP($B943&amp;X$1,Data!$A$2:$D$12000,4,FALSE)</f>
        <v>0.39</v>
      </c>
      <c r="Y943">
        <f>VLOOKUP($B943&amp;Y$1,Data!$A$2:$D$12000,4,FALSE)</f>
        <v>0.61</v>
      </c>
      <c r="Z943">
        <f>VLOOKUP($B943&amp;Z$1,Data!$A$2:$D$12000,4,FALSE)</f>
        <v>0.45</v>
      </c>
      <c r="AA943">
        <f>VLOOKUP($B943&amp;AA$1,Data!$A$2:$D$12000,4,FALSE)</f>
        <v>-2.1999999999999999E-2</v>
      </c>
      <c r="AB943">
        <f>VLOOKUP($B943&amp;AB$1,Data!$A$2:$D$12000,4,FALSE)</f>
        <v>-0.155</v>
      </c>
      <c r="AC943">
        <f>VLOOKUP($B943&amp;AC$1,Data!$A$2:$D$12000,4,FALSE)</f>
        <v>4.3999999999999997E-2</v>
      </c>
      <c r="AD943">
        <f>VLOOKUP($B943&amp;AD$1,Data!$A$2:$D$12000,4,FALSE)</f>
        <v>2E-3</v>
      </c>
      <c r="AE943">
        <f>VLOOKUP($B943&amp;AE$1,Data!$A$2:$D$12000,4,FALSE)</f>
        <v>-0.88700000000000001</v>
      </c>
      <c r="AF943">
        <f>VLOOKUP($B943&amp;AF$1,Data!$A$2:$D$12000,4,FALSE)</f>
        <v>8.8999999999999996E-2</v>
      </c>
      <c r="AG943">
        <f>VLOOKUP($B943&amp;AG$1,Data!$A$2:$D$12000,4,FALSE)</f>
        <v>0.19</v>
      </c>
      <c r="AH943">
        <f>VLOOKUP($B943&amp;AH$1,Data!$A$2:$D$12000,4,FALSE)</f>
        <v>0</v>
      </c>
      <c r="AI943">
        <f>VLOOKUP($B943&amp;AI$1,Data!$A$2:$D$12000,4,FALSE)</f>
        <v>5900000</v>
      </c>
    </row>
    <row r="944" spans="2:35" hidden="1">
      <c r="B944" s="23">
        <v>943</v>
      </c>
      <c r="C944" s="13" t="s">
        <v>58</v>
      </c>
      <c r="D944" t="s">
        <v>21</v>
      </c>
      <c r="E944" t="s">
        <v>22</v>
      </c>
      <c r="F944">
        <v>100</v>
      </c>
      <c r="G944" t="s">
        <v>17</v>
      </c>
      <c r="H944" s="5">
        <v>43831</v>
      </c>
      <c r="I944" s="5">
        <v>44562</v>
      </c>
      <c r="J944">
        <v>14</v>
      </c>
      <c r="K944">
        <v>9</v>
      </c>
      <c r="L944">
        <v>28</v>
      </c>
      <c r="M944">
        <v>72</v>
      </c>
      <c r="N944">
        <v>1000000</v>
      </c>
      <c r="O944">
        <f>VLOOKUP($B944&amp;O$1,Data!$A$2:$D$12000,4,FALSE)</f>
        <v>2.8639999999999999E-2</v>
      </c>
      <c r="P944">
        <f>VLOOKUP($B944&amp;P$1,Data!$A$2:$D$12000,4,FALSE)</f>
        <v>-0.81699999999999995</v>
      </c>
      <c r="Q944">
        <f>VLOOKUP($B944&amp;Q$1,Data!$A$2:$D$12000,4,FALSE)</f>
        <v>572</v>
      </c>
      <c r="R944">
        <f>VLOOKUP($B944&amp;R$1,Data!$A$2:$D$12000,4,FALSE)</f>
        <v>5.0000000000000001E-4</v>
      </c>
      <c r="S944">
        <f>VLOOKUP($B944&amp;S$1,Data!$A$2:$D$12000,4,FALSE)</f>
        <v>-1.5E-3</v>
      </c>
      <c r="T944">
        <f>VLOOKUP($B944&amp;T$1,Data!$A$2:$D$12000,4,FALSE)</f>
        <v>-1.3089999999999999E-2</v>
      </c>
      <c r="U944">
        <f>VLOOKUP($B944&amp;U$1,Data!$A$2:$D$12000,4,FALSE)</f>
        <v>1.4E-2</v>
      </c>
      <c r="V944">
        <f>VLOOKUP($B944&amp;V$1,Data!$A$2:$D$12000,4,FALSE)</f>
        <v>-0.121</v>
      </c>
      <c r="W944">
        <f>VLOOKUP($B944&amp;W$1,Data!$A$2:$D$12000,4,FALSE)</f>
        <v>-8.7299999999999999E-3</v>
      </c>
      <c r="X944">
        <f>VLOOKUP($B944&amp;X$1,Data!$A$2:$D$12000,4,FALSE)</f>
        <v>0.34</v>
      </c>
      <c r="Y944">
        <f>VLOOKUP($B944&amp;Y$1,Data!$A$2:$D$12000,4,FALSE)</f>
        <v>0.66</v>
      </c>
      <c r="Z944">
        <f>VLOOKUP($B944&amp;Z$1,Data!$A$2:$D$12000,4,FALSE)</f>
        <v>0.33</v>
      </c>
      <c r="AA944">
        <f>VLOOKUP($B944&amp;AA$1,Data!$A$2:$D$12000,4,FALSE)</f>
        <v>-7.0000000000000001E-3</v>
      </c>
      <c r="AB944">
        <f>VLOOKUP($B944&amp;AB$1,Data!$A$2:$D$12000,4,FALSE)</f>
        <v>-3.1E-2</v>
      </c>
      <c r="AC944">
        <f>VLOOKUP($B944&amp;AC$1,Data!$A$2:$D$12000,4,FALSE)</f>
        <v>1.0999999999999999E-2</v>
      </c>
      <c r="AD944">
        <f>VLOOKUP($B944&amp;AD$1,Data!$A$2:$D$12000,4,FALSE)</f>
        <v>0</v>
      </c>
      <c r="AE944">
        <f>VLOOKUP($B944&amp;AE$1,Data!$A$2:$D$12000,4,FALSE)</f>
        <v>-0.86899999999999999</v>
      </c>
      <c r="AF944">
        <f>VLOOKUP($B944&amp;AF$1,Data!$A$2:$D$12000,4,FALSE)</f>
        <v>7.0000000000000007E-2</v>
      </c>
      <c r="AG944">
        <f>VLOOKUP($B944&amp;AG$1,Data!$A$2:$D$12000,4,FALSE)</f>
        <v>0.29599999999999999</v>
      </c>
      <c r="AH944">
        <f>VLOOKUP($B944&amp;AH$1,Data!$A$2:$D$12000,4,FALSE)</f>
        <v>0</v>
      </c>
      <c r="AI944">
        <f>VLOOKUP($B944&amp;AI$1,Data!$A$2:$D$12000,4,FALSE)</f>
        <v>180000000</v>
      </c>
    </row>
    <row r="945" spans="2:35" hidden="1">
      <c r="B945" s="23">
        <v>944</v>
      </c>
      <c r="C945" s="13" t="s">
        <v>58</v>
      </c>
      <c r="D945" t="s">
        <v>21</v>
      </c>
      <c r="E945" t="s">
        <v>22</v>
      </c>
      <c r="F945">
        <v>1000</v>
      </c>
      <c r="G945" t="s">
        <v>17</v>
      </c>
      <c r="H945" s="5">
        <v>43831</v>
      </c>
      <c r="I945" s="5">
        <v>44562</v>
      </c>
      <c r="J945">
        <v>14</v>
      </c>
      <c r="K945">
        <v>9</v>
      </c>
      <c r="L945">
        <v>28</v>
      </c>
      <c r="M945">
        <v>72</v>
      </c>
      <c r="N945">
        <v>1000000</v>
      </c>
      <c r="O945">
        <f>VLOOKUP($B945&amp;O$1,Data!$A$2:$D$12000,4,FALSE)</f>
        <v>4.036E-2</v>
      </c>
      <c r="P945">
        <f>VLOOKUP($B945&amp;P$1,Data!$A$2:$D$12000,4,FALSE)</f>
        <v>-0.71</v>
      </c>
      <c r="Q945">
        <f>VLOOKUP($B945&amp;Q$1,Data!$A$2:$D$12000,4,FALSE)</f>
        <v>463</v>
      </c>
      <c r="R945">
        <f>VLOOKUP($B945&amp;R$1,Data!$A$2:$D$12000,4,FALSE)</f>
        <v>1.6000000000000001E-3</v>
      </c>
      <c r="S945">
        <f>VLOOKUP($B945&amp;S$1,Data!$A$2:$D$12000,4,FALSE)</f>
        <v>-4.1000000000000003E-3</v>
      </c>
      <c r="T945">
        <f>VLOOKUP($B945&amp;T$1,Data!$A$2:$D$12000,4,FALSE)</f>
        <v>-3.2140000000000002E-2</v>
      </c>
      <c r="U945">
        <f>VLOOKUP($B945&amp;U$1,Data!$A$2:$D$12000,4,FALSE)</f>
        <v>3.5000000000000003E-2</v>
      </c>
      <c r="V945">
        <f>VLOOKUP($B945&amp;V$1,Data!$A$2:$D$12000,4,FALSE)</f>
        <v>-0.112</v>
      </c>
      <c r="W945">
        <f>VLOOKUP($B945&amp;W$1,Data!$A$2:$D$12000,4,FALSE)</f>
        <v>-2.1510000000000001E-2</v>
      </c>
      <c r="X945">
        <f>VLOOKUP($B945&amp;X$1,Data!$A$2:$D$12000,4,FALSE)</f>
        <v>0.36</v>
      </c>
      <c r="Y945">
        <f>VLOOKUP($B945&amp;Y$1,Data!$A$2:$D$12000,4,FALSE)</f>
        <v>0.64</v>
      </c>
      <c r="Z945">
        <f>VLOOKUP($B945&amp;Z$1,Data!$A$2:$D$12000,4,FALSE)</f>
        <v>0.39</v>
      </c>
      <c r="AA945">
        <f>VLOOKUP($B945&amp;AA$1,Data!$A$2:$D$12000,4,FALSE)</f>
        <v>-1.6E-2</v>
      </c>
      <c r="AB945">
        <f>VLOOKUP($B945&amp;AB$1,Data!$A$2:$D$12000,4,FALSE)</f>
        <v>-0.11799999999999999</v>
      </c>
      <c r="AC945">
        <f>VLOOKUP($B945&amp;AC$1,Data!$A$2:$D$12000,4,FALSE)</f>
        <v>3.1E-2</v>
      </c>
      <c r="AD945">
        <f>VLOOKUP($B945&amp;AD$1,Data!$A$2:$D$12000,4,FALSE)</f>
        <v>1E-3</v>
      </c>
      <c r="AE945">
        <f>VLOOKUP($B945&amp;AE$1,Data!$A$2:$D$12000,4,FALSE)</f>
        <v>-0.91300000000000003</v>
      </c>
      <c r="AF945">
        <f>VLOOKUP($B945&amp;AF$1,Data!$A$2:$D$12000,4,FALSE)</f>
        <v>8.1000000000000003E-2</v>
      </c>
      <c r="AG945">
        <f>VLOOKUP($B945&amp;AG$1,Data!$A$2:$D$12000,4,FALSE)</f>
        <v>0.186</v>
      </c>
      <c r="AH945">
        <f>VLOOKUP($B945&amp;AH$1,Data!$A$2:$D$12000,4,FALSE)</f>
        <v>0</v>
      </c>
      <c r="AI945">
        <f>VLOOKUP($B945&amp;AI$1,Data!$A$2:$D$12000,4,FALSE)</f>
        <v>21000000</v>
      </c>
    </row>
    <row r="946" spans="2:35" hidden="1">
      <c r="B946" s="23">
        <v>945</v>
      </c>
      <c r="C946" s="13" t="s">
        <v>58</v>
      </c>
      <c r="D946" t="s">
        <v>21</v>
      </c>
      <c r="E946" t="s">
        <v>22</v>
      </c>
      <c r="F946">
        <v>5000</v>
      </c>
      <c r="G946" t="s">
        <v>17</v>
      </c>
      <c r="H946" s="5">
        <v>43831</v>
      </c>
      <c r="I946" s="5">
        <v>44562</v>
      </c>
      <c r="J946">
        <v>14</v>
      </c>
      <c r="K946">
        <v>9</v>
      </c>
      <c r="L946">
        <v>28</v>
      </c>
      <c r="M946">
        <v>72</v>
      </c>
      <c r="N946">
        <v>1000000</v>
      </c>
      <c r="O946">
        <f>VLOOKUP($B946&amp;O$1,Data!$A$2:$D$12000,4,FALSE)</f>
        <v>6.7680000000000004E-2</v>
      </c>
      <c r="P946">
        <f>VLOOKUP($B946&amp;P$1,Data!$A$2:$D$12000,4,FALSE)</f>
        <v>-0.51100000000000001</v>
      </c>
      <c r="Q946">
        <f>VLOOKUP($B946&amp;Q$1,Data!$A$2:$D$12000,4,FALSE)</f>
        <v>358</v>
      </c>
      <c r="R946">
        <f>VLOOKUP($B946&amp;R$1,Data!$A$2:$D$12000,4,FALSE)</f>
        <v>2.5999999999999999E-3</v>
      </c>
      <c r="S946">
        <f>VLOOKUP($B946&amp;S$1,Data!$A$2:$D$12000,4,FALSE)</f>
        <v>-5.1000000000000004E-3</v>
      </c>
      <c r="T946">
        <f>VLOOKUP($B946&amp;T$1,Data!$A$2:$D$12000,4,FALSE)</f>
        <v>-3.024E-2</v>
      </c>
      <c r="U946">
        <f>VLOOKUP($B946&amp;U$1,Data!$A$2:$D$12000,4,FALSE)</f>
        <v>4.2000000000000003E-2</v>
      </c>
      <c r="V946">
        <f>VLOOKUP($B946&amp;V$1,Data!$A$2:$D$12000,4,FALSE)</f>
        <v>-8.5000000000000006E-2</v>
      </c>
      <c r="W946">
        <f>VLOOKUP($B946&amp;W$1,Data!$A$2:$D$12000,4,FALSE)</f>
        <v>-2.0230000000000001E-2</v>
      </c>
      <c r="X946">
        <f>VLOOKUP($B946&amp;X$1,Data!$A$2:$D$12000,4,FALSE)</f>
        <v>0.39</v>
      </c>
      <c r="Y946">
        <f>VLOOKUP($B946&amp;Y$1,Data!$A$2:$D$12000,4,FALSE)</f>
        <v>0.61</v>
      </c>
      <c r="Z946">
        <f>VLOOKUP($B946&amp;Z$1,Data!$A$2:$D$12000,4,FALSE)</f>
        <v>0.5</v>
      </c>
      <c r="AA946">
        <f>VLOOKUP($B946&amp;AA$1,Data!$A$2:$D$12000,4,FALSE)</f>
        <v>-1.4E-2</v>
      </c>
      <c r="AB946">
        <f>VLOOKUP($B946&amp;AB$1,Data!$A$2:$D$12000,4,FALSE)</f>
        <v>-0.115</v>
      </c>
      <c r="AC946">
        <f>VLOOKUP($B946&amp;AC$1,Data!$A$2:$D$12000,4,FALSE)</f>
        <v>0.04</v>
      </c>
      <c r="AD946">
        <f>VLOOKUP($B946&amp;AD$1,Data!$A$2:$D$12000,4,FALSE)</f>
        <v>2E-3</v>
      </c>
      <c r="AE946">
        <f>VLOOKUP($B946&amp;AE$1,Data!$A$2:$D$12000,4,FALSE)</f>
        <v>-0.85499999999999998</v>
      </c>
      <c r="AF946">
        <f>VLOOKUP($B946&amp;AF$1,Data!$A$2:$D$12000,4,FALSE)</f>
        <v>8.4000000000000005E-2</v>
      </c>
      <c r="AG946">
        <f>VLOOKUP($B946&amp;AG$1,Data!$A$2:$D$12000,4,FALSE)</f>
        <v>0.17699999999999999</v>
      </c>
      <c r="AH946">
        <f>VLOOKUP($B946&amp;AH$1,Data!$A$2:$D$12000,4,FALSE)</f>
        <v>0</v>
      </c>
      <c r="AI946">
        <f>VLOOKUP($B946&amp;AI$1,Data!$A$2:$D$12000,4,FALSE)</f>
        <v>8300000</v>
      </c>
    </row>
    <row r="947" spans="2:35" hidden="1">
      <c r="B947" s="23">
        <v>946</v>
      </c>
      <c r="C947" s="13" t="s">
        <v>58</v>
      </c>
      <c r="D947" t="s">
        <v>0</v>
      </c>
      <c r="E947" t="s">
        <v>3</v>
      </c>
      <c r="F947">
        <v>10</v>
      </c>
      <c r="G947" t="s">
        <v>17</v>
      </c>
      <c r="H947" s="5">
        <v>43831</v>
      </c>
      <c r="I947" s="5">
        <v>44562</v>
      </c>
      <c r="J947">
        <v>14</v>
      </c>
      <c r="K947">
        <v>9</v>
      </c>
      <c r="L947">
        <v>30</v>
      </c>
      <c r="M947">
        <v>70</v>
      </c>
      <c r="N947">
        <v>10000</v>
      </c>
      <c r="O947">
        <f>VLOOKUP($B947&amp;O$1,Data!$A$2:$D$12000,4,FALSE)</f>
        <v>5.5500000000000001E-2</v>
      </c>
      <c r="P947">
        <f>VLOOKUP($B947&amp;P$1,Data!$A$2:$D$12000,4,FALSE)</f>
        <v>-0.61399999999999999</v>
      </c>
      <c r="Q947">
        <f>VLOOKUP($B947&amp;Q$1,Data!$A$2:$D$12000,4,FALSE)</f>
        <v>1026</v>
      </c>
      <c r="R947">
        <f>VLOOKUP($B947&amp;R$1,Data!$A$2:$D$12000,4,FALSE)</f>
        <v>0</v>
      </c>
      <c r="S947">
        <f>VLOOKUP($B947&amp;S$1,Data!$A$2:$D$12000,4,FALSE)</f>
        <v>0</v>
      </c>
      <c r="T947">
        <f>VLOOKUP($B947&amp;T$1,Data!$A$2:$D$12000,4,FALSE)</f>
        <v>-5.8E-4</v>
      </c>
      <c r="U947">
        <f>VLOOKUP($B947&amp;U$1,Data!$A$2:$D$12000,4,FALSE)</f>
        <v>1E-3</v>
      </c>
      <c r="V947">
        <f>VLOOKUP($B947&amp;V$1,Data!$A$2:$D$12000,4,FALSE)</f>
        <v>-8.2000000000000003E-2</v>
      </c>
      <c r="W947">
        <f>VLOOKUP($B947&amp;W$1,Data!$A$2:$D$12000,4,FALSE)</f>
        <v>-3.8000000000000002E-4</v>
      </c>
      <c r="X947">
        <f>VLOOKUP($B947&amp;X$1,Data!$A$2:$D$12000,4,FALSE)</f>
        <v>0.39</v>
      </c>
      <c r="Y947">
        <f>VLOOKUP($B947&amp;Y$1,Data!$A$2:$D$12000,4,FALSE)</f>
        <v>0.61</v>
      </c>
      <c r="Z947">
        <f>VLOOKUP($B947&amp;Z$1,Data!$A$2:$D$12000,4,FALSE)</f>
        <v>0.5</v>
      </c>
      <c r="AA947">
        <f>VLOOKUP($B947&amp;AA$1,Data!$A$2:$D$12000,4,FALSE)</f>
        <v>0</v>
      </c>
      <c r="AB947">
        <f>VLOOKUP($B947&amp;AB$1,Data!$A$2:$D$12000,4,FALSE)</f>
        <v>-1E-3</v>
      </c>
      <c r="AC947">
        <f>VLOOKUP($B947&amp;AC$1,Data!$A$2:$D$12000,4,FALSE)</f>
        <v>1E-3</v>
      </c>
      <c r="AD947">
        <f>VLOOKUP($B947&amp;AD$1,Data!$A$2:$D$12000,4,FALSE)</f>
        <v>0</v>
      </c>
      <c r="AE947">
        <f>VLOOKUP($B947&amp;AE$1,Data!$A$2:$D$12000,4,FALSE)</f>
        <v>-0.76900000000000002</v>
      </c>
      <c r="AF947">
        <f>VLOOKUP($B947&amp;AF$1,Data!$A$2:$D$12000,4,FALSE)</f>
        <v>6.7000000000000004E-2</v>
      </c>
      <c r="AG947">
        <f>VLOOKUP($B947&amp;AG$1,Data!$A$2:$D$12000,4,FALSE)</f>
        <v>0.49</v>
      </c>
      <c r="AH947">
        <f>VLOOKUP($B947&amp;AH$1,Data!$A$2:$D$12000,4,FALSE)</f>
        <v>0</v>
      </c>
      <c r="AI947">
        <f>VLOOKUP($B947&amp;AI$1,Data!$A$2:$D$12000,4,FALSE)</f>
        <v>120000000</v>
      </c>
    </row>
    <row r="948" spans="2:35" hidden="1">
      <c r="B948" s="23">
        <v>947</v>
      </c>
      <c r="C948" s="13" t="s">
        <v>58</v>
      </c>
      <c r="D948" t="s">
        <v>0</v>
      </c>
      <c r="E948" t="s">
        <v>3</v>
      </c>
      <c r="F948">
        <v>100</v>
      </c>
      <c r="G948" t="s">
        <v>17</v>
      </c>
      <c r="H948" s="5">
        <v>43831</v>
      </c>
      <c r="I948" s="5">
        <v>44562</v>
      </c>
      <c r="J948">
        <v>14</v>
      </c>
      <c r="K948">
        <v>9</v>
      </c>
      <c r="L948">
        <v>30</v>
      </c>
      <c r="M948">
        <v>70</v>
      </c>
      <c r="N948">
        <v>10000</v>
      </c>
      <c r="O948">
        <f>VLOOKUP($B948&amp;O$1,Data!$A$2:$D$12000,4,FALSE)</f>
        <v>5.5829999999999998E-2</v>
      </c>
      <c r="P948">
        <f>VLOOKUP($B948&amp;P$1,Data!$A$2:$D$12000,4,FALSE)</f>
        <v>-0.61</v>
      </c>
      <c r="Q948">
        <f>VLOOKUP($B948&amp;Q$1,Data!$A$2:$D$12000,4,FALSE)</f>
        <v>1026</v>
      </c>
      <c r="R948">
        <f>VLOOKUP($B948&amp;R$1,Data!$A$2:$D$12000,4,FALSE)</f>
        <v>2.0000000000000001E-4</v>
      </c>
      <c r="S948">
        <f>VLOOKUP($B948&amp;S$1,Data!$A$2:$D$12000,4,FALSE)</f>
        <v>-4.0000000000000002E-4</v>
      </c>
      <c r="T948">
        <f>VLOOKUP($B948&amp;T$1,Data!$A$2:$D$12000,4,FALSE)</f>
        <v>-5.7499999999999999E-3</v>
      </c>
      <c r="U948">
        <f>VLOOKUP($B948&amp;U$1,Data!$A$2:$D$12000,4,FALSE)</f>
        <v>1.0999999999999999E-2</v>
      </c>
      <c r="V948">
        <f>VLOOKUP($B948&amp;V$1,Data!$A$2:$D$12000,4,FALSE)</f>
        <v>-8.1000000000000003E-2</v>
      </c>
      <c r="W948">
        <f>VLOOKUP($B948&amp;W$1,Data!$A$2:$D$12000,4,FALSE)</f>
        <v>-3.81E-3</v>
      </c>
      <c r="X948">
        <f>VLOOKUP($B948&amp;X$1,Data!$A$2:$D$12000,4,FALSE)</f>
        <v>0.39</v>
      </c>
      <c r="Y948">
        <f>VLOOKUP($B948&amp;Y$1,Data!$A$2:$D$12000,4,FALSE)</f>
        <v>0.61</v>
      </c>
      <c r="Z948">
        <f>VLOOKUP($B948&amp;Z$1,Data!$A$2:$D$12000,4,FALSE)</f>
        <v>0.5</v>
      </c>
      <c r="AA948">
        <f>VLOOKUP($B948&amp;AA$1,Data!$A$2:$D$12000,4,FALSE)</f>
        <v>-4.0000000000000001E-3</v>
      </c>
      <c r="AB948">
        <f>VLOOKUP($B948&amp;AB$1,Data!$A$2:$D$12000,4,FALSE)</f>
        <v>-8.0000000000000002E-3</v>
      </c>
      <c r="AC948">
        <f>VLOOKUP($B948&amp;AC$1,Data!$A$2:$D$12000,4,FALSE)</f>
        <v>7.0000000000000001E-3</v>
      </c>
      <c r="AD948">
        <f>VLOOKUP($B948&amp;AD$1,Data!$A$2:$D$12000,4,FALSE)</f>
        <v>0</v>
      </c>
      <c r="AE948">
        <f>VLOOKUP($B948&amp;AE$1,Data!$A$2:$D$12000,4,FALSE)</f>
        <v>-0.81299999999999994</v>
      </c>
      <c r="AF948">
        <f>VLOOKUP($B948&amp;AF$1,Data!$A$2:$D$12000,4,FALSE)</f>
        <v>6.8000000000000005E-2</v>
      </c>
      <c r="AG948">
        <f>VLOOKUP($B948&amp;AG$1,Data!$A$2:$D$12000,4,FALSE)</f>
        <v>0.48699999999999999</v>
      </c>
      <c r="AH948">
        <f>VLOOKUP($B948&amp;AH$1,Data!$A$2:$D$12000,4,FALSE)</f>
        <v>0</v>
      </c>
      <c r="AI948">
        <f>VLOOKUP($B948&amp;AI$1,Data!$A$2:$D$12000,4,FALSE)</f>
        <v>15000000</v>
      </c>
    </row>
    <row r="949" spans="2:35" hidden="1">
      <c r="B949" s="23">
        <v>948</v>
      </c>
      <c r="C949" s="13" t="s">
        <v>58</v>
      </c>
      <c r="D949" t="s">
        <v>0</v>
      </c>
      <c r="E949" t="s">
        <v>3</v>
      </c>
      <c r="F949">
        <v>200</v>
      </c>
      <c r="G949" t="s">
        <v>17</v>
      </c>
      <c r="H949" s="5">
        <v>43831</v>
      </c>
      <c r="I949" s="5">
        <v>44562</v>
      </c>
      <c r="J949">
        <v>14</v>
      </c>
      <c r="K949">
        <v>9</v>
      </c>
      <c r="L949">
        <v>30</v>
      </c>
      <c r="M949">
        <v>70</v>
      </c>
      <c r="N949">
        <v>10000</v>
      </c>
      <c r="O949">
        <f>VLOOKUP($B949&amp;O$1,Data!$A$2:$D$12000,4,FALSE)</f>
        <v>8.0049999999999996E-2</v>
      </c>
      <c r="P949">
        <f>VLOOKUP($B949&amp;P$1,Data!$A$2:$D$12000,4,FALSE)</f>
        <v>-0.433</v>
      </c>
      <c r="Q949">
        <f>VLOOKUP($B949&amp;Q$1,Data!$A$2:$D$12000,4,FALSE)</f>
        <v>978</v>
      </c>
      <c r="R949">
        <f>VLOOKUP($B949&amp;R$1,Data!$A$2:$D$12000,4,FALSE)</f>
        <v>2.9999999999999997E-4</v>
      </c>
      <c r="S949">
        <f>VLOOKUP($B949&amp;S$1,Data!$A$2:$D$12000,4,FALSE)</f>
        <v>-5.9999999999999995E-4</v>
      </c>
      <c r="T949">
        <f>VLOOKUP($B949&amp;T$1,Data!$A$2:$D$12000,4,FALSE)</f>
        <v>-7.3699999999999998E-3</v>
      </c>
      <c r="U949">
        <f>VLOOKUP($B949&amp;U$1,Data!$A$2:$D$12000,4,FALSE)</f>
        <v>1.9E-2</v>
      </c>
      <c r="V949">
        <f>VLOOKUP($B949&amp;V$1,Data!$A$2:$D$12000,4,FALSE)</f>
        <v>-5.8000000000000003E-2</v>
      </c>
      <c r="W949">
        <f>VLOOKUP($B949&amp;W$1,Data!$A$2:$D$12000,4,FALSE)</f>
        <v>-4.8900000000000002E-3</v>
      </c>
      <c r="X949">
        <f>VLOOKUP($B949&amp;X$1,Data!$A$2:$D$12000,4,FALSE)</f>
        <v>0.39</v>
      </c>
      <c r="Y949">
        <f>VLOOKUP($B949&amp;Y$1,Data!$A$2:$D$12000,4,FALSE)</f>
        <v>0.61</v>
      </c>
      <c r="Z949">
        <f>VLOOKUP($B949&amp;Z$1,Data!$A$2:$D$12000,4,FALSE)</f>
        <v>0.53</v>
      </c>
      <c r="AA949">
        <f>VLOOKUP($B949&amp;AA$1,Data!$A$2:$D$12000,4,FALSE)</f>
        <v>-4.0000000000000001E-3</v>
      </c>
      <c r="AB949">
        <f>VLOOKUP($B949&amp;AB$1,Data!$A$2:$D$12000,4,FALSE)</f>
        <v>-1.4E-2</v>
      </c>
      <c r="AC949">
        <f>VLOOKUP($B949&amp;AC$1,Data!$A$2:$D$12000,4,FALSE)</f>
        <v>1.2E-2</v>
      </c>
      <c r="AD949">
        <f>VLOOKUP($B949&amp;AD$1,Data!$A$2:$D$12000,4,FALSE)</f>
        <v>0</v>
      </c>
      <c r="AE949">
        <f>VLOOKUP($B949&amp;AE$1,Data!$A$2:$D$12000,4,FALSE)</f>
        <v>-0.81499999999999995</v>
      </c>
      <c r="AF949">
        <f>VLOOKUP($B949&amp;AF$1,Data!$A$2:$D$12000,4,FALSE)</f>
        <v>6.9000000000000006E-2</v>
      </c>
      <c r="AG949">
        <f>VLOOKUP($B949&amp;AG$1,Data!$A$2:$D$12000,4,FALSE)</f>
        <v>0.35099999999999998</v>
      </c>
      <c r="AH949">
        <f>VLOOKUP($B949&amp;AH$1,Data!$A$2:$D$12000,4,FALSE)</f>
        <v>0</v>
      </c>
      <c r="AI949">
        <f>VLOOKUP($B949&amp;AI$1,Data!$A$2:$D$12000,4,FALSE)</f>
        <v>9500000</v>
      </c>
    </row>
    <row r="950" spans="2:35" hidden="1">
      <c r="B950" s="23">
        <v>949</v>
      </c>
      <c r="C950" s="13" t="s">
        <v>58</v>
      </c>
      <c r="D950" t="s">
        <v>0</v>
      </c>
      <c r="E950" t="s">
        <v>2</v>
      </c>
      <c r="F950">
        <v>10</v>
      </c>
      <c r="G950" t="s">
        <v>17</v>
      </c>
      <c r="H950" s="5">
        <v>43831</v>
      </c>
      <c r="I950" s="5">
        <v>44562</v>
      </c>
      <c r="J950">
        <v>14</v>
      </c>
      <c r="K950">
        <v>9</v>
      </c>
      <c r="L950">
        <v>30</v>
      </c>
      <c r="M950">
        <v>70</v>
      </c>
      <c r="N950">
        <v>10000</v>
      </c>
      <c r="O950">
        <f>VLOOKUP($B950&amp;O$1,Data!$A$2:$D$12000,4,FALSE)</f>
        <v>2.0000000000000002E-5</v>
      </c>
      <c r="P950">
        <f>VLOOKUP($B950&amp;P$1,Data!$A$2:$D$12000,4,FALSE)</f>
        <v>-2.14</v>
      </c>
      <c r="Q950">
        <f>VLOOKUP($B950&amp;Q$1,Data!$A$2:$D$12000,4,FALSE)</f>
        <v>1141</v>
      </c>
      <c r="R950">
        <f>VLOOKUP($B950&amp;R$1,Data!$A$2:$D$12000,4,FALSE)</f>
        <v>0</v>
      </c>
      <c r="S950">
        <f>VLOOKUP($B950&amp;S$1,Data!$A$2:$D$12000,4,FALSE)</f>
        <v>0</v>
      </c>
      <c r="T950">
        <f>VLOOKUP($B950&amp;T$1,Data!$A$2:$D$12000,4,FALSE)</f>
        <v>-2.0400000000000001E-3</v>
      </c>
      <c r="U950">
        <f>VLOOKUP($B950&amp;U$1,Data!$A$2:$D$12000,4,FALSE)</f>
        <v>1E-3</v>
      </c>
      <c r="V950">
        <f>VLOOKUP($B950&amp;V$1,Data!$A$2:$D$12000,4,FALSE)</f>
        <v>-0.26500000000000001</v>
      </c>
      <c r="W950">
        <f>VLOOKUP($B950&amp;W$1,Data!$A$2:$D$12000,4,FALSE)</f>
        <v>-1.3500000000000001E-3</v>
      </c>
      <c r="X950">
        <f>VLOOKUP($B950&amp;X$1,Data!$A$2:$D$12000,4,FALSE)</f>
        <v>0.4</v>
      </c>
      <c r="Y950">
        <f>VLOOKUP($B950&amp;Y$1,Data!$A$2:$D$12000,4,FALSE)</f>
        <v>0.6</v>
      </c>
      <c r="Z950">
        <f>VLOOKUP($B950&amp;Z$1,Data!$A$2:$D$12000,4,FALSE)</f>
        <v>0.23</v>
      </c>
      <c r="AA950">
        <f>VLOOKUP($B950&amp;AA$1,Data!$A$2:$D$12000,4,FALSE)</f>
        <v>-1E-3</v>
      </c>
      <c r="AB950">
        <f>VLOOKUP($B950&amp;AB$1,Data!$A$2:$D$12000,4,FALSE)</f>
        <v>0</v>
      </c>
      <c r="AC950">
        <f>VLOOKUP($B950&amp;AC$1,Data!$A$2:$D$12000,4,FALSE)</f>
        <v>1E-3</v>
      </c>
      <c r="AD950">
        <f>VLOOKUP($B950&amp;AD$1,Data!$A$2:$D$12000,4,FALSE)</f>
        <v>0</v>
      </c>
      <c r="AE950">
        <f>VLOOKUP($B950&amp;AE$1,Data!$A$2:$D$12000,4,FALSE)</f>
        <v>-0.78500000000000003</v>
      </c>
      <c r="AF950">
        <f>VLOOKUP($B950&amp;AF$1,Data!$A$2:$D$12000,4,FALSE)</f>
        <v>6.7000000000000004E-2</v>
      </c>
      <c r="AG950">
        <f>VLOOKUP($B950&amp;AG$1,Data!$A$2:$D$12000,4,FALSE)</f>
        <v>-3.879</v>
      </c>
      <c r="AH950">
        <f>VLOOKUP($B950&amp;AH$1,Data!$A$2:$D$12000,4,FALSE)</f>
        <v>0</v>
      </c>
      <c r="AI950">
        <f>VLOOKUP($B950&amp;AI$1,Data!$A$2:$D$12000,4,FALSE)</f>
        <v>6400000</v>
      </c>
    </row>
    <row r="951" spans="2:35" hidden="1">
      <c r="B951" s="23">
        <v>950</v>
      </c>
      <c r="C951" s="13" t="s">
        <v>58</v>
      </c>
      <c r="D951" t="s">
        <v>0</v>
      </c>
      <c r="E951" t="s">
        <v>2</v>
      </c>
      <c r="F951">
        <v>100</v>
      </c>
      <c r="G951" t="s">
        <v>17</v>
      </c>
      <c r="H951" s="5">
        <v>43831</v>
      </c>
      <c r="I951" s="5">
        <v>44562</v>
      </c>
      <c r="J951">
        <v>14</v>
      </c>
      <c r="K951">
        <v>9</v>
      </c>
      <c r="L951">
        <v>30</v>
      </c>
      <c r="M951">
        <v>70</v>
      </c>
      <c r="N951">
        <v>10000</v>
      </c>
      <c r="O951">
        <f>VLOOKUP($B951&amp;O$1,Data!$A$2:$D$12000,4,FALSE)</f>
        <v>2.0000000000000002E-5</v>
      </c>
      <c r="P951">
        <f>VLOOKUP($B951&amp;P$1,Data!$A$2:$D$12000,4,FALSE)</f>
        <v>-2.1240000000000001</v>
      </c>
      <c r="Q951">
        <f>VLOOKUP($B951&amp;Q$1,Data!$A$2:$D$12000,4,FALSE)</f>
        <v>1141</v>
      </c>
      <c r="R951">
        <f>VLOOKUP($B951&amp;R$1,Data!$A$2:$D$12000,4,FALSE)</f>
        <v>1E-4</v>
      </c>
      <c r="S951">
        <f>VLOOKUP($B951&amp;S$1,Data!$A$2:$D$12000,4,FALSE)</f>
        <v>-4.0000000000000002E-4</v>
      </c>
      <c r="T951">
        <f>VLOOKUP($B951&amp;T$1,Data!$A$2:$D$12000,4,FALSE)</f>
        <v>-2.034E-2</v>
      </c>
      <c r="U951">
        <f>VLOOKUP($B951&amp;U$1,Data!$A$2:$D$12000,4,FALSE)</f>
        <v>1.4E-2</v>
      </c>
      <c r="V951">
        <f>VLOOKUP($B951&amp;V$1,Data!$A$2:$D$12000,4,FALSE)</f>
        <v>-0.26500000000000001</v>
      </c>
      <c r="W951">
        <f>VLOOKUP($B951&amp;W$1,Data!$A$2:$D$12000,4,FALSE)</f>
        <v>-1.353E-2</v>
      </c>
      <c r="X951">
        <f>VLOOKUP($B951&amp;X$1,Data!$A$2:$D$12000,4,FALSE)</f>
        <v>0.4</v>
      </c>
      <c r="Y951">
        <f>VLOOKUP($B951&amp;Y$1,Data!$A$2:$D$12000,4,FALSE)</f>
        <v>0.6</v>
      </c>
      <c r="Z951">
        <f>VLOOKUP($B951&amp;Z$1,Data!$A$2:$D$12000,4,FALSE)</f>
        <v>0.23</v>
      </c>
      <c r="AA951">
        <f>VLOOKUP($B951&amp;AA$1,Data!$A$2:$D$12000,4,FALSE)</f>
        <v>-1.4E-2</v>
      </c>
      <c r="AB951">
        <f>VLOOKUP($B951&amp;AB$1,Data!$A$2:$D$12000,4,FALSE)</f>
        <v>4.0000000000000001E-3</v>
      </c>
      <c r="AC951">
        <f>VLOOKUP($B951&amp;AC$1,Data!$A$2:$D$12000,4,FALSE)</f>
        <v>7.0000000000000001E-3</v>
      </c>
      <c r="AD951">
        <f>VLOOKUP($B951&amp;AD$1,Data!$A$2:$D$12000,4,FALSE)</f>
        <v>0</v>
      </c>
      <c r="AE951">
        <f>VLOOKUP($B951&amp;AE$1,Data!$A$2:$D$12000,4,FALSE)</f>
        <v>-0.97199999999999998</v>
      </c>
      <c r="AF951">
        <f>VLOOKUP($B951&amp;AF$1,Data!$A$2:$D$12000,4,FALSE)</f>
        <v>6.7000000000000004E-2</v>
      </c>
      <c r="AG951">
        <f>VLOOKUP($B951&amp;AG$1,Data!$A$2:$D$12000,4,FALSE)</f>
        <v>-3.8559999999999999</v>
      </c>
      <c r="AH951">
        <f>VLOOKUP($B951&amp;AH$1,Data!$A$2:$D$12000,4,FALSE)</f>
        <v>0</v>
      </c>
      <c r="AI951">
        <f>VLOOKUP($B951&amp;AI$1,Data!$A$2:$D$12000,4,FALSE)</f>
        <v>6400000</v>
      </c>
    </row>
    <row r="952" spans="2:35" hidden="1">
      <c r="B952" s="23">
        <v>951</v>
      </c>
      <c r="C952" s="13" t="s">
        <v>58</v>
      </c>
      <c r="D952" t="s">
        <v>0</v>
      </c>
      <c r="E952" t="s">
        <v>2</v>
      </c>
      <c r="F952">
        <v>200</v>
      </c>
      <c r="G952" t="s">
        <v>17</v>
      </c>
      <c r="H952" s="5">
        <v>43831</v>
      </c>
      <c r="I952" s="5">
        <v>44562</v>
      </c>
      <c r="J952">
        <v>14</v>
      </c>
      <c r="K952">
        <v>9</v>
      </c>
      <c r="L952">
        <v>30</v>
      </c>
      <c r="M952">
        <v>70</v>
      </c>
      <c r="N952">
        <v>10000</v>
      </c>
      <c r="O952">
        <f>VLOOKUP($B952&amp;O$1,Data!$A$2:$D$12000,4,FALSE)</f>
        <v>9.0000000000000006E-5</v>
      </c>
      <c r="P952">
        <f>VLOOKUP($B952&amp;P$1,Data!$A$2:$D$12000,4,FALSE)</f>
        <v>-1.9770000000000001</v>
      </c>
      <c r="Q952">
        <f>VLOOKUP($B952&amp;Q$1,Data!$A$2:$D$12000,4,FALSE)</f>
        <v>1095</v>
      </c>
      <c r="R952">
        <f>VLOOKUP($B952&amp;R$1,Data!$A$2:$D$12000,4,FALSE)</f>
        <v>2.0000000000000001E-4</v>
      </c>
      <c r="S952">
        <f>VLOOKUP($B952&amp;S$1,Data!$A$2:$D$12000,4,FALSE)</f>
        <v>-6.9999999999999999E-4</v>
      </c>
      <c r="T952">
        <f>VLOOKUP($B952&amp;T$1,Data!$A$2:$D$12000,4,FALSE)</f>
        <v>-3.3610000000000001E-2</v>
      </c>
      <c r="U952">
        <f>VLOOKUP($B952&amp;U$1,Data!$A$2:$D$12000,4,FALSE)</f>
        <v>2.3E-2</v>
      </c>
      <c r="V952">
        <f>VLOOKUP($B952&amp;V$1,Data!$A$2:$D$12000,4,FALSE)</f>
        <v>-0.23599999999999999</v>
      </c>
      <c r="W952">
        <f>VLOOKUP($B952&amp;W$1,Data!$A$2:$D$12000,4,FALSE)</f>
        <v>-2.2409999999999999E-2</v>
      </c>
      <c r="X952">
        <f>VLOOKUP($B952&amp;X$1,Data!$A$2:$D$12000,4,FALSE)</f>
        <v>0.38</v>
      </c>
      <c r="Y952">
        <f>VLOOKUP($B952&amp;Y$1,Data!$A$2:$D$12000,4,FALSE)</f>
        <v>0.62</v>
      </c>
      <c r="Z952">
        <f>VLOOKUP($B952&amp;Z$1,Data!$A$2:$D$12000,4,FALSE)</f>
        <v>0.23</v>
      </c>
      <c r="AA952">
        <f>VLOOKUP($B952&amp;AA$1,Data!$A$2:$D$12000,4,FALSE)</f>
        <v>-2.4E-2</v>
      </c>
      <c r="AB952">
        <f>VLOOKUP($B952&amp;AB$1,Data!$A$2:$D$12000,4,FALSE)</f>
        <v>4.0000000000000001E-3</v>
      </c>
      <c r="AC952">
        <f>VLOOKUP($B952&amp;AC$1,Data!$A$2:$D$12000,4,FALSE)</f>
        <v>1.2E-2</v>
      </c>
      <c r="AD952">
        <f>VLOOKUP($B952&amp;AD$1,Data!$A$2:$D$12000,4,FALSE)</f>
        <v>0</v>
      </c>
      <c r="AE952">
        <f>VLOOKUP($B952&amp;AE$1,Data!$A$2:$D$12000,4,FALSE)</f>
        <v>-1.0980000000000001</v>
      </c>
      <c r="AF952">
        <f>VLOOKUP($B952&amp;AF$1,Data!$A$2:$D$12000,4,FALSE)</f>
        <v>6.8000000000000005E-2</v>
      </c>
      <c r="AG952">
        <f>VLOOKUP($B952&amp;AG$1,Data!$A$2:$D$12000,4,FALSE)</f>
        <v>-5.7619999999999996</v>
      </c>
      <c r="AH952">
        <f>VLOOKUP($B952&amp;AH$1,Data!$A$2:$D$12000,4,FALSE)</f>
        <v>0</v>
      </c>
      <c r="AI952">
        <f>VLOOKUP($B952&amp;AI$1,Data!$A$2:$D$12000,4,FALSE)</f>
        <v>6400000</v>
      </c>
    </row>
    <row r="953" spans="2:35" hidden="1">
      <c r="B953" s="23">
        <v>952</v>
      </c>
      <c r="C953" s="13" t="s">
        <v>58</v>
      </c>
      <c r="D953" t="s">
        <v>0</v>
      </c>
      <c r="E953" t="s">
        <v>22</v>
      </c>
      <c r="F953">
        <v>10</v>
      </c>
      <c r="G953" t="s">
        <v>17</v>
      </c>
      <c r="H953" s="5">
        <v>43831</v>
      </c>
      <c r="I953" s="5">
        <v>44562</v>
      </c>
      <c r="J953">
        <v>14</v>
      </c>
      <c r="K953">
        <v>9</v>
      </c>
      <c r="L953">
        <v>30</v>
      </c>
      <c r="M953">
        <v>70</v>
      </c>
      <c r="N953">
        <v>10000</v>
      </c>
      <c r="O953">
        <f>VLOOKUP($B953&amp;O$1,Data!$A$2:$D$12000,4,FALSE)</f>
        <v>5.3539999999999997E-2</v>
      </c>
      <c r="P953">
        <f>VLOOKUP($B953&amp;P$1,Data!$A$2:$D$12000,4,FALSE)</f>
        <v>-0.66100000000000003</v>
      </c>
      <c r="Q953">
        <f>VLOOKUP($B953&amp;Q$1,Data!$A$2:$D$12000,4,FALSE)</f>
        <v>873</v>
      </c>
      <c r="R953">
        <f>VLOOKUP($B953&amp;R$1,Data!$A$2:$D$12000,4,FALSE)</f>
        <v>0</v>
      </c>
      <c r="S953">
        <f>VLOOKUP($B953&amp;S$1,Data!$A$2:$D$12000,4,FALSE)</f>
        <v>0</v>
      </c>
      <c r="T953">
        <f>VLOOKUP($B953&amp;T$1,Data!$A$2:$D$12000,4,FALSE)</f>
        <v>-7.1000000000000002E-4</v>
      </c>
      <c r="U953">
        <f>VLOOKUP($B953&amp;U$1,Data!$A$2:$D$12000,4,FALSE)</f>
        <v>1E-3</v>
      </c>
      <c r="V953">
        <f>VLOOKUP($B953&amp;V$1,Data!$A$2:$D$12000,4,FALSE)</f>
        <v>-0.105</v>
      </c>
      <c r="W953">
        <f>VLOOKUP($B953&amp;W$1,Data!$A$2:$D$12000,4,FALSE)</f>
        <v>-4.6999999999999999E-4</v>
      </c>
      <c r="X953">
        <f>VLOOKUP($B953&amp;X$1,Data!$A$2:$D$12000,4,FALSE)</f>
        <v>0.37</v>
      </c>
      <c r="Y953">
        <f>VLOOKUP($B953&amp;Y$1,Data!$A$2:$D$12000,4,FALSE)</f>
        <v>0.63</v>
      </c>
      <c r="Z953">
        <f>VLOOKUP($B953&amp;Z$1,Data!$A$2:$D$12000,4,FALSE)</f>
        <v>0.43</v>
      </c>
      <c r="AA953">
        <f>VLOOKUP($B953&amp;AA$1,Data!$A$2:$D$12000,4,FALSE)</f>
        <v>0</v>
      </c>
      <c r="AB953">
        <f>VLOOKUP($B953&amp;AB$1,Data!$A$2:$D$12000,4,FALSE)</f>
        <v>-1E-3</v>
      </c>
      <c r="AC953">
        <f>VLOOKUP($B953&amp;AC$1,Data!$A$2:$D$12000,4,FALSE)</f>
        <v>1E-3</v>
      </c>
      <c r="AD953">
        <f>VLOOKUP($B953&amp;AD$1,Data!$A$2:$D$12000,4,FALSE)</f>
        <v>0</v>
      </c>
      <c r="AE953">
        <f>VLOOKUP($B953&amp;AE$1,Data!$A$2:$D$12000,4,FALSE)</f>
        <v>-0.78</v>
      </c>
      <c r="AF953">
        <f>VLOOKUP($B953&amp;AF$1,Data!$A$2:$D$12000,4,FALSE)</f>
        <v>6.7000000000000004E-2</v>
      </c>
      <c r="AG953">
        <f>VLOOKUP($B953&amp;AG$1,Data!$A$2:$D$12000,4,FALSE)</f>
        <v>0.68100000000000005</v>
      </c>
      <c r="AH953">
        <f>VLOOKUP($B953&amp;AH$1,Data!$A$2:$D$12000,4,FALSE)</f>
        <v>0</v>
      </c>
      <c r="AI953">
        <f>VLOOKUP($B953&amp;AI$1,Data!$A$2:$D$12000,4,FALSE)</f>
        <v>190000000</v>
      </c>
    </row>
    <row r="954" spans="2:35" hidden="1">
      <c r="B954" s="23">
        <v>953</v>
      </c>
      <c r="C954" s="13" t="s">
        <v>58</v>
      </c>
      <c r="D954" t="s">
        <v>0</v>
      </c>
      <c r="E954" t="s">
        <v>22</v>
      </c>
      <c r="F954">
        <v>100</v>
      </c>
      <c r="G954" t="s">
        <v>17</v>
      </c>
      <c r="H954" s="5">
        <v>43831</v>
      </c>
      <c r="I954" s="5">
        <v>44562</v>
      </c>
      <c r="J954">
        <v>14</v>
      </c>
      <c r="K954">
        <v>9</v>
      </c>
      <c r="L954">
        <v>30</v>
      </c>
      <c r="M954">
        <v>70</v>
      </c>
      <c r="N954">
        <v>10000</v>
      </c>
      <c r="O954">
        <f>VLOOKUP($B954&amp;O$1,Data!$A$2:$D$12000,4,FALSE)</f>
        <v>5.3659999999999999E-2</v>
      </c>
      <c r="P954">
        <f>VLOOKUP($B954&amp;P$1,Data!$A$2:$D$12000,4,FALSE)</f>
        <v>-0.65900000000000003</v>
      </c>
      <c r="Q954">
        <f>VLOOKUP($B954&amp;Q$1,Data!$A$2:$D$12000,4,FALSE)</f>
        <v>873</v>
      </c>
      <c r="R954">
        <f>VLOOKUP($B954&amp;R$1,Data!$A$2:$D$12000,4,FALSE)</f>
        <v>2.0000000000000001E-4</v>
      </c>
      <c r="S954">
        <f>VLOOKUP($B954&amp;S$1,Data!$A$2:$D$12000,4,FALSE)</f>
        <v>-4.0000000000000002E-4</v>
      </c>
      <c r="T954">
        <f>VLOOKUP($B954&amp;T$1,Data!$A$2:$D$12000,4,FALSE)</f>
        <v>-7.1000000000000004E-3</v>
      </c>
      <c r="U954">
        <f>VLOOKUP($B954&amp;U$1,Data!$A$2:$D$12000,4,FALSE)</f>
        <v>1.4E-2</v>
      </c>
      <c r="V954">
        <f>VLOOKUP($B954&amp;V$1,Data!$A$2:$D$12000,4,FALSE)</f>
        <v>-0.105</v>
      </c>
      <c r="W954">
        <f>VLOOKUP($B954&amp;W$1,Data!$A$2:$D$12000,4,FALSE)</f>
        <v>-4.7099999999999998E-3</v>
      </c>
      <c r="X954">
        <f>VLOOKUP($B954&amp;X$1,Data!$A$2:$D$12000,4,FALSE)</f>
        <v>0.37</v>
      </c>
      <c r="Y954">
        <f>VLOOKUP($B954&amp;Y$1,Data!$A$2:$D$12000,4,FALSE)</f>
        <v>0.63</v>
      </c>
      <c r="Z954">
        <f>VLOOKUP($B954&amp;Z$1,Data!$A$2:$D$12000,4,FALSE)</f>
        <v>0.43</v>
      </c>
      <c r="AA954">
        <f>VLOOKUP($B954&amp;AA$1,Data!$A$2:$D$12000,4,FALSE)</f>
        <v>-5.0000000000000001E-3</v>
      </c>
      <c r="AB954">
        <f>VLOOKUP($B954&amp;AB$1,Data!$A$2:$D$12000,4,FALSE)</f>
        <v>-7.0000000000000001E-3</v>
      </c>
      <c r="AC954">
        <f>VLOOKUP($B954&amp;AC$1,Data!$A$2:$D$12000,4,FALSE)</f>
        <v>7.0000000000000001E-3</v>
      </c>
      <c r="AD954">
        <f>VLOOKUP($B954&amp;AD$1,Data!$A$2:$D$12000,4,FALSE)</f>
        <v>0</v>
      </c>
      <c r="AE954">
        <f>VLOOKUP($B954&amp;AE$1,Data!$A$2:$D$12000,4,FALSE)</f>
        <v>-0.83499999999999996</v>
      </c>
      <c r="AF954">
        <f>VLOOKUP($B954&amp;AF$1,Data!$A$2:$D$12000,4,FALSE)</f>
        <v>6.8000000000000005E-2</v>
      </c>
      <c r="AG954">
        <f>VLOOKUP($B954&amp;AG$1,Data!$A$2:$D$12000,4,FALSE)</f>
        <v>0.68100000000000005</v>
      </c>
      <c r="AH954">
        <f>VLOOKUP($B954&amp;AH$1,Data!$A$2:$D$12000,4,FALSE)</f>
        <v>0</v>
      </c>
      <c r="AI954">
        <f>VLOOKUP($B954&amp;AI$1,Data!$A$2:$D$12000,4,FALSE)</f>
        <v>22000000</v>
      </c>
    </row>
    <row r="955" spans="2:35" hidden="1">
      <c r="B955" s="23">
        <v>954</v>
      </c>
      <c r="C955" s="13" t="s">
        <v>58</v>
      </c>
      <c r="D955" t="s">
        <v>0</v>
      </c>
      <c r="E955" t="s">
        <v>22</v>
      </c>
      <c r="F955">
        <v>200</v>
      </c>
      <c r="G955" t="s">
        <v>17</v>
      </c>
      <c r="H955" s="5">
        <v>43831</v>
      </c>
      <c r="I955" s="5">
        <v>44562</v>
      </c>
      <c r="J955">
        <v>14</v>
      </c>
      <c r="K955">
        <v>9</v>
      </c>
      <c r="L955">
        <v>30</v>
      </c>
      <c r="M955">
        <v>70</v>
      </c>
      <c r="N955">
        <v>10000</v>
      </c>
      <c r="O955">
        <f>VLOOKUP($B955&amp;O$1,Data!$A$2:$D$12000,4,FALSE)</f>
        <v>5.6460000000000003E-2</v>
      </c>
      <c r="P955">
        <f>VLOOKUP($B955&amp;P$1,Data!$A$2:$D$12000,4,FALSE)</f>
        <v>-0.66600000000000004</v>
      </c>
      <c r="Q955">
        <f>VLOOKUP($B955&amp;Q$1,Data!$A$2:$D$12000,4,FALSE)</f>
        <v>844</v>
      </c>
      <c r="R955">
        <f>VLOOKUP($B955&amp;R$1,Data!$A$2:$D$12000,4,FALSE)</f>
        <v>2.9999999999999997E-4</v>
      </c>
      <c r="S955">
        <f>VLOOKUP($B955&amp;S$1,Data!$A$2:$D$12000,4,FALSE)</f>
        <v>-6.9999999999999999E-4</v>
      </c>
      <c r="T955">
        <f>VLOOKUP($B955&amp;T$1,Data!$A$2:$D$12000,4,FALSE)</f>
        <v>-1.2670000000000001E-2</v>
      </c>
      <c r="U955">
        <f>VLOOKUP($B955&amp;U$1,Data!$A$2:$D$12000,4,FALSE)</f>
        <v>2.3E-2</v>
      </c>
      <c r="V955">
        <f>VLOOKUP($B955&amp;V$1,Data!$A$2:$D$12000,4,FALSE)</f>
        <v>-0.108</v>
      </c>
      <c r="W955">
        <f>VLOOKUP($B955&amp;W$1,Data!$A$2:$D$12000,4,FALSE)</f>
        <v>-8.4200000000000004E-3</v>
      </c>
      <c r="X955">
        <f>VLOOKUP($B955&amp;X$1,Data!$A$2:$D$12000,4,FALSE)</f>
        <v>0.39</v>
      </c>
      <c r="Y955">
        <f>VLOOKUP($B955&amp;Y$1,Data!$A$2:$D$12000,4,FALSE)</f>
        <v>0.61</v>
      </c>
      <c r="Z955">
        <f>VLOOKUP($B955&amp;Z$1,Data!$A$2:$D$12000,4,FALSE)</f>
        <v>0.47</v>
      </c>
      <c r="AA955">
        <f>VLOOKUP($B955&amp;AA$1,Data!$A$2:$D$12000,4,FALSE)</f>
        <v>-8.0000000000000002E-3</v>
      </c>
      <c r="AB955">
        <f>VLOOKUP($B955&amp;AB$1,Data!$A$2:$D$12000,4,FALSE)</f>
        <v>-6.0000000000000001E-3</v>
      </c>
      <c r="AC955">
        <f>VLOOKUP($B955&amp;AC$1,Data!$A$2:$D$12000,4,FALSE)</f>
        <v>1.2999999999999999E-2</v>
      </c>
      <c r="AD955">
        <f>VLOOKUP($B955&amp;AD$1,Data!$A$2:$D$12000,4,FALSE)</f>
        <v>0</v>
      </c>
      <c r="AE955">
        <f>VLOOKUP($B955&amp;AE$1,Data!$A$2:$D$12000,4,FALSE)</f>
        <v>-0.88100000000000001</v>
      </c>
      <c r="AF955">
        <f>VLOOKUP($B955&amp;AF$1,Data!$A$2:$D$12000,4,FALSE)</f>
        <v>6.9000000000000006E-2</v>
      </c>
      <c r="AG955">
        <f>VLOOKUP($B955&amp;AG$1,Data!$A$2:$D$12000,4,FALSE)</f>
        <v>1.359</v>
      </c>
      <c r="AH955">
        <f>VLOOKUP($B955&amp;AH$1,Data!$A$2:$D$12000,4,FALSE)</f>
        <v>0</v>
      </c>
      <c r="AI955">
        <f>VLOOKUP($B955&amp;AI$1,Data!$A$2:$D$12000,4,FALSE)</f>
        <v>12000000</v>
      </c>
    </row>
    <row r="956" spans="2:35" hidden="1">
      <c r="B956" s="24">
        <v>955</v>
      </c>
      <c r="C956" s="13" t="s">
        <v>58</v>
      </c>
      <c r="D956" t="s">
        <v>0</v>
      </c>
      <c r="E956" t="s">
        <v>3</v>
      </c>
      <c r="F956">
        <v>10</v>
      </c>
      <c r="G956" t="s">
        <v>17</v>
      </c>
      <c r="H956" s="5">
        <v>43831</v>
      </c>
      <c r="I956" s="5">
        <v>44562</v>
      </c>
      <c r="J956">
        <v>14</v>
      </c>
      <c r="K956">
        <v>9</v>
      </c>
      <c r="L956">
        <v>32</v>
      </c>
      <c r="M956">
        <v>68</v>
      </c>
      <c r="N956">
        <v>10000</v>
      </c>
      <c r="O956">
        <f>VLOOKUP($B956&amp;O$1,Data!$A$2:$D$12000,4,FALSE)</f>
        <v>1.9060000000000001E-2</v>
      </c>
      <c r="P956">
        <f>VLOOKUP($B956&amp;P$1,Data!$A$2:$D$12000,4,FALSE)</f>
        <v>-1.004</v>
      </c>
      <c r="Q956">
        <f>VLOOKUP($B956&amp;Q$1,Data!$A$2:$D$12000,4,FALSE)</f>
        <v>1321</v>
      </c>
      <c r="R956">
        <f>VLOOKUP($B956&amp;R$1,Data!$A$2:$D$12000,4,FALSE)</f>
        <v>5.0000000000000001E-4</v>
      </c>
      <c r="S956">
        <f>VLOOKUP($B956&amp;S$1,Data!$A$2:$D$12000,4,FALSE)</f>
        <v>-1.1999999999999999E-3</v>
      </c>
      <c r="T956">
        <f>VLOOKUP($B956&amp;T$1,Data!$A$2:$D$12000,4,FALSE)</f>
        <v>-2.9850000000000002E-2</v>
      </c>
      <c r="U956">
        <f>VLOOKUP($B956&amp;U$1,Data!$A$2:$D$12000,4,FALSE)</f>
        <v>3.4000000000000002E-2</v>
      </c>
      <c r="V956">
        <f>VLOOKUP($B956&amp;V$1,Data!$A$2:$D$12000,4,FALSE)</f>
        <v>-8.8999999999999996E-2</v>
      </c>
      <c r="W956">
        <f>VLOOKUP($B956&amp;W$1,Data!$A$2:$D$12000,4,FALSE)</f>
        <v>-1.9970000000000002E-2</v>
      </c>
      <c r="X956">
        <f>VLOOKUP($B956&amp;X$1,Data!$A$2:$D$12000,4,FALSE)</f>
        <v>0.34</v>
      </c>
      <c r="Y956">
        <f>VLOOKUP($B956&amp;Y$1,Data!$A$2:$D$12000,4,FALSE)</f>
        <v>0.66</v>
      </c>
      <c r="Z956">
        <f>VLOOKUP($B956&amp;Z$1,Data!$A$2:$D$12000,4,FALSE)</f>
        <v>0.37</v>
      </c>
      <c r="AA956">
        <f>VLOOKUP($B956&amp;AA$1,Data!$A$2:$D$12000,4,FALSE)</f>
        <v>-1.9E-2</v>
      </c>
      <c r="AB956">
        <f>VLOOKUP($B956&amp;AB$1,Data!$A$2:$D$12000,4,FALSE)</f>
        <v>-0.03</v>
      </c>
      <c r="AC956">
        <f>VLOOKUP($B956&amp;AC$1,Data!$A$2:$D$12000,4,FALSE)</f>
        <v>0.02</v>
      </c>
      <c r="AD956">
        <f>VLOOKUP($B956&amp;AD$1,Data!$A$2:$D$12000,4,FALSE)</f>
        <v>0</v>
      </c>
      <c r="AE956">
        <f>VLOOKUP($B956&amp;AE$1,Data!$A$2:$D$12000,4,FALSE)</f>
        <v>-1.004</v>
      </c>
      <c r="AF956">
        <f>VLOOKUP($B956&amp;AF$1,Data!$A$2:$D$12000,4,FALSE)</f>
        <v>7.1999999999999995E-2</v>
      </c>
      <c r="AG956">
        <f>VLOOKUP($B956&amp;AG$1,Data!$A$2:$D$12000,4,FALSE)</f>
        <v>0.68799999999999994</v>
      </c>
      <c r="AH956">
        <f>VLOOKUP($B956&amp;AH$1,Data!$A$2:$D$12000,4,FALSE)</f>
        <v>0</v>
      </c>
      <c r="AI956">
        <f>VLOOKUP($B956&amp;AI$1,Data!$A$2:$D$12000,4,FALSE)</f>
        <v>5100000</v>
      </c>
    </row>
    <row r="957" spans="2:35" hidden="1">
      <c r="B957" s="24">
        <v>956</v>
      </c>
      <c r="C957" s="13" t="s">
        <v>58</v>
      </c>
      <c r="D957" t="s">
        <v>0</v>
      </c>
      <c r="E957" t="s">
        <v>3</v>
      </c>
      <c r="F957">
        <v>100</v>
      </c>
      <c r="G957" t="s">
        <v>17</v>
      </c>
      <c r="H957" s="5">
        <v>43831</v>
      </c>
      <c r="I957" s="5">
        <v>44562</v>
      </c>
      <c r="J957">
        <v>14</v>
      </c>
      <c r="K957">
        <v>9</v>
      </c>
      <c r="L957">
        <v>32</v>
      </c>
      <c r="M957">
        <v>68</v>
      </c>
      <c r="N957">
        <v>10000</v>
      </c>
      <c r="O957">
        <f>VLOOKUP($B957&amp;O$1,Data!$A$2:$D$12000,4,FALSE)</f>
        <v>1.553E-2</v>
      </c>
      <c r="P957">
        <f>VLOOKUP($B957&amp;P$1,Data!$A$2:$D$12000,4,FALSE)</f>
        <v>-1.0629999999999999</v>
      </c>
      <c r="Q957">
        <f>VLOOKUP($B957&amp;Q$1,Data!$A$2:$D$12000,4,FALSE)</f>
        <v>865</v>
      </c>
      <c r="R957">
        <f>VLOOKUP($B957&amp;R$1,Data!$A$2:$D$12000,4,FALSE)</f>
        <v>5.9999999999999995E-4</v>
      </c>
      <c r="S957">
        <f>VLOOKUP($B957&amp;S$1,Data!$A$2:$D$12000,4,FALSE)</f>
        <v>-1.8E-3</v>
      </c>
      <c r="T957">
        <f>VLOOKUP($B957&amp;T$1,Data!$A$2:$D$12000,4,FALSE)</f>
        <v>-3.6920000000000001E-2</v>
      </c>
      <c r="U957">
        <f>VLOOKUP($B957&amp;U$1,Data!$A$2:$D$12000,4,FALSE)</f>
        <v>3.5999999999999997E-2</v>
      </c>
      <c r="V957">
        <f>VLOOKUP($B957&amp;V$1,Data!$A$2:$D$12000,4,FALSE)</f>
        <v>-8.8999999999999996E-2</v>
      </c>
      <c r="W957">
        <f>VLOOKUP($B957&amp;W$1,Data!$A$2:$D$12000,4,FALSE)</f>
        <v>-2.4729999999999999E-2</v>
      </c>
      <c r="X957">
        <f>VLOOKUP($B957&amp;X$1,Data!$A$2:$D$12000,4,FALSE)</f>
        <v>0.32</v>
      </c>
      <c r="Y957">
        <f>VLOOKUP($B957&amp;Y$1,Data!$A$2:$D$12000,4,FALSE)</f>
        <v>0.68</v>
      </c>
      <c r="Z957">
        <f>VLOOKUP($B957&amp;Z$1,Data!$A$2:$D$12000,4,FALSE)</f>
        <v>0.34</v>
      </c>
      <c r="AA957">
        <f>VLOOKUP($B957&amp;AA$1,Data!$A$2:$D$12000,4,FALSE)</f>
        <v>-2.4E-2</v>
      </c>
      <c r="AB957">
        <f>VLOOKUP($B957&amp;AB$1,Data!$A$2:$D$12000,4,FALSE)</f>
        <v>-2.3E-2</v>
      </c>
      <c r="AC957">
        <f>VLOOKUP($B957&amp;AC$1,Data!$A$2:$D$12000,4,FALSE)</f>
        <v>2.4E-2</v>
      </c>
      <c r="AD957">
        <f>VLOOKUP($B957&amp;AD$1,Data!$A$2:$D$12000,4,FALSE)</f>
        <v>1E-3</v>
      </c>
      <c r="AE957">
        <f>VLOOKUP($B957&amp;AE$1,Data!$A$2:$D$12000,4,FALSE)</f>
        <v>-1.0620000000000001</v>
      </c>
      <c r="AF957">
        <f>VLOOKUP($B957&amp;AF$1,Data!$A$2:$D$12000,4,FALSE)</f>
        <v>7.2999999999999995E-2</v>
      </c>
      <c r="AG957">
        <f>VLOOKUP($B957&amp;AG$1,Data!$A$2:$D$12000,4,FALSE)</f>
        <v>1.1000000000000001</v>
      </c>
      <c r="AH957">
        <f>VLOOKUP($B957&amp;AH$1,Data!$A$2:$D$12000,4,FALSE)</f>
        <v>0</v>
      </c>
      <c r="AI957">
        <f>VLOOKUP($B957&amp;AI$1,Data!$A$2:$D$12000,4,FALSE)</f>
        <v>5400000</v>
      </c>
    </row>
    <row r="958" spans="2:35" hidden="1">
      <c r="B958" s="24">
        <v>957</v>
      </c>
      <c r="C958" s="13" t="s">
        <v>58</v>
      </c>
      <c r="D958" t="s">
        <v>0</v>
      </c>
      <c r="E958" t="s">
        <v>3</v>
      </c>
      <c r="F958">
        <v>200</v>
      </c>
      <c r="G958" t="s">
        <v>17</v>
      </c>
      <c r="H958" s="5">
        <v>43831</v>
      </c>
      <c r="I958" s="5">
        <v>44562</v>
      </c>
      <c r="J958">
        <v>14</v>
      </c>
      <c r="K958">
        <v>9</v>
      </c>
      <c r="L958">
        <v>32</v>
      </c>
      <c r="M958">
        <v>68</v>
      </c>
      <c r="N958">
        <v>10000</v>
      </c>
      <c r="O958">
        <f>VLOOKUP($B958&amp;O$1,Data!$A$2:$D$12000,4,FALSE)</f>
        <v>1.8610000000000002E-2</v>
      </c>
      <c r="P958">
        <f>VLOOKUP($B958&amp;P$1,Data!$A$2:$D$12000,4,FALSE)</f>
        <v>-1.034</v>
      </c>
      <c r="Q958">
        <f>VLOOKUP($B958&amp;Q$1,Data!$A$2:$D$12000,4,FALSE)</f>
        <v>741</v>
      </c>
      <c r="R958">
        <f>VLOOKUP($B958&amp;R$1,Data!$A$2:$D$12000,4,FALSE)</f>
        <v>8.0000000000000004E-4</v>
      </c>
      <c r="S958">
        <f>VLOOKUP($B958&amp;S$1,Data!$A$2:$D$12000,4,FALSE)</f>
        <v>-2E-3</v>
      </c>
      <c r="T958">
        <f>VLOOKUP($B958&amp;T$1,Data!$A$2:$D$12000,4,FALSE)</f>
        <v>-4.052E-2</v>
      </c>
      <c r="U958">
        <f>VLOOKUP($B958&amp;U$1,Data!$A$2:$D$12000,4,FALSE)</f>
        <v>4.2999999999999997E-2</v>
      </c>
      <c r="V958">
        <f>VLOOKUP($B958&amp;V$1,Data!$A$2:$D$12000,4,FALSE)</f>
        <v>-0.09</v>
      </c>
      <c r="W958">
        <f>VLOOKUP($B958&amp;W$1,Data!$A$2:$D$12000,4,FALSE)</f>
        <v>-2.716E-2</v>
      </c>
      <c r="X958">
        <f>VLOOKUP($B958&amp;X$1,Data!$A$2:$D$12000,4,FALSE)</f>
        <v>0.34</v>
      </c>
      <c r="Y958">
        <f>VLOOKUP($B958&amp;Y$1,Data!$A$2:$D$12000,4,FALSE)</f>
        <v>0.66</v>
      </c>
      <c r="Z958">
        <f>VLOOKUP($B958&amp;Z$1,Data!$A$2:$D$12000,4,FALSE)</f>
        <v>0.37</v>
      </c>
      <c r="AA958">
        <f>VLOOKUP($B958&amp;AA$1,Data!$A$2:$D$12000,4,FALSE)</f>
        <v>-2.7E-2</v>
      </c>
      <c r="AB958">
        <f>VLOOKUP($B958&amp;AB$1,Data!$A$2:$D$12000,4,FALSE)</f>
        <v>-1.7999999999999999E-2</v>
      </c>
      <c r="AC958">
        <f>VLOOKUP($B958&amp;AC$1,Data!$A$2:$D$12000,4,FALSE)</f>
        <v>2.7E-2</v>
      </c>
      <c r="AD958">
        <f>VLOOKUP($B958&amp;AD$1,Data!$A$2:$D$12000,4,FALSE)</f>
        <v>1E-3</v>
      </c>
      <c r="AE958">
        <f>VLOOKUP($B958&amp;AE$1,Data!$A$2:$D$12000,4,FALSE)</f>
        <v>-1.085</v>
      </c>
      <c r="AF958">
        <f>VLOOKUP($B958&amp;AF$1,Data!$A$2:$D$12000,4,FALSE)</f>
        <v>7.3999999999999996E-2</v>
      </c>
      <c r="AG958">
        <f>VLOOKUP($B958&amp;AG$1,Data!$A$2:$D$12000,4,FALSE)</f>
        <v>1.5489999999999999</v>
      </c>
      <c r="AH958">
        <f>VLOOKUP($B958&amp;AH$1,Data!$A$2:$D$12000,4,FALSE)</f>
        <v>0</v>
      </c>
      <c r="AI958">
        <f>VLOOKUP($B958&amp;AI$1,Data!$A$2:$D$12000,4,FALSE)</f>
        <v>5600000</v>
      </c>
    </row>
    <row r="959" spans="2:35" hidden="1">
      <c r="B959" s="24">
        <v>958</v>
      </c>
      <c r="C959" s="13" t="s">
        <v>58</v>
      </c>
      <c r="D959" t="s">
        <v>0</v>
      </c>
      <c r="E959" t="s">
        <v>2</v>
      </c>
      <c r="F959">
        <v>10</v>
      </c>
      <c r="G959" t="s">
        <v>17</v>
      </c>
      <c r="H959" s="5">
        <v>43831</v>
      </c>
      <c r="I959" s="5">
        <v>44562</v>
      </c>
      <c r="J959">
        <v>14</v>
      </c>
      <c r="K959">
        <v>9</v>
      </c>
      <c r="L959">
        <v>32</v>
      </c>
      <c r="M959">
        <v>68</v>
      </c>
      <c r="N959">
        <v>10000</v>
      </c>
      <c r="O959">
        <f>VLOOKUP($B959&amp;O$1,Data!$A$2:$D$12000,4,FALSE)</f>
        <v>4.0230000000000002E-2</v>
      </c>
      <c r="P959">
        <f>VLOOKUP($B959&amp;P$1,Data!$A$2:$D$12000,4,FALSE)</f>
        <v>-0.74</v>
      </c>
      <c r="Q959">
        <f>VLOOKUP($B959&amp;Q$1,Data!$A$2:$D$12000,4,FALSE)</f>
        <v>1094</v>
      </c>
      <c r="R959">
        <f>VLOOKUP($B959&amp;R$1,Data!$A$2:$D$12000,4,FALSE)</f>
        <v>4.0000000000000002E-4</v>
      </c>
      <c r="S959">
        <f>VLOOKUP($B959&amp;S$1,Data!$A$2:$D$12000,4,FALSE)</f>
        <v>-8.9999999999999998E-4</v>
      </c>
      <c r="T959">
        <f>VLOOKUP($B959&amp;T$1,Data!$A$2:$D$12000,4,FALSE)</f>
        <v>-2.12E-2</v>
      </c>
      <c r="U959">
        <f>VLOOKUP($B959&amp;U$1,Data!$A$2:$D$12000,4,FALSE)</f>
        <v>3.9E-2</v>
      </c>
      <c r="V959">
        <f>VLOOKUP($B959&amp;V$1,Data!$A$2:$D$12000,4,FALSE)</f>
        <v>-0.09</v>
      </c>
      <c r="W959">
        <f>VLOOKUP($B959&amp;W$1,Data!$A$2:$D$12000,4,FALSE)</f>
        <v>-1.4160000000000001E-2</v>
      </c>
      <c r="X959">
        <f>VLOOKUP($B959&amp;X$1,Data!$A$2:$D$12000,4,FALSE)</f>
        <v>0.38</v>
      </c>
      <c r="Y959">
        <f>VLOOKUP($B959&amp;Y$1,Data!$A$2:$D$12000,4,FALSE)</f>
        <v>0.62</v>
      </c>
      <c r="Z959">
        <f>VLOOKUP($B959&amp;Z$1,Data!$A$2:$D$12000,4,FALSE)</f>
        <v>0.47</v>
      </c>
      <c r="AA959">
        <f>VLOOKUP($B959&amp;AA$1,Data!$A$2:$D$12000,4,FALSE)</f>
        <v>-1.4999999999999999E-2</v>
      </c>
      <c r="AB959">
        <f>VLOOKUP($B959&amp;AB$1,Data!$A$2:$D$12000,4,FALSE)</f>
        <v>0</v>
      </c>
      <c r="AC959">
        <f>VLOOKUP($B959&amp;AC$1,Data!$A$2:$D$12000,4,FALSE)</f>
        <v>0.02</v>
      </c>
      <c r="AD959">
        <f>VLOOKUP($B959&amp;AD$1,Data!$A$2:$D$12000,4,FALSE)</f>
        <v>0</v>
      </c>
      <c r="AE959">
        <f>VLOOKUP($B959&amp;AE$1,Data!$A$2:$D$12000,4,FALSE)</f>
        <v>-0.91100000000000003</v>
      </c>
      <c r="AF959">
        <f>VLOOKUP($B959&amp;AF$1,Data!$A$2:$D$12000,4,FALSE)</f>
        <v>7.0000000000000007E-2</v>
      </c>
      <c r="AG959">
        <f>VLOOKUP($B959&amp;AG$1,Data!$A$2:$D$12000,4,FALSE)</f>
        <v>-31.3</v>
      </c>
      <c r="AH959">
        <f>VLOOKUP($B959&amp;AH$1,Data!$A$2:$D$12000,4,FALSE)</f>
        <v>0</v>
      </c>
      <c r="AI959">
        <f>VLOOKUP($B959&amp;AI$1,Data!$A$2:$D$12000,4,FALSE)</f>
        <v>5500000</v>
      </c>
    </row>
    <row r="960" spans="2:35" hidden="1">
      <c r="B960" s="24">
        <v>959</v>
      </c>
      <c r="C960" s="13" t="s">
        <v>58</v>
      </c>
      <c r="D960" t="s">
        <v>0</v>
      </c>
      <c r="E960" t="s">
        <v>2</v>
      </c>
      <c r="F960">
        <v>100</v>
      </c>
      <c r="G960" t="s">
        <v>17</v>
      </c>
      <c r="H960" s="5">
        <v>43831</v>
      </c>
      <c r="I960" s="5">
        <v>44562</v>
      </c>
      <c r="J960">
        <v>14</v>
      </c>
      <c r="K960">
        <v>9</v>
      </c>
      <c r="L960">
        <v>32</v>
      </c>
      <c r="M960">
        <v>68</v>
      </c>
      <c r="N960">
        <v>10000</v>
      </c>
      <c r="O960">
        <f>VLOOKUP($B960&amp;O$1,Data!$A$2:$D$12000,4,FALSE)</f>
        <v>3.6080000000000001E-2</v>
      </c>
      <c r="P960">
        <f>VLOOKUP($B960&amp;P$1,Data!$A$2:$D$12000,4,FALSE)</f>
        <v>-0.80900000000000005</v>
      </c>
      <c r="Q960">
        <f>VLOOKUP($B960&amp;Q$1,Data!$A$2:$D$12000,4,FALSE)</f>
        <v>712</v>
      </c>
      <c r="R960">
        <f>VLOOKUP($B960&amp;R$1,Data!$A$2:$D$12000,4,FALSE)</f>
        <v>5.0000000000000001E-4</v>
      </c>
      <c r="S960">
        <f>VLOOKUP($B960&amp;S$1,Data!$A$2:$D$12000,4,FALSE)</f>
        <v>-1.1999999999999999E-3</v>
      </c>
      <c r="T960">
        <f>VLOOKUP($B960&amp;T$1,Data!$A$2:$D$12000,4,FALSE)</f>
        <v>-2.4570000000000002E-2</v>
      </c>
      <c r="U960">
        <f>VLOOKUP($B960&amp;U$1,Data!$A$2:$D$12000,4,FALSE)</f>
        <v>3.5000000000000003E-2</v>
      </c>
      <c r="V960">
        <f>VLOOKUP($B960&amp;V$1,Data!$A$2:$D$12000,4,FALSE)</f>
        <v>-0.1</v>
      </c>
      <c r="W960">
        <f>VLOOKUP($B960&amp;W$1,Data!$A$2:$D$12000,4,FALSE)</f>
        <v>-1.6420000000000001E-2</v>
      </c>
      <c r="X960">
        <f>VLOOKUP($B960&amp;X$1,Data!$A$2:$D$12000,4,FALSE)</f>
        <v>0.36</v>
      </c>
      <c r="Y960">
        <f>VLOOKUP($B960&amp;Y$1,Data!$A$2:$D$12000,4,FALSE)</f>
        <v>0.64</v>
      </c>
      <c r="Z960">
        <f>VLOOKUP($B960&amp;Z$1,Data!$A$2:$D$12000,4,FALSE)</f>
        <v>0.4</v>
      </c>
      <c r="AA960">
        <f>VLOOKUP($B960&amp;AA$1,Data!$A$2:$D$12000,4,FALSE)</f>
        <v>-1.7999999999999999E-2</v>
      </c>
      <c r="AB960">
        <f>VLOOKUP($B960&amp;AB$1,Data!$A$2:$D$12000,4,FALSE)</f>
        <v>2.5999999999999999E-2</v>
      </c>
      <c r="AC960">
        <f>VLOOKUP($B960&amp;AC$1,Data!$A$2:$D$12000,4,FALSE)</f>
        <v>2.1000000000000001E-2</v>
      </c>
      <c r="AD960">
        <f>VLOOKUP($B960&amp;AD$1,Data!$A$2:$D$12000,4,FALSE)</f>
        <v>0</v>
      </c>
      <c r="AE960">
        <f>VLOOKUP($B960&amp;AE$1,Data!$A$2:$D$12000,4,FALSE)</f>
        <v>-1.002</v>
      </c>
      <c r="AF960">
        <f>VLOOKUP($B960&amp;AF$1,Data!$A$2:$D$12000,4,FALSE)</f>
        <v>6.9000000000000006E-2</v>
      </c>
      <c r="AG960">
        <f>VLOOKUP($B960&amp;AG$1,Data!$A$2:$D$12000,4,FALSE)</f>
        <v>-0.63900000000000001</v>
      </c>
      <c r="AH960">
        <f>VLOOKUP($B960&amp;AH$1,Data!$A$2:$D$12000,4,FALSE)</f>
        <v>0</v>
      </c>
      <c r="AI960">
        <f>VLOOKUP($B960&amp;AI$1,Data!$A$2:$D$12000,4,FALSE)</f>
        <v>6000000</v>
      </c>
    </row>
    <row r="961" spans="2:35" hidden="1">
      <c r="B961" s="24">
        <v>960</v>
      </c>
      <c r="C961" s="13" t="s">
        <v>58</v>
      </c>
      <c r="D961" t="s">
        <v>0</v>
      </c>
      <c r="E961" t="s">
        <v>2</v>
      </c>
      <c r="F961">
        <v>200</v>
      </c>
      <c r="G961" t="s">
        <v>17</v>
      </c>
      <c r="H961" s="5">
        <v>43831</v>
      </c>
      <c r="I961" s="5">
        <v>44562</v>
      </c>
      <c r="J961">
        <v>14</v>
      </c>
      <c r="K961">
        <v>9</v>
      </c>
      <c r="L961">
        <v>32</v>
      </c>
      <c r="M961">
        <v>68</v>
      </c>
      <c r="N961">
        <v>10000</v>
      </c>
      <c r="O961">
        <f>VLOOKUP($B961&amp;O$1,Data!$A$2:$D$12000,4,FALSE)</f>
        <v>9.9799999999999993E-3</v>
      </c>
      <c r="P961">
        <f>VLOOKUP($B961&amp;P$1,Data!$A$2:$D$12000,4,FALSE)</f>
        <v>-1.2609999999999999</v>
      </c>
      <c r="Q961">
        <f>VLOOKUP($B961&amp;Q$1,Data!$A$2:$D$12000,4,FALSE)</f>
        <v>614</v>
      </c>
      <c r="R961">
        <f>VLOOKUP($B961&amp;R$1,Data!$A$2:$D$12000,4,FALSE)</f>
        <v>5.0000000000000001E-4</v>
      </c>
      <c r="S961">
        <f>VLOOKUP($B961&amp;S$1,Data!$A$2:$D$12000,4,FALSE)</f>
        <v>-1.5E-3</v>
      </c>
      <c r="T961">
        <f>VLOOKUP($B961&amp;T$1,Data!$A$2:$D$12000,4,FALSE)</f>
        <v>-3.9980000000000002E-2</v>
      </c>
      <c r="U961">
        <f>VLOOKUP($B961&amp;U$1,Data!$A$2:$D$12000,4,FALSE)</f>
        <v>4.1000000000000002E-2</v>
      </c>
      <c r="V961">
        <f>VLOOKUP($B961&amp;V$1,Data!$A$2:$D$12000,4,FALSE)</f>
        <v>-0.14499999999999999</v>
      </c>
      <c r="W961">
        <f>VLOOKUP($B961&amp;W$1,Data!$A$2:$D$12000,4,FALSE)</f>
        <v>-2.6800000000000001E-2</v>
      </c>
      <c r="X961">
        <f>VLOOKUP($B961&amp;X$1,Data!$A$2:$D$12000,4,FALSE)</f>
        <v>0.37</v>
      </c>
      <c r="Y961">
        <f>VLOOKUP($B961&amp;Y$1,Data!$A$2:$D$12000,4,FALSE)</f>
        <v>0.63</v>
      </c>
      <c r="Z961">
        <f>VLOOKUP($B961&amp;Z$1,Data!$A$2:$D$12000,4,FALSE)</f>
        <v>0.36</v>
      </c>
      <c r="AA961">
        <f>VLOOKUP($B961&amp;AA$1,Data!$A$2:$D$12000,4,FALSE)</f>
        <v>-2.9000000000000001E-2</v>
      </c>
      <c r="AB961">
        <f>VLOOKUP($B961&amp;AB$1,Data!$A$2:$D$12000,4,FALSE)</f>
        <v>1.9E-2</v>
      </c>
      <c r="AC961">
        <f>VLOOKUP($B961&amp;AC$1,Data!$A$2:$D$12000,4,FALSE)</f>
        <v>2.1999999999999999E-2</v>
      </c>
      <c r="AD961">
        <f>VLOOKUP($B961&amp;AD$1,Data!$A$2:$D$12000,4,FALSE)</f>
        <v>0</v>
      </c>
      <c r="AE961">
        <f>VLOOKUP($B961&amp;AE$1,Data!$A$2:$D$12000,4,FALSE)</f>
        <v>-1.1060000000000001</v>
      </c>
      <c r="AF961">
        <f>VLOOKUP($B961&amp;AF$1,Data!$A$2:$D$12000,4,FALSE)</f>
        <v>7.0000000000000007E-2</v>
      </c>
      <c r="AG961">
        <f>VLOOKUP($B961&amp;AG$1,Data!$A$2:$D$12000,4,FALSE)</f>
        <v>-1.482</v>
      </c>
      <c r="AH961">
        <f>VLOOKUP($B961&amp;AH$1,Data!$A$2:$D$12000,4,FALSE)</f>
        <v>0</v>
      </c>
      <c r="AI961">
        <f>VLOOKUP($B961&amp;AI$1,Data!$A$2:$D$12000,4,FALSE)</f>
        <v>6200000</v>
      </c>
    </row>
    <row r="962" spans="2:35" hidden="1">
      <c r="B962" s="24">
        <v>961</v>
      </c>
      <c r="C962" s="13" t="s">
        <v>58</v>
      </c>
      <c r="D962" t="s">
        <v>0</v>
      </c>
      <c r="E962" t="s">
        <v>22</v>
      </c>
      <c r="F962">
        <v>10</v>
      </c>
      <c r="G962" t="s">
        <v>17</v>
      </c>
      <c r="H962" s="5">
        <v>43831</v>
      </c>
      <c r="I962" s="5">
        <v>44562</v>
      </c>
      <c r="J962">
        <v>14</v>
      </c>
      <c r="K962">
        <v>9</v>
      </c>
      <c r="L962">
        <v>32</v>
      </c>
      <c r="M962">
        <v>68</v>
      </c>
      <c r="N962">
        <v>10000</v>
      </c>
      <c r="O962">
        <f>VLOOKUP($B962&amp;O$1,Data!$A$2:$D$12000,4,FALSE)</f>
        <v>1.0000000000000001E-5</v>
      </c>
      <c r="P962">
        <f>VLOOKUP($B962&amp;P$1,Data!$A$2:$D$12000,4,FALSE)</f>
        <v>-2.746</v>
      </c>
      <c r="Q962">
        <f>VLOOKUP($B962&amp;Q$1,Data!$A$2:$D$12000,4,FALSE)</f>
        <v>839</v>
      </c>
      <c r="R962">
        <f>VLOOKUP($B962&amp;R$1,Data!$A$2:$D$12000,4,FALSE)</f>
        <v>2.9999999999999997E-4</v>
      </c>
      <c r="S962">
        <f>VLOOKUP($B962&amp;S$1,Data!$A$2:$D$12000,4,FALSE)</f>
        <v>-1.2999999999999999E-3</v>
      </c>
      <c r="T962">
        <f>VLOOKUP($B962&amp;T$1,Data!$A$2:$D$12000,4,FALSE)</f>
        <v>-6.1789999999999998E-2</v>
      </c>
      <c r="U962">
        <f>VLOOKUP($B962&amp;U$1,Data!$A$2:$D$12000,4,FALSE)</f>
        <v>4.2999999999999997E-2</v>
      </c>
      <c r="V962">
        <f>VLOOKUP($B962&amp;V$1,Data!$A$2:$D$12000,4,FALSE)</f>
        <v>-0.253</v>
      </c>
      <c r="W962">
        <f>VLOOKUP($B962&amp;W$1,Data!$A$2:$D$12000,4,FALSE)</f>
        <v>-4.1570000000000003E-2</v>
      </c>
      <c r="X962">
        <f>VLOOKUP($B962&amp;X$1,Data!$A$2:$D$12000,4,FALSE)</f>
        <v>0.38</v>
      </c>
      <c r="Y962">
        <f>VLOOKUP($B962&amp;Y$1,Data!$A$2:$D$12000,4,FALSE)</f>
        <v>0.62</v>
      </c>
      <c r="Z962">
        <f>VLOOKUP($B962&amp;Z$1,Data!$A$2:$D$12000,4,FALSE)</f>
        <v>0.21</v>
      </c>
      <c r="AA962">
        <f>VLOOKUP($B962&amp;AA$1,Data!$A$2:$D$12000,4,FALSE)</f>
        <v>-4.2000000000000003E-2</v>
      </c>
      <c r="AB962">
        <f>VLOOKUP($B962&amp;AB$1,Data!$A$2:$D$12000,4,FALSE)</f>
        <v>-1.4E-2</v>
      </c>
      <c r="AC962">
        <f>VLOOKUP($B962&amp;AC$1,Data!$A$2:$D$12000,4,FALSE)</f>
        <v>1.6E-2</v>
      </c>
      <c r="AD962">
        <f>VLOOKUP($B962&amp;AD$1,Data!$A$2:$D$12000,4,FALSE)</f>
        <v>0</v>
      </c>
      <c r="AE962">
        <f>VLOOKUP($B962&amp;AE$1,Data!$A$2:$D$12000,4,FALSE)</f>
        <v>-1.319</v>
      </c>
      <c r="AF962">
        <f>VLOOKUP($B962&amp;AF$1,Data!$A$2:$D$12000,4,FALSE)</f>
        <v>7.0000000000000007E-2</v>
      </c>
      <c r="AG962">
        <f>VLOOKUP($B962&amp;AG$1,Data!$A$2:$D$12000,4,FALSE)</f>
        <v>2.984</v>
      </c>
      <c r="AH962">
        <f>VLOOKUP($B962&amp;AH$1,Data!$A$2:$D$12000,4,FALSE)</f>
        <v>0</v>
      </c>
      <c r="AI962">
        <f>VLOOKUP($B962&amp;AI$1,Data!$A$2:$D$12000,4,FALSE)</f>
        <v>6300000</v>
      </c>
    </row>
    <row r="963" spans="2:35" hidden="1">
      <c r="B963" s="24">
        <v>962</v>
      </c>
      <c r="C963" s="13" t="s">
        <v>58</v>
      </c>
      <c r="D963" t="s">
        <v>0</v>
      </c>
      <c r="E963" t="s">
        <v>22</v>
      </c>
      <c r="F963">
        <v>100</v>
      </c>
      <c r="G963" t="s">
        <v>17</v>
      </c>
      <c r="H963" s="5">
        <v>43831</v>
      </c>
      <c r="I963" s="5">
        <v>44562</v>
      </c>
      <c r="J963">
        <v>14</v>
      </c>
      <c r="K963">
        <v>9</v>
      </c>
      <c r="L963">
        <v>32</v>
      </c>
      <c r="M963">
        <v>68</v>
      </c>
      <c r="N963">
        <v>10000</v>
      </c>
      <c r="O963">
        <f>VLOOKUP($B963&amp;O$1,Data!$A$2:$D$12000,4,FALSE)</f>
        <v>1.8200000000000001E-2</v>
      </c>
      <c r="P963">
        <f>VLOOKUP($B963&amp;P$1,Data!$A$2:$D$12000,4,FALSE)</f>
        <v>-1.0660000000000001</v>
      </c>
      <c r="Q963">
        <f>VLOOKUP($B963&amp;Q$1,Data!$A$2:$D$12000,4,FALSE)</f>
        <v>562</v>
      </c>
      <c r="R963">
        <f>VLOOKUP($B963&amp;R$1,Data!$A$2:$D$12000,4,FALSE)</f>
        <v>5.0000000000000001E-4</v>
      </c>
      <c r="S963">
        <f>VLOOKUP($B963&amp;S$1,Data!$A$2:$D$12000,4,FALSE)</f>
        <v>-1.4E-3</v>
      </c>
      <c r="T963">
        <f>VLOOKUP($B963&amp;T$1,Data!$A$2:$D$12000,4,FALSE)</f>
        <v>-3.3759999999999998E-2</v>
      </c>
      <c r="U963">
        <f>VLOOKUP($B963&amp;U$1,Data!$A$2:$D$12000,4,FALSE)</f>
        <v>3.2000000000000001E-2</v>
      </c>
      <c r="V963">
        <f>VLOOKUP($B963&amp;V$1,Data!$A$2:$D$12000,4,FALSE)</f>
        <v>-0.13900000000000001</v>
      </c>
      <c r="W963">
        <f>VLOOKUP($B963&amp;W$1,Data!$A$2:$D$12000,4,FALSE)</f>
        <v>-2.2599999999999999E-2</v>
      </c>
      <c r="X963">
        <f>VLOOKUP($B963&amp;X$1,Data!$A$2:$D$12000,4,FALSE)</f>
        <v>0.36</v>
      </c>
      <c r="Y963">
        <f>VLOOKUP($B963&amp;Y$1,Data!$A$2:$D$12000,4,FALSE)</f>
        <v>0.64</v>
      </c>
      <c r="Z963">
        <f>VLOOKUP($B963&amp;Z$1,Data!$A$2:$D$12000,4,FALSE)</f>
        <v>0.35</v>
      </c>
      <c r="AA963">
        <f>VLOOKUP($B963&amp;AA$1,Data!$A$2:$D$12000,4,FALSE)</f>
        <v>-2.1999999999999999E-2</v>
      </c>
      <c r="AB963">
        <f>VLOOKUP($B963&amp;AB$1,Data!$A$2:$D$12000,4,FALSE)</f>
        <v>-2.5999999999999999E-2</v>
      </c>
      <c r="AC963">
        <f>VLOOKUP($B963&amp;AC$1,Data!$A$2:$D$12000,4,FALSE)</f>
        <v>2.1999999999999999E-2</v>
      </c>
      <c r="AD963">
        <f>VLOOKUP($B963&amp;AD$1,Data!$A$2:$D$12000,4,FALSE)</f>
        <v>0</v>
      </c>
      <c r="AE963">
        <f>VLOOKUP($B963&amp;AE$1,Data!$A$2:$D$12000,4,FALSE)</f>
        <v>-1.04</v>
      </c>
      <c r="AF963">
        <f>VLOOKUP($B963&amp;AF$1,Data!$A$2:$D$12000,4,FALSE)</f>
        <v>7.1999999999999995E-2</v>
      </c>
      <c r="AG963">
        <f>VLOOKUP($B963&amp;AG$1,Data!$A$2:$D$12000,4,FALSE)</f>
        <v>0.89700000000000002</v>
      </c>
      <c r="AH963">
        <f>VLOOKUP($B963&amp;AH$1,Data!$A$2:$D$12000,4,FALSE)</f>
        <v>0</v>
      </c>
      <c r="AI963">
        <f>VLOOKUP($B963&amp;AI$1,Data!$A$2:$D$12000,4,FALSE)</f>
        <v>6000000</v>
      </c>
    </row>
    <row r="964" spans="2:35" hidden="1">
      <c r="B964" s="24">
        <v>963</v>
      </c>
      <c r="C964" s="13" t="s">
        <v>58</v>
      </c>
      <c r="D964" t="s">
        <v>0</v>
      </c>
      <c r="E964" t="s">
        <v>22</v>
      </c>
      <c r="F964">
        <v>200</v>
      </c>
      <c r="G964" t="s">
        <v>17</v>
      </c>
      <c r="H964" s="5">
        <v>43831</v>
      </c>
      <c r="I964" s="5">
        <v>44562</v>
      </c>
      <c r="J964">
        <v>14</v>
      </c>
      <c r="K964">
        <v>9</v>
      </c>
      <c r="L964">
        <v>32</v>
      </c>
      <c r="M964">
        <v>68</v>
      </c>
      <c r="N964">
        <v>10000</v>
      </c>
      <c r="O964">
        <f>VLOOKUP($B964&amp;O$1,Data!$A$2:$D$12000,4,FALSE)</f>
        <v>8.5940000000000003E-2</v>
      </c>
      <c r="P964">
        <f>VLOOKUP($B964&amp;P$1,Data!$A$2:$D$12000,4,FALSE)</f>
        <v>-0.38500000000000001</v>
      </c>
      <c r="Q964">
        <f>VLOOKUP($B964&amp;Q$1,Data!$A$2:$D$12000,4,FALSE)</f>
        <v>477</v>
      </c>
      <c r="R964">
        <f>VLOOKUP($B964&amp;R$1,Data!$A$2:$D$12000,4,FALSE)</f>
        <v>5.9999999999999995E-4</v>
      </c>
      <c r="S964">
        <f>VLOOKUP($B964&amp;S$1,Data!$A$2:$D$12000,4,FALSE)</f>
        <v>-1.2999999999999999E-3</v>
      </c>
      <c r="T964">
        <f>VLOOKUP($B964&amp;T$1,Data!$A$2:$D$12000,4,FALSE)</f>
        <v>-1.4279999999999999E-2</v>
      </c>
      <c r="U964">
        <f>VLOOKUP($B964&amp;U$1,Data!$A$2:$D$12000,4,FALSE)</f>
        <v>2.5999999999999999E-2</v>
      </c>
      <c r="V964">
        <f>VLOOKUP($B964&amp;V$1,Data!$A$2:$D$12000,4,FALSE)</f>
        <v>-7.0000000000000007E-2</v>
      </c>
      <c r="W964">
        <f>VLOOKUP($B964&amp;W$1,Data!$A$2:$D$12000,4,FALSE)</f>
        <v>-9.5300000000000003E-3</v>
      </c>
      <c r="X964">
        <f>VLOOKUP($B964&amp;X$1,Data!$A$2:$D$12000,4,FALSE)</f>
        <v>0.36</v>
      </c>
      <c r="Y964">
        <f>VLOOKUP($B964&amp;Y$1,Data!$A$2:$D$12000,4,FALSE)</f>
        <v>0.64</v>
      </c>
      <c r="Z964">
        <f>VLOOKUP($B964&amp;Z$1,Data!$A$2:$D$12000,4,FALSE)</f>
        <v>0.44</v>
      </c>
      <c r="AA964">
        <f>VLOOKUP($B964&amp;AA$1,Data!$A$2:$D$12000,4,FALSE)</f>
        <v>-8.9999999999999993E-3</v>
      </c>
      <c r="AB964">
        <f>VLOOKUP($B964&amp;AB$1,Data!$A$2:$D$12000,4,FALSE)</f>
        <v>-3.0000000000000001E-3</v>
      </c>
      <c r="AC964">
        <f>VLOOKUP($B964&amp;AC$1,Data!$A$2:$D$12000,4,FALSE)</f>
        <v>2.5000000000000001E-2</v>
      </c>
      <c r="AD964">
        <f>VLOOKUP($B964&amp;AD$1,Data!$A$2:$D$12000,4,FALSE)</f>
        <v>1E-3</v>
      </c>
      <c r="AE964">
        <f>VLOOKUP($B964&amp;AE$1,Data!$A$2:$D$12000,4,FALSE)</f>
        <v>-0.81799999999999995</v>
      </c>
      <c r="AF964">
        <f>VLOOKUP($B964&amp;AF$1,Data!$A$2:$D$12000,4,FALSE)</f>
        <v>7.1999999999999995E-2</v>
      </c>
      <c r="AG964">
        <f>VLOOKUP($B964&amp;AG$1,Data!$A$2:$D$12000,4,FALSE)</f>
        <v>2.8149999999999999</v>
      </c>
      <c r="AH964">
        <f>VLOOKUP($B964&amp;AH$1,Data!$A$2:$D$12000,4,FALSE)</f>
        <v>0</v>
      </c>
      <c r="AI964">
        <f>VLOOKUP($B964&amp;AI$1,Data!$A$2:$D$12000,4,FALSE)</f>
        <v>6400000</v>
      </c>
    </row>
    <row r="965" spans="2:35" hidden="1">
      <c r="B965">
        <v>964</v>
      </c>
      <c r="C965" s="13" t="s">
        <v>58</v>
      </c>
      <c r="D965" t="s">
        <v>0</v>
      </c>
      <c r="E965" t="s">
        <v>3</v>
      </c>
      <c r="F965">
        <v>10</v>
      </c>
      <c r="G965" t="s">
        <v>17</v>
      </c>
      <c r="H965" s="5">
        <v>43831</v>
      </c>
      <c r="I965" s="5">
        <v>44562</v>
      </c>
      <c r="J965">
        <v>14</v>
      </c>
      <c r="K965">
        <v>9</v>
      </c>
      <c r="L965">
        <v>28</v>
      </c>
      <c r="M965">
        <v>72</v>
      </c>
      <c r="N965">
        <v>10000</v>
      </c>
      <c r="W965"/>
    </row>
    <row r="966" spans="2:35" hidden="1">
      <c r="B966">
        <v>965</v>
      </c>
      <c r="C966" s="13" t="s">
        <v>58</v>
      </c>
      <c r="D966" t="s">
        <v>0</v>
      </c>
      <c r="E966" t="s">
        <v>3</v>
      </c>
      <c r="F966">
        <v>100</v>
      </c>
      <c r="G966" t="s">
        <v>17</v>
      </c>
      <c r="H966" s="5">
        <v>43831</v>
      </c>
      <c r="I966" s="5">
        <v>44562</v>
      </c>
      <c r="J966">
        <v>14</v>
      </c>
      <c r="K966">
        <v>9</v>
      </c>
      <c r="L966">
        <v>28</v>
      </c>
      <c r="M966">
        <v>72</v>
      </c>
      <c r="N966">
        <v>10000</v>
      </c>
      <c r="W966"/>
    </row>
    <row r="967" spans="2:35" hidden="1">
      <c r="B967">
        <v>966</v>
      </c>
      <c r="C967" s="13" t="s">
        <v>58</v>
      </c>
      <c r="D967" t="s">
        <v>0</v>
      </c>
      <c r="E967" t="s">
        <v>3</v>
      </c>
      <c r="F967">
        <v>200</v>
      </c>
      <c r="G967" t="s">
        <v>17</v>
      </c>
      <c r="H967" s="5">
        <v>43831</v>
      </c>
      <c r="I967" s="5">
        <v>44562</v>
      </c>
      <c r="J967">
        <v>14</v>
      </c>
      <c r="K967">
        <v>9</v>
      </c>
      <c r="L967">
        <v>28</v>
      </c>
      <c r="M967">
        <v>72</v>
      </c>
      <c r="N967">
        <v>10000</v>
      </c>
      <c r="W967"/>
    </row>
    <row r="968" spans="2:35" hidden="1">
      <c r="B968">
        <v>967</v>
      </c>
      <c r="C968" s="13" t="s">
        <v>58</v>
      </c>
      <c r="D968" t="s">
        <v>0</v>
      </c>
      <c r="E968" t="s">
        <v>2</v>
      </c>
      <c r="F968">
        <v>10</v>
      </c>
      <c r="G968" t="s">
        <v>17</v>
      </c>
      <c r="H968" s="5">
        <v>43831</v>
      </c>
      <c r="I968" s="5">
        <v>44562</v>
      </c>
      <c r="J968">
        <v>14</v>
      </c>
      <c r="K968">
        <v>9</v>
      </c>
      <c r="L968">
        <v>28</v>
      </c>
      <c r="M968">
        <v>72</v>
      </c>
      <c r="N968">
        <v>10000</v>
      </c>
      <c r="W968"/>
    </row>
    <row r="969" spans="2:35" hidden="1">
      <c r="B969">
        <v>968</v>
      </c>
      <c r="C969" s="13" t="s">
        <v>58</v>
      </c>
      <c r="D969" t="s">
        <v>0</v>
      </c>
      <c r="E969" t="s">
        <v>2</v>
      </c>
      <c r="F969">
        <v>10</v>
      </c>
      <c r="G969" t="s">
        <v>17</v>
      </c>
      <c r="H969" s="5">
        <v>43831</v>
      </c>
      <c r="I969" s="5">
        <v>44562</v>
      </c>
      <c r="J969">
        <v>14</v>
      </c>
      <c r="K969">
        <v>9</v>
      </c>
      <c r="L969">
        <v>28</v>
      </c>
      <c r="M969">
        <v>72</v>
      </c>
      <c r="N969">
        <v>10000</v>
      </c>
      <c r="W969"/>
    </row>
    <row r="970" spans="2:35" hidden="1">
      <c r="B970">
        <v>969</v>
      </c>
      <c r="C970" s="13" t="s">
        <v>58</v>
      </c>
      <c r="D970" t="s">
        <v>0</v>
      </c>
      <c r="E970" t="s">
        <v>2</v>
      </c>
      <c r="F970">
        <v>100</v>
      </c>
      <c r="G970" t="s">
        <v>17</v>
      </c>
      <c r="H970" s="5">
        <v>43831</v>
      </c>
      <c r="I970" s="5">
        <v>44562</v>
      </c>
      <c r="J970">
        <v>14</v>
      </c>
      <c r="K970">
        <v>9</v>
      </c>
      <c r="L970">
        <v>28</v>
      </c>
      <c r="M970">
        <v>72</v>
      </c>
      <c r="N970">
        <v>10000</v>
      </c>
      <c r="W970"/>
    </row>
    <row r="971" spans="2:35" hidden="1">
      <c r="B971">
        <v>970</v>
      </c>
      <c r="C971" s="13" t="s">
        <v>58</v>
      </c>
      <c r="D971" t="s">
        <v>0</v>
      </c>
      <c r="E971" t="s">
        <v>22</v>
      </c>
      <c r="F971">
        <v>10</v>
      </c>
      <c r="G971" t="s">
        <v>17</v>
      </c>
      <c r="H971" s="5">
        <v>43831</v>
      </c>
      <c r="I971" s="5">
        <v>44562</v>
      </c>
      <c r="J971">
        <v>14</v>
      </c>
      <c r="K971">
        <v>9</v>
      </c>
      <c r="L971">
        <v>28</v>
      </c>
      <c r="M971">
        <v>72</v>
      </c>
      <c r="N971">
        <v>10000</v>
      </c>
      <c r="W971"/>
    </row>
    <row r="972" spans="2:35" hidden="1">
      <c r="B972">
        <v>971</v>
      </c>
      <c r="C972" s="13" t="s">
        <v>58</v>
      </c>
      <c r="D972" t="s">
        <v>0</v>
      </c>
      <c r="E972" t="s">
        <v>22</v>
      </c>
      <c r="F972">
        <v>100</v>
      </c>
      <c r="G972" t="s">
        <v>17</v>
      </c>
      <c r="H972" s="5">
        <v>43831</v>
      </c>
      <c r="I972" s="5">
        <v>44562</v>
      </c>
      <c r="J972">
        <v>14</v>
      </c>
      <c r="K972">
        <v>9</v>
      </c>
      <c r="L972">
        <v>28</v>
      </c>
      <c r="M972">
        <v>72</v>
      </c>
      <c r="N972">
        <v>10000</v>
      </c>
      <c r="W972"/>
    </row>
    <row r="973" spans="2:35" hidden="1">
      <c r="B973">
        <v>972</v>
      </c>
      <c r="C973" s="13" t="s">
        <v>58</v>
      </c>
      <c r="D973" t="s">
        <v>0</v>
      </c>
      <c r="E973" t="s">
        <v>22</v>
      </c>
      <c r="F973">
        <v>200</v>
      </c>
      <c r="G973" t="s">
        <v>17</v>
      </c>
      <c r="H973" s="5">
        <v>43831</v>
      </c>
      <c r="I973" s="5">
        <v>44562</v>
      </c>
      <c r="J973">
        <v>14</v>
      </c>
      <c r="K973">
        <v>9</v>
      </c>
      <c r="L973">
        <v>28</v>
      </c>
      <c r="M973">
        <v>72</v>
      </c>
      <c r="N973">
        <v>10000</v>
      </c>
      <c r="W973"/>
    </row>
    <row r="974" spans="2:35" hidden="1">
      <c r="B974" s="23">
        <v>973</v>
      </c>
      <c r="C974" s="13" t="s">
        <v>58</v>
      </c>
      <c r="D974" t="s">
        <v>5</v>
      </c>
      <c r="E974" t="s">
        <v>3</v>
      </c>
      <c r="F974">
        <v>10</v>
      </c>
      <c r="G974" t="s">
        <v>17</v>
      </c>
      <c r="H974" s="5">
        <v>43831</v>
      </c>
      <c r="I974" s="5">
        <v>44562</v>
      </c>
      <c r="J974">
        <v>14</v>
      </c>
      <c r="K974">
        <v>9</v>
      </c>
      <c r="L974">
        <v>30</v>
      </c>
      <c r="M974">
        <v>70</v>
      </c>
      <c r="N974">
        <v>10000</v>
      </c>
      <c r="O974">
        <f>VLOOKUP($B974&amp;O$1,Data!$A$2:$D$12000,4,FALSE)</f>
        <v>5.475E-2</v>
      </c>
      <c r="P974">
        <f>VLOOKUP($B974&amp;P$1,Data!$A$2:$D$12000,4,FALSE)</f>
        <v>-0.70799999999999996</v>
      </c>
      <c r="Q974">
        <f>VLOOKUP($B974&amp;Q$1,Data!$A$2:$D$12000,4,FALSE)</f>
        <v>1617</v>
      </c>
      <c r="R974">
        <f>VLOOKUP($B974&amp;R$1,Data!$A$2:$D$12000,4,FALSE)</f>
        <v>0</v>
      </c>
      <c r="S974">
        <f>VLOOKUP($B974&amp;S$1,Data!$A$2:$D$12000,4,FALSE)</f>
        <v>-1E-4</v>
      </c>
      <c r="T974">
        <f>VLOOKUP($B974&amp;T$1,Data!$A$2:$D$12000,4,FALSE)</f>
        <v>-1.0399999999999999E-3</v>
      </c>
      <c r="U974">
        <f>VLOOKUP($B974&amp;U$1,Data!$A$2:$D$12000,4,FALSE)</f>
        <v>1E-3</v>
      </c>
      <c r="V974">
        <f>VLOOKUP($B974&amp;V$1,Data!$A$2:$D$12000,4,FALSE)</f>
        <v>-0.08</v>
      </c>
      <c r="W974">
        <f>VLOOKUP($B974&amp;W$1,Data!$A$2:$D$12000,4,FALSE)</f>
        <v>-6.8999999999999997E-4</v>
      </c>
      <c r="X974">
        <f>VLOOKUP($B974&amp;X$1,Data!$A$2:$D$12000,4,FALSE)</f>
        <v>0.37</v>
      </c>
      <c r="Y974">
        <f>VLOOKUP($B974&amp;Y$1,Data!$A$2:$D$12000,4,FALSE)</f>
        <v>0.63</v>
      </c>
      <c r="Z974">
        <f>VLOOKUP($B974&amp;Z$1,Data!$A$2:$D$12000,4,FALSE)</f>
        <v>0.47</v>
      </c>
      <c r="AA974">
        <f>VLOOKUP($B974&amp;AA$1,Data!$A$2:$D$12000,4,FALSE)</f>
        <v>-1E-3</v>
      </c>
      <c r="AB974">
        <f>VLOOKUP($B974&amp;AB$1,Data!$A$2:$D$12000,4,FALSE)</f>
        <v>2E-3</v>
      </c>
      <c r="AC974">
        <f>VLOOKUP($B974&amp;AC$1,Data!$A$2:$D$12000,4,FALSE)</f>
        <v>1E-3</v>
      </c>
      <c r="AD974">
        <f>VLOOKUP($B974&amp;AD$1,Data!$A$2:$D$12000,4,FALSE)</f>
        <v>0</v>
      </c>
      <c r="AE974">
        <f>VLOOKUP($B974&amp;AE$1,Data!$A$2:$D$12000,4,FALSE)</f>
        <v>-0.77600000000000002</v>
      </c>
      <c r="AF974">
        <f>VLOOKUP($B974&amp;AF$1,Data!$A$2:$D$12000,4,FALSE)</f>
        <v>6.7000000000000004E-2</v>
      </c>
      <c r="AG974">
        <f>VLOOKUP($B974&amp;AG$1,Data!$A$2:$D$12000,4,FALSE)</f>
        <v>-0.34899999999999998</v>
      </c>
      <c r="AH974">
        <f>VLOOKUP($B974&amp;AH$1,Data!$A$2:$D$12000,4,FALSE)</f>
        <v>0</v>
      </c>
      <c r="AI974">
        <f>VLOOKUP($B974&amp;AI$1,Data!$A$2:$D$12000,4,FALSE)</f>
        <v>3100000</v>
      </c>
    </row>
    <row r="975" spans="2:35" hidden="1">
      <c r="B975" s="23">
        <v>974</v>
      </c>
      <c r="C975" s="13" t="s">
        <v>58</v>
      </c>
      <c r="D975" t="s">
        <v>5</v>
      </c>
      <c r="E975" t="s">
        <v>3</v>
      </c>
      <c r="F975">
        <v>100</v>
      </c>
      <c r="G975" t="s">
        <v>17</v>
      </c>
      <c r="H975" s="5">
        <v>43831</v>
      </c>
      <c r="I975" s="5">
        <v>44562</v>
      </c>
      <c r="J975">
        <v>14</v>
      </c>
      <c r="K975">
        <v>9</v>
      </c>
      <c r="L975">
        <v>30</v>
      </c>
      <c r="M975">
        <v>70</v>
      </c>
      <c r="N975">
        <v>10000</v>
      </c>
      <c r="O975">
        <f>VLOOKUP($B975&amp;O$1,Data!$A$2:$D$12000,4,FALSE)</f>
        <v>5.5300000000000002E-2</v>
      </c>
      <c r="P975">
        <f>VLOOKUP($B975&amp;P$1,Data!$A$2:$D$12000,4,FALSE)</f>
        <v>-0.70099999999999996</v>
      </c>
      <c r="Q975">
        <f>VLOOKUP($B975&amp;Q$1,Data!$A$2:$D$12000,4,FALSE)</f>
        <v>1617</v>
      </c>
      <c r="R975">
        <f>VLOOKUP($B975&amp;R$1,Data!$A$2:$D$12000,4,FALSE)</f>
        <v>2.9999999999999997E-4</v>
      </c>
      <c r="S975">
        <f>VLOOKUP($B975&amp;S$1,Data!$A$2:$D$12000,4,FALSE)</f>
        <v>-5.9999999999999995E-4</v>
      </c>
      <c r="T975">
        <f>VLOOKUP($B975&amp;T$1,Data!$A$2:$D$12000,4,FALSE)</f>
        <v>-1.0359999999999999E-2</v>
      </c>
      <c r="U975">
        <f>VLOOKUP($B975&amp;U$1,Data!$A$2:$D$12000,4,FALSE)</f>
        <v>8.9999999999999993E-3</v>
      </c>
      <c r="V975">
        <f>VLOOKUP($B975&amp;V$1,Data!$A$2:$D$12000,4,FALSE)</f>
        <v>-7.9000000000000001E-2</v>
      </c>
      <c r="W975">
        <f>VLOOKUP($B975&amp;W$1,Data!$A$2:$D$12000,4,FALSE)</f>
        <v>-6.8799999999999998E-3</v>
      </c>
      <c r="X975">
        <f>VLOOKUP($B975&amp;X$1,Data!$A$2:$D$12000,4,FALSE)</f>
        <v>0.37</v>
      </c>
      <c r="Y975">
        <f>VLOOKUP($B975&amp;Y$1,Data!$A$2:$D$12000,4,FALSE)</f>
        <v>0.63</v>
      </c>
      <c r="Z975">
        <f>VLOOKUP($B975&amp;Z$1,Data!$A$2:$D$12000,4,FALSE)</f>
        <v>0.47</v>
      </c>
      <c r="AA975">
        <f>VLOOKUP($B975&amp;AA$1,Data!$A$2:$D$12000,4,FALSE)</f>
        <v>-8.0000000000000002E-3</v>
      </c>
      <c r="AB975">
        <f>VLOOKUP($B975&amp;AB$1,Data!$A$2:$D$12000,4,FALSE)</f>
        <v>2.1000000000000001E-2</v>
      </c>
      <c r="AC975">
        <f>VLOOKUP($B975&amp;AC$1,Data!$A$2:$D$12000,4,FALSE)</f>
        <v>0.01</v>
      </c>
      <c r="AD975">
        <f>VLOOKUP($B975&amp;AD$1,Data!$A$2:$D$12000,4,FALSE)</f>
        <v>0</v>
      </c>
      <c r="AE975">
        <f>VLOOKUP($B975&amp;AE$1,Data!$A$2:$D$12000,4,FALSE)</f>
        <v>-0.878</v>
      </c>
      <c r="AF975">
        <f>VLOOKUP($B975&amp;AF$1,Data!$A$2:$D$12000,4,FALSE)</f>
        <v>6.7000000000000004E-2</v>
      </c>
      <c r="AG975">
        <f>VLOOKUP($B975&amp;AG$1,Data!$A$2:$D$12000,4,FALSE)</f>
        <v>-0.34499999999999997</v>
      </c>
      <c r="AH975">
        <f>VLOOKUP($B975&amp;AH$1,Data!$A$2:$D$12000,4,FALSE)</f>
        <v>0</v>
      </c>
      <c r="AI975">
        <f>VLOOKUP($B975&amp;AI$1,Data!$A$2:$D$12000,4,FALSE)</f>
        <v>3100000</v>
      </c>
    </row>
    <row r="976" spans="2:35" hidden="1">
      <c r="B976" s="23">
        <v>975</v>
      </c>
      <c r="C976" s="13" t="s">
        <v>58</v>
      </c>
      <c r="D976" t="s">
        <v>5</v>
      </c>
      <c r="E976" t="s">
        <v>3</v>
      </c>
      <c r="F976">
        <v>200</v>
      </c>
      <c r="G976" t="s">
        <v>17</v>
      </c>
      <c r="H976" s="5">
        <v>43831</v>
      </c>
      <c r="I976" s="5">
        <v>44562</v>
      </c>
      <c r="J976">
        <v>14</v>
      </c>
      <c r="K976">
        <v>9</v>
      </c>
      <c r="L976">
        <v>30</v>
      </c>
      <c r="M976">
        <v>70</v>
      </c>
      <c r="N976">
        <v>10000</v>
      </c>
      <c r="O976">
        <f>VLOOKUP($B976&amp;O$1,Data!$A$2:$D$12000,4,FALSE)</f>
        <v>5.5899999999999998E-2</v>
      </c>
      <c r="P976">
        <f>VLOOKUP($B976&amp;P$1,Data!$A$2:$D$12000,4,FALSE)</f>
        <v>-0.69299999999999995</v>
      </c>
      <c r="Q976">
        <f>VLOOKUP($B976&amp;Q$1,Data!$A$2:$D$12000,4,FALSE)</f>
        <v>1617</v>
      </c>
      <c r="R976">
        <f>VLOOKUP($B976&amp;R$1,Data!$A$2:$D$12000,4,FALSE)</f>
        <v>5.9999999999999995E-4</v>
      </c>
      <c r="S976">
        <f>VLOOKUP($B976&amp;S$1,Data!$A$2:$D$12000,4,FALSE)</f>
        <v>-1.1999999999999999E-3</v>
      </c>
      <c r="T976">
        <f>VLOOKUP($B976&amp;T$1,Data!$A$2:$D$12000,4,FALSE)</f>
        <v>-2.0670000000000001E-2</v>
      </c>
      <c r="U976">
        <f>VLOOKUP($B976&amp;U$1,Data!$A$2:$D$12000,4,FALSE)</f>
        <v>1.7999999999999999E-2</v>
      </c>
      <c r="V976">
        <f>VLOOKUP($B976&amp;V$1,Data!$A$2:$D$12000,4,FALSE)</f>
        <v>-7.9000000000000001E-2</v>
      </c>
      <c r="W976">
        <f>VLOOKUP($B976&amp;W$1,Data!$A$2:$D$12000,4,FALSE)</f>
        <v>-1.375E-2</v>
      </c>
      <c r="X976">
        <f>VLOOKUP($B976&amp;X$1,Data!$A$2:$D$12000,4,FALSE)</f>
        <v>0.37</v>
      </c>
      <c r="Y976">
        <f>VLOOKUP($B976&amp;Y$1,Data!$A$2:$D$12000,4,FALSE)</f>
        <v>0.63</v>
      </c>
      <c r="Z976">
        <f>VLOOKUP($B976&amp;Z$1,Data!$A$2:$D$12000,4,FALSE)</f>
        <v>0.47</v>
      </c>
      <c r="AA976">
        <f>VLOOKUP($B976&amp;AA$1,Data!$A$2:$D$12000,4,FALSE)</f>
        <v>-1.6E-2</v>
      </c>
      <c r="AB976">
        <f>VLOOKUP($B976&amp;AB$1,Data!$A$2:$D$12000,4,FALSE)</f>
        <v>4.2000000000000003E-2</v>
      </c>
      <c r="AC976">
        <f>VLOOKUP($B976&amp;AC$1,Data!$A$2:$D$12000,4,FALSE)</f>
        <v>0.02</v>
      </c>
      <c r="AD976">
        <f>VLOOKUP($B976&amp;AD$1,Data!$A$2:$D$12000,4,FALSE)</f>
        <v>0</v>
      </c>
      <c r="AE976">
        <f>VLOOKUP($B976&amp;AE$1,Data!$A$2:$D$12000,4,FALSE)</f>
        <v>-0.97</v>
      </c>
      <c r="AF976">
        <f>VLOOKUP($B976&amp;AF$1,Data!$A$2:$D$12000,4,FALSE)</f>
        <v>6.8000000000000005E-2</v>
      </c>
      <c r="AG976">
        <f>VLOOKUP($B976&amp;AG$1,Data!$A$2:$D$12000,4,FALSE)</f>
        <v>-0.34100000000000003</v>
      </c>
      <c r="AH976">
        <f>VLOOKUP($B976&amp;AH$1,Data!$A$2:$D$12000,4,FALSE)</f>
        <v>0</v>
      </c>
      <c r="AI976">
        <f>VLOOKUP($B976&amp;AI$1,Data!$A$2:$D$12000,4,FALSE)</f>
        <v>3100000</v>
      </c>
    </row>
    <row r="977" spans="2:35" hidden="1">
      <c r="B977" s="23">
        <v>976</v>
      </c>
      <c r="C977" s="13" t="s">
        <v>58</v>
      </c>
      <c r="D977" t="s">
        <v>5</v>
      </c>
      <c r="E977" t="s">
        <v>2</v>
      </c>
      <c r="F977">
        <v>10</v>
      </c>
      <c r="G977" t="s">
        <v>17</v>
      </c>
      <c r="H977" s="5">
        <v>43831</v>
      </c>
      <c r="I977" s="5">
        <v>44562</v>
      </c>
      <c r="J977">
        <v>14</v>
      </c>
      <c r="K977">
        <v>9</v>
      </c>
      <c r="L977">
        <v>30</v>
      </c>
      <c r="M977">
        <v>70</v>
      </c>
      <c r="N977">
        <v>10000</v>
      </c>
      <c r="O977">
        <f>VLOOKUP($B977&amp;O$1,Data!$A$2:$D$12000,4,FALSE)</f>
        <v>3.9300000000000003E-3</v>
      </c>
      <c r="P977">
        <f>VLOOKUP($B977&amp;P$1,Data!$A$2:$D$12000,4,FALSE)</f>
        <v>-1.54</v>
      </c>
      <c r="Q977">
        <f>VLOOKUP($B977&amp;Q$1,Data!$A$2:$D$12000,4,FALSE)</f>
        <v>1031</v>
      </c>
      <c r="R977">
        <f>VLOOKUP($B977&amp;R$1,Data!$A$2:$D$12000,4,FALSE)</f>
        <v>0</v>
      </c>
      <c r="S977">
        <f>VLOOKUP($B977&amp;S$1,Data!$A$2:$D$12000,4,FALSE)</f>
        <v>-1E-4</v>
      </c>
      <c r="T977">
        <f>VLOOKUP($B977&amp;T$1,Data!$A$2:$D$12000,4,FALSE)</f>
        <v>-1.7700000000000001E-3</v>
      </c>
      <c r="U977">
        <f>VLOOKUP($B977&amp;U$1,Data!$A$2:$D$12000,4,FALSE)</f>
        <v>2E-3</v>
      </c>
      <c r="V977">
        <f>VLOOKUP($B977&amp;V$1,Data!$A$2:$D$12000,4,FALSE)</f>
        <v>-0.20399999999999999</v>
      </c>
      <c r="W977">
        <f>VLOOKUP($B977&amp;W$1,Data!$A$2:$D$12000,4,FALSE)</f>
        <v>-1.17E-3</v>
      </c>
      <c r="X977">
        <f>VLOOKUP($B977&amp;X$1,Data!$A$2:$D$12000,4,FALSE)</f>
        <v>0.38</v>
      </c>
      <c r="Y977">
        <f>VLOOKUP($B977&amp;Y$1,Data!$A$2:$D$12000,4,FALSE)</f>
        <v>0.62</v>
      </c>
      <c r="Z977">
        <f>VLOOKUP($B977&amp;Z$1,Data!$A$2:$D$12000,4,FALSE)</f>
        <v>0.28000000000000003</v>
      </c>
      <c r="AA977">
        <f>VLOOKUP($B977&amp;AA$1,Data!$A$2:$D$12000,4,FALSE)</f>
        <v>-1E-3</v>
      </c>
      <c r="AB977">
        <f>VLOOKUP($B977&amp;AB$1,Data!$A$2:$D$12000,4,FALSE)</f>
        <v>2E-3</v>
      </c>
      <c r="AC977">
        <f>VLOOKUP($B977&amp;AC$1,Data!$A$2:$D$12000,4,FALSE)</f>
        <v>1E-3</v>
      </c>
      <c r="AD977">
        <f>VLOOKUP($B977&amp;AD$1,Data!$A$2:$D$12000,4,FALSE)</f>
        <v>0</v>
      </c>
      <c r="AE977">
        <f>VLOOKUP($B977&amp;AE$1,Data!$A$2:$D$12000,4,FALSE)</f>
        <v>-0.78300000000000003</v>
      </c>
      <c r="AF977">
        <f>VLOOKUP($B977&amp;AF$1,Data!$A$2:$D$12000,4,FALSE)</f>
        <v>6.7000000000000004E-2</v>
      </c>
      <c r="AG977">
        <f>VLOOKUP($B977&amp;AG$1,Data!$A$2:$D$12000,4,FALSE)</f>
        <v>-0.74299999999999999</v>
      </c>
      <c r="AH977">
        <f>VLOOKUP($B977&amp;AH$1,Data!$A$2:$D$12000,4,FALSE)</f>
        <v>0</v>
      </c>
      <c r="AI977">
        <f>VLOOKUP($B977&amp;AI$1,Data!$A$2:$D$12000,4,FALSE)</f>
        <v>40000000000</v>
      </c>
    </row>
    <row r="978" spans="2:35" hidden="1">
      <c r="B978" s="23">
        <v>977</v>
      </c>
      <c r="C978" s="13" t="s">
        <v>58</v>
      </c>
      <c r="D978" t="s">
        <v>5</v>
      </c>
      <c r="E978" t="s">
        <v>2</v>
      </c>
      <c r="F978">
        <v>100</v>
      </c>
      <c r="G978" t="s">
        <v>17</v>
      </c>
      <c r="H978" s="5">
        <v>43831</v>
      </c>
      <c r="I978" s="5">
        <v>44562</v>
      </c>
      <c r="J978">
        <v>14</v>
      </c>
      <c r="K978">
        <v>9</v>
      </c>
      <c r="L978">
        <v>30</v>
      </c>
      <c r="M978">
        <v>70</v>
      </c>
      <c r="N978">
        <v>10000</v>
      </c>
      <c r="O978">
        <f>VLOOKUP($B978&amp;O$1,Data!$A$2:$D$12000,4,FALSE)</f>
        <v>3.9199999999999999E-3</v>
      </c>
      <c r="P978">
        <f>VLOOKUP($B978&amp;P$1,Data!$A$2:$D$12000,4,FALSE)</f>
        <v>-1.5309999999999999</v>
      </c>
      <c r="Q978">
        <f>VLOOKUP($B978&amp;Q$1,Data!$A$2:$D$12000,4,FALSE)</f>
        <v>1031</v>
      </c>
      <c r="R978">
        <f>VLOOKUP($B978&amp;R$1,Data!$A$2:$D$12000,4,FALSE)</f>
        <v>2.0000000000000001E-4</v>
      </c>
      <c r="S978">
        <f>VLOOKUP($B978&amp;S$1,Data!$A$2:$D$12000,4,FALSE)</f>
        <v>-5.9999999999999995E-4</v>
      </c>
      <c r="T978">
        <f>VLOOKUP($B978&amp;T$1,Data!$A$2:$D$12000,4,FALSE)</f>
        <v>-1.7610000000000001E-2</v>
      </c>
      <c r="U978">
        <f>VLOOKUP($B978&amp;U$1,Data!$A$2:$D$12000,4,FALSE)</f>
        <v>1.6E-2</v>
      </c>
      <c r="V978">
        <f>VLOOKUP($B978&amp;V$1,Data!$A$2:$D$12000,4,FALSE)</f>
        <v>-0.20399999999999999</v>
      </c>
      <c r="W978">
        <f>VLOOKUP($B978&amp;W$1,Data!$A$2:$D$12000,4,FALSE)</f>
        <v>-1.171E-2</v>
      </c>
      <c r="X978">
        <f>VLOOKUP($B978&amp;X$1,Data!$A$2:$D$12000,4,FALSE)</f>
        <v>0.38</v>
      </c>
      <c r="Y978">
        <f>VLOOKUP($B978&amp;Y$1,Data!$A$2:$D$12000,4,FALSE)</f>
        <v>0.62</v>
      </c>
      <c r="Z978">
        <f>VLOOKUP($B978&amp;Z$1,Data!$A$2:$D$12000,4,FALSE)</f>
        <v>0.28000000000000003</v>
      </c>
      <c r="AA978">
        <f>VLOOKUP($B978&amp;AA$1,Data!$A$2:$D$12000,4,FALSE)</f>
        <v>-1.2999999999999999E-2</v>
      </c>
      <c r="AB978">
        <f>VLOOKUP($B978&amp;AB$1,Data!$A$2:$D$12000,4,FALSE)</f>
        <v>1.6E-2</v>
      </c>
      <c r="AC978">
        <f>VLOOKUP($B978&amp;AC$1,Data!$A$2:$D$12000,4,FALSE)</f>
        <v>8.0000000000000002E-3</v>
      </c>
      <c r="AD978">
        <f>VLOOKUP($B978&amp;AD$1,Data!$A$2:$D$12000,4,FALSE)</f>
        <v>0</v>
      </c>
      <c r="AE978">
        <f>VLOOKUP($B978&amp;AE$1,Data!$A$2:$D$12000,4,FALSE)</f>
        <v>-0.95399999999999996</v>
      </c>
      <c r="AF978">
        <f>VLOOKUP($B978&amp;AF$1,Data!$A$2:$D$12000,4,FALSE)</f>
        <v>6.7000000000000004E-2</v>
      </c>
      <c r="AG978">
        <f>VLOOKUP($B978&amp;AG$1,Data!$A$2:$D$12000,4,FALSE)</f>
        <v>-0.74099999999999999</v>
      </c>
      <c r="AH978">
        <f>VLOOKUP($B978&amp;AH$1,Data!$A$2:$D$12000,4,FALSE)</f>
        <v>0</v>
      </c>
      <c r="AI978">
        <f>VLOOKUP($B978&amp;AI$1,Data!$A$2:$D$12000,4,FALSE)</f>
        <v>4000000000</v>
      </c>
    </row>
    <row r="979" spans="2:35" hidden="1">
      <c r="B979" s="23">
        <v>978</v>
      </c>
      <c r="C979" s="13" t="s">
        <v>58</v>
      </c>
      <c r="D979" t="s">
        <v>5</v>
      </c>
      <c r="E979" t="s">
        <v>2</v>
      </c>
      <c r="F979">
        <v>200</v>
      </c>
      <c r="G979" t="s">
        <v>17</v>
      </c>
      <c r="H979" s="5">
        <v>43831</v>
      </c>
      <c r="I979" s="5">
        <v>44562</v>
      </c>
      <c r="J979">
        <v>14</v>
      </c>
      <c r="K979">
        <v>9</v>
      </c>
      <c r="L979">
        <v>30</v>
      </c>
      <c r="M979">
        <v>70</v>
      </c>
      <c r="N979">
        <v>10000</v>
      </c>
      <c r="O979">
        <f>VLOOKUP($B979&amp;O$1,Data!$A$2:$D$12000,4,FALSE)</f>
        <v>3.9199999999999999E-3</v>
      </c>
      <c r="P979">
        <f>VLOOKUP($B979&amp;P$1,Data!$A$2:$D$12000,4,FALSE)</f>
        <v>-1.522</v>
      </c>
      <c r="Q979">
        <f>VLOOKUP($B979&amp;Q$1,Data!$A$2:$D$12000,4,FALSE)</f>
        <v>1031</v>
      </c>
      <c r="R979">
        <f>VLOOKUP($B979&amp;R$1,Data!$A$2:$D$12000,4,FALSE)</f>
        <v>2.9999999999999997E-4</v>
      </c>
      <c r="S979">
        <f>VLOOKUP($B979&amp;S$1,Data!$A$2:$D$12000,4,FALSE)</f>
        <v>-1.1000000000000001E-3</v>
      </c>
      <c r="T979">
        <f>VLOOKUP($B979&amp;T$1,Data!$A$2:$D$12000,4,FALSE)</f>
        <v>-3.5110000000000002E-2</v>
      </c>
      <c r="U979">
        <f>VLOOKUP($B979&amp;U$1,Data!$A$2:$D$12000,4,FALSE)</f>
        <v>3.2000000000000001E-2</v>
      </c>
      <c r="V979">
        <f>VLOOKUP($B979&amp;V$1,Data!$A$2:$D$12000,4,FALSE)</f>
        <v>-0.20399999999999999</v>
      </c>
      <c r="W979">
        <f>VLOOKUP($B979&amp;W$1,Data!$A$2:$D$12000,4,FALSE)</f>
        <v>-2.342E-2</v>
      </c>
      <c r="X979">
        <f>VLOOKUP($B979&amp;X$1,Data!$A$2:$D$12000,4,FALSE)</f>
        <v>0.38</v>
      </c>
      <c r="Y979">
        <f>VLOOKUP($B979&amp;Y$1,Data!$A$2:$D$12000,4,FALSE)</f>
        <v>0.62</v>
      </c>
      <c r="Z979">
        <f>VLOOKUP($B979&amp;Z$1,Data!$A$2:$D$12000,4,FALSE)</f>
        <v>0.28000000000000003</v>
      </c>
      <c r="AA979">
        <f>VLOOKUP($B979&amp;AA$1,Data!$A$2:$D$12000,4,FALSE)</f>
        <v>-2.5999999999999999E-2</v>
      </c>
      <c r="AB979">
        <f>VLOOKUP($B979&amp;AB$1,Data!$A$2:$D$12000,4,FALSE)</f>
        <v>3.3000000000000002E-2</v>
      </c>
      <c r="AC979">
        <f>VLOOKUP($B979&amp;AC$1,Data!$A$2:$D$12000,4,FALSE)</f>
        <v>1.6E-2</v>
      </c>
      <c r="AD979">
        <f>VLOOKUP($B979&amp;AD$1,Data!$A$2:$D$12000,4,FALSE)</f>
        <v>0</v>
      </c>
      <c r="AE979">
        <f>VLOOKUP($B979&amp;AE$1,Data!$A$2:$D$12000,4,FALSE)</f>
        <v>-1.131</v>
      </c>
      <c r="AF979">
        <f>VLOOKUP($B979&amp;AF$1,Data!$A$2:$D$12000,4,FALSE)</f>
        <v>6.7000000000000004E-2</v>
      </c>
      <c r="AG979">
        <f>VLOOKUP($B979&amp;AG$1,Data!$A$2:$D$12000,4,FALSE)</f>
        <v>-0.73699999999999999</v>
      </c>
      <c r="AH979">
        <f>VLOOKUP($B979&amp;AH$1,Data!$A$2:$D$12000,4,FALSE)</f>
        <v>0</v>
      </c>
      <c r="AI979">
        <f>VLOOKUP($B979&amp;AI$1,Data!$A$2:$D$12000,4,FALSE)</f>
        <v>2000000000</v>
      </c>
    </row>
    <row r="980" spans="2:35" hidden="1">
      <c r="B980" s="23">
        <v>979</v>
      </c>
      <c r="C980" s="13" t="s">
        <v>58</v>
      </c>
      <c r="D980" t="s">
        <v>5</v>
      </c>
      <c r="E980" t="s">
        <v>22</v>
      </c>
      <c r="F980">
        <v>10</v>
      </c>
      <c r="G980" t="s">
        <v>17</v>
      </c>
      <c r="H980" s="5">
        <v>43831</v>
      </c>
      <c r="I980" s="5">
        <v>44562</v>
      </c>
      <c r="J980">
        <v>14</v>
      </c>
      <c r="K980">
        <v>9</v>
      </c>
      <c r="L980">
        <v>30</v>
      </c>
      <c r="M980">
        <v>70</v>
      </c>
      <c r="N980">
        <v>10000</v>
      </c>
      <c r="O980">
        <f>VLOOKUP($B980&amp;O$1,Data!$A$2:$D$12000,4,FALSE)</f>
        <v>6.6049999999999998E-2</v>
      </c>
      <c r="P980">
        <f>VLOOKUP($B980&amp;P$1,Data!$A$2:$D$12000,4,FALSE)</f>
        <v>-0.56999999999999995</v>
      </c>
      <c r="Q980">
        <f>VLOOKUP($B980&amp;Q$1,Data!$A$2:$D$12000,4,FALSE)</f>
        <v>758</v>
      </c>
      <c r="R980">
        <f>VLOOKUP($B980&amp;R$1,Data!$A$2:$D$12000,4,FALSE)</f>
        <v>0</v>
      </c>
      <c r="S980">
        <f>VLOOKUP($B980&amp;S$1,Data!$A$2:$D$12000,4,FALSE)</f>
        <v>-1E-4</v>
      </c>
      <c r="T980">
        <f>VLOOKUP($B980&amp;T$1,Data!$A$2:$D$12000,4,FALSE)</f>
        <v>-5.5000000000000003E-4</v>
      </c>
      <c r="U980">
        <f>VLOOKUP($B980&amp;U$1,Data!$A$2:$D$12000,4,FALSE)</f>
        <v>1E-3</v>
      </c>
      <c r="V980">
        <f>VLOOKUP($B980&amp;V$1,Data!$A$2:$D$12000,4,FALSE)</f>
        <v>-9.7000000000000003E-2</v>
      </c>
      <c r="W980">
        <f>VLOOKUP($B980&amp;W$1,Data!$A$2:$D$12000,4,FALSE)</f>
        <v>-3.6999999999999999E-4</v>
      </c>
      <c r="X980">
        <f>VLOOKUP($B980&amp;X$1,Data!$A$2:$D$12000,4,FALSE)</f>
        <v>0.38</v>
      </c>
      <c r="Y980">
        <f>VLOOKUP($B980&amp;Y$1,Data!$A$2:$D$12000,4,FALSE)</f>
        <v>0.62</v>
      </c>
      <c r="Z980">
        <f>VLOOKUP($B980&amp;Z$1,Data!$A$2:$D$12000,4,FALSE)</f>
        <v>0.47</v>
      </c>
      <c r="AA980">
        <f>VLOOKUP($B980&amp;AA$1,Data!$A$2:$D$12000,4,FALSE)</f>
        <v>0</v>
      </c>
      <c r="AB980">
        <f>VLOOKUP($B980&amp;AB$1,Data!$A$2:$D$12000,4,FALSE)</f>
        <v>2E-3</v>
      </c>
      <c r="AC980">
        <f>VLOOKUP($B980&amp;AC$1,Data!$A$2:$D$12000,4,FALSE)</f>
        <v>1E-3</v>
      </c>
      <c r="AD980">
        <f>VLOOKUP($B980&amp;AD$1,Data!$A$2:$D$12000,4,FALSE)</f>
        <v>0</v>
      </c>
      <c r="AE980">
        <f>VLOOKUP($B980&amp;AE$1,Data!$A$2:$D$12000,4,FALSE)</f>
        <v>-0.77100000000000002</v>
      </c>
      <c r="AF980">
        <f>VLOOKUP($B980&amp;AF$1,Data!$A$2:$D$12000,4,FALSE)</f>
        <v>6.7000000000000004E-2</v>
      </c>
      <c r="AG980">
        <f>VLOOKUP($B980&amp;AG$1,Data!$A$2:$D$12000,4,FALSE)</f>
        <v>-0.19500000000000001</v>
      </c>
      <c r="AH980">
        <f>VLOOKUP($B980&amp;AH$1,Data!$A$2:$D$12000,4,FALSE)</f>
        <v>0</v>
      </c>
      <c r="AI980">
        <f>VLOOKUP($B980&amp;AI$1,Data!$A$2:$D$12000,4,FALSE)</f>
        <v>5200000</v>
      </c>
    </row>
    <row r="981" spans="2:35" hidden="1">
      <c r="B981" s="23">
        <v>980</v>
      </c>
      <c r="C981" s="13" t="s">
        <v>58</v>
      </c>
      <c r="D981" t="s">
        <v>5</v>
      </c>
      <c r="E981" t="s">
        <v>22</v>
      </c>
      <c r="F981">
        <v>100</v>
      </c>
      <c r="G981" t="s">
        <v>17</v>
      </c>
      <c r="H981" s="5">
        <v>43831</v>
      </c>
      <c r="I981" s="5">
        <v>44562</v>
      </c>
      <c r="J981">
        <v>14</v>
      </c>
      <c r="K981">
        <v>9</v>
      </c>
      <c r="L981">
        <v>30</v>
      </c>
      <c r="M981">
        <v>70</v>
      </c>
      <c r="N981">
        <v>10000</v>
      </c>
      <c r="O981">
        <f>VLOOKUP($B981&amp;O$1,Data!$A$2:$D$12000,4,FALSE)</f>
        <v>6.6619999999999999E-2</v>
      </c>
      <c r="P981">
        <f>VLOOKUP($B981&amp;P$1,Data!$A$2:$D$12000,4,FALSE)</f>
        <v>-0.56399999999999995</v>
      </c>
      <c r="Q981">
        <f>VLOOKUP($B981&amp;Q$1,Data!$A$2:$D$12000,4,FALSE)</f>
        <v>758</v>
      </c>
      <c r="R981">
        <f>VLOOKUP($B981&amp;R$1,Data!$A$2:$D$12000,4,FALSE)</f>
        <v>2.0000000000000001E-4</v>
      </c>
      <c r="S981">
        <f>VLOOKUP($B981&amp;S$1,Data!$A$2:$D$12000,4,FALSE)</f>
        <v>-5.0000000000000001E-4</v>
      </c>
      <c r="T981">
        <f>VLOOKUP($B981&amp;T$1,Data!$A$2:$D$12000,4,FALSE)</f>
        <v>-5.5399999999999998E-3</v>
      </c>
      <c r="U981">
        <f>VLOOKUP($B981&amp;U$1,Data!$A$2:$D$12000,4,FALSE)</f>
        <v>8.9999999999999993E-3</v>
      </c>
      <c r="V981">
        <f>VLOOKUP($B981&amp;V$1,Data!$A$2:$D$12000,4,FALSE)</f>
        <v>-9.6000000000000002E-2</v>
      </c>
      <c r="W981">
        <f>VLOOKUP($B981&amp;W$1,Data!$A$2:$D$12000,4,FALSE)</f>
        <v>-3.6700000000000001E-3</v>
      </c>
      <c r="X981">
        <f>VLOOKUP($B981&amp;X$1,Data!$A$2:$D$12000,4,FALSE)</f>
        <v>0.38</v>
      </c>
      <c r="Y981">
        <f>VLOOKUP($B981&amp;Y$1,Data!$A$2:$D$12000,4,FALSE)</f>
        <v>0.62</v>
      </c>
      <c r="Z981">
        <f>VLOOKUP($B981&amp;Z$1,Data!$A$2:$D$12000,4,FALSE)</f>
        <v>0.47</v>
      </c>
      <c r="AA981">
        <f>VLOOKUP($B981&amp;AA$1,Data!$A$2:$D$12000,4,FALSE)</f>
        <v>-5.0000000000000001E-3</v>
      </c>
      <c r="AB981">
        <f>VLOOKUP($B981&amp;AB$1,Data!$A$2:$D$12000,4,FALSE)</f>
        <v>0.02</v>
      </c>
      <c r="AC981">
        <f>VLOOKUP($B981&amp;AC$1,Data!$A$2:$D$12000,4,FALSE)</f>
        <v>7.0000000000000001E-3</v>
      </c>
      <c r="AD981">
        <f>VLOOKUP($B981&amp;AD$1,Data!$A$2:$D$12000,4,FALSE)</f>
        <v>0</v>
      </c>
      <c r="AE981">
        <f>VLOOKUP($B981&amp;AE$1,Data!$A$2:$D$12000,4,FALSE)</f>
        <v>-0.83299999999999996</v>
      </c>
      <c r="AF981">
        <f>VLOOKUP($B981&amp;AF$1,Data!$A$2:$D$12000,4,FALSE)</f>
        <v>6.6000000000000003E-2</v>
      </c>
      <c r="AG981">
        <f>VLOOKUP($B981&amp;AG$1,Data!$A$2:$D$12000,4,FALSE)</f>
        <v>-0.19400000000000001</v>
      </c>
      <c r="AH981">
        <f>VLOOKUP($B981&amp;AH$1,Data!$A$2:$D$12000,4,FALSE)</f>
        <v>0</v>
      </c>
      <c r="AI981">
        <f>VLOOKUP($B981&amp;AI$1,Data!$A$2:$D$12000,4,FALSE)</f>
        <v>5200000</v>
      </c>
    </row>
    <row r="982" spans="2:35" hidden="1">
      <c r="B982" s="23">
        <v>981</v>
      </c>
      <c r="C982" s="13" t="s">
        <v>58</v>
      </c>
      <c r="D982" t="s">
        <v>5</v>
      </c>
      <c r="E982" t="s">
        <v>22</v>
      </c>
      <c r="F982">
        <v>200</v>
      </c>
      <c r="G982" t="s">
        <v>17</v>
      </c>
      <c r="H982" s="5">
        <v>43831</v>
      </c>
      <c r="I982" s="5">
        <v>44562</v>
      </c>
      <c r="J982">
        <v>14</v>
      </c>
      <c r="K982">
        <v>9</v>
      </c>
      <c r="L982">
        <v>30</v>
      </c>
      <c r="M982">
        <v>70</v>
      </c>
      <c r="N982">
        <v>10000</v>
      </c>
      <c r="O982">
        <f>VLOOKUP($B982&amp;O$1,Data!$A$2:$D$12000,4,FALSE)</f>
        <v>6.7250000000000004E-2</v>
      </c>
      <c r="P982">
        <f>VLOOKUP($B982&amp;P$1,Data!$A$2:$D$12000,4,FALSE)</f>
        <v>-0.55800000000000005</v>
      </c>
      <c r="Q982">
        <f>VLOOKUP($B982&amp;Q$1,Data!$A$2:$D$12000,4,FALSE)</f>
        <v>758</v>
      </c>
      <c r="R982">
        <f>VLOOKUP($B982&amp;R$1,Data!$A$2:$D$12000,4,FALSE)</f>
        <v>5.0000000000000001E-4</v>
      </c>
      <c r="S982">
        <f>VLOOKUP($B982&amp;S$1,Data!$A$2:$D$12000,4,FALSE)</f>
        <v>-1E-3</v>
      </c>
      <c r="T982">
        <f>VLOOKUP($B982&amp;T$1,Data!$A$2:$D$12000,4,FALSE)</f>
        <v>-1.106E-2</v>
      </c>
      <c r="U982">
        <f>VLOOKUP($B982&amp;U$1,Data!$A$2:$D$12000,4,FALSE)</f>
        <v>1.7000000000000001E-2</v>
      </c>
      <c r="V982">
        <f>VLOOKUP($B982&amp;V$1,Data!$A$2:$D$12000,4,FALSE)</f>
        <v>-9.5000000000000001E-2</v>
      </c>
      <c r="W982">
        <f>VLOOKUP($B982&amp;W$1,Data!$A$2:$D$12000,4,FALSE)</f>
        <v>-7.3499999999999998E-3</v>
      </c>
      <c r="X982">
        <f>VLOOKUP($B982&amp;X$1,Data!$A$2:$D$12000,4,FALSE)</f>
        <v>0.38</v>
      </c>
      <c r="Y982">
        <f>VLOOKUP($B982&amp;Y$1,Data!$A$2:$D$12000,4,FALSE)</f>
        <v>0.62</v>
      </c>
      <c r="Z982">
        <f>VLOOKUP($B982&amp;Z$1,Data!$A$2:$D$12000,4,FALSE)</f>
        <v>0.47</v>
      </c>
      <c r="AA982">
        <f>VLOOKUP($B982&amp;AA$1,Data!$A$2:$D$12000,4,FALSE)</f>
        <v>-0.01</v>
      </c>
      <c r="AB982">
        <f>VLOOKUP($B982&amp;AB$1,Data!$A$2:$D$12000,4,FALSE)</f>
        <v>0.04</v>
      </c>
      <c r="AC982">
        <f>VLOOKUP($B982&amp;AC$1,Data!$A$2:$D$12000,4,FALSE)</f>
        <v>1.4E-2</v>
      </c>
      <c r="AD982">
        <f>VLOOKUP($B982&amp;AD$1,Data!$A$2:$D$12000,4,FALSE)</f>
        <v>0</v>
      </c>
      <c r="AE982">
        <f>VLOOKUP($B982&amp;AE$1,Data!$A$2:$D$12000,4,FALSE)</f>
        <v>-0.89400000000000002</v>
      </c>
      <c r="AF982">
        <f>VLOOKUP($B982&amp;AF$1,Data!$A$2:$D$12000,4,FALSE)</f>
        <v>6.6000000000000003E-2</v>
      </c>
      <c r="AG982">
        <f>VLOOKUP($B982&amp;AG$1,Data!$A$2:$D$12000,4,FALSE)</f>
        <v>-0.192</v>
      </c>
      <c r="AH982">
        <f>VLOOKUP($B982&amp;AH$1,Data!$A$2:$D$12000,4,FALSE)</f>
        <v>0</v>
      </c>
      <c r="AI982">
        <f>VLOOKUP($B982&amp;AI$1,Data!$A$2:$D$12000,4,FALSE)</f>
        <v>5200000</v>
      </c>
    </row>
    <row r="983" spans="2:35" hidden="1">
      <c r="B983" s="24">
        <v>982</v>
      </c>
      <c r="C983" s="13" t="s">
        <v>58</v>
      </c>
      <c r="D983" t="s">
        <v>5</v>
      </c>
      <c r="E983" t="s">
        <v>3</v>
      </c>
      <c r="F983">
        <v>10</v>
      </c>
      <c r="G983" t="s">
        <v>17</v>
      </c>
      <c r="H983" s="5">
        <v>43831</v>
      </c>
      <c r="I983" s="5">
        <v>44562</v>
      </c>
      <c r="J983">
        <v>14</v>
      </c>
      <c r="K983">
        <v>9</v>
      </c>
      <c r="L983">
        <v>32</v>
      </c>
      <c r="M983">
        <v>68</v>
      </c>
      <c r="N983">
        <v>10000</v>
      </c>
      <c r="O983">
        <f>VLOOKUP($B983&amp;O$1,Data!$A$2:$D$12000,4,FALSE)</f>
        <v>0.11602</v>
      </c>
      <c r="P983">
        <f>VLOOKUP($B983&amp;P$1,Data!$A$2:$D$12000,4,FALSE)</f>
        <v>-0.218</v>
      </c>
      <c r="Q983">
        <f>VLOOKUP($B983&amp;Q$1,Data!$A$2:$D$12000,4,FALSE)</f>
        <v>1768</v>
      </c>
      <c r="R983">
        <f>VLOOKUP($B983&amp;R$1,Data!$A$2:$D$12000,4,FALSE)</f>
        <v>8.9999999999999998E-4</v>
      </c>
      <c r="S983">
        <f>VLOOKUP($B983&amp;S$1,Data!$A$2:$D$12000,4,FALSE)</f>
        <v>-1.9E-3</v>
      </c>
      <c r="T983">
        <f>VLOOKUP($B983&amp;T$1,Data!$A$2:$D$12000,4,FALSE)</f>
        <v>-1.1089999999999999E-2</v>
      </c>
      <c r="U983">
        <f>VLOOKUP($B983&amp;U$1,Data!$A$2:$D$12000,4,FALSE)</f>
        <v>3.5999999999999997E-2</v>
      </c>
      <c r="V983">
        <f>VLOOKUP($B983&amp;V$1,Data!$A$2:$D$12000,4,FALSE)</f>
        <v>-2.1999999999999999E-2</v>
      </c>
      <c r="W983">
        <f>VLOOKUP($B983&amp;W$1,Data!$A$2:$D$12000,4,FALSE)</f>
        <v>-7.3899999999999999E-3</v>
      </c>
      <c r="X983">
        <f>VLOOKUP($B983&amp;X$1,Data!$A$2:$D$12000,4,FALSE)</f>
        <v>0.35</v>
      </c>
      <c r="Y983">
        <f>VLOOKUP($B983&amp;Y$1,Data!$A$2:$D$12000,4,FALSE)</f>
        <v>0.65</v>
      </c>
      <c r="Z983">
        <f>VLOOKUP($B983&amp;Z$1,Data!$A$2:$D$12000,4,FALSE)</f>
        <v>0.5</v>
      </c>
      <c r="AA983">
        <f>VLOOKUP($B983&amp;AA$1,Data!$A$2:$D$12000,4,FALSE)</f>
        <v>-0.01</v>
      </c>
      <c r="AB983">
        <f>VLOOKUP($B983&amp;AB$1,Data!$A$2:$D$12000,4,FALSE)</f>
        <v>6.5000000000000002E-2</v>
      </c>
      <c r="AC983">
        <f>VLOOKUP($B983&amp;AC$1,Data!$A$2:$D$12000,4,FALSE)</f>
        <v>3.3000000000000002E-2</v>
      </c>
      <c r="AD983">
        <f>VLOOKUP($B983&amp;AD$1,Data!$A$2:$D$12000,4,FALSE)</f>
        <v>1E-3</v>
      </c>
      <c r="AE983">
        <f>VLOOKUP($B983&amp;AE$1,Data!$A$2:$D$12000,4,FALSE)</f>
        <v>-0.79600000000000004</v>
      </c>
      <c r="AF983">
        <f>VLOOKUP($B983&amp;AF$1,Data!$A$2:$D$12000,4,FALSE)</f>
        <v>7.0999999999999994E-2</v>
      </c>
      <c r="AG983">
        <f>VLOOKUP($B983&amp;AG$1,Data!$A$2:$D$12000,4,FALSE)</f>
        <v>-0.11</v>
      </c>
      <c r="AH983">
        <f>VLOOKUP($B983&amp;AH$1,Data!$A$2:$D$12000,4,FALSE)</f>
        <v>0</v>
      </c>
      <c r="AI983">
        <f>VLOOKUP($B983&amp;AI$1,Data!$A$2:$D$12000,4,FALSE)</f>
        <v>11000000</v>
      </c>
    </row>
    <row r="984" spans="2:35" hidden="1">
      <c r="B984" s="24">
        <v>983</v>
      </c>
      <c r="C984" s="13" t="s">
        <v>58</v>
      </c>
      <c r="D984" t="s">
        <v>5</v>
      </c>
      <c r="E984" t="s">
        <v>3</v>
      </c>
      <c r="F984">
        <v>100</v>
      </c>
      <c r="G984" t="s">
        <v>17</v>
      </c>
      <c r="H984" s="5">
        <v>43831</v>
      </c>
      <c r="I984" s="5">
        <v>44562</v>
      </c>
      <c r="J984">
        <v>14</v>
      </c>
      <c r="K984">
        <v>9</v>
      </c>
      <c r="L984">
        <v>32</v>
      </c>
      <c r="M984">
        <v>68</v>
      </c>
      <c r="N984">
        <v>10000</v>
      </c>
      <c r="O984">
        <f>VLOOKUP($B984&amp;O$1,Data!$A$2:$D$12000,4,FALSE)</f>
        <v>2.3500000000000001E-3</v>
      </c>
      <c r="P984">
        <f>VLOOKUP($B984&amp;P$1,Data!$A$2:$D$12000,4,FALSE)</f>
        <v>-1.8129999999999999</v>
      </c>
      <c r="Q984">
        <f>VLOOKUP($B984&amp;Q$1,Data!$A$2:$D$12000,4,FALSE)</f>
        <v>1158</v>
      </c>
      <c r="R984">
        <f>VLOOKUP($B984&amp;R$1,Data!$A$2:$D$12000,4,FALSE)</f>
        <v>1.2999999999999999E-3</v>
      </c>
      <c r="S984">
        <f>VLOOKUP($B984&amp;S$1,Data!$A$2:$D$12000,4,FALSE)</f>
        <v>-3.2000000000000002E-3</v>
      </c>
      <c r="T984">
        <f>VLOOKUP($B984&amp;T$1,Data!$A$2:$D$12000,4,FALSE)</f>
        <v>-0.10963000000000001</v>
      </c>
      <c r="U984">
        <f>VLOOKUP($B984&amp;U$1,Data!$A$2:$D$12000,4,FALSE)</f>
        <v>9.2999999999999999E-2</v>
      </c>
      <c r="V984">
        <f>VLOOKUP($B984&amp;V$1,Data!$A$2:$D$12000,4,FALSE)</f>
        <v>-0.156</v>
      </c>
      <c r="W984">
        <f>VLOOKUP($B984&amp;W$1,Data!$A$2:$D$12000,4,FALSE)</f>
        <v>-7.4380000000000002E-2</v>
      </c>
      <c r="X984">
        <f>VLOOKUP($B984&amp;X$1,Data!$A$2:$D$12000,4,FALSE)</f>
        <v>0.39</v>
      </c>
      <c r="Y984">
        <f>VLOOKUP($B984&amp;Y$1,Data!$A$2:$D$12000,4,FALSE)</f>
        <v>0.61</v>
      </c>
      <c r="Z984">
        <f>VLOOKUP($B984&amp;Z$1,Data!$A$2:$D$12000,4,FALSE)</f>
        <v>0.39</v>
      </c>
      <c r="AA984">
        <f>VLOOKUP($B984&amp;AA$1,Data!$A$2:$D$12000,4,FALSE)</f>
        <v>-8.2000000000000003E-2</v>
      </c>
      <c r="AB984">
        <f>VLOOKUP($B984&amp;AB$1,Data!$A$2:$D$12000,4,FALSE)</f>
        <v>0.114</v>
      </c>
      <c r="AC984">
        <f>VLOOKUP($B984&amp;AC$1,Data!$A$2:$D$12000,4,FALSE)</f>
        <v>4.2000000000000003E-2</v>
      </c>
      <c r="AD984">
        <f>VLOOKUP($B984&amp;AD$1,Data!$A$2:$D$12000,4,FALSE)</f>
        <v>2E-3</v>
      </c>
      <c r="AE984">
        <f>VLOOKUP($B984&amp;AE$1,Data!$A$2:$D$12000,4,FALSE)</f>
        <v>-1.77</v>
      </c>
      <c r="AF984">
        <f>VLOOKUP($B984&amp;AF$1,Data!$A$2:$D$12000,4,FALSE)</f>
        <v>7.2999999999999995E-2</v>
      </c>
      <c r="AG984">
        <f>VLOOKUP($B984&amp;AG$1,Data!$A$2:$D$12000,4,FALSE)</f>
        <v>-0.66800000000000004</v>
      </c>
      <c r="AH984">
        <f>VLOOKUP($B984&amp;AH$1,Data!$A$2:$D$12000,4,FALSE)</f>
        <v>0</v>
      </c>
      <c r="AI984">
        <f>VLOOKUP($B984&amp;AI$1,Data!$A$2:$D$12000,4,FALSE)</f>
        <v>2800000</v>
      </c>
    </row>
    <row r="985" spans="2:35" hidden="1">
      <c r="B985" s="24">
        <v>984</v>
      </c>
      <c r="C985" s="13" t="s">
        <v>58</v>
      </c>
      <c r="D985" t="s">
        <v>5</v>
      </c>
      <c r="E985" t="s">
        <v>3</v>
      </c>
      <c r="F985">
        <v>200</v>
      </c>
      <c r="G985" t="s">
        <v>17</v>
      </c>
      <c r="H985" s="5">
        <v>43831</v>
      </c>
      <c r="I985" s="5">
        <v>44562</v>
      </c>
      <c r="J985">
        <v>14</v>
      </c>
      <c r="K985">
        <v>9</v>
      </c>
      <c r="L985">
        <v>32</v>
      </c>
      <c r="M985">
        <v>68</v>
      </c>
      <c r="N985">
        <v>10000</v>
      </c>
      <c r="O985">
        <f>VLOOKUP($B985&amp;O$1,Data!$A$2:$D$12000,4,FALSE)</f>
        <v>4.96E-3</v>
      </c>
      <c r="P985">
        <f>VLOOKUP($B985&amp;P$1,Data!$A$2:$D$12000,4,FALSE)</f>
        <v>-1.5680000000000001</v>
      </c>
      <c r="Q985">
        <f>VLOOKUP($B985&amp;Q$1,Data!$A$2:$D$12000,4,FALSE)</f>
        <v>959</v>
      </c>
      <c r="R985">
        <f>VLOOKUP($B985&amp;R$1,Data!$A$2:$D$12000,4,FALSE)</f>
        <v>1.4E-3</v>
      </c>
      <c r="S985">
        <f>VLOOKUP($B985&amp;S$1,Data!$A$2:$D$12000,4,FALSE)</f>
        <v>-3.0999999999999999E-3</v>
      </c>
      <c r="T985">
        <f>VLOOKUP($B985&amp;T$1,Data!$A$2:$D$12000,4,FALSE)</f>
        <v>-9.7170000000000006E-2</v>
      </c>
      <c r="U985">
        <f>VLOOKUP($B985&amp;U$1,Data!$A$2:$D$12000,4,FALSE)</f>
        <v>0.08</v>
      </c>
      <c r="V985">
        <f>VLOOKUP($B985&amp;V$1,Data!$A$2:$D$12000,4,FALSE)</f>
        <v>-0.151</v>
      </c>
      <c r="W985">
        <f>VLOOKUP($B985&amp;W$1,Data!$A$2:$D$12000,4,FALSE)</f>
        <v>-6.5780000000000005E-2</v>
      </c>
      <c r="X985">
        <f>VLOOKUP($B985&amp;X$1,Data!$A$2:$D$12000,4,FALSE)</f>
        <v>0.41</v>
      </c>
      <c r="Y985">
        <f>VLOOKUP($B985&amp;Y$1,Data!$A$2:$D$12000,4,FALSE)</f>
        <v>0.59</v>
      </c>
      <c r="Z985">
        <f>VLOOKUP($B985&amp;Z$1,Data!$A$2:$D$12000,4,FALSE)</f>
        <v>0.45</v>
      </c>
      <c r="AA985">
        <f>VLOOKUP($B985&amp;AA$1,Data!$A$2:$D$12000,4,FALSE)</f>
        <v>-7.3999999999999996E-2</v>
      </c>
      <c r="AB985">
        <f>VLOOKUP($B985&amp;AB$1,Data!$A$2:$D$12000,4,FALSE)</f>
        <v>0.13400000000000001</v>
      </c>
      <c r="AC985">
        <f>VLOOKUP($B985&amp;AC$1,Data!$A$2:$D$12000,4,FALSE)</f>
        <v>4.2999999999999997E-2</v>
      </c>
      <c r="AD985">
        <f>VLOOKUP($B985&amp;AD$1,Data!$A$2:$D$12000,4,FALSE)</f>
        <v>2E-3</v>
      </c>
      <c r="AE985">
        <f>VLOOKUP($B985&amp;AE$1,Data!$A$2:$D$12000,4,FALSE)</f>
        <v>-1.625</v>
      </c>
      <c r="AF985">
        <f>VLOOKUP($B985&amp;AF$1,Data!$A$2:$D$12000,4,FALSE)</f>
        <v>7.1999999999999995E-2</v>
      </c>
      <c r="AG985">
        <f>VLOOKUP($B985&amp;AG$1,Data!$A$2:$D$12000,4,FALSE)</f>
        <v>-0.503</v>
      </c>
      <c r="AH985">
        <f>VLOOKUP($B985&amp;AH$1,Data!$A$2:$D$12000,4,FALSE)</f>
        <v>0</v>
      </c>
      <c r="AI985">
        <f>VLOOKUP($B985&amp;AI$1,Data!$A$2:$D$12000,4,FALSE)</f>
        <v>3100000</v>
      </c>
    </row>
    <row r="986" spans="2:35" hidden="1">
      <c r="B986" s="24">
        <v>985</v>
      </c>
      <c r="C986" s="13" t="s">
        <v>58</v>
      </c>
      <c r="D986" t="s">
        <v>5</v>
      </c>
      <c r="E986" t="s">
        <v>2</v>
      </c>
      <c r="F986">
        <v>10</v>
      </c>
      <c r="G986" t="s">
        <v>17</v>
      </c>
      <c r="H986" s="5">
        <v>43831</v>
      </c>
      <c r="I986" s="5">
        <v>44562</v>
      </c>
      <c r="J986">
        <v>14</v>
      </c>
      <c r="K986">
        <v>9</v>
      </c>
      <c r="L986">
        <v>32</v>
      </c>
      <c r="M986">
        <v>68</v>
      </c>
      <c r="N986">
        <v>10000</v>
      </c>
      <c r="O986">
        <f>VLOOKUP($B986&amp;O$1,Data!$A$2:$D$12000,4,FALSE)</f>
        <v>0.48341000000000001</v>
      </c>
      <c r="P986">
        <f>VLOOKUP($B986&amp;P$1,Data!$A$2:$D$12000,4,FALSE)</f>
        <v>0.97299999999999998</v>
      </c>
      <c r="Q986">
        <f>VLOOKUP($B986&amp;Q$1,Data!$A$2:$D$12000,4,FALSE)</f>
        <v>1207</v>
      </c>
      <c r="R986">
        <f>VLOOKUP($B986&amp;R$1,Data!$A$2:$D$12000,4,FALSE)</f>
        <v>1.1999999999999999E-3</v>
      </c>
      <c r="S986">
        <f>VLOOKUP($B986&amp;S$1,Data!$A$2:$D$12000,4,FALSE)</f>
        <v>-1.5E-3</v>
      </c>
      <c r="T986">
        <f>VLOOKUP($B986&amp;T$1,Data!$A$2:$D$12000,4,FALSE)</f>
        <v>4.1439999999999998E-2</v>
      </c>
      <c r="U986">
        <f>VLOOKUP($B986&amp;U$1,Data!$A$2:$D$12000,4,FALSE)</f>
        <v>2.1000000000000001E-2</v>
      </c>
      <c r="V986">
        <f>VLOOKUP($B986&amp;V$1,Data!$A$2:$D$12000,4,FALSE)</f>
        <v>0.14599999999999999</v>
      </c>
      <c r="W986">
        <f>VLOOKUP($B986&amp;W$1,Data!$A$2:$D$12000,4,FALSE)</f>
        <v>2.7390000000000001E-2</v>
      </c>
      <c r="X986">
        <f>VLOOKUP($B986&amp;X$1,Data!$A$2:$D$12000,4,FALSE)</f>
        <v>0.37</v>
      </c>
      <c r="Y986">
        <f>VLOOKUP($B986&amp;Y$1,Data!$A$2:$D$12000,4,FALSE)</f>
        <v>0.63</v>
      </c>
      <c r="Z986">
        <f>VLOOKUP($B986&amp;Z$1,Data!$A$2:$D$12000,4,FALSE)</f>
        <v>0.82</v>
      </c>
      <c r="AA986">
        <f>VLOOKUP($B986&amp;AA$1,Data!$A$2:$D$12000,4,FALSE)</f>
        <v>2.5000000000000001E-2</v>
      </c>
      <c r="AB986">
        <f>VLOOKUP($B986&amp;AB$1,Data!$A$2:$D$12000,4,FALSE)</f>
        <v>9.0999999999999998E-2</v>
      </c>
      <c r="AC986">
        <f>VLOOKUP($B986&amp;AC$1,Data!$A$2:$D$12000,4,FALSE)</f>
        <v>0.03</v>
      </c>
      <c r="AD986">
        <f>VLOOKUP($B986&amp;AD$1,Data!$A$2:$D$12000,4,FALSE)</f>
        <v>1E-3</v>
      </c>
      <c r="AE986">
        <f>VLOOKUP($B986&amp;AE$1,Data!$A$2:$D$12000,4,FALSE)</f>
        <v>-0.29899999999999999</v>
      </c>
      <c r="AF986">
        <f>VLOOKUP($B986&amp;AF$1,Data!$A$2:$D$12000,4,FALSE)</f>
        <v>6.8000000000000005E-2</v>
      </c>
      <c r="AG986">
        <f>VLOOKUP($B986&amp;AG$1,Data!$A$2:$D$12000,4,FALSE)</f>
        <v>0.32</v>
      </c>
      <c r="AH986">
        <f>VLOOKUP($B986&amp;AH$1,Data!$A$2:$D$12000,4,FALSE)</f>
        <v>0</v>
      </c>
      <c r="AI986">
        <f>VLOOKUP($B986&amp;AI$1,Data!$A$2:$D$12000,4,FALSE)</f>
        <v>3400000</v>
      </c>
    </row>
    <row r="987" spans="2:35" hidden="1">
      <c r="B987" s="24">
        <v>986</v>
      </c>
      <c r="C987" s="13" t="s">
        <v>58</v>
      </c>
      <c r="D987" t="s">
        <v>5</v>
      </c>
      <c r="E987" t="s">
        <v>2</v>
      </c>
      <c r="F987">
        <v>100</v>
      </c>
      <c r="G987" t="s">
        <v>17</v>
      </c>
      <c r="H987" s="5">
        <v>43831</v>
      </c>
      <c r="I987" s="5">
        <v>44562</v>
      </c>
      <c r="J987">
        <v>14</v>
      </c>
      <c r="K987">
        <v>9</v>
      </c>
      <c r="L987">
        <v>32</v>
      </c>
      <c r="M987">
        <v>68</v>
      </c>
      <c r="N987">
        <v>10000</v>
      </c>
      <c r="O987">
        <f>VLOOKUP($B987&amp;O$1,Data!$A$2:$D$12000,4,FALSE)</f>
        <v>0.14121</v>
      </c>
      <c r="P987">
        <f>VLOOKUP($B987&amp;P$1,Data!$A$2:$D$12000,4,FALSE)</f>
        <v>-9.7000000000000003E-2</v>
      </c>
      <c r="Q987">
        <f>VLOOKUP($B987&amp;Q$1,Data!$A$2:$D$12000,4,FALSE)</f>
        <v>793</v>
      </c>
      <c r="R987">
        <f>VLOOKUP($B987&amp;R$1,Data!$A$2:$D$12000,4,FALSE)</f>
        <v>1.8E-3</v>
      </c>
      <c r="S987">
        <f>VLOOKUP($B987&amp;S$1,Data!$A$2:$D$12000,4,FALSE)</f>
        <v>-3.0999999999999999E-3</v>
      </c>
      <c r="T987">
        <f>VLOOKUP($B987&amp;T$1,Data!$A$2:$D$12000,4,FALSE)</f>
        <v>-6.6400000000000001E-3</v>
      </c>
      <c r="U987">
        <f>VLOOKUP($B987&amp;U$1,Data!$A$2:$D$12000,4,FALSE)</f>
        <v>4.3999999999999997E-2</v>
      </c>
      <c r="V987">
        <f>VLOOKUP($B987&amp;V$1,Data!$A$2:$D$12000,4,FALSE)</f>
        <v>-1.0999999999999999E-2</v>
      </c>
      <c r="W987">
        <f>VLOOKUP($B987&amp;W$1,Data!$A$2:$D$12000,4,FALSE)</f>
        <v>-4.4200000000000003E-3</v>
      </c>
      <c r="X987">
        <f>VLOOKUP($B987&amp;X$1,Data!$A$2:$D$12000,4,FALSE)</f>
        <v>0.37</v>
      </c>
      <c r="Y987">
        <f>VLOOKUP($B987&amp;Y$1,Data!$A$2:$D$12000,4,FALSE)</f>
        <v>0.63</v>
      </c>
      <c r="Z987">
        <f>VLOOKUP($B987&amp;Z$1,Data!$A$2:$D$12000,4,FALSE)</f>
        <v>0.56999999999999995</v>
      </c>
      <c r="AA987">
        <f>VLOOKUP($B987&amp;AA$1,Data!$A$2:$D$12000,4,FALSE)</f>
        <v>-1.2E-2</v>
      </c>
      <c r="AB987">
        <f>VLOOKUP($B987&amp;AB$1,Data!$A$2:$D$12000,4,FALSE)</f>
        <v>0.16600000000000001</v>
      </c>
      <c r="AC987">
        <f>VLOOKUP($B987&amp;AC$1,Data!$A$2:$D$12000,4,FALSE)</f>
        <v>0.04</v>
      </c>
      <c r="AD987">
        <f>VLOOKUP($B987&amp;AD$1,Data!$A$2:$D$12000,4,FALSE)</f>
        <v>2E-3</v>
      </c>
      <c r="AE987">
        <f>VLOOKUP($B987&amp;AE$1,Data!$A$2:$D$12000,4,FALSE)</f>
        <v>-0.82299999999999995</v>
      </c>
      <c r="AF987">
        <f>VLOOKUP($B987&amp;AF$1,Data!$A$2:$D$12000,4,FALSE)</f>
        <v>6.8000000000000005E-2</v>
      </c>
      <c r="AG987">
        <f>VLOOKUP($B987&amp;AG$1,Data!$A$2:$D$12000,4,FALSE)</f>
        <v>-2.3E-2</v>
      </c>
      <c r="AH987">
        <f>VLOOKUP($B987&amp;AH$1,Data!$A$2:$D$12000,4,FALSE)</f>
        <v>0</v>
      </c>
      <c r="AI987">
        <f>VLOOKUP($B987&amp;AI$1,Data!$A$2:$D$12000,4,FALSE)</f>
        <v>3400000</v>
      </c>
    </row>
    <row r="988" spans="2:35" hidden="1">
      <c r="B988" s="24">
        <v>987</v>
      </c>
      <c r="C988" s="13" t="s">
        <v>58</v>
      </c>
      <c r="D988" t="s">
        <v>5</v>
      </c>
      <c r="E988" t="s">
        <v>2</v>
      </c>
      <c r="F988">
        <v>200</v>
      </c>
      <c r="G988" t="s">
        <v>17</v>
      </c>
      <c r="H988" s="5">
        <v>43831</v>
      </c>
      <c r="I988" s="5">
        <v>44562</v>
      </c>
      <c r="J988">
        <v>14</v>
      </c>
      <c r="K988">
        <v>9</v>
      </c>
      <c r="L988">
        <v>32</v>
      </c>
      <c r="M988">
        <v>68</v>
      </c>
      <c r="N988">
        <v>10000</v>
      </c>
      <c r="O988">
        <f>VLOOKUP($B988&amp;O$1,Data!$A$2:$D$12000,4,FALSE)</f>
        <v>0.12404</v>
      </c>
      <c r="P988">
        <f>VLOOKUP($B988&amp;P$1,Data!$A$2:$D$12000,4,FALSE)</f>
        <v>-0.17499999999999999</v>
      </c>
      <c r="Q988">
        <f>VLOOKUP($B988&amp;Q$1,Data!$A$2:$D$12000,4,FALSE)</f>
        <v>678</v>
      </c>
      <c r="R988">
        <f>VLOOKUP($B988&amp;R$1,Data!$A$2:$D$12000,4,FALSE)</f>
        <v>2.0999999999999999E-3</v>
      </c>
      <c r="S988">
        <f>VLOOKUP($B988&amp;S$1,Data!$A$2:$D$12000,4,FALSE)</f>
        <v>-3.8E-3</v>
      </c>
      <c r="T988">
        <f>VLOOKUP($B988&amp;T$1,Data!$A$2:$D$12000,4,FALSE)</f>
        <v>-1.319E-2</v>
      </c>
      <c r="U988">
        <f>VLOOKUP($B988&amp;U$1,Data!$A$2:$D$12000,4,FALSE)</f>
        <v>4.3999999999999997E-2</v>
      </c>
      <c r="V988">
        <f>VLOOKUP($B988&amp;V$1,Data!$A$2:$D$12000,4,FALSE)</f>
        <v>-1.7000000000000001E-2</v>
      </c>
      <c r="W988">
        <f>VLOOKUP($B988&amp;W$1,Data!$A$2:$D$12000,4,FALSE)</f>
        <v>-8.8000000000000005E-3</v>
      </c>
      <c r="X988">
        <f>VLOOKUP($B988&amp;X$1,Data!$A$2:$D$12000,4,FALSE)</f>
        <v>0.37</v>
      </c>
      <c r="Y988">
        <f>VLOOKUP($B988&amp;Y$1,Data!$A$2:$D$12000,4,FALSE)</f>
        <v>0.63</v>
      </c>
      <c r="Z988">
        <f>VLOOKUP($B988&amp;Z$1,Data!$A$2:$D$12000,4,FALSE)</f>
        <v>0.55000000000000004</v>
      </c>
      <c r="AA988">
        <f>VLOOKUP($B988&amp;AA$1,Data!$A$2:$D$12000,4,FALSE)</f>
        <v>-1.7000000000000001E-2</v>
      </c>
      <c r="AB988">
        <f>VLOOKUP($B988&amp;AB$1,Data!$A$2:$D$12000,4,FALSE)</f>
        <v>0.17100000000000001</v>
      </c>
      <c r="AC988">
        <f>VLOOKUP($B988&amp;AC$1,Data!$A$2:$D$12000,4,FALSE)</f>
        <v>4.5999999999999999E-2</v>
      </c>
      <c r="AD988">
        <f>VLOOKUP($B988&amp;AD$1,Data!$A$2:$D$12000,4,FALSE)</f>
        <v>2E-3</v>
      </c>
      <c r="AE988">
        <f>VLOOKUP($B988&amp;AE$1,Data!$A$2:$D$12000,4,FALSE)</f>
        <v>-0.83899999999999997</v>
      </c>
      <c r="AF988">
        <f>VLOOKUP($B988&amp;AF$1,Data!$A$2:$D$12000,4,FALSE)</f>
        <v>7.1999999999999995E-2</v>
      </c>
      <c r="AG988">
        <f>VLOOKUP($B988&amp;AG$1,Data!$A$2:$D$12000,4,FALSE)</f>
        <v>-4.7E-2</v>
      </c>
      <c r="AH988">
        <f>VLOOKUP($B988&amp;AH$1,Data!$A$2:$D$12000,4,FALSE)</f>
        <v>0</v>
      </c>
      <c r="AI988">
        <f>VLOOKUP($B988&amp;AI$1,Data!$A$2:$D$12000,4,FALSE)</f>
        <v>3400000</v>
      </c>
    </row>
    <row r="989" spans="2:35" hidden="1">
      <c r="B989" s="24">
        <v>988</v>
      </c>
      <c r="C989" s="13" t="s">
        <v>58</v>
      </c>
      <c r="D989" t="s">
        <v>5</v>
      </c>
      <c r="E989" t="s">
        <v>22</v>
      </c>
      <c r="F989">
        <v>10</v>
      </c>
      <c r="G989" t="s">
        <v>17</v>
      </c>
      <c r="H989" s="5">
        <v>43831</v>
      </c>
      <c r="I989" s="5">
        <v>44562</v>
      </c>
      <c r="J989">
        <v>14</v>
      </c>
      <c r="K989">
        <v>9</v>
      </c>
      <c r="L989">
        <v>32</v>
      </c>
      <c r="M989">
        <v>68</v>
      </c>
      <c r="N989">
        <v>10000</v>
      </c>
      <c r="O989">
        <f>VLOOKUP($B989&amp;O$1,Data!$A$2:$D$12000,4,FALSE)</f>
        <v>8.5650000000000004E-2</v>
      </c>
      <c r="P989">
        <f>VLOOKUP($B989&amp;P$1,Data!$A$2:$D$12000,4,FALSE)</f>
        <v>-0.35799999999999998</v>
      </c>
      <c r="Q989">
        <f>VLOOKUP($B989&amp;Q$1,Data!$A$2:$D$12000,4,FALSE)</f>
        <v>826</v>
      </c>
      <c r="R989">
        <f>VLOOKUP($B989&amp;R$1,Data!$A$2:$D$12000,4,FALSE)</f>
        <v>1.5E-3</v>
      </c>
      <c r="S989">
        <f>VLOOKUP($B989&amp;S$1,Data!$A$2:$D$12000,4,FALSE)</f>
        <v>-3.3999999999999998E-3</v>
      </c>
      <c r="T989">
        <f>VLOOKUP($B989&amp;T$1,Data!$A$2:$D$12000,4,FALSE)</f>
        <v>-2.095E-2</v>
      </c>
      <c r="U989">
        <f>VLOOKUP($B989&amp;U$1,Data!$A$2:$D$12000,4,FALSE)</f>
        <v>3.5999999999999997E-2</v>
      </c>
      <c r="V989">
        <f>VLOOKUP($B989&amp;V$1,Data!$A$2:$D$12000,4,FALSE)</f>
        <v>-4.7E-2</v>
      </c>
      <c r="W989">
        <f>VLOOKUP($B989&amp;W$1,Data!$A$2:$D$12000,4,FALSE)</f>
        <v>-1.4E-2</v>
      </c>
      <c r="X989">
        <f>VLOOKUP($B989&amp;X$1,Data!$A$2:$D$12000,4,FALSE)</f>
        <v>0.34</v>
      </c>
      <c r="Y989">
        <f>VLOOKUP($B989&amp;Y$1,Data!$A$2:$D$12000,4,FALSE)</f>
        <v>0.66</v>
      </c>
      <c r="Z989">
        <f>VLOOKUP($B989&amp;Z$1,Data!$A$2:$D$12000,4,FALSE)</f>
        <v>0.45</v>
      </c>
      <c r="AA989">
        <f>VLOOKUP($B989&amp;AA$1,Data!$A$2:$D$12000,4,FALSE)</f>
        <v>-1.6E-2</v>
      </c>
      <c r="AB989">
        <f>VLOOKUP($B989&amp;AB$1,Data!$A$2:$D$12000,4,FALSE)</f>
        <v>3.3000000000000002E-2</v>
      </c>
      <c r="AC989">
        <f>VLOOKUP($B989&amp;AC$1,Data!$A$2:$D$12000,4,FALSE)</f>
        <v>3.9E-2</v>
      </c>
      <c r="AD989">
        <f>VLOOKUP($B989&amp;AD$1,Data!$A$2:$D$12000,4,FALSE)</f>
        <v>1E-3</v>
      </c>
      <c r="AE989">
        <f>VLOOKUP($B989&amp;AE$1,Data!$A$2:$D$12000,4,FALSE)</f>
        <v>-0.86899999999999999</v>
      </c>
      <c r="AF989">
        <f>VLOOKUP($B989&amp;AF$1,Data!$A$2:$D$12000,4,FALSE)</f>
        <v>7.5999999999999998E-2</v>
      </c>
      <c r="AG989">
        <f>VLOOKUP($B989&amp;AG$1,Data!$A$2:$D$12000,4,FALSE)</f>
        <v>-0.41899999999999998</v>
      </c>
      <c r="AH989">
        <f>VLOOKUP($B989&amp;AH$1,Data!$A$2:$D$12000,4,FALSE)</f>
        <v>0</v>
      </c>
      <c r="AI989">
        <f>VLOOKUP($B989&amp;AI$1,Data!$A$2:$D$12000,4,FALSE)</f>
        <v>59000000</v>
      </c>
    </row>
    <row r="990" spans="2:35" hidden="1">
      <c r="B990" s="24">
        <v>989</v>
      </c>
      <c r="C990" s="13" t="s">
        <v>58</v>
      </c>
      <c r="D990" t="s">
        <v>5</v>
      </c>
      <c r="E990" t="s">
        <v>22</v>
      </c>
      <c r="F990">
        <v>100</v>
      </c>
      <c r="G990" t="s">
        <v>17</v>
      </c>
      <c r="H990" s="5">
        <v>43831</v>
      </c>
      <c r="I990" s="5">
        <v>44562</v>
      </c>
      <c r="J990">
        <v>14</v>
      </c>
      <c r="K990">
        <v>9</v>
      </c>
      <c r="L990">
        <v>32</v>
      </c>
      <c r="M990">
        <v>68</v>
      </c>
      <c r="N990">
        <v>10000</v>
      </c>
      <c r="O990">
        <f>VLOOKUP($B990&amp;O$1,Data!$A$2:$D$12000,4,FALSE)</f>
        <v>1.7899999999999999E-3</v>
      </c>
      <c r="P990">
        <f>VLOOKUP($B990&amp;P$1,Data!$A$2:$D$12000,4,FALSE)</f>
        <v>-1.579</v>
      </c>
      <c r="Q990">
        <f>VLOOKUP($B990&amp;Q$1,Data!$A$2:$D$12000,4,FALSE)</f>
        <v>555</v>
      </c>
      <c r="R990">
        <f>VLOOKUP($B990&amp;R$1,Data!$A$2:$D$12000,4,FALSE)</f>
        <v>1.6999999999999999E-3</v>
      </c>
      <c r="S990">
        <f>VLOOKUP($B990&amp;S$1,Data!$A$2:$D$12000,4,FALSE)</f>
        <v>-5.1000000000000004E-3</v>
      </c>
      <c r="T990">
        <f>VLOOKUP($B990&amp;T$1,Data!$A$2:$D$12000,4,FALSE)</f>
        <v>-0.11259</v>
      </c>
      <c r="U990">
        <f>VLOOKUP($B990&amp;U$1,Data!$A$2:$D$12000,4,FALSE)</f>
        <v>9.6000000000000002E-2</v>
      </c>
      <c r="V990">
        <f>VLOOKUP($B990&amp;V$1,Data!$A$2:$D$12000,4,FALSE)</f>
        <v>-0.20399999999999999</v>
      </c>
      <c r="W990">
        <f>VLOOKUP($B990&amp;W$1,Data!$A$2:$D$12000,4,FALSE)</f>
        <v>-7.6429999999999998E-2</v>
      </c>
      <c r="X990">
        <f>VLOOKUP($B990&amp;X$1,Data!$A$2:$D$12000,4,FALSE)</f>
        <v>0.4</v>
      </c>
      <c r="Y990">
        <f>VLOOKUP($B990&amp;Y$1,Data!$A$2:$D$12000,4,FALSE)</f>
        <v>0.6</v>
      </c>
      <c r="Z990">
        <f>VLOOKUP($B990&amp;Z$1,Data!$A$2:$D$12000,4,FALSE)</f>
        <v>0.33</v>
      </c>
      <c r="AA990">
        <f>VLOOKUP($B990&amp;AA$1,Data!$A$2:$D$12000,4,FALSE)</f>
        <v>-8.1000000000000003E-2</v>
      </c>
      <c r="AB990">
        <f>VLOOKUP($B990&amp;AB$1,Data!$A$2:$D$12000,4,FALSE)</f>
        <v>5.8000000000000003E-2</v>
      </c>
      <c r="AC990">
        <f>VLOOKUP($B990&amp;AC$1,Data!$A$2:$D$12000,4,FALSE)</f>
        <v>0.05</v>
      </c>
      <c r="AD990">
        <f>VLOOKUP($B990&amp;AD$1,Data!$A$2:$D$12000,4,FALSE)</f>
        <v>2E-3</v>
      </c>
      <c r="AE990">
        <f>VLOOKUP($B990&amp;AE$1,Data!$A$2:$D$12000,4,FALSE)</f>
        <v>-1.587</v>
      </c>
      <c r="AF990">
        <f>VLOOKUP($B990&amp;AF$1,Data!$A$2:$D$12000,4,FALSE)</f>
        <v>0.08</v>
      </c>
      <c r="AG990">
        <f>VLOOKUP($B990&amp;AG$1,Data!$A$2:$D$12000,4,FALSE)</f>
        <v>-1.343</v>
      </c>
      <c r="AH990">
        <f>VLOOKUP($B990&amp;AH$1,Data!$A$2:$D$12000,4,FALSE)</f>
        <v>0</v>
      </c>
      <c r="AI990">
        <f>VLOOKUP($B990&amp;AI$1,Data!$A$2:$D$12000,4,FALSE)</f>
        <v>7800000</v>
      </c>
    </row>
    <row r="991" spans="2:35" hidden="1">
      <c r="B991" s="24">
        <v>990</v>
      </c>
      <c r="C991" s="13" t="s">
        <v>58</v>
      </c>
      <c r="D991" t="s">
        <v>5</v>
      </c>
      <c r="E991" t="s">
        <v>22</v>
      </c>
      <c r="F991">
        <v>200</v>
      </c>
      <c r="G991" t="s">
        <v>17</v>
      </c>
      <c r="H991" s="5">
        <v>43831</v>
      </c>
      <c r="I991" s="5">
        <v>44562</v>
      </c>
      <c r="J991">
        <v>14</v>
      </c>
      <c r="K991">
        <v>9</v>
      </c>
      <c r="L991">
        <v>32</v>
      </c>
      <c r="M991">
        <v>68</v>
      </c>
      <c r="N991">
        <v>10000</v>
      </c>
      <c r="O991">
        <f>VLOOKUP($B991&amp;O$1,Data!$A$2:$D$12000,4,FALSE)</f>
        <v>1.1849999999999999E-2</v>
      </c>
      <c r="P991">
        <f>VLOOKUP($B991&amp;P$1,Data!$A$2:$D$12000,4,FALSE)</f>
        <v>-1.1319999999999999</v>
      </c>
      <c r="Q991">
        <f>VLOOKUP($B991&amp;Q$1,Data!$A$2:$D$12000,4,FALSE)</f>
        <v>477</v>
      </c>
      <c r="R991">
        <f>VLOOKUP($B991&amp;R$1,Data!$A$2:$D$12000,4,FALSE)</f>
        <v>1.9E-3</v>
      </c>
      <c r="S991">
        <f>VLOOKUP($B991&amp;S$1,Data!$A$2:$D$12000,4,FALSE)</f>
        <v>-5.0000000000000001E-3</v>
      </c>
      <c r="T991">
        <f>VLOOKUP($B991&amp;T$1,Data!$A$2:$D$12000,4,FALSE)</f>
        <v>-8.2070000000000004E-2</v>
      </c>
      <c r="U991">
        <f>VLOOKUP($B991&amp;U$1,Data!$A$2:$D$12000,4,FALSE)</f>
        <v>7.4999999999999997E-2</v>
      </c>
      <c r="V991">
        <f>VLOOKUP($B991&amp;V$1,Data!$A$2:$D$12000,4,FALSE)</f>
        <v>-0.154</v>
      </c>
      <c r="W991">
        <f>VLOOKUP($B991&amp;W$1,Data!$A$2:$D$12000,4,FALSE)</f>
        <v>-5.5399999999999998E-2</v>
      </c>
      <c r="X991">
        <f>VLOOKUP($B991&amp;X$1,Data!$A$2:$D$12000,4,FALSE)</f>
        <v>0.38</v>
      </c>
      <c r="Y991">
        <f>VLOOKUP($B991&amp;Y$1,Data!$A$2:$D$12000,4,FALSE)</f>
        <v>0.62</v>
      </c>
      <c r="Z991">
        <f>VLOOKUP($B991&amp;Z$1,Data!$A$2:$D$12000,4,FALSE)</f>
        <v>0.37</v>
      </c>
      <c r="AA991">
        <f>VLOOKUP($B991&amp;AA$1,Data!$A$2:$D$12000,4,FALSE)</f>
        <v>-0.06</v>
      </c>
      <c r="AB991">
        <f>VLOOKUP($B991&amp;AB$1,Data!$A$2:$D$12000,4,FALSE)</f>
        <v>7.0000000000000007E-2</v>
      </c>
      <c r="AC991">
        <f>VLOOKUP($B991&amp;AC$1,Data!$A$2:$D$12000,4,FALSE)</f>
        <v>0.05</v>
      </c>
      <c r="AD991">
        <f>VLOOKUP($B991&amp;AD$1,Data!$A$2:$D$12000,4,FALSE)</f>
        <v>2E-3</v>
      </c>
      <c r="AE991">
        <f>VLOOKUP($B991&amp;AE$1,Data!$A$2:$D$12000,4,FALSE)</f>
        <v>-1.357</v>
      </c>
      <c r="AF991">
        <f>VLOOKUP($B991&amp;AF$1,Data!$A$2:$D$12000,4,FALSE)</f>
        <v>0.08</v>
      </c>
      <c r="AG991">
        <f>VLOOKUP($B991&amp;AG$1,Data!$A$2:$D$12000,4,FALSE)</f>
        <v>-0.80900000000000005</v>
      </c>
      <c r="AH991">
        <f>VLOOKUP($B991&amp;AH$1,Data!$A$2:$D$12000,4,FALSE)</f>
        <v>0</v>
      </c>
      <c r="AI991">
        <f>VLOOKUP($B991&amp;AI$1,Data!$A$2:$D$12000,4,FALSE)</f>
        <v>5200000</v>
      </c>
    </row>
    <row r="992" spans="2:35" hidden="1">
      <c r="B992">
        <v>991</v>
      </c>
      <c r="C992" s="13" t="s">
        <v>58</v>
      </c>
      <c r="D992" t="s">
        <v>5</v>
      </c>
      <c r="E992" t="s">
        <v>3</v>
      </c>
      <c r="F992">
        <v>10</v>
      </c>
      <c r="G992" t="s">
        <v>17</v>
      </c>
      <c r="H992" s="5">
        <v>43831</v>
      </c>
      <c r="I992" s="5">
        <v>44562</v>
      </c>
      <c r="J992">
        <v>14</v>
      </c>
      <c r="K992">
        <v>9</v>
      </c>
      <c r="L992">
        <v>28</v>
      </c>
      <c r="M992">
        <v>72</v>
      </c>
      <c r="N992">
        <v>10000</v>
      </c>
      <c r="W992"/>
    </row>
    <row r="993" spans="1:35" hidden="1">
      <c r="B993">
        <v>992</v>
      </c>
      <c r="C993" s="13" t="s">
        <v>58</v>
      </c>
      <c r="D993" t="s">
        <v>5</v>
      </c>
      <c r="E993" t="s">
        <v>3</v>
      </c>
      <c r="F993">
        <v>100</v>
      </c>
      <c r="G993" t="s">
        <v>17</v>
      </c>
      <c r="H993" s="5">
        <v>43831</v>
      </c>
      <c r="I993" s="5">
        <v>44562</v>
      </c>
      <c r="J993">
        <v>14</v>
      </c>
      <c r="K993">
        <v>9</v>
      </c>
      <c r="L993">
        <v>28</v>
      </c>
      <c r="M993">
        <v>72</v>
      </c>
      <c r="N993">
        <v>10000</v>
      </c>
      <c r="W993"/>
    </row>
    <row r="994" spans="1:35" hidden="1">
      <c r="B994">
        <v>993</v>
      </c>
      <c r="C994" s="13" t="s">
        <v>58</v>
      </c>
      <c r="D994" t="s">
        <v>5</v>
      </c>
      <c r="E994" t="s">
        <v>3</v>
      </c>
      <c r="F994">
        <v>200</v>
      </c>
      <c r="G994" t="s">
        <v>17</v>
      </c>
      <c r="H994" s="5">
        <v>43831</v>
      </c>
      <c r="I994" s="5">
        <v>44562</v>
      </c>
      <c r="J994">
        <v>14</v>
      </c>
      <c r="K994">
        <v>9</v>
      </c>
      <c r="L994">
        <v>28</v>
      </c>
      <c r="M994">
        <v>72</v>
      </c>
      <c r="N994">
        <v>10000</v>
      </c>
      <c r="W994"/>
    </row>
    <row r="995" spans="1:35" hidden="1">
      <c r="B995">
        <v>994</v>
      </c>
      <c r="C995" s="13" t="s">
        <v>58</v>
      </c>
      <c r="D995" t="s">
        <v>5</v>
      </c>
      <c r="E995" t="s">
        <v>2</v>
      </c>
      <c r="F995">
        <v>10</v>
      </c>
      <c r="G995" t="s">
        <v>17</v>
      </c>
      <c r="H995" s="5">
        <v>43831</v>
      </c>
      <c r="I995" s="5">
        <v>44562</v>
      </c>
      <c r="J995">
        <v>14</v>
      </c>
      <c r="K995">
        <v>9</v>
      </c>
      <c r="L995">
        <v>28</v>
      </c>
      <c r="M995">
        <v>72</v>
      </c>
      <c r="N995">
        <v>10000</v>
      </c>
      <c r="W995"/>
    </row>
    <row r="996" spans="1:35" hidden="1">
      <c r="B996">
        <v>995</v>
      </c>
      <c r="C996" s="13" t="s">
        <v>58</v>
      </c>
      <c r="D996" t="s">
        <v>5</v>
      </c>
      <c r="E996" t="s">
        <v>2</v>
      </c>
      <c r="F996">
        <v>100</v>
      </c>
      <c r="G996" t="s">
        <v>17</v>
      </c>
      <c r="H996" s="5">
        <v>43831</v>
      </c>
      <c r="I996" s="5">
        <v>44562</v>
      </c>
      <c r="J996">
        <v>14</v>
      </c>
      <c r="K996">
        <v>9</v>
      </c>
      <c r="L996">
        <v>28</v>
      </c>
      <c r="M996">
        <v>72</v>
      </c>
      <c r="N996">
        <v>10000</v>
      </c>
      <c r="W996"/>
    </row>
    <row r="997" spans="1:35" hidden="1">
      <c r="B997">
        <v>996</v>
      </c>
      <c r="C997" s="13" t="s">
        <v>58</v>
      </c>
      <c r="D997" t="s">
        <v>5</v>
      </c>
      <c r="E997" t="s">
        <v>2</v>
      </c>
      <c r="F997">
        <v>200</v>
      </c>
      <c r="G997" t="s">
        <v>17</v>
      </c>
      <c r="H997" s="5">
        <v>43831</v>
      </c>
      <c r="I997" s="5">
        <v>44562</v>
      </c>
      <c r="J997">
        <v>14</v>
      </c>
      <c r="K997">
        <v>9</v>
      </c>
      <c r="L997">
        <v>28</v>
      </c>
      <c r="M997">
        <v>72</v>
      </c>
      <c r="N997">
        <v>10000</v>
      </c>
      <c r="W997"/>
    </row>
    <row r="998" spans="1:35" hidden="1">
      <c r="B998">
        <v>997</v>
      </c>
      <c r="C998" s="13" t="s">
        <v>58</v>
      </c>
      <c r="D998" t="s">
        <v>5</v>
      </c>
      <c r="E998" t="s">
        <v>22</v>
      </c>
      <c r="F998">
        <v>10</v>
      </c>
      <c r="G998" t="s">
        <v>17</v>
      </c>
      <c r="H998" s="5">
        <v>43831</v>
      </c>
      <c r="I998" s="5">
        <v>44562</v>
      </c>
      <c r="J998">
        <v>14</v>
      </c>
      <c r="K998">
        <v>9</v>
      </c>
      <c r="L998">
        <v>28</v>
      </c>
      <c r="M998">
        <v>72</v>
      </c>
      <c r="N998">
        <v>10000</v>
      </c>
      <c r="W998"/>
    </row>
    <row r="999" spans="1:35" hidden="1">
      <c r="B999">
        <v>998</v>
      </c>
      <c r="C999" s="13" t="s">
        <v>58</v>
      </c>
      <c r="D999" t="s">
        <v>5</v>
      </c>
      <c r="E999" t="s">
        <v>22</v>
      </c>
      <c r="F999">
        <v>100</v>
      </c>
      <c r="G999" t="s">
        <v>17</v>
      </c>
      <c r="H999" s="5">
        <v>43831</v>
      </c>
      <c r="I999" s="5">
        <v>44562</v>
      </c>
      <c r="J999">
        <v>14</v>
      </c>
      <c r="K999">
        <v>9</v>
      </c>
      <c r="L999">
        <v>28</v>
      </c>
      <c r="M999">
        <v>72</v>
      </c>
      <c r="N999">
        <v>10000</v>
      </c>
      <c r="W999"/>
    </row>
    <row r="1000" spans="1:35" hidden="1">
      <c r="B1000">
        <v>999</v>
      </c>
      <c r="C1000" s="13" t="s">
        <v>58</v>
      </c>
      <c r="D1000" t="s">
        <v>5</v>
      </c>
      <c r="E1000" t="s">
        <v>22</v>
      </c>
      <c r="F1000">
        <v>200</v>
      </c>
      <c r="G1000" t="s">
        <v>17</v>
      </c>
      <c r="H1000" s="5">
        <v>43831</v>
      </c>
      <c r="I1000" s="5">
        <v>44562</v>
      </c>
      <c r="J1000">
        <v>14</v>
      </c>
      <c r="K1000">
        <v>9</v>
      </c>
      <c r="L1000">
        <v>28</v>
      </c>
      <c r="M1000">
        <v>72</v>
      </c>
      <c r="N1000">
        <v>10000</v>
      </c>
      <c r="W1000"/>
    </row>
    <row r="1001" spans="1:35" hidden="1">
      <c r="B1001" s="23">
        <v>1000</v>
      </c>
      <c r="C1001" s="13" t="s">
        <v>58</v>
      </c>
      <c r="D1001" t="s">
        <v>6</v>
      </c>
      <c r="E1001" t="s">
        <v>3</v>
      </c>
      <c r="F1001">
        <v>10</v>
      </c>
      <c r="G1001" t="s">
        <v>17</v>
      </c>
      <c r="H1001" s="5">
        <v>43831</v>
      </c>
      <c r="I1001" s="5">
        <v>44562</v>
      </c>
      <c r="J1001">
        <v>14</v>
      </c>
      <c r="K1001">
        <v>9</v>
      </c>
      <c r="L1001">
        <v>30</v>
      </c>
      <c r="M1001">
        <v>70</v>
      </c>
      <c r="N1001">
        <v>10000</v>
      </c>
      <c r="O1001">
        <f>VLOOKUP($B1001&amp;O$1,Data!$A$2:$D$12000,4,FALSE)</f>
        <v>0.35608000000000001</v>
      </c>
      <c r="P1001">
        <f>VLOOKUP($B1001&amp;P$1,Data!$A$2:$D$12000,4,FALSE)</f>
        <v>0.63500000000000001</v>
      </c>
      <c r="Q1001">
        <f>VLOOKUP($B1001&amp;Q$1,Data!$A$2:$D$12000,4,FALSE)</f>
        <v>1435</v>
      </c>
      <c r="R1001">
        <f>VLOOKUP($B1001&amp;R$1,Data!$A$2:$D$12000,4,FALSE)</f>
        <v>1E-4</v>
      </c>
      <c r="S1001">
        <f>VLOOKUP($B1001&amp;S$1,Data!$A$2:$D$12000,4,FALSE)</f>
        <v>-1E-4</v>
      </c>
      <c r="T1001">
        <f>VLOOKUP($B1001&amp;T$1,Data!$A$2:$D$12000,4,FALSE)</f>
        <v>1.5299999999999999E-3</v>
      </c>
      <c r="U1001">
        <f>VLOOKUP($B1001&amp;U$1,Data!$A$2:$D$12000,4,FALSE)</f>
        <v>1E-3</v>
      </c>
      <c r="V1001">
        <f>VLOOKUP($B1001&amp;V$1,Data!$A$2:$D$12000,4,FALSE)</f>
        <v>0.109</v>
      </c>
      <c r="W1001">
        <f>VLOOKUP($B1001&amp;W$1,Data!$A$2:$D$12000,4,FALSE)</f>
        <v>1.01E-3</v>
      </c>
      <c r="X1001">
        <f>VLOOKUP($B1001&amp;X$1,Data!$A$2:$D$12000,4,FALSE)</f>
        <v>0.36</v>
      </c>
      <c r="Y1001">
        <f>VLOOKUP($B1001&amp;Y$1,Data!$A$2:$D$12000,4,FALSE)</f>
        <v>0.64</v>
      </c>
      <c r="Z1001">
        <f>VLOOKUP($B1001&amp;Z$1,Data!$A$2:$D$12000,4,FALSE)</f>
        <v>0.74</v>
      </c>
      <c r="AA1001">
        <f>VLOOKUP($B1001&amp;AA$1,Data!$A$2:$D$12000,4,FALSE)</f>
        <v>1E-3</v>
      </c>
      <c r="AB1001">
        <f>VLOOKUP($B1001&amp;AB$1,Data!$A$2:$D$12000,4,FALSE)</f>
        <v>0</v>
      </c>
      <c r="AC1001">
        <f>VLOOKUP($B1001&amp;AC$1,Data!$A$2:$D$12000,4,FALSE)</f>
        <v>2E-3</v>
      </c>
      <c r="AD1001">
        <f>VLOOKUP($B1001&amp;AD$1,Data!$A$2:$D$12000,4,FALSE)</f>
        <v>0</v>
      </c>
      <c r="AE1001">
        <f>VLOOKUP($B1001&amp;AE$1,Data!$A$2:$D$12000,4,FALSE)</f>
        <v>-0.748</v>
      </c>
      <c r="AF1001">
        <f>VLOOKUP($B1001&amp;AF$1,Data!$A$2:$D$12000,4,FALSE)</f>
        <v>6.7000000000000004E-2</v>
      </c>
      <c r="AG1001">
        <f>VLOOKUP($B1001&amp;AG$1,Data!$A$2:$D$12000,4,FALSE)</f>
        <v>-7.4729999999999999</v>
      </c>
      <c r="AH1001">
        <f>VLOOKUP($B1001&amp;AH$1,Data!$A$2:$D$12000,4,FALSE)</f>
        <v>0</v>
      </c>
      <c r="AI1001">
        <f>VLOOKUP($B1001&amp;AI$1,Data!$A$2:$D$12000,4,FALSE)</f>
        <v>5400000</v>
      </c>
    </row>
    <row r="1002" spans="1:35" hidden="1">
      <c r="B1002" s="23">
        <v>1001</v>
      </c>
      <c r="C1002" s="13" t="s">
        <v>58</v>
      </c>
      <c r="D1002" t="s">
        <v>6</v>
      </c>
      <c r="E1002" t="s">
        <v>3</v>
      </c>
      <c r="F1002">
        <v>100</v>
      </c>
      <c r="G1002" t="s">
        <v>17</v>
      </c>
      <c r="H1002" s="5">
        <v>43831</v>
      </c>
      <c r="I1002" s="5">
        <v>44562</v>
      </c>
      <c r="J1002">
        <v>14</v>
      </c>
      <c r="K1002">
        <v>9</v>
      </c>
      <c r="L1002">
        <v>30</v>
      </c>
      <c r="M1002">
        <v>70</v>
      </c>
      <c r="N1002">
        <v>10000</v>
      </c>
      <c r="O1002">
        <f>VLOOKUP($B1002&amp;O$1,Data!$A$2:$D$12000,4,FALSE)</f>
        <v>0.35848999999999998</v>
      </c>
      <c r="P1002">
        <f>VLOOKUP($B1002&amp;P$1,Data!$A$2:$D$12000,4,FALSE)</f>
        <v>0.64400000000000002</v>
      </c>
      <c r="Q1002">
        <f>VLOOKUP($B1002&amp;Q$1,Data!$A$2:$D$12000,4,FALSE)</f>
        <v>1435</v>
      </c>
      <c r="R1002">
        <f>VLOOKUP($B1002&amp;R$1,Data!$A$2:$D$12000,4,FALSE)</f>
        <v>6.9999999999999999E-4</v>
      </c>
      <c r="S1002">
        <f>VLOOKUP($B1002&amp;S$1,Data!$A$2:$D$12000,4,FALSE)</f>
        <v>-1E-3</v>
      </c>
      <c r="T1002">
        <f>VLOOKUP($B1002&amp;T$1,Data!$A$2:$D$12000,4,FALSE)</f>
        <v>1.533E-2</v>
      </c>
      <c r="U1002">
        <f>VLOOKUP($B1002&amp;U$1,Data!$A$2:$D$12000,4,FALSE)</f>
        <v>8.0000000000000002E-3</v>
      </c>
      <c r="V1002">
        <f>VLOOKUP($B1002&amp;V$1,Data!$A$2:$D$12000,4,FALSE)</f>
        <v>0.111</v>
      </c>
      <c r="W1002">
        <f>VLOOKUP($B1002&amp;W$1,Data!$A$2:$D$12000,4,FALSE)</f>
        <v>1.014E-2</v>
      </c>
      <c r="X1002">
        <f>VLOOKUP($B1002&amp;X$1,Data!$A$2:$D$12000,4,FALSE)</f>
        <v>0.36</v>
      </c>
      <c r="Y1002">
        <f>VLOOKUP($B1002&amp;Y$1,Data!$A$2:$D$12000,4,FALSE)</f>
        <v>0.64</v>
      </c>
      <c r="Z1002">
        <f>VLOOKUP($B1002&amp;Z$1,Data!$A$2:$D$12000,4,FALSE)</f>
        <v>0.74</v>
      </c>
      <c r="AA1002">
        <f>VLOOKUP($B1002&amp;AA$1,Data!$A$2:$D$12000,4,FALSE)</f>
        <v>1.0999999999999999E-2</v>
      </c>
      <c r="AB1002">
        <f>VLOOKUP($B1002&amp;AB$1,Data!$A$2:$D$12000,4,FALSE)</f>
        <v>-1E-3</v>
      </c>
      <c r="AC1002">
        <f>VLOOKUP($B1002&amp;AC$1,Data!$A$2:$D$12000,4,FALSE)</f>
        <v>1.7000000000000001E-2</v>
      </c>
      <c r="AD1002">
        <f>VLOOKUP($B1002&amp;AD$1,Data!$A$2:$D$12000,4,FALSE)</f>
        <v>0</v>
      </c>
      <c r="AE1002">
        <f>VLOOKUP($B1002&amp;AE$1,Data!$A$2:$D$12000,4,FALSE)</f>
        <v>-0.58599999999999997</v>
      </c>
      <c r="AF1002">
        <f>VLOOKUP($B1002&amp;AF$1,Data!$A$2:$D$12000,4,FALSE)</f>
        <v>7.0000000000000007E-2</v>
      </c>
      <c r="AG1002">
        <f>VLOOKUP($B1002&amp;AG$1,Data!$A$2:$D$12000,4,FALSE)</f>
        <v>-7.4749999999999996</v>
      </c>
      <c r="AH1002">
        <f>VLOOKUP($B1002&amp;AH$1,Data!$A$2:$D$12000,4,FALSE)</f>
        <v>0</v>
      </c>
      <c r="AI1002">
        <f>VLOOKUP($B1002&amp;AI$1,Data!$A$2:$D$12000,4,FALSE)</f>
        <v>5400000</v>
      </c>
    </row>
    <row r="1003" spans="1:35" hidden="1">
      <c r="B1003" s="23">
        <v>1002</v>
      </c>
      <c r="C1003" s="13" t="s">
        <v>58</v>
      </c>
      <c r="D1003" s="7" t="s">
        <v>6</v>
      </c>
      <c r="E1003" s="7" t="s">
        <v>3</v>
      </c>
      <c r="F1003" s="7">
        <v>200</v>
      </c>
      <c r="G1003" s="7" t="s">
        <v>17</v>
      </c>
      <c r="H1003" s="21">
        <v>43831</v>
      </c>
      <c r="I1003" s="21">
        <v>44562</v>
      </c>
      <c r="J1003" s="7">
        <v>14</v>
      </c>
      <c r="K1003" s="7">
        <v>9</v>
      </c>
      <c r="L1003" s="7">
        <v>30</v>
      </c>
      <c r="M1003" s="7">
        <v>70</v>
      </c>
      <c r="N1003" s="7">
        <v>10000</v>
      </c>
      <c r="O1003">
        <f>VLOOKUP($B1003&amp;O$1,Data!$A$2:$D$12000,4,FALSE)</f>
        <v>0.44795000000000001</v>
      </c>
      <c r="P1003">
        <f>VLOOKUP($B1003&amp;P$1,Data!$A$2:$D$12000,4,FALSE)</f>
        <v>0.88300000000000001</v>
      </c>
      <c r="Q1003">
        <f>VLOOKUP($B1003&amp;Q$1,Data!$A$2:$D$12000,4,FALSE)</f>
        <v>1352</v>
      </c>
      <c r="R1003">
        <f>VLOOKUP($B1003&amp;R$1,Data!$A$2:$D$12000,4,FALSE)</f>
        <v>1.1999999999999999E-3</v>
      </c>
      <c r="S1003">
        <f>VLOOKUP($B1003&amp;S$1,Data!$A$2:$D$12000,4,FALSE)</f>
        <v>-1.5E-3</v>
      </c>
      <c r="T1003">
        <f>VLOOKUP($B1003&amp;T$1,Data!$A$2:$D$12000,4,FALSE)</f>
        <v>3.3099999999999997E-2</v>
      </c>
      <c r="U1003">
        <f>VLOOKUP($B1003&amp;U$1,Data!$A$2:$D$12000,4,FALSE)</f>
        <v>1.2E-2</v>
      </c>
      <c r="V1003">
        <f>VLOOKUP($B1003&amp;V$1,Data!$A$2:$D$12000,4,FALSE)</f>
        <v>0.158</v>
      </c>
      <c r="W1003">
        <f>VLOOKUP($B1003&amp;W$1,Data!$A$2:$D$12000,4,FALSE)</f>
        <v>2.1819999999999999E-2</v>
      </c>
      <c r="X1003">
        <f>VLOOKUP($B1003&amp;X$1,Data!$A$2:$D$12000,4,FALSE)</f>
        <v>0.35</v>
      </c>
      <c r="Y1003">
        <f>VLOOKUP($B1003&amp;Y$1,Data!$A$2:$D$12000,4,FALSE)</f>
        <v>0.65</v>
      </c>
      <c r="Z1003">
        <f>VLOOKUP($B1003&amp;Z$1,Data!$A$2:$D$12000,4,FALSE)</f>
        <v>0.78</v>
      </c>
      <c r="AA1003">
        <f>VLOOKUP($B1003&amp;AA$1,Data!$A$2:$D$12000,4,FALSE)</f>
        <v>2.3E-2</v>
      </c>
      <c r="AB1003">
        <f>VLOOKUP($B1003&amp;AB$1,Data!$A$2:$D$12000,4,FALSE)</f>
        <v>-1E-3</v>
      </c>
      <c r="AC1003">
        <f>VLOOKUP($B1003&amp;AC$1,Data!$A$2:$D$12000,4,FALSE)</f>
        <v>2.5999999999999999E-2</v>
      </c>
      <c r="AD1003">
        <f>VLOOKUP($B1003&amp;AD$1,Data!$A$2:$D$12000,4,FALSE)</f>
        <v>1E-3</v>
      </c>
      <c r="AE1003">
        <f>VLOOKUP($B1003&amp;AE$1,Data!$A$2:$D$12000,4,FALSE)</f>
        <v>-0.39100000000000001</v>
      </c>
      <c r="AF1003">
        <f>VLOOKUP($B1003&amp;AF$1,Data!$A$2:$D$12000,4,FALSE)</f>
        <v>7.1999999999999995E-2</v>
      </c>
      <c r="AG1003">
        <f>VLOOKUP($B1003&amp;AG$1,Data!$A$2:$D$12000,4,FALSE)</f>
        <v>-26.847999999999999</v>
      </c>
      <c r="AH1003">
        <f>VLOOKUP($B1003&amp;AH$1,Data!$A$2:$D$12000,4,FALSE)</f>
        <v>0</v>
      </c>
      <c r="AI1003">
        <f>VLOOKUP($B1003&amp;AI$1,Data!$A$2:$D$12000,4,FALSE)</f>
        <v>5500000</v>
      </c>
    </row>
    <row r="1004" spans="1:35" hidden="1">
      <c r="B1004" s="23">
        <v>1003</v>
      </c>
      <c r="C1004" s="13" t="s">
        <v>58</v>
      </c>
      <c r="D1004" s="7" t="s">
        <v>6</v>
      </c>
      <c r="E1004" s="7" t="s">
        <v>2</v>
      </c>
      <c r="F1004" s="7">
        <v>10</v>
      </c>
      <c r="G1004" s="7" t="s">
        <v>17</v>
      </c>
      <c r="H1004" s="21">
        <v>43831</v>
      </c>
      <c r="I1004" s="21">
        <v>44562</v>
      </c>
      <c r="J1004" s="7">
        <v>14</v>
      </c>
      <c r="K1004" s="7">
        <v>9</v>
      </c>
      <c r="L1004" s="7">
        <v>30</v>
      </c>
      <c r="M1004" s="7">
        <v>70</v>
      </c>
      <c r="N1004" s="7">
        <v>10000</v>
      </c>
      <c r="O1004">
        <f>VLOOKUP($B1004&amp;O$1,Data!$A$2:$D$12000,4,FALSE)</f>
        <v>0.67976000000000003</v>
      </c>
      <c r="P1004">
        <f>VLOOKUP($B1004&amp;P$1,Data!$A$2:$D$12000,4,FALSE)</f>
        <v>1.4330000000000001</v>
      </c>
      <c r="Q1004">
        <f>VLOOKUP($B1004&amp;Q$1,Data!$A$2:$D$12000,4,FALSE)</f>
        <v>884</v>
      </c>
      <c r="R1004">
        <f>VLOOKUP($B1004&amp;R$1,Data!$A$2:$D$12000,4,FALSE)</f>
        <v>1E-4</v>
      </c>
      <c r="S1004">
        <f>VLOOKUP($B1004&amp;S$1,Data!$A$2:$D$12000,4,FALSE)</f>
        <v>-1E-4</v>
      </c>
      <c r="T1004">
        <f>VLOOKUP($B1004&amp;T$1,Data!$A$2:$D$12000,4,FALSE)</f>
        <v>2.65E-3</v>
      </c>
      <c r="U1004">
        <f>VLOOKUP($B1004&amp;U$1,Data!$A$2:$D$12000,4,FALSE)</f>
        <v>1E-3</v>
      </c>
      <c r="V1004">
        <f>VLOOKUP($B1004&amp;V$1,Data!$A$2:$D$12000,4,FALSE)</f>
        <v>0.32600000000000001</v>
      </c>
      <c r="W1004">
        <f>VLOOKUP($B1004&amp;W$1,Data!$A$2:$D$12000,4,FALSE)</f>
        <v>1.7600000000000001E-3</v>
      </c>
      <c r="X1004">
        <f>VLOOKUP($B1004&amp;X$1,Data!$A$2:$D$12000,4,FALSE)</f>
        <v>0.31</v>
      </c>
      <c r="Y1004">
        <f>VLOOKUP($B1004&amp;Y$1,Data!$A$2:$D$12000,4,FALSE)</f>
        <v>0.69</v>
      </c>
      <c r="Z1004">
        <f>VLOOKUP($B1004&amp;Z$1,Data!$A$2:$D$12000,4,FALSE)</f>
        <v>0.93</v>
      </c>
      <c r="AA1004">
        <f>VLOOKUP($B1004&amp;AA$1,Data!$A$2:$D$12000,4,FALSE)</f>
        <v>2E-3</v>
      </c>
      <c r="AB1004">
        <f>VLOOKUP($B1004&amp;AB$1,Data!$A$2:$D$12000,4,FALSE)</f>
        <v>0</v>
      </c>
      <c r="AC1004">
        <f>VLOOKUP($B1004&amp;AC$1,Data!$A$2:$D$12000,4,FALSE)</f>
        <v>1E-3</v>
      </c>
      <c r="AD1004">
        <f>VLOOKUP($B1004&amp;AD$1,Data!$A$2:$D$12000,4,FALSE)</f>
        <v>0</v>
      </c>
      <c r="AE1004">
        <f>VLOOKUP($B1004&amp;AE$1,Data!$A$2:$D$12000,4,FALSE)</f>
        <v>-0.73699999999999999</v>
      </c>
      <c r="AF1004">
        <f>VLOOKUP($B1004&amp;AF$1,Data!$A$2:$D$12000,4,FALSE)</f>
        <v>6.7000000000000004E-2</v>
      </c>
      <c r="AG1004">
        <f>VLOOKUP($B1004&amp;AG$1,Data!$A$2:$D$12000,4,FALSE)</f>
        <v>38.823999999999998</v>
      </c>
      <c r="AH1004">
        <f>VLOOKUP($B1004&amp;AH$1,Data!$A$2:$D$12000,4,FALSE)</f>
        <v>0</v>
      </c>
      <c r="AI1004">
        <f>VLOOKUP($B1004&amp;AI$1,Data!$A$2:$D$12000,4,FALSE)</f>
        <v>2000000000</v>
      </c>
    </row>
    <row r="1005" spans="1:35">
      <c r="A1005" s="39" t="s">
        <v>59</v>
      </c>
      <c r="B1005" s="37">
        <v>827.1</v>
      </c>
      <c r="C1005" s="37" t="s">
        <v>58</v>
      </c>
      <c r="D1005" s="37" t="s">
        <v>6</v>
      </c>
      <c r="E1005" s="37" t="s">
        <v>22</v>
      </c>
      <c r="F1005" s="37">
        <v>100</v>
      </c>
      <c r="G1005" s="37" t="s">
        <v>17</v>
      </c>
      <c r="H1005" s="38">
        <v>43831</v>
      </c>
      <c r="I1005" s="38">
        <v>44562</v>
      </c>
      <c r="J1005" s="37">
        <v>14</v>
      </c>
      <c r="K1005" s="37">
        <v>9</v>
      </c>
      <c r="L1005" s="37">
        <v>32</v>
      </c>
      <c r="M1005" s="37">
        <v>68</v>
      </c>
      <c r="N1005" s="37">
        <v>1000000</v>
      </c>
      <c r="O1005">
        <f>VLOOKUP($B1005&amp;O$1,Data!$A$2:$D$14000,4,FALSE)</f>
        <v>0.97411999999999999</v>
      </c>
      <c r="P1005">
        <f>VLOOKUP($B1005&amp;P$1,Data!$A$2:$D$14000,4,FALSE)</f>
        <v>2.5619999999999998</v>
      </c>
      <c r="Q1005">
        <f>VLOOKUP($B1005&amp;Q$1,Data!$A$2:$D$14000,4,FALSE)</f>
        <v>705</v>
      </c>
      <c r="R1005">
        <f>VLOOKUP($B1005&amp;R$1,Data!$A$2:$D$14000,4,FALSE)</f>
        <v>3.2000000000000002E-3</v>
      </c>
      <c r="S1005">
        <f>VLOOKUP($B1005&amp;S$1,Data!$A$2:$D$14000,4,FALSE)</f>
        <v>-2.0999999999999999E-3</v>
      </c>
      <c r="T1005">
        <f>VLOOKUP($B1005&amp;T$1,Data!$A$2:$D$14000,4,FALSE)</f>
        <v>0.1477</v>
      </c>
      <c r="U1005">
        <f>VLOOKUP($B1005&amp;U$1,Data!$A$2:$D$14000,4,FALSE)</f>
        <v>1.2999999999999999E-2</v>
      </c>
      <c r="V1005">
        <f>VLOOKUP($B1005&amp;V$1,Data!$A$2:$D$14000,4,FALSE)</f>
        <v>0.77700000000000002</v>
      </c>
      <c r="W1005">
        <f>VLOOKUP($B1005&amp;W$1,Data!$A$2:$D$14000,4,FALSE)</f>
        <v>9.7269999999999995E-2</v>
      </c>
      <c r="X1005">
        <f>VLOOKUP($B1005&amp;X$1,Data!$A$2:$D$14000,4,FALSE)</f>
        <v>0.3</v>
      </c>
      <c r="Y1005">
        <f>VLOOKUP($B1005&amp;Y$1,Data!$A$2:$D$14000,4,FALSE)</f>
        <v>0.7</v>
      </c>
      <c r="Z1005">
        <f>VLOOKUP($B1005&amp;Z$1,Data!$A$2:$D$14000,4,FALSE)</f>
        <v>1.52</v>
      </c>
      <c r="AA1005">
        <f>VLOOKUP($B1005&amp;AA$1,Data!$A$2:$D$14000,4,FALSE)</f>
        <v>9.8000000000000004E-2</v>
      </c>
      <c r="AB1005">
        <f>VLOOKUP($B1005&amp;AB$1,Data!$A$2:$D$14000,4,FALSE)</f>
        <v>6.2E-2</v>
      </c>
      <c r="AC1005">
        <f>VLOOKUP($B1005&amp;AC$1,Data!$A$2:$D$14000,4,FALSE)</f>
        <v>3.9E-2</v>
      </c>
      <c r="AD1005">
        <f>VLOOKUP($B1005&amp;AD$1,Data!$A$2:$D$14000,4,FALSE)</f>
        <v>2E-3</v>
      </c>
      <c r="AE1005">
        <f>VLOOKUP($B1005&amp;AE$1,Data!$A$2:$D$14000,4,FALSE)</f>
        <v>0.76700000000000002</v>
      </c>
      <c r="AF1005">
        <f>VLOOKUP($B1005&amp;AF$1,Data!$A$2:$D$14000,4,FALSE)</f>
        <v>7.3999999999999996E-2</v>
      </c>
      <c r="AG1005">
        <f>VLOOKUP($B1005&amp;AG$1,Data!$A$2:$D$14000,4,FALSE)</f>
        <v>1.6419999999999999</v>
      </c>
      <c r="AH1005">
        <f>VLOOKUP($B1005&amp;AH$1,Data!$A$2:$D$14000,4,FALSE)</f>
        <v>0</v>
      </c>
      <c r="AI1005">
        <f>VLOOKUP($B1005&amp;AI$1,Data!$A$2:$D$14000,4,FALSE)</f>
        <v>100000000</v>
      </c>
    </row>
    <row r="1006" spans="1:35" hidden="1">
      <c r="B1006" s="23">
        <v>1005</v>
      </c>
      <c r="C1006" s="13" t="s">
        <v>58</v>
      </c>
      <c r="D1006" t="s">
        <v>6</v>
      </c>
      <c r="E1006" t="s">
        <v>2</v>
      </c>
      <c r="F1006">
        <v>200</v>
      </c>
      <c r="G1006" t="s">
        <v>17</v>
      </c>
      <c r="H1006" s="5">
        <v>43831</v>
      </c>
      <c r="I1006" s="5">
        <v>44562</v>
      </c>
      <c r="J1006">
        <v>14</v>
      </c>
      <c r="K1006">
        <v>9</v>
      </c>
      <c r="L1006">
        <v>30</v>
      </c>
      <c r="M1006">
        <v>70</v>
      </c>
      <c r="N1006">
        <v>10000</v>
      </c>
      <c r="O1006">
        <f>VLOOKUP($B1006&amp;O$1,Data!$A$2:$D$12000,4,FALSE)</f>
        <v>0.65488999999999997</v>
      </c>
      <c r="P1006">
        <f>VLOOKUP($B1006&amp;P$1,Data!$A$2:$D$12000,4,FALSE)</f>
        <v>1.4039999999999999</v>
      </c>
      <c r="Q1006">
        <f>VLOOKUP($B1006&amp;Q$1,Data!$A$2:$D$12000,4,FALSE)</f>
        <v>838</v>
      </c>
      <c r="R1006">
        <f>VLOOKUP($B1006&amp;R$1,Data!$A$2:$D$12000,4,FALSE)</f>
        <v>1.1000000000000001E-3</v>
      </c>
      <c r="S1006">
        <f>VLOOKUP($B1006&amp;S$1,Data!$A$2:$D$12000,4,FALSE)</f>
        <v>-1.2999999999999999E-3</v>
      </c>
      <c r="T1006">
        <f>VLOOKUP($B1006&amp;T$1,Data!$A$2:$D$12000,4,FALSE)</f>
        <v>4.0689999999999997E-2</v>
      </c>
      <c r="U1006">
        <f>VLOOKUP($B1006&amp;U$1,Data!$A$2:$D$12000,4,FALSE)</f>
        <v>1.0999999999999999E-2</v>
      </c>
      <c r="V1006">
        <f>VLOOKUP($B1006&amp;V$1,Data!$A$2:$D$12000,4,FALSE)</f>
        <v>0.29199999999999998</v>
      </c>
      <c r="W1006">
        <f>VLOOKUP($B1006&amp;W$1,Data!$A$2:$D$12000,4,FALSE)</f>
        <v>2.6790000000000001E-2</v>
      </c>
      <c r="X1006">
        <f>VLOOKUP($B1006&amp;X$1,Data!$A$2:$D$12000,4,FALSE)</f>
        <v>0.3</v>
      </c>
      <c r="Y1006">
        <f>VLOOKUP($B1006&amp;Y$1,Data!$A$2:$D$12000,4,FALSE)</f>
        <v>0.7</v>
      </c>
      <c r="Z1006">
        <f>VLOOKUP($B1006&amp;Z$1,Data!$A$2:$D$12000,4,FALSE)</f>
        <v>0.85</v>
      </c>
      <c r="AA1006">
        <f>VLOOKUP($B1006&amp;AA$1,Data!$A$2:$D$12000,4,FALSE)</f>
        <v>2.8000000000000001E-2</v>
      </c>
      <c r="AB1006">
        <f>VLOOKUP($B1006&amp;AB$1,Data!$A$2:$D$12000,4,FALSE)</f>
        <v>3.0000000000000001E-3</v>
      </c>
      <c r="AC1006">
        <f>VLOOKUP($B1006&amp;AC$1,Data!$A$2:$D$12000,4,FALSE)</f>
        <v>0.02</v>
      </c>
      <c r="AD1006">
        <f>VLOOKUP($B1006&amp;AD$1,Data!$A$2:$D$12000,4,FALSE)</f>
        <v>0</v>
      </c>
      <c r="AE1006">
        <f>VLOOKUP($B1006&amp;AE$1,Data!$A$2:$D$12000,4,FALSE)</f>
        <v>-0.34100000000000003</v>
      </c>
      <c r="AF1006">
        <f>VLOOKUP($B1006&amp;AF$1,Data!$A$2:$D$12000,4,FALSE)</f>
        <v>7.0000000000000007E-2</v>
      </c>
      <c r="AG1006">
        <f>VLOOKUP($B1006&amp;AG$1,Data!$A$2:$D$12000,4,FALSE)</f>
        <v>8.2309999999999999</v>
      </c>
      <c r="AH1006">
        <f>VLOOKUP($B1006&amp;AH$1,Data!$A$2:$D$12000,4,FALSE)</f>
        <v>0</v>
      </c>
      <c r="AI1006">
        <f>VLOOKUP($B1006&amp;AI$1,Data!$A$2:$D$12000,4,FALSE)</f>
        <v>110000000</v>
      </c>
    </row>
    <row r="1007" spans="1:35" hidden="1">
      <c r="B1007" s="23">
        <v>1006</v>
      </c>
      <c r="C1007" s="13" t="s">
        <v>58</v>
      </c>
      <c r="D1007" t="s">
        <v>6</v>
      </c>
      <c r="E1007" t="s">
        <v>22</v>
      </c>
      <c r="F1007">
        <v>10</v>
      </c>
      <c r="G1007" t="s">
        <v>17</v>
      </c>
      <c r="H1007" s="5">
        <v>43831</v>
      </c>
      <c r="I1007" s="5">
        <v>44562</v>
      </c>
      <c r="J1007">
        <v>14</v>
      </c>
      <c r="K1007">
        <v>9</v>
      </c>
      <c r="L1007">
        <v>30</v>
      </c>
      <c r="M1007">
        <v>70</v>
      </c>
      <c r="N1007">
        <v>10000</v>
      </c>
      <c r="O1007">
        <f>VLOOKUP($B1007&amp;O$1,Data!$A$2:$D$12000,4,FALSE)</f>
        <v>0.18163000000000001</v>
      </c>
      <c r="P1007">
        <f>VLOOKUP($B1007&amp;P$1,Data!$A$2:$D$12000,4,FALSE)</f>
        <v>0.06</v>
      </c>
      <c r="Q1007">
        <f>VLOOKUP($B1007&amp;Q$1,Data!$A$2:$D$12000,4,FALSE)</f>
        <v>714</v>
      </c>
      <c r="R1007">
        <f>VLOOKUP($B1007&amp;R$1,Data!$A$2:$D$12000,4,FALSE)</f>
        <v>1E-4</v>
      </c>
      <c r="S1007">
        <f>VLOOKUP($B1007&amp;S$1,Data!$A$2:$D$12000,4,FALSE)</f>
        <v>-1E-4</v>
      </c>
      <c r="T1007">
        <f>VLOOKUP($B1007&amp;T$1,Data!$A$2:$D$12000,4,FALSE)</f>
        <v>1.6000000000000001E-4</v>
      </c>
      <c r="U1007">
        <f>VLOOKUP($B1007&amp;U$1,Data!$A$2:$D$12000,4,FALSE)</f>
        <v>2E-3</v>
      </c>
      <c r="V1007">
        <f>VLOOKUP($B1007&amp;V$1,Data!$A$2:$D$12000,4,FALSE)</f>
        <v>3.0000000000000001E-3</v>
      </c>
      <c r="W1007">
        <f>VLOOKUP($B1007&amp;W$1,Data!$A$2:$D$12000,4,FALSE)</f>
        <v>1.1E-4</v>
      </c>
      <c r="X1007">
        <f>VLOOKUP($B1007&amp;X$1,Data!$A$2:$D$12000,4,FALSE)</f>
        <v>0.36</v>
      </c>
      <c r="Y1007">
        <f>VLOOKUP($B1007&amp;Y$1,Data!$A$2:$D$12000,4,FALSE)</f>
        <v>0.64</v>
      </c>
      <c r="Z1007">
        <f>VLOOKUP($B1007&amp;Z$1,Data!$A$2:$D$12000,4,FALSE)</f>
        <v>0.56000000000000005</v>
      </c>
      <c r="AA1007">
        <f>VLOOKUP($B1007&amp;AA$1,Data!$A$2:$D$12000,4,FALSE)</f>
        <v>0</v>
      </c>
      <c r="AB1007">
        <f>VLOOKUP($B1007&amp;AB$1,Data!$A$2:$D$12000,4,FALSE)</f>
        <v>3.0000000000000001E-3</v>
      </c>
      <c r="AC1007">
        <f>VLOOKUP($B1007&amp;AC$1,Data!$A$2:$D$12000,4,FALSE)</f>
        <v>2E-3</v>
      </c>
      <c r="AD1007">
        <f>VLOOKUP($B1007&amp;AD$1,Data!$A$2:$D$12000,4,FALSE)</f>
        <v>0</v>
      </c>
      <c r="AE1007">
        <f>VLOOKUP($B1007&amp;AE$1,Data!$A$2:$D$12000,4,FALSE)</f>
        <v>-0.76400000000000001</v>
      </c>
      <c r="AF1007">
        <f>VLOOKUP($B1007&amp;AF$1,Data!$A$2:$D$12000,4,FALSE)</f>
        <v>6.7000000000000004E-2</v>
      </c>
      <c r="AG1007">
        <f>VLOOKUP($B1007&amp;AG$1,Data!$A$2:$D$12000,4,FALSE)</f>
        <v>0.04</v>
      </c>
      <c r="AH1007">
        <f>VLOOKUP($B1007&amp;AH$1,Data!$A$2:$D$12000,4,FALSE)</f>
        <v>0</v>
      </c>
      <c r="AI1007">
        <f>VLOOKUP($B1007&amp;AI$1,Data!$A$2:$D$12000,4,FALSE)</f>
        <v>7300000</v>
      </c>
    </row>
    <row r="1008" spans="1:35" hidden="1">
      <c r="B1008" s="23">
        <v>1007</v>
      </c>
      <c r="C1008" s="13" t="s">
        <v>58</v>
      </c>
      <c r="D1008" t="s">
        <v>6</v>
      </c>
      <c r="E1008" t="s">
        <v>22</v>
      </c>
      <c r="F1008">
        <v>100</v>
      </c>
      <c r="G1008" t="s">
        <v>17</v>
      </c>
      <c r="H1008" s="5">
        <v>43831</v>
      </c>
      <c r="I1008" s="5">
        <v>44562</v>
      </c>
      <c r="J1008">
        <v>14</v>
      </c>
      <c r="K1008">
        <v>9</v>
      </c>
      <c r="L1008">
        <v>30</v>
      </c>
      <c r="M1008">
        <v>70</v>
      </c>
      <c r="N1008">
        <v>10000</v>
      </c>
      <c r="O1008">
        <f>VLOOKUP($B1008&amp;O$1,Data!$A$2:$D$12000,4,FALSE)</f>
        <v>0.18404000000000001</v>
      </c>
      <c r="P1008">
        <f>VLOOKUP($B1008&amp;P$1,Data!$A$2:$D$12000,4,FALSE)</f>
        <v>6.8000000000000005E-2</v>
      </c>
      <c r="Q1008">
        <f>VLOOKUP($B1008&amp;Q$1,Data!$A$2:$D$12000,4,FALSE)</f>
        <v>714</v>
      </c>
      <c r="R1008">
        <f>VLOOKUP($B1008&amp;R$1,Data!$A$2:$D$12000,4,FALSE)</f>
        <v>8.0000000000000004E-4</v>
      </c>
      <c r="S1008">
        <f>VLOOKUP($B1008&amp;S$1,Data!$A$2:$D$12000,4,FALSE)</f>
        <v>-1.4E-3</v>
      </c>
      <c r="T1008">
        <f>VLOOKUP($B1008&amp;T$1,Data!$A$2:$D$12000,4,FALSE)</f>
        <v>1.6299999999999999E-3</v>
      </c>
      <c r="U1008">
        <f>VLOOKUP($B1008&amp;U$1,Data!$A$2:$D$12000,4,FALSE)</f>
        <v>1.7000000000000001E-2</v>
      </c>
      <c r="V1008">
        <f>VLOOKUP($B1008&amp;V$1,Data!$A$2:$D$12000,4,FALSE)</f>
        <v>5.0000000000000001E-3</v>
      </c>
      <c r="W1008">
        <f>VLOOKUP($B1008&amp;W$1,Data!$A$2:$D$12000,4,FALSE)</f>
        <v>1.08E-3</v>
      </c>
      <c r="X1008">
        <f>VLOOKUP($B1008&amp;X$1,Data!$A$2:$D$12000,4,FALSE)</f>
        <v>0.36</v>
      </c>
      <c r="Y1008">
        <f>VLOOKUP($B1008&amp;Y$1,Data!$A$2:$D$12000,4,FALSE)</f>
        <v>0.64</v>
      </c>
      <c r="Z1008">
        <f>VLOOKUP($B1008&amp;Z$1,Data!$A$2:$D$12000,4,FALSE)</f>
        <v>0.56000000000000005</v>
      </c>
      <c r="AA1008">
        <f>VLOOKUP($B1008&amp;AA$1,Data!$A$2:$D$12000,4,FALSE)</f>
        <v>0</v>
      </c>
      <c r="AB1008">
        <f>VLOOKUP($B1008&amp;AB$1,Data!$A$2:$D$12000,4,FALSE)</f>
        <v>2.9000000000000001E-2</v>
      </c>
      <c r="AC1008">
        <f>VLOOKUP($B1008&amp;AC$1,Data!$A$2:$D$12000,4,FALSE)</f>
        <v>1.9E-2</v>
      </c>
      <c r="AD1008">
        <f>VLOOKUP($B1008&amp;AD$1,Data!$A$2:$D$12000,4,FALSE)</f>
        <v>0</v>
      </c>
      <c r="AE1008">
        <f>VLOOKUP($B1008&amp;AE$1,Data!$A$2:$D$12000,4,FALSE)</f>
        <v>-0.73599999999999999</v>
      </c>
      <c r="AF1008">
        <f>VLOOKUP($B1008&amp;AF$1,Data!$A$2:$D$12000,4,FALSE)</f>
        <v>6.8000000000000005E-2</v>
      </c>
      <c r="AG1008">
        <f>VLOOKUP($B1008&amp;AG$1,Data!$A$2:$D$12000,4,FALSE)</f>
        <v>4.5999999999999999E-2</v>
      </c>
      <c r="AH1008">
        <f>VLOOKUP($B1008&amp;AH$1,Data!$A$2:$D$12000,4,FALSE)</f>
        <v>0</v>
      </c>
      <c r="AI1008">
        <f>VLOOKUP($B1008&amp;AI$1,Data!$A$2:$D$12000,4,FALSE)</f>
        <v>7300000</v>
      </c>
    </row>
    <row r="1009" spans="1:35" hidden="1">
      <c r="B1009" s="23">
        <v>1008</v>
      </c>
      <c r="C1009" s="13" t="s">
        <v>58</v>
      </c>
      <c r="D1009" t="s">
        <v>6</v>
      </c>
      <c r="E1009" t="s">
        <v>22</v>
      </c>
      <c r="F1009">
        <v>200</v>
      </c>
      <c r="G1009" t="s">
        <v>17</v>
      </c>
      <c r="H1009" s="5">
        <v>43831</v>
      </c>
      <c r="I1009" s="5">
        <v>44562</v>
      </c>
      <c r="J1009">
        <v>14</v>
      </c>
      <c r="K1009">
        <v>9</v>
      </c>
      <c r="L1009">
        <v>30</v>
      </c>
      <c r="M1009">
        <v>70</v>
      </c>
      <c r="N1009">
        <v>10000</v>
      </c>
      <c r="O1009">
        <f>VLOOKUP($B1009&amp;O$1,Data!$A$2:$D$12000,4,FALSE)</f>
        <v>0.18975</v>
      </c>
      <c r="P1009">
        <f>VLOOKUP($B1009&amp;P$1,Data!$A$2:$D$12000,4,FALSE)</f>
        <v>8.5000000000000006E-2</v>
      </c>
      <c r="Q1009">
        <f>VLOOKUP($B1009&amp;Q$1,Data!$A$2:$D$12000,4,FALSE)</f>
        <v>669</v>
      </c>
      <c r="R1009">
        <f>VLOOKUP($B1009&amp;R$1,Data!$A$2:$D$12000,4,FALSE)</f>
        <v>1.1999999999999999E-3</v>
      </c>
      <c r="S1009">
        <f>VLOOKUP($B1009&amp;S$1,Data!$A$2:$D$12000,4,FALSE)</f>
        <v>-2.5000000000000001E-3</v>
      </c>
      <c r="T1009">
        <f>VLOOKUP($B1009&amp;T$1,Data!$A$2:$D$12000,4,FALSE)</f>
        <v>3.0899999999999999E-3</v>
      </c>
      <c r="U1009">
        <f>VLOOKUP($B1009&amp;U$1,Data!$A$2:$D$12000,4,FALSE)</f>
        <v>2.9000000000000001E-2</v>
      </c>
      <c r="V1009">
        <f>VLOOKUP($B1009&amp;V$1,Data!$A$2:$D$12000,4,FALSE)</f>
        <v>7.0000000000000001E-3</v>
      </c>
      <c r="W1009">
        <f>VLOOKUP($B1009&amp;W$1,Data!$A$2:$D$12000,4,FALSE)</f>
        <v>2.0500000000000002E-3</v>
      </c>
      <c r="X1009">
        <f>VLOOKUP($B1009&amp;X$1,Data!$A$2:$D$12000,4,FALSE)</f>
        <v>0.32</v>
      </c>
      <c r="Y1009">
        <f>VLOOKUP($B1009&amp;Y$1,Data!$A$2:$D$12000,4,FALSE)</f>
        <v>0.68</v>
      </c>
      <c r="Z1009">
        <f>VLOOKUP($B1009&amp;Z$1,Data!$A$2:$D$12000,4,FALSE)</f>
        <v>0.48</v>
      </c>
      <c r="AA1009">
        <f>VLOOKUP($B1009&amp;AA$1,Data!$A$2:$D$12000,4,FALSE)</f>
        <v>0</v>
      </c>
      <c r="AB1009">
        <f>VLOOKUP($B1009&amp;AB$1,Data!$A$2:$D$12000,4,FALSE)</f>
        <v>4.2999999999999997E-2</v>
      </c>
      <c r="AC1009">
        <f>VLOOKUP($B1009&amp;AC$1,Data!$A$2:$D$12000,4,FALSE)</f>
        <v>3.1E-2</v>
      </c>
      <c r="AD1009">
        <f>VLOOKUP($B1009&amp;AD$1,Data!$A$2:$D$12000,4,FALSE)</f>
        <v>1E-3</v>
      </c>
      <c r="AE1009">
        <f>VLOOKUP($B1009&amp;AE$1,Data!$A$2:$D$12000,4,FALSE)</f>
        <v>-0.68300000000000005</v>
      </c>
      <c r="AF1009">
        <f>VLOOKUP($B1009&amp;AF$1,Data!$A$2:$D$12000,4,FALSE)</f>
        <v>7.1999999999999995E-2</v>
      </c>
      <c r="AG1009">
        <f>VLOOKUP($B1009&amp;AG$1,Data!$A$2:$D$12000,4,FALSE)</f>
        <v>6.2E-2</v>
      </c>
      <c r="AH1009">
        <f>VLOOKUP($B1009&amp;AH$1,Data!$A$2:$D$12000,4,FALSE)</f>
        <v>0</v>
      </c>
      <c r="AI1009">
        <f>VLOOKUP($B1009&amp;AI$1,Data!$A$2:$D$12000,4,FALSE)</f>
        <v>7500000</v>
      </c>
    </row>
    <row r="1010" spans="1:35" hidden="1">
      <c r="B1010" s="24">
        <v>1009</v>
      </c>
      <c r="C1010" s="13" t="s">
        <v>58</v>
      </c>
      <c r="D1010" t="s">
        <v>6</v>
      </c>
      <c r="E1010" t="s">
        <v>3</v>
      </c>
      <c r="F1010">
        <v>10</v>
      </c>
      <c r="G1010" t="s">
        <v>17</v>
      </c>
      <c r="H1010" s="5">
        <v>43831</v>
      </c>
      <c r="I1010" s="5">
        <v>44562</v>
      </c>
      <c r="J1010">
        <v>14</v>
      </c>
      <c r="K1010">
        <v>9</v>
      </c>
      <c r="L1010">
        <v>32</v>
      </c>
      <c r="M1010">
        <v>68</v>
      </c>
      <c r="N1010">
        <v>10000</v>
      </c>
      <c r="O1010">
        <f>VLOOKUP($B1010&amp;O$1,Data!$A$2:$D$12000,4,FALSE)</f>
        <v>5.2130000000000003E-2</v>
      </c>
      <c r="P1010">
        <f>VLOOKUP($B1010&amp;P$1,Data!$A$2:$D$12000,4,FALSE)</f>
        <v>-0.56999999999999995</v>
      </c>
      <c r="Q1010">
        <f>VLOOKUP($B1010&amp;Q$1,Data!$A$2:$D$12000,4,FALSE)</f>
        <v>1306</v>
      </c>
      <c r="R1010">
        <f>VLOOKUP($B1010&amp;R$1,Data!$A$2:$D$12000,4,FALSE)</f>
        <v>1.1000000000000001E-3</v>
      </c>
      <c r="S1010">
        <f>VLOOKUP($B1010&amp;S$1,Data!$A$2:$D$12000,4,FALSE)</f>
        <v>-2.5999999999999999E-3</v>
      </c>
      <c r="T1010">
        <f>VLOOKUP($B1010&amp;T$1,Data!$A$2:$D$12000,4,FALSE)</f>
        <v>-2.6460000000000001E-2</v>
      </c>
      <c r="U1010">
        <f>VLOOKUP($B1010&amp;U$1,Data!$A$2:$D$12000,4,FALSE)</f>
        <v>4.5999999999999999E-2</v>
      </c>
      <c r="V1010">
        <f>VLOOKUP($B1010&amp;V$1,Data!$A$2:$D$12000,4,FALSE)</f>
        <v>-7.1999999999999995E-2</v>
      </c>
      <c r="W1010">
        <f>VLOOKUP($B1010&amp;W$1,Data!$A$2:$D$12000,4,FALSE)</f>
        <v>-1.7690000000000001E-2</v>
      </c>
      <c r="X1010">
        <f>VLOOKUP($B1010&amp;X$1,Data!$A$2:$D$12000,4,FALSE)</f>
        <v>0.35</v>
      </c>
      <c r="Y1010">
        <f>VLOOKUP($B1010&amp;Y$1,Data!$A$2:$D$12000,4,FALSE)</f>
        <v>0.65</v>
      </c>
      <c r="Z1010">
        <f>VLOOKUP($B1010&amp;Z$1,Data!$A$2:$D$12000,4,FALSE)</f>
        <v>0.42</v>
      </c>
      <c r="AA1010">
        <f>VLOOKUP($B1010&amp;AA$1,Data!$A$2:$D$12000,4,FALSE)</f>
        <v>-0.02</v>
      </c>
      <c r="AB1010">
        <f>VLOOKUP($B1010&amp;AB$1,Data!$A$2:$D$12000,4,FALSE)</f>
        <v>3.5000000000000003E-2</v>
      </c>
      <c r="AC1010">
        <f>VLOOKUP($B1010&amp;AC$1,Data!$A$2:$D$12000,4,FALSE)</f>
        <v>3.1E-2</v>
      </c>
      <c r="AD1010">
        <f>VLOOKUP($B1010&amp;AD$1,Data!$A$2:$D$12000,4,FALSE)</f>
        <v>1E-3</v>
      </c>
      <c r="AE1010">
        <f>VLOOKUP($B1010&amp;AE$1,Data!$A$2:$D$12000,4,FALSE)</f>
        <v>-0.93200000000000005</v>
      </c>
      <c r="AF1010">
        <f>VLOOKUP($B1010&amp;AF$1,Data!$A$2:$D$12000,4,FALSE)</f>
        <v>7.1999999999999995E-2</v>
      </c>
      <c r="AG1010">
        <f>VLOOKUP($B1010&amp;AG$1,Data!$A$2:$D$12000,4,FALSE)</f>
        <v>-0.50600000000000001</v>
      </c>
      <c r="AH1010">
        <f>VLOOKUP($B1010&amp;AH$1,Data!$A$2:$D$12000,4,FALSE)</f>
        <v>0</v>
      </c>
      <c r="AI1010">
        <f>VLOOKUP($B1010&amp;AI$1,Data!$A$2:$D$12000,4,FALSE)</f>
        <v>5100000</v>
      </c>
    </row>
    <row r="1011" spans="1:35" hidden="1">
      <c r="B1011" s="24">
        <v>1010</v>
      </c>
      <c r="C1011" s="13" t="s">
        <v>58</v>
      </c>
      <c r="D1011" t="s">
        <v>6</v>
      </c>
      <c r="E1011" t="s">
        <v>3</v>
      </c>
      <c r="F1011">
        <v>100</v>
      </c>
      <c r="G1011" t="s">
        <v>17</v>
      </c>
      <c r="H1011" s="5">
        <v>43831</v>
      </c>
      <c r="I1011" s="5">
        <v>44562</v>
      </c>
      <c r="J1011">
        <v>14</v>
      </c>
      <c r="K1011">
        <v>9</v>
      </c>
      <c r="L1011">
        <v>32</v>
      </c>
      <c r="M1011">
        <v>68</v>
      </c>
      <c r="N1011">
        <v>10000</v>
      </c>
      <c r="O1011">
        <f>VLOOKUP($B1011&amp;O$1,Data!$A$2:$D$12000,4,FALSE)</f>
        <v>0.15028</v>
      </c>
      <c r="P1011">
        <f>VLOOKUP($B1011&amp;P$1,Data!$A$2:$D$12000,4,FALSE)</f>
        <v>-5.8000000000000003E-2</v>
      </c>
      <c r="Q1011">
        <f>VLOOKUP($B1011&amp;Q$1,Data!$A$2:$D$12000,4,FALSE)</f>
        <v>832</v>
      </c>
      <c r="R1011">
        <f>VLOOKUP($B1011&amp;R$1,Data!$A$2:$D$12000,4,FALSE)</f>
        <v>2.2000000000000001E-3</v>
      </c>
      <c r="S1011">
        <f>VLOOKUP($B1011&amp;S$1,Data!$A$2:$D$12000,4,FALSE)</f>
        <v>-4.0000000000000001E-3</v>
      </c>
      <c r="T1011">
        <f>VLOOKUP($B1011&amp;T$1,Data!$A$2:$D$12000,4,FALSE)</f>
        <v>-5.7000000000000002E-3</v>
      </c>
      <c r="U1011">
        <f>VLOOKUP($B1011&amp;U$1,Data!$A$2:$D$12000,4,FALSE)</f>
        <v>7.0000000000000007E-2</v>
      </c>
      <c r="V1011">
        <f>VLOOKUP($B1011&amp;V$1,Data!$A$2:$D$12000,4,FALSE)</f>
        <v>-1.6E-2</v>
      </c>
      <c r="W1011">
        <f>VLOOKUP($B1011&amp;W$1,Data!$A$2:$D$12000,4,FALSE)</f>
        <v>-3.8E-3</v>
      </c>
      <c r="X1011">
        <f>VLOOKUP($B1011&amp;X$1,Data!$A$2:$D$12000,4,FALSE)</f>
        <v>0.36</v>
      </c>
      <c r="Y1011">
        <f>VLOOKUP($B1011&amp;Y$1,Data!$A$2:$D$12000,4,FALSE)</f>
        <v>0.64</v>
      </c>
      <c r="Z1011">
        <f>VLOOKUP($B1011&amp;Z$1,Data!$A$2:$D$12000,4,FALSE)</f>
        <v>0.54</v>
      </c>
      <c r="AA1011">
        <f>VLOOKUP($B1011&amp;AA$1,Data!$A$2:$D$12000,4,FALSE)</f>
        <v>-2E-3</v>
      </c>
      <c r="AB1011">
        <f>VLOOKUP($B1011&amp;AB$1,Data!$A$2:$D$12000,4,FALSE)</f>
        <v>-6.0000000000000001E-3</v>
      </c>
      <c r="AC1011">
        <f>VLOOKUP($B1011&amp;AC$1,Data!$A$2:$D$12000,4,FALSE)</f>
        <v>4.8000000000000001E-2</v>
      </c>
      <c r="AD1011">
        <f>VLOOKUP($B1011&amp;AD$1,Data!$A$2:$D$12000,4,FALSE)</f>
        <v>2E-3</v>
      </c>
      <c r="AE1011">
        <f>VLOOKUP($B1011&amp;AE$1,Data!$A$2:$D$12000,4,FALSE)</f>
        <v>-0.65800000000000003</v>
      </c>
      <c r="AF1011">
        <f>VLOOKUP($B1011&amp;AF$1,Data!$A$2:$D$12000,4,FALSE)</f>
        <v>8.3000000000000004E-2</v>
      </c>
      <c r="AG1011">
        <f>VLOOKUP($B1011&amp;AG$1,Data!$A$2:$D$12000,4,FALSE)</f>
        <v>0.44400000000000001</v>
      </c>
      <c r="AH1011">
        <f>VLOOKUP($B1011&amp;AH$1,Data!$A$2:$D$12000,4,FALSE)</f>
        <v>0</v>
      </c>
      <c r="AI1011">
        <f>VLOOKUP($B1011&amp;AI$1,Data!$A$2:$D$12000,4,FALSE)</f>
        <v>4900000</v>
      </c>
    </row>
    <row r="1012" spans="1:35" hidden="1">
      <c r="B1012" s="24">
        <v>1011</v>
      </c>
      <c r="C1012" s="13" t="s">
        <v>58</v>
      </c>
      <c r="D1012" t="s">
        <v>6</v>
      </c>
      <c r="E1012" t="s">
        <v>3</v>
      </c>
      <c r="F1012">
        <v>200</v>
      </c>
      <c r="G1012" t="s">
        <v>17</v>
      </c>
      <c r="H1012" s="5">
        <v>43831</v>
      </c>
      <c r="I1012" s="5">
        <v>44562</v>
      </c>
      <c r="J1012">
        <v>14</v>
      </c>
      <c r="K1012">
        <v>9</v>
      </c>
      <c r="L1012">
        <v>32</v>
      </c>
      <c r="M1012">
        <v>68</v>
      </c>
      <c r="N1012">
        <v>10000</v>
      </c>
      <c r="O1012">
        <f>VLOOKUP($B1012&amp;O$1,Data!$A$2:$D$12000,4,FALSE)</f>
        <v>4.9939999999999998E-2</v>
      </c>
      <c r="P1012">
        <f>VLOOKUP($B1012&amp;P$1,Data!$A$2:$D$12000,4,FALSE)</f>
        <v>-0.63100000000000001</v>
      </c>
      <c r="Q1012">
        <f>VLOOKUP($B1012&amp;Q$1,Data!$A$2:$D$12000,4,FALSE)</f>
        <v>663</v>
      </c>
      <c r="R1012">
        <f>VLOOKUP($B1012&amp;R$1,Data!$A$2:$D$12000,4,FALSE)</f>
        <v>2.0999999999999999E-3</v>
      </c>
      <c r="S1012">
        <f>VLOOKUP($B1012&amp;S$1,Data!$A$2:$D$12000,4,FALSE)</f>
        <v>-4.1999999999999997E-3</v>
      </c>
      <c r="T1012">
        <f>VLOOKUP($B1012&amp;T$1,Data!$A$2:$D$12000,4,FALSE)</f>
        <v>-4.4810000000000003E-2</v>
      </c>
      <c r="U1012">
        <f>VLOOKUP($B1012&amp;U$1,Data!$A$2:$D$12000,4,FALSE)</f>
        <v>0.08</v>
      </c>
      <c r="V1012">
        <f>VLOOKUP($B1012&amp;V$1,Data!$A$2:$D$12000,4,FALSE)</f>
        <v>-0.08</v>
      </c>
      <c r="W1012">
        <f>VLOOKUP($B1012&amp;W$1,Data!$A$2:$D$12000,4,FALSE)</f>
        <v>-3.006E-2</v>
      </c>
      <c r="X1012">
        <f>VLOOKUP($B1012&amp;X$1,Data!$A$2:$D$12000,4,FALSE)</f>
        <v>0.39</v>
      </c>
      <c r="Y1012">
        <f>VLOOKUP($B1012&amp;Y$1,Data!$A$2:$D$12000,4,FALSE)</f>
        <v>0.61</v>
      </c>
      <c r="Z1012">
        <f>VLOOKUP($B1012&amp;Z$1,Data!$A$2:$D$12000,4,FALSE)</f>
        <v>0.5</v>
      </c>
      <c r="AA1012">
        <f>VLOOKUP($B1012&amp;AA$1,Data!$A$2:$D$12000,4,FALSE)</f>
        <v>-3.2000000000000001E-2</v>
      </c>
      <c r="AB1012">
        <f>VLOOKUP($B1012&amp;AB$1,Data!$A$2:$D$12000,4,FALSE)</f>
        <v>4.3999999999999997E-2</v>
      </c>
      <c r="AC1012">
        <f>VLOOKUP($B1012&amp;AC$1,Data!$A$2:$D$12000,4,FALSE)</f>
        <v>4.8000000000000001E-2</v>
      </c>
      <c r="AD1012">
        <f>VLOOKUP($B1012&amp;AD$1,Data!$A$2:$D$12000,4,FALSE)</f>
        <v>2E-3</v>
      </c>
      <c r="AE1012">
        <f>VLOOKUP($B1012&amp;AE$1,Data!$A$2:$D$12000,4,FALSE)</f>
        <v>-1.0249999999999999</v>
      </c>
      <c r="AF1012">
        <f>VLOOKUP($B1012&amp;AF$1,Data!$A$2:$D$12000,4,FALSE)</f>
        <v>0.08</v>
      </c>
      <c r="AG1012">
        <f>VLOOKUP($B1012&amp;AG$1,Data!$A$2:$D$12000,4,FALSE)</f>
        <v>-0.67900000000000005</v>
      </c>
      <c r="AH1012">
        <f>VLOOKUP($B1012&amp;AH$1,Data!$A$2:$D$12000,4,FALSE)</f>
        <v>0</v>
      </c>
      <c r="AI1012">
        <f>VLOOKUP($B1012&amp;AI$1,Data!$A$2:$D$12000,4,FALSE)</f>
        <v>5300000</v>
      </c>
    </row>
    <row r="1013" spans="1:35" hidden="1">
      <c r="B1013" s="24">
        <v>1012</v>
      </c>
      <c r="C1013" s="13" t="s">
        <v>58</v>
      </c>
      <c r="D1013" t="s">
        <v>6</v>
      </c>
      <c r="E1013" t="s">
        <v>2</v>
      </c>
      <c r="F1013">
        <v>10</v>
      </c>
      <c r="G1013" t="s">
        <v>17</v>
      </c>
      <c r="H1013" s="5">
        <v>43831</v>
      </c>
      <c r="I1013" s="5">
        <v>44562</v>
      </c>
      <c r="J1013">
        <v>14</v>
      </c>
      <c r="K1013">
        <v>9</v>
      </c>
      <c r="L1013">
        <v>32</v>
      </c>
      <c r="M1013">
        <v>68</v>
      </c>
      <c r="N1013">
        <v>10000</v>
      </c>
      <c r="O1013">
        <f>VLOOKUP($B1013&amp;O$1,Data!$A$2:$D$12000,4,FALSE)</f>
        <v>3.6909999999999998E-2</v>
      </c>
      <c r="P1013">
        <f>VLOOKUP($B1013&amp;P$1,Data!$A$2:$D$12000,4,FALSE)</f>
        <v>-0.749</v>
      </c>
      <c r="Q1013">
        <f>VLOOKUP($B1013&amp;Q$1,Data!$A$2:$D$12000,4,FALSE)</f>
        <v>788</v>
      </c>
      <c r="R1013">
        <f>VLOOKUP($B1013&amp;R$1,Data!$A$2:$D$12000,4,FALSE)</f>
        <v>1.4E-3</v>
      </c>
      <c r="S1013">
        <f>VLOOKUP($B1013&amp;S$1,Data!$A$2:$D$12000,4,FALSE)</f>
        <v>-3.8E-3</v>
      </c>
      <c r="T1013">
        <f>VLOOKUP($B1013&amp;T$1,Data!$A$2:$D$12000,4,FALSE)</f>
        <v>-4.1140000000000003E-2</v>
      </c>
      <c r="U1013">
        <f>VLOOKUP($B1013&amp;U$1,Data!$A$2:$D$12000,4,FALSE)</f>
        <v>5.1999999999999998E-2</v>
      </c>
      <c r="V1013">
        <f>VLOOKUP($B1013&amp;V$1,Data!$A$2:$D$12000,4,FALSE)</f>
        <v>-0.108</v>
      </c>
      <c r="W1013">
        <f>VLOOKUP($B1013&amp;W$1,Data!$A$2:$D$12000,4,FALSE)</f>
        <v>-2.758E-2</v>
      </c>
      <c r="X1013">
        <f>VLOOKUP($B1013&amp;X$1,Data!$A$2:$D$12000,4,FALSE)</f>
        <v>0.35</v>
      </c>
      <c r="Y1013">
        <f>VLOOKUP($B1013&amp;Y$1,Data!$A$2:$D$12000,4,FALSE)</f>
        <v>0.65</v>
      </c>
      <c r="Z1013">
        <f>VLOOKUP($B1013&amp;Z$1,Data!$A$2:$D$12000,4,FALSE)</f>
        <v>0.37</v>
      </c>
      <c r="AA1013">
        <f>VLOOKUP($B1013&amp;AA$1,Data!$A$2:$D$12000,4,FALSE)</f>
        <v>-2.9000000000000001E-2</v>
      </c>
      <c r="AB1013">
        <f>VLOOKUP($B1013&amp;AB$1,Data!$A$2:$D$12000,4,FALSE)</f>
        <v>1.6E-2</v>
      </c>
      <c r="AC1013">
        <f>VLOOKUP($B1013&amp;AC$1,Data!$A$2:$D$12000,4,FALSE)</f>
        <v>3.6999999999999998E-2</v>
      </c>
      <c r="AD1013">
        <f>VLOOKUP($B1013&amp;AD$1,Data!$A$2:$D$12000,4,FALSE)</f>
        <v>1E-3</v>
      </c>
      <c r="AE1013">
        <f>VLOOKUP($B1013&amp;AE$1,Data!$A$2:$D$12000,4,FALSE)</f>
        <v>-1.052</v>
      </c>
      <c r="AF1013">
        <f>VLOOKUP($B1013&amp;AF$1,Data!$A$2:$D$12000,4,FALSE)</f>
        <v>7.5999999999999998E-2</v>
      </c>
      <c r="AG1013">
        <f>VLOOKUP($B1013&amp;AG$1,Data!$A$2:$D$12000,4,FALSE)</f>
        <v>-1.7769999999999999</v>
      </c>
      <c r="AH1013">
        <f>VLOOKUP($B1013&amp;AH$1,Data!$A$2:$D$12000,4,FALSE)</f>
        <v>0</v>
      </c>
      <c r="AI1013">
        <f>VLOOKUP($B1013&amp;AI$1,Data!$A$2:$D$12000,4,FALSE)</f>
        <v>11000000</v>
      </c>
    </row>
    <row r="1014" spans="1:35" hidden="1">
      <c r="B1014" s="24">
        <v>1013</v>
      </c>
      <c r="C1014" s="13" t="s">
        <v>58</v>
      </c>
      <c r="D1014" t="s">
        <v>6</v>
      </c>
      <c r="E1014" t="s">
        <v>2</v>
      </c>
      <c r="F1014">
        <v>100</v>
      </c>
      <c r="G1014" t="s">
        <v>17</v>
      </c>
      <c r="H1014" s="5">
        <v>43831</v>
      </c>
      <c r="I1014" s="5">
        <v>44562</v>
      </c>
      <c r="J1014">
        <v>14</v>
      </c>
      <c r="K1014">
        <v>9</v>
      </c>
      <c r="L1014">
        <v>32</v>
      </c>
      <c r="M1014">
        <v>68</v>
      </c>
      <c r="N1014">
        <v>10000</v>
      </c>
      <c r="O1014">
        <f>VLOOKUP($B1014&amp;O$1,Data!$A$2:$D$12000,4,FALSE)</f>
        <v>0.32150000000000001</v>
      </c>
      <c r="P1014">
        <f>VLOOKUP($B1014&amp;P$1,Data!$A$2:$D$12000,4,FALSE)</f>
        <v>0.53200000000000003</v>
      </c>
      <c r="Q1014">
        <f>VLOOKUP($B1014&amp;Q$1,Data!$A$2:$D$12000,4,FALSE)</f>
        <v>507</v>
      </c>
      <c r="R1014">
        <f>VLOOKUP($B1014&amp;R$1,Data!$A$2:$D$12000,4,FALSE)</f>
        <v>2.5999999999999999E-3</v>
      </c>
      <c r="S1014">
        <f>VLOOKUP($B1014&amp;S$1,Data!$A$2:$D$12000,4,FALSE)</f>
        <v>-6.4000000000000003E-3</v>
      </c>
      <c r="T1014">
        <f>VLOOKUP($B1014&amp;T$1,Data!$A$2:$D$12000,4,FALSE)</f>
        <v>3.9289999999999999E-2</v>
      </c>
      <c r="U1014">
        <f>VLOOKUP($B1014&amp;U$1,Data!$A$2:$D$12000,4,FALSE)</f>
        <v>0.04</v>
      </c>
      <c r="V1014">
        <f>VLOOKUP($B1014&amp;V$1,Data!$A$2:$D$12000,4,FALSE)</f>
        <v>0.06</v>
      </c>
      <c r="W1014">
        <f>VLOOKUP($B1014&amp;W$1,Data!$A$2:$D$12000,4,FALSE)</f>
        <v>2.5989999999999999E-2</v>
      </c>
      <c r="X1014">
        <f>VLOOKUP($B1014&amp;X$1,Data!$A$2:$D$12000,4,FALSE)</f>
        <v>0.24</v>
      </c>
      <c r="Y1014">
        <f>VLOOKUP($B1014&amp;Y$1,Data!$A$2:$D$12000,4,FALSE)</f>
        <v>0.76</v>
      </c>
      <c r="Z1014">
        <f>VLOOKUP($B1014&amp;Z$1,Data!$A$2:$D$12000,4,FALSE)</f>
        <v>0.4</v>
      </c>
      <c r="AA1014">
        <f>VLOOKUP($B1014&amp;AA$1,Data!$A$2:$D$12000,4,FALSE)</f>
        <v>2.5999999999999999E-2</v>
      </c>
      <c r="AB1014">
        <f>VLOOKUP($B1014&amp;AB$1,Data!$A$2:$D$12000,4,FALSE)</f>
        <v>4.9000000000000002E-2</v>
      </c>
      <c r="AC1014">
        <f>VLOOKUP($B1014&amp;AC$1,Data!$A$2:$D$12000,4,FALSE)</f>
        <v>5.3999999999999999E-2</v>
      </c>
      <c r="AD1014">
        <f>VLOOKUP($B1014&amp;AD$1,Data!$A$2:$D$12000,4,FALSE)</f>
        <v>3.0000000000000001E-3</v>
      </c>
      <c r="AE1014">
        <f>VLOOKUP($B1014&amp;AE$1,Data!$A$2:$D$12000,4,FALSE)</f>
        <v>-0.28000000000000003</v>
      </c>
      <c r="AF1014">
        <f>VLOOKUP($B1014&amp;AF$1,Data!$A$2:$D$12000,4,FALSE)</f>
        <v>8.3000000000000004E-2</v>
      </c>
      <c r="AG1014">
        <f>VLOOKUP($B1014&amp;AG$1,Data!$A$2:$D$12000,4,FALSE)</f>
        <v>0.57799999999999996</v>
      </c>
      <c r="AH1014">
        <f>VLOOKUP($B1014&amp;AH$1,Data!$A$2:$D$12000,4,FALSE)</f>
        <v>0</v>
      </c>
      <c r="AI1014">
        <f>VLOOKUP($B1014&amp;AI$1,Data!$A$2:$D$12000,4,FALSE)</f>
        <v>6800000</v>
      </c>
    </row>
    <row r="1015" spans="1:35" hidden="1">
      <c r="B1015" s="24">
        <v>1014</v>
      </c>
      <c r="C1015" s="13" t="s">
        <v>58</v>
      </c>
      <c r="D1015" t="s">
        <v>6</v>
      </c>
      <c r="E1015" t="s">
        <v>2</v>
      </c>
      <c r="F1015">
        <v>200</v>
      </c>
      <c r="G1015" t="s">
        <v>17</v>
      </c>
      <c r="H1015" s="5">
        <v>43831</v>
      </c>
      <c r="I1015" s="5">
        <v>44562</v>
      </c>
      <c r="J1015">
        <v>14</v>
      </c>
      <c r="K1015">
        <v>9</v>
      </c>
      <c r="L1015">
        <v>32</v>
      </c>
      <c r="M1015">
        <v>68</v>
      </c>
      <c r="N1015">
        <v>10000</v>
      </c>
      <c r="O1015">
        <f>VLOOKUP($B1015&amp;O$1,Data!$A$2:$D$12000,4,FALSE)</f>
        <v>0.25878000000000001</v>
      </c>
      <c r="P1015">
        <f>VLOOKUP($B1015&amp;P$1,Data!$A$2:$D$12000,4,FALSE)</f>
        <v>0.33500000000000002</v>
      </c>
      <c r="Q1015">
        <f>VLOOKUP($B1015&amp;Q$1,Data!$A$2:$D$12000,4,FALSE)</f>
        <v>413</v>
      </c>
      <c r="R1015">
        <f>VLOOKUP($B1015&amp;R$1,Data!$A$2:$D$12000,4,FALSE)</f>
        <v>2.5999999999999999E-3</v>
      </c>
      <c r="S1015">
        <f>VLOOKUP($B1015&amp;S$1,Data!$A$2:$D$12000,4,FALSE)</f>
        <v>-5.8999999999999999E-3</v>
      </c>
      <c r="T1015">
        <f>VLOOKUP($B1015&amp;T$1,Data!$A$2:$D$12000,4,FALSE)</f>
        <v>2.282E-2</v>
      </c>
      <c r="U1015">
        <f>VLOOKUP($B1015&amp;U$1,Data!$A$2:$D$12000,4,FALSE)</f>
        <v>4.7E-2</v>
      </c>
      <c r="V1015">
        <f>VLOOKUP($B1015&amp;V$1,Data!$A$2:$D$12000,4,FALSE)</f>
        <v>3.5000000000000003E-2</v>
      </c>
      <c r="W1015">
        <f>VLOOKUP($B1015&amp;W$1,Data!$A$2:$D$12000,4,FALSE)</f>
        <v>1.5129999999999999E-2</v>
      </c>
      <c r="X1015">
        <f>VLOOKUP($B1015&amp;X$1,Data!$A$2:$D$12000,4,FALSE)</f>
        <v>0.28000000000000003</v>
      </c>
      <c r="Y1015">
        <f>VLOOKUP($B1015&amp;Y$1,Data!$A$2:$D$12000,4,FALSE)</f>
        <v>0.72</v>
      </c>
      <c r="Z1015">
        <f>VLOOKUP($B1015&amp;Z$1,Data!$A$2:$D$12000,4,FALSE)</f>
        <v>0.44</v>
      </c>
      <c r="AA1015">
        <f>VLOOKUP($B1015&amp;AA$1,Data!$A$2:$D$12000,4,FALSE)</f>
        <v>1.4999999999999999E-2</v>
      </c>
      <c r="AB1015">
        <f>VLOOKUP($B1015&amp;AB$1,Data!$A$2:$D$12000,4,FALSE)</f>
        <v>0.04</v>
      </c>
      <c r="AC1015">
        <f>VLOOKUP($B1015&amp;AC$1,Data!$A$2:$D$12000,4,FALSE)</f>
        <v>5.0999999999999997E-2</v>
      </c>
      <c r="AD1015">
        <f>VLOOKUP($B1015&amp;AD$1,Data!$A$2:$D$12000,4,FALSE)</f>
        <v>3.0000000000000001E-3</v>
      </c>
      <c r="AE1015">
        <f>VLOOKUP($B1015&amp;AE$1,Data!$A$2:$D$12000,4,FALSE)</f>
        <v>-0.42299999999999999</v>
      </c>
      <c r="AF1015">
        <f>VLOOKUP($B1015&amp;AF$1,Data!$A$2:$D$12000,4,FALSE)</f>
        <v>8.2000000000000003E-2</v>
      </c>
      <c r="AG1015">
        <f>VLOOKUP($B1015&amp;AG$1,Data!$A$2:$D$12000,4,FALSE)</f>
        <v>0.432</v>
      </c>
      <c r="AH1015">
        <f>VLOOKUP($B1015&amp;AH$1,Data!$A$2:$D$12000,4,FALSE)</f>
        <v>0</v>
      </c>
      <c r="AI1015">
        <f>VLOOKUP($B1015&amp;AI$1,Data!$A$2:$D$12000,4,FALSE)</f>
        <v>7300000</v>
      </c>
    </row>
    <row r="1016" spans="1:35">
      <c r="A1016" s="39" t="s">
        <v>59</v>
      </c>
      <c r="B1016" s="37">
        <v>827.2</v>
      </c>
      <c r="C1016" s="37" t="s">
        <v>58</v>
      </c>
      <c r="D1016" s="37" t="s">
        <v>6</v>
      </c>
      <c r="E1016" s="37" t="s">
        <v>22</v>
      </c>
      <c r="F1016" s="37">
        <v>100</v>
      </c>
      <c r="G1016" s="37" t="s">
        <v>17</v>
      </c>
      <c r="H1016" s="38">
        <v>43831</v>
      </c>
      <c r="I1016" s="38">
        <v>44932</v>
      </c>
      <c r="J1016" s="37">
        <v>14</v>
      </c>
      <c r="K1016" s="37">
        <v>9</v>
      </c>
      <c r="L1016" s="37">
        <v>32</v>
      </c>
      <c r="M1016" s="37">
        <v>68</v>
      </c>
      <c r="N1016" s="37">
        <v>1000000</v>
      </c>
      <c r="O1016" t="e">
        <f>VLOOKUP($B1016&amp;O$1,Data!$A$2:$D$14000,4,FALSE)</f>
        <v>#N/A</v>
      </c>
      <c r="P1016" t="e">
        <f>VLOOKUP($B1016&amp;P$1,Data!$A$2:$D$14000,4,FALSE)</f>
        <v>#N/A</v>
      </c>
      <c r="Q1016" t="e">
        <f>VLOOKUP($B1016&amp;Q$1,Data!$A$2:$D$14000,4,FALSE)</f>
        <v>#N/A</v>
      </c>
      <c r="R1016" t="e">
        <f>VLOOKUP($B1016&amp;R$1,Data!$A$2:$D$14000,4,FALSE)</f>
        <v>#N/A</v>
      </c>
      <c r="S1016" t="e">
        <f>VLOOKUP($B1016&amp;S$1,Data!$A$2:$D$14000,4,FALSE)</f>
        <v>#N/A</v>
      </c>
      <c r="T1016" t="e">
        <f>VLOOKUP($B1016&amp;T$1,Data!$A$2:$D$14000,4,FALSE)</f>
        <v>#N/A</v>
      </c>
      <c r="U1016" t="e">
        <f>VLOOKUP($B1016&amp;U$1,Data!$A$2:$D$14000,4,FALSE)</f>
        <v>#N/A</v>
      </c>
      <c r="V1016" t="e">
        <f>VLOOKUP($B1016&amp;V$1,Data!$A$2:$D$14000,4,FALSE)</f>
        <v>#N/A</v>
      </c>
      <c r="W1016" t="e">
        <f>VLOOKUP($B1016&amp;W$1,Data!$A$2:$D$14000,4,FALSE)</f>
        <v>#N/A</v>
      </c>
      <c r="X1016" t="e">
        <f>VLOOKUP($B1016&amp;X$1,Data!$A$2:$D$14000,4,FALSE)</f>
        <v>#N/A</v>
      </c>
      <c r="Y1016" t="e">
        <f>VLOOKUP($B1016&amp;Y$1,Data!$A$2:$D$14000,4,FALSE)</f>
        <v>#N/A</v>
      </c>
      <c r="Z1016" t="e">
        <f>VLOOKUP($B1016&amp;Z$1,Data!$A$2:$D$14000,4,FALSE)</f>
        <v>#N/A</v>
      </c>
      <c r="AA1016" t="e">
        <f>VLOOKUP($B1016&amp;AA$1,Data!$A$2:$D$14000,4,FALSE)</f>
        <v>#N/A</v>
      </c>
      <c r="AB1016" t="e">
        <f>VLOOKUP($B1016&amp;AB$1,Data!$A$2:$D$14000,4,FALSE)</f>
        <v>#N/A</v>
      </c>
      <c r="AC1016" t="e">
        <f>VLOOKUP($B1016&amp;AC$1,Data!$A$2:$D$14000,4,FALSE)</f>
        <v>#N/A</v>
      </c>
      <c r="AD1016" t="e">
        <f>VLOOKUP($B1016&amp;AD$1,Data!$A$2:$D$14000,4,FALSE)</f>
        <v>#N/A</v>
      </c>
      <c r="AE1016" t="e">
        <f>VLOOKUP($B1016&amp;AE$1,Data!$A$2:$D$14000,4,FALSE)</f>
        <v>#N/A</v>
      </c>
      <c r="AF1016" t="e">
        <f>VLOOKUP($B1016&amp;AF$1,Data!$A$2:$D$14000,4,FALSE)</f>
        <v>#N/A</v>
      </c>
      <c r="AG1016" t="e">
        <f>VLOOKUP($B1016&amp;AG$1,Data!$A$2:$D$14000,4,FALSE)</f>
        <v>#N/A</v>
      </c>
      <c r="AH1016" t="e">
        <f>VLOOKUP($B1016&amp;AH$1,Data!$A$2:$D$14000,4,FALSE)</f>
        <v>#N/A</v>
      </c>
      <c r="AI1016" t="e">
        <f>VLOOKUP($B1016&amp;AI$1,Data!$A$2:$D$14000,4,FALSE)</f>
        <v>#N/A</v>
      </c>
    </row>
    <row r="1017" spans="1:35">
      <c r="A1017" t="s">
        <v>59</v>
      </c>
      <c r="B1017" s="23">
        <v>871</v>
      </c>
      <c r="C1017" s="13" t="s">
        <v>58</v>
      </c>
      <c r="D1017" t="s">
        <v>19</v>
      </c>
      <c r="E1017" t="s">
        <v>22</v>
      </c>
      <c r="F1017">
        <v>100</v>
      </c>
      <c r="G1017" t="s">
        <v>17</v>
      </c>
      <c r="H1017" s="5">
        <v>43831</v>
      </c>
      <c r="I1017" s="5">
        <v>44562</v>
      </c>
      <c r="J1017">
        <v>14</v>
      </c>
      <c r="K1017">
        <v>9</v>
      </c>
      <c r="L1017">
        <v>30</v>
      </c>
      <c r="M1017">
        <v>70</v>
      </c>
      <c r="N1017">
        <v>1000000</v>
      </c>
      <c r="O1017">
        <f>VLOOKUP($B1017&amp;O$1,Data!$A$2:$D$12000,4,FALSE)</f>
        <v>0.63544</v>
      </c>
      <c r="P1017">
        <f>VLOOKUP($B1017&amp;P$1,Data!$A$2:$D$12000,4,FALSE)</f>
        <v>1.3440000000000001</v>
      </c>
      <c r="Q1017">
        <f>VLOOKUP($B1017&amp;Q$1,Data!$A$2:$D$12000,4,FALSE)</f>
        <v>830</v>
      </c>
      <c r="R1017">
        <f>VLOOKUP($B1017&amp;R$1,Data!$A$2:$D$12000,4,FALSE)</f>
        <v>2.9999999999999997E-4</v>
      </c>
      <c r="S1017">
        <f>VLOOKUP($B1017&amp;S$1,Data!$A$2:$D$12000,4,FALSE)</f>
        <v>-4.0000000000000002E-4</v>
      </c>
      <c r="T1017">
        <f>VLOOKUP($B1017&amp;T$1,Data!$A$2:$D$12000,4,FALSE)</f>
        <v>1.8970000000000001E-2</v>
      </c>
      <c r="U1017">
        <f>VLOOKUP($B1017&amp;U$1,Data!$A$2:$D$12000,4,FALSE)</f>
        <v>5.0000000000000001E-3</v>
      </c>
      <c r="V1017">
        <f>VLOOKUP($B1017&amp;V$1,Data!$A$2:$D$12000,4,FALSE)</f>
        <v>0.32500000000000001</v>
      </c>
      <c r="W1017">
        <f>VLOOKUP($B1017&amp;W$1,Data!$A$2:$D$12000,4,FALSE)</f>
        <v>1.2529999999999999E-2</v>
      </c>
      <c r="X1017">
        <f>VLOOKUP($B1017&amp;X$1,Data!$A$2:$D$12000,4,FALSE)</f>
        <v>0.24</v>
      </c>
      <c r="Y1017">
        <f>VLOOKUP($B1017&amp;Y$1,Data!$A$2:$D$12000,4,FALSE)</f>
        <v>0.76</v>
      </c>
      <c r="Z1017">
        <f>VLOOKUP($B1017&amp;Z$1,Data!$A$2:$D$12000,4,FALSE)</f>
        <v>0.73</v>
      </c>
      <c r="AA1017">
        <f>VLOOKUP($B1017&amp;AA$1,Data!$A$2:$D$12000,4,FALSE)</f>
        <v>1.4E-2</v>
      </c>
      <c r="AB1017">
        <f>VLOOKUP($B1017&amp;AB$1,Data!$A$2:$D$12000,4,FALSE)</f>
        <v>-1.0999999999999999E-2</v>
      </c>
      <c r="AC1017">
        <f>VLOOKUP($B1017&amp;AC$1,Data!$A$2:$D$12000,4,FALSE)</f>
        <v>0.01</v>
      </c>
      <c r="AD1017">
        <f>VLOOKUP($B1017&amp;AD$1,Data!$A$2:$D$12000,4,FALSE)</f>
        <v>0</v>
      </c>
      <c r="AE1017">
        <f>VLOOKUP($B1017&amp;AE$1,Data!$A$2:$D$12000,4,FALSE)</f>
        <v>-0.55700000000000005</v>
      </c>
      <c r="AF1017">
        <f>VLOOKUP($B1017&amp;AF$1,Data!$A$2:$D$12000,4,FALSE)</f>
        <v>6.9000000000000006E-2</v>
      </c>
      <c r="AG1017">
        <f>VLOOKUP($B1017&amp;AG$1,Data!$A$2:$D$12000,4,FALSE)</f>
        <v>-1.161</v>
      </c>
      <c r="AH1017">
        <f>VLOOKUP($B1017&amp;AH$1,Data!$A$2:$D$12000,4,FALSE)</f>
        <v>0</v>
      </c>
      <c r="AI1017">
        <f>VLOOKUP($B1017&amp;AI$1,Data!$A$2:$D$12000,4,FALSE)</f>
        <v>43000000</v>
      </c>
    </row>
    <row r="1018" spans="1:35" hidden="1">
      <c r="B1018" s="24">
        <v>1016</v>
      </c>
      <c r="C1018" s="13" t="s">
        <v>58</v>
      </c>
      <c r="D1018" t="s">
        <v>6</v>
      </c>
      <c r="E1018" t="s">
        <v>22</v>
      </c>
      <c r="F1018">
        <v>100</v>
      </c>
      <c r="G1018" t="s">
        <v>17</v>
      </c>
      <c r="H1018" s="5">
        <v>43831</v>
      </c>
      <c r="I1018" s="5">
        <v>44562</v>
      </c>
      <c r="J1018">
        <v>14</v>
      </c>
      <c r="K1018">
        <v>9</v>
      </c>
      <c r="L1018">
        <v>32</v>
      </c>
      <c r="M1018">
        <v>68</v>
      </c>
      <c r="N1018">
        <v>10000</v>
      </c>
      <c r="O1018">
        <f>VLOOKUP($B1018&amp;O$1,Data!$A$2:$D$12000,4,FALSE)</f>
        <v>0.41433999999999999</v>
      </c>
      <c r="P1018">
        <f>VLOOKUP($B1018&amp;P$1,Data!$A$2:$D$12000,4,FALSE)</f>
        <v>0.8</v>
      </c>
      <c r="Q1018">
        <f>VLOOKUP($B1018&amp;Q$1,Data!$A$2:$D$12000,4,FALSE)</f>
        <v>417</v>
      </c>
      <c r="R1018">
        <f>VLOOKUP($B1018&amp;R$1,Data!$A$2:$D$12000,4,FALSE)</f>
        <v>3.2000000000000002E-3</v>
      </c>
      <c r="S1018">
        <f>VLOOKUP($B1018&amp;S$1,Data!$A$2:$D$12000,4,FALSE)</f>
        <v>-3.7000000000000002E-3</v>
      </c>
      <c r="T1018">
        <f>VLOOKUP($B1018&amp;T$1,Data!$A$2:$D$12000,4,FALSE)</f>
        <v>5.9709999999999999E-2</v>
      </c>
      <c r="U1018">
        <f>VLOOKUP($B1018&amp;U$1,Data!$A$2:$D$12000,4,FALSE)</f>
        <v>3.5999999999999997E-2</v>
      </c>
      <c r="V1018">
        <f>VLOOKUP($B1018&amp;V$1,Data!$A$2:$D$12000,4,FALSE)</f>
        <v>0.26800000000000002</v>
      </c>
      <c r="W1018">
        <f>VLOOKUP($B1018&amp;W$1,Data!$A$2:$D$12000,4,FALSE)</f>
        <v>3.9359999999999999E-2</v>
      </c>
      <c r="X1018">
        <f>VLOOKUP($B1018&amp;X$1,Data!$A$2:$D$12000,4,FALSE)</f>
        <v>0.33</v>
      </c>
      <c r="Y1018">
        <f>VLOOKUP($B1018&amp;Y$1,Data!$A$2:$D$12000,4,FALSE)</f>
        <v>0.67</v>
      </c>
      <c r="Z1018">
        <f>VLOOKUP($B1018&amp;Z$1,Data!$A$2:$D$12000,4,FALSE)</f>
        <v>0.88</v>
      </c>
      <c r="AA1018">
        <f>VLOOKUP($B1018&amp;AA$1,Data!$A$2:$D$12000,4,FALSE)</f>
        <v>3.7999999999999999E-2</v>
      </c>
      <c r="AB1018">
        <f>VLOOKUP($B1018&amp;AB$1,Data!$A$2:$D$12000,4,FALSE)</f>
        <v>8.3000000000000004E-2</v>
      </c>
      <c r="AC1018">
        <f>VLOOKUP($B1018&amp;AC$1,Data!$A$2:$D$12000,4,FALSE)</f>
        <v>5.2999999999999999E-2</v>
      </c>
      <c r="AD1018">
        <f>VLOOKUP($B1018&amp;AD$1,Data!$A$2:$D$12000,4,FALSE)</f>
        <v>3.0000000000000001E-3</v>
      </c>
      <c r="AE1018">
        <f>VLOOKUP($B1018&amp;AE$1,Data!$A$2:$D$12000,4,FALSE)</f>
        <v>-0.11600000000000001</v>
      </c>
      <c r="AF1018">
        <f>VLOOKUP($B1018&amp;AF$1,Data!$A$2:$D$12000,4,FALSE)</f>
        <v>8.1000000000000003E-2</v>
      </c>
      <c r="AG1018">
        <f>VLOOKUP($B1018&amp;AG$1,Data!$A$2:$D$12000,4,FALSE)</f>
        <v>0.51100000000000001</v>
      </c>
      <c r="AH1018">
        <f>VLOOKUP($B1018&amp;AH$1,Data!$A$2:$D$12000,4,FALSE)</f>
        <v>0</v>
      </c>
      <c r="AI1018">
        <f>VLOOKUP($B1018&amp;AI$1,Data!$A$2:$D$12000,4,FALSE)</f>
        <v>6800000</v>
      </c>
    </row>
    <row r="1019" spans="1:35" hidden="1">
      <c r="B1019" s="24">
        <v>1017</v>
      </c>
      <c r="C1019" s="13" t="s">
        <v>58</v>
      </c>
      <c r="D1019" t="s">
        <v>6</v>
      </c>
      <c r="E1019" t="s">
        <v>22</v>
      </c>
      <c r="F1019">
        <v>200</v>
      </c>
      <c r="G1019" t="s">
        <v>17</v>
      </c>
      <c r="H1019" s="5">
        <v>43831</v>
      </c>
      <c r="I1019" s="5">
        <v>44562</v>
      </c>
      <c r="J1019">
        <v>14</v>
      </c>
      <c r="K1019">
        <v>9</v>
      </c>
      <c r="L1019">
        <v>32</v>
      </c>
      <c r="M1019">
        <v>68</v>
      </c>
      <c r="N1019">
        <v>10000</v>
      </c>
      <c r="O1019">
        <f>VLOOKUP($B1019&amp;O$1,Data!$A$2:$D$12000,4,FALSE)</f>
        <v>0.23709</v>
      </c>
      <c r="P1019">
        <f>VLOOKUP($B1019&amp;P$1,Data!$A$2:$D$12000,4,FALSE)</f>
        <v>0.27100000000000002</v>
      </c>
      <c r="Q1019">
        <f>VLOOKUP($B1019&amp;Q$1,Data!$A$2:$D$12000,4,FALSE)</f>
        <v>336</v>
      </c>
      <c r="R1019">
        <f>VLOOKUP($B1019&amp;R$1,Data!$A$2:$D$12000,4,FALSE)</f>
        <v>2.8999999999999998E-3</v>
      </c>
      <c r="S1019">
        <f>VLOOKUP($B1019&amp;S$1,Data!$A$2:$D$12000,4,FALSE)</f>
        <v>-4.1999999999999997E-3</v>
      </c>
      <c r="T1019">
        <f>VLOOKUP($B1019&amp;T$1,Data!$A$2:$D$12000,4,FALSE)</f>
        <v>1.9390000000000001E-2</v>
      </c>
      <c r="U1019">
        <f>VLOOKUP($B1019&amp;U$1,Data!$A$2:$D$12000,4,FALSE)</f>
        <v>4.1000000000000002E-2</v>
      </c>
      <c r="V1019">
        <f>VLOOKUP($B1019&amp;V$1,Data!$A$2:$D$12000,4,FALSE)</f>
        <v>0.128</v>
      </c>
      <c r="W1019">
        <f>VLOOKUP($B1019&amp;W$1,Data!$A$2:$D$12000,4,FALSE)</f>
        <v>1.2869999999999999E-2</v>
      </c>
      <c r="X1019">
        <f>VLOOKUP($B1019&amp;X$1,Data!$A$2:$D$12000,4,FALSE)</f>
        <v>0.33</v>
      </c>
      <c r="Y1019">
        <f>VLOOKUP($B1019&amp;Y$1,Data!$A$2:$D$12000,4,FALSE)</f>
        <v>0.67</v>
      </c>
      <c r="Z1019">
        <f>VLOOKUP($B1019&amp;Z$1,Data!$A$2:$D$12000,4,FALSE)</f>
        <v>0.69</v>
      </c>
      <c r="AA1019">
        <f>VLOOKUP($B1019&amp;AA$1,Data!$A$2:$D$12000,4,FALSE)</f>
        <v>0.01</v>
      </c>
      <c r="AB1019">
        <f>VLOOKUP($B1019&amp;AB$1,Data!$A$2:$D$12000,4,FALSE)</f>
        <v>9.5000000000000001E-2</v>
      </c>
      <c r="AC1019">
        <f>VLOOKUP($B1019&amp;AC$1,Data!$A$2:$D$12000,4,FALSE)</f>
        <v>5.5E-2</v>
      </c>
      <c r="AD1019">
        <f>VLOOKUP($B1019&amp;AD$1,Data!$A$2:$D$12000,4,FALSE)</f>
        <v>3.0000000000000001E-3</v>
      </c>
      <c r="AE1019">
        <f>VLOOKUP($B1019&amp;AE$1,Data!$A$2:$D$12000,4,FALSE)</f>
        <v>-0.45200000000000001</v>
      </c>
      <c r="AF1019">
        <f>VLOOKUP($B1019&amp;AF$1,Data!$A$2:$D$12000,4,FALSE)</f>
        <v>8.2000000000000003E-2</v>
      </c>
      <c r="AG1019">
        <f>VLOOKUP($B1019&amp;AG$1,Data!$A$2:$D$12000,4,FALSE)</f>
        <v>0.157</v>
      </c>
      <c r="AH1019">
        <f>VLOOKUP($B1019&amp;AH$1,Data!$A$2:$D$12000,4,FALSE)</f>
        <v>0</v>
      </c>
      <c r="AI1019">
        <f>VLOOKUP($B1019&amp;AI$1,Data!$A$2:$D$12000,4,FALSE)</f>
        <v>7300000</v>
      </c>
    </row>
    <row r="1020" spans="1:35" hidden="1">
      <c r="B1020">
        <v>1018</v>
      </c>
      <c r="C1020" s="13" t="s">
        <v>58</v>
      </c>
      <c r="D1020" t="s">
        <v>6</v>
      </c>
      <c r="E1020" t="s">
        <v>3</v>
      </c>
      <c r="F1020">
        <v>10</v>
      </c>
      <c r="G1020" t="s">
        <v>17</v>
      </c>
      <c r="H1020" s="5">
        <v>43831</v>
      </c>
      <c r="I1020" s="5">
        <v>44562</v>
      </c>
      <c r="J1020">
        <v>14</v>
      </c>
      <c r="K1020">
        <v>9</v>
      </c>
      <c r="L1020">
        <v>28</v>
      </c>
      <c r="M1020">
        <v>72</v>
      </c>
      <c r="N1020">
        <v>10000</v>
      </c>
      <c r="W1020"/>
    </row>
    <row r="1021" spans="1:35" hidden="1">
      <c r="B1021">
        <v>1019</v>
      </c>
      <c r="C1021" s="13" t="s">
        <v>58</v>
      </c>
      <c r="D1021" t="s">
        <v>6</v>
      </c>
      <c r="E1021" t="s">
        <v>3</v>
      </c>
      <c r="F1021">
        <v>100</v>
      </c>
      <c r="G1021" t="s">
        <v>17</v>
      </c>
      <c r="H1021" s="5">
        <v>43831</v>
      </c>
      <c r="I1021" s="5">
        <v>44562</v>
      </c>
      <c r="J1021">
        <v>14</v>
      </c>
      <c r="K1021">
        <v>9</v>
      </c>
      <c r="L1021">
        <v>28</v>
      </c>
      <c r="M1021">
        <v>72</v>
      </c>
      <c r="N1021">
        <v>10000</v>
      </c>
      <c r="W1021"/>
    </row>
    <row r="1022" spans="1:35" hidden="1">
      <c r="B1022">
        <v>1020</v>
      </c>
      <c r="C1022" s="13" t="s">
        <v>58</v>
      </c>
      <c r="D1022" t="s">
        <v>6</v>
      </c>
      <c r="E1022" t="s">
        <v>3</v>
      </c>
      <c r="F1022">
        <v>200</v>
      </c>
      <c r="G1022" t="s">
        <v>17</v>
      </c>
      <c r="H1022" s="5">
        <v>43831</v>
      </c>
      <c r="I1022" s="5">
        <v>44562</v>
      </c>
      <c r="J1022">
        <v>14</v>
      </c>
      <c r="K1022">
        <v>9</v>
      </c>
      <c r="L1022">
        <v>28</v>
      </c>
      <c r="M1022">
        <v>72</v>
      </c>
      <c r="N1022">
        <v>10000</v>
      </c>
      <c r="W1022"/>
    </row>
    <row r="1023" spans="1:35" hidden="1">
      <c r="B1023">
        <v>1021</v>
      </c>
      <c r="C1023" s="13" t="s">
        <v>58</v>
      </c>
      <c r="D1023" t="s">
        <v>6</v>
      </c>
      <c r="E1023" t="s">
        <v>2</v>
      </c>
      <c r="F1023">
        <v>10</v>
      </c>
      <c r="G1023" t="s">
        <v>17</v>
      </c>
      <c r="H1023" s="5">
        <v>43831</v>
      </c>
      <c r="I1023" s="5">
        <v>44562</v>
      </c>
      <c r="J1023">
        <v>14</v>
      </c>
      <c r="K1023">
        <v>9</v>
      </c>
      <c r="L1023">
        <v>28</v>
      </c>
      <c r="M1023">
        <v>72</v>
      </c>
      <c r="N1023">
        <v>10000</v>
      </c>
      <c r="W1023"/>
    </row>
    <row r="1024" spans="1:35" hidden="1">
      <c r="B1024">
        <v>1022</v>
      </c>
      <c r="C1024" s="13" t="s">
        <v>58</v>
      </c>
      <c r="D1024" t="s">
        <v>6</v>
      </c>
      <c r="E1024" t="s">
        <v>2</v>
      </c>
      <c r="F1024">
        <v>100</v>
      </c>
      <c r="G1024" t="s">
        <v>17</v>
      </c>
      <c r="H1024" s="5">
        <v>43831</v>
      </c>
      <c r="I1024" s="5">
        <v>44562</v>
      </c>
      <c r="J1024">
        <v>14</v>
      </c>
      <c r="K1024">
        <v>9</v>
      </c>
      <c r="L1024">
        <v>28</v>
      </c>
      <c r="M1024">
        <v>72</v>
      </c>
      <c r="N1024">
        <v>10000</v>
      </c>
      <c r="W1024"/>
    </row>
    <row r="1025" spans="2:35" hidden="1">
      <c r="B1025">
        <v>1023</v>
      </c>
      <c r="C1025" s="13" t="s">
        <v>58</v>
      </c>
      <c r="D1025" t="s">
        <v>6</v>
      </c>
      <c r="E1025" t="s">
        <v>2</v>
      </c>
      <c r="F1025">
        <v>200</v>
      </c>
      <c r="G1025" t="s">
        <v>17</v>
      </c>
      <c r="H1025" s="5">
        <v>43831</v>
      </c>
      <c r="I1025" s="5">
        <v>44562</v>
      </c>
      <c r="J1025">
        <v>14</v>
      </c>
      <c r="K1025">
        <v>9</v>
      </c>
      <c r="L1025">
        <v>28</v>
      </c>
      <c r="M1025">
        <v>72</v>
      </c>
      <c r="N1025">
        <v>10000</v>
      </c>
      <c r="W1025"/>
    </row>
    <row r="1026" spans="2:35" hidden="1">
      <c r="B1026">
        <v>1024</v>
      </c>
      <c r="C1026" s="13" t="s">
        <v>58</v>
      </c>
      <c r="D1026" t="s">
        <v>6</v>
      </c>
      <c r="E1026" t="s">
        <v>22</v>
      </c>
      <c r="F1026">
        <v>10</v>
      </c>
      <c r="G1026" t="s">
        <v>17</v>
      </c>
      <c r="H1026" s="5">
        <v>43831</v>
      </c>
      <c r="I1026" s="5">
        <v>44562</v>
      </c>
      <c r="J1026">
        <v>14</v>
      </c>
      <c r="K1026">
        <v>9</v>
      </c>
      <c r="L1026">
        <v>28</v>
      </c>
      <c r="M1026">
        <v>72</v>
      </c>
      <c r="N1026">
        <v>10000</v>
      </c>
      <c r="W1026"/>
    </row>
    <row r="1027" spans="2:35" hidden="1">
      <c r="B1027">
        <v>1025</v>
      </c>
      <c r="C1027" s="13" t="s">
        <v>58</v>
      </c>
      <c r="D1027" t="s">
        <v>6</v>
      </c>
      <c r="E1027" t="s">
        <v>22</v>
      </c>
      <c r="F1027">
        <v>100</v>
      </c>
      <c r="G1027" t="s">
        <v>17</v>
      </c>
      <c r="H1027" s="5">
        <v>43831</v>
      </c>
      <c r="I1027" s="5">
        <v>44562</v>
      </c>
      <c r="J1027">
        <v>14</v>
      </c>
      <c r="K1027">
        <v>9</v>
      </c>
      <c r="L1027">
        <v>28</v>
      </c>
      <c r="M1027">
        <v>72</v>
      </c>
      <c r="N1027">
        <v>10000</v>
      </c>
      <c r="W1027"/>
    </row>
    <row r="1028" spans="2:35" hidden="1">
      <c r="B1028">
        <v>1026</v>
      </c>
      <c r="C1028" s="13" t="s">
        <v>58</v>
      </c>
      <c r="D1028" t="s">
        <v>6</v>
      </c>
      <c r="E1028" t="s">
        <v>22</v>
      </c>
      <c r="F1028">
        <v>200</v>
      </c>
      <c r="G1028" t="s">
        <v>17</v>
      </c>
      <c r="H1028" s="5">
        <v>43831</v>
      </c>
      <c r="I1028" s="5">
        <v>44562</v>
      </c>
      <c r="J1028">
        <v>14</v>
      </c>
      <c r="K1028">
        <v>9</v>
      </c>
      <c r="L1028">
        <v>28</v>
      </c>
      <c r="M1028">
        <v>72</v>
      </c>
      <c r="N1028">
        <v>10000</v>
      </c>
      <c r="W1028"/>
    </row>
    <row r="1029" spans="2:35" hidden="1">
      <c r="B1029" s="23">
        <v>1027</v>
      </c>
      <c r="C1029" s="13" t="s">
        <v>58</v>
      </c>
      <c r="D1029" t="s">
        <v>7</v>
      </c>
      <c r="E1029" t="s">
        <v>3</v>
      </c>
      <c r="F1029">
        <v>10</v>
      </c>
      <c r="G1029" t="s">
        <v>17</v>
      </c>
      <c r="H1029" s="5">
        <v>43831</v>
      </c>
      <c r="I1029" s="5">
        <v>44562</v>
      </c>
      <c r="J1029">
        <v>14</v>
      </c>
      <c r="K1029">
        <v>9</v>
      </c>
      <c r="L1029">
        <v>30</v>
      </c>
      <c r="M1029">
        <v>70</v>
      </c>
      <c r="N1029">
        <v>10000</v>
      </c>
      <c r="O1029">
        <f>VLOOKUP($B1029&amp;O$1,Data!$A$2:$D$12000,4,FALSE)</f>
        <v>0.29222999999999999</v>
      </c>
      <c r="P1029">
        <f>VLOOKUP($B1029&amp;P$1,Data!$A$2:$D$12000,4,FALSE)</f>
        <v>0.438</v>
      </c>
      <c r="Q1029">
        <f>VLOOKUP($B1029&amp;Q$1,Data!$A$2:$D$12000,4,FALSE)</f>
        <v>1559</v>
      </c>
      <c r="R1029">
        <f>VLOOKUP($B1029&amp;R$1,Data!$A$2:$D$12000,4,FALSE)</f>
        <v>1E-4</v>
      </c>
      <c r="S1029">
        <f>VLOOKUP($B1029&amp;S$1,Data!$A$2:$D$12000,4,FALSE)</f>
        <v>-1E-4</v>
      </c>
      <c r="T1029">
        <f>VLOOKUP($B1029&amp;T$1,Data!$A$2:$D$12000,4,FALSE)</f>
        <v>8.0999999999999996E-4</v>
      </c>
      <c r="U1029">
        <f>VLOOKUP($B1029&amp;U$1,Data!$A$2:$D$12000,4,FALSE)</f>
        <v>1E-3</v>
      </c>
      <c r="V1029">
        <f>VLOOKUP($B1029&amp;V$1,Data!$A$2:$D$12000,4,FALSE)</f>
        <v>5.8999999999999997E-2</v>
      </c>
      <c r="W1029">
        <f>VLOOKUP($B1029&amp;W$1,Data!$A$2:$D$12000,4,FALSE)</f>
        <v>5.2999999999999998E-4</v>
      </c>
      <c r="X1029">
        <f>VLOOKUP($B1029&amp;X$1,Data!$A$2:$D$12000,4,FALSE)</f>
        <v>0.35</v>
      </c>
      <c r="Y1029">
        <f>VLOOKUP($B1029&amp;Y$1,Data!$A$2:$D$12000,4,FALSE)</f>
        <v>0.65</v>
      </c>
      <c r="Z1029">
        <f>VLOOKUP($B1029&amp;Z$1,Data!$A$2:$D$12000,4,FALSE)</f>
        <v>0.63</v>
      </c>
      <c r="AA1029">
        <f>VLOOKUP($B1029&amp;AA$1,Data!$A$2:$D$12000,4,FALSE)</f>
        <v>0</v>
      </c>
      <c r="AB1029">
        <f>VLOOKUP($B1029&amp;AB$1,Data!$A$2:$D$12000,4,FALSE)</f>
        <v>2E-3</v>
      </c>
      <c r="AC1029">
        <f>VLOOKUP($B1029&amp;AC$1,Data!$A$2:$D$12000,4,FALSE)</f>
        <v>1E-3</v>
      </c>
      <c r="AD1029">
        <f>VLOOKUP($B1029&amp;AD$1,Data!$A$2:$D$12000,4,FALSE)</f>
        <v>0</v>
      </c>
      <c r="AE1029">
        <f>VLOOKUP($B1029&amp;AE$1,Data!$A$2:$D$12000,4,FALSE)</f>
        <v>-0.75700000000000001</v>
      </c>
      <c r="AF1029">
        <f>VLOOKUP($B1029&amp;AF$1,Data!$A$2:$D$12000,4,FALSE)</f>
        <v>6.7000000000000004E-2</v>
      </c>
      <c r="AG1029">
        <f>VLOOKUP($B1029&amp;AG$1,Data!$A$2:$D$12000,4,FALSE)</f>
        <v>0.31900000000000001</v>
      </c>
      <c r="AH1029">
        <f>VLOOKUP($B1029&amp;AH$1,Data!$A$2:$D$12000,4,FALSE)</f>
        <v>0</v>
      </c>
      <c r="AI1029">
        <f>VLOOKUP($B1029&amp;AI$1,Data!$A$2:$D$12000,4,FALSE)</f>
        <v>280000000</v>
      </c>
    </row>
    <row r="1030" spans="2:35" hidden="1">
      <c r="B1030" s="23">
        <v>1028</v>
      </c>
      <c r="C1030" s="13" t="s">
        <v>58</v>
      </c>
      <c r="D1030" t="s">
        <v>7</v>
      </c>
      <c r="E1030" t="s">
        <v>3</v>
      </c>
      <c r="F1030">
        <v>100</v>
      </c>
      <c r="G1030" t="s">
        <v>17</v>
      </c>
      <c r="H1030" s="5">
        <v>43831</v>
      </c>
      <c r="I1030" s="5">
        <v>44562</v>
      </c>
      <c r="J1030">
        <v>14</v>
      </c>
      <c r="K1030">
        <v>9</v>
      </c>
      <c r="L1030">
        <v>30</v>
      </c>
      <c r="M1030">
        <v>70</v>
      </c>
      <c r="N1030">
        <v>10000</v>
      </c>
      <c r="O1030">
        <f>VLOOKUP($B1030&amp;O$1,Data!$A$2:$D$12000,4,FALSE)</f>
        <v>0.29382000000000003</v>
      </c>
      <c r="P1030">
        <f>VLOOKUP($B1030&amp;P$1,Data!$A$2:$D$12000,4,FALSE)</f>
        <v>0.44400000000000001</v>
      </c>
      <c r="Q1030">
        <f>VLOOKUP($B1030&amp;Q$1,Data!$A$2:$D$12000,4,FALSE)</f>
        <v>1559</v>
      </c>
      <c r="R1030">
        <f>VLOOKUP($B1030&amp;R$1,Data!$A$2:$D$12000,4,FALSE)</f>
        <v>5.0000000000000001E-4</v>
      </c>
      <c r="S1030">
        <f>VLOOKUP($B1030&amp;S$1,Data!$A$2:$D$12000,4,FALSE)</f>
        <v>-8.0000000000000004E-4</v>
      </c>
      <c r="T1030">
        <f>VLOOKUP($B1030&amp;T$1,Data!$A$2:$D$12000,4,FALSE)</f>
        <v>8.0700000000000008E-3</v>
      </c>
      <c r="U1030">
        <f>VLOOKUP($B1030&amp;U$1,Data!$A$2:$D$12000,4,FALSE)</f>
        <v>1.2999999999999999E-2</v>
      </c>
      <c r="V1030">
        <f>VLOOKUP($B1030&amp;V$1,Data!$A$2:$D$12000,4,FALSE)</f>
        <v>0.06</v>
      </c>
      <c r="W1030">
        <f>VLOOKUP($B1030&amp;W$1,Data!$A$2:$D$12000,4,FALSE)</f>
        <v>5.3400000000000001E-3</v>
      </c>
      <c r="X1030">
        <f>VLOOKUP($B1030&amp;X$1,Data!$A$2:$D$12000,4,FALSE)</f>
        <v>0.35</v>
      </c>
      <c r="Y1030">
        <f>VLOOKUP($B1030&amp;Y$1,Data!$A$2:$D$12000,4,FALSE)</f>
        <v>0.65</v>
      </c>
      <c r="Z1030">
        <f>VLOOKUP($B1030&amp;Z$1,Data!$A$2:$D$12000,4,FALSE)</f>
        <v>0.64</v>
      </c>
      <c r="AA1030">
        <f>VLOOKUP($B1030&amp;AA$1,Data!$A$2:$D$12000,4,FALSE)</f>
        <v>5.0000000000000001E-3</v>
      </c>
      <c r="AB1030">
        <f>VLOOKUP($B1030&amp;AB$1,Data!$A$2:$D$12000,4,FALSE)</f>
        <v>1.7999999999999999E-2</v>
      </c>
      <c r="AC1030">
        <f>VLOOKUP($B1030&amp;AC$1,Data!$A$2:$D$12000,4,FALSE)</f>
        <v>1.2999999999999999E-2</v>
      </c>
      <c r="AD1030">
        <f>VLOOKUP($B1030&amp;AD$1,Data!$A$2:$D$12000,4,FALSE)</f>
        <v>0</v>
      </c>
      <c r="AE1030">
        <f>VLOOKUP($B1030&amp;AE$1,Data!$A$2:$D$12000,4,FALSE)</f>
        <v>-0.68899999999999995</v>
      </c>
      <c r="AF1030">
        <f>VLOOKUP($B1030&amp;AF$1,Data!$A$2:$D$12000,4,FALSE)</f>
        <v>6.7000000000000004E-2</v>
      </c>
      <c r="AG1030">
        <f>VLOOKUP($B1030&amp;AG$1,Data!$A$2:$D$12000,4,FALSE)</f>
        <v>0.32400000000000001</v>
      </c>
      <c r="AH1030">
        <f>VLOOKUP($B1030&amp;AH$1,Data!$A$2:$D$12000,4,FALSE)</f>
        <v>0</v>
      </c>
      <c r="AI1030">
        <f>VLOOKUP($B1030&amp;AI$1,Data!$A$2:$D$12000,4,FALSE)</f>
        <v>32000000</v>
      </c>
    </row>
    <row r="1031" spans="2:35" hidden="1">
      <c r="B1031" s="23">
        <v>1029</v>
      </c>
      <c r="C1031" s="13" t="s">
        <v>58</v>
      </c>
      <c r="D1031" t="s">
        <v>7</v>
      </c>
      <c r="E1031" t="s">
        <v>3</v>
      </c>
      <c r="F1031">
        <v>200</v>
      </c>
      <c r="G1031" t="s">
        <v>17</v>
      </c>
      <c r="H1031" s="5">
        <v>43831</v>
      </c>
      <c r="I1031" s="5">
        <v>44562</v>
      </c>
      <c r="J1031">
        <v>14</v>
      </c>
      <c r="K1031">
        <v>9</v>
      </c>
      <c r="L1031">
        <v>30</v>
      </c>
      <c r="M1031">
        <v>70</v>
      </c>
      <c r="N1031">
        <v>10000</v>
      </c>
      <c r="O1031">
        <f>VLOOKUP($B1031&amp;O$1,Data!$A$2:$D$12000,4,FALSE)</f>
        <v>0.28810000000000002</v>
      </c>
      <c r="P1031">
        <f>VLOOKUP($B1031&amp;P$1,Data!$A$2:$D$12000,4,FALSE)</f>
        <v>0.42499999999999999</v>
      </c>
      <c r="Q1031">
        <f>VLOOKUP($B1031&amp;Q$1,Data!$A$2:$D$12000,4,FALSE)</f>
        <v>1474</v>
      </c>
      <c r="R1031">
        <f>VLOOKUP($B1031&amp;R$1,Data!$A$2:$D$12000,4,FALSE)</f>
        <v>8.9999999999999998E-4</v>
      </c>
      <c r="S1031">
        <f>VLOOKUP($B1031&amp;S$1,Data!$A$2:$D$12000,4,FALSE)</f>
        <v>-1.1999999999999999E-3</v>
      </c>
      <c r="T1031">
        <f>VLOOKUP($B1031&amp;T$1,Data!$A$2:$D$12000,4,FALSE)</f>
        <v>1.188E-2</v>
      </c>
      <c r="U1031">
        <f>VLOOKUP($B1031&amp;U$1,Data!$A$2:$D$12000,4,FALSE)</f>
        <v>2.1999999999999999E-2</v>
      </c>
      <c r="V1031">
        <f>VLOOKUP($B1031&amp;V$1,Data!$A$2:$D$12000,4,FALSE)</f>
        <v>0.06</v>
      </c>
      <c r="W1031">
        <f>VLOOKUP($B1031&amp;W$1,Data!$A$2:$D$12000,4,FALSE)</f>
        <v>7.8600000000000007E-3</v>
      </c>
      <c r="X1031">
        <f>VLOOKUP($B1031&amp;X$1,Data!$A$2:$D$12000,4,FALSE)</f>
        <v>0.38</v>
      </c>
      <c r="Y1031">
        <f>VLOOKUP($B1031&amp;Y$1,Data!$A$2:$D$12000,4,FALSE)</f>
        <v>0.62</v>
      </c>
      <c r="Z1031">
        <f>VLOOKUP($B1031&amp;Z$1,Data!$A$2:$D$12000,4,FALSE)</f>
        <v>0.71</v>
      </c>
      <c r="AA1031">
        <f>VLOOKUP($B1031&amp;AA$1,Data!$A$2:$D$12000,4,FALSE)</f>
        <v>6.0000000000000001E-3</v>
      </c>
      <c r="AB1031">
        <f>VLOOKUP($B1031&amp;AB$1,Data!$A$2:$D$12000,4,FALSE)</f>
        <v>4.1000000000000002E-2</v>
      </c>
      <c r="AC1031">
        <f>VLOOKUP($B1031&amp;AC$1,Data!$A$2:$D$12000,4,FALSE)</f>
        <v>0.02</v>
      </c>
      <c r="AD1031">
        <f>VLOOKUP($B1031&amp;AD$1,Data!$A$2:$D$12000,4,FALSE)</f>
        <v>0</v>
      </c>
      <c r="AE1031">
        <f>VLOOKUP($B1031&amp;AE$1,Data!$A$2:$D$12000,4,FALSE)</f>
        <v>-0.63700000000000001</v>
      </c>
      <c r="AF1031">
        <f>VLOOKUP($B1031&amp;AF$1,Data!$A$2:$D$12000,4,FALSE)</f>
        <v>6.8000000000000005E-2</v>
      </c>
      <c r="AG1031">
        <f>VLOOKUP($B1031&amp;AG$1,Data!$A$2:$D$12000,4,FALSE)</f>
        <v>0.20799999999999999</v>
      </c>
      <c r="AH1031">
        <f>VLOOKUP($B1031&amp;AH$1,Data!$A$2:$D$12000,4,FALSE)</f>
        <v>0</v>
      </c>
      <c r="AI1031">
        <f>VLOOKUP($B1031&amp;AI$1,Data!$A$2:$D$12000,4,FALSE)</f>
        <v>18000000</v>
      </c>
    </row>
    <row r="1032" spans="2:35" hidden="1">
      <c r="B1032" s="23">
        <v>1030</v>
      </c>
      <c r="C1032" s="13" t="s">
        <v>58</v>
      </c>
      <c r="D1032" t="s">
        <v>7</v>
      </c>
      <c r="E1032" t="s">
        <v>2</v>
      </c>
      <c r="F1032">
        <v>10</v>
      </c>
      <c r="G1032" t="s">
        <v>17</v>
      </c>
      <c r="H1032" s="5">
        <v>43831</v>
      </c>
      <c r="I1032" s="5">
        <v>44562</v>
      </c>
      <c r="J1032">
        <v>14</v>
      </c>
      <c r="K1032">
        <v>9</v>
      </c>
      <c r="L1032">
        <v>30</v>
      </c>
      <c r="M1032">
        <v>70</v>
      </c>
      <c r="N1032">
        <v>10000</v>
      </c>
      <c r="O1032">
        <f>VLOOKUP($B1032&amp;O$1,Data!$A$2:$D$12000,4,FALSE)</f>
        <v>1.7069999999999998E-2</v>
      </c>
      <c r="P1032">
        <f>VLOOKUP($B1032&amp;P$1,Data!$A$2:$D$12000,4,FALSE)</f>
        <v>-1.2130000000000001</v>
      </c>
      <c r="Q1032">
        <f>VLOOKUP($B1032&amp;Q$1,Data!$A$2:$D$12000,4,FALSE)</f>
        <v>996</v>
      </c>
      <c r="R1032">
        <f>VLOOKUP($B1032&amp;R$1,Data!$A$2:$D$12000,4,FALSE)</f>
        <v>0</v>
      </c>
      <c r="S1032">
        <f>VLOOKUP($B1032&amp;S$1,Data!$A$2:$D$12000,4,FALSE)</f>
        <v>-1E-4</v>
      </c>
      <c r="T1032">
        <f>VLOOKUP($B1032&amp;T$1,Data!$A$2:$D$12000,4,FALSE)</f>
        <v>-2.2699999999999999E-3</v>
      </c>
      <c r="U1032">
        <f>VLOOKUP($B1032&amp;U$1,Data!$A$2:$D$12000,4,FALSE)</f>
        <v>2E-3</v>
      </c>
      <c r="V1032">
        <f>VLOOKUP($B1032&amp;V$1,Data!$A$2:$D$12000,4,FALSE)</f>
        <v>-0.19900000000000001</v>
      </c>
      <c r="W1032">
        <f>VLOOKUP($B1032&amp;W$1,Data!$A$2:$D$12000,4,FALSE)</f>
        <v>-1.5E-3</v>
      </c>
      <c r="X1032">
        <f>VLOOKUP($B1032&amp;X$1,Data!$A$2:$D$12000,4,FALSE)</f>
        <v>0.47</v>
      </c>
      <c r="Y1032">
        <f>VLOOKUP($B1032&amp;Y$1,Data!$A$2:$D$12000,4,FALSE)</f>
        <v>0.53</v>
      </c>
      <c r="Z1032">
        <f>VLOOKUP($B1032&amp;Z$1,Data!$A$2:$D$12000,4,FALSE)</f>
        <v>0.51</v>
      </c>
      <c r="AA1032">
        <f>VLOOKUP($B1032&amp;AA$1,Data!$A$2:$D$12000,4,FALSE)</f>
        <v>-2E-3</v>
      </c>
      <c r="AB1032">
        <f>VLOOKUP($B1032&amp;AB$1,Data!$A$2:$D$12000,4,FALSE)</f>
        <v>4.0000000000000001E-3</v>
      </c>
      <c r="AC1032">
        <f>VLOOKUP($B1032&amp;AC$1,Data!$A$2:$D$12000,4,FALSE)</f>
        <v>1E-3</v>
      </c>
      <c r="AD1032">
        <f>VLOOKUP($B1032&amp;AD$1,Data!$A$2:$D$12000,4,FALSE)</f>
        <v>0</v>
      </c>
      <c r="AE1032">
        <f>VLOOKUP($B1032&amp;AE$1,Data!$A$2:$D$12000,4,FALSE)</f>
        <v>-0.79</v>
      </c>
      <c r="AF1032">
        <f>VLOOKUP($B1032&amp;AF$1,Data!$A$2:$D$12000,4,FALSE)</f>
        <v>6.7000000000000004E-2</v>
      </c>
      <c r="AG1032">
        <f>VLOOKUP($B1032&amp;AG$1,Data!$A$2:$D$12000,4,FALSE)</f>
        <v>-0.39400000000000002</v>
      </c>
      <c r="AH1032">
        <f>VLOOKUP($B1032&amp;AH$1,Data!$A$2:$D$12000,4,FALSE)</f>
        <v>0</v>
      </c>
      <c r="AI1032">
        <f>VLOOKUP($B1032&amp;AI$1,Data!$A$2:$D$12000,4,FALSE)</f>
        <v>7700000</v>
      </c>
    </row>
    <row r="1033" spans="2:35" hidden="1">
      <c r="B1033" s="23">
        <v>1031</v>
      </c>
      <c r="C1033" s="13" t="s">
        <v>58</v>
      </c>
      <c r="D1033" t="s">
        <v>7</v>
      </c>
      <c r="E1033" t="s">
        <v>2</v>
      </c>
      <c r="F1033">
        <v>100</v>
      </c>
      <c r="G1033" t="s">
        <v>17</v>
      </c>
      <c r="H1033" s="5">
        <v>43831</v>
      </c>
      <c r="I1033" s="5">
        <v>44562</v>
      </c>
      <c r="J1033">
        <v>14</v>
      </c>
      <c r="K1033">
        <v>9</v>
      </c>
      <c r="L1033">
        <v>30</v>
      </c>
      <c r="M1033">
        <v>70</v>
      </c>
      <c r="N1033">
        <v>10000</v>
      </c>
      <c r="O1033">
        <f>VLOOKUP($B1033&amp;O$1,Data!$A$2:$D$12000,4,FALSE)</f>
        <v>1.755E-2</v>
      </c>
      <c r="P1033">
        <f>VLOOKUP($B1033&amp;P$1,Data!$A$2:$D$12000,4,FALSE)</f>
        <v>-1.196</v>
      </c>
      <c r="Q1033">
        <f>VLOOKUP($B1033&amp;Q$1,Data!$A$2:$D$12000,4,FALSE)</f>
        <v>996</v>
      </c>
      <c r="R1033">
        <f>VLOOKUP($B1033&amp;R$1,Data!$A$2:$D$12000,4,FALSE)</f>
        <v>5.0000000000000001E-4</v>
      </c>
      <c r="S1033">
        <f>VLOOKUP($B1033&amp;S$1,Data!$A$2:$D$12000,4,FALSE)</f>
        <v>-1E-3</v>
      </c>
      <c r="T1033">
        <f>VLOOKUP($B1033&amp;T$1,Data!$A$2:$D$12000,4,FALSE)</f>
        <v>-2.2589999999999999E-2</v>
      </c>
      <c r="U1033">
        <f>VLOOKUP($B1033&amp;U$1,Data!$A$2:$D$12000,4,FALSE)</f>
        <v>0.02</v>
      </c>
      <c r="V1033">
        <f>VLOOKUP($B1033&amp;V$1,Data!$A$2:$D$12000,4,FALSE)</f>
        <v>-0.19800000000000001</v>
      </c>
      <c r="W1033">
        <f>VLOOKUP($B1033&amp;W$1,Data!$A$2:$D$12000,4,FALSE)</f>
        <v>-1.503E-2</v>
      </c>
      <c r="X1033">
        <f>VLOOKUP($B1033&amp;X$1,Data!$A$2:$D$12000,4,FALSE)</f>
        <v>0.47</v>
      </c>
      <c r="Y1033">
        <f>VLOOKUP($B1033&amp;Y$1,Data!$A$2:$D$12000,4,FALSE)</f>
        <v>0.53</v>
      </c>
      <c r="Z1033">
        <f>VLOOKUP($B1033&amp;Z$1,Data!$A$2:$D$12000,4,FALSE)</f>
        <v>0.51</v>
      </c>
      <c r="AA1033">
        <f>VLOOKUP($B1033&amp;AA$1,Data!$A$2:$D$12000,4,FALSE)</f>
        <v>-1.7999999999999999E-2</v>
      </c>
      <c r="AB1033">
        <f>VLOOKUP($B1033&amp;AB$1,Data!$A$2:$D$12000,4,FALSE)</f>
        <v>0.04</v>
      </c>
      <c r="AC1033">
        <f>VLOOKUP($B1033&amp;AC$1,Data!$A$2:$D$12000,4,FALSE)</f>
        <v>1.2999999999999999E-2</v>
      </c>
      <c r="AD1033">
        <f>VLOOKUP($B1033&amp;AD$1,Data!$A$2:$D$12000,4,FALSE)</f>
        <v>0</v>
      </c>
      <c r="AE1033">
        <f>VLOOKUP($B1033&amp;AE$1,Data!$A$2:$D$12000,4,FALSE)</f>
        <v>-1.018</v>
      </c>
      <c r="AF1033">
        <f>VLOOKUP($B1033&amp;AF$1,Data!$A$2:$D$12000,4,FALSE)</f>
        <v>6.6000000000000003E-2</v>
      </c>
      <c r="AG1033">
        <f>VLOOKUP($B1033&amp;AG$1,Data!$A$2:$D$12000,4,FALSE)</f>
        <v>-0.38800000000000001</v>
      </c>
      <c r="AH1033">
        <f>VLOOKUP($B1033&amp;AH$1,Data!$A$2:$D$12000,4,FALSE)</f>
        <v>0</v>
      </c>
      <c r="AI1033">
        <f>VLOOKUP($B1033&amp;AI$1,Data!$A$2:$D$12000,4,FALSE)</f>
        <v>7700000</v>
      </c>
    </row>
    <row r="1034" spans="2:35" hidden="1">
      <c r="B1034" s="23">
        <v>1032</v>
      </c>
      <c r="C1034" s="13" t="s">
        <v>58</v>
      </c>
      <c r="D1034" t="s">
        <v>7</v>
      </c>
      <c r="E1034" t="s">
        <v>2</v>
      </c>
      <c r="F1034">
        <v>200</v>
      </c>
      <c r="G1034" t="s">
        <v>17</v>
      </c>
      <c r="H1034" s="5">
        <v>43831</v>
      </c>
      <c r="I1034" s="5">
        <v>44562</v>
      </c>
      <c r="J1034">
        <v>14</v>
      </c>
      <c r="K1034">
        <v>9</v>
      </c>
      <c r="L1034">
        <v>30</v>
      </c>
      <c r="M1034">
        <v>70</v>
      </c>
      <c r="N1034">
        <v>10000</v>
      </c>
      <c r="O1034">
        <f>VLOOKUP($B1034&amp;O$1,Data!$A$2:$D$12000,4,FALSE)</f>
        <v>9.9900000000000006E-3</v>
      </c>
      <c r="P1034">
        <f>VLOOKUP($B1034&amp;P$1,Data!$A$2:$D$12000,4,FALSE)</f>
        <v>-1.456</v>
      </c>
      <c r="Q1034">
        <f>VLOOKUP($B1034&amp;Q$1,Data!$A$2:$D$12000,4,FALSE)</f>
        <v>929</v>
      </c>
      <c r="R1034">
        <f>VLOOKUP($B1034&amp;R$1,Data!$A$2:$D$12000,4,FALSE)</f>
        <v>5.9999999999999995E-4</v>
      </c>
      <c r="S1034">
        <f>VLOOKUP($B1034&amp;S$1,Data!$A$2:$D$12000,4,FALSE)</f>
        <v>-1.5E-3</v>
      </c>
      <c r="T1034">
        <f>VLOOKUP($B1034&amp;T$1,Data!$A$2:$D$12000,4,FALSE)</f>
        <v>-3.8490000000000003E-2</v>
      </c>
      <c r="U1034">
        <f>VLOOKUP($B1034&amp;U$1,Data!$A$2:$D$12000,4,FALSE)</f>
        <v>3.1E-2</v>
      </c>
      <c r="V1034">
        <f>VLOOKUP($B1034&amp;V$1,Data!$A$2:$D$12000,4,FALSE)</f>
        <v>-0.218</v>
      </c>
      <c r="W1034">
        <f>VLOOKUP($B1034&amp;W$1,Data!$A$2:$D$12000,4,FALSE)</f>
        <v>-2.5680000000000001E-2</v>
      </c>
      <c r="X1034">
        <f>VLOOKUP($B1034&amp;X$1,Data!$A$2:$D$12000,4,FALSE)</f>
        <v>0.43</v>
      </c>
      <c r="Y1034">
        <f>VLOOKUP($B1034&amp;Y$1,Data!$A$2:$D$12000,4,FALSE)</f>
        <v>0.56999999999999995</v>
      </c>
      <c r="Z1034">
        <f>VLOOKUP($B1034&amp;Z$1,Data!$A$2:$D$12000,4,FALSE)</f>
        <v>0.37</v>
      </c>
      <c r="AA1034">
        <f>VLOOKUP($B1034&amp;AA$1,Data!$A$2:$D$12000,4,FALSE)</f>
        <v>-0.03</v>
      </c>
      <c r="AB1034">
        <f>VLOOKUP($B1034&amp;AB$1,Data!$A$2:$D$12000,4,FALSE)</f>
        <v>6.2E-2</v>
      </c>
      <c r="AC1034">
        <f>VLOOKUP($B1034&amp;AC$1,Data!$A$2:$D$12000,4,FALSE)</f>
        <v>1.7999999999999999E-2</v>
      </c>
      <c r="AD1034">
        <f>VLOOKUP($B1034&amp;AD$1,Data!$A$2:$D$12000,4,FALSE)</f>
        <v>0</v>
      </c>
      <c r="AE1034">
        <f>VLOOKUP($B1034&amp;AE$1,Data!$A$2:$D$12000,4,FALSE)</f>
        <v>-1.1910000000000001</v>
      </c>
      <c r="AF1034">
        <f>VLOOKUP($B1034&amp;AF$1,Data!$A$2:$D$12000,4,FALSE)</f>
        <v>6.6000000000000003E-2</v>
      </c>
      <c r="AG1034">
        <f>VLOOKUP($B1034&amp;AG$1,Data!$A$2:$D$12000,4,FALSE)</f>
        <v>-0.42799999999999999</v>
      </c>
      <c r="AH1034">
        <f>VLOOKUP($B1034&amp;AH$1,Data!$A$2:$D$12000,4,FALSE)</f>
        <v>0</v>
      </c>
      <c r="AI1034">
        <f>VLOOKUP($B1034&amp;AI$1,Data!$A$2:$D$12000,4,FALSE)</f>
        <v>7800000</v>
      </c>
    </row>
    <row r="1035" spans="2:35" hidden="1">
      <c r="B1035" s="23">
        <v>1033</v>
      </c>
      <c r="C1035" s="13" t="s">
        <v>58</v>
      </c>
      <c r="D1035" t="s">
        <v>7</v>
      </c>
      <c r="E1035" t="s">
        <v>22</v>
      </c>
      <c r="F1035">
        <v>10</v>
      </c>
      <c r="G1035" t="s">
        <v>17</v>
      </c>
      <c r="H1035" s="5">
        <v>43831</v>
      </c>
      <c r="I1035" s="5">
        <v>44562</v>
      </c>
      <c r="J1035">
        <v>14</v>
      </c>
      <c r="K1035">
        <v>9</v>
      </c>
      <c r="L1035">
        <v>30</v>
      </c>
      <c r="M1035">
        <v>70</v>
      </c>
      <c r="N1035">
        <v>10000</v>
      </c>
      <c r="O1035">
        <f>VLOOKUP($B1035&amp;O$1,Data!$A$2:$D$12000,4,FALSE)</f>
        <v>9.6399999999999993E-3</v>
      </c>
      <c r="P1035">
        <f>VLOOKUP($B1035&amp;P$1,Data!$A$2:$D$12000,4,FALSE)</f>
        <v>-1.2689999999999999</v>
      </c>
      <c r="Q1035">
        <f>VLOOKUP($B1035&amp;Q$1,Data!$A$2:$D$12000,4,FALSE)</f>
        <v>707</v>
      </c>
      <c r="R1035">
        <f>VLOOKUP($B1035&amp;R$1,Data!$A$2:$D$12000,4,FALSE)</f>
        <v>0</v>
      </c>
      <c r="S1035">
        <f>VLOOKUP($B1035&amp;S$1,Data!$A$2:$D$12000,4,FALSE)</f>
        <v>-1E-4</v>
      </c>
      <c r="T1035">
        <f>VLOOKUP($B1035&amp;T$1,Data!$A$2:$D$12000,4,FALSE)</f>
        <v>-2.1099999999999999E-3</v>
      </c>
      <c r="U1035">
        <f>VLOOKUP($B1035&amp;U$1,Data!$A$2:$D$12000,4,FALSE)</f>
        <v>2E-3</v>
      </c>
      <c r="V1035">
        <f>VLOOKUP($B1035&amp;V$1,Data!$A$2:$D$12000,4,FALSE)</f>
        <v>-0.22500000000000001</v>
      </c>
      <c r="W1035">
        <f>VLOOKUP($B1035&amp;W$1,Data!$A$2:$D$12000,4,FALSE)</f>
        <v>-1.4E-3</v>
      </c>
      <c r="X1035">
        <f>VLOOKUP($B1035&amp;X$1,Data!$A$2:$D$12000,4,FALSE)</f>
        <v>0.45</v>
      </c>
      <c r="Y1035">
        <f>VLOOKUP($B1035&amp;Y$1,Data!$A$2:$D$12000,4,FALSE)</f>
        <v>0.55000000000000004</v>
      </c>
      <c r="Z1035">
        <f>VLOOKUP($B1035&amp;Z$1,Data!$A$2:$D$12000,4,FALSE)</f>
        <v>0.42</v>
      </c>
      <c r="AA1035">
        <f>VLOOKUP($B1035&amp;AA$1,Data!$A$2:$D$12000,4,FALSE)</f>
        <v>-2E-3</v>
      </c>
      <c r="AB1035">
        <f>VLOOKUP($B1035&amp;AB$1,Data!$A$2:$D$12000,4,FALSE)</f>
        <v>2E-3</v>
      </c>
      <c r="AC1035">
        <f>VLOOKUP($B1035&amp;AC$1,Data!$A$2:$D$12000,4,FALSE)</f>
        <v>1E-3</v>
      </c>
      <c r="AD1035">
        <f>VLOOKUP($B1035&amp;AD$1,Data!$A$2:$D$12000,4,FALSE)</f>
        <v>0</v>
      </c>
      <c r="AE1035">
        <f>VLOOKUP($B1035&amp;AE$1,Data!$A$2:$D$12000,4,FALSE)</f>
        <v>-0.78700000000000003</v>
      </c>
      <c r="AF1035">
        <f>VLOOKUP($B1035&amp;AF$1,Data!$A$2:$D$12000,4,FALSE)</f>
        <v>6.7000000000000004E-2</v>
      </c>
      <c r="AG1035">
        <f>VLOOKUP($B1035&amp;AG$1,Data!$A$2:$D$12000,4,FALSE)</f>
        <v>-0.86499999999999999</v>
      </c>
      <c r="AH1035">
        <f>VLOOKUP($B1035&amp;AH$1,Data!$A$2:$D$12000,4,FALSE)</f>
        <v>0</v>
      </c>
      <c r="AI1035">
        <f>VLOOKUP($B1035&amp;AI$1,Data!$A$2:$D$12000,4,FALSE)</f>
        <v>10000000000</v>
      </c>
    </row>
    <row r="1036" spans="2:35" hidden="1">
      <c r="B1036" s="23">
        <v>1034</v>
      </c>
      <c r="C1036" s="13" t="s">
        <v>58</v>
      </c>
      <c r="D1036" t="s">
        <v>7</v>
      </c>
      <c r="E1036" t="s">
        <v>22</v>
      </c>
      <c r="F1036">
        <v>100</v>
      </c>
      <c r="G1036" t="s">
        <v>17</v>
      </c>
      <c r="H1036" s="5">
        <v>43831</v>
      </c>
      <c r="I1036" s="5">
        <v>44562</v>
      </c>
      <c r="J1036">
        <v>14</v>
      </c>
      <c r="K1036">
        <v>9</v>
      </c>
      <c r="L1036">
        <v>30</v>
      </c>
      <c r="M1036">
        <v>70</v>
      </c>
      <c r="N1036">
        <v>10000</v>
      </c>
      <c r="O1036">
        <f>VLOOKUP($B1036&amp;O$1,Data!$A$2:$D$12000,4,FALSE)</f>
        <v>1.014E-2</v>
      </c>
      <c r="P1036">
        <f>VLOOKUP($B1036&amp;P$1,Data!$A$2:$D$12000,4,FALSE)</f>
        <v>-1.2490000000000001</v>
      </c>
      <c r="Q1036">
        <f>VLOOKUP($B1036&amp;Q$1,Data!$A$2:$D$12000,4,FALSE)</f>
        <v>707</v>
      </c>
      <c r="R1036">
        <f>VLOOKUP($B1036&amp;R$1,Data!$A$2:$D$12000,4,FALSE)</f>
        <v>5.0000000000000001E-4</v>
      </c>
      <c r="S1036">
        <f>VLOOKUP($B1036&amp;S$1,Data!$A$2:$D$12000,4,FALSE)</f>
        <v>-1.1000000000000001E-3</v>
      </c>
      <c r="T1036">
        <f>VLOOKUP($B1036&amp;T$1,Data!$A$2:$D$12000,4,FALSE)</f>
        <v>-2.0990000000000002E-2</v>
      </c>
      <c r="U1036">
        <f>VLOOKUP($B1036&amp;U$1,Data!$A$2:$D$12000,4,FALSE)</f>
        <v>2.5000000000000001E-2</v>
      </c>
      <c r="V1036">
        <f>VLOOKUP($B1036&amp;V$1,Data!$A$2:$D$12000,4,FALSE)</f>
        <v>-0.223</v>
      </c>
      <c r="W1036">
        <f>VLOOKUP($B1036&amp;W$1,Data!$A$2:$D$12000,4,FALSE)</f>
        <v>-1.397E-2</v>
      </c>
      <c r="X1036">
        <f>VLOOKUP($B1036&amp;X$1,Data!$A$2:$D$12000,4,FALSE)</f>
        <v>0.45</v>
      </c>
      <c r="Y1036">
        <f>VLOOKUP($B1036&amp;Y$1,Data!$A$2:$D$12000,4,FALSE)</f>
        <v>0.55000000000000004</v>
      </c>
      <c r="Z1036">
        <f>VLOOKUP($B1036&amp;Z$1,Data!$A$2:$D$12000,4,FALSE)</f>
        <v>0.42</v>
      </c>
      <c r="AA1036">
        <f>VLOOKUP($B1036&amp;AA$1,Data!$A$2:$D$12000,4,FALSE)</f>
        <v>-1.4999999999999999E-2</v>
      </c>
      <c r="AB1036">
        <f>VLOOKUP($B1036&amp;AB$1,Data!$A$2:$D$12000,4,FALSE)</f>
        <v>1.7000000000000001E-2</v>
      </c>
      <c r="AC1036">
        <f>VLOOKUP($B1036&amp;AC$1,Data!$A$2:$D$12000,4,FALSE)</f>
        <v>1.2E-2</v>
      </c>
      <c r="AD1036">
        <f>VLOOKUP($B1036&amp;AD$1,Data!$A$2:$D$12000,4,FALSE)</f>
        <v>0</v>
      </c>
      <c r="AE1036">
        <f>VLOOKUP($B1036&amp;AE$1,Data!$A$2:$D$12000,4,FALSE)</f>
        <v>-0.98199999999999998</v>
      </c>
      <c r="AF1036">
        <f>VLOOKUP($B1036&amp;AF$1,Data!$A$2:$D$12000,4,FALSE)</f>
        <v>6.7000000000000004E-2</v>
      </c>
      <c r="AG1036">
        <f>VLOOKUP($B1036&amp;AG$1,Data!$A$2:$D$12000,4,FALSE)</f>
        <v>-0.85399999999999998</v>
      </c>
      <c r="AH1036">
        <f>VLOOKUP($B1036&amp;AH$1,Data!$A$2:$D$12000,4,FALSE)</f>
        <v>0</v>
      </c>
      <c r="AI1036">
        <f>VLOOKUP($B1036&amp;AI$1,Data!$A$2:$D$12000,4,FALSE)</f>
        <v>1000000000</v>
      </c>
    </row>
    <row r="1037" spans="2:35" hidden="1">
      <c r="B1037" s="23">
        <v>1035</v>
      </c>
      <c r="C1037" s="13" t="s">
        <v>58</v>
      </c>
      <c r="D1037" t="s">
        <v>7</v>
      </c>
      <c r="E1037" t="s">
        <v>22</v>
      </c>
      <c r="F1037">
        <v>200</v>
      </c>
      <c r="G1037" t="s">
        <v>17</v>
      </c>
      <c r="H1037" s="5">
        <v>43831</v>
      </c>
      <c r="I1037" s="5">
        <v>44562</v>
      </c>
      <c r="J1037">
        <v>14</v>
      </c>
      <c r="K1037">
        <v>9</v>
      </c>
      <c r="L1037">
        <v>30</v>
      </c>
      <c r="M1037">
        <v>70</v>
      </c>
      <c r="N1037">
        <v>10000</v>
      </c>
      <c r="O1037">
        <f>VLOOKUP($B1037&amp;O$1,Data!$A$2:$D$12000,4,FALSE)</f>
        <v>2.6700000000000001E-3</v>
      </c>
      <c r="P1037">
        <f>VLOOKUP($B1037&amp;P$1,Data!$A$2:$D$12000,4,FALSE)</f>
        <v>-1.5069999999999999</v>
      </c>
      <c r="Q1037">
        <f>VLOOKUP($B1037&amp;Q$1,Data!$A$2:$D$12000,4,FALSE)</f>
        <v>658</v>
      </c>
      <c r="R1037">
        <f>VLOOKUP($B1037&amp;R$1,Data!$A$2:$D$12000,4,FALSE)</f>
        <v>6.9999999999999999E-4</v>
      </c>
      <c r="S1037">
        <f>VLOOKUP($B1037&amp;S$1,Data!$A$2:$D$12000,4,FALSE)</f>
        <v>-1.8E-3</v>
      </c>
      <c r="T1037">
        <f>VLOOKUP($B1037&amp;T$1,Data!$A$2:$D$12000,4,FALSE)</f>
        <v>-3.8019999999999998E-2</v>
      </c>
      <c r="U1037">
        <f>VLOOKUP($B1037&amp;U$1,Data!$A$2:$D$12000,4,FALSE)</f>
        <v>0.04</v>
      </c>
      <c r="V1037">
        <f>VLOOKUP($B1037&amp;V$1,Data!$A$2:$D$12000,4,FALSE)</f>
        <v>-0.26400000000000001</v>
      </c>
      <c r="W1037">
        <f>VLOOKUP($B1037&amp;W$1,Data!$A$2:$D$12000,4,FALSE)</f>
        <v>-2.537E-2</v>
      </c>
      <c r="X1037">
        <f>VLOOKUP($B1037&amp;X$1,Data!$A$2:$D$12000,4,FALSE)</f>
        <v>0.47</v>
      </c>
      <c r="Y1037">
        <f>VLOOKUP($B1037&amp;Y$1,Data!$A$2:$D$12000,4,FALSE)</f>
        <v>0.53</v>
      </c>
      <c r="Z1037">
        <f>VLOOKUP($B1037&amp;Z$1,Data!$A$2:$D$12000,4,FALSE)</f>
        <v>0.4</v>
      </c>
      <c r="AA1037">
        <f>VLOOKUP($B1037&amp;AA$1,Data!$A$2:$D$12000,4,FALSE)</f>
        <v>-2.8000000000000001E-2</v>
      </c>
      <c r="AB1037">
        <f>VLOOKUP($B1037&amp;AB$1,Data!$A$2:$D$12000,4,FALSE)</f>
        <v>2.9000000000000001E-2</v>
      </c>
      <c r="AC1037">
        <f>VLOOKUP($B1037&amp;AC$1,Data!$A$2:$D$12000,4,FALSE)</f>
        <v>1.7000000000000001E-2</v>
      </c>
      <c r="AD1037">
        <f>VLOOKUP($B1037&amp;AD$1,Data!$A$2:$D$12000,4,FALSE)</f>
        <v>0</v>
      </c>
      <c r="AE1037">
        <f>VLOOKUP($B1037&amp;AE$1,Data!$A$2:$D$12000,4,FALSE)</f>
        <v>-1.1499999999999999</v>
      </c>
      <c r="AF1037">
        <f>VLOOKUP($B1037&amp;AF$1,Data!$A$2:$D$12000,4,FALSE)</f>
        <v>6.8000000000000005E-2</v>
      </c>
      <c r="AG1037">
        <f>VLOOKUP($B1037&amp;AG$1,Data!$A$2:$D$12000,4,FALSE)</f>
        <v>-0.89500000000000002</v>
      </c>
      <c r="AH1037">
        <f>VLOOKUP($B1037&amp;AH$1,Data!$A$2:$D$12000,4,FALSE)</f>
        <v>0</v>
      </c>
      <c r="AI1037">
        <f>VLOOKUP($B1037&amp;AI$1,Data!$A$2:$D$12000,4,FALSE)</f>
        <v>510000000</v>
      </c>
    </row>
    <row r="1038" spans="2:35" hidden="1">
      <c r="B1038" s="24">
        <v>1036</v>
      </c>
      <c r="C1038" s="13" t="s">
        <v>58</v>
      </c>
      <c r="D1038" t="s">
        <v>7</v>
      </c>
      <c r="E1038" t="s">
        <v>3</v>
      </c>
      <c r="F1038">
        <v>10</v>
      </c>
      <c r="G1038" t="s">
        <v>17</v>
      </c>
      <c r="H1038" s="5">
        <v>43831</v>
      </c>
      <c r="I1038" s="5">
        <v>44562</v>
      </c>
      <c r="J1038">
        <v>14</v>
      </c>
      <c r="K1038">
        <v>9</v>
      </c>
      <c r="L1038">
        <v>32</v>
      </c>
      <c r="M1038">
        <v>68</v>
      </c>
      <c r="N1038">
        <v>10000</v>
      </c>
      <c r="O1038">
        <f>VLOOKUP($B1038&amp;O$1,Data!$A$2:$D$12000,4,FALSE)</f>
        <v>3.8550000000000001E-2</v>
      </c>
      <c r="P1038">
        <f>VLOOKUP($B1038&amp;P$1,Data!$A$2:$D$12000,4,FALSE)</f>
        <v>-0.77200000000000002</v>
      </c>
      <c r="Q1038">
        <f>VLOOKUP($B1038&amp;Q$1,Data!$A$2:$D$12000,4,FALSE)</f>
        <v>1416</v>
      </c>
      <c r="R1038">
        <f>VLOOKUP($B1038&amp;R$1,Data!$A$2:$D$12000,4,FALSE)</f>
        <v>1.1999999999999999E-3</v>
      </c>
      <c r="S1038">
        <f>VLOOKUP($B1038&amp;S$1,Data!$A$2:$D$12000,4,FALSE)</f>
        <v>-2.0999999999999999E-3</v>
      </c>
      <c r="T1038">
        <f>VLOOKUP($B1038&amp;T$1,Data!$A$2:$D$12000,4,FALSE)</f>
        <v>-3.6260000000000001E-2</v>
      </c>
      <c r="U1038">
        <f>VLOOKUP($B1038&amp;U$1,Data!$A$2:$D$12000,4,FALSE)</f>
        <v>5.2999999999999999E-2</v>
      </c>
      <c r="V1038">
        <f>VLOOKUP($B1038&amp;V$1,Data!$A$2:$D$12000,4,FALSE)</f>
        <v>-8.8999999999999996E-2</v>
      </c>
      <c r="W1038">
        <f>VLOOKUP($B1038&amp;W$1,Data!$A$2:$D$12000,4,FALSE)</f>
        <v>-2.4289999999999999E-2</v>
      </c>
      <c r="X1038">
        <f>VLOOKUP($B1038&amp;X$1,Data!$A$2:$D$12000,4,FALSE)</f>
        <v>0.41</v>
      </c>
      <c r="Y1038">
        <f>VLOOKUP($B1038&amp;Y$1,Data!$A$2:$D$12000,4,FALSE)</f>
        <v>0.59</v>
      </c>
      <c r="Z1038">
        <f>VLOOKUP($B1038&amp;Z$1,Data!$A$2:$D$12000,4,FALSE)</f>
        <v>0.54</v>
      </c>
      <c r="AA1038">
        <f>VLOOKUP($B1038&amp;AA$1,Data!$A$2:$D$12000,4,FALSE)</f>
        <v>-3.2000000000000001E-2</v>
      </c>
      <c r="AB1038">
        <f>VLOOKUP($B1038&amp;AB$1,Data!$A$2:$D$12000,4,FALSE)</f>
        <v>0.153</v>
      </c>
      <c r="AC1038">
        <f>VLOOKUP($B1038&amp;AC$1,Data!$A$2:$D$12000,4,FALSE)</f>
        <v>3.2000000000000001E-2</v>
      </c>
      <c r="AD1038">
        <f>VLOOKUP($B1038&amp;AD$1,Data!$A$2:$D$12000,4,FALSE)</f>
        <v>1E-3</v>
      </c>
      <c r="AE1038">
        <f>VLOOKUP($B1038&amp;AE$1,Data!$A$2:$D$12000,4,FALSE)</f>
        <v>-1.1459999999999999</v>
      </c>
      <c r="AF1038">
        <f>VLOOKUP($B1038&amp;AF$1,Data!$A$2:$D$12000,4,FALSE)</f>
        <v>6.5000000000000002E-2</v>
      </c>
      <c r="AG1038">
        <f>VLOOKUP($B1038&amp;AG$1,Data!$A$2:$D$12000,4,FALSE)</f>
        <v>-0.16200000000000001</v>
      </c>
      <c r="AH1038">
        <f>VLOOKUP($B1038&amp;AH$1,Data!$A$2:$D$12000,4,FALSE)</f>
        <v>0</v>
      </c>
      <c r="AI1038">
        <f>VLOOKUP($B1038&amp;AI$1,Data!$A$2:$D$12000,4,FALSE)</f>
        <v>5900000</v>
      </c>
    </row>
    <row r="1039" spans="2:35" hidden="1">
      <c r="B1039" s="24">
        <v>1037</v>
      </c>
      <c r="C1039" s="13" t="s">
        <v>58</v>
      </c>
      <c r="D1039" t="s">
        <v>7</v>
      </c>
      <c r="E1039" t="s">
        <v>3</v>
      </c>
      <c r="F1039">
        <v>100</v>
      </c>
      <c r="G1039" t="s">
        <v>17</v>
      </c>
      <c r="H1039" s="5">
        <v>43831</v>
      </c>
      <c r="I1039" s="5">
        <v>44562</v>
      </c>
      <c r="J1039">
        <v>14</v>
      </c>
      <c r="K1039">
        <v>9</v>
      </c>
      <c r="L1039">
        <v>32</v>
      </c>
      <c r="M1039">
        <v>68</v>
      </c>
      <c r="N1039">
        <v>10000</v>
      </c>
      <c r="O1039">
        <f>VLOOKUP($B1039&amp;O$1,Data!$A$2:$D$12000,4,FALSE)</f>
        <v>0.14838999999999999</v>
      </c>
      <c r="P1039">
        <f>VLOOKUP($B1039&amp;P$1,Data!$A$2:$D$12000,4,FALSE)</f>
        <v>-6.5000000000000002E-2</v>
      </c>
      <c r="Q1039">
        <f>VLOOKUP($B1039&amp;Q$1,Data!$A$2:$D$12000,4,FALSE)</f>
        <v>908</v>
      </c>
      <c r="R1039">
        <f>VLOOKUP($B1039&amp;R$1,Data!$A$2:$D$12000,4,FALSE)</f>
        <v>2E-3</v>
      </c>
      <c r="S1039">
        <f>VLOOKUP($B1039&amp;S$1,Data!$A$2:$D$12000,4,FALSE)</f>
        <v>-3.3E-3</v>
      </c>
      <c r="T1039">
        <f>VLOOKUP($B1039&amp;T$1,Data!$A$2:$D$12000,4,FALSE)</f>
        <v>-5.8100000000000001E-3</v>
      </c>
      <c r="U1039">
        <f>VLOOKUP($B1039&amp;U$1,Data!$A$2:$D$12000,4,FALSE)</f>
        <v>6.3E-2</v>
      </c>
      <c r="V1039">
        <f>VLOOKUP($B1039&amp;V$1,Data!$A$2:$D$12000,4,FALSE)</f>
        <v>-8.0000000000000002E-3</v>
      </c>
      <c r="W1039">
        <f>VLOOKUP($B1039&amp;W$1,Data!$A$2:$D$12000,4,FALSE)</f>
        <v>-3.8700000000000002E-3</v>
      </c>
      <c r="X1039">
        <f>VLOOKUP($B1039&amp;X$1,Data!$A$2:$D$12000,4,FALSE)</f>
        <v>0.38</v>
      </c>
      <c r="Y1039">
        <f>VLOOKUP($B1039&amp;Y$1,Data!$A$2:$D$12000,4,FALSE)</f>
        <v>0.62</v>
      </c>
      <c r="Z1039">
        <f>VLOOKUP($B1039&amp;Z$1,Data!$A$2:$D$12000,4,FALSE)</f>
        <v>0.6</v>
      </c>
      <c r="AA1039">
        <f>VLOOKUP($B1039&amp;AA$1,Data!$A$2:$D$12000,4,FALSE)</f>
        <v>-1.6E-2</v>
      </c>
      <c r="AB1039">
        <f>VLOOKUP($B1039&amp;AB$1,Data!$A$2:$D$12000,4,FALSE)</f>
        <v>0.248</v>
      </c>
      <c r="AC1039">
        <f>VLOOKUP($B1039&amp;AC$1,Data!$A$2:$D$12000,4,FALSE)</f>
        <v>4.5999999999999999E-2</v>
      </c>
      <c r="AD1039">
        <f>VLOOKUP($B1039&amp;AD$1,Data!$A$2:$D$12000,4,FALSE)</f>
        <v>2E-3</v>
      </c>
      <c r="AE1039">
        <f>VLOOKUP($B1039&amp;AE$1,Data!$A$2:$D$12000,4,FALSE)</f>
        <v>-0.83</v>
      </c>
      <c r="AF1039">
        <f>VLOOKUP($B1039&amp;AF$1,Data!$A$2:$D$12000,4,FALSE)</f>
        <v>6.6000000000000003E-2</v>
      </c>
      <c r="AG1039">
        <f>VLOOKUP($B1039&amp;AG$1,Data!$A$2:$D$12000,4,FALSE)</f>
        <v>-1.2E-2</v>
      </c>
      <c r="AH1039">
        <f>VLOOKUP($B1039&amp;AH$1,Data!$A$2:$D$12000,4,FALSE)</f>
        <v>0</v>
      </c>
      <c r="AI1039">
        <f>VLOOKUP($B1039&amp;AI$1,Data!$A$2:$D$12000,4,FALSE)</f>
        <v>6400000</v>
      </c>
    </row>
    <row r="1040" spans="2:35" hidden="1">
      <c r="B1040" s="24">
        <v>1038</v>
      </c>
      <c r="C1040" s="13" t="s">
        <v>58</v>
      </c>
      <c r="D1040" t="s">
        <v>7</v>
      </c>
      <c r="E1040" t="s">
        <v>3</v>
      </c>
      <c r="F1040">
        <v>200</v>
      </c>
      <c r="G1040" t="s">
        <v>17</v>
      </c>
      <c r="H1040" s="5">
        <v>43831</v>
      </c>
      <c r="I1040" s="5">
        <v>44562</v>
      </c>
      <c r="J1040">
        <v>14</v>
      </c>
      <c r="K1040">
        <v>9</v>
      </c>
      <c r="L1040">
        <v>32</v>
      </c>
      <c r="M1040">
        <v>68</v>
      </c>
      <c r="N1040">
        <v>10000</v>
      </c>
      <c r="O1040">
        <f>VLOOKUP($B1040&amp;O$1,Data!$A$2:$D$12000,4,FALSE)</f>
        <v>9.4140000000000001E-2</v>
      </c>
      <c r="P1040">
        <f>VLOOKUP($B1040&amp;P$1,Data!$A$2:$D$12000,4,FALSE)</f>
        <v>-0.33</v>
      </c>
      <c r="Q1040">
        <f>VLOOKUP($B1040&amp;Q$1,Data!$A$2:$D$12000,4,FALSE)</f>
        <v>723</v>
      </c>
      <c r="R1040">
        <f>VLOOKUP($B1040&amp;R$1,Data!$A$2:$D$12000,4,FALSE)</f>
        <v>2E-3</v>
      </c>
      <c r="S1040">
        <f>VLOOKUP($B1040&amp;S$1,Data!$A$2:$D$12000,4,FALSE)</f>
        <v>-3.3E-3</v>
      </c>
      <c r="T1040">
        <f>VLOOKUP($B1040&amp;T$1,Data!$A$2:$D$12000,4,FALSE)</f>
        <v>-2.2710000000000001E-2</v>
      </c>
      <c r="U1040">
        <f>VLOOKUP($B1040&amp;U$1,Data!$A$2:$D$12000,4,FALSE)</f>
        <v>6.5000000000000002E-2</v>
      </c>
      <c r="V1040">
        <f>VLOOKUP($B1040&amp;V$1,Data!$A$2:$D$12000,4,FALSE)</f>
        <v>-0.04</v>
      </c>
      <c r="W1040">
        <f>VLOOKUP($B1040&amp;W$1,Data!$A$2:$D$12000,4,FALSE)</f>
        <v>-1.5180000000000001E-2</v>
      </c>
      <c r="X1040">
        <f>VLOOKUP($B1040&amp;X$1,Data!$A$2:$D$12000,4,FALSE)</f>
        <v>0.4</v>
      </c>
      <c r="Y1040">
        <f>VLOOKUP($B1040&amp;Y$1,Data!$A$2:$D$12000,4,FALSE)</f>
        <v>0.6</v>
      </c>
      <c r="Z1040">
        <f>VLOOKUP($B1040&amp;Z$1,Data!$A$2:$D$12000,4,FALSE)</f>
        <v>0.61</v>
      </c>
      <c r="AA1040">
        <f>VLOOKUP($B1040&amp;AA$1,Data!$A$2:$D$12000,4,FALSE)</f>
        <v>-2.7E-2</v>
      </c>
      <c r="AB1040">
        <f>VLOOKUP($B1040&amp;AB$1,Data!$A$2:$D$12000,4,FALSE)</f>
        <v>0.255</v>
      </c>
      <c r="AC1040">
        <f>VLOOKUP($B1040&amp;AC$1,Data!$A$2:$D$12000,4,FALSE)</f>
        <v>4.4999999999999998E-2</v>
      </c>
      <c r="AD1040">
        <f>VLOOKUP($B1040&amp;AD$1,Data!$A$2:$D$12000,4,FALSE)</f>
        <v>2E-3</v>
      </c>
      <c r="AE1040">
        <f>VLOOKUP($B1040&amp;AE$1,Data!$A$2:$D$12000,4,FALSE)</f>
        <v>-0.98399999999999999</v>
      </c>
      <c r="AF1040">
        <f>VLOOKUP($B1040&amp;AF$1,Data!$A$2:$D$12000,4,FALSE)</f>
        <v>6.5000000000000002E-2</v>
      </c>
      <c r="AG1040">
        <f>VLOOKUP($B1040&amp;AG$1,Data!$A$2:$D$12000,4,FALSE)</f>
        <v>-5.8000000000000003E-2</v>
      </c>
      <c r="AH1040">
        <f>VLOOKUP($B1040&amp;AH$1,Data!$A$2:$D$12000,4,FALSE)</f>
        <v>0</v>
      </c>
      <c r="AI1040">
        <f>VLOOKUP($B1040&amp;AI$1,Data!$A$2:$D$12000,4,FALSE)</f>
        <v>7000000</v>
      </c>
    </row>
    <row r="1041" spans="2:35" hidden="1">
      <c r="B1041" s="24">
        <v>1039</v>
      </c>
      <c r="C1041" s="13" t="s">
        <v>58</v>
      </c>
      <c r="D1041" t="s">
        <v>7</v>
      </c>
      <c r="E1041" t="s">
        <v>2</v>
      </c>
      <c r="F1041">
        <v>10</v>
      </c>
      <c r="G1041" t="s">
        <v>17</v>
      </c>
      <c r="H1041" s="5">
        <v>43831</v>
      </c>
      <c r="I1041" s="5">
        <v>44562</v>
      </c>
      <c r="J1041">
        <v>14</v>
      </c>
      <c r="K1041">
        <v>9</v>
      </c>
      <c r="L1041">
        <v>32</v>
      </c>
      <c r="M1041">
        <v>68</v>
      </c>
      <c r="N1041">
        <v>10000</v>
      </c>
      <c r="O1041">
        <f>VLOOKUP($B1041&amp;O$1,Data!$A$2:$D$12000,4,FALSE)</f>
        <v>0.11611</v>
      </c>
      <c r="P1041">
        <f>VLOOKUP($B1041&amp;P$1,Data!$A$2:$D$12000,4,FALSE)</f>
        <v>-0.214</v>
      </c>
      <c r="Q1041">
        <f>VLOOKUP($B1041&amp;Q$1,Data!$A$2:$D$12000,4,FALSE)</f>
        <v>894</v>
      </c>
      <c r="R1041">
        <f>VLOOKUP($B1041&amp;R$1,Data!$A$2:$D$12000,4,FALSE)</f>
        <v>1.2999999999999999E-3</v>
      </c>
      <c r="S1041">
        <f>VLOOKUP($B1041&amp;S$1,Data!$A$2:$D$12000,4,FALSE)</f>
        <v>-2.5999999999999999E-3</v>
      </c>
      <c r="T1041">
        <f>VLOOKUP($B1041&amp;T$1,Data!$A$2:$D$12000,4,FALSE)</f>
        <v>-8.7299999999999999E-3</v>
      </c>
      <c r="U1041">
        <f>VLOOKUP($B1041&amp;U$1,Data!$A$2:$D$12000,4,FALSE)</f>
        <v>3.9E-2</v>
      </c>
      <c r="V1041">
        <f>VLOOKUP($B1041&amp;V$1,Data!$A$2:$D$12000,4,FALSE)</f>
        <v>-2.3E-2</v>
      </c>
      <c r="W1041">
        <f>VLOOKUP($B1041&amp;W$1,Data!$A$2:$D$12000,4,FALSE)</f>
        <v>-5.8199999999999997E-3</v>
      </c>
      <c r="X1041">
        <f>VLOOKUP($B1041&amp;X$1,Data!$A$2:$D$12000,4,FALSE)</f>
        <v>0.34</v>
      </c>
      <c r="Y1041">
        <f>VLOOKUP($B1041&amp;Y$1,Data!$A$2:$D$12000,4,FALSE)</f>
        <v>0.66</v>
      </c>
      <c r="Z1041">
        <f>VLOOKUP($B1041&amp;Z$1,Data!$A$2:$D$12000,4,FALSE)</f>
        <v>0.47</v>
      </c>
      <c r="AA1041">
        <f>VLOOKUP($B1041&amp;AA$1,Data!$A$2:$D$12000,4,FALSE)</f>
        <v>-1.2E-2</v>
      </c>
      <c r="AB1041">
        <f>VLOOKUP($B1041&amp;AB$1,Data!$A$2:$D$12000,4,FALSE)</f>
        <v>0.11799999999999999</v>
      </c>
      <c r="AC1041">
        <f>VLOOKUP($B1041&amp;AC$1,Data!$A$2:$D$12000,4,FALSE)</f>
        <v>2.7E-2</v>
      </c>
      <c r="AD1041">
        <f>VLOOKUP($B1041&amp;AD$1,Data!$A$2:$D$12000,4,FALSE)</f>
        <v>1E-3</v>
      </c>
      <c r="AE1041">
        <f>VLOOKUP($B1041&amp;AE$1,Data!$A$2:$D$12000,4,FALSE)</f>
        <v>-0.89300000000000002</v>
      </c>
      <c r="AF1041">
        <f>VLOOKUP($B1041&amp;AF$1,Data!$A$2:$D$12000,4,FALSE)</f>
        <v>6.5000000000000002E-2</v>
      </c>
      <c r="AG1041">
        <f>VLOOKUP($B1041&amp;AG$1,Data!$A$2:$D$12000,4,FALSE)</f>
        <v>-4.8000000000000001E-2</v>
      </c>
      <c r="AH1041">
        <f>VLOOKUP($B1041&amp;AH$1,Data!$A$2:$D$12000,4,FALSE)</f>
        <v>0</v>
      </c>
      <c r="AI1041">
        <f>VLOOKUP($B1041&amp;AI$1,Data!$A$2:$D$12000,4,FALSE)</f>
        <v>7700000</v>
      </c>
    </row>
    <row r="1042" spans="2:35" hidden="1">
      <c r="B1042" s="24">
        <v>1040</v>
      </c>
      <c r="C1042" s="13" t="s">
        <v>58</v>
      </c>
      <c r="D1042" t="s">
        <v>7</v>
      </c>
      <c r="E1042" t="s">
        <v>2</v>
      </c>
      <c r="F1042">
        <v>100</v>
      </c>
      <c r="G1042" t="s">
        <v>17</v>
      </c>
      <c r="H1042" s="5">
        <v>43831</v>
      </c>
      <c r="I1042" s="5">
        <v>44562</v>
      </c>
      <c r="J1042">
        <v>14</v>
      </c>
      <c r="K1042">
        <v>9</v>
      </c>
      <c r="L1042">
        <v>32</v>
      </c>
      <c r="M1042">
        <v>68</v>
      </c>
      <c r="N1042">
        <v>10000</v>
      </c>
      <c r="O1042">
        <f>VLOOKUP($B1042&amp;O$1,Data!$A$2:$D$12000,4,FALSE)</f>
        <v>4.3389999999999998E-2</v>
      </c>
      <c r="P1042">
        <f>VLOOKUP($B1042&amp;P$1,Data!$A$2:$D$12000,4,FALSE)</f>
        <v>-0.71499999999999997</v>
      </c>
      <c r="Q1042">
        <f>VLOOKUP($B1042&amp;Q$1,Data!$A$2:$D$12000,4,FALSE)</f>
        <v>565</v>
      </c>
      <c r="R1042">
        <f>VLOOKUP($B1042&amp;R$1,Data!$A$2:$D$12000,4,FALSE)</f>
        <v>1.8E-3</v>
      </c>
      <c r="S1042">
        <f>VLOOKUP($B1042&amp;S$1,Data!$A$2:$D$12000,4,FALSE)</f>
        <v>-4.3E-3</v>
      </c>
      <c r="T1042">
        <f>VLOOKUP($B1042&amp;T$1,Data!$A$2:$D$12000,4,FALSE)</f>
        <v>-4.1700000000000001E-2</v>
      </c>
      <c r="U1042">
        <f>VLOOKUP($B1042&amp;U$1,Data!$A$2:$D$12000,4,FALSE)</f>
        <v>5.8999999999999997E-2</v>
      </c>
      <c r="V1042">
        <f>VLOOKUP($B1042&amp;V$1,Data!$A$2:$D$12000,4,FALSE)</f>
        <v>-8.1000000000000003E-2</v>
      </c>
      <c r="W1042">
        <f>VLOOKUP($B1042&amp;W$1,Data!$A$2:$D$12000,4,FALSE)</f>
        <v>-2.7949999999999999E-2</v>
      </c>
      <c r="X1042">
        <f>VLOOKUP($B1042&amp;X$1,Data!$A$2:$D$12000,4,FALSE)</f>
        <v>0.35</v>
      </c>
      <c r="Y1042">
        <f>VLOOKUP($B1042&amp;Y$1,Data!$A$2:$D$12000,4,FALSE)</f>
        <v>0.65</v>
      </c>
      <c r="Z1042">
        <f>VLOOKUP($B1042&amp;Z$1,Data!$A$2:$D$12000,4,FALSE)</f>
        <v>0.42</v>
      </c>
      <c r="AA1042">
        <f>VLOOKUP($B1042&amp;AA$1,Data!$A$2:$D$12000,4,FALSE)</f>
        <v>-3.9E-2</v>
      </c>
      <c r="AB1042">
        <f>VLOOKUP($B1042&amp;AB$1,Data!$A$2:$D$12000,4,FALSE)</f>
        <v>0.20899999999999999</v>
      </c>
      <c r="AC1042">
        <f>VLOOKUP($B1042&amp;AC$1,Data!$A$2:$D$12000,4,FALSE)</f>
        <v>0.04</v>
      </c>
      <c r="AD1042">
        <f>VLOOKUP($B1042&amp;AD$1,Data!$A$2:$D$12000,4,FALSE)</f>
        <v>2E-3</v>
      </c>
      <c r="AE1042">
        <f>VLOOKUP($B1042&amp;AE$1,Data!$A$2:$D$12000,4,FALSE)</f>
        <v>-1.238</v>
      </c>
      <c r="AF1042">
        <f>VLOOKUP($B1042&amp;AF$1,Data!$A$2:$D$12000,4,FALSE)</f>
        <v>6.5000000000000002E-2</v>
      </c>
      <c r="AG1042">
        <f>VLOOKUP($B1042&amp;AG$1,Data!$A$2:$D$12000,4,FALSE)</f>
        <v>-0.13600000000000001</v>
      </c>
      <c r="AH1042">
        <f>VLOOKUP($B1042&amp;AH$1,Data!$A$2:$D$12000,4,FALSE)</f>
        <v>0</v>
      </c>
      <c r="AI1042">
        <f>VLOOKUP($B1042&amp;AI$1,Data!$A$2:$D$12000,4,FALSE)</f>
        <v>8000000</v>
      </c>
    </row>
    <row r="1043" spans="2:35" hidden="1">
      <c r="B1043" s="24">
        <v>1041</v>
      </c>
      <c r="C1043" s="13" t="s">
        <v>58</v>
      </c>
      <c r="D1043" t="s">
        <v>7</v>
      </c>
      <c r="E1043" t="s">
        <v>2</v>
      </c>
      <c r="F1043">
        <v>200</v>
      </c>
      <c r="G1043" t="s">
        <v>17</v>
      </c>
      <c r="H1043" s="5">
        <v>43831</v>
      </c>
      <c r="I1043" s="5">
        <v>44562</v>
      </c>
      <c r="J1043">
        <v>14</v>
      </c>
      <c r="K1043">
        <v>9</v>
      </c>
      <c r="L1043">
        <v>32</v>
      </c>
      <c r="M1043">
        <v>68</v>
      </c>
      <c r="N1043">
        <v>10000</v>
      </c>
      <c r="O1043">
        <f>VLOOKUP($B1043&amp;O$1,Data!$A$2:$D$12000,4,FALSE)</f>
        <v>2.7390000000000001E-2</v>
      </c>
      <c r="P1043">
        <f>VLOOKUP($B1043&amp;P$1,Data!$A$2:$D$12000,4,FALSE)</f>
        <v>-0.92100000000000004</v>
      </c>
      <c r="Q1043">
        <f>VLOOKUP($B1043&amp;Q$1,Data!$A$2:$D$12000,4,FALSE)</f>
        <v>462</v>
      </c>
      <c r="R1043">
        <f>VLOOKUP($B1043&amp;R$1,Data!$A$2:$D$12000,4,FALSE)</f>
        <v>1.8E-3</v>
      </c>
      <c r="S1043">
        <f>VLOOKUP($B1043&amp;S$1,Data!$A$2:$D$12000,4,FALSE)</f>
        <v>-3.8E-3</v>
      </c>
      <c r="T1043">
        <f>VLOOKUP($B1043&amp;T$1,Data!$A$2:$D$12000,4,FALSE)</f>
        <v>-4.9360000000000001E-2</v>
      </c>
      <c r="U1043">
        <f>VLOOKUP($B1043&amp;U$1,Data!$A$2:$D$12000,4,FALSE)</f>
        <v>0.06</v>
      </c>
      <c r="V1043">
        <f>VLOOKUP($B1043&amp;V$1,Data!$A$2:$D$12000,4,FALSE)</f>
        <v>-0.109</v>
      </c>
      <c r="W1043">
        <f>VLOOKUP($B1043&amp;W$1,Data!$A$2:$D$12000,4,FALSE)</f>
        <v>-3.313E-2</v>
      </c>
      <c r="X1043">
        <f>VLOOKUP($B1043&amp;X$1,Data!$A$2:$D$12000,4,FALSE)</f>
        <v>0.39</v>
      </c>
      <c r="Y1043">
        <f>VLOOKUP($B1043&amp;Y$1,Data!$A$2:$D$12000,4,FALSE)</f>
        <v>0.61</v>
      </c>
      <c r="Z1043">
        <f>VLOOKUP($B1043&amp;Z$1,Data!$A$2:$D$12000,4,FALSE)</f>
        <v>0.47</v>
      </c>
      <c r="AA1043">
        <f>VLOOKUP($B1043&amp;AA$1,Data!$A$2:$D$12000,4,FALSE)</f>
        <v>-4.3999999999999997E-2</v>
      </c>
      <c r="AB1043">
        <f>VLOOKUP($B1043&amp;AB$1,Data!$A$2:$D$12000,4,FALSE)</f>
        <v>0.19900000000000001</v>
      </c>
      <c r="AC1043">
        <f>VLOOKUP($B1043&amp;AC$1,Data!$A$2:$D$12000,4,FALSE)</f>
        <v>3.6999999999999998E-2</v>
      </c>
      <c r="AD1043">
        <f>VLOOKUP($B1043&amp;AD$1,Data!$A$2:$D$12000,4,FALSE)</f>
        <v>1E-3</v>
      </c>
      <c r="AE1043">
        <f>VLOOKUP($B1043&amp;AE$1,Data!$A$2:$D$12000,4,FALSE)</f>
        <v>-1.3440000000000001</v>
      </c>
      <c r="AF1043">
        <f>VLOOKUP($B1043&amp;AF$1,Data!$A$2:$D$12000,4,FALSE)</f>
        <v>6.4000000000000001E-2</v>
      </c>
      <c r="AG1043">
        <f>VLOOKUP($B1043&amp;AG$1,Data!$A$2:$D$12000,4,FALSE)</f>
        <v>-0.17</v>
      </c>
      <c r="AH1043">
        <f>VLOOKUP($B1043&amp;AH$1,Data!$A$2:$D$12000,4,FALSE)</f>
        <v>0</v>
      </c>
      <c r="AI1043">
        <f>VLOOKUP($B1043&amp;AI$1,Data!$A$2:$D$12000,4,FALSE)</f>
        <v>8000000</v>
      </c>
    </row>
    <row r="1044" spans="2:35" hidden="1">
      <c r="B1044" s="24">
        <v>1042</v>
      </c>
      <c r="C1044" s="13" t="s">
        <v>58</v>
      </c>
      <c r="D1044" t="s">
        <v>7</v>
      </c>
      <c r="E1044" t="s">
        <v>22</v>
      </c>
      <c r="F1044">
        <v>10</v>
      </c>
      <c r="G1044" t="s">
        <v>17</v>
      </c>
      <c r="H1044" s="5">
        <v>43831</v>
      </c>
      <c r="I1044" s="5">
        <v>44562</v>
      </c>
      <c r="J1044">
        <v>14</v>
      </c>
      <c r="K1044">
        <v>9</v>
      </c>
      <c r="L1044">
        <v>32</v>
      </c>
      <c r="M1044">
        <v>68</v>
      </c>
      <c r="N1044">
        <v>10000</v>
      </c>
      <c r="O1044">
        <f>VLOOKUP($B1044&amp;O$1,Data!$A$2:$D$12000,4,FALSE)</f>
        <v>0.28619</v>
      </c>
      <c r="P1044">
        <f>VLOOKUP($B1044&amp;P$1,Data!$A$2:$D$12000,4,FALSE)</f>
        <v>0.42399999999999999</v>
      </c>
      <c r="Q1044">
        <f>VLOOKUP($B1044&amp;Q$1,Data!$A$2:$D$12000,4,FALSE)</f>
        <v>690</v>
      </c>
      <c r="R1044">
        <f>VLOOKUP($B1044&amp;R$1,Data!$A$2:$D$12000,4,FALSE)</f>
        <v>1.2999999999999999E-3</v>
      </c>
      <c r="S1044">
        <f>VLOOKUP($B1044&amp;S$1,Data!$A$2:$D$12000,4,FALSE)</f>
        <v>-2.5000000000000001E-3</v>
      </c>
      <c r="T1044">
        <f>VLOOKUP($B1044&amp;T$1,Data!$A$2:$D$12000,4,FALSE)</f>
        <v>1.6299999999999999E-2</v>
      </c>
      <c r="U1044">
        <f>VLOOKUP($B1044&amp;U$1,Data!$A$2:$D$12000,4,FALSE)</f>
        <v>4.3999999999999997E-2</v>
      </c>
      <c r="V1044">
        <f>VLOOKUP($B1044&amp;V$1,Data!$A$2:$D$12000,4,FALSE)</f>
        <v>5.3999999999999999E-2</v>
      </c>
      <c r="W1044">
        <f>VLOOKUP($B1044&amp;W$1,Data!$A$2:$D$12000,4,FALSE)</f>
        <v>1.082E-2</v>
      </c>
      <c r="X1044">
        <f>VLOOKUP($B1044&amp;X$1,Data!$A$2:$D$12000,4,FALSE)</f>
        <v>0.3</v>
      </c>
      <c r="Y1044">
        <f>VLOOKUP($B1044&amp;Y$1,Data!$A$2:$D$12000,4,FALSE)</f>
        <v>0.7</v>
      </c>
      <c r="Z1044">
        <f>VLOOKUP($B1044&amp;Z$1,Data!$A$2:$D$12000,4,FALSE)</f>
        <v>0.51</v>
      </c>
      <c r="AA1044">
        <f>VLOOKUP($B1044&amp;AA$1,Data!$A$2:$D$12000,4,FALSE)</f>
        <v>6.0000000000000001E-3</v>
      </c>
      <c r="AB1044">
        <f>VLOOKUP($B1044&amp;AB$1,Data!$A$2:$D$12000,4,FALSE)</f>
        <v>0.113</v>
      </c>
      <c r="AC1044">
        <f>VLOOKUP($B1044&amp;AC$1,Data!$A$2:$D$12000,4,FALSE)</f>
        <v>2.7E-2</v>
      </c>
      <c r="AD1044">
        <f>VLOOKUP($B1044&amp;AD$1,Data!$A$2:$D$12000,4,FALSE)</f>
        <v>1E-3</v>
      </c>
      <c r="AE1044">
        <f>VLOOKUP($B1044&amp;AE$1,Data!$A$2:$D$12000,4,FALSE)</f>
        <v>-0.61699999999999999</v>
      </c>
      <c r="AF1044">
        <f>VLOOKUP($B1044&amp;AF$1,Data!$A$2:$D$12000,4,FALSE)</f>
        <v>6.5000000000000002E-2</v>
      </c>
      <c r="AG1044">
        <f>VLOOKUP($B1044&amp;AG$1,Data!$A$2:$D$12000,4,FALSE)</f>
        <v>0.10299999999999999</v>
      </c>
      <c r="AH1044">
        <f>VLOOKUP($B1044&amp;AH$1,Data!$A$2:$D$12000,4,FALSE)</f>
        <v>0</v>
      </c>
      <c r="AI1044">
        <f>VLOOKUP($B1044&amp;AI$1,Data!$A$2:$D$12000,4,FALSE)</f>
        <v>9300000</v>
      </c>
    </row>
    <row r="1045" spans="2:35" hidden="1">
      <c r="B1045" s="24">
        <v>1043</v>
      </c>
      <c r="C1045" s="13" t="s">
        <v>58</v>
      </c>
      <c r="D1045" t="s">
        <v>7</v>
      </c>
      <c r="E1045" t="s">
        <v>22</v>
      </c>
      <c r="F1045">
        <v>100</v>
      </c>
      <c r="G1045" t="s">
        <v>17</v>
      </c>
      <c r="H1045" s="5">
        <v>43831</v>
      </c>
      <c r="I1045" s="5">
        <v>44562</v>
      </c>
      <c r="J1045">
        <v>14</v>
      </c>
      <c r="K1045">
        <v>9</v>
      </c>
      <c r="L1045">
        <v>32</v>
      </c>
      <c r="M1045">
        <v>68</v>
      </c>
      <c r="N1045">
        <v>10000</v>
      </c>
      <c r="O1045">
        <f>VLOOKUP($B1045&amp;O$1,Data!$A$2:$D$12000,4,FALSE)</f>
        <v>0.12136</v>
      </c>
      <c r="P1045">
        <f>VLOOKUP($B1045&amp;P$1,Data!$A$2:$D$12000,4,FALSE)</f>
        <v>-0.187</v>
      </c>
      <c r="Q1045">
        <f>VLOOKUP($B1045&amp;Q$1,Data!$A$2:$D$12000,4,FALSE)</f>
        <v>446</v>
      </c>
      <c r="R1045">
        <f>VLOOKUP($B1045&amp;R$1,Data!$A$2:$D$12000,4,FALSE)</f>
        <v>1.9E-3</v>
      </c>
      <c r="S1045">
        <f>VLOOKUP($B1045&amp;S$1,Data!$A$2:$D$12000,4,FALSE)</f>
        <v>-4.1999999999999997E-3</v>
      </c>
      <c r="T1045">
        <f>VLOOKUP($B1045&amp;T$1,Data!$A$2:$D$12000,4,FALSE)</f>
        <v>-1.1679999999999999E-2</v>
      </c>
      <c r="U1045">
        <f>VLOOKUP($B1045&amp;U$1,Data!$A$2:$D$12000,4,FALSE)</f>
        <v>5.0999999999999997E-2</v>
      </c>
      <c r="V1045">
        <f>VLOOKUP($B1045&amp;V$1,Data!$A$2:$D$12000,4,FALSE)</f>
        <v>-3.3000000000000002E-2</v>
      </c>
      <c r="W1045">
        <f>VLOOKUP($B1045&amp;W$1,Data!$A$2:$D$12000,4,FALSE)</f>
        <v>-7.79E-3</v>
      </c>
      <c r="X1045">
        <f>VLOOKUP($B1045&amp;X$1,Data!$A$2:$D$12000,4,FALSE)</f>
        <v>0.33</v>
      </c>
      <c r="Y1045">
        <f>VLOOKUP($B1045&amp;Y$1,Data!$A$2:$D$12000,4,FALSE)</f>
        <v>0.67</v>
      </c>
      <c r="Z1045">
        <f>VLOOKUP($B1045&amp;Z$1,Data!$A$2:$D$12000,4,FALSE)</f>
        <v>0.45</v>
      </c>
      <c r="AA1045">
        <f>VLOOKUP($B1045&amp;AA$1,Data!$A$2:$D$12000,4,FALSE)</f>
        <v>-1.7000000000000001E-2</v>
      </c>
      <c r="AB1045">
        <f>VLOOKUP($B1045&amp;AB$1,Data!$A$2:$D$12000,4,FALSE)</f>
        <v>0.18099999999999999</v>
      </c>
      <c r="AC1045">
        <f>VLOOKUP($B1045&amp;AC$1,Data!$A$2:$D$12000,4,FALSE)</f>
        <v>3.9E-2</v>
      </c>
      <c r="AD1045">
        <f>VLOOKUP($B1045&amp;AD$1,Data!$A$2:$D$12000,4,FALSE)</f>
        <v>2E-3</v>
      </c>
      <c r="AE1045">
        <f>VLOOKUP($B1045&amp;AE$1,Data!$A$2:$D$12000,4,FALSE)</f>
        <v>-0.89100000000000001</v>
      </c>
      <c r="AF1045">
        <f>VLOOKUP($B1045&amp;AF$1,Data!$A$2:$D$12000,4,FALSE)</f>
        <v>6.7000000000000004E-2</v>
      </c>
      <c r="AG1045">
        <f>VLOOKUP($B1045&amp;AG$1,Data!$A$2:$D$12000,4,FALSE)</f>
        <v>-4.1000000000000002E-2</v>
      </c>
      <c r="AH1045">
        <f>VLOOKUP($B1045&amp;AH$1,Data!$A$2:$D$12000,4,FALSE)</f>
        <v>0</v>
      </c>
      <c r="AI1045">
        <f>VLOOKUP($B1045&amp;AI$1,Data!$A$2:$D$12000,4,FALSE)</f>
        <v>8900000</v>
      </c>
    </row>
    <row r="1046" spans="2:35" hidden="1">
      <c r="B1046" s="24">
        <v>1044</v>
      </c>
      <c r="C1046" s="13" t="s">
        <v>58</v>
      </c>
      <c r="D1046" t="s">
        <v>7</v>
      </c>
      <c r="E1046" t="s">
        <v>22</v>
      </c>
      <c r="F1046">
        <v>200</v>
      </c>
      <c r="G1046" t="s">
        <v>17</v>
      </c>
      <c r="H1046" s="5">
        <v>43831</v>
      </c>
      <c r="I1046" s="5">
        <v>44562</v>
      </c>
      <c r="J1046">
        <v>14</v>
      </c>
      <c r="K1046">
        <v>9</v>
      </c>
      <c r="L1046">
        <v>32</v>
      </c>
      <c r="M1046">
        <v>68</v>
      </c>
      <c r="N1046">
        <v>10000</v>
      </c>
      <c r="O1046">
        <f>VLOOKUP($B1046&amp;O$1,Data!$A$2:$D$12000,4,FALSE)</f>
        <v>9.6449999999999994E-2</v>
      </c>
      <c r="P1046">
        <f>VLOOKUP($B1046&amp;P$1,Data!$A$2:$D$12000,4,FALSE)</f>
        <v>-0.308</v>
      </c>
      <c r="Q1046">
        <f>VLOOKUP($B1046&amp;Q$1,Data!$A$2:$D$12000,4,FALSE)</f>
        <v>364</v>
      </c>
      <c r="R1046">
        <f>VLOOKUP($B1046&amp;R$1,Data!$A$2:$D$12000,4,FALSE)</f>
        <v>1.8E-3</v>
      </c>
      <c r="S1046">
        <f>VLOOKUP($B1046&amp;S$1,Data!$A$2:$D$12000,4,FALSE)</f>
        <v>-4.1999999999999997E-3</v>
      </c>
      <c r="T1046">
        <f>VLOOKUP($B1046&amp;T$1,Data!$A$2:$D$12000,4,FALSE)</f>
        <v>-1.6570000000000001E-2</v>
      </c>
      <c r="U1046">
        <f>VLOOKUP($B1046&amp;U$1,Data!$A$2:$D$12000,4,FALSE)</f>
        <v>4.1000000000000002E-2</v>
      </c>
      <c r="V1046">
        <f>VLOOKUP($B1046&amp;V$1,Data!$A$2:$D$12000,4,FALSE)</f>
        <v>-4.2000000000000003E-2</v>
      </c>
      <c r="W1046">
        <f>VLOOKUP($B1046&amp;W$1,Data!$A$2:$D$12000,4,FALSE)</f>
        <v>-1.106E-2</v>
      </c>
      <c r="X1046">
        <f>VLOOKUP($B1046&amp;X$1,Data!$A$2:$D$12000,4,FALSE)</f>
        <v>0.33</v>
      </c>
      <c r="Y1046">
        <f>VLOOKUP($B1046&amp;Y$1,Data!$A$2:$D$12000,4,FALSE)</f>
        <v>0.67</v>
      </c>
      <c r="Z1046">
        <f>VLOOKUP($B1046&amp;Z$1,Data!$A$2:$D$12000,4,FALSE)</f>
        <v>0.44</v>
      </c>
      <c r="AA1046">
        <f>VLOOKUP($B1046&amp;AA$1,Data!$A$2:$D$12000,4,FALSE)</f>
        <v>-1.9E-2</v>
      </c>
      <c r="AB1046">
        <f>VLOOKUP($B1046&amp;AB$1,Data!$A$2:$D$12000,4,FALSE)</f>
        <v>0.161</v>
      </c>
      <c r="AC1046">
        <f>VLOOKUP($B1046&amp;AC$1,Data!$A$2:$D$12000,4,FALSE)</f>
        <v>3.5000000000000003E-2</v>
      </c>
      <c r="AD1046">
        <f>VLOOKUP($B1046&amp;AD$1,Data!$A$2:$D$12000,4,FALSE)</f>
        <v>1E-3</v>
      </c>
      <c r="AE1046">
        <f>VLOOKUP($B1046&amp;AE$1,Data!$A$2:$D$12000,4,FALSE)</f>
        <v>-0.95599999999999996</v>
      </c>
      <c r="AF1046">
        <f>VLOOKUP($B1046&amp;AF$1,Data!$A$2:$D$12000,4,FALSE)</f>
        <v>6.6000000000000003E-2</v>
      </c>
      <c r="AG1046">
        <f>VLOOKUP($B1046&amp;AG$1,Data!$A$2:$D$12000,4,FALSE)</f>
        <v>-6.8000000000000005E-2</v>
      </c>
      <c r="AH1046">
        <f>VLOOKUP($B1046&amp;AH$1,Data!$A$2:$D$12000,4,FALSE)</f>
        <v>0</v>
      </c>
      <c r="AI1046">
        <f>VLOOKUP($B1046&amp;AI$1,Data!$A$2:$D$12000,4,FALSE)</f>
        <v>8900000</v>
      </c>
    </row>
    <row r="1047" spans="2:35" hidden="1">
      <c r="B1047">
        <v>1045</v>
      </c>
      <c r="C1047" s="13" t="s">
        <v>58</v>
      </c>
      <c r="D1047" t="s">
        <v>7</v>
      </c>
      <c r="E1047" t="s">
        <v>3</v>
      </c>
      <c r="F1047">
        <v>10</v>
      </c>
      <c r="G1047" t="s">
        <v>17</v>
      </c>
      <c r="H1047" s="5">
        <v>43831</v>
      </c>
      <c r="I1047" s="5">
        <v>44562</v>
      </c>
      <c r="J1047">
        <v>14</v>
      </c>
      <c r="K1047">
        <v>9</v>
      </c>
      <c r="L1047">
        <v>28</v>
      </c>
      <c r="M1047">
        <v>72</v>
      </c>
      <c r="N1047">
        <v>10000</v>
      </c>
      <c r="W1047"/>
    </row>
    <row r="1048" spans="2:35" hidden="1">
      <c r="B1048">
        <v>1046</v>
      </c>
      <c r="C1048" s="13" t="s">
        <v>58</v>
      </c>
      <c r="D1048" t="s">
        <v>7</v>
      </c>
      <c r="E1048" t="s">
        <v>3</v>
      </c>
      <c r="F1048">
        <v>100</v>
      </c>
      <c r="G1048" t="s">
        <v>17</v>
      </c>
      <c r="H1048" s="5">
        <v>43831</v>
      </c>
      <c r="I1048" s="5">
        <v>44562</v>
      </c>
      <c r="J1048">
        <v>14</v>
      </c>
      <c r="K1048">
        <v>9</v>
      </c>
      <c r="L1048">
        <v>28</v>
      </c>
      <c r="M1048">
        <v>72</v>
      </c>
      <c r="N1048">
        <v>10000</v>
      </c>
      <c r="W1048"/>
    </row>
    <row r="1049" spans="2:35" hidden="1">
      <c r="B1049">
        <v>1047</v>
      </c>
      <c r="C1049" s="13" t="s">
        <v>58</v>
      </c>
      <c r="D1049" t="s">
        <v>7</v>
      </c>
      <c r="E1049" t="s">
        <v>3</v>
      </c>
      <c r="F1049">
        <v>200</v>
      </c>
      <c r="G1049" t="s">
        <v>17</v>
      </c>
      <c r="H1049" s="5">
        <v>43831</v>
      </c>
      <c r="I1049" s="5">
        <v>44562</v>
      </c>
      <c r="J1049">
        <v>14</v>
      </c>
      <c r="K1049">
        <v>9</v>
      </c>
      <c r="L1049">
        <v>28</v>
      </c>
      <c r="M1049">
        <v>72</v>
      </c>
      <c r="N1049">
        <v>10000</v>
      </c>
      <c r="W1049"/>
    </row>
    <row r="1050" spans="2:35" hidden="1">
      <c r="B1050">
        <v>1048</v>
      </c>
      <c r="C1050" s="13" t="s">
        <v>58</v>
      </c>
      <c r="D1050" t="s">
        <v>7</v>
      </c>
      <c r="E1050" t="s">
        <v>2</v>
      </c>
      <c r="F1050">
        <v>10</v>
      </c>
      <c r="G1050" t="s">
        <v>17</v>
      </c>
      <c r="H1050" s="5">
        <v>43831</v>
      </c>
      <c r="I1050" s="5">
        <v>44562</v>
      </c>
      <c r="J1050">
        <v>14</v>
      </c>
      <c r="K1050">
        <v>9</v>
      </c>
      <c r="L1050">
        <v>28</v>
      </c>
      <c r="M1050">
        <v>72</v>
      </c>
      <c r="N1050">
        <v>10000</v>
      </c>
      <c r="W1050"/>
    </row>
    <row r="1051" spans="2:35" hidden="1">
      <c r="B1051">
        <v>1049</v>
      </c>
      <c r="C1051" s="13" t="s">
        <v>58</v>
      </c>
      <c r="D1051" t="s">
        <v>7</v>
      </c>
      <c r="E1051" t="s">
        <v>2</v>
      </c>
      <c r="F1051">
        <v>100</v>
      </c>
      <c r="G1051" t="s">
        <v>17</v>
      </c>
      <c r="H1051" s="5">
        <v>43831</v>
      </c>
      <c r="I1051" s="5">
        <v>44562</v>
      </c>
      <c r="J1051">
        <v>14</v>
      </c>
      <c r="K1051">
        <v>9</v>
      </c>
      <c r="L1051">
        <v>28</v>
      </c>
      <c r="M1051">
        <v>72</v>
      </c>
      <c r="N1051">
        <v>10000</v>
      </c>
      <c r="W1051"/>
    </row>
    <row r="1052" spans="2:35" hidden="1">
      <c r="B1052">
        <v>1050</v>
      </c>
      <c r="C1052" s="13" t="s">
        <v>58</v>
      </c>
      <c r="D1052" t="s">
        <v>7</v>
      </c>
      <c r="E1052" t="s">
        <v>2</v>
      </c>
      <c r="F1052">
        <v>200</v>
      </c>
      <c r="G1052" t="s">
        <v>17</v>
      </c>
      <c r="H1052" s="5">
        <v>43831</v>
      </c>
      <c r="I1052" s="5">
        <v>44562</v>
      </c>
      <c r="J1052">
        <v>14</v>
      </c>
      <c r="K1052">
        <v>9</v>
      </c>
      <c r="L1052">
        <v>28</v>
      </c>
      <c r="M1052">
        <v>72</v>
      </c>
      <c r="N1052">
        <v>10000</v>
      </c>
      <c r="W1052"/>
    </row>
    <row r="1053" spans="2:35" hidden="1">
      <c r="B1053">
        <v>1051</v>
      </c>
      <c r="C1053" s="13" t="s">
        <v>58</v>
      </c>
      <c r="D1053" t="s">
        <v>7</v>
      </c>
      <c r="E1053" t="s">
        <v>22</v>
      </c>
      <c r="F1053">
        <v>10</v>
      </c>
      <c r="G1053" t="s">
        <v>17</v>
      </c>
      <c r="H1053" s="5">
        <v>43831</v>
      </c>
      <c r="I1053" s="5">
        <v>44562</v>
      </c>
      <c r="J1053">
        <v>14</v>
      </c>
      <c r="K1053">
        <v>9</v>
      </c>
      <c r="L1053">
        <v>28</v>
      </c>
      <c r="M1053">
        <v>72</v>
      </c>
      <c r="N1053">
        <v>10000</v>
      </c>
      <c r="W1053"/>
    </row>
    <row r="1054" spans="2:35" hidden="1">
      <c r="B1054">
        <v>1052</v>
      </c>
      <c r="C1054" s="13" t="s">
        <v>58</v>
      </c>
      <c r="D1054" t="s">
        <v>7</v>
      </c>
      <c r="E1054" t="s">
        <v>22</v>
      </c>
      <c r="F1054">
        <v>100</v>
      </c>
      <c r="G1054" t="s">
        <v>17</v>
      </c>
      <c r="H1054" s="5">
        <v>43831</v>
      </c>
      <c r="I1054" s="5">
        <v>44562</v>
      </c>
      <c r="J1054">
        <v>14</v>
      </c>
      <c r="K1054">
        <v>9</v>
      </c>
      <c r="L1054">
        <v>28</v>
      </c>
      <c r="M1054">
        <v>72</v>
      </c>
      <c r="N1054">
        <v>10000</v>
      </c>
      <c r="W1054"/>
    </row>
    <row r="1055" spans="2:35" hidden="1">
      <c r="B1055">
        <v>1053</v>
      </c>
      <c r="C1055" s="13" t="s">
        <v>58</v>
      </c>
      <c r="D1055" t="s">
        <v>7</v>
      </c>
      <c r="E1055" t="s">
        <v>22</v>
      </c>
      <c r="F1055">
        <v>200</v>
      </c>
      <c r="G1055" t="s">
        <v>17</v>
      </c>
      <c r="H1055" s="5">
        <v>43831</v>
      </c>
      <c r="I1055" s="5">
        <v>44562</v>
      </c>
      <c r="J1055">
        <v>14</v>
      </c>
      <c r="K1055">
        <v>9</v>
      </c>
      <c r="L1055">
        <v>28</v>
      </c>
      <c r="M1055">
        <v>72</v>
      </c>
      <c r="N1055">
        <v>10000</v>
      </c>
      <c r="W1055"/>
    </row>
    <row r="1056" spans="2:35" hidden="1">
      <c r="B1056" s="23">
        <v>1054</v>
      </c>
      <c r="C1056" s="13" t="s">
        <v>58</v>
      </c>
      <c r="D1056" t="s">
        <v>19</v>
      </c>
      <c r="E1056" t="s">
        <v>3</v>
      </c>
      <c r="F1056">
        <v>10</v>
      </c>
      <c r="G1056" t="s">
        <v>17</v>
      </c>
      <c r="H1056" s="5">
        <v>43831</v>
      </c>
      <c r="I1056" s="5">
        <v>44562</v>
      </c>
      <c r="J1056">
        <v>14</v>
      </c>
      <c r="K1056">
        <v>9</v>
      </c>
      <c r="L1056">
        <v>30</v>
      </c>
      <c r="M1056">
        <v>70</v>
      </c>
      <c r="N1056">
        <v>10000</v>
      </c>
      <c r="O1056">
        <f>VLOOKUP($B1056&amp;O$1,Data!$A$2:$D$12000,4,FALSE)</f>
        <v>2.9999999999999997E-4</v>
      </c>
      <c r="P1056">
        <f>VLOOKUP($B1056&amp;P$1,Data!$A$2:$D$12000,4,FALSE)</f>
        <v>-2.7080000000000002</v>
      </c>
      <c r="Q1056">
        <f>VLOOKUP($B1056&amp;Q$1,Data!$A$2:$D$12000,4,FALSE)</f>
        <v>1490</v>
      </c>
      <c r="R1056">
        <f>VLOOKUP($B1056&amp;R$1,Data!$A$2:$D$12000,4,FALSE)</f>
        <v>0</v>
      </c>
      <c r="S1056">
        <f>VLOOKUP($B1056&amp;S$1,Data!$A$2:$D$12000,4,FALSE)</f>
        <v>-1E-4</v>
      </c>
      <c r="T1056">
        <f>VLOOKUP($B1056&amp;T$1,Data!$A$2:$D$12000,4,FALSE)</f>
        <v>-2.48E-3</v>
      </c>
      <c r="U1056">
        <f>VLOOKUP($B1056&amp;U$1,Data!$A$2:$D$12000,4,FALSE)</f>
        <v>2E-3</v>
      </c>
      <c r="V1056">
        <f>VLOOKUP($B1056&amp;V$1,Data!$A$2:$D$12000,4,FALSE)</f>
        <v>-0.23200000000000001</v>
      </c>
      <c r="W1056">
        <f>VLOOKUP($B1056&amp;W$1,Data!$A$2:$D$12000,4,FALSE)</f>
        <v>-1.64E-3</v>
      </c>
      <c r="X1056">
        <f>VLOOKUP($B1056&amp;X$1,Data!$A$2:$D$12000,4,FALSE)</f>
        <v>0.35</v>
      </c>
      <c r="Y1056">
        <f>VLOOKUP($B1056&amp;Y$1,Data!$A$2:$D$12000,4,FALSE)</f>
        <v>0.65</v>
      </c>
      <c r="Z1056">
        <f>VLOOKUP($B1056&amp;Z$1,Data!$A$2:$D$12000,4,FALSE)</f>
        <v>0.18</v>
      </c>
      <c r="AA1056">
        <f>VLOOKUP($B1056&amp;AA$1,Data!$A$2:$D$12000,4,FALSE)</f>
        <v>-2E-3</v>
      </c>
      <c r="AB1056">
        <f>VLOOKUP($B1056&amp;AB$1,Data!$A$2:$D$12000,4,FALSE)</f>
        <v>0</v>
      </c>
      <c r="AC1056">
        <f>VLOOKUP($B1056&amp;AC$1,Data!$A$2:$D$12000,4,FALSE)</f>
        <v>1E-3</v>
      </c>
      <c r="AD1056">
        <f>VLOOKUP($B1056&amp;AD$1,Data!$A$2:$D$12000,4,FALSE)</f>
        <v>0</v>
      </c>
      <c r="AE1056">
        <f>VLOOKUP($B1056&amp;AE$1,Data!$A$2:$D$12000,4,FALSE)</f>
        <v>-0.78900000000000003</v>
      </c>
      <c r="AF1056">
        <f>VLOOKUP($B1056&amp;AF$1,Data!$A$2:$D$12000,4,FALSE)</f>
        <v>6.7000000000000004E-2</v>
      </c>
      <c r="AG1056">
        <f>VLOOKUP($B1056&amp;AG$1,Data!$A$2:$D$12000,4,FALSE)</f>
        <v>4.3230000000000004</v>
      </c>
      <c r="AH1056">
        <f>VLOOKUP($B1056&amp;AH$1,Data!$A$2:$D$12000,4,FALSE)</f>
        <v>0</v>
      </c>
      <c r="AI1056">
        <f>VLOOKUP($B1056&amp;AI$1,Data!$A$2:$D$12000,4,FALSE)</f>
        <v>160000000</v>
      </c>
    </row>
    <row r="1057" spans="2:35" hidden="1">
      <c r="B1057" s="23">
        <v>1055</v>
      </c>
      <c r="C1057" s="13" t="s">
        <v>58</v>
      </c>
      <c r="D1057" t="s">
        <v>19</v>
      </c>
      <c r="E1057" t="s">
        <v>3</v>
      </c>
      <c r="F1057">
        <v>100</v>
      </c>
      <c r="G1057" t="s">
        <v>17</v>
      </c>
      <c r="H1057" s="5">
        <v>43831</v>
      </c>
      <c r="I1057" s="5">
        <v>44562</v>
      </c>
      <c r="J1057">
        <v>14</v>
      </c>
      <c r="K1057">
        <v>9</v>
      </c>
      <c r="L1057">
        <v>30</v>
      </c>
      <c r="M1057">
        <v>70</v>
      </c>
      <c r="N1057">
        <v>10000</v>
      </c>
      <c r="O1057">
        <f>VLOOKUP($B1057&amp;O$1,Data!$A$2:$D$12000,4,FALSE)</f>
        <v>3.1E-4</v>
      </c>
      <c r="P1057">
        <f>VLOOKUP($B1057&amp;P$1,Data!$A$2:$D$12000,4,FALSE)</f>
        <v>-2.6840000000000002</v>
      </c>
      <c r="Q1057">
        <f>VLOOKUP($B1057&amp;Q$1,Data!$A$2:$D$12000,4,FALSE)</f>
        <v>1490</v>
      </c>
      <c r="R1057">
        <f>VLOOKUP($B1057&amp;R$1,Data!$A$2:$D$12000,4,FALSE)</f>
        <v>1E-4</v>
      </c>
      <c r="S1057">
        <f>VLOOKUP($B1057&amp;S$1,Data!$A$2:$D$12000,4,FALSE)</f>
        <v>-5.0000000000000001E-4</v>
      </c>
      <c r="T1057">
        <f>VLOOKUP($B1057&amp;T$1,Data!$A$2:$D$12000,4,FALSE)</f>
        <v>-2.4680000000000001E-2</v>
      </c>
      <c r="U1057">
        <f>VLOOKUP($B1057&amp;U$1,Data!$A$2:$D$12000,4,FALSE)</f>
        <v>1.9E-2</v>
      </c>
      <c r="V1057">
        <f>VLOOKUP($B1057&amp;V$1,Data!$A$2:$D$12000,4,FALSE)</f>
        <v>-0.23100000000000001</v>
      </c>
      <c r="W1057">
        <f>VLOOKUP($B1057&amp;W$1,Data!$A$2:$D$12000,4,FALSE)</f>
        <v>-1.643E-2</v>
      </c>
      <c r="X1057">
        <f>VLOOKUP($B1057&amp;X$1,Data!$A$2:$D$12000,4,FALSE)</f>
        <v>0.35</v>
      </c>
      <c r="Y1057">
        <f>VLOOKUP($B1057&amp;Y$1,Data!$A$2:$D$12000,4,FALSE)</f>
        <v>0.65</v>
      </c>
      <c r="Z1057">
        <f>VLOOKUP($B1057&amp;Z$1,Data!$A$2:$D$12000,4,FALSE)</f>
        <v>0.18</v>
      </c>
      <c r="AA1057">
        <f>VLOOKUP($B1057&amp;AA$1,Data!$A$2:$D$12000,4,FALSE)</f>
        <v>-1.7000000000000001E-2</v>
      </c>
      <c r="AB1057">
        <f>VLOOKUP($B1057&amp;AB$1,Data!$A$2:$D$12000,4,FALSE)</f>
        <v>-4.0000000000000001E-3</v>
      </c>
      <c r="AC1057">
        <f>VLOOKUP($B1057&amp;AC$1,Data!$A$2:$D$12000,4,FALSE)</f>
        <v>6.0000000000000001E-3</v>
      </c>
      <c r="AD1057">
        <f>VLOOKUP($B1057&amp;AD$1,Data!$A$2:$D$12000,4,FALSE)</f>
        <v>0</v>
      </c>
      <c r="AE1057">
        <f>VLOOKUP($B1057&amp;AE$1,Data!$A$2:$D$12000,4,FALSE)</f>
        <v>-1.01</v>
      </c>
      <c r="AF1057">
        <f>VLOOKUP($B1057&amp;AF$1,Data!$A$2:$D$12000,4,FALSE)</f>
        <v>6.8000000000000005E-2</v>
      </c>
      <c r="AG1057">
        <f>VLOOKUP($B1057&amp;AG$1,Data!$A$2:$D$12000,4,FALSE)</f>
        <v>4.3879999999999999</v>
      </c>
      <c r="AH1057">
        <f>VLOOKUP($B1057&amp;AH$1,Data!$A$2:$D$12000,4,FALSE)</f>
        <v>0</v>
      </c>
      <c r="AI1057">
        <f>VLOOKUP($B1057&amp;AI$1,Data!$A$2:$D$12000,4,FALSE)</f>
        <v>19000000</v>
      </c>
    </row>
    <row r="1058" spans="2:35" hidden="1">
      <c r="B1058" s="23">
        <v>1056</v>
      </c>
      <c r="C1058" s="13" t="s">
        <v>58</v>
      </c>
      <c r="D1058" t="s">
        <v>19</v>
      </c>
      <c r="E1058" t="s">
        <v>3</v>
      </c>
      <c r="F1058">
        <v>200</v>
      </c>
      <c r="G1058" t="s">
        <v>17</v>
      </c>
      <c r="H1058" s="5">
        <v>43831</v>
      </c>
      <c r="I1058" s="5">
        <v>44562</v>
      </c>
      <c r="J1058">
        <v>14</v>
      </c>
      <c r="K1058">
        <v>9</v>
      </c>
      <c r="L1058">
        <v>30</v>
      </c>
      <c r="M1058">
        <v>70</v>
      </c>
      <c r="N1058">
        <v>10000</v>
      </c>
      <c r="O1058">
        <f>VLOOKUP($B1058&amp;O$1,Data!$A$2:$D$12000,4,FALSE)</f>
        <v>1.07E-3</v>
      </c>
      <c r="P1058">
        <f>VLOOKUP($B1058&amp;P$1,Data!$A$2:$D$12000,4,FALSE)</f>
        <v>-2.4489999999999998</v>
      </c>
      <c r="Q1058">
        <f>VLOOKUP($B1058&amp;Q$1,Data!$A$2:$D$12000,4,FALSE)</f>
        <v>1413</v>
      </c>
      <c r="R1058">
        <f>VLOOKUP($B1058&amp;R$1,Data!$A$2:$D$12000,4,FALSE)</f>
        <v>2.0000000000000001E-4</v>
      </c>
      <c r="S1058">
        <f>VLOOKUP($B1058&amp;S$1,Data!$A$2:$D$12000,4,FALSE)</f>
        <v>-8.0000000000000004E-4</v>
      </c>
      <c r="T1058">
        <f>VLOOKUP($B1058&amp;T$1,Data!$A$2:$D$12000,4,FALSE)</f>
        <v>-4.0410000000000001E-2</v>
      </c>
      <c r="U1058">
        <f>VLOOKUP($B1058&amp;U$1,Data!$A$2:$D$12000,4,FALSE)</f>
        <v>3.1E-2</v>
      </c>
      <c r="V1058">
        <f>VLOOKUP($B1058&amp;V$1,Data!$A$2:$D$12000,4,FALSE)</f>
        <v>-0.22700000000000001</v>
      </c>
      <c r="W1058">
        <f>VLOOKUP($B1058&amp;W$1,Data!$A$2:$D$12000,4,FALSE)</f>
        <v>-2.6980000000000001E-2</v>
      </c>
      <c r="X1058">
        <f>VLOOKUP($B1058&amp;X$1,Data!$A$2:$D$12000,4,FALSE)</f>
        <v>0.36</v>
      </c>
      <c r="Y1058">
        <f>VLOOKUP($B1058&amp;Y$1,Data!$A$2:$D$12000,4,FALSE)</f>
        <v>0.64</v>
      </c>
      <c r="Z1058">
        <f>VLOOKUP($B1058&amp;Z$1,Data!$A$2:$D$12000,4,FALSE)</f>
        <v>0.21</v>
      </c>
      <c r="AA1058">
        <f>VLOOKUP($B1058&amp;AA$1,Data!$A$2:$D$12000,4,FALSE)</f>
        <v>-2.8000000000000001E-2</v>
      </c>
      <c r="AB1058">
        <f>VLOOKUP($B1058&amp;AB$1,Data!$A$2:$D$12000,4,FALSE)</f>
        <v>-4.0000000000000001E-3</v>
      </c>
      <c r="AC1058">
        <f>VLOOKUP($B1058&amp;AC$1,Data!$A$2:$D$12000,4,FALSE)</f>
        <v>1.0999999999999999E-2</v>
      </c>
      <c r="AD1058">
        <f>VLOOKUP($B1058&amp;AD$1,Data!$A$2:$D$12000,4,FALSE)</f>
        <v>0</v>
      </c>
      <c r="AE1058">
        <f>VLOOKUP($B1058&amp;AE$1,Data!$A$2:$D$12000,4,FALSE)</f>
        <v>-1.17</v>
      </c>
      <c r="AF1058">
        <f>VLOOKUP($B1058&amp;AF$1,Data!$A$2:$D$12000,4,FALSE)</f>
        <v>6.9000000000000006E-2</v>
      </c>
      <c r="AG1058">
        <f>VLOOKUP($B1058&amp;AG$1,Data!$A$2:$D$12000,4,FALSE)</f>
        <v>7.2789999999999999</v>
      </c>
      <c r="AH1058">
        <f>VLOOKUP($B1058&amp;AH$1,Data!$A$2:$D$12000,4,FALSE)</f>
        <v>0</v>
      </c>
      <c r="AI1058">
        <f>VLOOKUP($B1058&amp;AI$1,Data!$A$2:$D$12000,4,FALSE)</f>
        <v>11000000</v>
      </c>
    </row>
    <row r="1059" spans="2:35" hidden="1">
      <c r="B1059" s="23">
        <v>1057</v>
      </c>
      <c r="C1059" s="13" t="s">
        <v>58</v>
      </c>
      <c r="D1059" t="s">
        <v>19</v>
      </c>
      <c r="E1059" t="s">
        <v>2</v>
      </c>
      <c r="F1059">
        <v>10</v>
      </c>
      <c r="G1059" t="s">
        <v>17</v>
      </c>
      <c r="H1059" s="5">
        <v>43831</v>
      </c>
      <c r="I1059" s="5">
        <v>44562</v>
      </c>
      <c r="J1059">
        <v>14</v>
      </c>
      <c r="K1059">
        <v>9</v>
      </c>
      <c r="L1059">
        <v>30</v>
      </c>
      <c r="M1059">
        <v>70</v>
      </c>
      <c r="N1059">
        <v>10000</v>
      </c>
      <c r="O1059">
        <f>VLOOKUP($B1059&amp;O$1,Data!$A$2:$D$12000,4,FALSE)</f>
        <v>0.20669000000000001</v>
      </c>
      <c r="P1059">
        <f>VLOOKUP($B1059&amp;P$1,Data!$A$2:$D$12000,4,FALSE)</f>
        <v>0.16500000000000001</v>
      </c>
      <c r="Q1059">
        <f>VLOOKUP($B1059&amp;Q$1,Data!$A$2:$D$12000,4,FALSE)</f>
        <v>1144</v>
      </c>
      <c r="R1059">
        <f>VLOOKUP($B1059&amp;R$1,Data!$A$2:$D$12000,4,FALSE)</f>
        <v>0</v>
      </c>
      <c r="S1059">
        <f>VLOOKUP($B1059&amp;S$1,Data!$A$2:$D$12000,4,FALSE)</f>
        <v>0</v>
      </c>
      <c r="T1059">
        <f>VLOOKUP($B1059&amp;T$1,Data!$A$2:$D$12000,4,FALSE)</f>
        <v>1.8000000000000001E-4</v>
      </c>
      <c r="U1059">
        <f>VLOOKUP($B1059&amp;U$1,Data!$A$2:$D$12000,4,FALSE)</f>
        <v>1E-3</v>
      </c>
      <c r="V1059">
        <f>VLOOKUP($B1059&amp;V$1,Data!$A$2:$D$12000,4,FALSE)</f>
        <v>0.02</v>
      </c>
      <c r="W1059">
        <f>VLOOKUP($B1059&amp;W$1,Data!$A$2:$D$12000,4,FALSE)</f>
        <v>1.2E-4</v>
      </c>
      <c r="X1059">
        <f>VLOOKUP($B1059&amp;X$1,Data!$A$2:$D$12000,4,FALSE)</f>
        <v>0.33</v>
      </c>
      <c r="Y1059">
        <f>VLOOKUP($B1059&amp;Y$1,Data!$A$2:$D$12000,4,FALSE)</f>
        <v>0.67</v>
      </c>
      <c r="Z1059">
        <f>VLOOKUP($B1059&amp;Z$1,Data!$A$2:$D$12000,4,FALSE)</f>
        <v>0.52</v>
      </c>
      <c r="AA1059">
        <f>VLOOKUP($B1059&amp;AA$1,Data!$A$2:$D$12000,4,FALSE)</f>
        <v>0</v>
      </c>
      <c r="AB1059">
        <f>VLOOKUP($B1059&amp;AB$1,Data!$A$2:$D$12000,4,FALSE)</f>
        <v>-2E-3</v>
      </c>
      <c r="AC1059">
        <f>VLOOKUP($B1059&amp;AC$1,Data!$A$2:$D$12000,4,FALSE)</f>
        <v>1E-3</v>
      </c>
      <c r="AD1059">
        <f>VLOOKUP($B1059&amp;AD$1,Data!$A$2:$D$12000,4,FALSE)</f>
        <v>0</v>
      </c>
      <c r="AE1059">
        <f>VLOOKUP($B1059&amp;AE$1,Data!$A$2:$D$12000,4,FALSE)</f>
        <v>-0.76100000000000001</v>
      </c>
      <c r="AF1059">
        <f>VLOOKUP($B1059&amp;AF$1,Data!$A$2:$D$12000,4,FALSE)</f>
        <v>6.8000000000000005E-2</v>
      </c>
      <c r="AG1059">
        <f>VLOOKUP($B1059&amp;AG$1,Data!$A$2:$D$12000,4,FALSE)</f>
        <v>-0.06</v>
      </c>
      <c r="AH1059">
        <f>VLOOKUP($B1059&amp;AH$1,Data!$A$2:$D$12000,4,FALSE)</f>
        <v>0</v>
      </c>
      <c r="AI1059">
        <f>VLOOKUP($B1059&amp;AI$1,Data!$A$2:$D$12000,4,FALSE)</f>
        <v>1600000000</v>
      </c>
    </row>
    <row r="1060" spans="2:35" hidden="1">
      <c r="B1060" s="23">
        <v>1058</v>
      </c>
      <c r="C1060" s="13" t="s">
        <v>58</v>
      </c>
      <c r="D1060" t="s">
        <v>19</v>
      </c>
      <c r="E1060" t="s">
        <v>2</v>
      </c>
      <c r="F1060">
        <v>100</v>
      </c>
      <c r="G1060" t="s">
        <v>17</v>
      </c>
      <c r="H1060" s="5">
        <v>43831</v>
      </c>
      <c r="I1060" s="5">
        <v>44562</v>
      </c>
      <c r="J1060">
        <v>14</v>
      </c>
      <c r="K1060">
        <v>9</v>
      </c>
      <c r="L1060">
        <v>30</v>
      </c>
      <c r="M1060">
        <v>70</v>
      </c>
      <c r="N1060">
        <v>10000</v>
      </c>
      <c r="O1060">
        <f>VLOOKUP($B1060&amp;O$1,Data!$A$2:$D$12000,4,FALSE)</f>
        <v>0.2077</v>
      </c>
      <c r="P1060">
        <f>VLOOKUP($B1060&amp;P$1,Data!$A$2:$D$12000,4,FALSE)</f>
        <v>0.16900000000000001</v>
      </c>
      <c r="Q1060">
        <f>VLOOKUP($B1060&amp;Q$1,Data!$A$2:$D$12000,4,FALSE)</f>
        <v>1144</v>
      </c>
      <c r="R1060">
        <f>VLOOKUP($B1060&amp;R$1,Data!$A$2:$D$12000,4,FALSE)</f>
        <v>2.0000000000000001E-4</v>
      </c>
      <c r="S1060">
        <f>VLOOKUP($B1060&amp;S$1,Data!$A$2:$D$12000,4,FALSE)</f>
        <v>-4.0000000000000002E-4</v>
      </c>
      <c r="T1060">
        <f>VLOOKUP($B1060&amp;T$1,Data!$A$2:$D$12000,4,FALSE)</f>
        <v>1.7600000000000001E-3</v>
      </c>
      <c r="U1060">
        <f>VLOOKUP($B1060&amp;U$1,Data!$A$2:$D$12000,4,FALSE)</f>
        <v>8.0000000000000002E-3</v>
      </c>
      <c r="V1060">
        <f>VLOOKUP($B1060&amp;V$1,Data!$A$2:$D$12000,4,FALSE)</f>
        <v>0.02</v>
      </c>
      <c r="W1060">
        <f>VLOOKUP($B1060&amp;W$1,Data!$A$2:$D$12000,4,FALSE)</f>
        <v>1.17E-3</v>
      </c>
      <c r="X1060">
        <f>VLOOKUP($B1060&amp;X$1,Data!$A$2:$D$12000,4,FALSE)</f>
        <v>0.33</v>
      </c>
      <c r="Y1060">
        <f>VLOOKUP($B1060&amp;Y$1,Data!$A$2:$D$12000,4,FALSE)</f>
        <v>0.67</v>
      </c>
      <c r="Z1060">
        <f>VLOOKUP($B1060&amp;Z$1,Data!$A$2:$D$12000,4,FALSE)</f>
        <v>0.52</v>
      </c>
      <c r="AA1060">
        <f>VLOOKUP($B1060&amp;AA$1,Data!$A$2:$D$12000,4,FALSE)</f>
        <v>2E-3</v>
      </c>
      <c r="AB1060">
        <f>VLOOKUP($B1060&amp;AB$1,Data!$A$2:$D$12000,4,FALSE)</f>
        <v>-0.02</v>
      </c>
      <c r="AC1060">
        <f>VLOOKUP($B1060&amp;AC$1,Data!$A$2:$D$12000,4,FALSE)</f>
        <v>7.0000000000000001E-3</v>
      </c>
      <c r="AD1060">
        <f>VLOOKUP($B1060&amp;AD$1,Data!$A$2:$D$12000,4,FALSE)</f>
        <v>0</v>
      </c>
      <c r="AE1060">
        <f>VLOOKUP($B1060&amp;AE$1,Data!$A$2:$D$12000,4,FALSE)</f>
        <v>-0.72699999999999998</v>
      </c>
      <c r="AF1060">
        <f>VLOOKUP($B1060&amp;AF$1,Data!$A$2:$D$12000,4,FALSE)</f>
        <v>6.9000000000000006E-2</v>
      </c>
      <c r="AG1060">
        <f>VLOOKUP($B1060&amp;AG$1,Data!$A$2:$D$12000,4,FALSE)</f>
        <v>-6.2E-2</v>
      </c>
      <c r="AH1060">
        <f>VLOOKUP($B1060&amp;AH$1,Data!$A$2:$D$12000,4,FALSE)</f>
        <v>0</v>
      </c>
      <c r="AI1060">
        <f>VLOOKUP($B1060&amp;AI$1,Data!$A$2:$D$12000,4,FALSE)</f>
        <v>170000000</v>
      </c>
    </row>
    <row r="1061" spans="2:35" hidden="1">
      <c r="B1061" s="23">
        <v>1059</v>
      </c>
      <c r="C1061" s="13" t="s">
        <v>58</v>
      </c>
      <c r="D1061" t="s">
        <v>19</v>
      </c>
      <c r="E1061" t="s">
        <v>2</v>
      </c>
      <c r="F1061">
        <v>200</v>
      </c>
      <c r="G1061" t="s">
        <v>17</v>
      </c>
      <c r="H1061" s="5">
        <v>43831</v>
      </c>
      <c r="I1061" s="5">
        <v>44562</v>
      </c>
      <c r="J1061">
        <v>14</v>
      </c>
      <c r="K1061">
        <v>9</v>
      </c>
      <c r="L1061">
        <v>30</v>
      </c>
      <c r="M1061">
        <v>70</v>
      </c>
      <c r="N1061">
        <v>10000</v>
      </c>
      <c r="O1061">
        <f>VLOOKUP($B1061&amp;O$1,Data!$A$2:$D$12000,4,FALSE)</f>
        <v>0.28227999999999998</v>
      </c>
      <c r="P1061">
        <f>VLOOKUP($B1061&amp;P$1,Data!$A$2:$D$12000,4,FALSE)</f>
        <v>0.41599999999999998</v>
      </c>
      <c r="Q1061">
        <f>VLOOKUP($B1061&amp;Q$1,Data!$A$2:$D$12000,4,FALSE)</f>
        <v>1101</v>
      </c>
      <c r="R1061">
        <f>VLOOKUP($B1061&amp;R$1,Data!$A$2:$D$12000,4,FALSE)</f>
        <v>4.0000000000000002E-4</v>
      </c>
      <c r="S1061">
        <f>VLOOKUP($B1061&amp;S$1,Data!$A$2:$D$12000,4,FALSE)</f>
        <v>-6.9999999999999999E-4</v>
      </c>
      <c r="T1061">
        <f>VLOOKUP($B1061&amp;T$1,Data!$A$2:$D$12000,4,FALSE)</f>
        <v>7.77E-3</v>
      </c>
      <c r="U1061">
        <f>VLOOKUP($B1061&amp;U$1,Data!$A$2:$D$12000,4,FALSE)</f>
        <v>1.2999999999999999E-2</v>
      </c>
      <c r="V1061">
        <f>VLOOKUP($B1061&amp;V$1,Data!$A$2:$D$12000,4,FALSE)</f>
        <v>5.6000000000000001E-2</v>
      </c>
      <c r="W1061">
        <f>VLOOKUP($B1061&amp;W$1,Data!$A$2:$D$12000,4,FALSE)</f>
        <v>5.1500000000000001E-3</v>
      </c>
      <c r="X1061">
        <f>VLOOKUP($B1061&amp;X$1,Data!$A$2:$D$12000,4,FALSE)</f>
        <v>0.32</v>
      </c>
      <c r="Y1061">
        <f>VLOOKUP($B1061&amp;Y$1,Data!$A$2:$D$12000,4,FALSE)</f>
        <v>0.68</v>
      </c>
      <c r="Z1061">
        <f>VLOOKUP($B1061&amp;Z$1,Data!$A$2:$D$12000,4,FALSE)</f>
        <v>0.56000000000000005</v>
      </c>
      <c r="AA1061">
        <f>VLOOKUP($B1061&amp;AA$1,Data!$A$2:$D$12000,4,FALSE)</f>
        <v>7.0000000000000001E-3</v>
      </c>
      <c r="AB1061">
        <f>VLOOKUP($B1061&amp;AB$1,Data!$A$2:$D$12000,4,FALSE)</f>
        <v>-3.5000000000000003E-2</v>
      </c>
      <c r="AC1061">
        <f>VLOOKUP($B1061&amp;AC$1,Data!$A$2:$D$12000,4,FALSE)</f>
        <v>1.2999999999999999E-2</v>
      </c>
      <c r="AD1061">
        <f>VLOOKUP($B1061&amp;AD$1,Data!$A$2:$D$12000,4,FALSE)</f>
        <v>0</v>
      </c>
      <c r="AE1061">
        <f>VLOOKUP($B1061&amp;AE$1,Data!$A$2:$D$12000,4,FALSE)</f>
        <v>-0.65800000000000003</v>
      </c>
      <c r="AF1061">
        <f>VLOOKUP($B1061&amp;AF$1,Data!$A$2:$D$12000,4,FALSE)</f>
        <v>7.0999999999999994E-2</v>
      </c>
      <c r="AG1061">
        <f>VLOOKUP($B1061&amp;AG$1,Data!$A$2:$D$12000,4,FALSE)</f>
        <v>-0.156</v>
      </c>
      <c r="AH1061">
        <f>VLOOKUP($B1061&amp;AH$1,Data!$A$2:$D$12000,4,FALSE)</f>
        <v>0</v>
      </c>
      <c r="AI1061">
        <f>VLOOKUP($B1061&amp;AI$1,Data!$A$2:$D$12000,4,FALSE)</f>
        <v>84000000</v>
      </c>
    </row>
    <row r="1062" spans="2:35" hidden="1">
      <c r="B1062" s="23">
        <v>1060</v>
      </c>
      <c r="C1062" s="13" t="s">
        <v>58</v>
      </c>
      <c r="D1062" t="s">
        <v>19</v>
      </c>
      <c r="E1062" t="s">
        <v>22</v>
      </c>
      <c r="F1062">
        <v>10</v>
      </c>
      <c r="G1062" t="s">
        <v>17</v>
      </c>
      <c r="H1062" s="5">
        <v>43831</v>
      </c>
      <c r="I1062" s="5">
        <v>44562</v>
      </c>
      <c r="J1062">
        <v>14</v>
      </c>
      <c r="K1062">
        <v>9</v>
      </c>
      <c r="L1062">
        <v>30</v>
      </c>
      <c r="M1062">
        <v>70</v>
      </c>
      <c r="N1062">
        <v>10000</v>
      </c>
      <c r="O1062">
        <f>VLOOKUP($B1062&amp;O$1,Data!$A$2:$D$12000,4,FALSE)</f>
        <v>0.63532</v>
      </c>
      <c r="P1062">
        <f>VLOOKUP($B1062&amp;P$1,Data!$A$2:$D$12000,4,FALSE)</f>
        <v>1.3360000000000001</v>
      </c>
      <c r="Q1062">
        <f>VLOOKUP($B1062&amp;Q$1,Data!$A$2:$D$12000,4,FALSE)</f>
        <v>830</v>
      </c>
      <c r="R1062">
        <f>VLOOKUP($B1062&amp;R$1,Data!$A$2:$D$12000,4,FALSE)</f>
        <v>0</v>
      </c>
      <c r="S1062">
        <f>VLOOKUP($B1062&amp;S$1,Data!$A$2:$D$12000,4,FALSE)</f>
        <v>0</v>
      </c>
      <c r="T1062">
        <f>VLOOKUP($B1062&amp;T$1,Data!$A$2:$D$12000,4,FALSE)</f>
        <v>1.89E-3</v>
      </c>
      <c r="U1062">
        <f>VLOOKUP($B1062&amp;U$1,Data!$A$2:$D$12000,4,FALSE)</f>
        <v>0</v>
      </c>
      <c r="V1062">
        <f>VLOOKUP($B1062&amp;V$1,Data!$A$2:$D$12000,4,FALSE)</f>
        <v>0.32400000000000001</v>
      </c>
      <c r="W1062">
        <f>VLOOKUP($B1062&amp;W$1,Data!$A$2:$D$12000,4,FALSE)</f>
        <v>1.25E-3</v>
      </c>
      <c r="X1062">
        <f>VLOOKUP($B1062&amp;X$1,Data!$A$2:$D$12000,4,FALSE)</f>
        <v>0.24</v>
      </c>
      <c r="Y1062">
        <f>VLOOKUP($B1062&amp;Y$1,Data!$A$2:$D$12000,4,FALSE)</f>
        <v>0.76</v>
      </c>
      <c r="Z1062">
        <f>VLOOKUP($B1062&amp;Z$1,Data!$A$2:$D$12000,4,FALSE)</f>
        <v>0.73</v>
      </c>
      <c r="AA1062">
        <f>VLOOKUP($B1062&amp;AA$1,Data!$A$2:$D$12000,4,FALSE)</f>
        <v>1E-3</v>
      </c>
      <c r="AB1062">
        <f>VLOOKUP($B1062&amp;AB$1,Data!$A$2:$D$12000,4,FALSE)</f>
        <v>-1E-3</v>
      </c>
      <c r="AC1062">
        <f>VLOOKUP($B1062&amp;AC$1,Data!$A$2:$D$12000,4,FALSE)</f>
        <v>1E-3</v>
      </c>
      <c r="AD1062">
        <f>VLOOKUP($B1062&amp;AD$1,Data!$A$2:$D$12000,4,FALSE)</f>
        <v>0</v>
      </c>
      <c r="AE1062">
        <f>VLOOKUP($B1062&amp;AE$1,Data!$A$2:$D$12000,4,FALSE)</f>
        <v>-0.753</v>
      </c>
      <c r="AF1062">
        <f>VLOOKUP($B1062&amp;AF$1,Data!$A$2:$D$12000,4,FALSE)</f>
        <v>6.7000000000000004E-2</v>
      </c>
      <c r="AG1062">
        <f>VLOOKUP($B1062&amp;AG$1,Data!$A$2:$D$12000,4,FALSE)</f>
        <v>-1.161</v>
      </c>
      <c r="AH1062">
        <f>VLOOKUP($B1062&amp;AH$1,Data!$A$2:$D$12000,4,FALSE)</f>
        <v>0</v>
      </c>
      <c r="AI1062">
        <f>VLOOKUP($B1062&amp;AI$1,Data!$A$2:$D$12000,4,FALSE)</f>
        <v>390000000</v>
      </c>
    </row>
    <row r="1063" spans="2:35" hidden="1">
      <c r="B1063" s="23">
        <v>1061</v>
      </c>
      <c r="C1063" s="13" t="s">
        <v>58</v>
      </c>
      <c r="D1063" t="s">
        <v>19</v>
      </c>
      <c r="E1063" t="s">
        <v>22</v>
      </c>
      <c r="F1063">
        <v>100</v>
      </c>
      <c r="G1063" t="s">
        <v>17</v>
      </c>
      <c r="H1063" s="5">
        <v>43831</v>
      </c>
      <c r="I1063" s="5">
        <v>44562</v>
      </c>
      <c r="J1063">
        <v>14</v>
      </c>
      <c r="K1063">
        <v>9</v>
      </c>
      <c r="L1063">
        <v>30</v>
      </c>
      <c r="M1063">
        <v>70</v>
      </c>
      <c r="N1063">
        <v>10000</v>
      </c>
      <c r="O1063">
        <f>VLOOKUP($B1063&amp;O$1,Data!$A$2:$D$12000,4,FALSE)</f>
        <v>0.63544</v>
      </c>
      <c r="P1063">
        <f>VLOOKUP($B1063&amp;P$1,Data!$A$2:$D$12000,4,FALSE)</f>
        <v>1.3440000000000001</v>
      </c>
      <c r="Q1063">
        <f>VLOOKUP($B1063&amp;Q$1,Data!$A$2:$D$12000,4,FALSE)</f>
        <v>830</v>
      </c>
      <c r="R1063">
        <f>VLOOKUP($B1063&amp;R$1,Data!$A$2:$D$12000,4,FALSE)</f>
        <v>2.9999999999999997E-4</v>
      </c>
      <c r="S1063">
        <f>VLOOKUP($B1063&amp;S$1,Data!$A$2:$D$12000,4,FALSE)</f>
        <v>-4.0000000000000002E-4</v>
      </c>
      <c r="T1063">
        <f>VLOOKUP($B1063&amp;T$1,Data!$A$2:$D$12000,4,FALSE)</f>
        <v>1.8970000000000001E-2</v>
      </c>
      <c r="U1063">
        <f>VLOOKUP($B1063&amp;U$1,Data!$A$2:$D$12000,4,FALSE)</f>
        <v>5.0000000000000001E-3</v>
      </c>
      <c r="V1063">
        <f>VLOOKUP($B1063&amp;V$1,Data!$A$2:$D$12000,4,FALSE)</f>
        <v>0.32500000000000001</v>
      </c>
      <c r="W1063">
        <f>VLOOKUP($B1063&amp;W$1,Data!$A$2:$D$12000,4,FALSE)</f>
        <v>1.2529999999999999E-2</v>
      </c>
      <c r="X1063">
        <f>VLOOKUP($B1063&amp;X$1,Data!$A$2:$D$12000,4,FALSE)</f>
        <v>0.24</v>
      </c>
      <c r="Y1063">
        <f>VLOOKUP($B1063&amp;Y$1,Data!$A$2:$D$12000,4,FALSE)</f>
        <v>0.76</v>
      </c>
      <c r="Z1063">
        <f>VLOOKUP($B1063&amp;Z$1,Data!$A$2:$D$12000,4,FALSE)</f>
        <v>0.73</v>
      </c>
      <c r="AA1063">
        <f>VLOOKUP($B1063&amp;AA$1,Data!$A$2:$D$12000,4,FALSE)</f>
        <v>1.4E-2</v>
      </c>
      <c r="AB1063">
        <f>VLOOKUP($B1063&amp;AB$1,Data!$A$2:$D$12000,4,FALSE)</f>
        <v>-1.0999999999999999E-2</v>
      </c>
      <c r="AC1063">
        <f>VLOOKUP($B1063&amp;AC$1,Data!$A$2:$D$12000,4,FALSE)</f>
        <v>0.01</v>
      </c>
      <c r="AD1063">
        <f>VLOOKUP($B1063&amp;AD$1,Data!$A$2:$D$12000,4,FALSE)</f>
        <v>0</v>
      </c>
      <c r="AE1063">
        <f>VLOOKUP($B1063&amp;AE$1,Data!$A$2:$D$12000,4,FALSE)</f>
        <v>-0.55700000000000005</v>
      </c>
      <c r="AF1063">
        <f>VLOOKUP($B1063&amp;AF$1,Data!$A$2:$D$12000,4,FALSE)</f>
        <v>6.9000000000000006E-2</v>
      </c>
      <c r="AG1063">
        <f>VLOOKUP($B1063&amp;AG$1,Data!$A$2:$D$12000,4,FALSE)</f>
        <v>-1.161</v>
      </c>
      <c r="AH1063">
        <f>VLOOKUP($B1063&amp;AH$1,Data!$A$2:$D$12000,4,FALSE)</f>
        <v>0</v>
      </c>
      <c r="AI1063">
        <f>VLOOKUP($B1063&amp;AI$1,Data!$A$2:$D$12000,4,FALSE)</f>
        <v>43000000</v>
      </c>
    </row>
    <row r="1064" spans="2:35" hidden="1">
      <c r="B1064" s="23">
        <v>1062</v>
      </c>
      <c r="C1064" s="13" t="s">
        <v>58</v>
      </c>
      <c r="D1064" t="s">
        <v>19</v>
      </c>
      <c r="E1064" t="s">
        <v>22</v>
      </c>
      <c r="F1064">
        <v>200</v>
      </c>
      <c r="G1064" t="s">
        <v>17</v>
      </c>
      <c r="H1064" s="5">
        <v>43831</v>
      </c>
      <c r="I1064" s="5">
        <v>44562</v>
      </c>
      <c r="J1064">
        <v>14</v>
      </c>
      <c r="K1064">
        <v>9</v>
      </c>
      <c r="L1064">
        <v>30</v>
      </c>
      <c r="M1064">
        <v>70</v>
      </c>
      <c r="N1064">
        <v>10000</v>
      </c>
      <c r="O1064">
        <f>VLOOKUP($B1064&amp;O$1,Data!$A$2:$D$12000,4,FALSE)</f>
        <v>0.14380000000000001</v>
      </c>
      <c r="P1064">
        <f>VLOOKUP($B1064&amp;P$1,Data!$A$2:$D$12000,4,FALSE)</f>
        <v>-8.4000000000000005E-2</v>
      </c>
      <c r="Q1064">
        <f>VLOOKUP($B1064&amp;Q$1,Data!$A$2:$D$12000,4,FALSE)</f>
        <v>389</v>
      </c>
      <c r="R1064">
        <f>VLOOKUP($B1064&amp;R$1,Data!$A$2:$D$12000,4,FALSE)</f>
        <v>8.9999999999999998E-4</v>
      </c>
      <c r="S1064">
        <f>VLOOKUP($B1064&amp;S$1,Data!$A$2:$D$12000,4,FALSE)</f>
        <v>-2.7000000000000001E-3</v>
      </c>
      <c r="T1064">
        <f>VLOOKUP($B1064&amp;T$1,Data!$A$2:$D$12000,4,FALSE)</f>
        <v>-3.3600000000000001E-3</v>
      </c>
      <c r="U1064">
        <f>VLOOKUP($B1064&amp;U$1,Data!$A$2:$D$12000,4,FALSE)</f>
        <v>3.2000000000000001E-2</v>
      </c>
      <c r="V1064">
        <f>VLOOKUP($B1064&amp;V$1,Data!$A$2:$D$12000,4,FALSE)</f>
        <v>-0.01</v>
      </c>
      <c r="W1064">
        <f>VLOOKUP($B1064&amp;W$1,Data!$A$2:$D$12000,4,FALSE)</f>
        <v>-2.2599999999999999E-3</v>
      </c>
      <c r="X1064">
        <f>VLOOKUP($B1064&amp;X$1,Data!$A$2:$D$12000,4,FALSE)</f>
        <v>0.26</v>
      </c>
      <c r="Y1064">
        <f>VLOOKUP($B1064&amp;Y$1,Data!$A$2:$D$12000,4,FALSE)</f>
        <v>0.74</v>
      </c>
      <c r="Z1064">
        <f>VLOOKUP($B1064&amp;Z$1,Data!$A$2:$D$12000,4,FALSE)</f>
        <v>0.34</v>
      </c>
      <c r="AA1064">
        <f>VLOOKUP($B1064&amp;AA$1,Data!$A$2:$D$12000,4,FALSE)</f>
        <v>3.0000000000000001E-3</v>
      </c>
      <c r="AB1064">
        <f>VLOOKUP($B1064&amp;AB$1,Data!$A$2:$D$12000,4,FALSE)</f>
        <v>-9.6000000000000002E-2</v>
      </c>
      <c r="AC1064">
        <f>VLOOKUP($B1064&amp;AC$1,Data!$A$2:$D$12000,4,FALSE)</f>
        <v>2.4E-2</v>
      </c>
      <c r="AD1064">
        <f>VLOOKUP($B1064&amp;AD$1,Data!$A$2:$D$12000,4,FALSE)</f>
        <v>1E-3</v>
      </c>
      <c r="AE1064">
        <f>VLOOKUP($B1064&amp;AE$1,Data!$A$2:$D$12000,4,FALSE)</f>
        <v>-0.67300000000000004</v>
      </c>
      <c r="AF1064">
        <f>VLOOKUP($B1064&amp;AF$1,Data!$A$2:$D$12000,4,FALSE)</f>
        <v>7.6999999999999999E-2</v>
      </c>
      <c r="AG1064">
        <f>VLOOKUP($B1064&amp;AG$1,Data!$A$2:$D$12000,4,FALSE)</f>
        <v>2.1000000000000001E-2</v>
      </c>
      <c r="AH1064">
        <f>VLOOKUP($B1064&amp;AH$1,Data!$A$2:$D$12000,4,FALSE)</f>
        <v>0</v>
      </c>
      <c r="AI1064">
        <f>VLOOKUP($B1064&amp;AI$1,Data!$A$2:$D$12000,4,FALSE)</f>
        <v>100000000</v>
      </c>
    </row>
    <row r="1065" spans="2:35" hidden="1">
      <c r="B1065" s="24">
        <v>1063</v>
      </c>
      <c r="C1065" s="13" t="s">
        <v>58</v>
      </c>
      <c r="D1065" t="s">
        <v>19</v>
      </c>
      <c r="E1065" t="s">
        <v>3</v>
      </c>
      <c r="F1065">
        <v>10</v>
      </c>
      <c r="G1065" t="s">
        <v>17</v>
      </c>
      <c r="H1065" s="5">
        <v>43831</v>
      </c>
      <c r="I1065" s="5">
        <v>44562</v>
      </c>
      <c r="J1065">
        <v>14</v>
      </c>
      <c r="K1065">
        <v>9</v>
      </c>
      <c r="L1065">
        <v>32</v>
      </c>
      <c r="M1065">
        <v>68</v>
      </c>
      <c r="N1065">
        <v>10000</v>
      </c>
      <c r="O1065">
        <f>VLOOKUP($B1065&amp;O$1,Data!$A$2:$D$12000,4,FALSE)</f>
        <v>1.33E-3</v>
      </c>
      <c r="P1065">
        <f>VLOOKUP($B1065&amp;P$1,Data!$A$2:$D$12000,4,FALSE)</f>
        <v>-1.9370000000000001</v>
      </c>
      <c r="Q1065">
        <f>VLOOKUP($B1065&amp;Q$1,Data!$A$2:$D$12000,4,FALSE)</f>
        <v>1527</v>
      </c>
      <c r="R1065">
        <f>VLOOKUP($B1065&amp;R$1,Data!$A$2:$D$12000,4,FALSE)</f>
        <v>4.0000000000000002E-4</v>
      </c>
      <c r="S1065">
        <f>VLOOKUP($B1065&amp;S$1,Data!$A$2:$D$12000,4,FALSE)</f>
        <v>-1.2999999999999999E-3</v>
      </c>
      <c r="T1065">
        <f>VLOOKUP($B1065&amp;T$1,Data!$A$2:$D$12000,4,FALSE)</f>
        <v>-5.1979999999999998E-2</v>
      </c>
      <c r="U1065">
        <f>VLOOKUP($B1065&amp;U$1,Data!$A$2:$D$12000,4,FALSE)</f>
        <v>4.5999999999999999E-2</v>
      </c>
      <c r="V1065">
        <f>VLOOKUP($B1065&amp;V$1,Data!$A$2:$D$12000,4,FALSE)</f>
        <v>-0.14399999999999999</v>
      </c>
      <c r="W1065">
        <f>VLOOKUP($B1065&amp;W$1,Data!$A$2:$D$12000,4,FALSE)</f>
        <v>-3.4909999999999997E-2</v>
      </c>
      <c r="X1065">
        <f>VLOOKUP($B1065&amp;X$1,Data!$A$2:$D$12000,4,FALSE)</f>
        <v>0.34</v>
      </c>
      <c r="Y1065">
        <f>VLOOKUP($B1065&amp;Y$1,Data!$A$2:$D$12000,4,FALSE)</f>
        <v>0.66</v>
      </c>
      <c r="Z1065">
        <f>VLOOKUP($B1065&amp;Z$1,Data!$A$2:$D$12000,4,FALSE)</f>
        <v>0.3</v>
      </c>
      <c r="AA1065">
        <f>VLOOKUP($B1065&amp;AA$1,Data!$A$2:$D$12000,4,FALSE)</f>
        <v>-3.5000000000000003E-2</v>
      </c>
      <c r="AB1065">
        <f>VLOOKUP($B1065&amp;AB$1,Data!$A$2:$D$12000,4,FALSE)</f>
        <v>-3.1E-2</v>
      </c>
      <c r="AC1065">
        <f>VLOOKUP($B1065&amp;AC$1,Data!$A$2:$D$12000,4,FALSE)</f>
        <v>1.9E-2</v>
      </c>
      <c r="AD1065">
        <f>VLOOKUP($B1065&amp;AD$1,Data!$A$2:$D$12000,4,FALSE)</f>
        <v>0</v>
      </c>
      <c r="AE1065">
        <f>VLOOKUP($B1065&amp;AE$1,Data!$A$2:$D$12000,4,FALSE)</f>
        <v>-1.2270000000000001</v>
      </c>
      <c r="AF1065">
        <f>VLOOKUP($B1065&amp;AF$1,Data!$A$2:$D$12000,4,FALSE)</f>
        <v>7.1999999999999995E-2</v>
      </c>
      <c r="AG1065">
        <f>VLOOKUP($B1065&amp;AG$1,Data!$A$2:$D$12000,4,FALSE)</f>
        <v>1.169</v>
      </c>
      <c r="AH1065">
        <f>VLOOKUP($B1065&amp;AH$1,Data!$A$2:$D$12000,4,FALSE)</f>
        <v>0</v>
      </c>
      <c r="AI1065">
        <f>VLOOKUP($B1065&amp;AI$1,Data!$A$2:$D$12000,4,FALSE)</f>
        <v>3800000</v>
      </c>
    </row>
    <row r="1066" spans="2:35" hidden="1">
      <c r="B1066" s="24">
        <v>1064</v>
      </c>
      <c r="C1066" s="13" t="s">
        <v>58</v>
      </c>
      <c r="D1066" t="s">
        <v>19</v>
      </c>
      <c r="E1066" t="s">
        <v>3</v>
      </c>
      <c r="F1066">
        <v>100</v>
      </c>
      <c r="G1066" t="s">
        <v>17</v>
      </c>
      <c r="H1066" s="5">
        <v>43831</v>
      </c>
      <c r="I1066" s="5">
        <v>44562</v>
      </c>
      <c r="J1066">
        <v>14</v>
      </c>
      <c r="K1066">
        <v>9</v>
      </c>
      <c r="L1066">
        <v>32</v>
      </c>
      <c r="M1066">
        <v>68</v>
      </c>
      <c r="N1066">
        <v>10000</v>
      </c>
      <c r="O1066">
        <f>VLOOKUP($B1066&amp;O$1,Data!$A$2:$D$12000,4,FALSE)</f>
        <v>1.4400000000000001E-3</v>
      </c>
      <c r="P1066">
        <f>VLOOKUP($B1066&amp;P$1,Data!$A$2:$D$12000,4,FALSE)</f>
        <v>-1.8280000000000001</v>
      </c>
      <c r="Q1066">
        <f>VLOOKUP($B1066&amp;Q$1,Data!$A$2:$D$12000,4,FALSE)</f>
        <v>1012</v>
      </c>
      <c r="R1066">
        <f>VLOOKUP($B1066&amp;R$1,Data!$A$2:$D$12000,4,FALSE)</f>
        <v>5.9999999999999995E-4</v>
      </c>
      <c r="S1066">
        <f>VLOOKUP($B1066&amp;S$1,Data!$A$2:$D$12000,4,FALSE)</f>
        <v>-2.2000000000000001E-3</v>
      </c>
      <c r="T1066">
        <f>VLOOKUP($B1066&amp;T$1,Data!$A$2:$D$12000,4,FALSE)</f>
        <v>-7.5600000000000001E-2</v>
      </c>
      <c r="U1066">
        <f>VLOOKUP($B1066&amp;U$1,Data!$A$2:$D$12000,4,FALSE)</f>
        <v>5.3999999999999999E-2</v>
      </c>
      <c r="V1066">
        <f>VLOOKUP($B1066&amp;V$1,Data!$A$2:$D$12000,4,FALSE)</f>
        <v>-0.13900000000000001</v>
      </c>
      <c r="W1066">
        <f>VLOOKUP($B1066&amp;W$1,Data!$A$2:$D$12000,4,FALSE)</f>
        <v>-5.0979999999999998E-2</v>
      </c>
      <c r="X1066">
        <f>VLOOKUP($B1066&amp;X$1,Data!$A$2:$D$12000,4,FALSE)</f>
        <v>0.33</v>
      </c>
      <c r="Y1066">
        <f>VLOOKUP($B1066&amp;Y$1,Data!$A$2:$D$12000,4,FALSE)</f>
        <v>0.67</v>
      </c>
      <c r="Z1066">
        <f>VLOOKUP($B1066&amp;Z$1,Data!$A$2:$D$12000,4,FALSE)</f>
        <v>0.28000000000000003</v>
      </c>
      <c r="AA1066">
        <f>VLOOKUP($B1066&amp;AA$1,Data!$A$2:$D$12000,4,FALSE)</f>
        <v>-4.9000000000000002E-2</v>
      </c>
      <c r="AB1066">
        <f>VLOOKUP($B1066&amp;AB$1,Data!$A$2:$D$12000,4,FALSE)</f>
        <v>-0.08</v>
      </c>
      <c r="AC1066">
        <f>VLOOKUP($B1066&amp;AC$1,Data!$A$2:$D$12000,4,FALSE)</f>
        <v>2.9000000000000001E-2</v>
      </c>
      <c r="AD1066">
        <f>VLOOKUP($B1066&amp;AD$1,Data!$A$2:$D$12000,4,FALSE)</f>
        <v>1E-3</v>
      </c>
      <c r="AE1066">
        <f>VLOOKUP($B1066&amp;AE$1,Data!$A$2:$D$12000,4,FALSE)</f>
        <v>-1.3420000000000001</v>
      </c>
      <c r="AF1066">
        <f>VLOOKUP($B1066&amp;AF$1,Data!$A$2:$D$12000,4,FALSE)</f>
        <v>7.8E-2</v>
      </c>
      <c r="AG1066">
        <f>VLOOKUP($B1066&amp;AG$1,Data!$A$2:$D$12000,4,FALSE)</f>
        <v>0.66100000000000003</v>
      </c>
      <c r="AH1066">
        <f>VLOOKUP($B1066&amp;AH$1,Data!$A$2:$D$12000,4,FALSE)</f>
        <v>0</v>
      </c>
      <c r="AI1066">
        <f>VLOOKUP($B1066&amp;AI$1,Data!$A$2:$D$12000,4,FALSE)</f>
        <v>4000000</v>
      </c>
    </row>
    <row r="1067" spans="2:35" hidden="1">
      <c r="B1067" s="24">
        <v>1065</v>
      </c>
      <c r="C1067" s="13" t="s">
        <v>58</v>
      </c>
      <c r="D1067" t="s">
        <v>19</v>
      </c>
      <c r="E1067" t="s">
        <v>3</v>
      </c>
      <c r="F1067">
        <v>200</v>
      </c>
      <c r="G1067" t="s">
        <v>17</v>
      </c>
      <c r="H1067" s="5">
        <v>43831</v>
      </c>
      <c r="I1067" s="5">
        <v>44562</v>
      </c>
      <c r="J1067">
        <v>14</v>
      </c>
      <c r="K1067">
        <v>9</v>
      </c>
      <c r="L1067">
        <v>32</v>
      </c>
      <c r="M1067">
        <v>68</v>
      </c>
      <c r="N1067">
        <v>10000</v>
      </c>
      <c r="O1067">
        <f>VLOOKUP($B1067&amp;O$1,Data!$A$2:$D$12000,4,FALSE)</f>
        <v>7.28E-3</v>
      </c>
      <c r="P1067">
        <f>VLOOKUP($B1067&amp;P$1,Data!$A$2:$D$12000,4,FALSE)</f>
        <v>-1.3720000000000001</v>
      </c>
      <c r="Q1067">
        <f>VLOOKUP($B1067&amp;Q$1,Data!$A$2:$D$12000,4,FALSE)</f>
        <v>836</v>
      </c>
      <c r="R1067">
        <f>VLOOKUP($B1067&amp;R$1,Data!$A$2:$D$12000,4,FALSE)</f>
        <v>6.9999999999999999E-4</v>
      </c>
      <c r="S1067">
        <f>VLOOKUP($B1067&amp;S$1,Data!$A$2:$D$12000,4,FALSE)</f>
        <v>-2.3E-3</v>
      </c>
      <c r="T1067">
        <f>VLOOKUP($B1067&amp;T$1,Data!$A$2:$D$12000,4,FALSE)</f>
        <v>-5.9080000000000001E-2</v>
      </c>
      <c r="U1067">
        <f>VLOOKUP($B1067&amp;U$1,Data!$A$2:$D$12000,4,FALSE)</f>
        <v>4.4999999999999998E-2</v>
      </c>
      <c r="V1067">
        <f>VLOOKUP($B1067&amp;V$1,Data!$A$2:$D$12000,4,FALSE)</f>
        <v>-0.109</v>
      </c>
      <c r="W1067">
        <f>VLOOKUP($B1067&amp;W$1,Data!$A$2:$D$12000,4,FALSE)</f>
        <v>-3.9719999999999998E-2</v>
      </c>
      <c r="X1067">
        <f>VLOOKUP($B1067&amp;X$1,Data!$A$2:$D$12000,4,FALSE)</f>
        <v>0.31</v>
      </c>
      <c r="Y1067">
        <f>VLOOKUP($B1067&amp;Y$1,Data!$A$2:$D$12000,4,FALSE)</f>
        <v>0.69</v>
      </c>
      <c r="Z1067">
        <f>VLOOKUP($B1067&amp;Z$1,Data!$A$2:$D$12000,4,FALSE)</f>
        <v>0.28999999999999998</v>
      </c>
      <c r="AA1067">
        <f>VLOOKUP($B1067&amp;AA$1,Data!$A$2:$D$12000,4,FALSE)</f>
        <v>-3.5999999999999997E-2</v>
      </c>
      <c r="AB1067">
        <f>VLOOKUP($B1067&amp;AB$1,Data!$A$2:$D$12000,4,FALSE)</f>
        <v>-0.1</v>
      </c>
      <c r="AC1067">
        <f>VLOOKUP($B1067&amp;AC$1,Data!$A$2:$D$12000,4,FALSE)</f>
        <v>0.03</v>
      </c>
      <c r="AD1067">
        <f>VLOOKUP($B1067&amp;AD$1,Data!$A$2:$D$12000,4,FALSE)</f>
        <v>1E-3</v>
      </c>
      <c r="AE1067">
        <f>VLOOKUP($B1067&amp;AE$1,Data!$A$2:$D$12000,4,FALSE)</f>
        <v>-1.1679999999999999</v>
      </c>
      <c r="AF1067">
        <f>VLOOKUP($B1067&amp;AF$1,Data!$A$2:$D$12000,4,FALSE)</f>
        <v>7.9000000000000001E-2</v>
      </c>
      <c r="AG1067">
        <f>VLOOKUP($B1067&amp;AG$1,Data!$A$2:$D$12000,4,FALSE)</f>
        <v>0.40899999999999997</v>
      </c>
      <c r="AH1067">
        <f>VLOOKUP($B1067&amp;AH$1,Data!$A$2:$D$12000,4,FALSE)</f>
        <v>0</v>
      </c>
      <c r="AI1067">
        <f>VLOOKUP($B1067&amp;AI$1,Data!$A$2:$D$12000,4,FALSE)</f>
        <v>4100000</v>
      </c>
    </row>
    <row r="1068" spans="2:35" hidden="1">
      <c r="B1068" s="24">
        <v>1066</v>
      </c>
      <c r="C1068" s="13" t="s">
        <v>58</v>
      </c>
      <c r="D1068" t="s">
        <v>19</v>
      </c>
      <c r="E1068" t="s">
        <v>2</v>
      </c>
      <c r="F1068">
        <v>10</v>
      </c>
      <c r="G1068" t="s">
        <v>17</v>
      </c>
      <c r="H1068" s="5">
        <v>43831</v>
      </c>
      <c r="I1068" s="5">
        <v>44562</v>
      </c>
      <c r="J1068">
        <v>14</v>
      </c>
      <c r="K1068">
        <v>9</v>
      </c>
      <c r="L1068">
        <v>32</v>
      </c>
      <c r="M1068">
        <v>68</v>
      </c>
      <c r="N1068">
        <v>10000</v>
      </c>
      <c r="O1068">
        <f>VLOOKUP($B1068&amp;O$1,Data!$A$2:$D$12000,4,FALSE)</f>
        <v>1.686E-2</v>
      </c>
      <c r="P1068">
        <f>VLOOKUP($B1068&amp;P$1,Data!$A$2:$D$12000,4,FALSE)</f>
        <v>-1.149</v>
      </c>
      <c r="Q1068">
        <f>VLOOKUP($B1068&amp;Q$1,Data!$A$2:$D$12000,4,FALSE)</f>
        <v>1098</v>
      </c>
      <c r="R1068">
        <f>VLOOKUP($B1068&amp;R$1,Data!$A$2:$D$12000,4,FALSE)</f>
        <v>5.0000000000000001E-4</v>
      </c>
      <c r="S1068">
        <f>VLOOKUP($B1068&amp;S$1,Data!$A$2:$D$12000,4,FALSE)</f>
        <v>-1.1999999999999999E-3</v>
      </c>
      <c r="T1068">
        <f>VLOOKUP($B1068&amp;T$1,Data!$A$2:$D$12000,4,FALSE)</f>
        <v>-2.9069999999999999E-2</v>
      </c>
      <c r="U1068">
        <f>VLOOKUP($B1068&amp;U$1,Data!$A$2:$D$12000,4,FALSE)</f>
        <v>2.9000000000000001E-2</v>
      </c>
      <c r="V1068">
        <f>VLOOKUP($B1068&amp;V$1,Data!$A$2:$D$12000,4,FALSE)</f>
        <v>-0.123</v>
      </c>
      <c r="W1068">
        <f>VLOOKUP($B1068&amp;W$1,Data!$A$2:$D$12000,4,FALSE)</f>
        <v>-1.9449999999999999E-2</v>
      </c>
      <c r="X1068">
        <f>VLOOKUP($B1068&amp;X$1,Data!$A$2:$D$12000,4,FALSE)</f>
        <v>0.38</v>
      </c>
      <c r="Y1068">
        <f>VLOOKUP($B1068&amp;Y$1,Data!$A$2:$D$12000,4,FALSE)</f>
        <v>0.62</v>
      </c>
      <c r="Z1068">
        <f>VLOOKUP($B1068&amp;Z$1,Data!$A$2:$D$12000,4,FALSE)</f>
        <v>0.42</v>
      </c>
      <c r="AA1068">
        <f>VLOOKUP($B1068&amp;AA$1,Data!$A$2:$D$12000,4,FALSE)</f>
        <v>-1.7999999999999999E-2</v>
      </c>
      <c r="AB1068">
        <f>VLOOKUP($B1068&amp;AB$1,Data!$A$2:$D$12000,4,FALSE)</f>
        <v>-3.5000000000000003E-2</v>
      </c>
      <c r="AC1068">
        <f>VLOOKUP($B1068&amp;AC$1,Data!$A$2:$D$12000,4,FALSE)</f>
        <v>1.7000000000000001E-2</v>
      </c>
      <c r="AD1068">
        <f>VLOOKUP($B1068&amp;AD$1,Data!$A$2:$D$12000,4,FALSE)</f>
        <v>0</v>
      </c>
      <c r="AE1068">
        <f>VLOOKUP($B1068&amp;AE$1,Data!$A$2:$D$12000,4,FALSE)</f>
        <v>-1.004</v>
      </c>
      <c r="AF1068">
        <f>VLOOKUP($B1068&amp;AF$1,Data!$A$2:$D$12000,4,FALSE)</f>
        <v>7.1999999999999995E-2</v>
      </c>
      <c r="AG1068">
        <f>VLOOKUP($B1068&amp;AG$1,Data!$A$2:$D$12000,4,FALSE)</f>
        <v>0.57099999999999995</v>
      </c>
      <c r="AH1068">
        <f>VLOOKUP($B1068&amp;AH$1,Data!$A$2:$D$12000,4,FALSE)</f>
        <v>0</v>
      </c>
      <c r="AI1068">
        <f>VLOOKUP($B1068&amp;AI$1,Data!$A$2:$D$12000,4,FALSE)</f>
        <v>4400000</v>
      </c>
    </row>
    <row r="1069" spans="2:35" hidden="1">
      <c r="B1069" s="24">
        <v>1067</v>
      </c>
      <c r="C1069" s="13" t="s">
        <v>58</v>
      </c>
      <c r="D1069" t="s">
        <v>19</v>
      </c>
      <c r="E1069" t="s">
        <v>2</v>
      </c>
      <c r="F1069">
        <v>100</v>
      </c>
      <c r="G1069" t="s">
        <v>17</v>
      </c>
      <c r="H1069" s="5">
        <v>43831</v>
      </c>
      <c r="I1069" s="5">
        <v>44562</v>
      </c>
      <c r="J1069">
        <v>14</v>
      </c>
      <c r="K1069">
        <v>9</v>
      </c>
      <c r="L1069">
        <v>32</v>
      </c>
      <c r="M1069">
        <v>68</v>
      </c>
      <c r="N1069">
        <v>10000</v>
      </c>
      <c r="O1069">
        <f>VLOOKUP($B1069&amp;O$1,Data!$A$2:$D$12000,4,FALSE)</f>
        <v>3.5970000000000002E-2</v>
      </c>
      <c r="P1069">
        <f>VLOOKUP($B1069&amp;P$1,Data!$A$2:$D$12000,4,FALSE)</f>
        <v>-0.83199999999999996</v>
      </c>
      <c r="Q1069">
        <f>VLOOKUP($B1069&amp;Q$1,Data!$A$2:$D$12000,4,FALSE)</f>
        <v>714</v>
      </c>
      <c r="R1069">
        <f>VLOOKUP($B1069&amp;R$1,Data!$A$2:$D$12000,4,FALSE)</f>
        <v>8.0000000000000004E-4</v>
      </c>
      <c r="S1069">
        <f>VLOOKUP($B1069&amp;S$1,Data!$A$2:$D$12000,4,FALSE)</f>
        <v>-1.9E-3</v>
      </c>
      <c r="T1069">
        <f>VLOOKUP($B1069&amp;T$1,Data!$A$2:$D$12000,4,FALSE)</f>
        <v>-3.5439999999999999E-2</v>
      </c>
      <c r="U1069">
        <f>VLOOKUP($B1069&amp;U$1,Data!$A$2:$D$12000,4,FALSE)</f>
        <v>5.0999999999999997E-2</v>
      </c>
      <c r="V1069">
        <f>VLOOKUP($B1069&amp;V$1,Data!$A$2:$D$12000,4,FALSE)</f>
        <v>-0.105</v>
      </c>
      <c r="W1069">
        <f>VLOOKUP($B1069&amp;W$1,Data!$A$2:$D$12000,4,FALSE)</f>
        <v>-2.3730000000000001E-2</v>
      </c>
      <c r="X1069">
        <f>VLOOKUP($B1069&amp;X$1,Data!$A$2:$D$12000,4,FALSE)</f>
        <v>0.38</v>
      </c>
      <c r="Y1069">
        <f>VLOOKUP($B1069&amp;Y$1,Data!$A$2:$D$12000,4,FALSE)</f>
        <v>0.62</v>
      </c>
      <c r="Z1069">
        <f>VLOOKUP($B1069&amp;Z$1,Data!$A$2:$D$12000,4,FALSE)</f>
        <v>0.44</v>
      </c>
      <c r="AA1069">
        <f>VLOOKUP($B1069&amp;AA$1,Data!$A$2:$D$12000,4,FALSE)</f>
        <v>-0.02</v>
      </c>
      <c r="AB1069">
        <f>VLOOKUP($B1069&amp;AB$1,Data!$A$2:$D$12000,4,FALSE)</f>
        <v>-7.5999999999999998E-2</v>
      </c>
      <c r="AC1069">
        <f>VLOOKUP($B1069&amp;AC$1,Data!$A$2:$D$12000,4,FALSE)</f>
        <v>2.9000000000000001E-2</v>
      </c>
      <c r="AD1069">
        <f>VLOOKUP($B1069&amp;AD$1,Data!$A$2:$D$12000,4,FALSE)</f>
        <v>1E-3</v>
      </c>
      <c r="AE1069">
        <f>VLOOKUP($B1069&amp;AE$1,Data!$A$2:$D$12000,4,FALSE)</f>
        <v>-0.97899999999999998</v>
      </c>
      <c r="AF1069">
        <f>VLOOKUP($B1069&amp;AF$1,Data!$A$2:$D$12000,4,FALSE)</f>
        <v>7.8E-2</v>
      </c>
      <c r="AG1069">
        <f>VLOOKUP($B1069&amp;AG$1,Data!$A$2:$D$12000,4,FALSE)</f>
        <v>0.32</v>
      </c>
      <c r="AH1069">
        <f>VLOOKUP($B1069&amp;AH$1,Data!$A$2:$D$12000,4,FALSE)</f>
        <v>0</v>
      </c>
      <c r="AI1069">
        <f>VLOOKUP($B1069&amp;AI$1,Data!$A$2:$D$12000,4,FALSE)</f>
        <v>4700000</v>
      </c>
    </row>
    <row r="1070" spans="2:35" hidden="1">
      <c r="B1070" s="24">
        <v>1068</v>
      </c>
      <c r="C1070" s="13" t="s">
        <v>58</v>
      </c>
      <c r="D1070" t="s">
        <v>19</v>
      </c>
      <c r="E1070" t="s">
        <v>2</v>
      </c>
      <c r="F1070">
        <v>200</v>
      </c>
      <c r="G1070" t="s">
        <v>17</v>
      </c>
      <c r="H1070" s="5">
        <v>43831</v>
      </c>
      <c r="I1070" s="5">
        <v>44562</v>
      </c>
      <c r="J1070">
        <v>14</v>
      </c>
      <c r="K1070">
        <v>9</v>
      </c>
      <c r="L1070">
        <v>32</v>
      </c>
      <c r="M1070">
        <v>68</v>
      </c>
      <c r="N1070">
        <v>10000</v>
      </c>
      <c r="O1070">
        <f>VLOOKUP($B1070&amp;O$1,Data!$A$2:$D$12000,4,FALSE)</f>
        <v>2.3349999999999999E-2</v>
      </c>
      <c r="P1070">
        <f>VLOOKUP($B1070&amp;P$1,Data!$A$2:$D$12000,4,FALSE)</f>
        <v>-1.012</v>
      </c>
      <c r="Q1070">
        <f>VLOOKUP($B1070&amp;Q$1,Data!$A$2:$D$12000,4,FALSE)</f>
        <v>594</v>
      </c>
      <c r="R1070">
        <f>VLOOKUP($B1070&amp;R$1,Data!$A$2:$D$12000,4,FALSE)</f>
        <v>8.0000000000000004E-4</v>
      </c>
      <c r="S1070">
        <f>VLOOKUP($B1070&amp;S$1,Data!$A$2:$D$12000,4,FALSE)</f>
        <v>-1.8E-3</v>
      </c>
      <c r="T1070">
        <f>VLOOKUP($B1070&amp;T$1,Data!$A$2:$D$12000,4,FALSE)</f>
        <v>-4.0500000000000001E-2</v>
      </c>
      <c r="U1070">
        <f>VLOOKUP($B1070&amp;U$1,Data!$A$2:$D$12000,4,FALSE)</f>
        <v>4.7E-2</v>
      </c>
      <c r="V1070">
        <f>VLOOKUP($B1070&amp;V$1,Data!$A$2:$D$12000,4,FALSE)</f>
        <v>-0.13300000000000001</v>
      </c>
      <c r="W1070">
        <f>VLOOKUP($B1070&amp;W$1,Data!$A$2:$D$12000,4,FALSE)</f>
        <v>-2.7150000000000001E-2</v>
      </c>
      <c r="X1070">
        <f>VLOOKUP($B1070&amp;X$1,Data!$A$2:$D$12000,4,FALSE)</f>
        <v>0.41</v>
      </c>
      <c r="Y1070">
        <f>VLOOKUP($B1070&amp;Y$1,Data!$A$2:$D$12000,4,FALSE)</f>
        <v>0.59</v>
      </c>
      <c r="Z1070">
        <f>VLOOKUP($B1070&amp;Z$1,Data!$A$2:$D$12000,4,FALSE)</f>
        <v>0.46</v>
      </c>
      <c r="AA1070">
        <f>VLOOKUP($B1070&amp;AA$1,Data!$A$2:$D$12000,4,FALSE)</f>
        <v>-2.4E-2</v>
      </c>
      <c r="AB1070">
        <f>VLOOKUP($B1070&amp;AB$1,Data!$A$2:$D$12000,4,FALSE)</f>
        <v>-7.3999999999999996E-2</v>
      </c>
      <c r="AC1070">
        <f>VLOOKUP($B1070&amp;AC$1,Data!$A$2:$D$12000,4,FALSE)</f>
        <v>2.8000000000000001E-2</v>
      </c>
      <c r="AD1070">
        <f>VLOOKUP($B1070&amp;AD$1,Data!$A$2:$D$12000,4,FALSE)</f>
        <v>1E-3</v>
      </c>
      <c r="AE1070">
        <f>VLOOKUP($B1070&amp;AE$1,Data!$A$2:$D$12000,4,FALSE)</f>
        <v>-1.0349999999999999</v>
      </c>
      <c r="AF1070">
        <f>VLOOKUP($B1070&amp;AF$1,Data!$A$2:$D$12000,4,FALSE)</f>
        <v>7.6999999999999999E-2</v>
      </c>
      <c r="AG1070">
        <f>VLOOKUP($B1070&amp;AG$1,Data!$A$2:$D$12000,4,FALSE)</f>
        <v>0.378</v>
      </c>
      <c r="AH1070">
        <f>VLOOKUP($B1070&amp;AH$1,Data!$A$2:$D$12000,4,FALSE)</f>
        <v>0</v>
      </c>
      <c r="AI1070">
        <f>VLOOKUP($B1070&amp;AI$1,Data!$A$2:$D$12000,4,FALSE)</f>
        <v>4700000</v>
      </c>
    </row>
    <row r="1071" spans="2:35" hidden="1">
      <c r="B1071" s="24">
        <v>1069</v>
      </c>
      <c r="C1071" s="13" t="s">
        <v>58</v>
      </c>
      <c r="D1071" t="s">
        <v>19</v>
      </c>
      <c r="E1071" t="s">
        <v>22</v>
      </c>
      <c r="F1071">
        <v>10</v>
      </c>
      <c r="G1071" t="s">
        <v>17</v>
      </c>
      <c r="H1071" s="5">
        <v>43831</v>
      </c>
      <c r="I1071" s="5">
        <v>44562</v>
      </c>
      <c r="J1071">
        <v>14</v>
      </c>
      <c r="K1071">
        <v>9</v>
      </c>
      <c r="L1071">
        <v>32</v>
      </c>
      <c r="M1071">
        <v>68</v>
      </c>
      <c r="N1071">
        <v>10000</v>
      </c>
      <c r="O1071">
        <f>VLOOKUP($B1071&amp;O$1,Data!$A$2:$D$12000,4,FALSE)</f>
        <v>0</v>
      </c>
      <c r="P1071">
        <f>VLOOKUP($B1071&amp;P$1,Data!$A$2:$D$12000,4,FALSE)</f>
        <v>-2.7290000000000001</v>
      </c>
      <c r="Q1071">
        <f>VLOOKUP($B1071&amp;Q$1,Data!$A$2:$D$12000,4,FALSE)</f>
        <v>773</v>
      </c>
      <c r="R1071">
        <f>VLOOKUP($B1071&amp;R$1,Data!$A$2:$D$12000,4,FALSE)</f>
        <v>2.0000000000000001E-4</v>
      </c>
      <c r="S1071">
        <f>VLOOKUP($B1071&amp;S$1,Data!$A$2:$D$12000,4,FALSE)</f>
        <v>-1.8E-3</v>
      </c>
      <c r="T1071">
        <f>VLOOKUP($B1071&amp;T$1,Data!$A$2:$D$12000,4,FALSE)</f>
        <v>-7.757E-2</v>
      </c>
      <c r="U1071">
        <f>VLOOKUP($B1071&amp;U$1,Data!$A$2:$D$12000,4,FALSE)</f>
        <v>5.5E-2</v>
      </c>
      <c r="V1071">
        <f>VLOOKUP($B1071&amp;V$1,Data!$A$2:$D$12000,4,FALSE)</f>
        <v>-0.313</v>
      </c>
      <c r="W1071">
        <f>VLOOKUP($B1071&amp;W$1,Data!$A$2:$D$12000,4,FALSE)</f>
        <v>-5.2319999999999998E-2</v>
      </c>
      <c r="X1071">
        <f>VLOOKUP($B1071&amp;X$1,Data!$A$2:$D$12000,4,FALSE)</f>
        <v>0.39</v>
      </c>
      <c r="Y1071">
        <f>VLOOKUP($B1071&amp;Y$1,Data!$A$2:$D$12000,4,FALSE)</f>
        <v>0.61</v>
      </c>
      <c r="Z1071">
        <f>VLOOKUP($B1071&amp;Z$1,Data!$A$2:$D$12000,4,FALSE)</f>
        <v>0.13</v>
      </c>
      <c r="AA1071">
        <f>VLOOKUP($B1071&amp;AA$1,Data!$A$2:$D$12000,4,FALSE)</f>
        <v>-5.2999999999999999E-2</v>
      </c>
      <c r="AB1071">
        <f>VLOOKUP($B1071&amp;AB$1,Data!$A$2:$D$12000,4,FALSE)</f>
        <v>-3.2000000000000001E-2</v>
      </c>
      <c r="AC1071">
        <f>VLOOKUP($B1071&amp;AC$1,Data!$A$2:$D$12000,4,FALSE)</f>
        <v>0.02</v>
      </c>
      <c r="AD1071">
        <f>VLOOKUP($B1071&amp;AD$1,Data!$A$2:$D$12000,4,FALSE)</f>
        <v>0</v>
      </c>
      <c r="AE1071">
        <f>VLOOKUP($B1071&amp;AE$1,Data!$A$2:$D$12000,4,FALSE)</f>
        <v>-1.4710000000000001</v>
      </c>
      <c r="AF1071">
        <f>VLOOKUP($B1071&amp;AF$1,Data!$A$2:$D$12000,4,FALSE)</f>
        <v>7.1999999999999995E-2</v>
      </c>
      <c r="AG1071">
        <f>VLOOKUP($B1071&amp;AG$1,Data!$A$2:$D$12000,4,FALSE)</f>
        <v>1.6910000000000001</v>
      </c>
      <c r="AH1071">
        <f>VLOOKUP($B1071&amp;AH$1,Data!$A$2:$D$12000,4,FALSE)</f>
        <v>0</v>
      </c>
      <c r="AI1071">
        <f>VLOOKUP($B1071&amp;AI$1,Data!$A$2:$D$12000,4,FALSE)</f>
        <v>5500000</v>
      </c>
    </row>
    <row r="1072" spans="2:35" hidden="1">
      <c r="B1072" s="24">
        <v>1070</v>
      </c>
      <c r="C1072" s="13" t="s">
        <v>58</v>
      </c>
      <c r="D1072" t="s">
        <v>19</v>
      </c>
      <c r="E1072" t="s">
        <v>22</v>
      </c>
      <c r="F1072">
        <v>100</v>
      </c>
      <c r="G1072" t="s">
        <v>17</v>
      </c>
      <c r="H1072" s="5">
        <v>43831</v>
      </c>
      <c r="I1072" s="5">
        <v>44562</v>
      </c>
      <c r="J1072">
        <v>14</v>
      </c>
      <c r="K1072">
        <v>9</v>
      </c>
      <c r="L1072">
        <v>32</v>
      </c>
      <c r="M1072">
        <v>68</v>
      </c>
      <c r="N1072">
        <v>10000</v>
      </c>
      <c r="O1072">
        <f>VLOOKUP($B1072&amp;O$1,Data!$A$2:$D$12000,4,FALSE)</f>
        <v>4.96E-3</v>
      </c>
      <c r="P1072">
        <f>VLOOKUP($B1072&amp;P$1,Data!$A$2:$D$12000,4,FALSE)</f>
        <v>-1.46</v>
      </c>
      <c r="Q1072">
        <f>VLOOKUP($B1072&amp;Q$1,Data!$A$2:$D$12000,4,FALSE)</f>
        <v>503</v>
      </c>
      <c r="R1072">
        <f>VLOOKUP($B1072&amp;R$1,Data!$A$2:$D$12000,4,FALSE)</f>
        <v>6.9999999999999999E-4</v>
      </c>
      <c r="S1072">
        <f>VLOOKUP($B1072&amp;S$1,Data!$A$2:$D$12000,4,FALSE)</f>
        <v>-3.0000000000000001E-3</v>
      </c>
      <c r="T1072">
        <f>VLOOKUP($B1072&amp;T$1,Data!$A$2:$D$12000,4,FALSE)</f>
        <v>-6.0069999999999998E-2</v>
      </c>
      <c r="U1072">
        <f>VLOOKUP($B1072&amp;U$1,Data!$A$2:$D$12000,4,FALSE)</f>
        <v>6.4000000000000001E-2</v>
      </c>
      <c r="V1072">
        <f>VLOOKUP($B1072&amp;V$1,Data!$A$2:$D$12000,4,FALSE)</f>
        <v>-0.17</v>
      </c>
      <c r="W1072">
        <f>VLOOKUP($B1072&amp;W$1,Data!$A$2:$D$12000,4,FALSE)</f>
        <v>-4.0399999999999998E-2</v>
      </c>
      <c r="X1072">
        <f>VLOOKUP($B1072&amp;X$1,Data!$A$2:$D$12000,4,FALSE)</f>
        <v>0.33</v>
      </c>
      <c r="Y1072">
        <f>VLOOKUP($B1072&amp;Y$1,Data!$A$2:$D$12000,4,FALSE)</f>
        <v>0.67</v>
      </c>
      <c r="Z1072">
        <f>VLOOKUP($B1072&amp;Z$1,Data!$A$2:$D$12000,4,FALSE)</f>
        <v>0.24</v>
      </c>
      <c r="AA1072">
        <f>VLOOKUP($B1072&amp;AA$1,Data!$A$2:$D$12000,4,FALSE)</f>
        <v>-3.9E-2</v>
      </c>
      <c r="AB1072">
        <f>VLOOKUP($B1072&amp;AB$1,Data!$A$2:$D$12000,4,FALSE)</f>
        <v>-0.05</v>
      </c>
      <c r="AC1072">
        <f>VLOOKUP($B1072&amp;AC$1,Data!$A$2:$D$12000,4,FALSE)</f>
        <v>2.9000000000000001E-2</v>
      </c>
      <c r="AD1072">
        <f>VLOOKUP($B1072&amp;AD$1,Data!$A$2:$D$12000,4,FALSE)</f>
        <v>1E-3</v>
      </c>
      <c r="AE1072">
        <f>VLOOKUP($B1072&amp;AE$1,Data!$A$2:$D$12000,4,FALSE)</f>
        <v>-1.194</v>
      </c>
      <c r="AF1072">
        <f>VLOOKUP($B1072&amp;AF$1,Data!$A$2:$D$12000,4,FALSE)</f>
        <v>7.5999999999999998E-2</v>
      </c>
      <c r="AG1072">
        <f>VLOOKUP($B1072&amp;AG$1,Data!$A$2:$D$12000,4,FALSE)</f>
        <v>0.83199999999999996</v>
      </c>
      <c r="AH1072">
        <f>VLOOKUP($B1072&amp;AH$1,Data!$A$2:$D$12000,4,FALSE)</f>
        <v>0</v>
      </c>
      <c r="AI1072">
        <f>VLOOKUP($B1072&amp;AI$1,Data!$A$2:$D$12000,4,FALSE)</f>
        <v>5900000</v>
      </c>
    </row>
    <row r="1073" spans="2:35" hidden="1">
      <c r="B1073" s="24">
        <v>1071</v>
      </c>
      <c r="C1073" s="13" t="s">
        <v>58</v>
      </c>
      <c r="D1073" t="s">
        <v>19</v>
      </c>
      <c r="E1073" t="s">
        <v>22</v>
      </c>
      <c r="F1073">
        <v>200</v>
      </c>
      <c r="G1073" t="s">
        <v>17</v>
      </c>
      <c r="H1073" s="5">
        <v>43831</v>
      </c>
      <c r="I1073" s="5">
        <v>44562</v>
      </c>
      <c r="J1073">
        <v>14</v>
      </c>
      <c r="K1073">
        <v>9</v>
      </c>
      <c r="L1073">
        <v>32</v>
      </c>
      <c r="M1073">
        <v>68</v>
      </c>
      <c r="N1073">
        <v>10000</v>
      </c>
      <c r="O1073">
        <f>VLOOKUP($B1073&amp;O$1,Data!$A$2:$D$12000,4,FALSE)</f>
        <v>8.8000000000000005E-3</v>
      </c>
      <c r="P1073">
        <f>VLOOKUP($B1073&amp;P$1,Data!$A$2:$D$12000,4,FALSE)</f>
        <v>-1.321</v>
      </c>
      <c r="Q1073">
        <f>VLOOKUP($B1073&amp;Q$1,Data!$A$2:$D$12000,4,FALSE)</f>
        <v>418</v>
      </c>
      <c r="R1073">
        <f>VLOOKUP($B1073&amp;R$1,Data!$A$2:$D$12000,4,FALSE)</f>
        <v>8.9999999999999998E-4</v>
      </c>
      <c r="S1073">
        <f>VLOOKUP($B1073&amp;S$1,Data!$A$2:$D$12000,4,FALSE)</f>
        <v>-3.0000000000000001E-3</v>
      </c>
      <c r="T1073">
        <f>VLOOKUP($B1073&amp;T$1,Data!$A$2:$D$12000,4,FALSE)</f>
        <v>-5.6950000000000001E-2</v>
      </c>
      <c r="U1073">
        <f>VLOOKUP($B1073&amp;U$1,Data!$A$2:$D$12000,4,FALSE)</f>
        <v>7.0000000000000007E-2</v>
      </c>
      <c r="V1073">
        <f>VLOOKUP($B1073&amp;V$1,Data!$A$2:$D$12000,4,FALSE)</f>
        <v>-0.16500000000000001</v>
      </c>
      <c r="W1073">
        <f>VLOOKUP($B1073&amp;W$1,Data!$A$2:$D$12000,4,FALSE)</f>
        <v>-3.8280000000000002E-2</v>
      </c>
      <c r="X1073">
        <f>VLOOKUP($B1073&amp;X$1,Data!$A$2:$D$12000,4,FALSE)</f>
        <v>0.36</v>
      </c>
      <c r="Y1073">
        <f>VLOOKUP($B1073&amp;Y$1,Data!$A$2:$D$12000,4,FALSE)</f>
        <v>0.64</v>
      </c>
      <c r="Z1073">
        <f>VLOOKUP($B1073&amp;Z$1,Data!$A$2:$D$12000,4,FALSE)</f>
        <v>0.28999999999999998</v>
      </c>
      <c r="AA1073">
        <f>VLOOKUP($B1073&amp;AA$1,Data!$A$2:$D$12000,4,FALSE)</f>
        <v>-3.5999999999999997E-2</v>
      </c>
      <c r="AB1073">
        <f>VLOOKUP($B1073&amp;AB$1,Data!$A$2:$D$12000,4,FALSE)</f>
        <v>-6.5000000000000002E-2</v>
      </c>
      <c r="AC1073">
        <f>VLOOKUP($B1073&amp;AC$1,Data!$A$2:$D$12000,4,FALSE)</f>
        <v>0.03</v>
      </c>
      <c r="AD1073">
        <f>VLOOKUP($B1073&amp;AD$1,Data!$A$2:$D$12000,4,FALSE)</f>
        <v>1E-3</v>
      </c>
      <c r="AE1073">
        <f>VLOOKUP($B1073&amp;AE$1,Data!$A$2:$D$12000,4,FALSE)</f>
        <v>-1.179</v>
      </c>
      <c r="AF1073">
        <f>VLOOKUP($B1073&amp;AF$1,Data!$A$2:$D$12000,4,FALSE)</f>
        <v>7.6999999999999999E-2</v>
      </c>
      <c r="AG1073">
        <f>VLOOKUP($B1073&amp;AG$1,Data!$A$2:$D$12000,4,FALSE)</f>
        <v>0.60899999999999999</v>
      </c>
      <c r="AH1073">
        <f>VLOOKUP($B1073&amp;AH$1,Data!$A$2:$D$12000,4,FALSE)</f>
        <v>0</v>
      </c>
      <c r="AI1073">
        <f>VLOOKUP($B1073&amp;AI$1,Data!$A$2:$D$12000,4,FALSE)</f>
        <v>6400000</v>
      </c>
    </row>
    <row r="1074" spans="2:35" hidden="1">
      <c r="B1074">
        <v>1072</v>
      </c>
      <c r="C1074" s="13" t="s">
        <v>58</v>
      </c>
      <c r="D1074" t="s">
        <v>19</v>
      </c>
      <c r="E1074" t="s">
        <v>3</v>
      </c>
      <c r="F1074">
        <v>10</v>
      </c>
      <c r="G1074" t="s">
        <v>17</v>
      </c>
      <c r="H1074" s="5">
        <v>43831</v>
      </c>
      <c r="I1074" s="5">
        <v>44562</v>
      </c>
      <c r="J1074">
        <v>14</v>
      </c>
      <c r="K1074">
        <v>9</v>
      </c>
      <c r="L1074">
        <v>28</v>
      </c>
      <c r="M1074">
        <v>72</v>
      </c>
      <c r="N1074">
        <v>10000</v>
      </c>
      <c r="W1074"/>
    </row>
    <row r="1075" spans="2:35" hidden="1">
      <c r="B1075">
        <v>1073</v>
      </c>
      <c r="C1075" s="13" t="s">
        <v>58</v>
      </c>
      <c r="D1075" t="s">
        <v>19</v>
      </c>
      <c r="E1075" t="s">
        <v>3</v>
      </c>
      <c r="F1075">
        <v>100</v>
      </c>
      <c r="G1075" t="s">
        <v>17</v>
      </c>
      <c r="H1075" s="5">
        <v>43831</v>
      </c>
      <c r="I1075" s="5">
        <v>44562</v>
      </c>
      <c r="J1075">
        <v>14</v>
      </c>
      <c r="K1075">
        <v>9</v>
      </c>
      <c r="L1075">
        <v>28</v>
      </c>
      <c r="M1075">
        <v>72</v>
      </c>
      <c r="N1075">
        <v>10000</v>
      </c>
      <c r="W1075"/>
    </row>
    <row r="1076" spans="2:35" hidden="1">
      <c r="B1076">
        <v>1074</v>
      </c>
      <c r="C1076" s="13" t="s">
        <v>58</v>
      </c>
      <c r="D1076" t="s">
        <v>19</v>
      </c>
      <c r="E1076" t="s">
        <v>3</v>
      </c>
      <c r="F1076">
        <v>200</v>
      </c>
      <c r="G1076" t="s">
        <v>17</v>
      </c>
      <c r="H1076" s="5">
        <v>43831</v>
      </c>
      <c r="I1076" s="5">
        <v>44562</v>
      </c>
      <c r="J1076">
        <v>14</v>
      </c>
      <c r="K1076">
        <v>9</v>
      </c>
      <c r="L1076">
        <v>28</v>
      </c>
      <c r="M1076">
        <v>72</v>
      </c>
      <c r="N1076">
        <v>10000</v>
      </c>
      <c r="W1076"/>
    </row>
    <row r="1077" spans="2:35" hidden="1">
      <c r="B1077">
        <v>1075</v>
      </c>
      <c r="C1077" s="13" t="s">
        <v>58</v>
      </c>
      <c r="D1077" t="s">
        <v>19</v>
      </c>
      <c r="E1077" t="s">
        <v>2</v>
      </c>
      <c r="F1077">
        <v>10</v>
      </c>
      <c r="G1077" t="s">
        <v>17</v>
      </c>
      <c r="H1077" s="5">
        <v>43831</v>
      </c>
      <c r="I1077" s="5">
        <v>44562</v>
      </c>
      <c r="J1077">
        <v>14</v>
      </c>
      <c r="K1077">
        <v>9</v>
      </c>
      <c r="L1077">
        <v>28</v>
      </c>
      <c r="M1077">
        <v>72</v>
      </c>
      <c r="N1077">
        <v>10000</v>
      </c>
      <c r="W1077"/>
    </row>
    <row r="1078" spans="2:35" hidden="1">
      <c r="B1078">
        <v>1076</v>
      </c>
      <c r="C1078" s="13" t="s">
        <v>58</v>
      </c>
      <c r="D1078" t="s">
        <v>19</v>
      </c>
      <c r="E1078" t="s">
        <v>2</v>
      </c>
      <c r="F1078">
        <v>100</v>
      </c>
      <c r="G1078" t="s">
        <v>17</v>
      </c>
      <c r="H1078" s="5">
        <v>43831</v>
      </c>
      <c r="I1078" s="5">
        <v>44562</v>
      </c>
      <c r="J1078">
        <v>14</v>
      </c>
      <c r="K1078">
        <v>9</v>
      </c>
      <c r="L1078">
        <v>28</v>
      </c>
      <c r="M1078">
        <v>72</v>
      </c>
      <c r="N1078">
        <v>10000</v>
      </c>
      <c r="W1078"/>
    </row>
    <row r="1079" spans="2:35" hidden="1">
      <c r="B1079">
        <v>1077</v>
      </c>
      <c r="C1079" s="13" t="s">
        <v>58</v>
      </c>
      <c r="D1079" t="s">
        <v>19</v>
      </c>
      <c r="E1079" t="s">
        <v>2</v>
      </c>
      <c r="F1079">
        <v>200</v>
      </c>
      <c r="G1079" t="s">
        <v>17</v>
      </c>
      <c r="H1079" s="5">
        <v>43831</v>
      </c>
      <c r="I1079" s="5">
        <v>44562</v>
      </c>
      <c r="J1079">
        <v>14</v>
      </c>
      <c r="K1079">
        <v>9</v>
      </c>
      <c r="L1079">
        <v>28</v>
      </c>
      <c r="M1079">
        <v>72</v>
      </c>
      <c r="N1079">
        <v>10000</v>
      </c>
      <c r="W1079"/>
    </row>
    <row r="1080" spans="2:35" hidden="1">
      <c r="B1080">
        <v>1078</v>
      </c>
      <c r="C1080" s="13" t="s">
        <v>58</v>
      </c>
      <c r="D1080" t="s">
        <v>19</v>
      </c>
      <c r="E1080" t="s">
        <v>22</v>
      </c>
      <c r="F1080">
        <v>10</v>
      </c>
      <c r="G1080" t="s">
        <v>17</v>
      </c>
      <c r="H1080" s="5">
        <v>43831</v>
      </c>
      <c r="I1080" s="5">
        <v>44562</v>
      </c>
      <c r="J1080">
        <v>14</v>
      </c>
      <c r="K1080">
        <v>9</v>
      </c>
      <c r="L1080">
        <v>28</v>
      </c>
      <c r="M1080">
        <v>72</v>
      </c>
      <c r="N1080">
        <v>10000</v>
      </c>
      <c r="W1080"/>
    </row>
    <row r="1081" spans="2:35" hidden="1">
      <c r="B1081">
        <v>1079</v>
      </c>
      <c r="C1081" s="13" t="s">
        <v>58</v>
      </c>
      <c r="D1081" t="s">
        <v>19</v>
      </c>
      <c r="E1081" t="s">
        <v>22</v>
      </c>
      <c r="F1081">
        <v>100</v>
      </c>
      <c r="G1081" t="s">
        <v>17</v>
      </c>
      <c r="H1081" s="5">
        <v>43831</v>
      </c>
      <c r="I1081" s="5">
        <v>44562</v>
      </c>
      <c r="J1081">
        <v>14</v>
      </c>
      <c r="K1081">
        <v>9</v>
      </c>
      <c r="L1081">
        <v>28</v>
      </c>
      <c r="M1081">
        <v>72</v>
      </c>
      <c r="N1081">
        <v>10000</v>
      </c>
      <c r="W1081"/>
    </row>
    <row r="1082" spans="2:35" hidden="1">
      <c r="B1082">
        <v>1080</v>
      </c>
      <c r="C1082" s="13" t="s">
        <v>58</v>
      </c>
      <c r="D1082" t="s">
        <v>19</v>
      </c>
      <c r="E1082" t="s">
        <v>22</v>
      </c>
      <c r="F1082">
        <v>200</v>
      </c>
      <c r="G1082" t="s">
        <v>17</v>
      </c>
      <c r="H1082" s="5">
        <v>43831</v>
      </c>
      <c r="I1082" s="5">
        <v>44562</v>
      </c>
      <c r="J1082">
        <v>14</v>
      </c>
      <c r="K1082">
        <v>9</v>
      </c>
      <c r="L1082">
        <v>28</v>
      </c>
      <c r="M1082">
        <v>72</v>
      </c>
      <c r="N1082">
        <v>10000</v>
      </c>
      <c r="W1082"/>
    </row>
    <row r="1083" spans="2:35" hidden="1">
      <c r="B1083" s="23">
        <v>1081</v>
      </c>
      <c r="C1083" s="13" t="s">
        <v>58</v>
      </c>
      <c r="D1083" t="s">
        <v>20</v>
      </c>
      <c r="E1083" t="s">
        <v>3</v>
      </c>
      <c r="F1083">
        <v>10</v>
      </c>
      <c r="G1083" t="s">
        <v>17</v>
      </c>
      <c r="H1083" s="5">
        <v>43831</v>
      </c>
      <c r="I1083" s="5">
        <v>44562</v>
      </c>
      <c r="J1083">
        <v>14</v>
      </c>
      <c r="K1083">
        <v>9</v>
      </c>
      <c r="L1083">
        <v>30</v>
      </c>
      <c r="M1083">
        <v>70</v>
      </c>
      <c r="N1083">
        <v>10000</v>
      </c>
      <c r="O1083">
        <f>VLOOKUP($B1083&amp;O$1,Data!$A$2:$D$12000,4,FALSE)</f>
        <v>5.5980000000000002E-2</v>
      </c>
      <c r="P1083">
        <f>VLOOKUP($B1083&amp;P$1,Data!$A$2:$D$12000,4,FALSE)</f>
        <v>-0.68</v>
      </c>
      <c r="Q1083">
        <f>VLOOKUP($B1083&amp;Q$1,Data!$A$2:$D$12000,4,FALSE)</f>
        <v>1495</v>
      </c>
      <c r="R1083">
        <f>VLOOKUP($B1083&amp;R$1,Data!$A$2:$D$12000,4,FALSE)</f>
        <v>0</v>
      </c>
      <c r="S1083">
        <f>VLOOKUP($B1083&amp;S$1,Data!$A$2:$D$12000,4,FALSE)</f>
        <v>0</v>
      </c>
      <c r="T1083">
        <f>VLOOKUP($B1083&amp;T$1,Data!$A$2:$D$12000,4,FALSE)</f>
        <v>-9.6000000000000002E-4</v>
      </c>
      <c r="U1083">
        <f>VLOOKUP($B1083&amp;U$1,Data!$A$2:$D$12000,4,FALSE)</f>
        <v>2E-3</v>
      </c>
      <c r="V1083">
        <f>VLOOKUP($B1083&amp;V$1,Data!$A$2:$D$12000,4,FALSE)</f>
        <v>-8.5000000000000006E-2</v>
      </c>
      <c r="W1083">
        <f>VLOOKUP($B1083&amp;W$1,Data!$A$2:$D$12000,4,FALSE)</f>
        <v>-6.4000000000000005E-4</v>
      </c>
      <c r="X1083">
        <f>VLOOKUP($B1083&amp;X$1,Data!$A$2:$D$12000,4,FALSE)</f>
        <v>0.36</v>
      </c>
      <c r="Y1083">
        <f>VLOOKUP($B1083&amp;Y$1,Data!$A$2:$D$12000,4,FALSE)</f>
        <v>0.64</v>
      </c>
      <c r="Z1083">
        <f>VLOOKUP($B1083&amp;Z$1,Data!$A$2:$D$12000,4,FALSE)</f>
        <v>0.44</v>
      </c>
      <c r="AA1083">
        <f>VLOOKUP($B1083&amp;AA$1,Data!$A$2:$D$12000,4,FALSE)</f>
        <v>-1E-3</v>
      </c>
      <c r="AB1083">
        <f>VLOOKUP($B1083&amp;AB$1,Data!$A$2:$D$12000,4,FALSE)</f>
        <v>0</v>
      </c>
      <c r="AC1083">
        <f>VLOOKUP($B1083&amp;AC$1,Data!$A$2:$D$12000,4,FALSE)</f>
        <v>1E-3</v>
      </c>
      <c r="AD1083">
        <f>VLOOKUP($B1083&amp;AD$1,Data!$A$2:$D$12000,4,FALSE)</f>
        <v>0</v>
      </c>
      <c r="AE1083">
        <f>VLOOKUP($B1083&amp;AE$1,Data!$A$2:$D$12000,4,FALSE)</f>
        <v>-0.78400000000000003</v>
      </c>
      <c r="AF1083">
        <f>VLOOKUP($B1083&amp;AF$1,Data!$A$2:$D$12000,4,FALSE)</f>
        <v>6.7000000000000004E-2</v>
      </c>
      <c r="AG1083">
        <f>VLOOKUP($B1083&amp;AG$1,Data!$A$2:$D$12000,4,FALSE)</f>
        <v>-4.9080000000000004</v>
      </c>
      <c r="AH1083">
        <f>VLOOKUP($B1083&amp;AH$1,Data!$A$2:$D$12000,4,FALSE)</f>
        <v>0</v>
      </c>
      <c r="AI1083">
        <f>VLOOKUP($B1083&amp;AI$1,Data!$A$2:$D$12000,4,FALSE)</f>
        <v>1800000000</v>
      </c>
    </row>
    <row r="1084" spans="2:35" hidden="1">
      <c r="B1084" s="23">
        <v>1082</v>
      </c>
      <c r="C1084" s="13" t="s">
        <v>58</v>
      </c>
      <c r="D1084" t="s">
        <v>20</v>
      </c>
      <c r="E1084" t="s">
        <v>3</v>
      </c>
      <c r="F1084">
        <v>100</v>
      </c>
      <c r="G1084" t="s">
        <v>17</v>
      </c>
      <c r="H1084" s="5">
        <v>43831</v>
      </c>
      <c r="I1084" s="5">
        <v>44562</v>
      </c>
      <c r="J1084">
        <v>14</v>
      </c>
      <c r="K1084">
        <v>9</v>
      </c>
      <c r="L1084">
        <v>30</v>
      </c>
      <c r="M1084">
        <v>70</v>
      </c>
      <c r="N1084">
        <v>10000</v>
      </c>
      <c r="O1084">
        <f>VLOOKUP($B1084&amp;O$1,Data!$A$2:$D$12000,4,FALSE)</f>
        <v>5.7029999999999997E-2</v>
      </c>
      <c r="P1084">
        <f>VLOOKUP($B1084&amp;P$1,Data!$A$2:$D$12000,4,FALSE)</f>
        <v>-0.66900000000000004</v>
      </c>
      <c r="Q1084">
        <f>VLOOKUP($B1084&amp;Q$1,Data!$A$2:$D$12000,4,FALSE)</f>
        <v>1495</v>
      </c>
      <c r="R1084">
        <f>VLOOKUP($B1084&amp;R$1,Data!$A$2:$D$12000,4,FALSE)</f>
        <v>2.0000000000000001E-4</v>
      </c>
      <c r="S1084">
        <f>VLOOKUP($B1084&amp;S$1,Data!$A$2:$D$12000,4,FALSE)</f>
        <v>-4.0000000000000002E-4</v>
      </c>
      <c r="T1084">
        <f>VLOOKUP($B1084&amp;T$1,Data!$A$2:$D$12000,4,FALSE)</f>
        <v>-9.6200000000000001E-3</v>
      </c>
      <c r="U1084">
        <f>VLOOKUP($B1084&amp;U$1,Data!$A$2:$D$12000,4,FALSE)</f>
        <v>1.7000000000000001E-2</v>
      </c>
      <c r="V1084">
        <f>VLOOKUP($B1084&amp;V$1,Data!$A$2:$D$12000,4,FALSE)</f>
        <v>-8.4000000000000005E-2</v>
      </c>
      <c r="W1084">
        <f>VLOOKUP($B1084&amp;W$1,Data!$A$2:$D$12000,4,FALSE)</f>
        <v>-6.3800000000000003E-3</v>
      </c>
      <c r="X1084">
        <f>VLOOKUP($B1084&amp;X$1,Data!$A$2:$D$12000,4,FALSE)</f>
        <v>0.36</v>
      </c>
      <c r="Y1084">
        <f>VLOOKUP($B1084&amp;Y$1,Data!$A$2:$D$12000,4,FALSE)</f>
        <v>0.64</v>
      </c>
      <c r="Z1084">
        <f>VLOOKUP($B1084&amp;Z$1,Data!$A$2:$D$12000,4,FALSE)</f>
        <v>0.44</v>
      </c>
      <c r="AA1084">
        <f>VLOOKUP($B1084&amp;AA$1,Data!$A$2:$D$12000,4,FALSE)</f>
        <v>-7.0000000000000001E-3</v>
      </c>
      <c r="AB1084">
        <f>VLOOKUP($B1084&amp;AB$1,Data!$A$2:$D$12000,4,FALSE)</f>
        <v>2E-3</v>
      </c>
      <c r="AC1084">
        <f>VLOOKUP($B1084&amp;AC$1,Data!$A$2:$D$12000,4,FALSE)</f>
        <v>0.01</v>
      </c>
      <c r="AD1084">
        <f>VLOOKUP($B1084&amp;AD$1,Data!$A$2:$D$12000,4,FALSE)</f>
        <v>0</v>
      </c>
      <c r="AE1084">
        <f>VLOOKUP($B1084&amp;AE$1,Data!$A$2:$D$12000,4,FALSE)</f>
        <v>-0.86399999999999999</v>
      </c>
      <c r="AF1084">
        <f>VLOOKUP($B1084&amp;AF$1,Data!$A$2:$D$12000,4,FALSE)</f>
        <v>6.8000000000000005E-2</v>
      </c>
      <c r="AG1084">
        <f>VLOOKUP($B1084&amp;AG$1,Data!$A$2:$D$12000,4,FALSE)</f>
        <v>-4.3319999999999999</v>
      </c>
      <c r="AH1084">
        <f>VLOOKUP($B1084&amp;AH$1,Data!$A$2:$D$12000,4,FALSE)</f>
        <v>0</v>
      </c>
      <c r="AI1084">
        <f>VLOOKUP($B1084&amp;AI$1,Data!$A$2:$D$12000,4,FALSE)</f>
        <v>180000000</v>
      </c>
    </row>
    <row r="1085" spans="2:35" hidden="1">
      <c r="B1085" s="23">
        <v>1083</v>
      </c>
      <c r="C1085" s="13" t="s">
        <v>58</v>
      </c>
      <c r="D1085" t="s">
        <v>20</v>
      </c>
      <c r="E1085" t="s">
        <v>3</v>
      </c>
      <c r="F1085">
        <v>200</v>
      </c>
      <c r="G1085" t="s">
        <v>17</v>
      </c>
      <c r="H1085" s="5">
        <v>43831</v>
      </c>
      <c r="I1085" s="5">
        <v>44562</v>
      </c>
      <c r="J1085">
        <v>14</v>
      </c>
      <c r="K1085">
        <v>9</v>
      </c>
      <c r="L1085">
        <v>30</v>
      </c>
      <c r="M1085">
        <v>70</v>
      </c>
      <c r="N1085">
        <v>10000</v>
      </c>
      <c r="O1085">
        <f>VLOOKUP($B1085&amp;O$1,Data!$A$2:$D$12000,4,FALSE)</f>
        <v>5.8380000000000001E-2</v>
      </c>
      <c r="P1085">
        <f>VLOOKUP($B1085&amp;P$1,Data!$A$2:$D$12000,4,FALSE)</f>
        <v>-0.73799999999999999</v>
      </c>
      <c r="Q1085">
        <f>VLOOKUP($B1085&amp;Q$1,Data!$A$2:$D$12000,4,FALSE)</f>
        <v>1430</v>
      </c>
      <c r="R1085">
        <f>VLOOKUP($B1085&amp;R$1,Data!$A$2:$D$12000,4,FALSE)</f>
        <v>4.0000000000000002E-4</v>
      </c>
      <c r="S1085">
        <f>VLOOKUP($B1085&amp;S$1,Data!$A$2:$D$12000,4,FALSE)</f>
        <v>-8.0000000000000004E-4</v>
      </c>
      <c r="T1085">
        <f>VLOOKUP($B1085&amp;T$1,Data!$A$2:$D$12000,4,FALSE)</f>
        <v>-1.9060000000000001E-2</v>
      </c>
      <c r="U1085">
        <f>VLOOKUP($B1085&amp;U$1,Data!$A$2:$D$12000,4,FALSE)</f>
        <v>2.9000000000000001E-2</v>
      </c>
      <c r="V1085">
        <f>VLOOKUP($B1085&amp;V$1,Data!$A$2:$D$12000,4,FALSE)</f>
        <v>-8.8999999999999996E-2</v>
      </c>
      <c r="W1085">
        <f>VLOOKUP($B1085&amp;W$1,Data!$A$2:$D$12000,4,FALSE)</f>
        <v>-1.268E-2</v>
      </c>
      <c r="X1085">
        <f>VLOOKUP($B1085&amp;X$1,Data!$A$2:$D$12000,4,FALSE)</f>
        <v>0.36</v>
      </c>
      <c r="Y1085">
        <f>VLOOKUP($B1085&amp;Y$1,Data!$A$2:$D$12000,4,FALSE)</f>
        <v>0.64</v>
      </c>
      <c r="Z1085">
        <f>VLOOKUP($B1085&amp;Z$1,Data!$A$2:$D$12000,4,FALSE)</f>
        <v>0.43</v>
      </c>
      <c r="AA1085">
        <f>VLOOKUP($B1085&amp;AA$1,Data!$A$2:$D$12000,4,FALSE)</f>
        <v>-1.4E-2</v>
      </c>
      <c r="AB1085">
        <f>VLOOKUP($B1085&amp;AB$1,Data!$A$2:$D$12000,4,FALSE)</f>
        <v>1.2999999999999999E-2</v>
      </c>
      <c r="AC1085">
        <f>VLOOKUP($B1085&amp;AC$1,Data!$A$2:$D$12000,4,FALSE)</f>
        <v>1.7999999999999999E-2</v>
      </c>
      <c r="AD1085">
        <f>VLOOKUP($B1085&amp;AD$1,Data!$A$2:$D$12000,4,FALSE)</f>
        <v>0</v>
      </c>
      <c r="AE1085">
        <f>VLOOKUP($B1085&amp;AE$1,Data!$A$2:$D$12000,4,FALSE)</f>
        <v>-0.94799999999999995</v>
      </c>
      <c r="AF1085">
        <f>VLOOKUP($B1085&amp;AF$1,Data!$A$2:$D$12000,4,FALSE)</f>
        <v>6.9000000000000006E-2</v>
      </c>
      <c r="AG1085">
        <f>VLOOKUP($B1085&amp;AG$1,Data!$A$2:$D$12000,4,FALSE)</f>
        <v>-0.99399999999999999</v>
      </c>
      <c r="AH1085">
        <f>VLOOKUP($B1085&amp;AH$1,Data!$A$2:$D$12000,4,FALSE)</f>
        <v>0</v>
      </c>
      <c r="AI1085">
        <f>VLOOKUP($B1085&amp;AI$1,Data!$A$2:$D$12000,4,FALSE)</f>
        <v>98000000</v>
      </c>
    </row>
    <row r="1086" spans="2:35" hidden="1">
      <c r="B1086" s="23">
        <v>1084</v>
      </c>
      <c r="C1086" s="13" t="s">
        <v>58</v>
      </c>
      <c r="D1086" t="s">
        <v>20</v>
      </c>
      <c r="E1086" t="s">
        <v>2</v>
      </c>
      <c r="F1086">
        <v>10</v>
      </c>
      <c r="G1086" t="s">
        <v>17</v>
      </c>
      <c r="H1086" s="5">
        <v>43831</v>
      </c>
      <c r="I1086" s="5">
        <v>44562</v>
      </c>
      <c r="J1086">
        <v>14</v>
      </c>
      <c r="K1086">
        <v>9</v>
      </c>
      <c r="L1086">
        <v>30</v>
      </c>
      <c r="M1086">
        <v>70</v>
      </c>
      <c r="N1086">
        <v>10000</v>
      </c>
      <c r="O1086">
        <f>VLOOKUP($B1086&amp;O$1,Data!$A$2:$D$12000,4,FALSE)</f>
        <v>1.9630000000000002E-2</v>
      </c>
      <c r="P1086">
        <f>VLOOKUP($B1086&amp;P$1,Data!$A$2:$D$12000,4,FALSE)</f>
        <v>-1.2010000000000001</v>
      </c>
      <c r="Q1086">
        <f>VLOOKUP($B1086&amp;Q$1,Data!$A$2:$D$12000,4,FALSE)</f>
        <v>1226</v>
      </c>
      <c r="R1086">
        <f>VLOOKUP($B1086&amp;R$1,Data!$A$2:$D$12000,4,FALSE)</f>
        <v>0</v>
      </c>
      <c r="S1086">
        <f>VLOOKUP($B1086&amp;S$1,Data!$A$2:$D$12000,4,FALSE)</f>
        <v>0</v>
      </c>
      <c r="T1086">
        <f>VLOOKUP($B1086&amp;T$1,Data!$A$2:$D$12000,4,FALSE)</f>
        <v>-1.17E-3</v>
      </c>
      <c r="U1086">
        <f>VLOOKUP($B1086&amp;U$1,Data!$A$2:$D$12000,4,FALSE)</f>
        <v>1E-3</v>
      </c>
      <c r="V1086">
        <f>VLOOKUP($B1086&amp;V$1,Data!$A$2:$D$12000,4,FALSE)</f>
        <v>-0.158</v>
      </c>
      <c r="W1086">
        <f>VLOOKUP($B1086&amp;W$1,Data!$A$2:$D$12000,4,FALSE)</f>
        <v>-7.6999999999999996E-4</v>
      </c>
      <c r="X1086">
        <f>VLOOKUP($B1086&amp;X$1,Data!$A$2:$D$12000,4,FALSE)</f>
        <v>0.39</v>
      </c>
      <c r="Y1086">
        <f>VLOOKUP($B1086&amp;Y$1,Data!$A$2:$D$12000,4,FALSE)</f>
        <v>0.61</v>
      </c>
      <c r="Z1086">
        <f>VLOOKUP($B1086&amp;Z$1,Data!$A$2:$D$12000,4,FALSE)</f>
        <v>0.37</v>
      </c>
      <c r="AA1086">
        <f>VLOOKUP($B1086&amp;AA$1,Data!$A$2:$D$12000,4,FALSE)</f>
        <v>-1E-3</v>
      </c>
      <c r="AB1086">
        <f>VLOOKUP($B1086&amp;AB$1,Data!$A$2:$D$12000,4,FALSE)</f>
        <v>0</v>
      </c>
      <c r="AC1086">
        <f>VLOOKUP($B1086&amp;AC$1,Data!$A$2:$D$12000,4,FALSE)</f>
        <v>1E-3</v>
      </c>
      <c r="AD1086">
        <f>VLOOKUP($B1086&amp;AD$1,Data!$A$2:$D$12000,4,FALSE)</f>
        <v>0</v>
      </c>
      <c r="AE1086">
        <f>VLOOKUP($B1086&amp;AE$1,Data!$A$2:$D$12000,4,FALSE)</f>
        <v>-0.77600000000000002</v>
      </c>
      <c r="AF1086">
        <f>VLOOKUP($B1086&amp;AF$1,Data!$A$2:$D$12000,4,FALSE)</f>
        <v>6.7000000000000004E-2</v>
      </c>
      <c r="AG1086">
        <f>VLOOKUP($B1086&amp;AG$1,Data!$A$2:$D$12000,4,FALSE)</f>
        <v>-1.825</v>
      </c>
      <c r="AH1086">
        <f>VLOOKUP($B1086&amp;AH$1,Data!$A$2:$D$12000,4,FALSE)</f>
        <v>0</v>
      </c>
      <c r="AI1086">
        <f>VLOOKUP($B1086&amp;AI$1,Data!$A$2:$D$12000,4,FALSE)</f>
        <v>1500000000</v>
      </c>
    </row>
    <row r="1087" spans="2:35" hidden="1">
      <c r="B1087" s="23">
        <v>1085</v>
      </c>
      <c r="C1087" s="13" t="s">
        <v>58</v>
      </c>
      <c r="D1087" t="s">
        <v>20</v>
      </c>
      <c r="E1087" t="s">
        <v>2</v>
      </c>
      <c r="F1087">
        <v>100</v>
      </c>
      <c r="G1087" t="s">
        <v>17</v>
      </c>
      <c r="H1087" s="5">
        <v>43831</v>
      </c>
      <c r="I1087" s="5">
        <v>44562</v>
      </c>
      <c r="J1087">
        <v>14</v>
      </c>
      <c r="K1087">
        <v>9</v>
      </c>
      <c r="L1087">
        <v>30</v>
      </c>
      <c r="M1087">
        <v>70</v>
      </c>
      <c r="N1087">
        <v>10000</v>
      </c>
      <c r="O1087">
        <f>VLOOKUP($B1087&amp;O$1,Data!$A$2:$D$12000,4,FALSE)</f>
        <v>2.0039999999999999E-2</v>
      </c>
      <c r="P1087">
        <f>VLOOKUP($B1087&amp;P$1,Data!$A$2:$D$12000,4,FALSE)</f>
        <v>-1.1890000000000001</v>
      </c>
      <c r="Q1087">
        <f>VLOOKUP($B1087&amp;Q$1,Data!$A$2:$D$12000,4,FALSE)</f>
        <v>1226</v>
      </c>
      <c r="R1087">
        <f>VLOOKUP($B1087&amp;R$1,Data!$A$2:$D$12000,4,FALSE)</f>
        <v>1E-4</v>
      </c>
      <c r="S1087">
        <f>VLOOKUP($B1087&amp;S$1,Data!$A$2:$D$12000,4,FALSE)</f>
        <v>-2.9999999999999997E-4</v>
      </c>
      <c r="T1087">
        <f>VLOOKUP($B1087&amp;T$1,Data!$A$2:$D$12000,4,FALSE)</f>
        <v>-1.166E-2</v>
      </c>
      <c r="U1087">
        <f>VLOOKUP($B1087&amp;U$1,Data!$A$2:$D$12000,4,FALSE)</f>
        <v>1.4E-2</v>
      </c>
      <c r="V1087">
        <f>VLOOKUP($B1087&amp;V$1,Data!$A$2:$D$12000,4,FALSE)</f>
        <v>-0.157</v>
      </c>
      <c r="W1087">
        <f>VLOOKUP($B1087&amp;W$1,Data!$A$2:$D$12000,4,FALSE)</f>
        <v>-7.7499999999999999E-3</v>
      </c>
      <c r="X1087">
        <f>VLOOKUP($B1087&amp;X$1,Data!$A$2:$D$12000,4,FALSE)</f>
        <v>0.39</v>
      </c>
      <c r="Y1087">
        <f>VLOOKUP($B1087&amp;Y$1,Data!$A$2:$D$12000,4,FALSE)</f>
        <v>0.61</v>
      </c>
      <c r="Z1087">
        <f>VLOOKUP($B1087&amp;Z$1,Data!$A$2:$D$12000,4,FALSE)</f>
        <v>0.37</v>
      </c>
      <c r="AA1087">
        <f>VLOOKUP($B1087&amp;AA$1,Data!$A$2:$D$12000,4,FALSE)</f>
        <v>-8.0000000000000002E-3</v>
      </c>
      <c r="AB1087">
        <f>VLOOKUP($B1087&amp;AB$1,Data!$A$2:$D$12000,4,FALSE)</f>
        <v>4.0000000000000001E-3</v>
      </c>
      <c r="AC1087">
        <f>VLOOKUP($B1087&amp;AC$1,Data!$A$2:$D$12000,4,FALSE)</f>
        <v>7.0000000000000001E-3</v>
      </c>
      <c r="AD1087">
        <f>VLOOKUP($B1087&amp;AD$1,Data!$A$2:$D$12000,4,FALSE)</f>
        <v>0</v>
      </c>
      <c r="AE1087">
        <f>VLOOKUP($B1087&amp;AE$1,Data!$A$2:$D$12000,4,FALSE)</f>
        <v>-0.88300000000000001</v>
      </c>
      <c r="AF1087">
        <f>VLOOKUP($B1087&amp;AF$1,Data!$A$2:$D$12000,4,FALSE)</f>
        <v>6.7000000000000004E-2</v>
      </c>
      <c r="AG1087">
        <f>VLOOKUP($B1087&amp;AG$1,Data!$A$2:$D$12000,4,FALSE)</f>
        <v>-1.8120000000000001</v>
      </c>
      <c r="AH1087">
        <f>VLOOKUP($B1087&amp;AH$1,Data!$A$2:$D$12000,4,FALSE)</f>
        <v>0</v>
      </c>
      <c r="AI1087">
        <f>VLOOKUP($B1087&amp;AI$1,Data!$A$2:$D$12000,4,FALSE)</f>
        <v>160000000</v>
      </c>
    </row>
    <row r="1088" spans="2:35" hidden="1">
      <c r="B1088" s="23">
        <v>1086</v>
      </c>
      <c r="C1088" s="13" t="s">
        <v>58</v>
      </c>
      <c r="D1088" t="s">
        <v>20</v>
      </c>
      <c r="E1088" t="s">
        <v>2</v>
      </c>
      <c r="F1088">
        <v>200</v>
      </c>
      <c r="G1088" t="s">
        <v>17</v>
      </c>
      <c r="H1088" s="5">
        <v>43831</v>
      </c>
      <c r="I1088" s="5">
        <v>44562</v>
      </c>
      <c r="J1088">
        <v>14</v>
      </c>
      <c r="K1088">
        <v>9</v>
      </c>
      <c r="L1088">
        <v>30</v>
      </c>
      <c r="M1088">
        <v>70</v>
      </c>
      <c r="N1088">
        <v>10000</v>
      </c>
      <c r="O1088">
        <f>VLOOKUP($B1088&amp;O$1,Data!$A$2:$D$12000,4,FALSE)</f>
        <v>8.6700000000000006E-3</v>
      </c>
      <c r="P1088">
        <f>VLOOKUP($B1088&amp;P$1,Data!$A$2:$D$12000,4,FALSE)</f>
        <v>-1.3839999999999999</v>
      </c>
      <c r="Q1088">
        <f>VLOOKUP($B1088&amp;Q$1,Data!$A$2:$D$12000,4,FALSE)</f>
        <v>1170</v>
      </c>
      <c r="R1088">
        <f>VLOOKUP($B1088&amp;R$1,Data!$A$2:$D$12000,4,FALSE)</f>
        <v>2.0000000000000001E-4</v>
      </c>
      <c r="S1088">
        <f>VLOOKUP($B1088&amp;S$1,Data!$A$2:$D$12000,4,FALSE)</f>
        <v>-5.9999999999999995E-4</v>
      </c>
      <c r="T1088">
        <f>VLOOKUP($B1088&amp;T$1,Data!$A$2:$D$12000,4,FALSE)</f>
        <v>-2.044E-2</v>
      </c>
      <c r="U1088">
        <f>VLOOKUP($B1088&amp;U$1,Data!$A$2:$D$12000,4,FALSE)</f>
        <v>2.1000000000000001E-2</v>
      </c>
      <c r="V1088">
        <f>VLOOKUP($B1088&amp;V$1,Data!$A$2:$D$12000,4,FALSE)</f>
        <v>-0.16800000000000001</v>
      </c>
      <c r="W1088">
        <f>VLOOKUP($B1088&amp;W$1,Data!$A$2:$D$12000,4,FALSE)</f>
        <v>-1.359E-2</v>
      </c>
      <c r="X1088">
        <f>VLOOKUP($B1088&amp;X$1,Data!$A$2:$D$12000,4,FALSE)</f>
        <v>0.39</v>
      </c>
      <c r="Y1088">
        <f>VLOOKUP($B1088&amp;Y$1,Data!$A$2:$D$12000,4,FALSE)</f>
        <v>0.61</v>
      </c>
      <c r="Z1088">
        <f>VLOOKUP($B1088&amp;Z$1,Data!$A$2:$D$12000,4,FALSE)</f>
        <v>0.37</v>
      </c>
      <c r="AA1088">
        <f>VLOOKUP($B1088&amp;AA$1,Data!$A$2:$D$12000,4,FALSE)</f>
        <v>-1.4E-2</v>
      </c>
      <c r="AB1088">
        <f>VLOOKUP($B1088&amp;AB$1,Data!$A$2:$D$12000,4,FALSE)</f>
        <v>1E-3</v>
      </c>
      <c r="AC1088">
        <f>VLOOKUP($B1088&amp;AC$1,Data!$A$2:$D$12000,4,FALSE)</f>
        <v>0.01</v>
      </c>
      <c r="AD1088">
        <f>VLOOKUP($B1088&amp;AD$1,Data!$A$2:$D$12000,4,FALSE)</f>
        <v>0</v>
      </c>
      <c r="AE1088">
        <f>VLOOKUP($B1088&amp;AE$1,Data!$A$2:$D$12000,4,FALSE)</f>
        <v>-0.97399999999999998</v>
      </c>
      <c r="AF1088">
        <f>VLOOKUP($B1088&amp;AF$1,Data!$A$2:$D$12000,4,FALSE)</f>
        <v>6.8000000000000005E-2</v>
      </c>
      <c r="AG1088">
        <f>VLOOKUP($B1088&amp;AG$1,Data!$A$2:$D$12000,4,FALSE)</f>
        <v>-18.116</v>
      </c>
      <c r="AH1088">
        <f>VLOOKUP($B1088&amp;AH$1,Data!$A$2:$D$12000,4,FALSE)</f>
        <v>0</v>
      </c>
      <c r="AI1088">
        <f>VLOOKUP($B1088&amp;AI$1,Data!$A$2:$D$12000,4,FALSE)</f>
        <v>79000000</v>
      </c>
    </row>
    <row r="1089" spans="2:35" hidden="1">
      <c r="B1089" s="23">
        <v>1087</v>
      </c>
      <c r="C1089" s="13" t="s">
        <v>58</v>
      </c>
      <c r="D1089" t="s">
        <v>20</v>
      </c>
      <c r="E1089" t="s">
        <v>22</v>
      </c>
      <c r="F1089">
        <v>10</v>
      </c>
      <c r="G1089" t="s">
        <v>17</v>
      </c>
      <c r="H1089" s="5">
        <v>43831</v>
      </c>
      <c r="I1089" s="5">
        <v>44562</v>
      </c>
      <c r="J1089">
        <v>14</v>
      </c>
      <c r="K1089">
        <v>9</v>
      </c>
      <c r="L1089">
        <v>30</v>
      </c>
      <c r="M1089">
        <v>70</v>
      </c>
      <c r="N1089">
        <v>10000</v>
      </c>
      <c r="O1089">
        <f>VLOOKUP($B1089&amp;O$1,Data!$A$2:$D$12000,4,FALSE)</f>
        <v>5.3170000000000002E-2</v>
      </c>
      <c r="P1089">
        <f>VLOOKUP($B1089&amp;P$1,Data!$A$2:$D$12000,4,FALSE)</f>
        <v>-0.71</v>
      </c>
      <c r="Q1089">
        <f>VLOOKUP($B1089&amp;Q$1,Data!$A$2:$D$12000,4,FALSE)</f>
        <v>806</v>
      </c>
      <c r="R1089">
        <f>VLOOKUP($B1089&amp;R$1,Data!$A$2:$D$12000,4,FALSE)</f>
        <v>0</v>
      </c>
      <c r="S1089">
        <f>VLOOKUP($B1089&amp;S$1,Data!$A$2:$D$12000,4,FALSE)</f>
        <v>0</v>
      </c>
      <c r="T1089">
        <f>VLOOKUP($B1089&amp;T$1,Data!$A$2:$D$12000,4,FALSE)</f>
        <v>-6.6E-4</v>
      </c>
      <c r="U1089">
        <f>VLOOKUP($B1089&amp;U$1,Data!$A$2:$D$12000,4,FALSE)</f>
        <v>1E-3</v>
      </c>
      <c r="V1089">
        <f>VLOOKUP($B1089&amp;V$1,Data!$A$2:$D$12000,4,FALSE)</f>
        <v>-0.12</v>
      </c>
      <c r="W1089">
        <f>VLOOKUP($B1089&amp;W$1,Data!$A$2:$D$12000,4,FALSE)</f>
        <v>-4.4000000000000002E-4</v>
      </c>
      <c r="X1089">
        <f>VLOOKUP($B1089&amp;X$1,Data!$A$2:$D$12000,4,FALSE)</f>
        <v>0.36</v>
      </c>
      <c r="Y1089">
        <f>VLOOKUP($B1089&amp;Y$1,Data!$A$2:$D$12000,4,FALSE)</f>
        <v>0.64</v>
      </c>
      <c r="Z1089">
        <f>VLOOKUP($B1089&amp;Z$1,Data!$A$2:$D$12000,4,FALSE)</f>
        <v>0.37</v>
      </c>
      <c r="AA1089">
        <f>VLOOKUP($B1089&amp;AA$1,Data!$A$2:$D$12000,4,FALSE)</f>
        <v>0</v>
      </c>
      <c r="AB1089">
        <f>VLOOKUP($B1089&amp;AB$1,Data!$A$2:$D$12000,4,FALSE)</f>
        <v>0</v>
      </c>
      <c r="AC1089">
        <f>VLOOKUP($B1089&amp;AC$1,Data!$A$2:$D$12000,4,FALSE)</f>
        <v>1E-3</v>
      </c>
      <c r="AD1089">
        <f>VLOOKUP($B1089&amp;AD$1,Data!$A$2:$D$12000,4,FALSE)</f>
        <v>0</v>
      </c>
      <c r="AE1089">
        <f>VLOOKUP($B1089&amp;AE$1,Data!$A$2:$D$12000,4,FALSE)</f>
        <v>-0.77100000000000002</v>
      </c>
      <c r="AF1089">
        <f>VLOOKUP($B1089&amp;AF$1,Data!$A$2:$D$12000,4,FALSE)</f>
        <v>6.7000000000000004E-2</v>
      </c>
      <c r="AG1089">
        <f>VLOOKUP($B1089&amp;AG$1,Data!$A$2:$D$12000,4,FALSE)</f>
        <v>1.4590000000000001</v>
      </c>
      <c r="AH1089">
        <f>VLOOKUP($B1089&amp;AH$1,Data!$A$2:$D$12000,4,FALSE)</f>
        <v>0</v>
      </c>
      <c r="AI1089">
        <f>VLOOKUP($B1089&amp;AI$1,Data!$A$2:$D$12000,4,FALSE)</f>
        <v>250000000</v>
      </c>
    </row>
    <row r="1090" spans="2:35" hidden="1">
      <c r="B1090" s="23">
        <v>1088</v>
      </c>
      <c r="C1090" s="13" t="s">
        <v>58</v>
      </c>
      <c r="D1090" t="s">
        <v>20</v>
      </c>
      <c r="E1090" t="s">
        <v>22</v>
      </c>
      <c r="F1090">
        <v>100</v>
      </c>
      <c r="G1090" t="s">
        <v>17</v>
      </c>
      <c r="H1090" s="5">
        <v>43831</v>
      </c>
      <c r="I1090" s="5">
        <v>44562</v>
      </c>
      <c r="J1090">
        <v>14</v>
      </c>
      <c r="K1090">
        <v>9</v>
      </c>
      <c r="L1090">
        <v>30</v>
      </c>
      <c r="M1090">
        <v>70</v>
      </c>
      <c r="N1090">
        <v>10000</v>
      </c>
      <c r="O1090">
        <f>VLOOKUP($B1090&amp;O$1,Data!$A$2:$D$12000,4,FALSE)</f>
        <v>5.3460000000000001E-2</v>
      </c>
      <c r="P1090">
        <f>VLOOKUP($B1090&amp;P$1,Data!$A$2:$D$12000,4,FALSE)</f>
        <v>-0.70599999999999996</v>
      </c>
      <c r="Q1090">
        <f>VLOOKUP($B1090&amp;Q$1,Data!$A$2:$D$12000,4,FALSE)</f>
        <v>806</v>
      </c>
      <c r="R1090">
        <f>VLOOKUP($B1090&amp;R$1,Data!$A$2:$D$12000,4,FALSE)</f>
        <v>1E-4</v>
      </c>
      <c r="S1090">
        <f>VLOOKUP($B1090&amp;S$1,Data!$A$2:$D$12000,4,FALSE)</f>
        <v>-2.9999999999999997E-4</v>
      </c>
      <c r="T1090">
        <f>VLOOKUP($B1090&amp;T$1,Data!$A$2:$D$12000,4,FALSE)</f>
        <v>-6.5700000000000003E-3</v>
      </c>
      <c r="U1090">
        <f>VLOOKUP($B1090&amp;U$1,Data!$A$2:$D$12000,4,FALSE)</f>
        <v>8.0000000000000002E-3</v>
      </c>
      <c r="V1090">
        <f>VLOOKUP($B1090&amp;V$1,Data!$A$2:$D$12000,4,FALSE)</f>
        <v>-0.11899999999999999</v>
      </c>
      <c r="W1090">
        <f>VLOOKUP($B1090&amp;W$1,Data!$A$2:$D$12000,4,FALSE)</f>
        <v>-4.3600000000000002E-3</v>
      </c>
      <c r="X1090">
        <f>VLOOKUP($B1090&amp;X$1,Data!$A$2:$D$12000,4,FALSE)</f>
        <v>0.36</v>
      </c>
      <c r="Y1090">
        <f>VLOOKUP($B1090&amp;Y$1,Data!$A$2:$D$12000,4,FALSE)</f>
        <v>0.64</v>
      </c>
      <c r="Z1090">
        <f>VLOOKUP($B1090&amp;Z$1,Data!$A$2:$D$12000,4,FALSE)</f>
        <v>0.37</v>
      </c>
      <c r="AA1090">
        <f>VLOOKUP($B1090&amp;AA$1,Data!$A$2:$D$12000,4,FALSE)</f>
        <v>-4.0000000000000001E-3</v>
      </c>
      <c r="AB1090">
        <f>VLOOKUP($B1090&amp;AB$1,Data!$A$2:$D$12000,4,FALSE)</f>
        <v>-3.0000000000000001E-3</v>
      </c>
      <c r="AC1090">
        <f>VLOOKUP($B1090&amp;AC$1,Data!$A$2:$D$12000,4,FALSE)</f>
        <v>6.0000000000000001E-3</v>
      </c>
      <c r="AD1090">
        <f>VLOOKUP($B1090&amp;AD$1,Data!$A$2:$D$12000,4,FALSE)</f>
        <v>0</v>
      </c>
      <c r="AE1090">
        <f>VLOOKUP($B1090&amp;AE$1,Data!$A$2:$D$12000,4,FALSE)</f>
        <v>-0.82499999999999996</v>
      </c>
      <c r="AF1090">
        <f>VLOOKUP($B1090&amp;AF$1,Data!$A$2:$D$12000,4,FALSE)</f>
        <v>6.8000000000000005E-2</v>
      </c>
      <c r="AG1090">
        <f>VLOOKUP($B1090&amp;AG$1,Data!$A$2:$D$12000,4,FALSE)</f>
        <v>1.4570000000000001</v>
      </c>
      <c r="AH1090">
        <f>VLOOKUP($B1090&amp;AH$1,Data!$A$2:$D$12000,4,FALSE)</f>
        <v>0</v>
      </c>
      <c r="AI1090">
        <f>VLOOKUP($B1090&amp;AI$1,Data!$A$2:$D$12000,4,FALSE)</f>
        <v>28000000</v>
      </c>
    </row>
    <row r="1091" spans="2:35" hidden="1">
      <c r="B1091" s="23">
        <v>1089</v>
      </c>
      <c r="C1091" s="13" t="s">
        <v>58</v>
      </c>
      <c r="D1091" t="s">
        <v>20</v>
      </c>
      <c r="E1091" t="s">
        <v>22</v>
      </c>
      <c r="F1091">
        <v>200</v>
      </c>
      <c r="G1091" t="s">
        <v>17</v>
      </c>
      <c r="H1091" s="5">
        <v>43831</v>
      </c>
      <c r="I1091" s="5">
        <v>44562</v>
      </c>
      <c r="J1091">
        <v>14</v>
      </c>
      <c r="K1091">
        <v>9</v>
      </c>
      <c r="L1091">
        <v>30</v>
      </c>
      <c r="M1091">
        <v>70</v>
      </c>
      <c r="N1091">
        <v>10000</v>
      </c>
      <c r="O1091">
        <f>VLOOKUP($B1091&amp;O$1,Data!$A$2:$D$12000,4,FALSE)</f>
        <v>5.3069999999999999E-2</v>
      </c>
      <c r="P1091">
        <f>VLOOKUP($B1091&amp;P$1,Data!$A$2:$D$12000,4,FALSE)</f>
        <v>-0.67600000000000005</v>
      </c>
      <c r="Q1091">
        <f>VLOOKUP($B1091&amp;Q$1,Data!$A$2:$D$12000,4,FALSE)</f>
        <v>779</v>
      </c>
      <c r="R1091">
        <f>VLOOKUP($B1091&amp;R$1,Data!$A$2:$D$12000,4,FALSE)</f>
        <v>2.0000000000000001E-4</v>
      </c>
      <c r="S1091">
        <f>VLOOKUP($B1091&amp;S$1,Data!$A$2:$D$12000,4,FALSE)</f>
        <v>-5.9999999999999995E-4</v>
      </c>
      <c r="T1091">
        <f>VLOOKUP($B1091&amp;T$1,Data!$A$2:$D$12000,4,FALSE)</f>
        <v>-1.09E-2</v>
      </c>
      <c r="U1091">
        <f>VLOOKUP($B1091&amp;U$1,Data!$A$2:$D$12000,4,FALSE)</f>
        <v>1.2E-2</v>
      </c>
      <c r="V1091">
        <f>VLOOKUP($B1091&amp;V$1,Data!$A$2:$D$12000,4,FALSE)</f>
        <v>-0.11600000000000001</v>
      </c>
      <c r="W1091">
        <f>VLOOKUP($B1091&amp;W$1,Data!$A$2:$D$12000,4,FALSE)</f>
        <v>-7.2399999999999999E-3</v>
      </c>
      <c r="X1091">
        <f>VLOOKUP($B1091&amp;X$1,Data!$A$2:$D$12000,4,FALSE)</f>
        <v>0.37</v>
      </c>
      <c r="Y1091">
        <f>VLOOKUP($B1091&amp;Y$1,Data!$A$2:$D$12000,4,FALSE)</f>
        <v>0.63</v>
      </c>
      <c r="Z1091">
        <f>VLOOKUP($B1091&amp;Z$1,Data!$A$2:$D$12000,4,FALSE)</f>
        <v>0.39</v>
      </c>
      <c r="AA1091">
        <f>VLOOKUP($B1091&amp;AA$1,Data!$A$2:$D$12000,4,FALSE)</f>
        <v>-7.0000000000000001E-3</v>
      </c>
      <c r="AB1091">
        <f>VLOOKUP($B1091&amp;AB$1,Data!$A$2:$D$12000,4,FALSE)</f>
        <v>-7.0000000000000001E-3</v>
      </c>
      <c r="AC1091">
        <f>VLOOKUP($B1091&amp;AC$1,Data!$A$2:$D$12000,4,FALSE)</f>
        <v>1.0999999999999999E-2</v>
      </c>
      <c r="AD1091">
        <f>VLOOKUP($B1091&amp;AD$1,Data!$A$2:$D$12000,4,FALSE)</f>
        <v>0</v>
      </c>
      <c r="AE1091">
        <f>VLOOKUP($B1091&amp;AE$1,Data!$A$2:$D$12000,4,FALSE)</f>
        <v>-0.85799999999999998</v>
      </c>
      <c r="AF1091">
        <f>VLOOKUP($B1091&amp;AF$1,Data!$A$2:$D$12000,4,FALSE)</f>
        <v>6.9000000000000006E-2</v>
      </c>
      <c r="AG1091">
        <f>VLOOKUP($B1091&amp;AG$1,Data!$A$2:$D$12000,4,FALSE)</f>
        <v>1.0980000000000001</v>
      </c>
      <c r="AH1091">
        <f>VLOOKUP($B1091&amp;AH$1,Data!$A$2:$D$12000,4,FALSE)</f>
        <v>0</v>
      </c>
      <c r="AI1091">
        <f>VLOOKUP($B1091&amp;AI$1,Data!$A$2:$D$12000,4,FALSE)</f>
        <v>16000000</v>
      </c>
    </row>
    <row r="1092" spans="2:35" hidden="1">
      <c r="B1092" s="24">
        <v>1090</v>
      </c>
      <c r="C1092" s="13" t="s">
        <v>58</v>
      </c>
      <c r="D1092" t="s">
        <v>20</v>
      </c>
      <c r="E1092" t="s">
        <v>3</v>
      </c>
      <c r="F1092">
        <v>10</v>
      </c>
      <c r="G1092" t="s">
        <v>17</v>
      </c>
      <c r="H1092" s="5">
        <v>43831</v>
      </c>
      <c r="I1092" s="5">
        <v>44562</v>
      </c>
      <c r="J1092">
        <v>14</v>
      </c>
      <c r="K1092">
        <v>9</v>
      </c>
      <c r="L1092">
        <v>32</v>
      </c>
      <c r="M1092">
        <v>68</v>
      </c>
      <c r="N1092">
        <v>10000</v>
      </c>
      <c r="O1092">
        <f>VLOOKUP($B1092&amp;O$1,Data!$A$2:$D$12000,4,FALSE)</f>
        <v>3.8000000000000002E-4</v>
      </c>
      <c r="P1092">
        <f>VLOOKUP($B1092&amp;P$1,Data!$A$2:$D$12000,4,FALSE)</f>
        <v>-2.1190000000000002</v>
      </c>
      <c r="Q1092">
        <f>VLOOKUP($B1092&amp;Q$1,Data!$A$2:$D$12000,4,FALSE)</f>
        <v>1587</v>
      </c>
      <c r="R1092">
        <f>VLOOKUP($B1092&amp;R$1,Data!$A$2:$D$12000,4,FALSE)</f>
        <v>5.0000000000000001E-4</v>
      </c>
      <c r="S1092">
        <f>VLOOKUP($B1092&amp;S$1,Data!$A$2:$D$12000,4,FALSE)</f>
        <v>-1.8E-3</v>
      </c>
      <c r="T1092">
        <f>VLOOKUP($B1092&amp;T$1,Data!$A$2:$D$12000,4,FALSE)</f>
        <v>-8.3589999999999998E-2</v>
      </c>
      <c r="U1092">
        <f>VLOOKUP($B1092&amp;U$1,Data!$A$2:$D$12000,4,FALSE)</f>
        <v>6.0999999999999999E-2</v>
      </c>
      <c r="V1092">
        <f>VLOOKUP($B1092&amp;V$1,Data!$A$2:$D$12000,4,FALSE)</f>
        <v>-0.14899999999999999</v>
      </c>
      <c r="W1092">
        <f>VLOOKUP($B1092&amp;W$1,Data!$A$2:$D$12000,4,FALSE)</f>
        <v>-5.645E-2</v>
      </c>
      <c r="X1092">
        <f>VLOOKUP($B1092&amp;X$1,Data!$A$2:$D$12000,4,FALSE)</f>
        <v>0.33</v>
      </c>
      <c r="Y1092">
        <f>VLOOKUP($B1092&amp;Y$1,Data!$A$2:$D$12000,4,FALSE)</f>
        <v>0.67</v>
      </c>
      <c r="Z1092">
        <f>VLOOKUP($B1092&amp;Z$1,Data!$A$2:$D$12000,4,FALSE)</f>
        <v>0.27</v>
      </c>
      <c r="AA1092">
        <f>VLOOKUP($B1092&amp;AA$1,Data!$A$2:$D$12000,4,FALSE)</f>
        <v>-5.6000000000000001E-2</v>
      </c>
      <c r="AB1092">
        <f>VLOOKUP($B1092&amp;AB$1,Data!$A$2:$D$12000,4,FALSE)</f>
        <v>-4.2000000000000003E-2</v>
      </c>
      <c r="AC1092">
        <f>VLOOKUP($B1092&amp;AC$1,Data!$A$2:$D$12000,4,FALSE)</f>
        <v>2.8000000000000001E-2</v>
      </c>
      <c r="AD1092">
        <f>VLOOKUP($B1092&amp;AD$1,Data!$A$2:$D$12000,4,FALSE)</f>
        <v>1E-3</v>
      </c>
      <c r="AE1092">
        <f>VLOOKUP($B1092&amp;AE$1,Data!$A$2:$D$12000,4,FALSE)</f>
        <v>-1.466</v>
      </c>
      <c r="AF1092">
        <f>VLOOKUP($B1092&amp;AF$1,Data!$A$2:$D$12000,4,FALSE)</f>
        <v>7.4999999999999997E-2</v>
      </c>
      <c r="AG1092">
        <f>VLOOKUP($B1092&amp;AG$1,Data!$A$2:$D$12000,4,FALSE)</f>
        <v>1.39</v>
      </c>
      <c r="AH1092">
        <f>VLOOKUP($B1092&amp;AH$1,Data!$A$2:$D$12000,4,FALSE)</f>
        <v>0</v>
      </c>
      <c r="AI1092">
        <f>VLOOKUP($B1092&amp;AI$1,Data!$A$2:$D$12000,4,FALSE)</f>
        <v>7400000</v>
      </c>
    </row>
    <row r="1093" spans="2:35" hidden="1">
      <c r="B1093" s="24">
        <v>1091</v>
      </c>
      <c r="C1093" s="13" t="s">
        <v>58</v>
      </c>
      <c r="D1093" t="s">
        <v>20</v>
      </c>
      <c r="E1093" t="s">
        <v>3</v>
      </c>
      <c r="F1093">
        <v>100</v>
      </c>
      <c r="G1093" t="s">
        <v>17</v>
      </c>
      <c r="H1093" s="5">
        <v>43831</v>
      </c>
      <c r="I1093" s="5">
        <v>44562</v>
      </c>
      <c r="J1093">
        <v>14</v>
      </c>
      <c r="K1093">
        <v>9</v>
      </c>
      <c r="L1093">
        <v>32</v>
      </c>
      <c r="M1093">
        <v>68</v>
      </c>
      <c r="N1093">
        <v>10000</v>
      </c>
      <c r="O1093">
        <f>VLOOKUP($B1093&amp;O$1,Data!$A$2:$D$12000,4,FALSE)</f>
        <v>6.0000000000000002E-5</v>
      </c>
      <c r="P1093">
        <f>VLOOKUP($B1093&amp;P$1,Data!$A$2:$D$12000,4,FALSE)</f>
        <v>-2.419</v>
      </c>
      <c r="Q1093">
        <f>VLOOKUP($B1093&amp;Q$1,Data!$A$2:$D$12000,4,FALSE)</f>
        <v>1022</v>
      </c>
      <c r="R1093">
        <f>VLOOKUP($B1093&amp;R$1,Data!$A$2:$D$12000,4,FALSE)</f>
        <v>6.9999999999999999E-4</v>
      </c>
      <c r="S1093">
        <f>VLOOKUP($B1093&amp;S$1,Data!$A$2:$D$12000,4,FALSE)</f>
        <v>-2.5000000000000001E-3</v>
      </c>
      <c r="T1093">
        <f>VLOOKUP($B1093&amp;T$1,Data!$A$2:$D$12000,4,FALSE)</f>
        <v>-0.12554999999999999</v>
      </c>
      <c r="U1093">
        <f>VLOOKUP($B1093&amp;U$1,Data!$A$2:$D$12000,4,FALSE)</f>
        <v>9.1999999999999998E-2</v>
      </c>
      <c r="V1093">
        <f>VLOOKUP($B1093&amp;V$1,Data!$A$2:$D$12000,4,FALSE)</f>
        <v>-0.18099999999999999</v>
      </c>
      <c r="W1093">
        <f>VLOOKUP($B1093&amp;W$1,Data!$A$2:$D$12000,4,FALSE)</f>
        <v>-8.5430000000000006E-2</v>
      </c>
      <c r="X1093">
        <f>VLOOKUP($B1093&amp;X$1,Data!$A$2:$D$12000,4,FALSE)</f>
        <v>0.37</v>
      </c>
      <c r="Y1093">
        <f>VLOOKUP($B1093&amp;Y$1,Data!$A$2:$D$12000,4,FALSE)</f>
        <v>0.63</v>
      </c>
      <c r="Z1093">
        <f>VLOOKUP($B1093&amp;Z$1,Data!$A$2:$D$12000,4,FALSE)</f>
        <v>0.28999999999999998</v>
      </c>
      <c r="AA1093">
        <f>VLOOKUP($B1093&amp;AA$1,Data!$A$2:$D$12000,4,FALSE)</f>
        <v>-8.7999999999999995E-2</v>
      </c>
      <c r="AB1093">
        <f>VLOOKUP($B1093&amp;AB$1,Data!$A$2:$D$12000,4,FALSE)</f>
        <v>-0.01</v>
      </c>
      <c r="AC1093">
        <f>VLOOKUP($B1093&amp;AC$1,Data!$A$2:$D$12000,4,FALSE)</f>
        <v>3.5999999999999997E-2</v>
      </c>
      <c r="AD1093">
        <f>VLOOKUP($B1093&amp;AD$1,Data!$A$2:$D$12000,4,FALSE)</f>
        <v>1E-3</v>
      </c>
      <c r="AE1093">
        <f>VLOOKUP($B1093&amp;AE$1,Data!$A$2:$D$12000,4,FALSE)</f>
        <v>-1.7829999999999999</v>
      </c>
      <c r="AF1093">
        <f>VLOOKUP($B1093&amp;AF$1,Data!$A$2:$D$12000,4,FALSE)</f>
        <v>7.6999999999999999E-2</v>
      </c>
      <c r="AG1093">
        <f>VLOOKUP($B1093&amp;AG$1,Data!$A$2:$D$12000,4,FALSE)</f>
        <v>9.1069999999999993</v>
      </c>
      <c r="AH1093">
        <f>VLOOKUP($B1093&amp;AH$1,Data!$A$2:$D$12000,4,FALSE)</f>
        <v>0</v>
      </c>
      <c r="AI1093">
        <f>VLOOKUP($B1093&amp;AI$1,Data!$A$2:$D$12000,4,FALSE)</f>
        <v>4500000</v>
      </c>
    </row>
    <row r="1094" spans="2:35" hidden="1">
      <c r="B1094" s="24">
        <v>1092</v>
      </c>
      <c r="C1094" s="13" t="s">
        <v>58</v>
      </c>
      <c r="D1094" t="s">
        <v>20</v>
      </c>
      <c r="E1094" t="s">
        <v>3</v>
      </c>
      <c r="F1094">
        <v>200</v>
      </c>
      <c r="G1094" t="s">
        <v>17</v>
      </c>
      <c r="H1094" s="5">
        <v>43831</v>
      </c>
      <c r="I1094" s="5">
        <v>44562</v>
      </c>
      <c r="J1094">
        <v>14</v>
      </c>
      <c r="K1094">
        <v>9</v>
      </c>
      <c r="L1094">
        <v>32</v>
      </c>
      <c r="M1094">
        <v>68</v>
      </c>
      <c r="N1094">
        <v>10000</v>
      </c>
      <c r="O1094">
        <f>VLOOKUP($B1094&amp;O$1,Data!$A$2:$D$12000,4,FALSE)</f>
        <v>2.0000000000000002E-5</v>
      </c>
      <c r="P1094">
        <f>VLOOKUP($B1094&amp;P$1,Data!$A$2:$D$12000,4,FALSE)</f>
        <v>-2.56</v>
      </c>
      <c r="Q1094">
        <f>VLOOKUP($B1094&amp;Q$1,Data!$A$2:$D$12000,4,FALSE)</f>
        <v>861</v>
      </c>
      <c r="R1094">
        <f>VLOOKUP($B1094&amp;R$1,Data!$A$2:$D$12000,4,FALSE)</f>
        <v>6.9999999999999999E-4</v>
      </c>
      <c r="S1094">
        <f>VLOOKUP($B1094&amp;S$1,Data!$A$2:$D$12000,4,FALSE)</f>
        <v>-2.7000000000000001E-3</v>
      </c>
      <c r="T1094">
        <f>VLOOKUP($B1094&amp;T$1,Data!$A$2:$D$12000,4,FALSE)</f>
        <v>-0.13861000000000001</v>
      </c>
      <c r="U1094">
        <f>VLOOKUP($B1094&amp;U$1,Data!$A$2:$D$12000,4,FALSE)</f>
        <v>0.10100000000000001</v>
      </c>
      <c r="V1094">
        <f>VLOOKUP($B1094&amp;V$1,Data!$A$2:$D$12000,4,FALSE)</f>
        <v>-0.19400000000000001</v>
      </c>
      <c r="W1094">
        <f>VLOOKUP($B1094&amp;W$1,Data!$A$2:$D$12000,4,FALSE)</f>
        <v>-9.4549999999999995E-2</v>
      </c>
      <c r="X1094">
        <f>VLOOKUP($B1094&amp;X$1,Data!$A$2:$D$12000,4,FALSE)</f>
        <v>0.37</v>
      </c>
      <c r="Y1094">
        <f>VLOOKUP($B1094&amp;Y$1,Data!$A$2:$D$12000,4,FALSE)</f>
        <v>0.63</v>
      </c>
      <c r="Z1094">
        <f>VLOOKUP($B1094&amp;Z$1,Data!$A$2:$D$12000,4,FALSE)</f>
        <v>0.27</v>
      </c>
      <c r="AA1094">
        <f>VLOOKUP($B1094&amp;AA$1,Data!$A$2:$D$12000,4,FALSE)</f>
        <v>-9.6000000000000002E-2</v>
      </c>
      <c r="AB1094">
        <f>VLOOKUP($B1094&amp;AB$1,Data!$A$2:$D$12000,4,FALSE)</f>
        <v>-3.4000000000000002E-2</v>
      </c>
      <c r="AC1094">
        <f>VLOOKUP($B1094&amp;AC$1,Data!$A$2:$D$12000,4,FALSE)</f>
        <v>3.7999999999999999E-2</v>
      </c>
      <c r="AD1094">
        <f>VLOOKUP($B1094&amp;AD$1,Data!$A$2:$D$12000,4,FALSE)</f>
        <v>1E-3</v>
      </c>
      <c r="AE1094">
        <f>VLOOKUP($B1094&amp;AE$1,Data!$A$2:$D$12000,4,FALSE)</f>
        <v>-1.887</v>
      </c>
      <c r="AF1094">
        <f>VLOOKUP($B1094&amp;AF$1,Data!$A$2:$D$12000,4,FALSE)</f>
        <v>7.9000000000000001E-2</v>
      </c>
      <c r="AG1094">
        <f>VLOOKUP($B1094&amp;AG$1,Data!$A$2:$D$12000,4,FALSE)</f>
        <v>2.8940000000000001</v>
      </c>
      <c r="AH1094">
        <f>VLOOKUP($B1094&amp;AH$1,Data!$A$2:$D$12000,4,FALSE)</f>
        <v>0</v>
      </c>
      <c r="AI1094">
        <f>VLOOKUP($B1094&amp;AI$1,Data!$A$2:$D$12000,4,FALSE)</f>
        <v>4800000</v>
      </c>
    </row>
    <row r="1095" spans="2:35" hidden="1">
      <c r="B1095" s="24">
        <v>1093</v>
      </c>
      <c r="C1095" s="13" t="s">
        <v>58</v>
      </c>
      <c r="D1095" t="s">
        <v>20</v>
      </c>
      <c r="E1095" t="s">
        <v>2</v>
      </c>
      <c r="F1095">
        <v>10</v>
      </c>
      <c r="G1095" t="s">
        <v>17</v>
      </c>
      <c r="H1095" s="5">
        <v>43831</v>
      </c>
      <c r="I1095" s="5">
        <v>44562</v>
      </c>
      <c r="J1095">
        <v>14</v>
      </c>
      <c r="K1095">
        <v>9</v>
      </c>
      <c r="L1095">
        <v>32</v>
      </c>
      <c r="M1095">
        <v>68</v>
      </c>
      <c r="N1095">
        <v>10000</v>
      </c>
      <c r="O1095">
        <f>VLOOKUP($B1095&amp;O$1,Data!$A$2:$D$12000,4,FALSE)</f>
        <v>7.2899999999999996E-3</v>
      </c>
      <c r="P1095">
        <f>VLOOKUP($B1095&amp;P$1,Data!$A$2:$D$12000,4,FALSE)</f>
        <v>-1.2549999999999999</v>
      </c>
      <c r="Q1095">
        <f>VLOOKUP($B1095&amp;Q$1,Data!$A$2:$D$12000,4,FALSE)</f>
        <v>1095</v>
      </c>
      <c r="R1095">
        <f>VLOOKUP($B1095&amp;R$1,Data!$A$2:$D$12000,4,FALSE)</f>
        <v>5.0000000000000001E-4</v>
      </c>
      <c r="S1095">
        <f>VLOOKUP($B1095&amp;S$1,Data!$A$2:$D$12000,4,FALSE)</f>
        <v>-1.5E-3</v>
      </c>
      <c r="T1095">
        <f>VLOOKUP($B1095&amp;T$1,Data!$A$2:$D$12000,4,FALSE)</f>
        <v>-4.5679999999999998E-2</v>
      </c>
      <c r="U1095">
        <f>VLOOKUP($B1095&amp;U$1,Data!$A$2:$D$12000,4,FALSE)</f>
        <v>0.04</v>
      </c>
      <c r="V1095">
        <f>VLOOKUP($B1095&amp;V$1,Data!$A$2:$D$12000,4,FALSE)</f>
        <v>-0.122</v>
      </c>
      <c r="W1095">
        <f>VLOOKUP($B1095&amp;W$1,Data!$A$2:$D$12000,4,FALSE)</f>
        <v>-3.0640000000000001E-2</v>
      </c>
      <c r="X1095">
        <f>VLOOKUP($B1095&amp;X$1,Data!$A$2:$D$12000,4,FALSE)</f>
        <v>0.35</v>
      </c>
      <c r="Y1095">
        <f>VLOOKUP($B1095&amp;Y$1,Data!$A$2:$D$12000,4,FALSE)</f>
        <v>0.65</v>
      </c>
      <c r="Z1095">
        <f>VLOOKUP($B1095&amp;Z$1,Data!$A$2:$D$12000,4,FALSE)</f>
        <v>0.35</v>
      </c>
      <c r="AA1095">
        <f>VLOOKUP($B1095&amp;AA$1,Data!$A$2:$D$12000,4,FALSE)</f>
        <v>-3.2000000000000001E-2</v>
      </c>
      <c r="AB1095">
        <f>VLOOKUP($B1095&amp;AB$1,Data!$A$2:$D$12000,4,FALSE)</f>
        <v>1E-3</v>
      </c>
      <c r="AC1095">
        <f>VLOOKUP($B1095&amp;AC$1,Data!$A$2:$D$12000,4,FALSE)</f>
        <v>2.5000000000000001E-2</v>
      </c>
      <c r="AD1095">
        <f>VLOOKUP($B1095&amp;AD$1,Data!$A$2:$D$12000,4,FALSE)</f>
        <v>1E-3</v>
      </c>
      <c r="AE1095">
        <f>VLOOKUP($B1095&amp;AE$1,Data!$A$2:$D$12000,4,FALSE)</f>
        <v>-1.1639999999999999</v>
      </c>
      <c r="AF1095">
        <f>VLOOKUP($B1095&amp;AF$1,Data!$A$2:$D$12000,4,FALSE)</f>
        <v>7.1999999999999995E-2</v>
      </c>
      <c r="AG1095">
        <f>VLOOKUP($B1095&amp;AG$1,Data!$A$2:$D$12000,4,FALSE)</f>
        <v>-24.388000000000002</v>
      </c>
      <c r="AH1095">
        <f>VLOOKUP($B1095&amp;AH$1,Data!$A$2:$D$12000,4,FALSE)</f>
        <v>0</v>
      </c>
      <c r="AI1095">
        <f>VLOOKUP($B1095&amp;AI$1,Data!$A$2:$D$12000,4,FALSE)</f>
        <v>5500000</v>
      </c>
    </row>
    <row r="1096" spans="2:35" hidden="1">
      <c r="B1096" s="24">
        <v>1094</v>
      </c>
      <c r="C1096" s="13" t="s">
        <v>58</v>
      </c>
      <c r="D1096" t="s">
        <v>20</v>
      </c>
      <c r="E1096" t="s">
        <v>2</v>
      </c>
      <c r="F1096">
        <v>100</v>
      </c>
      <c r="G1096" t="s">
        <v>17</v>
      </c>
      <c r="H1096" s="5">
        <v>43831</v>
      </c>
      <c r="I1096" s="5">
        <v>44562</v>
      </c>
      <c r="J1096">
        <v>14</v>
      </c>
      <c r="K1096">
        <v>9</v>
      </c>
      <c r="L1096">
        <v>32</v>
      </c>
      <c r="M1096">
        <v>68</v>
      </c>
      <c r="N1096">
        <v>10000</v>
      </c>
      <c r="O1096">
        <f>VLOOKUP($B1096&amp;O$1,Data!$A$2:$D$12000,4,FALSE)</f>
        <v>6.0000000000000002E-5</v>
      </c>
      <c r="P1096">
        <f>VLOOKUP($B1096&amp;P$1,Data!$A$2:$D$12000,4,FALSE)</f>
        <v>-2.2080000000000002</v>
      </c>
      <c r="Q1096">
        <f>VLOOKUP($B1096&amp;Q$1,Data!$A$2:$D$12000,4,FALSE)</f>
        <v>702</v>
      </c>
      <c r="R1096">
        <f>VLOOKUP($B1096&amp;R$1,Data!$A$2:$D$12000,4,FALSE)</f>
        <v>5.9999999999999995E-4</v>
      </c>
      <c r="S1096">
        <f>VLOOKUP($B1096&amp;S$1,Data!$A$2:$D$12000,4,FALSE)</f>
        <v>-2.3E-3</v>
      </c>
      <c r="T1096">
        <f>VLOOKUP($B1096&amp;T$1,Data!$A$2:$D$12000,4,FALSE)</f>
        <v>-8.9700000000000002E-2</v>
      </c>
      <c r="U1096">
        <f>VLOOKUP($B1096&amp;U$1,Data!$A$2:$D$12000,4,FALSE)</f>
        <v>6.7000000000000004E-2</v>
      </c>
      <c r="V1096">
        <f>VLOOKUP($B1096&amp;V$1,Data!$A$2:$D$12000,4,FALSE)</f>
        <v>-0.192</v>
      </c>
      <c r="W1096">
        <f>VLOOKUP($B1096&amp;W$1,Data!$A$2:$D$12000,4,FALSE)</f>
        <v>-6.0639999999999999E-2</v>
      </c>
      <c r="X1096">
        <f>VLOOKUP($B1096&amp;X$1,Data!$A$2:$D$12000,4,FALSE)</f>
        <v>0.35</v>
      </c>
      <c r="Y1096">
        <f>VLOOKUP($B1096&amp;Y$1,Data!$A$2:$D$12000,4,FALSE)</f>
        <v>0.65</v>
      </c>
      <c r="Z1096">
        <f>VLOOKUP($B1096&amp;Z$1,Data!$A$2:$D$12000,4,FALSE)</f>
        <v>0.25</v>
      </c>
      <c r="AA1096">
        <f>VLOOKUP($B1096&amp;AA$1,Data!$A$2:$D$12000,4,FALSE)</f>
        <v>-6.4000000000000001E-2</v>
      </c>
      <c r="AB1096">
        <f>VLOOKUP($B1096&amp;AB$1,Data!$A$2:$D$12000,4,FALSE)</f>
        <v>2.8000000000000001E-2</v>
      </c>
      <c r="AC1096">
        <f>VLOOKUP($B1096&amp;AC$1,Data!$A$2:$D$12000,4,FALSE)</f>
        <v>2.8000000000000001E-2</v>
      </c>
      <c r="AD1096">
        <f>VLOOKUP($B1096&amp;AD$1,Data!$A$2:$D$12000,4,FALSE)</f>
        <v>1E-3</v>
      </c>
      <c r="AE1096">
        <f>VLOOKUP($B1096&amp;AE$1,Data!$A$2:$D$12000,4,FALSE)</f>
        <v>-1.609</v>
      </c>
      <c r="AF1096">
        <f>VLOOKUP($B1096&amp;AF$1,Data!$A$2:$D$12000,4,FALSE)</f>
        <v>7.0999999999999994E-2</v>
      </c>
      <c r="AG1096">
        <f>VLOOKUP($B1096&amp;AG$1,Data!$A$2:$D$12000,4,FALSE)</f>
        <v>-2.222</v>
      </c>
      <c r="AH1096">
        <f>VLOOKUP($B1096&amp;AH$1,Data!$A$2:$D$12000,4,FALSE)</f>
        <v>0</v>
      </c>
      <c r="AI1096">
        <f>VLOOKUP($B1096&amp;AI$1,Data!$A$2:$D$12000,4,FALSE)</f>
        <v>5100000</v>
      </c>
    </row>
    <row r="1097" spans="2:35" hidden="1">
      <c r="B1097" s="24">
        <v>1095</v>
      </c>
      <c r="C1097" s="13" t="s">
        <v>58</v>
      </c>
      <c r="D1097" t="s">
        <v>20</v>
      </c>
      <c r="E1097" t="s">
        <v>2</v>
      </c>
      <c r="F1097">
        <v>200</v>
      </c>
      <c r="G1097" t="s">
        <v>17</v>
      </c>
      <c r="H1097" s="5">
        <v>43831</v>
      </c>
      <c r="I1097" s="5">
        <v>44562</v>
      </c>
      <c r="J1097">
        <v>14</v>
      </c>
      <c r="K1097">
        <v>9</v>
      </c>
      <c r="L1097">
        <v>32</v>
      </c>
      <c r="M1097">
        <v>68</v>
      </c>
      <c r="N1097">
        <v>10000</v>
      </c>
      <c r="O1097">
        <f>VLOOKUP($B1097&amp;O$1,Data!$A$2:$D$12000,4,FALSE)</f>
        <v>1.4E-3</v>
      </c>
      <c r="P1097">
        <f>VLOOKUP($B1097&amp;P$1,Data!$A$2:$D$12000,4,FALSE)</f>
        <v>-1.778</v>
      </c>
      <c r="Q1097">
        <f>VLOOKUP($B1097&amp;Q$1,Data!$A$2:$D$12000,4,FALSE)</f>
        <v>585</v>
      </c>
      <c r="R1097">
        <f>VLOOKUP($B1097&amp;R$1,Data!$A$2:$D$12000,4,FALSE)</f>
        <v>5.9999999999999995E-4</v>
      </c>
      <c r="S1097">
        <f>VLOOKUP($B1097&amp;S$1,Data!$A$2:$D$12000,4,FALSE)</f>
        <v>-2.2000000000000001E-3</v>
      </c>
      <c r="T1097">
        <f>VLOOKUP($B1097&amp;T$1,Data!$A$2:$D$12000,4,FALSE)</f>
        <v>-6.769E-2</v>
      </c>
      <c r="U1097">
        <f>VLOOKUP($B1097&amp;U$1,Data!$A$2:$D$12000,4,FALSE)</f>
        <v>5.2999999999999999E-2</v>
      </c>
      <c r="V1097">
        <f>VLOOKUP($B1097&amp;V$1,Data!$A$2:$D$12000,4,FALSE)</f>
        <v>-0.16</v>
      </c>
      <c r="W1097">
        <f>VLOOKUP($B1097&amp;W$1,Data!$A$2:$D$12000,4,FALSE)</f>
        <v>-4.5589999999999999E-2</v>
      </c>
      <c r="X1097">
        <f>VLOOKUP($B1097&amp;X$1,Data!$A$2:$D$12000,4,FALSE)</f>
        <v>0.34</v>
      </c>
      <c r="Y1097">
        <f>VLOOKUP($B1097&amp;Y$1,Data!$A$2:$D$12000,4,FALSE)</f>
        <v>0.66</v>
      </c>
      <c r="Z1097">
        <f>VLOOKUP($B1097&amp;Z$1,Data!$A$2:$D$12000,4,FALSE)</f>
        <v>0.28000000000000003</v>
      </c>
      <c r="AA1097">
        <f>VLOOKUP($B1097&amp;AA$1,Data!$A$2:$D$12000,4,FALSE)</f>
        <v>-4.5999999999999999E-2</v>
      </c>
      <c r="AB1097">
        <f>VLOOKUP($B1097&amp;AB$1,Data!$A$2:$D$12000,4,FALSE)</f>
        <v>-1.2999999999999999E-2</v>
      </c>
      <c r="AC1097">
        <f>VLOOKUP($B1097&amp;AC$1,Data!$A$2:$D$12000,4,FALSE)</f>
        <v>2.5999999999999999E-2</v>
      </c>
      <c r="AD1097">
        <f>VLOOKUP($B1097&amp;AD$1,Data!$A$2:$D$12000,4,FALSE)</f>
        <v>1E-3</v>
      </c>
      <c r="AE1097">
        <f>VLOOKUP($B1097&amp;AE$1,Data!$A$2:$D$12000,4,FALSE)</f>
        <v>-1.3180000000000001</v>
      </c>
      <c r="AF1097">
        <f>VLOOKUP($B1097&amp;AF$1,Data!$A$2:$D$12000,4,FALSE)</f>
        <v>7.2999999999999995E-2</v>
      </c>
      <c r="AG1097">
        <f>VLOOKUP($B1097&amp;AG$1,Data!$A$2:$D$12000,4,FALSE)</f>
        <v>3.6850000000000001</v>
      </c>
      <c r="AH1097">
        <f>VLOOKUP($B1097&amp;AH$1,Data!$A$2:$D$12000,4,FALSE)</f>
        <v>0</v>
      </c>
      <c r="AI1097">
        <f>VLOOKUP($B1097&amp;AI$1,Data!$A$2:$D$12000,4,FALSE)</f>
        <v>5300000</v>
      </c>
    </row>
    <row r="1098" spans="2:35" hidden="1">
      <c r="B1098" s="24">
        <v>1096</v>
      </c>
      <c r="C1098" s="13" t="s">
        <v>58</v>
      </c>
      <c r="D1098" t="s">
        <v>20</v>
      </c>
      <c r="E1098" t="s">
        <v>22</v>
      </c>
      <c r="F1098">
        <v>10</v>
      </c>
      <c r="G1098" t="s">
        <v>17</v>
      </c>
      <c r="H1098" s="5">
        <v>43831</v>
      </c>
      <c r="I1098" s="5">
        <v>44562</v>
      </c>
      <c r="J1098">
        <v>14</v>
      </c>
      <c r="K1098">
        <v>9</v>
      </c>
      <c r="L1098">
        <v>32</v>
      </c>
      <c r="M1098">
        <v>68</v>
      </c>
      <c r="N1098">
        <v>10000</v>
      </c>
      <c r="O1098">
        <f>VLOOKUP($B1098&amp;O$1,Data!$A$2:$D$12000,4,FALSE)</f>
        <v>0</v>
      </c>
      <c r="P1098">
        <f>VLOOKUP($B1098&amp;P$1,Data!$A$2:$D$12000,4,FALSE)</f>
        <v>-2.6419999999999999</v>
      </c>
      <c r="Q1098">
        <f>VLOOKUP($B1098&amp;Q$1,Data!$A$2:$D$12000,4,FALSE)</f>
        <v>794</v>
      </c>
      <c r="R1098">
        <f>VLOOKUP($B1098&amp;R$1,Data!$A$2:$D$12000,4,FALSE)</f>
        <v>2.9999999999999997E-4</v>
      </c>
      <c r="S1098">
        <f>VLOOKUP($B1098&amp;S$1,Data!$A$2:$D$12000,4,FALSE)</f>
        <v>-2.3E-3</v>
      </c>
      <c r="T1098">
        <f>VLOOKUP($B1098&amp;T$1,Data!$A$2:$D$12000,4,FALSE)</f>
        <v>-0.10329000000000001</v>
      </c>
      <c r="U1098">
        <f>VLOOKUP($B1098&amp;U$1,Data!$A$2:$D$12000,4,FALSE)</f>
        <v>7.1999999999999995E-2</v>
      </c>
      <c r="V1098">
        <f>VLOOKUP($B1098&amp;V$1,Data!$A$2:$D$12000,4,FALSE)</f>
        <v>-0.245</v>
      </c>
      <c r="W1098">
        <f>VLOOKUP($B1098&amp;W$1,Data!$A$2:$D$12000,4,FALSE)</f>
        <v>-7.0000000000000007E-2</v>
      </c>
      <c r="X1098">
        <f>VLOOKUP($B1098&amp;X$1,Data!$A$2:$D$12000,4,FALSE)</f>
        <v>0.33</v>
      </c>
      <c r="Y1098">
        <f>VLOOKUP($B1098&amp;Y$1,Data!$A$2:$D$12000,4,FALSE)</f>
        <v>0.67</v>
      </c>
      <c r="Z1098">
        <f>VLOOKUP($B1098&amp;Z$1,Data!$A$2:$D$12000,4,FALSE)</f>
        <v>0.13</v>
      </c>
      <c r="AA1098">
        <f>VLOOKUP($B1098&amp;AA$1,Data!$A$2:$D$12000,4,FALSE)</f>
        <v>-7.3999999999999996E-2</v>
      </c>
      <c r="AB1098">
        <f>VLOOKUP($B1098&amp;AB$1,Data!$A$2:$D$12000,4,FALSE)</f>
        <v>2.5999999999999999E-2</v>
      </c>
      <c r="AC1098">
        <f>VLOOKUP($B1098&amp;AC$1,Data!$A$2:$D$12000,4,FALSE)</f>
        <v>2.7E-2</v>
      </c>
      <c r="AD1098">
        <f>VLOOKUP($B1098&amp;AD$1,Data!$A$2:$D$12000,4,FALSE)</f>
        <v>1E-3</v>
      </c>
      <c r="AE1098">
        <f>VLOOKUP($B1098&amp;AE$1,Data!$A$2:$D$12000,4,FALSE)</f>
        <v>-1.752</v>
      </c>
      <c r="AF1098">
        <f>VLOOKUP($B1098&amp;AF$1,Data!$A$2:$D$12000,4,FALSE)</f>
        <v>7.0999999999999994E-2</v>
      </c>
      <c r="AG1098">
        <f>VLOOKUP($B1098&amp;AG$1,Data!$A$2:$D$12000,4,FALSE)</f>
        <v>-2.8119999999999998</v>
      </c>
      <c r="AH1098">
        <f>VLOOKUP($B1098&amp;AH$1,Data!$A$2:$D$12000,4,FALSE)</f>
        <v>0</v>
      </c>
      <c r="AI1098">
        <f>VLOOKUP($B1098&amp;AI$1,Data!$A$2:$D$12000,4,FALSE)</f>
        <v>64000000</v>
      </c>
    </row>
    <row r="1099" spans="2:35" hidden="1">
      <c r="B1099" s="24">
        <v>1097</v>
      </c>
      <c r="C1099" s="13" t="s">
        <v>58</v>
      </c>
      <c r="D1099" t="s">
        <v>20</v>
      </c>
      <c r="E1099" t="s">
        <v>22</v>
      </c>
      <c r="F1099">
        <v>100</v>
      </c>
      <c r="G1099" t="s">
        <v>17</v>
      </c>
      <c r="H1099" s="5">
        <v>43831</v>
      </c>
      <c r="I1099" s="5">
        <v>44562</v>
      </c>
      <c r="J1099">
        <v>14</v>
      </c>
      <c r="K1099">
        <v>9</v>
      </c>
      <c r="L1099">
        <v>32</v>
      </c>
      <c r="M1099">
        <v>68</v>
      </c>
      <c r="N1099">
        <v>10000</v>
      </c>
      <c r="O1099">
        <f>VLOOKUP($B1099&amp;O$1,Data!$A$2:$D$12000,4,FALSE)</f>
        <v>0</v>
      </c>
      <c r="P1099">
        <f>VLOOKUP($B1099&amp;P$1,Data!$A$2:$D$12000,4,FALSE)</f>
        <v>-2.6579999999999999</v>
      </c>
      <c r="Q1099">
        <f>VLOOKUP($B1099&amp;Q$1,Data!$A$2:$D$12000,4,FALSE)</f>
        <v>545</v>
      </c>
      <c r="R1099">
        <f>VLOOKUP($B1099&amp;R$1,Data!$A$2:$D$12000,4,FALSE)</f>
        <v>5.0000000000000001E-4</v>
      </c>
      <c r="S1099">
        <f>VLOOKUP($B1099&amp;S$1,Data!$A$2:$D$12000,4,FALSE)</f>
        <v>-3.3E-3</v>
      </c>
      <c r="T1099">
        <f>VLOOKUP($B1099&amp;T$1,Data!$A$2:$D$12000,4,FALSE)</f>
        <v>-0.13381000000000001</v>
      </c>
      <c r="U1099">
        <f>VLOOKUP($B1099&amp;U$1,Data!$A$2:$D$12000,4,FALSE)</f>
        <v>9.2999999999999999E-2</v>
      </c>
      <c r="V1099">
        <f>VLOOKUP($B1099&amp;V$1,Data!$A$2:$D$12000,4,FALSE)</f>
        <v>-0.24399999999999999</v>
      </c>
      <c r="W1099">
        <f>VLOOKUP($B1099&amp;W$1,Data!$A$2:$D$12000,4,FALSE)</f>
        <v>-9.1189999999999993E-2</v>
      </c>
      <c r="X1099">
        <f>VLOOKUP($B1099&amp;X$1,Data!$A$2:$D$12000,4,FALSE)</f>
        <v>0.35</v>
      </c>
      <c r="Y1099">
        <f>VLOOKUP($B1099&amp;Y$1,Data!$A$2:$D$12000,4,FALSE)</f>
        <v>0.65</v>
      </c>
      <c r="Z1099">
        <f>VLOOKUP($B1099&amp;Z$1,Data!$A$2:$D$12000,4,FALSE)</f>
        <v>0.16</v>
      </c>
      <c r="AA1099">
        <f>VLOOKUP($B1099&amp;AA$1,Data!$A$2:$D$12000,4,FALSE)</f>
        <v>-9.6000000000000002E-2</v>
      </c>
      <c r="AB1099">
        <f>VLOOKUP($B1099&amp;AB$1,Data!$A$2:$D$12000,4,FALSE)</f>
        <v>3.6999999999999998E-2</v>
      </c>
      <c r="AC1099">
        <f>VLOOKUP($B1099&amp;AC$1,Data!$A$2:$D$12000,4,FALSE)</f>
        <v>3.5000000000000003E-2</v>
      </c>
      <c r="AD1099">
        <f>VLOOKUP($B1099&amp;AD$1,Data!$A$2:$D$12000,4,FALSE)</f>
        <v>1E-3</v>
      </c>
      <c r="AE1099">
        <f>VLOOKUP($B1099&amp;AE$1,Data!$A$2:$D$12000,4,FALSE)</f>
        <v>-1.98</v>
      </c>
      <c r="AF1099">
        <f>VLOOKUP($B1099&amp;AF$1,Data!$A$2:$D$12000,4,FALSE)</f>
        <v>7.3999999999999996E-2</v>
      </c>
      <c r="AG1099">
        <f>VLOOKUP($B1099&amp;AG$1,Data!$A$2:$D$12000,4,FALSE)</f>
        <v>-2.5659999999999998</v>
      </c>
      <c r="AH1099">
        <f>VLOOKUP($B1099&amp;AH$1,Data!$A$2:$D$12000,4,FALSE)</f>
        <v>0</v>
      </c>
      <c r="AI1099">
        <f>VLOOKUP($B1099&amp;AI$1,Data!$A$2:$D$12000,4,FALSE)</f>
        <v>11000000</v>
      </c>
    </row>
    <row r="1100" spans="2:35" hidden="1">
      <c r="B1100" s="24">
        <v>1098</v>
      </c>
      <c r="C1100" s="13" t="s">
        <v>58</v>
      </c>
      <c r="D1100" t="s">
        <v>20</v>
      </c>
      <c r="E1100" t="s">
        <v>22</v>
      </c>
      <c r="F1100">
        <v>200</v>
      </c>
      <c r="G1100" t="s">
        <v>17</v>
      </c>
      <c r="H1100" s="5">
        <v>43831</v>
      </c>
      <c r="I1100" s="5">
        <v>44562</v>
      </c>
      <c r="J1100">
        <v>14</v>
      </c>
      <c r="K1100">
        <v>9</v>
      </c>
      <c r="L1100">
        <v>32</v>
      </c>
      <c r="M1100">
        <v>68</v>
      </c>
      <c r="N1100">
        <v>10000</v>
      </c>
      <c r="O1100">
        <f>VLOOKUP($B1100&amp;O$1,Data!$A$2:$D$12000,4,FALSE)</f>
        <v>4.0000000000000003E-5</v>
      </c>
      <c r="P1100">
        <f>VLOOKUP($B1100&amp;P$1,Data!$A$2:$D$12000,4,FALSE)</f>
        <v>-2.198</v>
      </c>
      <c r="Q1100">
        <f>VLOOKUP($B1100&amp;Q$1,Data!$A$2:$D$12000,4,FALSE)</f>
        <v>471</v>
      </c>
      <c r="R1100">
        <f>VLOOKUP($B1100&amp;R$1,Data!$A$2:$D$12000,4,FALSE)</f>
        <v>5.9999999999999995E-4</v>
      </c>
      <c r="S1100">
        <f>VLOOKUP($B1100&amp;S$1,Data!$A$2:$D$12000,4,FALSE)</f>
        <v>-3.2000000000000002E-3</v>
      </c>
      <c r="T1100">
        <f>VLOOKUP($B1100&amp;T$1,Data!$A$2:$D$12000,4,FALSE)</f>
        <v>-0.10177</v>
      </c>
      <c r="U1100">
        <f>VLOOKUP($B1100&amp;U$1,Data!$A$2:$D$12000,4,FALSE)</f>
        <v>7.0000000000000007E-2</v>
      </c>
      <c r="V1100">
        <f>VLOOKUP($B1100&amp;V$1,Data!$A$2:$D$12000,4,FALSE)</f>
        <v>-0.19800000000000001</v>
      </c>
      <c r="W1100">
        <f>VLOOKUP($B1100&amp;W$1,Data!$A$2:$D$12000,4,FALSE)</f>
        <v>-6.8949999999999997E-2</v>
      </c>
      <c r="X1100">
        <f>VLOOKUP($B1100&amp;X$1,Data!$A$2:$D$12000,4,FALSE)</f>
        <v>0.33</v>
      </c>
      <c r="Y1100">
        <f>VLOOKUP($B1100&amp;Y$1,Data!$A$2:$D$12000,4,FALSE)</f>
        <v>0.67</v>
      </c>
      <c r="Z1100">
        <f>VLOOKUP($B1100&amp;Z$1,Data!$A$2:$D$12000,4,FALSE)</f>
        <v>0.19</v>
      </c>
      <c r="AA1100">
        <f>VLOOKUP($B1100&amp;AA$1,Data!$A$2:$D$12000,4,FALSE)</f>
        <v>-7.0000000000000007E-2</v>
      </c>
      <c r="AB1100">
        <f>VLOOKUP($B1100&amp;AB$1,Data!$A$2:$D$12000,4,FALSE)</f>
        <v>-1.4999999999999999E-2</v>
      </c>
      <c r="AC1100">
        <f>VLOOKUP($B1100&amp;AC$1,Data!$A$2:$D$12000,4,FALSE)</f>
        <v>3.2000000000000001E-2</v>
      </c>
      <c r="AD1100">
        <f>VLOOKUP($B1100&amp;AD$1,Data!$A$2:$D$12000,4,FALSE)</f>
        <v>1E-3</v>
      </c>
      <c r="AE1100">
        <f>VLOOKUP($B1100&amp;AE$1,Data!$A$2:$D$12000,4,FALSE)</f>
        <v>-1.63</v>
      </c>
      <c r="AF1100">
        <f>VLOOKUP($B1100&amp;AF$1,Data!$A$2:$D$12000,4,FALSE)</f>
        <v>7.5999999999999998E-2</v>
      </c>
      <c r="AG1100">
        <f>VLOOKUP($B1100&amp;AG$1,Data!$A$2:$D$12000,4,FALSE)</f>
        <v>4.7539999999999996</v>
      </c>
      <c r="AH1100">
        <f>VLOOKUP($B1100&amp;AH$1,Data!$A$2:$D$12000,4,FALSE)</f>
        <v>0</v>
      </c>
      <c r="AI1100">
        <f>VLOOKUP($B1100&amp;AI$1,Data!$A$2:$D$12000,4,FALSE)</f>
        <v>7900000</v>
      </c>
    </row>
    <row r="1101" spans="2:35" hidden="1">
      <c r="B1101">
        <v>1099</v>
      </c>
      <c r="C1101" s="13" t="s">
        <v>58</v>
      </c>
      <c r="D1101" t="s">
        <v>20</v>
      </c>
      <c r="E1101" t="s">
        <v>3</v>
      </c>
      <c r="F1101">
        <v>10</v>
      </c>
      <c r="G1101" t="s">
        <v>17</v>
      </c>
      <c r="H1101" s="5">
        <v>43831</v>
      </c>
      <c r="I1101" s="5">
        <v>44562</v>
      </c>
      <c r="J1101">
        <v>14</v>
      </c>
      <c r="K1101">
        <v>9</v>
      </c>
      <c r="L1101">
        <v>28</v>
      </c>
      <c r="M1101">
        <v>72</v>
      </c>
      <c r="N1101">
        <v>10000</v>
      </c>
      <c r="W1101"/>
    </row>
    <row r="1102" spans="2:35" hidden="1">
      <c r="B1102">
        <v>1100</v>
      </c>
      <c r="C1102" s="13" t="s">
        <v>58</v>
      </c>
      <c r="D1102" t="s">
        <v>20</v>
      </c>
      <c r="E1102" t="s">
        <v>3</v>
      </c>
      <c r="F1102">
        <v>100</v>
      </c>
      <c r="G1102" t="s">
        <v>17</v>
      </c>
      <c r="H1102" s="5">
        <v>43831</v>
      </c>
      <c r="I1102" s="5">
        <v>44562</v>
      </c>
      <c r="J1102">
        <v>14</v>
      </c>
      <c r="K1102">
        <v>9</v>
      </c>
      <c r="L1102">
        <v>28</v>
      </c>
      <c r="M1102">
        <v>72</v>
      </c>
      <c r="N1102">
        <v>10000</v>
      </c>
      <c r="W1102"/>
    </row>
    <row r="1103" spans="2:35" hidden="1">
      <c r="B1103">
        <v>1101</v>
      </c>
      <c r="C1103" s="13" t="s">
        <v>58</v>
      </c>
      <c r="D1103" t="s">
        <v>20</v>
      </c>
      <c r="E1103" t="s">
        <v>3</v>
      </c>
      <c r="F1103">
        <v>200</v>
      </c>
      <c r="G1103" t="s">
        <v>17</v>
      </c>
      <c r="H1103" s="5">
        <v>43831</v>
      </c>
      <c r="I1103" s="5">
        <v>44562</v>
      </c>
      <c r="J1103">
        <v>14</v>
      </c>
      <c r="K1103">
        <v>9</v>
      </c>
      <c r="L1103">
        <v>28</v>
      </c>
      <c r="M1103">
        <v>72</v>
      </c>
      <c r="N1103">
        <v>10000</v>
      </c>
      <c r="W1103"/>
    </row>
    <row r="1104" spans="2:35" hidden="1">
      <c r="B1104">
        <v>1102</v>
      </c>
      <c r="C1104" s="13" t="s">
        <v>58</v>
      </c>
      <c r="D1104" t="s">
        <v>20</v>
      </c>
      <c r="E1104" t="s">
        <v>2</v>
      </c>
      <c r="F1104">
        <v>10</v>
      </c>
      <c r="G1104" t="s">
        <v>17</v>
      </c>
      <c r="H1104" s="5">
        <v>43831</v>
      </c>
      <c r="I1104" s="5">
        <v>44562</v>
      </c>
      <c r="J1104">
        <v>14</v>
      </c>
      <c r="K1104">
        <v>9</v>
      </c>
      <c r="L1104">
        <v>28</v>
      </c>
      <c r="M1104">
        <v>72</v>
      </c>
      <c r="N1104">
        <v>10000</v>
      </c>
      <c r="W1104"/>
    </row>
    <row r="1105" spans="2:35" hidden="1">
      <c r="B1105">
        <v>1103</v>
      </c>
      <c r="C1105" s="13" t="s">
        <v>58</v>
      </c>
      <c r="D1105" t="s">
        <v>20</v>
      </c>
      <c r="E1105" t="s">
        <v>2</v>
      </c>
      <c r="F1105">
        <v>100</v>
      </c>
      <c r="G1105" t="s">
        <v>17</v>
      </c>
      <c r="H1105" s="5">
        <v>43831</v>
      </c>
      <c r="I1105" s="5">
        <v>44562</v>
      </c>
      <c r="J1105">
        <v>14</v>
      </c>
      <c r="K1105">
        <v>9</v>
      </c>
      <c r="L1105">
        <v>28</v>
      </c>
      <c r="M1105">
        <v>72</v>
      </c>
      <c r="N1105">
        <v>10000</v>
      </c>
      <c r="W1105"/>
    </row>
    <row r="1106" spans="2:35" hidden="1">
      <c r="B1106">
        <v>1104</v>
      </c>
      <c r="C1106" s="13" t="s">
        <v>58</v>
      </c>
      <c r="D1106" t="s">
        <v>20</v>
      </c>
      <c r="E1106" t="s">
        <v>2</v>
      </c>
      <c r="F1106">
        <v>200</v>
      </c>
      <c r="G1106" t="s">
        <v>17</v>
      </c>
      <c r="H1106" s="5">
        <v>43831</v>
      </c>
      <c r="I1106" s="5">
        <v>44562</v>
      </c>
      <c r="J1106">
        <v>14</v>
      </c>
      <c r="K1106">
        <v>9</v>
      </c>
      <c r="L1106">
        <v>28</v>
      </c>
      <c r="M1106">
        <v>72</v>
      </c>
      <c r="N1106">
        <v>10000</v>
      </c>
      <c r="W1106"/>
    </row>
    <row r="1107" spans="2:35" hidden="1">
      <c r="B1107">
        <v>1105</v>
      </c>
      <c r="C1107" s="13" t="s">
        <v>58</v>
      </c>
      <c r="D1107" t="s">
        <v>20</v>
      </c>
      <c r="E1107" t="s">
        <v>22</v>
      </c>
      <c r="F1107">
        <v>10</v>
      </c>
      <c r="G1107" t="s">
        <v>17</v>
      </c>
      <c r="H1107" s="5">
        <v>43831</v>
      </c>
      <c r="I1107" s="5">
        <v>44562</v>
      </c>
      <c r="J1107">
        <v>14</v>
      </c>
      <c r="K1107">
        <v>9</v>
      </c>
      <c r="L1107">
        <v>28</v>
      </c>
      <c r="M1107">
        <v>72</v>
      </c>
      <c r="N1107">
        <v>10000</v>
      </c>
      <c r="W1107"/>
    </row>
    <row r="1108" spans="2:35" hidden="1">
      <c r="B1108">
        <v>1106</v>
      </c>
      <c r="C1108" s="13" t="s">
        <v>58</v>
      </c>
      <c r="D1108" t="s">
        <v>20</v>
      </c>
      <c r="E1108" t="s">
        <v>22</v>
      </c>
      <c r="F1108">
        <v>100</v>
      </c>
      <c r="G1108" t="s">
        <v>17</v>
      </c>
      <c r="H1108" s="5">
        <v>43831</v>
      </c>
      <c r="I1108" s="5">
        <v>44562</v>
      </c>
      <c r="J1108">
        <v>14</v>
      </c>
      <c r="K1108">
        <v>9</v>
      </c>
      <c r="L1108">
        <v>28</v>
      </c>
      <c r="M1108">
        <v>72</v>
      </c>
      <c r="N1108">
        <v>10000</v>
      </c>
      <c r="W1108"/>
    </row>
    <row r="1109" spans="2:35" hidden="1">
      <c r="B1109">
        <v>1107</v>
      </c>
      <c r="C1109" s="13" t="s">
        <v>58</v>
      </c>
      <c r="D1109" t="s">
        <v>20</v>
      </c>
      <c r="E1109" t="s">
        <v>22</v>
      </c>
      <c r="F1109">
        <v>200</v>
      </c>
      <c r="G1109" t="s">
        <v>17</v>
      </c>
      <c r="H1109" s="5">
        <v>43831</v>
      </c>
      <c r="I1109" s="5">
        <v>44562</v>
      </c>
      <c r="J1109">
        <v>14</v>
      </c>
      <c r="K1109">
        <v>9</v>
      </c>
      <c r="L1109">
        <v>28</v>
      </c>
      <c r="M1109">
        <v>72</v>
      </c>
      <c r="N1109">
        <v>10000</v>
      </c>
      <c r="W1109"/>
    </row>
    <row r="1110" spans="2:35" hidden="1">
      <c r="B1110" s="23">
        <v>1108</v>
      </c>
      <c r="C1110" s="13" t="s">
        <v>58</v>
      </c>
      <c r="D1110" t="s">
        <v>21</v>
      </c>
      <c r="E1110" t="s">
        <v>3</v>
      </c>
      <c r="F1110">
        <v>10</v>
      </c>
      <c r="G1110" t="s">
        <v>17</v>
      </c>
      <c r="H1110" s="5">
        <v>43831</v>
      </c>
      <c r="I1110" s="5">
        <v>44562</v>
      </c>
      <c r="J1110">
        <v>14</v>
      </c>
      <c r="K1110">
        <v>9</v>
      </c>
      <c r="L1110">
        <v>30</v>
      </c>
      <c r="M1110">
        <v>70</v>
      </c>
      <c r="N1110">
        <v>10000</v>
      </c>
      <c r="O1110">
        <f>VLOOKUP($B1110&amp;O$1,Data!$A$2:$D$12000,4,FALSE)</f>
        <v>0.12814999999999999</v>
      </c>
      <c r="P1110">
        <f>VLOOKUP($B1110&amp;P$1,Data!$A$2:$D$12000,4,FALSE)</f>
        <v>-0.16600000000000001</v>
      </c>
      <c r="Q1110">
        <f>VLOOKUP($B1110&amp;Q$1,Data!$A$2:$D$12000,4,FALSE)</f>
        <v>1771</v>
      </c>
      <c r="R1110">
        <f>VLOOKUP($B1110&amp;R$1,Data!$A$2:$D$12000,4,FALSE)</f>
        <v>0</v>
      </c>
      <c r="S1110">
        <f>VLOOKUP($B1110&amp;S$1,Data!$A$2:$D$12000,4,FALSE)</f>
        <v>-1E-4</v>
      </c>
      <c r="T1110">
        <f>VLOOKUP($B1110&amp;T$1,Data!$A$2:$D$12000,4,FALSE)</f>
        <v>-2.9999999999999997E-4</v>
      </c>
      <c r="U1110">
        <f>VLOOKUP($B1110&amp;U$1,Data!$A$2:$D$12000,4,FALSE)</f>
        <v>2E-3</v>
      </c>
      <c r="V1110">
        <f>VLOOKUP($B1110&amp;V$1,Data!$A$2:$D$12000,4,FALSE)</f>
        <v>-2.1000000000000001E-2</v>
      </c>
      <c r="W1110">
        <f>VLOOKUP($B1110&amp;W$1,Data!$A$2:$D$12000,4,FALSE)</f>
        <v>-2.0000000000000001E-4</v>
      </c>
      <c r="X1110">
        <f>VLOOKUP($B1110&amp;X$1,Data!$A$2:$D$12000,4,FALSE)</f>
        <v>0.36</v>
      </c>
      <c r="Y1110">
        <f>VLOOKUP($B1110&amp;Y$1,Data!$A$2:$D$12000,4,FALSE)</f>
        <v>0.64</v>
      </c>
      <c r="Z1110">
        <f>VLOOKUP($B1110&amp;Z$1,Data!$A$2:$D$12000,4,FALSE)</f>
        <v>0.53</v>
      </c>
      <c r="AA1110">
        <f>VLOOKUP($B1110&amp;AA$1,Data!$A$2:$D$12000,4,FALSE)</f>
        <v>0</v>
      </c>
      <c r="AB1110">
        <f>VLOOKUP($B1110&amp;AB$1,Data!$A$2:$D$12000,4,FALSE)</f>
        <v>-1E-3</v>
      </c>
      <c r="AC1110">
        <f>VLOOKUP($B1110&amp;AC$1,Data!$A$2:$D$12000,4,FALSE)</f>
        <v>1E-3</v>
      </c>
      <c r="AD1110">
        <f>VLOOKUP($B1110&amp;AD$1,Data!$A$2:$D$12000,4,FALSE)</f>
        <v>0</v>
      </c>
      <c r="AE1110">
        <f>VLOOKUP($B1110&amp;AE$1,Data!$A$2:$D$12000,4,FALSE)</f>
        <v>-0.76700000000000002</v>
      </c>
      <c r="AF1110">
        <f>VLOOKUP($B1110&amp;AF$1,Data!$A$2:$D$12000,4,FALSE)</f>
        <v>6.7000000000000004E-2</v>
      </c>
      <c r="AG1110">
        <f>VLOOKUP($B1110&amp;AG$1,Data!$A$2:$D$12000,4,FALSE)</f>
        <v>0.32100000000000001</v>
      </c>
      <c r="AH1110">
        <f>VLOOKUP($B1110&amp;AH$1,Data!$A$2:$D$12000,4,FALSE)</f>
        <v>0</v>
      </c>
      <c r="AI1110">
        <f>VLOOKUP($B1110&amp;AI$1,Data!$A$2:$D$12000,4,FALSE)</f>
        <v>640000000</v>
      </c>
    </row>
    <row r="1111" spans="2:35" hidden="1">
      <c r="B1111" s="23">
        <v>1109</v>
      </c>
      <c r="C1111" s="13" t="s">
        <v>58</v>
      </c>
      <c r="D1111" t="s">
        <v>21</v>
      </c>
      <c r="E1111" t="s">
        <v>3</v>
      </c>
      <c r="F1111">
        <v>100</v>
      </c>
      <c r="G1111" t="s">
        <v>17</v>
      </c>
      <c r="H1111" s="5">
        <v>43831</v>
      </c>
      <c r="I1111" s="5">
        <v>44562</v>
      </c>
      <c r="J1111">
        <v>14</v>
      </c>
      <c r="K1111">
        <v>9</v>
      </c>
      <c r="L1111">
        <v>30</v>
      </c>
      <c r="M1111">
        <v>70</v>
      </c>
      <c r="N1111">
        <v>10000</v>
      </c>
      <c r="O1111">
        <f>VLOOKUP($B1111&amp;O$1,Data!$A$2:$D$12000,4,FALSE)</f>
        <v>0.12928999999999999</v>
      </c>
      <c r="P1111">
        <f>VLOOKUP($B1111&amp;P$1,Data!$A$2:$D$12000,4,FALSE)</f>
        <v>-0.16</v>
      </c>
      <c r="Q1111">
        <f>VLOOKUP($B1111&amp;Q$1,Data!$A$2:$D$12000,4,FALSE)</f>
        <v>1771</v>
      </c>
      <c r="R1111">
        <f>VLOOKUP($B1111&amp;R$1,Data!$A$2:$D$12000,4,FALSE)</f>
        <v>4.0000000000000002E-4</v>
      </c>
      <c r="S1111">
        <f>VLOOKUP($B1111&amp;S$1,Data!$A$2:$D$12000,4,FALSE)</f>
        <v>-8.0000000000000004E-4</v>
      </c>
      <c r="T1111">
        <f>VLOOKUP($B1111&amp;T$1,Data!$A$2:$D$12000,4,FALSE)</f>
        <v>-3.0400000000000002E-3</v>
      </c>
      <c r="U1111">
        <f>VLOOKUP($B1111&amp;U$1,Data!$A$2:$D$12000,4,FALSE)</f>
        <v>1.7000000000000001E-2</v>
      </c>
      <c r="V1111">
        <f>VLOOKUP($B1111&amp;V$1,Data!$A$2:$D$12000,4,FALSE)</f>
        <v>-2.1000000000000001E-2</v>
      </c>
      <c r="W1111">
        <f>VLOOKUP($B1111&amp;W$1,Data!$A$2:$D$12000,4,FALSE)</f>
        <v>-2.0100000000000001E-3</v>
      </c>
      <c r="X1111">
        <f>VLOOKUP($B1111&amp;X$1,Data!$A$2:$D$12000,4,FALSE)</f>
        <v>0.36</v>
      </c>
      <c r="Y1111">
        <f>VLOOKUP($B1111&amp;Y$1,Data!$A$2:$D$12000,4,FALSE)</f>
        <v>0.64</v>
      </c>
      <c r="Z1111">
        <f>VLOOKUP($B1111&amp;Z$1,Data!$A$2:$D$12000,4,FALSE)</f>
        <v>0.53</v>
      </c>
      <c r="AA1111">
        <f>VLOOKUP($B1111&amp;AA$1,Data!$A$2:$D$12000,4,FALSE)</f>
        <v>-2E-3</v>
      </c>
      <c r="AB1111">
        <f>VLOOKUP($B1111&amp;AB$1,Data!$A$2:$D$12000,4,FALSE)</f>
        <v>-7.0000000000000001E-3</v>
      </c>
      <c r="AC1111">
        <f>VLOOKUP($B1111&amp;AC$1,Data!$A$2:$D$12000,4,FALSE)</f>
        <v>1.2999999999999999E-2</v>
      </c>
      <c r="AD1111">
        <f>VLOOKUP($B1111&amp;AD$1,Data!$A$2:$D$12000,4,FALSE)</f>
        <v>0</v>
      </c>
      <c r="AE1111">
        <f>VLOOKUP($B1111&amp;AE$1,Data!$A$2:$D$12000,4,FALSE)</f>
        <v>-0.77600000000000002</v>
      </c>
      <c r="AF1111">
        <f>VLOOKUP($B1111&amp;AF$1,Data!$A$2:$D$12000,4,FALSE)</f>
        <v>6.9000000000000006E-2</v>
      </c>
      <c r="AG1111">
        <f>VLOOKUP($B1111&amp;AG$1,Data!$A$2:$D$12000,4,FALSE)</f>
        <v>0.307</v>
      </c>
      <c r="AH1111">
        <f>VLOOKUP($B1111&amp;AH$1,Data!$A$2:$D$12000,4,FALSE)</f>
        <v>0</v>
      </c>
      <c r="AI1111">
        <f>VLOOKUP($B1111&amp;AI$1,Data!$A$2:$D$12000,4,FALSE)</f>
        <v>66000000</v>
      </c>
    </row>
    <row r="1112" spans="2:35" hidden="1">
      <c r="B1112" s="23">
        <v>1110</v>
      </c>
      <c r="C1112" s="13" t="s">
        <v>58</v>
      </c>
      <c r="D1112" t="s">
        <v>21</v>
      </c>
      <c r="E1112" t="s">
        <v>3</v>
      </c>
      <c r="F1112">
        <v>200</v>
      </c>
      <c r="G1112" t="s">
        <v>17</v>
      </c>
      <c r="H1112" s="5">
        <v>43831</v>
      </c>
      <c r="I1112" s="5">
        <v>44562</v>
      </c>
      <c r="J1112">
        <v>14</v>
      </c>
      <c r="K1112">
        <v>9</v>
      </c>
      <c r="L1112">
        <v>30</v>
      </c>
      <c r="M1112">
        <v>70</v>
      </c>
      <c r="N1112">
        <v>10000</v>
      </c>
      <c r="O1112">
        <f>VLOOKUP($B1112&amp;O$1,Data!$A$2:$D$12000,4,FALSE)</f>
        <v>9.6670000000000006E-2</v>
      </c>
      <c r="P1112">
        <f>VLOOKUP($B1112&amp;P$1,Data!$A$2:$D$12000,4,FALSE)</f>
        <v>-0.32800000000000001</v>
      </c>
      <c r="Q1112">
        <f>VLOOKUP($B1112&amp;Q$1,Data!$A$2:$D$12000,4,FALSE)</f>
        <v>1681</v>
      </c>
      <c r="R1112">
        <f>VLOOKUP($B1112&amp;R$1,Data!$A$2:$D$12000,4,FALSE)</f>
        <v>6.9999999999999999E-4</v>
      </c>
      <c r="S1112">
        <f>VLOOKUP($B1112&amp;S$1,Data!$A$2:$D$12000,4,FALSE)</f>
        <v>-1.4E-3</v>
      </c>
      <c r="T1112">
        <f>VLOOKUP($B1112&amp;T$1,Data!$A$2:$D$12000,4,FALSE)</f>
        <v>-1.061E-2</v>
      </c>
      <c r="U1112">
        <f>VLOOKUP($B1112&amp;U$1,Data!$A$2:$D$12000,4,FALSE)</f>
        <v>2.9000000000000001E-2</v>
      </c>
      <c r="V1112">
        <f>VLOOKUP($B1112&amp;V$1,Data!$A$2:$D$12000,4,FALSE)</f>
        <v>-3.9E-2</v>
      </c>
      <c r="W1112">
        <f>VLOOKUP($B1112&amp;W$1,Data!$A$2:$D$12000,4,FALSE)</f>
        <v>-7.0499999999999998E-3</v>
      </c>
      <c r="X1112">
        <f>VLOOKUP($B1112&amp;X$1,Data!$A$2:$D$12000,4,FALSE)</f>
        <v>0.35</v>
      </c>
      <c r="Y1112">
        <f>VLOOKUP($B1112&amp;Y$1,Data!$A$2:$D$12000,4,FALSE)</f>
        <v>0.65</v>
      </c>
      <c r="Z1112">
        <f>VLOOKUP($B1112&amp;Z$1,Data!$A$2:$D$12000,4,FALSE)</f>
        <v>0.47</v>
      </c>
      <c r="AA1112">
        <f>VLOOKUP($B1112&amp;AA$1,Data!$A$2:$D$12000,4,FALSE)</f>
        <v>-6.0000000000000001E-3</v>
      </c>
      <c r="AB1112">
        <f>VLOOKUP($B1112&amp;AB$1,Data!$A$2:$D$12000,4,FALSE)</f>
        <v>-1.7000000000000001E-2</v>
      </c>
      <c r="AC1112">
        <f>VLOOKUP($B1112&amp;AC$1,Data!$A$2:$D$12000,4,FALSE)</f>
        <v>2.1999999999999999E-2</v>
      </c>
      <c r="AD1112">
        <f>VLOOKUP($B1112&amp;AD$1,Data!$A$2:$D$12000,4,FALSE)</f>
        <v>0</v>
      </c>
      <c r="AE1112">
        <f>VLOOKUP($B1112&amp;AE$1,Data!$A$2:$D$12000,4,FALSE)</f>
        <v>-0.81499999999999995</v>
      </c>
      <c r="AF1112">
        <f>VLOOKUP($B1112&amp;AF$1,Data!$A$2:$D$12000,4,FALSE)</f>
        <v>7.1999999999999995E-2</v>
      </c>
      <c r="AG1112">
        <f>VLOOKUP($B1112&amp;AG$1,Data!$A$2:$D$12000,4,FALSE)</f>
        <v>0.41099999999999998</v>
      </c>
      <c r="AH1112">
        <f>VLOOKUP($B1112&amp;AH$1,Data!$A$2:$D$12000,4,FALSE)</f>
        <v>0</v>
      </c>
      <c r="AI1112">
        <f>VLOOKUP($B1112&amp;AI$1,Data!$A$2:$D$12000,4,FALSE)</f>
        <v>34000000</v>
      </c>
    </row>
    <row r="1113" spans="2:35" hidden="1">
      <c r="B1113" s="23">
        <v>1111</v>
      </c>
      <c r="C1113" s="13" t="s">
        <v>58</v>
      </c>
      <c r="D1113" t="s">
        <v>21</v>
      </c>
      <c r="E1113" t="s">
        <v>2</v>
      </c>
      <c r="F1113">
        <v>10</v>
      </c>
      <c r="G1113" t="s">
        <v>17</v>
      </c>
      <c r="H1113" s="5">
        <v>43831</v>
      </c>
      <c r="I1113" s="5">
        <v>44562</v>
      </c>
      <c r="J1113">
        <v>14</v>
      </c>
      <c r="K1113">
        <v>9</v>
      </c>
      <c r="L1113">
        <v>30</v>
      </c>
      <c r="M1113">
        <v>70</v>
      </c>
      <c r="N1113">
        <v>10000</v>
      </c>
      <c r="O1113">
        <f>VLOOKUP($B1113&amp;O$1,Data!$A$2:$D$12000,4,FALSE)</f>
        <v>0.17921999999999999</v>
      </c>
      <c r="P1113">
        <f>VLOOKUP($B1113&amp;P$1,Data!$A$2:$D$12000,4,FALSE)</f>
        <v>6.4000000000000001E-2</v>
      </c>
      <c r="Q1113">
        <f>VLOOKUP($B1113&amp;Q$1,Data!$A$2:$D$12000,4,FALSE)</f>
        <v>983</v>
      </c>
      <c r="R1113">
        <f>VLOOKUP($B1113&amp;R$1,Data!$A$2:$D$12000,4,FALSE)</f>
        <v>0</v>
      </c>
      <c r="S1113">
        <f>VLOOKUP($B1113&amp;S$1,Data!$A$2:$D$12000,4,FALSE)</f>
        <v>-1E-4</v>
      </c>
      <c r="T1113">
        <f>VLOOKUP($B1113&amp;T$1,Data!$A$2:$D$12000,4,FALSE)</f>
        <v>1.3999999999999999E-4</v>
      </c>
      <c r="U1113">
        <f>VLOOKUP($B1113&amp;U$1,Data!$A$2:$D$12000,4,FALSE)</f>
        <v>1E-3</v>
      </c>
      <c r="V1113">
        <f>VLOOKUP($B1113&amp;V$1,Data!$A$2:$D$12000,4,FALSE)</f>
        <v>1.4999999999999999E-2</v>
      </c>
      <c r="W1113">
        <f>VLOOKUP($B1113&amp;W$1,Data!$A$2:$D$12000,4,FALSE)</f>
        <v>9.0000000000000006E-5</v>
      </c>
      <c r="X1113">
        <f>VLOOKUP($B1113&amp;X$1,Data!$A$2:$D$12000,4,FALSE)</f>
        <v>0.32</v>
      </c>
      <c r="Y1113">
        <f>VLOOKUP($B1113&amp;Y$1,Data!$A$2:$D$12000,4,FALSE)</f>
        <v>0.68</v>
      </c>
      <c r="Z1113">
        <f>VLOOKUP($B1113&amp;Z$1,Data!$A$2:$D$12000,4,FALSE)</f>
        <v>0.5</v>
      </c>
      <c r="AA1113">
        <f>VLOOKUP($B1113&amp;AA$1,Data!$A$2:$D$12000,4,FALSE)</f>
        <v>0</v>
      </c>
      <c r="AB1113">
        <f>VLOOKUP($B1113&amp;AB$1,Data!$A$2:$D$12000,4,FALSE)</f>
        <v>0</v>
      </c>
      <c r="AC1113">
        <f>VLOOKUP($B1113&amp;AC$1,Data!$A$2:$D$12000,4,FALSE)</f>
        <v>1E-3</v>
      </c>
      <c r="AD1113">
        <f>VLOOKUP($B1113&amp;AD$1,Data!$A$2:$D$12000,4,FALSE)</f>
        <v>0</v>
      </c>
      <c r="AE1113">
        <f>VLOOKUP($B1113&amp;AE$1,Data!$A$2:$D$12000,4,FALSE)</f>
        <v>-0.76200000000000001</v>
      </c>
      <c r="AF1113">
        <f>VLOOKUP($B1113&amp;AF$1,Data!$A$2:$D$12000,4,FALSE)</f>
        <v>6.7000000000000004E-2</v>
      </c>
      <c r="AG1113">
        <f>VLOOKUP($B1113&amp;AG$1,Data!$A$2:$D$12000,4,FALSE)</f>
        <v>-2.577</v>
      </c>
      <c r="AH1113">
        <f>VLOOKUP($B1113&amp;AH$1,Data!$A$2:$D$12000,4,FALSE)</f>
        <v>0</v>
      </c>
      <c r="AI1113">
        <f>VLOOKUP($B1113&amp;AI$1,Data!$A$2:$D$12000,4,FALSE)</f>
        <v>210000000</v>
      </c>
    </row>
    <row r="1114" spans="2:35" hidden="1">
      <c r="B1114" s="23">
        <v>1112</v>
      </c>
      <c r="C1114" s="13" t="s">
        <v>58</v>
      </c>
      <c r="D1114" t="s">
        <v>21</v>
      </c>
      <c r="E1114" t="s">
        <v>2</v>
      </c>
      <c r="F1114">
        <v>100</v>
      </c>
      <c r="G1114" t="s">
        <v>17</v>
      </c>
      <c r="H1114" s="5">
        <v>43831</v>
      </c>
      <c r="I1114" s="5">
        <v>44562</v>
      </c>
      <c r="J1114">
        <v>14</v>
      </c>
      <c r="K1114">
        <v>9</v>
      </c>
      <c r="L1114">
        <v>30</v>
      </c>
      <c r="M1114">
        <v>70</v>
      </c>
      <c r="N1114">
        <v>10000</v>
      </c>
      <c r="O1114">
        <f>VLOOKUP($B1114&amp;O$1,Data!$A$2:$D$12000,4,FALSE)</f>
        <v>0.18081</v>
      </c>
      <c r="P1114">
        <f>VLOOKUP($B1114&amp;P$1,Data!$A$2:$D$12000,4,FALSE)</f>
        <v>7.0999999999999994E-2</v>
      </c>
      <c r="Q1114">
        <f>VLOOKUP($B1114&amp;Q$1,Data!$A$2:$D$12000,4,FALSE)</f>
        <v>983</v>
      </c>
      <c r="R1114">
        <f>VLOOKUP($B1114&amp;R$1,Data!$A$2:$D$12000,4,FALSE)</f>
        <v>5.0000000000000001E-4</v>
      </c>
      <c r="S1114">
        <f>VLOOKUP($B1114&amp;S$1,Data!$A$2:$D$12000,4,FALSE)</f>
        <v>-1E-3</v>
      </c>
      <c r="T1114">
        <f>VLOOKUP($B1114&amp;T$1,Data!$A$2:$D$12000,4,FALSE)</f>
        <v>1.3699999999999999E-3</v>
      </c>
      <c r="U1114">
        <f>VLOOKUP($B1114&amp;U$1,Data!$A$2:$D$12000,4,FALSE)</f>
        <v>1.0999999999999999E-2</v>
      </c>
      <c r="V1114">
        <f>VLOOKUP($B1114&amp;V$1,Data!$A$2:$D$12000,4,FALSE)</f>
        <v>1.6E-2</v>
      </c>
      <c r="W1114">
        <f>VLOOKUP($B1114&amp;W$1,Data!$A$2:$D$12000,4,FALSE)</f>
        <v>9.1E-4</v>
      </c>
      <c r="X1114">
        <f>VLOOKUP($B1114&amp;X$1,Data!$A$2:$D$12000,4,FALSE)</f>
        <v>0.32</v>
      </c>
      <c r="Y1114">
        <f>VLOOKUP($B1114&amp;Y$1,Data!$A$2:$D$12000,4,FALSE)</f>
        <v>0.68</v>
      </c>
      <c r="Z1114">
        <f>VLOOKUP($B1114&amp;Z$1,Data!$A$2:$D$12000,4,FALSE)</f>
        <v>0.51</v>
      </c>
      <c r="AA1114">
        <f>VLOOKUP($B1114&amp;AA$1,Data!$A$2:$D$12000,4,FALSE)</f>
        <v>1E-3</v>
      </c>
      <c r="AB1114">
        <f>VLOOKUP($B1114&amp;AB$1,Data!$A$2:$D$12000,4,FALSE)</f>
        <v>0</v>
      </c>
      <c r="AC1114">
        <f>VLOOKUP($B1114&amp;AC$1,Data!$A$2:$D$12000,4,FALSE)</f>
        <v>1.4999999999999999E-2</v>
      </c>
      <c r="AD1114">
        <f>VLOOKUP($B1114&amp;AD$1,Data!$A$2:$D$12000,4,FALSE)</f>
        <v>0</v>
      </c>
      <c r="AE1114">
        <f>VLOOKUP($B1114&amp;AE$1,Data!$A$2:$D$12000,4,FALSE)</f>
        <v>-0.73099999999999998</v>
      </c>
      <c r="AF1114">
        <f>VLOOKUP($B1114&amp;AF$1,Data!$A$2:$D$12000,4,FALSE)</f>
        <v>6.9000000000000006E-2</v>
      </c>
      <c r="AG1114">
        <f>VLOOKUP($B1114&amp;AG$1,Data!$A$2:$D$12000,4,FALSE)</f>
        <v>-3.1709999999999998</v>
      </c>
      <c r="AH1114">
        <f>VLOOKUP($B1114&amp;AH$1,Data!$A$2:$D$12000,4,FALSE)</f>
        <v>0</v>
      </c>
      <c r="AI1114">
        <f>VLOOKUP($B1114&amp;AI$1,Data!$A$2:$D$12000,4,FALSE)</f>
        <v>24000000</v>
      </c>
    </row>
    <row r="1115" spans="2:35" hidden="1">
      <c r="B1115" s="23">
        <v>1113</v>
      </c>
      <c r="C1115" s="13" t="s">
        <v>58</v>
      </c>
      <c r="D1115" t="s">
        <v>21</v>
      </c>
      <c r="E1115" t="s">
        <v>2</v>
      </c>
      <c r="F1115">
        <v>200</v>
      </c>
      <c r="G1115" t="s">
        <v>17</v>
      </c>
      <c r="H1115" s="5">
        <v>43831</v>
      </c>
      <c r="I1115" s="5">
        <v>44562</v>
      </c>
      <c r="J1115">
        <v>14</v>
      </c>
      <c r="K1115">
        <v>9</v>
      </c>
      <c r="L1115">
        <v>30</v>
      </c>
      <c r="M1115">
        <v>70</v>
      </c>
      <c r="N1115">
        <v>10000</v>
      </c>
      <c r="O1115">
        <f>VLOOKUP($B1115&amp;O$1,Data!$A$2:$D$12000,4,FALSE)</f>
        <v>0.14113000000000001</v>
      </c>
      <c r="P1115">
        <f>VLOOKUP($B1115&amp;P$1,Data!$A$2:$D$12000,4,FALSE)</f>
        <v>-0.108</v>
      </c>
      <c r="Q1115">
        <f>VLOOKUP($B1115&amp;Q$1,Data!$A$2:$D$12000,4,FALSE)</f>
        <v>932</v>
      </c>
      <c r="R1115">
        <f>VLOOKUP($B1115&amp;R$1,Data!$A$2:$D$12000,4,FALSE)</f>
        <v>8.0000000000000004E-4</v>
      </c>
      <c r="S1115">
        <f>VLOOKUP($B1115&amp;S$1,Data!$A$2:$D$12000,4,FALSE)</f>
        <v>-1.6999999999999999E-3</v>
      </c>
      <c r="T1115">
        <f>VLOOKUP($B1115&amp;T$1,Data!$A$2:$D$12000,4,FALSE)</f>
        <v>-4.2100000000000002E-3</v>
      </c>
      <c r="U1115">
        <f>VLOOKUP($B1115&amp;U$1,Data!$A$2:$D$12000,4,FALSE)</f>
        <v>1.7999999999999999E-2</v>
      </c>
      <c r="V1115">
        <f>VLOOKUP($B1115&amp;V$1,Data!$A$2:$D$12000,4,FALSE)</f>
        <v>-0.02</v>
      </c>
      <c r="W1115">
        <f>VLOOKUP($B1115&amp;W$1,Data!$A$2:$D$12000,4,FALSE)</f>
        <v>-2.7899999999999999E-3</v>
      </c>
      <c r="X1115">
        <f>VLOOKUP($B1115&amp;X$1,Data!$A$2:$D$12000,4,FALSE)</f>
        <v>0.32</v>
      </c>
      <c r="Y1115">
        <f>VLOOKUP($B1115&amp;Y$1,Data!$A$2:$D$12000,4,FALSE)</f>
        <v>0.68</v>
      </c>
      <c r="Z1115">
        <f>VLOOKUP($B1115&amp;Z$1,Data!$A$2:$D$12000,4,FALSE)</f>
        <v>0.45</v>
      </c>
      <c r="AA1115">
        <f>VLOOKUP($B1115&amp;AA$1,Data!$A$2:$D$12000,4,FALSE)</f>
        <v>-2E-3</v>
      </c>
      <c r="AB1115">
        <f>VLOOKUP($B1115&amp;AB$1,Data!$A$2:$D$12000,4,FALSE)</f>
        <v>-2E-3</v>
      </c>
      <c r="AC1115">
        <f>VLOOKUP($B1115&amp;AC$1,Data!$A$2:$D$12000,4,FALSE)</f>
        <v>2.4E-2</v>
      </c>
      <c r="AD1115">
        <f>VLOOKUP($B1115&amp;AD$1,Data!$A$2:$D$12000,4,FALSE)</f>
        <v>1E-3</v>
      </c>
      <c r="AE1115">
        <f>VLOOKUP($B1115&amp;AE$1,Data!$A$2:$D$12000,4,FALSE)</f>
        <v>-0.754</v>
      </c>
      <c r="AF1115">
        <f>VLOOKUP($B1115&amp;AF$1,Data!$A$2:$D$12000,4,FALSE)</f>
        <v>7.1999999999999995E-2</v>
      </c>
      <c r="AG1115">
        <f>VLOOKUP($B1115&amp;AG$1,Data!$A$2:$D$12000,4,FALSE)</f>
        <v>1.054</v>
      </c>
      <c r="AH1115">
        <f>VLOOKUP($B1115&amp;AH$1,Data!$A$2:$D$12000,4,FALSE)</f>
        <v>0</v>
      </c>
      <c r="AI1115">
        <f>VLOOKUP($B1115&amp;AI$1,Data!$A$2:$D$12000,4,FALSE)</f>
        <v>14000000</v>
      </c>
    </row>
    <row r="1116" spans="2:35" hidden="1">
      <c r="B1116" s="23">
        <v>1114</v>
      </c>
      <c r="C1116" s="13" t="s">
        <v>58</v>
      </c>
      <c r="D1116" t="s">
        <v>21</v>
      </c>
      <c r="E1116" t="s">
        <v>22</v>
      </c>
      <c r="F1116">
        <v>10</v>
      </c>
      <c r="G1116" t="s">
        <v>17</v>
      </c>
      <c r="H1116" s="5">
        <v>43831</v>
      </c>
      <c r="I1116" s="5">
        <v>44562</v>
      </c>
      <c r="J1116">
        <v>14</v>
      </c>
      <c r="K1116">
        <v>9</v>
      </c>
      <c r="L1116">
        <v>30</v>
      </c>
      <c r="M1116">
        <v>70</v>
      </c>
      <c r="N1116">
        <v>10000</v>
      </c>
      <c r="O1116">
        <f>VLOOKUP($B1116&amp;O$1,Data!$A$2:$D$12000,4,FALSE)</f>
        <v>0.16664000000000001</v>
      </c>
      <c r="P1116">
        <f>VLOOKUP($B1116&amp;P$1,Data!$A$2:$D$12000,4,FALSE)</f>
        <v>8.9999999999999993E-3</v>
      </c>
      <c r="Q1116">
        <f>VLOOKUP($B1116&amp;Q$1,Data!$A$2:$D$12000,4,FALSE)</f>
        <v>722</v>
      </c>
      <c r="R1116">
        <f>VLOOKUP($B1116&amp;R$1,Data!$A$2:$D$12000,4,FALSE)</f>
        <v>0</v>
      </c>
      <c r="S1116">
        <f>VLOOKUP($B1116&amp;S$1,Data!$A$2:$D$12000,4,FALSE)</f>
        <v>-1E-4</v>
      </c>
      <c r="T1116">
        <f>VLOOKUP($B1116&amp;T$1,Data!$A$2:$D$12000,4,FALSE)</f>
        <v>2.0000000000000002E-5</v>
      </c>
      <c r="U1116">
        <f>VLOOKUP($B1116&amp;U$1,Data!$A$2:$D$12000,4,FALSE)</f>
        <v>1E-3</v>
      </c>
      <c r="V1116">
        <f>VLOOKUP($B1116&amp;V$1,Data!$A$2:$D$12000,4,FALSE)</f>
        <v>-5.0000000000000001E-3</v>
      </c>
      <c r="W1116">
        <f>VLOOKUP($B1116&amp;W$1,Data!$A$2:$D$12000,4,FALSE)</f>
        <v>1.0000000000000001E-5</v>
      </c>
      <c r="X1116">
        <f>VLOOKUP($B1116&amp;X$1,Data!$A$2:$D$12000,4,FALSE)</f>
        <v>0.33</v>
      </c>
      <c r="Y1116">
        <f>VLOOKUP($B1116&amp;Y$1,Data!$A$2:$D$12000,4,FALSE)</f>
        <v>0.67</v>
      </c>
      <c r="Z1116">
        <f>VLOOKUP($B1116&amp;Z$1,Data!$A$2:$D$12000,4,FALSE)</f>
        <v>0.48</v>
      </c>
      <c r="AA1116">
        <f>VLOOKUP($B1116&amp;AA$1,Data!$A$2:$D$12000,4,FALSE)</f>
        <v>0</v>
      </c>
      <c r="AB1116">
        <f>VLOOKUP($B1116&amp;AB$1,Data!$A$2:$D$12000,4,FALSE)</f>
        <v>-3.0000000000000001E-3</v>
      </c>
      <c r="AC1116">
        <f>VLOOKUP($B1116&amp;AC$1,Data!$A$2:$D$12000,4,FALSE)</f>
        <v>1E-3</v>
      </c>
      <c r="AD1116">
        <f>VLOOKUP($B1116&amp;AD$1,Data!$A$2:$D$12000,4,FALSE)</f>
        <v>0</v>
      </c>
      <c r="AE1116">
        <f>VLOOKUP($B1116&amp;AE$1,Data!$A$2:$D$12000,4,FALSE)</f>
        <v>-0.76100000000000001</v>
      </c>
      <c r="AF1116">
        <f>VLOOKUP($B1116&amp;AF$1,Data!$A$2:$D$12000,4,FALSE)</f>
        <v>6.8000000000000005E-2</v>
      </c>
      <c r="AG1116">
        <f>VLOOKUP($B1116&amp;AG$1,Data!$A$2:$D$12000,4,FALSE)</f>
        <v>-4.0000000000000001E-3</v>
      </c>
      <c r="AH1116">
        <f>VLOOKUP($B1116&amp;AH$1,Data!$A$2:$D$12000,4,FALSE)</f>
        <v>0</v>
      </c>
      <c r="AI1116">
        <f>VLOOKUP($B1116&amp;AI$1,Data!$A$2:$D$12000,4,FALSE)</f>
        <v>150000000</v>
      </c>
    </row>
    <row r="1117" spans="2:35" hidden="1">
      <c r="B1117" s="23">
        <v>1115</v>
      </c>
      <c r="C1117" s="13" t="s">
        <v>58</v>
      </c>
      <c r="D1117" t="s">
        <v>21</v>
      </c>
      <c r="E1117" t="s">
        <v>22</v>
      </c>
      <c r="F1117">
        <v>100</v>
      </c>
      <c r="G1117" t="s">
        <v>17</v>
      </c>
      <c r="H1117" s="5">
        <v>43831</v>
      </c>
      <c r="I1117" s="5">
        <v>44562</v>
      </c>
      <c r="J1117">
        <v>14</v>
      </c>
      <c r="K1117">
        <v>9</v>
      </c>
      <c r="L1117">
        <v>30</v>
      </c>
      <c r="M1117">
        <v>70</v>
      </c>
      <c r="N1117">
        <v>10000</v>
      </c>
      <c r="O1117">
        <f>VLOOKUP($B1117&amp;O$1,Data!$A$2:$D$12000,4,FALSE)</f>
        <v>0.16808000000000001</v>
      </c>
      <c r="P1117">
        <f>VLOOKUP($B1117&amp;P$1,Data!$A$2:$D$12000,4,FALSE)</f>
        <v>1.6E-2</v>
      </c>
      <c r="Q1117">
        <f>VLOOKUP($B1117&amp;Q$1,Data!$A$2:$D$12000,4,FALSE)</f>
        <v>722</v>
      </c>
      <c r="R1117">
        <f>VLOOKUP($B1117&amp;R$1,Data!$A$2:$D$12000,4,FALSE)</f>
        <v>4.0000000000000002E-4</v>
      </c>
      <c r="S1117">
        <f>VLOOKUP($B1117&amp;S$1,Data!$A$2:$D$12000,4,FALSE)</f>
        <v>-8.0000000000000004E-4</v>
      </c>
      <c r="T1117">
        <f>VLOOKUP($B1117&amp;T$1,Data!$A$2:$D$12000,4,FALSE)</f>
        <v>1.8000000000000001E-4</v>
      </c>
      <c r="U1117">
        <f>VLOOKUP($B1117&amp;U$1,Data!$A$2:$D$12000,4,FALSE)</f>
        <v>1.2999999999999999E-2</v>
      </c>
      <c r="V1117">
        <f>VLOOKUP($B1117&amp;V$1,Data!$A$2:$D$12000,4,FALSE)</f>
        <v>-4.0000000000000001E-3</v>
      </c>
      <c r="W1117">
        <f>VLOOKUP($B1117&amp;W$1,Data!$A$2:$D$12000,4,FALSE)</f>
        <v>1.2E-4</v>
      </c>
      <c r="X1117">
        <f>VLOOKUP($B1117&amp;X$1,Data!$A$2:$D$12000,4,FALSE)</f>
        <v>0.33</v>
      </c>
      <c r="Y1117">
        <f>VLOOKUP($B1117&amp;Y$1,Data!$A$2:$D$12000,4,FALSE)</f>
        <v>0.67</v>
      </c>
      <c r="Z1117">
        <f>VLOOKUP($B1117&amp;Z$1,Data!$A$2:$D$12000,4,FALSE)</f>
        <v>0.48</v>
      </c>
      <c r="AA1117">
        <f>VLOOKUP($B1117&amp;AA$1,Data!$A$2:$D$12000,4,FALSE)</f>
        <v>2E-3</v>
      </c>
      <c r="AB1117">
        <f>VLOOKUP($B1117&amp;AB$1,Data!$A$2:$D$12000,4,FALSE)</f>
        <v>-3.4000000000000002E-2</v>
      </c>
      <c r="AC1117">
        <f>VLOOKUP($B1117&amp;AC$1,Data!$A$2:$D$12000,4,FALSE)</f>
        <v>1.4E-2</v>
      </c>
      <c r="AD1117">
        <f>VLOOKUP($B1117&amp;AD$1,Data!$A$2:$D$12000,4,FALSE)</f>
        <v>0</v>
      </c>
      <c r="AE1117">
        <f>VLOOKUP($B1117&amp;AE$1,Data!$A$2:$D$12000,4,FALSE)</f>
        <v>-0.73</v>
      </c>
      <c r="AF1117">
        <f>VLOOKUP($B1117&amp;AF$1,Data!$A$2:$D$12000,4,FALSE)</f>
        <v>7.0999999999999994E-2</v>
      </c>
      <c r="AG1117">
        <f>VLOOKUP($B1117&amp;AG$1,Data!$A$2:$D$12000,4,FALSE)</f>
        <v>-7.0000000000000001E-3</v>
      </c>
      <c r="AH1117">
        <f>VLOOKUP($B1117&amp;AH$1,Data!$A$2:$D$12000,4,FALSE)</f>
        <v>0</v>
      </c>
      <c r="AI1117">
        <f>VLOOKUP($B1117&amp;AI$1,Data!$A$2:$D$12000,4,FALSE)</f>
        <v>18000000</v>
      </c>
    </row>
    <row r="1118" spans="2:35" hidden="1">
      <c r="B1118" s="23">
        <v>1116</v>
      </c>
      <c r="C1118" s="13" t="s">
        <v>58</v>
      </c>
      <c r="D1118" t="s">
        <v>21</v>
      </c>
      <c r="E1118" t="s">
        <v>22</v>
      </c>
      <c r="F1118">
        <v>200</v>
      </c>
      <c r="G1118" t="s">
        <v>17</v>
      </c>
      <c r="H1118" s="5">
        <v>43831</v>
      </c>
      <c r="I1118" s="5">
        <v>44562</v>
      </c>
      <c r="J1118">
        <v>14</v>
      </c>
      <c r="K1118">
        <v>9</v>
      </c>
      <c r="L1118">
        <v>30</v>
      </c>
      <c r="M1118">
        <v>70</v>
      </c>
      <c r="N1118">
        <v>10000</v>
      </c>
      <c r="O1118">
        <f>VLOOKUP($B1118&amp;O$1,Data!$A$2:$D$12000,4,FALSE)</f>
        <v>0.2177</v>
      </c>
      <c r="P1118">
        <f>VLOOKUP($B1118&amp;P$1,Data!$A$2:$D$12000,4,FALSE)</f>
        <v>0.218</v>
      </c>
      <c r="Q1118">
        <f>VLOOKUP($B1118&amp;Q$1,Data!$A$2:$D$12000,4,FALSE)</f>
        <v>689</v>
      </c>
      <c r="R1118">
        <f>VLOOKUP($B1118&amp;R$1,Data!$A$2:$D$12000,4,FALSE)</f>
        <v>6.9999999999999999E-4</v>
      </c>
      <c r="S1118">
        <f>VLOOKUP($B1118&amp;S$1,Data!$A$2:$D$12000,4,FALSE)</f>
        <v>-1.1000000000000001E-3</v>
      </c>
      <c r="T1118">
        <f>VLOOKUP($B1118&amp;T$1,Data!$A$2:$D$12000,4,FALSE)</f>
        <v>7.4400000000000004E-3</v>
      </c>
      <c r="U1118">
        <f>VLOOKUP($B1118&amp;U$1,Data!$A$2:$D$12000,4,FALSE)</f>
        <v>0.02</v>
      </c>
      <c r="V1118">
        <f>VLOOKUP($B1118&amp;V$1,Data!$A$2:$D$12000,4,FALSE)</f>
        <v>6.4000000000000001E-2</v>
      </c>
      <c r="W1118">
        <f>VLOOKUP($B1118&amp;W$1,Data!$A$2:$D$12000,4,FALSE)</f>
        <v>4.9300000000000004E-3</v>
      </c>
      <c r="X1118">
        <f>VLOOKUP($B1118&amp;X$1,Data!$A$2:$D$12000,4,FALSE)</f>
        <v>0.33</v>
      </c>
      <c r="Y1118">
        <f>VLOOKUP($B1118&amp;Y$1,Data!$A$2:$D$12000,4,FALSE)</f>
        <v>0.67</v>
      </c>
      <c r="Z1118">
        <f>VLOOKUP($B1118&amp;Z$1,Data!$A$2:$D$12000,4,FALSE)</f>
        <v>0.57999999999999996</v>
      </c>
      <c r="AA1118">
        <f>VLOOKUP($B1118&amp;AA$1,Data!$A$2:$D$12000,4,FALSE)</f>
        <v>8.0000000000000002E-3</v>
      </c>
      <c r="AB1118">
        <f>VLOOKUP($B1118&amp;AB$1,Data!$A$2:$D$12000,4,FALSE)</f>
        <v>-0.05</v>
      </c>
      <c r="AC1118">
        <f>VLOOKUP($B1118&amp;AC$1,Data!$A$2:$D$12000,4,FALSE)</f>
        <v>2.5000000000000001E-2</v>
      </c>
      <c r="AD1118">
        <f>VLOOKUP($B1118&amp;AD$1,Data!$A$2:$D$12000,4,FALSE)</f>
        <v>1E-3</v>
      </c>
      <c r="AE1118">
        <f>VLOOKUP($B1118&amp;AE$1,Data!$A$2:$D$12000,4,FALSE)</f>
        <v>-0.622</v>
      </c>
      <c r="AF1118">
        <f>VLOOKUP($B1118&amp;AF$1,Data!$A$2:$D$12000,4,FALSE)</f>
        <v>7.4999999999999997E-2</v>
      </c>
      <c r="AG1118">
        <f>VLOOKUP($B1118&amp;AG$1,Data!$A$2:$D$12000,4,FALSE)</f>
        <v>-0.109</v>
      </c>
      <c r="AH1118">
        <f>VLOOKUP($B1118&amp;AH$1,Data!$A$2:$D$12000,4,FALSE)</f>
        <v>0</v>
      </c>
      <c r="AI1118">
        <f>VLOOKUP($B1118&amp;AI$1,Data!$A$2:$D$12000,4,FALSE)</f>
        <v>11000000</v>
      </c>
    </row>
    <row r="1119" spans="2:35" hidden="1">
      <c r="B1119" s="24">
        <v>1117</v>
      </c>
      <c r="C1119" s="13" t="s">
        <v>58</v>
      </c>
      <c r="D1119" t="s">
        <v>21</v>
      </c>
      <c r="E1119" t="s">
        <v>3</v>
      </c>
      <c r="F1119">
        <v>10</v>
      </c>
      <c r="G1119" t="s">
        <v>17</v>
      </c>
      <c r="H1119" s="5">
        <v>43831</v>
      </c>
      <c r="I1119" s="5">
        <v>44562</v>
      </c>
      <c r="J1119">
        <v>14</v>
      </c>
      <c r="K1119">
        <v>9</v>
      </c>
      <c r="L1119">
        <v>32</v>
      </c>
      <c r="M1119">
        <v>68</v>
      </c>
      <c r="N1119">
        <v>10000</v>
      </c>
      <c r="O1119">
        <f>VLOOKUP($B1119&amp;O$1,Data!$A$2:$D$12000,4,FALSE)</f>
        <v>0.14457</v>
      </c>
      <c r="P1119">
        <f>VLOOKUP($B1119&amp;P$1,Data!$A$2:$D$12000,4,FALSE)</f>
        <v>-8.1000000000000003E-2</v>
      </c>
      <c r="Q1119">
        <f>VLOOKUP($B1119&amp;Q$1,Data!$A$2:$D$12000,4,FALSE)</f>
        <v>1677</v>
      </c>
      <c r="R1119">
        <f>VLOOKUP($B1119&amp;R$1,Data!$A$2:$D$12000,4,FALSE)</f>
        <v>1.1999999999999999E-3</v>
      </c>
      <c r="S1119">
        <f>VLOOKUP($B1119&amp;S$1,Data!$A$2:$D$12000,4,FALSE)</f>
        <v>-2.5999999999999999E-3</v>
      </c>
      <c r="T1119">
        <f>VLOOKUP($B1119&amp;T$1,Data!$A$2:$D$12000,4,FALSE)</f>
        <v>-6.45E-3</v>
      </c>
      <c r="U1119">
        <f>VLOOKUP($B1119&amp;U$1,Data!$A$2:$D$12000,4,FALSE)</f>
        <v>3.9E-2</v>
      </c>
      <c r="V1119">
        <f>VLOOKUP($B1119&amp;V$1,Data!$A$2:$D$12000,4,FALSE)</f>
        <v>-1.2999999999999999E-2</v>
      </c>
      <c r="W1119">
        <f>VLOOKUP($B1119&amp;W$1,Data!$A$2:$D$12000,4,FALSE)</f>
        <v>-4.3E-3</v>
      </c>
      <c r="X1119">
        <f>VLOOKUP($B1119&amp;X$1,Data!$A$2:$D$12000,4,FALSE)</f>
        <v>0.34</v>
      </c>
      <c r="Y1119">
        <f>VLOOKUP($B1119&amp;Y$1,Data!$A$2:$D$12000,4,FALSE)</f>
        <v>0.66</v>
      </c>
      <c r="Z1119">
        <f>VLOOKUP($B1119&amp;Z$1,Data!$A$2:$D$12000,4,FALSE)</f>
        <v>0.49</v>
      </c>
      <c r="AA1119">
        <f>VLOOKUP($B1119&amp;AA$1,Data!$A$2:$D$12000,4,FALSE)</f>
        <v>0</v>
      </c>
      <c r="AB1119">
        <f>VLOOKUP($B1119&amp;AB$1,Data!$A$2:$D$12000,4,FALSE)</f>
        <v>-6.2E-2</v>
      </c>
      <c r="AC1119">
        <f>VLOOKUP($B1119&amp;AC$1,Data!$A$2:$D$12000,4,FALSE)</f>
        <v>4.3999999999999997E-2</v>
      </c>
      <c r="AD1119">
        <f>VLOOKUP($B1119&amp;AD$1,Data!$A$2:$D$12000,4,FALSE)</f>
        <v>2E-3</v>
      </c>
      <c r="AE1119">
        <f>VLOOKUP($B1119&amp;AE$1,Data!$A$2:$D$12000,4,FALSE)</f>
        <v>-0.66300000000000003</v>
      </c>
      <c r="AF1119">
        <f>VLOOKUP($B1119&amp;AF$1,Data!$A$2:$D$12000,4,FALSE)</f>
        <v>8.4000000000000005E-2</v>
      </c>
      <c r="AG1119">
        <f>VLOOKUP($B1119&amp;AG$1,Data!$A$2:$D$12000,4,FALSE)</f>
        <v>5.7000000000000002E-2</v>
      </c>
      <c r="AH1119">
        <f>VLOOKUP($B1119&amp;AH$1,Data!$A$2:$D$12000,4,FALSE)</f>
        <v>0</v>
      </c>
      <c r="AI1119">
        <f>VLOOKUP($B1119&amp;AI$1,Data!$A$2:$D$12000,4,FALSE)</f>
        <v>4500000</v>
      </c>
    </row>
    <row r="1120" spans="2:35" hidden="1">
      <c r="B1120" s="24">
        <v>1118</v>
      </c>
      <c r="C1120" s="13" t="s">
        <v>58</v>
      </c>
      <c r="D1120" t="s">
        <v>21</v>
      </c>
      <c r="E1120" t="s">
        <v>3</v>
      </c>
      <c r="F1120">
        <v>100</v>
      </c>
      <c r="G1120" t="s">
        <v>17</v>
      </c>
      <c r="H1120" s="5">
        <v>43831</v>
      </c>
      <c r="I1120" s="5">
        <v>44562</v>
      </c>
      <c r="J1120">
        <v>14</v>
      </c>
      <c r="K1120">
        <v>9</v>
      </c>
      <c r="L1120">
        <v>32</v>
      </c>
      <c r="M1120">
        <v>68</v>
      </c>
      <c r="N1120">
        <v>10000</v>
      </c>
      <c r="O1120">
        <f>VLOOKUP($B1120&amp;O$1,Data!$A$2:$D$12000,4,FALSE)</f>
        <v>0.32229999999999998</v>
      </c>
      <c r="P1120">
        <f>VLOOKUP($B1120&amp;P$1,Data!$A$2:$D$12000,4,FALSE)</f>
        <v>0.52800000000000002</v>
      </c>
      <c r="Q1120">
        <f>VLOOKUP($B1120&amp;Q$1,Data!$A$2:$D$12000,4,FALSE)</f>
        <v>1091</v>
      </c>
      <c r="R1120">
        <f>VLOOKUP($B1120&amp;R$1,Data!$A$2:$D$12000,4,FALSE)</f>
        <v>2.0999999999999999E-3</v>
      </c>
      <c r="S1120">
        <f>VLOOKUP($B1120&amp;S$1,Data!$A$2:$D$12000,4,FALSE)</f>
        <v>-3.5999999999999999E-3</v>
      </c>
      <c r="T1120">
        <f>VLOOKUP($B1120&amp;T$1,Data!$A$2:$D$12000,4,FALSE)</f>
        <v>3.7609999999999998E-2</v>
      </c>
      <c r="U1120">
        <f>VLOOKUP($B1120&amp;U$1,Data!$A$2:$D$12000,4,FALSE)</f>
        <v>4.2000000000000003E-2</v>
      </c>
      <c r="V1120">
        <f>VLOOKUP($B1120&amp;V$1,Data!$A$2:$D$12000,4,FALSE)</f>
        <v>5.6000000000000001E-2</v>
      </c>
      <c r="W1120">
        <f>VLOOKUP($B1120&amp;W$1,Data!$A$2:$D$12000,4,FALSE)</f>
        <v>2.4879999999999999E-2</v>
      </c>
      <c r="X1120">
        <f>VLOOKUP($B1120&amp;X$1,Data!$A$2:$D$12000,4,FALSE)</f>
        <v>0.33</v>
      </c>
      <c r="Y1120">
        <f>VLOOKUP($B1120&amp;Y$1,Data!$A$2:$D$12000,4,FALSE)</f>
        <v>0.67</v>
      </c>
      <c r="Z1120">
        <f>VLOOKUP($B1120&amp;Z$1,Data!$A$2:$D$12000,4,FALSE)</f>
        <v>0.56999999999999995</v>
      </c>
      <c r="AA1120">
        <f>VLOOKUP($B1120&amp;AA$1,Data!$A$2:$D$12000,4,FALSE)</f>
        <v>3.5999999999999997E-2</v>
      </c>
      <c r="AB1120">
        <f>VLOOKUP($B1120&amp;AB$1,Data!$A$2:$D$12000,4,FALSE)</f>
        <v>-0.17100000000000001</v>
      </c>
      <c r="AC1120">
        <f>VLOOKUP($B1120&amp;AC$1,Data!$A$2:$D$12000,4,FALSE)</f>
        <v>5.1999999999999998E-2</v>
      </c>
      <c r="AD1120">
        <f>VLOOKUP($B1120&amp;AD$1,Data!$A$2:$D$12000,4,FALSE)</f>
        <v>3.0000000000000001E-3</v>
      </c>
      <c r="AE1120">
        <f>VLOOKUP($B1120&amp;AE$1,Data!$A$2:$D$12000,4,FALSE)</f>
        <v>-0.26300000000000001</v>
      </c>
      <c r="AF1120">
        <f>VLOOKUP($B1120&amp;AF$1,Data!$A$2:$D$12000,4,FALSE)</f>
        <v>9.2999999999999999E-2</v>
      </c>
      <c r="AG1120">
        <f>VLOOKUP($B1120&amp;AG$1,Data!$A$2:$D$12000,4,FALSE)</f>
        <v>-0.16</v>
      </c>
      <c r="AH1120">
        <f>VLOOKUP($B1120&amp;AH$1,Data!$A$2:$D$12000,4,FALSE)</f>
        <v>0</v>
      </c>
      <c r="AI1120">
        <f>VLOOKUP($B1120&amp;AI$1,Data!$A$2:$D$12000,4,FALSE)</f>
        <v>4900000</v>
      </c>
    </row>
    <row r="1121" spans="2:35" hidden="1">
      <c r="B1121" s="24">
        <v>1119</v>
      </c>
      <c r="C1121" s="13" t="s">
        <v>58</v>
      </c>
      <c r="D1121" t="s">
        <v>21</v>
      </c>
      <c r="E1121" t="s">
        <v>3</v>
      </c>
      <c r="F1121">
        <v>200</v>
      </c>
      <c r="G1121" t="s">
        <v>17</v>
      </c>
      <c r="H1121" s="5">
        <v>43831</v>
      </c>
      <c r="I1121" s="5">
        <v>44562</v>
      </c>
      <c r="J1121">
        <v>14</v>
      </c>
      <c r="K1121">
        <v>9</v>
      </c>
      <c r="L1121">
        <v>32</v>
      </c>
      <c r="M1121">
        <v>68</v>
      </c>
      <c r="N1121">
        <v>10000</v>
      </c>
      <c r="O1121">
        <f>VLOOKUP($B1121&amp;O$1,Data!$A$2:$D$12000,4,FALSE)</f>
        <v>0.22269</v>
      </c>
      <c r="P1121">
        <f>VLOOKUP($B1121&amp;P$1,Data!$A$2:$D$12000,4,FALSE)</f>
        <v>0.216</v>
      </c>
      <c r="Q1121">
        <f>VLOOKUP($B1121&amp;Q$1,Data!$A$2:$D$12000,4,FALSE)</f>
        <v>876</v>
      </c>
      <c r="R1121">
        <f>VLOOKUP($B1121&amp;R$1,Data!$A$2:$D$12000,4,FALSE)</f>
        <v>1.9E-3</v>
      </c>
      <c r="S1121">
        <f>VLOOKUP($B1121&amp;S$1,Data!$A$2:$D$12000,4,FALSE)</f>
        <v>-4.0000000000000001E-3</v>
      </c>
      <c r="T1121">
        <f>VLOOKUP($B1121&amp;T$1,Data!$A$2:$D$12000,4,FALSE)</f>
        <v>1.3259999999999999E-2</v>
      </c>
      <c r="U1121">
        <f>VLOOKUP($B1121&amp;U$1,Data!$A$2:$D$12000,4,FALSE)</f>
        <v>4.9000000000000002E-2</v>
      </c>
      <c r="V1121">
        <f>VLOOKUP($B1121&amp;V$1,Data!$A$2:$D$12000,4,FALSE)</f>
        <v>2.3E-2</v>
      </c>
      <c r="W1121">
        <f>VLOOKUP($B1121&amp;W$1,Data!$A$2:$D$12000,4,FALSE)</f>
        <v>8.8100000000000001E-3</v>
      </c>
      <c r="X1121">
        <f>VLOOKUP($B1121&amp;X$1,Data!$A$2:$D$12000,4,FALSE)</f>
        <v>0.31</v>
      </c>
      <c r="Y1121">
        <f>VLOOKUP($B1121&amp;Y$1,Data!$A$2:$D$12000,4,FALSE)</f>
        <v>0.69</v>
      </c>
      <c r="Z1121">
        <f>VLOOKUP($B1121&amp;Z$1,Data!$A$2:$D$12000,4,FALSE)</f>
        <v>0.48</v>
      </c>
      <c r="AA1121">
        <f>VLOOKUP($B1121&amp;AA$1,Data!$A$2:$D$12000,4,FALSE)</f>
        <v>1.7999999999999999E-2</v>
      </c>
      <c r="AB1121">
        <f>VLOOKUP($B1121&amp;AB$1,Data!$A$2:$D$12000,4,FALSE)</f>
        <v>-0.14499999999999999</v>
      </c>
      <c r="AC1121">
        <f>VLOOKUP($B1121&amp;AC$1,Data!$A$2:$D$12000,4,FALSE)</f>
        <v>4.8000000000000001E-2</v>
      </c>
      <c r="AD1121">
        <f>VLOOKUP($B1121&amp;AD$1,Data!$A$2:$D$12000,4,FALSE)</f>
        <v>2E-3</v>
      </c>
      <c r="AE1121">
        <f>VLOOKUP($B1121&amp;AE$1,Data!$A$2:$D$12000,4,FALSE)</f>
        <v>-0.46100000000000002</v>
      </c>
      <c r="AF1121">
        <f>VLOOKUP($B1121&amp;AF$1,Data!$A$2:$D$12000,4,FALSE)</f>
        <v>0.09</v>
      </c>
      <c r="AG1121">
        <f>VLOOKUP($B1121&amp;AG$1,Data!$A$2:$D$12000,4,FALSE)</f>
        <v>-7.0999999999999994E-2</v>
      </c>
      <c r="AH1121">
        <f>VLOOKUP($B1121&amp;AH$1,Data!$A$2:$D$12000,4,FALSE)</f>
        <v>0</v>
      </c>
      <c r="AI1121">
        <f>VLOOKUP($B1121&amp;AI$1,Data!$A$2:$D$12000,4,FALSE)</f>
        <v>5200000</v>
      </c>
    </row>
    <row r="1122" spans="2:35" hidden="1">
      <c r="B1122" s="24">
        <v>1120</v>
      </c>
      <c r="C1122" s="13" t="s">
        <v>58</v>
      </c>
      <c r="D1122" t="s">
        <v>21</v>
      </c>
      <c r="E1122" t="s">
        <v>2</v>
      </c>
      <c r="F1122">
        <v>10</v>
      </c>
      <c r="G1122" t="s">
        <v>17</v>
      </c>
      <c r="H1122" s="5">
        <v>43831</v>
      </c>
      <c r="I1122" s="5">
        <v>44562</v>
      </c>
      <c r="J1122">
        <v>14</v>
      </c>
      <c r="K1122">
        <v>9</v>
      </c>
      <c r="L1122">
        <v>32</v>
      </c>
      <c r="M1122">
        <v>68</v>
      </c>
      <c r="N1122">
        <v>10000</v>
      </c>
      <c r="O1122">
        <f>VLOOKUP($B1122&amp;O$1,Data!$A$2:$D$12000,4,FALSE)</f>
        <v>0.18096000000000001</v>
      </c>
      <c r="P1122">
        <f>VLOOKUP($B1122&amp;P$1,Data!$A$2:$D$12000,4,FALSE)</f>
        <v>7.2999999999999995E-2</v>
      </c>
      <c r="Q1122">
        <f>VLOOKUP($B1122&amp;Q$1,Data!$A$2:$D$12000,4,FALSE)</f>
        <v>969</v>
      </c>
      <c r="R1122">
        <f>VLOOKUP($B1122&amp;R$1,Data!$A$2:$D$12000,4,FALSE)</f>
        <v>1.4E-3</v>
      </c>
      <c r="S1122">
        <f>VLOOKUP($B1122&amp;S$1,Data!$A$2:$D$12000,4,FALSE)</f>
        <v>-2.3999999999999998E-3</v>
      </c>
      <c r="T1122">
        <f>VLOOKUP($B1122&amp;T$1,Data!$A$2:$D$12000,4,FALSE)</f>
        <v>2.9199999999999999E-3</v>
      </c>
      <c r="U1122">
        <f>VLOOKUP($B1122&amp;U$1,Data!$A$2:$D$12000,4,FALSE)</f>
        <v>2.5000000000000001E-2</v>
      </c>
      <c r="V1122">
        <f>VLOOKUP($B1122&amp;V$1,Data!$A$2:$D$12000,4,FALSE)</f>
        <v>1.4E-2</v>
      </c>
      <c r="W1122">
        <f>VLOOKUP($B1122&amp;W$1,Data!$A$2:$D$12000,4,FALSE)</f>
        <v>1.9400000000000001E-3</v>
      </c>
      <c r="X1122">
        <f>VLOOKUP($B1122&amp;X$1,Data!$A$2:$D$12000,4,FALSE)</f>
        <v>0.36</v>
      </c>
      <c r="Y1122">
        <f>VLOOKUP($B1122&amp;Y$1,Data!$A$2:$D$12000,4,FALSE)</f>
        <v>0.64</v>
      </c>
      <c r="Z1122">
        <f>VLOOKUP($B1122&amp;Z$1,Data!$A$2:$D$12000,4,FALSE)</f>
        <v>0.59</v>
      </c>
      <c r="AA1122">
        <f>VLOOKUP($B1122&amp;AA$1,Data!$A$2:$D$12000,4,FALSE)</f>
        <v>4.0000000000000001E-3</v>
      </c>
      <c r="AB1122">
        <f>VLOOKUP($B1122&amp;AB$1,Data!$A$2:$D$12000,4,FALSE)</f>
        <v>-3.5000000000000003E-2</v>
      </c>
      <c r="AC1122">
        <f>VLOOKUP($B1122&amp;AC$1,Data!$A$2:$D$12000,4,FALSE)</f>
        <v>3.6999999999999998E-2</v>
      </c>
      <c r="AD1122">
        <f>VLOOKUP($B1122&amp;AD$1,Data!$A$2:$D$12000,4,FALSE)</f>
        <v>1E-3</v>
      </c>
      <c r="AE1122">
        <f>VLOOKUP($B1122&amp;AE$1,Data!$A$2:$D$12000,4,FALSE)</f>
        <v>-0.59</v>
      </c>
      <c r="AF1122">
        <f>VLOOKUP($B1122&amp;AF$1,Data!$A$2:$D$12000,4,FALSE)</f>
        <v>7.9000000000000001E-2</v>
      </c>
      <c r="AG1122">
        <f>VLOOKUP($B1122&amp;AG$1,Data!$A$2:$D$12000,4,FALSE)</f>
        <v>-7.8E-2</v>
      </c>
      <c r="AH1122">
        <f>VLOOKUP($B1122&amp;AH$1,Data!$A$2:$D$12000,4,FALSE)</f>
        <v>0</v>
      </c>
      <c r="AI1122">
        <f>VLOOKUP($B1122&amp;AI$1,Data!$A$2:$D$12000,4,FALSE)</f>
        <v>5500000</v>
      </c>
    </row>
    <row r="1123" spans="2:35" hidden="1">
      <c r="B1123" s="24">
        <v>1121</v>
      </c>
      <c r="C1123" s="13" t="s">
        <v>58</v>
      </c>
      <c r="D1123" t="s">
        <v>21</v>
      </c>
      <c r="E1123" t="s">
        <v>2</v>
      </c>
      <c r="F1123">
        <v>100</v>
      </c>
      <c r="G1123" t="s">
        <v>17</v>
      </c>
      <c r="H1123" s="5">
        <v>43831</v>
      </c>
      <c r="I1123" s="5">
        <v>44562</v>
      </c>
      <c r="J1123">
        <v>14</v>
      </c>
      <c r="K1123">
        <v>9</v>
      </c>
      <c r="L1123">
        <v>32</v>
      </c>
      <c r="M1123">
        <v>68</v>
      </c>
      <c r="N1123">
        <v>10000</v>
      </c>
      <c r="O1123">
        <f>VLOOKUP($B1123&amp;O$1,Data!$A$2:$D$12000,4,FALSE)</f>
        <v>0.32883000000000001</v>
      </c>
      <c r="P1123">
        <f>VLOOKUP($B1123&amp;P$1,Data!$A$2:$D$12000,4,FALSE)</f>
        <v>0.56000000000000005</v>
      </c>
      <c r="Q1123">
        <f>VLOOKUP($B1123&amp;Q$1,Data!$A$2:$D$12000,4,FALSE)</f>
        <v>645</v>
      </c>
      <c r="R1123">
        <f>VLOOKUP($B1123&amp;R$1,Data!$A$2:$D$12000,4,FALSE)</f>
        <v>2.3E-3</v>
      </c>
      <c r="S1123">
        <f>VLOOKUP($B1123&amp;S$1,Data!$A$2:$D$12000,4,FALSE)</f>
        <v>-3.3999999999999998E-3</v>
      </c>
      <c r="T1123">
        <f>VLOOKUP($B1123&amp;T$1,Data!$A$2:$D$12000,4,FALSE)</f>
        <v>4.2799999999999998E-2</v>
      </c>
      <c r="U1123">
        <f>VLOOKUP($B1123&amp;U$1,Data!$A$2:$D$12000,4,FALSE)</f>
        <v>3.2000000000000001E-2</v>
      </c>
      <c r="V1123">
        <f>VLOOKUP($B1123&amp;V$1,Data!$A$2:$D$12000,4,FALSE)</f>
        <v>9.7000000000000003E-2</v>
      </c>
      <c r="W1123">
        <f>VLOOKUP($B1123&amp;W$1,Data!$A$2:$D$12000,4,FALSE)</f>
        <v>2.8289999999999999E-2</v>
      </c>
      <c r="X1123">
        <f>VLOOKUP($B1123&amp;X$1,Data!$A$2:$D$12000,4,FALSE)</f>
        <v>0.34</v>
      </c>
      <c r="Y1123">
        <f>VLOOKUP($B1123&amp;Y$1,Data!$A$2:$D$12000,4,FALSE)</f>
        <v>0.66</v>
      </c>
      <c r="Z1123">
        <f>VLOOKUP($B1123&amp;Z$1,Data!$A$2:$D$12000,4,FALSE)</f>
        <v>0.67</v>
      </c>
      <c r="AA1123">
        <f>VLOOKUP($B1123&amp;AA$1,Data!$A$2:$D$12000,4,FALSE)</f>
        <v>3.7999999999999999E-2</v>
      </c>
      <c r="AB1123">
        <f>VLOOKUP($B1123&amp;AB$1,Data!$A$2:$D$12000,4,FALSE)</f>
        <v>-0.13400000000000001</v>
      </c>
      <c r="AC1123">
        <f>VLOOKUP($B1123&amp;AC$1,Data!$A$2:$D$12000,4,FALSE)</f>
        <v>5.5E-2</v>
      </c>
      <c r="AD1123">
        <f>VLOOKUP($B1123&amp;AD$1,Data!$A$2:$D$12000,4,FALSE)</f>
        <v>3.0000000000000001E-3</v>
      </c>
      <c r="AE1123">
        <f>VLOOKUP($B1123&amp;AE$1,Data!$A$2:$D$12000,4,FALSE)</f>
        <v>-0.19400000000000001</v>
      </c>
      <c r="AF1123">
        <f>VLOOKUP($B1123&amp;AF$1,Data!$A$2:$D$12000,4,FALSE)</f>
        <v>9.4E-2</v>
      </c>
      <c r="AG1123">
        <f>VLOOKUP($B1123&amp;AG$1,Data!$A$2:$D$12000,4,FALSE)</f>
        <v>-0.23100000000000001</v>
      </c>
      <c r="AH1123">
        <f>VLOOKUP($B1123&amp;AH$1,Data!$A$2:$D$12000,4,FALSE)</f>
        <v>0</v>
      </c>
      <c r="AI1123">
        <f>VLOOKUP($B1123&amp;AI$1,Data!$A$2:$D$12000,4,FALSE)</f>
        <v>5300000</v>
      </c>
    </row>
    <row r="1124" spans="2:35" hidden="1">
      <c r="B1124" s="24">
        <v>1122</v>
      </c>
      <c r="C1124" s="13" t="s">
        <v>58</v>
      </c>
      <c r="D1124" t="s">
        <v>21</v>
      </c>
      <c r="E1124" t="s">
        <v>2</v>
      </c>
      <c r="F1124">
        <v>200</v>
      </c>
      <c r="G1124" t="s">
        <v>17</v>
      </c>
      <c r="H1124" s="5">
        <v>43831</v>
      </c>
      <c r="I1124" s="5">
        <v>44562</v>
      </c>
      <c r="J1124">
        <v>14</v>
      </c>
      <c r="K1124">
        <v>9</v>
      </c>
      <c r="L1124">
        <v>32</v>
      </c>
      <c r="M1124">
        <v>68</v>
      </c>
      <c r="N1124">
        <v>10000</v>
      </c>
      <c r="O1124">
        <f>VLOOKUP($B1124&amp;O$1,Data!$A$2:$D$12000,4,FALSE)</f>
        <v>0.45856999999999998</v>
      </c>
      <c r="P1124">
        <f>VLOOKUP($B1124&amp;P$1,Data!$A$2:$D$12000,4,FALSE)</f>
        <v>0.91400000000000003</v>
      </c>
      <c r="Q1124">
        <f>VLOOKUP($B1124&amp;Q$1,Data!$A$2:$D$12000,4,FALSE)</f>
        <v>531</v>
      </c>
      <c r="R1124">
        <f>VLOOKUP($B1124&amp;R$1,Data!$A$2:$D$12000,4,FALSE)</f>
        <v>2.3E-3</v>
      </c>
      <c r="S1124">
        <f>VLOOKUP($B1124&amp;S$1,Data!$A$2:$D$12000,4,FALSE)</f>
        <v>-3.3999999999999998E-3</v>
      </c>
      <c r="T1124">
        <f>VLOOKUP($B1124&amp;T$1,Data!$A$2:$D$12000,4,FALSE)</f>
        <v>6.0139999999999999E-2</v>
      </c>
      <c r="U1124">
        <f>VLOOKUP($B1124&amp;U$1,Data!$A$2:$D$12000,4,FALSE)</f>
        <v>3.3000000000000002E-2</v>
      </c>
      <c r="V1124">
        <f>VLOOKUP($B1124&amp;V$1,Data!$A$2:$D$12000,4,FALSE)</f>
        <v>0.14499999999999999</v>
      </c>
      <c r="W1124">
        <f>VLOOKUP($B1124&amp;W$1,Data!$A$2:$D$12000,4,FALSE)</f>
        <v>3.9640000000000002E-2</v>
      </c>
      <c r="X1124">
        <f>VLOOKUP($B1124&amp;X$1,Data!$A$2:$D$12000,4,FALSE)</f>
        <v>0.32</v>
      </c>
      <c r="Y1124">
        <f>VLOOKUP($B1124&amp;Y$1,Data!$A$2:$D$12000,4,FALSE)</f>
        <v>0.68</v>
      </c>
      <c r="Z1124">
        <f>VLOOKUP($B1124&amp;Z$1,Data!$A$2:$D$12000,4,FALSE)</f>
        <v>0.69</v>
      </c>
      <c r="AA1124">
        <f>VLOOKUP($B1124&amp;AA$1,Data!$A$2:$D$12000,4,FALSE)</f>
        <v>5.0999999999999997E-2</v>
      </c>
      <c r="AB1124">
        <f>VLOOKUP($B1124&amp;AB$1,Data!$A$2:$D$12000,4,FALSE)</f>
        <v>-0.16500000000000001</v>
      </c>
      <c r="AC1124">
        <f>VLOOKUP($B1124&amp;AC$1,Data!$A$2:$D$12000,4,FALSE)</f>
        <v>4.5999999999999999E-2</v>
      </c>
      <c r="AD1124">
        <f>VLOOKUP($B1124&amp;AD$1,Data!$A$2:$D$12000,4,FALSE)</f>
        <v>2E-3</v>
      </c>
      <c r="AE1124">
        <f>VLOOKUP($B1124&amp;AE$1,Data!$A$2:$D$12000,4,FALSE)</f>
        <v>-0.105</v>
      </c>
      <c r="AF1124">
        <f>VLOOKUP($B1124&amp;AF$1,Data!$A$2:$D$12000,4,FALSE)</f>
        <v>0.09</v>
      </c>
      <c r="AG1124">
        <f>VLOOKUP($B1124&amp;AG$1,Data!$A$2:$D$12000,4,FALSE)</f>
        <v>-0.25800000000000001</v>
      </c>
      <c r="AH1124">
        <f>VLOOKUP($B1124&amp;AH$1,Data!$A$2:$D$12000,4,FALSE)</f>
        <v>0</v>
      </c>
      <c r="AI1124">
        <f>VLOOKUP($B1124&amp;AI$1,Data!$A$2:$D$12000,4,FALSE)</f>
        <v>5500000</v>
      </c>
    </row>
    <row r="1125" spans="2:35" hidden="1">
      <c r="B1125" s="24">
        <v>1123</v>
      </c>
      <c r="C1125" s="13" t="s">
        <v>58</v>
      </c>
      <c r="D1125" t="s">
        <v>21</v>
      </c>
      <c r="E1125" t="s">
        <v>22</v>
      </c>
      <c r="F1125">
        <v>10</v>
      </c>
      <c r="G1125" t="s">
        <v>17</v>
      </c>
      <c r="H1125" s="5">
        <v>43831</v>
      </c>
      <c r="I1125" s="5">
        <v>44562</v>
      </c>
      <c r="J1125">
        <v>14</v>
      </c>
      <c r="K1125">
        <v>9</v>
      </c>
      <c r="L1125">
        <v>32</v>
      </c>
      <c r="M1125">
        <v>68</v>
      </c>
      <c r="N1125">
        <v>10000</v>
      </c>
      <c r="O1125">
        <f>VLOOKUP($B1125&amp;O$1,Data!$A$2:$D$12000,4,FALSE)</f>
        <v>9.5699999999999993E-2</v>
      </c>
      <c r="P1125">
        <f>VLOOKUP($B1125&amp;P$1,Data!$A$2:$D$12000,4,FALSE)</f>
        <v>-0.33400000000000002</v>
      </c>
      <c r="Q1125">
        <f>VLOOKUP($B1125&amp;Q$1,Data!$A$2:$D$12000,4,FALSE)</f>
        <v>680</v>
      </c>
      <c r="R1125">
        <f>VLOOKUP($B1125&amp;R$1,Data!$A$2:$D$12000,4,FALSE)</f>
        <v>1.2999999999999999E-3</v>
      </c>
      <c r="S1125">
        <f>VLOOKUP($B1125&amp;S$1,Data!$A$2:$D$12000,4,FALSE)</f>
        <v>-2.7000000000000001E-3</v>
      </c>
      <c r="T1125">
        <f>VLOOKUP($B1125&amp;T$1,Data!$A$2:$D$12000,4,FALSE)</f>
        <v>-1.4E-2</v>
      </c>
      <c r="U1125">
        <f>VLOOKUP($B1125&amp;U$1,Data!$A$2:$D$12000,4,FALSE)</f>
        <v>3.7999999999999999E-2</v>
      </c>
      <c r="V1125">
        <f>VLOOKUP($B1125&amp;V$1,Data!$A$2:$D$12000,4,FALSE)</f>
        <v>-5.8999999999999997E-2</v>
      </c>
      <c r="W1125">
        <f>VLOOKUP($B1125&amp;W$1,Data!$A$2:$D$12000,4,FALSE)</f>
        <v>-9.3399999999999993E-3</v>
      </c>
      <c r="X1125">
        <f>VLOOKUP($B1125&amp;X$1,Data!$A$2:$D$12000,4,FALSE)</f>
        <v>0.36</v>
      </c>
      <c r="Y1125">
        <f>VLOOKUP($B1125&amp;Y$1,Data!$A$2:$D$12000,4,FALSE)</f>
        <v>0.64</v>
      </c>
      <c r="Z1125">
        <f>VLOOKUP($B1125&amp;Z$1,Data!$A$2:$D$12000,4,FALSE)</f>
        <v>0.47</v>
      </c>
      <c r="AA1125">
        <f>VLOOKUP($B1125&amp;AA$1,Data!$A$2:$D$12000,4,FALSE)</f>
        <v>-6.0000000000000001E-3</v>
      </c>
      <c r="AB1125">
        <f>VLOOKUP($B1125&amp;AB$1,Data!$A$2:$D$12000,4,FALSE)</f>
        <v>-0.06</v>
      </c>
      <c r="AC1125">
        <f>VLOOKUP($B1125&amp;AC$1,Data!$A$2:$D$12000,4,FALSE)</f>
        <v>2.8000000000000001E-2</v>
      </c>
      <c r="AD1125">
        <f>VLOOKUP($B1125&amp;AD$1,Data!$A$2:$D$12000,4,FALSE)</f>
        <v>1E-3</v>
      </c>
      <c r="AE1125">
        <f>VLOOKUP($B1125&amp;AE$1,Data!$A$2:$D$12000,4,FALSE)</f>
        <v>-0.80100000000000005</v>
      </c>
      <c r="AF1125">
        <f>VLOOKUP($B1125&amp;AF$1,Data!$A$2:$D$12000,4,FALSE)</f>
        <v>7.5999999999999998E-2</v>
      </c>
      <c r="AG1125">
        <f>VLOOKUP($B1125&amp;AG$1,Data!$A$2:$D$12000,4,FALSE)</f>
        <v>0.156</v>
      </c>
      <c r="AH1125">
        <f>VLOOKUP($B1125&amp;AH$1,Data!$A$2:$D$12000,4,FALSE)</f>
        <v>0</v>
      </c>
      <c r="AI1125">
        <f>VLOOKUP($B1125&amp;AI$1,Data!$A$2:$D$12000,4,FALSE)</f>
        <v>7900000</v>
      </c>
    </row>
    <row r="1126" spans="2:35" hidden="1">
      <c r="B1126" s="24">
        <v>1124</v>
      </c>
      <c r="C1126" s="13" t="s">
        <v>58</v>
      </c>
      <c r="D1126" t="s">
        <v>21</v>
      </c>
      <c r="E1126" t="s">
        <v>22</v>
      </c>
      <c r="F1126">
        <v>100</v>
      </c>
      <c r="G1126" t="s">
        <v>17</v>
      </c>
      <c r="H1126" s="5">
        <v>43831</v>
      </c>
      <c r="I1126" s="5">
        <v>44562</v>
      </c>
      <c r="J1126">
        <v>14</v>
      </c>
      <c r="K1126">
        <v>9</v>
      </c>
      <c r="L1126">
        <v>32</v>
      </c>
      <c r="M1126">
        <v>68</v>
      </c>
      <c r="N1126">
        <v>10000</v>
      </c>
      <c r="O1126">
        <f>VLOOKUP($B1126&amp;O$1,Data!$A$2:$D$12000,4,FALSE)</f>
        <v>0.18096000000000001</v>
      </c>
      <c r="P1126">
        <f>VLOOKUP($B1126&amp;P$1,Data!$A$2:$D$12000,4,FALSE)</f>
        <v>6.9000000000000006E-2</v>
      </c>
      <c r="Q1126">
        <f>VLOOKUP($B1126&amp;Q$1,Data!$A$2:$D$12000,4,FALSE)</f>
        <v>465</v>
      </c>
      <c r="R1126">
        <f>VLOOKUP($B1126&amp;R$1,Data!$A$2:$D$12000,4,FALSE)</f>
        <v>2.7000000000000001E-3</v>
      </c>
      <c r="S1126">
        <f>VLOOKUP($B1126&amp;S$1,Data!$A$2:$D$12000,4,FALSE)</f>
        <v>-5.1999999999999998E-3</v>
      </c>
      <c r="T1126">
        <f>VLOOKUP($B1126&amp;T$1,Data!$A$2:$D$12000,4,FALSE)</f>
        <v>3.0200000000000001E-3</v>
      </c>
      <c r="U1126">
        <f>VLOOKUP($B1126&amp;U$1,Data!$A$2:$D$12000,4,FALSE)</f>
        <v>6.0999999999999999E-2</v>
      </c>
      <c r="V1126">
        <f>VLOOKUP($B1126&amp;V$1,Data!$A$2:$D$12000,4,FALSE)</f>
        <v>1.6E-2</v>
      </c>
      <c r="W1126">
        <f>VLOOKUP($B1126&amp;W$1,Data!$A$2:$D$12000,4,FALSE)</f>
        <v>2.0100000000000001E-3</v>
      </c>
      <c r="X1126">
        <f>VLOOKUP($B1126&amp;X$1,Data!$A$2:$D$12000,4,FALSE)</f>
        <v>0.33</v>
      </c>
      <c r="Y1126">
        <f>VLOOKUP($B1126&amp;Y$1,Data!$A$2:$D$12000,4,FALSE)</f>
        <v>0.67</v>
      </c>
      <c r="Z1126">
        <f>VLOOKUP($B1126&amp;Z$1,Data!$A$2:$D$12000,4,FALSE)</f>
        <v>0.51</v>
      </c>
      <c r="AA1126">
        <f>VLOOKUP($B1126&amp;AA$1,Data!$A$2:$D$12000,4,FALSE)</f>
        <v>8.9999999999999993E-3</v>
      </c>
      <c r="AB1126">
        <f>VLOOKUP($B1126&amp;AB$1,Data!$A$2:$D$12000,4,FALSE)</f>
        <v>-0.122</v>
      </c>
      <c r="AC1126">
        <f>VLOOKUP($B1126&amp;AC$1,Data!$A$2:$D$12000,4,FALSE)</f>
        <v>4.4999999999999998E-2</v>
      </c>
      <c r="AD1126">
        <f>VLOOKUP($B1126&amp;AD$1,Data!$A$2:$D$12000,4,FALSE)</f>
        <v>2E-3</v>
      </c>
      <c r="AE1126">
        <f>VLOOKUP($B1126&amp;AE$1,Data!$A$2:$D$12000,4,FALSE)</f>
        <v>-0.55800000000000005</v>
      </c>
      <c r="AF1126">
        <f>VLOOKUP($B1126&amp;AF$1,Data!$A$2:$D$12000,4,FALSE)</f>
        <v>8.7999999999999995E-2</v>
      </c>
      <c r="AG1126">
        <f>VLOOKUP($B1126&amp;AG$1,Data!$A$2:$D$12000,4,FALSE)</f>
        <v>-2.5999999999999999E-2</v>
      </c>
      <c r="AH1126">
        <f>VLOOKUP($B1126&amp;AH$1,Data!$A$2:$D$12000,4,FALSE)</f>
        <v>0</v>
      </c>
      <c r="AI1126">
        <f>VLOOKUP($B1126&amp;AI$1,Data!$A$2:$D$12000,4,FALSE)</f>
        <v>6000000</v>
      </c>
    </row>
    <row r="1127" spans="2:35" hidden="1">
      <c r="B1127" s="24">
        <v>1125</v>
      </c>
      <c r="C1127" s="13" t="s">
        <v>58</v>
      </c>
      <c r="D1127" t="s">
        <v>21</v>
      </c>
      <c r="E1127" t="s">
        <v>22</v>
      </c>
      <c r="F1127">
        <v>200</v>
      </c>
      <c r="G1127" t="s">
        <v>17</v>
      </c>
      <c r="H1127" s="5">
        <v>43831</v>
      </c>
      <c r="I1127" s="5">
        <v>44562</v>
      </c>
      <c r="J1127">
        <v>14</v>
      </c>
      <c r="K1127">
        <v>9</v>
      </c>
      <c r="L1127">
        <v>32</v>
      </c>
      <c r="M1127">
        <v>68</v>
      </c>
      <c r="N1127">
        <v>10000</v>
      </c>
      <c r="O1127">
        <f>VLOOKUP($B1127&amp;O$1,Data!$A$2:$D$12000,4,FALSE)</f>
        <v>0.10403999999999999</v>
      </c>
      <c r="P1127">
        <f>VLOOKUP($B1127&amp;P$1,Data!$A$2:$D$12000,4,FALSE)</f>
        <v>-0.28799999999999998</v>
      </c>
      <c r="Q1127">
        <f>VLOOKUP($B1127&amp;Q$1,Data!$A$2:$D$12000,4,FALSE)</f>
        <v>384</v>
      </c>
      <c r="R1127">
        <f>VLOOKUP($B1127&amp;R$1,Data!$A$2:$D$12000,4,FALSE)</f>
        <v>2.7000000000000001E-3</v>
      </c>
      <c r="S1127">
        <f>VLOOKUP($B1127&amp;S$1,Data!$A$2:$D$12000,4,FALSE)</f>
        <v>-5.1999999999999998E-3</v>
      </c>
      <c r="T1127">
        <f>VLOOKUP($B1127&amp;T$1,Data!$A$2:$D$12000,4,FALSE)</f>
        <v>-2.0369999999999999E-2</v>
      </c>
      <c r="U1127">
        <f>VLOOKUP($B1127&amp;U$1,Data!$A$2:$D$12000,4,FALSE)</f>
        <v>6.6000000000000003E-2</v>
      </c>
      <c r="V1127">
        <f>VLOOKUP($B1127&amp;V$1,Data!$A$2:$D$12000,4,FALSE)</f>
        <v>-3.3000000000000002E-2</v>
      </c>
      <c r="W1127">
        <f>VLOOKUP($B1127&amp;W$1,Data!$A$2:$D$12000,4,FALSE)</f>
        <v>-1.3610000000000001E-2</v>
      </c>
      <c r="X1127">
        <f>VLOOKUP($B1127&amp;X$1,Data!$A$2:$D$12000,4,FALSE)</f>
        <v>0.36</v>
      </c>
      <c r="Y1127">
        <f>VLOOKUP($B1127&amp;Y$1,Data!$A$2:$D$12000,4,FALSE)</f>
        <v>0.64</v>
      </c>
      <c r="Z1127">
        <f>VLOOKUP($B1127&amp;Z$1,Data!$A$2:$D$12000,4,FALSE)</f>
        <v>0.52</v>
      </c>
      <c r="AA1127">
        <f>VLOOKUP($B1127&amp;AA$1,Data!$A$2:$D$12000,4,FALSE)</f>
        <v>-7.0000000000000001E-3</v>
      </c>
      <c r="AB1127">
        <f>VLOOKUP($B1127&amp;AB$1,Data!$A$2:$D$12000,4,FALSE)</f>
        <v>-0.11899999999999999</v>
      </c>
      <c r="AC1127">
        <f>VLOOKUP($B1127&amp;AC$1,Data!$A$2:$D$12000,4,FALSE)</f>
        <v>4.5999999999999999E-2</v>
      </c>
      <c r="AD1127">
        <f>VLOOKUP($B1127&amp;AD$1,Data!$A$2:$D$12000,4,FALSE)</f>
        <v>2E-3</v>
      </c>
      <c r="AE1127">
        <f>VLOOKUP($B1127&amp;AE$1,Data!$A$2:$D$12000,4,FALSE)</f>
        <v>-0.74199999999999999</v>
      </c>
      <c r="AF1127">
        <f>VLOOKUP($B1127&amp;AF$1,Data!$A$2:$D$12000,4,FALSE)</f>
        <v>8.7999999999999995E-2</v>
      </c>
      <c r="AG1127">
        <f>VLOOKUP($B1127&amp;AG$1,Data!$A$2:$D$12000,4,FALSE)</f>
        <v>0.11</v>
      </c>
      <c r="AH1127">
        <f>VLOOKUP($B1127&amp;AH$1,Data!$A$2:$D$12000,4,FALSE)</f>
        <v>0</v>
      </c>
      <c r="AI1127">
        <f>VLOOKUP($B1127&amp;AI$1,Data!$A$2:$D$12000,4,FALSE)</f>
        <v>6200000</v>
      </c>
    </row>
    <row r="1128" spans="2:35" hidden="1">
      <c r="B1128">
        <v>1126</v>
      </c>
      <c r="C1128" s="13" t="s">
        <v>58</v>
      </c>
      <c r="D1128" t="s">
        <v>21</v>
      </c>
      <c r="E1128" t="s">
        <v>3</v>
      </c>
      <c r="F1128">
        <v>10</v>
      </c>
      <c r="G1128" t="s">
        <v>17</v>
      </c>
      <c r="H1128" s="5">
        <v>43831</v>
      </c>
      <c r="I1128" s="5">
        <v>44562</v>
      </c>
      <c r="J1128">
        <v>14</v>
      </c>
      <c r="K1128">
        <v>9</v>
      </c>
      <c r="L1128">
        <v>28</v>
      </c>
      <c r="M1128">
        <v>72</v>
      </c>
      <c r="N1128">
        <v>10000</v>
      </c>
      <c r="W1128"/>
    </row>
    <row r="1129" spans="2:35" hidden="1">
      <c r="B1129">
        <v>1127</v>
      </c>
      <c r="C1129" s="13" t="s">
        <v>58</v>
      </c>
      <c r="D1129" t="s">
        <v>21</v>
      </c>
      <c r="E1129" t="s">
        <v>3</v>
      </c>
      <c r="F1129">
        <v>100</v>
      </c>
      <c r="G1129" t="s">
        <v>17</v>
      </c>
      <c r="H1129" s="5">
        <v>43831</v>
      </c>
      <c r="I1129" s="5">
        <v>44562</v>
      </c>
      <c r="J1129">
        <v>14</v>
      </c>
      <c r="K1129">
        <v>9</v>
      </c>
      <c r="L1129">
        <v>28</v>
      </c>
      <c r="M1129">
        <v>72</v>
      </c>
      <c r="N1129">
        <v>10000</v>
      </c>
      <c r="W1129"/>
    </row>
    <row r="1130" spans="2:35" hidden="1">
      <c r="B1130">
        <v>1128</v>
      </c>
      <c r="C1130" s="13" t="s">
        <v>58</v>
      </c>
      <c r="D1130" t="s">
        <v>21</v>
      </c>
      <c r="E1130" t="s">
        <v>3</v>
      </c>
      <c r="F1130">
        <v>200</v>
      </c>
      <c r="G1130" t="s">
        <v>17</v>
      </c>
      <c r="H1130" s="5">
        <v>43831</v>
      </c>
      <c r="I1130" s="5">
        <v>44562</v>
      </c>
      <c r="J1130">
        <v>14</v>
      </c>
      <c r="K1130">
        <v>9</v>
      </c>
      <c r="L1130">
        <v>28</v>
      </c>
      <c r="M1130">
        <v>72</v>
      </c>
      <c r="N1130">
        <v>10000</v>
      </c>
      <c r="W1130"/>
    </row>
    <row r="1131" spans="2:35" hidden="1">
      <c r="B1131">
        <v>1129</v>
      </c>
      <c r="C1131" s="13" t="s">
        <v>58</v>
      </c>
      <c r="D1131" t="s">
        <v>21</v>
      </c>
      <c r="E1131" t="s">
        <v>2</v>
      </c>
      <c r="F1131">
        <v>10</v>
      </c>
      <c r="G1131" t="s">
        <v>17</v>
      </c>
      <c r="H1131" s="5">
        <v>43831</v>
      </c>
      <c r="I1131" s="5">
        <v>44562</v>
      </c>
      <c r="J1131">
        <v>14</v>
      </c>
      <c r="K1131">
        <v>9</v>
      </c>
      <c r="L1131">
        <v>28</v>
      </c>
      <c r="M1131">
        <v>72</v>
      </c>
      <c r="N1131">
        <v>10000</v>
      </c>
      <c r="W1131"/>
    </row>
    <row r="1132" spans="2:35" hidden="1">
      <c r="B1132">
        <v>1130</v>
      </c>
      <c r="C1132" s="13" t="s">
        <v>58</v>
      </c>
      <c r="D1132" t="s">
        <v>21</v>
      </c>
      <c r="E1132" t="s">
        <v>2</v>
      </c>
      <c r="F1132">
        <v>100</v>
      </c>
      <c r="G1132" t="s">
        <v>17</v>
      </c>
      <c r="H1132" s="5">
        <v>43831</v>
      </c>
      <c r="I1132" s="5">
        <v>44562</v>
      </c>
      <c r="J1132">
        <v>14</v>
      </c>
      <c r="K1132">
        <v>9</v>
      </c>
      <c r="L1132">
        <v>28</v>
      </c>
      <c r="M1132">
        <v>72</v>
      </c>
      <c r="N1132">
        <v>10000</v>
      </c>
      <c r="W1132"/>
    </row>
    <row r="1133" spans="2:35" hidden="1">
      <c r="B1133">
        <v>1131</v>
      </c>
      <c r="C1133" s="13" t="s">
        <v>58</v>
      </c>
      <c r="D1133" t="s">
        <v>21</v>
      </c>
      <c r="E1133" t="s">
        <v>2</v>
      </c>
      <c r="F1133">
        <v>200</v>
      </c>
      <c r="G1133" t="s">
        <v>17</v>
      </c>
      <c r="H1133" s="5">
        <v>43831</v>
      </c>
      <c r="I1133" s="5">
        <v>44562</v>
      </c>
      <c r="J1133">
        <v>14</v>
      </c>
      <c r="K1133">
        <v>9</v>
      </c>
      <c r="L1133">
        <v>28</v>
      </c>
      <c r="M1133">
        <v>72</v>
      </c>
      <c r="N1133">
        <v>10000</v>
      </c>
      <c r="W1133"/>
    </row>
    <row r="1134" spans="2:35" hidden="1">
      <c r="B1134">
        <v>1132</v>
      </c>
      <c r="C1134" s="13" t="s">
        <v>58</v>
      </c>
      <c r="D1134" t="s">
        <v>21</v>
      </c>
      <c r="E1134" t="s">
        <v>22</v>
      </c>
      <c r="F1134">
        <v>10</v>
      </c>
      <c r="G1134" t="s">
        <v>17</v>
      </c>
      <c r="H1134" s="5">
        <v>43831</v>
      </c>
      <c r="I1134" s="5">
        <v>44562</v>
      </c>
      <c r="J1134">
        <v>14</v>
      </c>
      <c r="K1134">
        <v>9</v>
      </c>
      <c r="L1134">
        <v>28</v>
      </c>
      <c r="M1134">
        <v>72</v>
      </c>
      <c r="N1134">
        <v>10000</v>
      </c>
      <c r="W1134"/>
    </row>
    <row r="1135" spans="2:35" hidden="1">
      <c r="B1135">
        <v>1133</v>
      </c>
      <c r="C1135" s="13" t="s">
        <v>58</v>
      </c>
      <c r="D1135" t="s">
        <v>21</v>
      </c>
      <c r="E1135" t="s">
        <v>22</v>
      </c>
      <c r="F1135">
        <v>100</v>
      </c>
      <c r="G1135" t="s">
        <v>17</v>
      </c>
      <c r="H1135" s="5">
        <v>43831</v>
      </c>
      <c r="I1135" s="5">
        <v>44562</v>
      </c>
      <c r="J1135">
        <v>14</v>
      </c>
      <c r="K1135">
        <v>9</v>
      </c>
      <c r="L1135">
        <v>28</v>
      </c>
      <c r="M1135">
        <v>72</v>
      </c>
      <c r="N1135">
        <v>10000</v>
      </c>
      <c r="W1135"/>
    </row>
    <row r="1136" spans="2:35" hidden="1">
      <c r="B1136">
        <v>1134</v>
      </c>
      <c r="C1136" s="13" t="s">
        <v>58</v>
      </c>
      <c r="D1136" t="s">
        <v>21</v>
      </c>
      <c r="E1136" t="s">
        <v>22</v>
      </c>
      <c r="F1136">
        <v>200</v>
      </c>
      <c r="G1136" t="s">
        <v>17</v>
      </c>
      <c r="H1136" s="5">
        <v>43831</v>
      </c>
      <c r="I1136" s="5">
        <v>44562</v>
      </c>
      <c r="J1136">
        <v>14</v>
      </c>
      <c r="K1136">
        <v>9</v>
      </c>
      <c r="L1136">
        <v>28</v>
      </c>
      <c r="M1136">
        <v>72</v>
      </c>
      <c r="N1136">
        <v>10000</v>
      </c>
      <c r="W1136"/>
    </row>
    <row r="1137" spans="2:35" hidden="1">
      <c r="B1137" s="13">
        <v>2001</v>
      </c>
      <c r="C1137" s="1" t="s">
        <v>58</v>
      </c>
      <c r="D1137" s="1" t="s">
        <v>0</v>
      </c>
      <c r="E1137" s="1" t="s">
        <v>3</v>
      </c>
      <c r="F1137" s="1">
        <v>100</v>
      </c>
      <c r="G1137" s="1" t="s">
        <v>17</v>
      </c>
      <c r="H1137" s="22">
        <v>43831</v>
      </c>
      <c r="I1137" s="22">
        <v>44562</v>
      </c>
      <c r="J1137" s="1">
        <v>14</v>
      </c>
      <c r="K1137" s="1">
        <v>9</v>
      </c>
      <c r="L1137" s="1">
        <v>30</v>
      </c>
      <c r="M1137" s="1">
        <v>70</v>
      </c>
      <c r="N1137" s="1">
        <v>1000000</v>
      </c>
      <c r="O1137">
        <f>VLOOKUP($B1137&amp;O$1,Data!$A$2:$D$12000,4,FALSE)</f>
        <v>5.1249999999999997E-2</v>
      </c>
      <c r="P1137">
        <f>VLOOKUP($B1137&amp;P$1,Data!$A$2:$D$12000,4,FALSE)</f>
        <v>-0.64500000000000002</v>
      </c>
      <c r="Q1137">
        <f>VLOOKUP($B1137&amp;Q$1,Data!$A$2:$D$12000,4,FALSE)</f>
        <v>1053</v>
      </c>
      <c r="R1137">
        <f>VLOOKUP($B1137&amp;R$1,Data!$A$2:$D$12000,4,FALSE)</f>
        <v>2.0000000000000001E-4</v>
      </c>
      <c r="S1137">
        <f>VLOOKUP($B1137&amp;S$1,Data!$A$2:$D$12000,4,FALSE)</f>
        <v>-4.0000000000000002E-4</v>
      </c>
      <c r="T1137">
        <f>VLOOKUP($B1137&amp;T$1,Data!$A$2:$D$12000,4,FALSE)</f>
        <v>-6.0499999999999998E-3</v>
      </c>
      <c r="U1137">
        <f>VLOOKUP($B1137&amp;U$1,Data!$A$2:$D$12000,4,FALSE)</f>
        <v>1.0999999999999999E-2</v>
      </c>
      <c r="V1137">
        <f>VLOOKUP($B1137&amp;V$1,Data!$A$2:$D$12000,4,FALSE)</f>
        <v>-8.8999999999999996E-2</v>
      </c>
      <c r="W1137">
        <f>VLOOKUP($B1137&amp;W$1,Data!$A$2:$D$12000,4,FALSE)</f>
        <v>-4.0499999999999998E-3</v>
      </c>
      <c r="X1137">
        <f>VLOOKUP($B1137&amp;X$1,Data!$A$2:$D$12000,4,FALSE)</f>
        <v>0.39</v>
      </c>
      <c r="Y1137">
        <f>VLOOKUP($B1137&amp;Y$1,Data!$A$2:$D$12000,4,FALSE)</f>
        <v>0.61</v>
      </c>
      <c r="Z1137">
        <f>VLOOKUP($B1137&amp;Z$1,Data!$A$2:$D$12000,4,FALSE)</f>
        <v>0.49</v>
      </c>
      <c r="AA1137">
        <f>VLOOKUP($B1137&amp;AA$1,Data!$A$2:$D$12000,4,FALSE)</f>
        <v>-4.0000000000000001E-3</v>
      </c>
      <c r="AB1137">
        <f>VLOOKUP($B1137&amp;AB$1,Data!$A$2:$D$12000,4,FALSE)</f>
        <v>-8.0000000000000002E-3</v>
      </c>
      <c r="AC1137">
        <f>VLOOKUP($B1137&amp;AC$1,Data!$A$2:$D$12000,4,FALSE)</f>
        <v>6.0000000000000001E-3</v>
      </c>
      <c r="AD1137">
        <f>VLOOKUP($B1137&amp;AD$1,Data!$A$2:$D$12000,4,FALSE)</f>
        <v>0</v>
      </c>
      <c r="AE1137">
        <f>VLOOKUP($B1137&amp;AE$1,Data!$A$2:$D$12000,4,FALSE)</f>
        <v>-0.79800000000000004</v>
      </c>
      <c r="AF1137">
        <f>VLOOKUP($B1137&amp;AF$1,Data!$A$2:$D$12000,4,FALSE)</f>
        <v>6.8000000000000005E-2</v>
      </c>
      <c r="AG1137">
        <f>VLOOKUP($B1137&amp;AG$1,Data!$A$2:$D$12000,4,FALSE)</f>
        <v>0.51600000000000001</v>
      </c>
      <c r="AH1137">
        <f>VLOOKUP($B1137&amp;AH$1,Data!$A$2:$D$12000,4,FALSE)</f>
        <v>0</v>
      </c>
      <c r="AI1137">
        <f>VLOOKUP($B1137&amp;AI$1,Data!$A$2:$D$12000,4,FALSE)</f>
        <v>2300000000</v>
      </c>
    </row>
    <row r="1138" spans="2:35" hidden="1">
      <c r="B1138" s="13">
        <v>2002</v>
      </c>
      <c r="C1138" s="13" t="s">
        <v>58</v>
      </c>
      <c r="D1138" t="s">
        <v>0</v>
      </c>
      <c r="E1138" t="s">
        <v>3</v>
      </c>
      <c r="F1138">
        <v>1000</v>
      </c>
      <c r="G1138" t="s">
        <v>17</v>
      </c>
      <c r="H1138" s="5">
        <v>43831</v>
      </c>
      <c r="I1138" s="5">
        <v>44562</v>
      </c>
      <c r="J1138">
        <v>14</v>
      </c>
      <c r="K1138">
        <v>9</v>
      </c>
      <c r="L1138">
        <v>30</v>
      </c>
      <c r="M1138">
        <v>70</v>
      </c>
      <c r="N1138">
        <v>1000000</v>
      </c>
      <c r="O1138">
        <f>VLOOKUP($B1138&amp;O$1,Data!$A$2:$D$12000,4,FALSE)</f>
        <v>5.611E-2</v>
      </c>
      <c r="P1138">
        <f>VLOOKUP($B1138&amp;P$1,Data!$A$2:$D$12000,4,FALSE)</f>
        <v>-0.59899999999999998</v>
      </c>
      <c r="Q1138">
        <f>VLOOKUP($B1138&amp;Q$1,Data!$A$2:$D$12000,4,FALSE)</f>
        <v>822</v>
      </c>
      <c r="R1138">
        <f>VLOOKUP($B1138&amp;R$1,Data!$A$2:$D$12000,4,FALSE)</f>
        <v>5.9999999999999995E-4</v>
      </c>
      <c r="S1138">
        <f>VLOOKUP($B1138&amp;S$1,Data!$A$2:$D$12000,4,FALSE)</f>
        <v>-1.1999999999999999E-3</v>
      </c>
      <c r="T1138">
        <f>VLOOKUP($B1138&amp;T$1,Data!$A$2:$D$12000,4,FALSE)</f>
        <v>-1.694E-2</v>
      </c>
      <c r="U1138">
        <f>VLOOKUP($B1138&amp;U$1,Data!$A$2:$D$12000,4,FALSE)</f>
        <v>3.5999999999999997E-2</v>
      </c>
      <c r="V1138">
        <f>VLOOKUP($B1138&amp;V$1,Data!$A$2:$D$12000,4,FALSE)</f>
        <v>-7.3999999999999996E-2</v>
      </c>
      <c r="W1138">
        <f>VLOOKUP($B1138&amp;W$1,Data!$A$2:$D$12000,4,FALSE)</f>
        <v>-1.136E-2</v>
      </c>
      <c r="X1138">
        <f>VLOOKUP($B1138&amp;X$1,Data!$A$2:$D$12000,4,FALSE)</f>
        <v>0.37</v>
      </c>
      <c r="Y1138">
        <f>VLOOKUP($B1138&amp;Y$1,Data!$A$2:$D$12000,4,FALSE)</f>
        <v>0.63</v>
      </c>
      <c r="Z1138">
        <f>VLOOKUP($B1138&amp;Z$1,Data!$A$2:$D$12000,4,FALSE)</f>
        <v>0.48</v>
      </c>
      <c r="AA1138">
        <f>VLOOKUP($B1138&amp;AA$1,Data!$A$2:$D$12000,4,FALSE)</f>
        <v>-1.2E-2</v>
      </c>
      <c r="AB1138">
        <f>VLOOKUP($B1138&amp;AB$1,Data!$A$2:$D$12000,4,FALSE)</f>
        <v>0</v>
      </c>
      <c r="AC1138">
        <f>VLOOKUP($B1138&amp;AC$1,Data!$A$2:$D$12000,4,FALSE)</f>
        <v>1.9E-2</v>
      </c>
      <c r="AD1138">
        <f>VLOOKUP($B1138&amp;AD$1,Data!$A$2:$D$12000,4,FALSE)</f>
        <v>0</v>
      </c>
      <c r="AE1138">
        <f>VLOOKUP($B1138&amp;AE$1,Data!$A$2:$D$12000,4,FALSE)</f>
        <v>-0.86799999999999999</v>
      </c>
      <c r="AF1138">
        <f>VLOOKUP($B1138&amp;AF$1,Data!$A$2:$D$12000,4,FALSE)</f>
        <v>7.0000000000000007E-2</v>
      </c>
      <c r="AG1138">
        <f>VLOOKUP($B1138&amp;AG$1,Data!$A$2:$D$12000,4,FALSE)</f>
        <v>-35.96</v>
      </c>
      <c r="AH1138">
        <f>VLOOKUP($B1138&amp;AH$1,Data!$A$2:$D$12000,4,FALSE)</f>
        <v>0</v>
      </c>
      <c r="AI1138">
        <f>VLOOKUP($B1138&amp;AI$1,Data!$A$2:$D$12000,4,FALSE)</f>
        <v>240000000</v>
      </c>
    </row>
    <row r="1139" spans="2:35" hidden="1">
      <c r="B1139" s="13">
        <v>2003</v>
      </c>
      <c r="C1139" s="13" t="s">
        <v>58</v>
      </c>
      <c r="D1139" t="s">
        <v>0</v>
      </c>
      <c r="E1139" t="s">
        <v>3</v>
      </c>
      <c r="F1139">
        <v>5000</v>
      </c>
      <c r="G1139" t="s">
        <v>17</v>
      </c>
      <c r="H1139" s="5">
        <v>43831</v>
      </c>
      <c r="I1139" s="5">
        <v>44562</v>
      </c>
      <c r="J1139">
        <v>14</v>
      </c>
      <c r="K1139">
        <v>9</v>
      </c>
      <c r="L1139">
        <v>30</v>
      </c>
      <c r="M1139">
        <v>70</v>
      </c>
      <c r="N1139">
        <v>1000000</v>
      </c>
      <c r="O1139">
        <f>VLOOKUP($B1139&amp;O$1,Data!$A$2:$D$12000,4,FALSE)</f>
        <v>2.307E-2</v>
      </c>
      <c r="P1139">
        <f>VLOOKUP($B1139&amp;P$1,Data!$A$2:$D$12000,4,FALSE)</f>
        <v>-1.018</v>
      </c>
      <c r="Q1139">
        <f>VLOOKUP($B1139&amp;Q$1,Data!$A$2:$D$12000,4,FALSE)</f>
        <v>627</v>
      </c>
      <c r="R1139">
        <f>VLOOKUP($B1139&amp;R$1,Data!$A$2:$D$12000,4,FALSE)</f>
        <v>8.0000000000000004E-4</v>
      </c>
      <c r="S1139">
        <f>VLOOKUP($B1139&amp;S$1,Data!$A$2:$D$12000,4,FALSE)</f>
        <v>-1.6999999999999999E-3</v>
      </c>
      <c r="T1139">
        <f>VLOOKUP($B1139&amp;T$1,Data!$A$2:$D$12000,4,FALSE)</f>
        <v>-3.492E-2</v>
      </c>
      <c r="U1139">
        <f>VLOOKUP($B1139&amp;U$1,Data!$A$2:$D$12000,4,FALSE)</f>
        <v>5.0999999999999997E-2</v>
      </c>
      <c r="V1139">
        <f>VLOOKUP($B1139&amp;V$1,Data!$A$2:$D$12000,4,FALSE)</f>
        <v>-0.125</v>
      </c>
      <c r="W1139">
        <f>VLOOKUP($B1139&amp;W$1,Data!$A$2:$D$12000,4,FALSE)</f>
        <v>-2.3480000000000001E-2</v>
      </c>
      <c r="X1139">
        <f>VLOOKUP($B1139&amp;X$1,Data!$A$2:$D$12000,4,FALSE)</f>
        <v>0.42</v>
      </c>
      <c r="Y1139">
        <f>VLOOKUP($B1139&amp;Y$1,Data!$A$2:$D$12000,4,FALSE)</f>
        <v>0.57999999999999996</v>
      </c>
      <c r="Z1139">
        <f>VLOOKUP($B1139&amp;Z$1,Data!$A$2:$D$12000,4,FALSE)</f>
        <v>0.5</v>
      </c>
      <c r="AA1139">
        <f>VLOOKUP($B1139&amp;AA$1,Data!$A$2:$D$12000,4,FALSE)</f>
        <v>-2.4E-2</v>
      </c>
      <c r="AB1139">
        <f>VLOOKUP($B1139&amp;AB$1,Data!$A$2:$D$12000,4,FALSE)</f>
        <v>-2E-3</v>
      </c>
      <c r="AC1139">
        <f>VLOOKUP($B1139&amp;AC$1,Data!$A$2:$D$12000,4,FALSE)</f>
        <v>2.4E-2</v>
      </c>
      <c r="AD1139">
        <f>VLOOKUP($B1139&amp;AD$1,Data!$A$2:$D$12000,4,FALSE)</f>
        <v>1E-3</v>
      </c>
      <c r="AE1139">
        <f>VLOOKUP($B1139&amp;AE$1,Data!$A$2:$D$12000,4,FALSE)</f>
        <v>-1.0249999999999999</v>
      </c>
      <c r="AF1139">
        <f>VLOOKUP($B1139&amp;AF$1,Data!$A$2:$D$12000,4,FALSE)</f>
        <v>7.0999999999999994E-2</v>
      </c>
      <c r="AG1139">
        <f>VLOOKUP($B1139&amp;AG$1,Data!$A$2:$D$12000,4,FALSE)</f>
        <v>10.906000000000001</v>
      </c>
      <c r="AH1139">
        <f>VLOOKUP($B1139&amp;AH$1,Data!$A$2:$D$12000,4,FALSE)</f>
        <v>0</v>
      </c>
      <c r="AI1139">
        <f>VLOOKUP($B1139&amp;AI$1,Data!$A$2:$D$12000,4,FALSE)</f>
        <v>52000000</v>
      </c>
    </row>
    <row r="1140" spans="2:35" hidden="1">
      <c r="B1140" s="13">
        <v>2004</v>
      </c>
      <c r="C1140" s="13" t="s">
        <v>58</v>
      </c>
      <c r="D1140" t="s">
        <v>0</v>
      </c>
      <c r="E1140" t="s">
        <v>2</v>
      </c>
      <c r="F1140">
        <v>100</v>
      </c>
      <c r="G1140" t="s">
        <v>17</v>
      </c>
      <c r="H1140" s="5">
        <v>43831</v>
      </c>
      <c r="I1140" s="5">
        <v>44562</v>
      </c>
      <c r="J1140">
        <v>14</v>
      </c>
      <c r="K1140">
        <v>9</v>
      </c>
      <c r="L1140">
        <v>30</v>
      </c>
      <c r="M1140">
        <v>70</v>
      </c>
      <c r="N1140">
        <v>1000000</v>
      </c>
      <c r="O1140">
        <f>VLOOKUP($B1140&amp;O$1,Data!$A$2:$D$12000,4,FALSE)</f>
        <v>2.0000000000000002E-5</v>
      </c>
      <c r="P1140">
        <f>VLOOKUP($B1140&amp;P$1,Data!$A$2:$D$12000,4,FALSE)</f>
        <v>-2.085</v>
      </c>
      <c r="Q1140">
        <f>VLOOKUP($B1140&amp;Q$1,Data!$A$2:$D$12000,4,FALSE)</f>
        <v>1163</v>
      </c>
      <c r="R1140">
        <f>VLOOKUP($B1140&amp;R$1,Data!$A$2:$D$12000,4,FALSE)</f>
        <v>1E-4</v>
      </c>
      <c r="S1140">
        <f>VLOOKUP($B1140&amp;S$1,Data!$A$2:$D$12000,4,FALSE)</f>
        <v>-4.0000000000000002E-4</v>
      </c>
      <c r="T1140">
        <f>VLOOKUP($B1140&amp;T$1,Data!$A$2:$D$12000,4,FALSE)</f>
        <v>-1.9890000000000001E-2</v>
      </c>
      <c r="U1140">
        <f>VLOOKUP($B1140&amp;U$1,Data!$A$2:$D$12000,4,FALSE)</f>
        <v>1.4E-2</v>
      </c>
      <c r="V1140">
        <f>VLOOKUP($B1140&amp;V$1,Data!$A$2:$D$12000,4,FALSE)</f>
        <v>-0.255</v>
      </c>
      <c r="W1140">
        <f>VLOOKUP($B1140&amp;W$1,Data!$A$2:$D$12000,4,FALSE)</f>
        <v>-1.3339999999999999E-2</v>
      </c>
      <c r="X1140">
        <f>VLOOKUP($B1140&amp;X$1,Data!$A$2:$D$12000,4,FALSE)</f>
        <v>0.39</v>
      </c>
      <c r="Y1140">
        <f>VLOOKUP($B1140&amp;Y$1,Data!$A$2:$D$12000,4,FALSE)</f>
        <v>0.61</v>
      </c>
      <c r="Z1140">
        <f>VLOOKUP($B1140&amp;Z$1,Data!$A$2:$D$12000,4,FALSE)</f>
        <v>0.23</v>
      </c>
      <c r="AA1140">
        <f>VLOOKUP($B1140&amp;AA$1,Data!$A$2:$D$12000,4,FALSE)</f>
        <v>-1.4E-2</v>
      </c>
      <c r="AB1140">
        <f>VLOOKUP($B1140&amp;AB$1,Data!$A$2:$D$12000,4,FALSE)</f>
        <v>4.0000000000000001E-3</v>
      </c>
      <c r="AC1140">
        <f>VLOOKUP($B1140&amp;AC$1,Data!$A$2:$D$12000,4,FALSE)</f>
        <v>7.0000000000000001E-3</v>
      </c>
      <c r="AD1140">
        <f>VLOOKUP($B1140&amp;AD$1,Data!$A$2:$D$12000,4,FALSE)</f>
        <v>0</v>
      </c>
      <c r="AE1140">
        <f>VLOOKUP($B1140&amp;AE$1,Data!$A$2:$D$12000,4,FALSE)</f>
        <v>-0.93500000000000005</v>
      </c>
      <c r="AF1140">
        <f>VLOOKUP($B1140&amp;AF$1,Data!$A$2:$D$12000,4,FALSE)</f>
        <v>6.7000000000000004E-2</v>
      </c>
      <c r="AG1140">
        <f>VLOOKUP($B1140&amp;AG$1,Data!$A$2:$D$12000,4,FALSE)</f>
        <v>-3.8809999999999998</v>
      </c>
      <c r="AH1140">
        <f>VLOOKUP($B1140&amp;AH$1,Data!$A$2:$D$12000,4,FALSE)</f>
        <v>0</v>
      </c>
      <c r="AI1140">
        <f>VLOOKUP($B1140&amp;AI$1,Data!$A$2:$D$12000,4,FALSE)</f>
        <v>31000000</v>
      </c>
    </row>
    <row r="1141" spans="2:35" hidden="1">
      <c r="B1141" s="13">
        <v>2005</v>
      </c>
      <c r="C1141" s="13" t="s">
        <v>58</v>
      </c>
      <c r="D1141" t="s">
        <v>0</v>
      </c>
      <c r="E1141" t="s">
        <v>2</v>
      </c>
      <c r="F1141">
        <v>1000</v>
      </c>
      <c r="G1141" t="s">
        <v>17</v>
      </c>
      <c r="H1141" s="5">
        <v>43831</v>
      </c>
      <c r="I1141" s="5">
        <v>44562</v>
      </c>
      <c r="J1141">
        <v>14</v>
      </c>
      <c r="K1141">
        <v>9</v>
      </c>
      <c r="L1141">
        <v>30</v>
      </c>
      <c r="M1141">
        <v>70</v>
      </c>
      <c r="N1141">
        <v>1000000</v>
      </c>
      <c r="O1141">
        <f>VLOOKUP($B1141&amp;O$1,Data!$A$2:$D$12000,4,FALSE)</f>
        <v>1.6000000000000001E-4</v>
      </c>
      <c r="P1141">
        <f>VLOOKUP($B1141&amp;P$1,Data!$A$2:$D$12000,4,FALSE)</f>
        <v>-2.0830000000000002</v>
      </c>
      <c r="Q1141">
        <f>VLOOKUP($B1141&amp;Q$1,Data!$A$2:$D$12000,4,FALSE)</f>
        <v>913</v>
      </c>
      <c r="R1141">
        <f>VLOOKUP($B1141&amp;R$1,Data!$A$2:$D$12000,4,FALSE)</f>
        <v>2.9999999999999997E-4</v>
      </c>
      <c r="S1141">
        <f>VLOOKUP($B1141&amp;S$1,Data!$A$2:$D$12000,4,FALSE)</f>
        <v>-1.1999999999999999E-3</v>
      </c>
      <c r="T1141">
        <f>VLOOKUP($B1141&amp;T$1,Data!$A$2:$D$12000,4,FALSE)</f>
        <v>-5.8749999999999997E-2</v>
      </c>
      <c r="U1141">
        <f>VLOOKUP($B1141&amp;U$1,Data!$A$2:$D$12000,4,FALSE)</f>
        <v>4.2000000000000003E-2</v>
      </c>
      <c r="V1141">
        <f>VLOOKUP($B1141&amp;V$1,Data!$A$2:$D$12000,4,FALSE)</f>
        <v>-0.24</v>
      </c>
      <c r="W1141">
        <f>VLOOKUP($B1141&amp;W$1,Data!$A$2:$D$12000,4,FALSE)</f>
        <v>-3.9660000000000001E-2</v>
      </c>
      <c r="X1141">
        <f>VLOOKUP($B1141&amp;X$1,Data!$A$2:$D$12000,4,FALSE)</f>
        <v>0.39</v>
      </c>
      <c r="Y1141">
        <f>VLOOKUP($B1141&amp;Y$1,Data!$A$2:$D$12000,4,FALSE)</f>
        <v>0.61</v>
      </c>
      <c r="Z1141">
        <f>VLOOKUP($B1141&amp;Z$1,Data!$A$2:$D$12000,4,FALSE)</f>
        <v>0.24</v>
      </c>
      <c r="AA1141">
        <f>VLOOKUP($B1141&amp;AA$1,Data!$A$2:$D$12000,4,FALSE)</f>
        <v>-4.1000000000000002E-2</v>
      </c>
      <c r="AB1141">
        <f>VLOOKUP($B1141&amp;AB$1,Data!$A$2:$D$12000,4,FALSE)</f>
        <v>-5.0000000000000001E-3</v>
      </c>
      <c r="AC1141">
        <f>VLOOKUP($B1141&amp;AC$1,Data!$A$2:$D$12000,4,FALSE)</f>
        <v>0.02</v>
      </c>
      <c r="AD1141">
        <f>VLOOKUP($B1141&amp;AD$1,Data!$A$2:$D$12000,4,FALSE)</f>
        <v>0</v>
      </c>
      <c r="AE1141">
        <f>VLOOKUP($B1141&amp;AE$1,Data!$A$2:$D$12000,4,FALSE)</f>
        <v>-1.28</v>
      </c>
      <c r="AF1141">
        <f>VLOOKUP($B1141&amp;AF$1,Data!$A$2:$D$12000,4,FALSE)</f>
        <v>7.0000000000000007E-2</v>
      </c>
      <c r="AG1141">
        <f>VLOOKUP($B1141&amp;AG$1,Data!$A$2:$D$12000,4,FALSE)</f>
        <v>7.6210000000000004</v>
      </c>
      <c r="AH1141">
        <f>VLOOKUP($B1141&amp;AH$1,Data!$A$2:$D$12000,4,FALSE)</f>
        <v>0</v>
      </c>
      <c r="AI1141">
        <f>VLOOKUP($B1141&amp;AI$1,Data!$A$2:$D$12000,4,FALSE)</f>
        <v>7400000</v>
      </c>
    </row>
    <row r="1142" spans="2:35" hidden="1">
      <c r="B1142" s="13">
        <v>2006</v>
      </c>
      <c r="C1142" s="13" t="s">
        <v>58</v>
      </c>
      <c r="D1142" t="s">
        <v>0</v>
      </c>
      <c r="E1142" t="s">
        <v>2</v>
      </c>
      <c r="F1142">
        <v>5000</v>
      </c>
      <c r="G1142" t="s">
        <v>17</v>
      </c>
      <c r="H1142" s="5">
        <v>43831</v>
      </c>
      <c r="I1142" s="5">
        <v>44562</v>
      </c>
      <c r="J1142">
        <v>14</v>
      </c>
      <c r="K1142">
        <v>9</v>
      </c>
      <c r="L1142">
        <v>30</v>
      </c>
      <c r="M1142">
        <v>70</v>
      </c>
      <c r="N1142">
        <v>1000000</v>
      </c>
      <c r="O1142">
        <f>VLOOKUP($B1142&amp;O$1,Data!$A$2:$D$12000,4,FALSE)</f>
        <v>7.2000000000000005E-4</v>
      </c>
      <c r="P1142">
        <f>VLOOKUP($B1142&amp;P$1,Data!$A$2:$D$12000,4,FALSE)</f>
        <v>-2.0089999999999999</v>
      </c>
      <c r="Q1142">
        <f>VLOOKUP($B1142&amp;Q$1,Data!$A$2:$D$12000,4,FALSE)</f>
        <v>702</v>
      </c>
      <c r="R1142">
        <f>VLOOKUP($B1142&amp;R$1,Data!$A$2:$D$12000,4,FALSE)</f>
        <v>5.0000000000000001E-4</v>
      </c>
      <c r="S1142">
        <f>VLOOKUP($B1142&amp;S$1,Data!$A$2:$D$12000,4,FALSE)</f>
        <v>-1.6999999999999999E-3</v>
      </c>
      <c r="T1142">
        <f>VLOOKUP($B1142&amp;T$1,Data!$A$2:$D$12000,4,FALSE)</f>
        <v>-7.5240000000000001E-2</v>
      </c>
      <c r="U1142">
        <f>VLOOKUP($B1142&amp;U$1,Data!$A$2:$D$12000,4,FALSE)</f>
        <v>5.8000000000000003E-2</v>
      </c>
      <c r="V1142">
        <f>VLOOKUP($B1142&amp;V$1,Data!$A$2:$D$12000,4,FALSE)</f>
        <v>-0.23499999999999999</v>
      </c>
      <c r="W1142">
        <f>VLOOKUP($B1142&amp;W$1,Data!$A$2:$D$12000,4,FALSE)</f>
        <v>-5.0939999999999999E-2</v>
      </c>
      <c r="X1142">
        <f>VLOOKUP($B1142&amp;X$1,Data!$A$2:$D$12000,4,FALSE)</f>
        <v>0.41</v>
      </c>
      <c r="Y1142">
        <f>VLOOKUP($B1142&amp;Y$1,Data!$A$2:$D$12000,4,FALSE)</f>
        <v>0.59</v>
      </c>
      <c r="Z1142">
        <f>VLOOKUP($B1142&amp;Z$1,Data!$A$2:$D$12000,4,FALSE)</f>
        <v>0.3</v>
      </c>
      <c r="AA1142">
        <f>VLOOKUP($B1142&amp;AA$1,Data!$A$2:$D$12000,4,FALSE)</f>
        <v>-4.9000000000000002E-2</v>
      </c>
      <c r="AB1142">
        <f>VLOOKUP($B1142&amp;AB$1,Data!$A$2:$D$12000,4,FALSE)</f>
        <v>-7.1999999999999995E-2</v>
      </c>
      <c r="AC1142">
        <f>VLOOKUP($B1142&amp;AC$1,Data!$A$2:$D$12000,4,FALSE)</f>
        <v>2.5999999999999999E-2</v>
      </c>
      <c r="AD1142">
        <f>VLOOKUP($B1142&amp;AD$1,Data!$A$2:$D$12000,4,FALSE)</f>
        <v>1E-3</v>
      </c>
      <c r="AE1142">
        <f>VLOOKUP($B1142&amp;AE$1,Data!$A$2:$D$12000,4,FALSE)</f>
        <v>-1.341</v>
      </c>
      <c r="AF1142">
        <f>VLOOKUP($B1142&amp;AF$1,Data!$A$2:$D$12000,4,FALSE)</f>
        <v>7.5999999999999998E-2</v>
      </c>
      <c r="AG1142">
        <f>VLOOKUP($B1142&amp;AG$1,Data!$A$2:$D$12000,4,FALSE)</f>
        <v>0.72799999999999998</v>
      </c>
      <c r="AH1142">
        <f>VLOOKUP($B1142&amp;AH$1,Data!$A$2:$D$12000,4,FALSE)</f>
        <v>0</v>
      </c>
      <c r="AI1142">
        <f>VLOOKUP($B1142&amp;AI$1,Data!$A$2:$D$12000,4,FALSE)</f>
        <v>7200000</v>
      </c>
    </row>
    <row r="1143" spans="2:35" hidden="1">
      <c r="B1143" s="13">
        <v>2007</v>
      </c>
      <c r="C1143" s="13" t="s">
        <v>58</v>
      </c>
      <c r="D1143" t="s">
        <v>0</v>
      </c>
      <c r="E1143" t="s">
        <v>22</v>
      </c>
      <c r="F1143">
        <v>100</v>
      </c>
      <c r="G1143" t="s">
        <v>17</v>
      </c>
      <c r="H1143" s="5">
        <v>43831</v>
      </c>
      <c r="I1143" s="5">
        <v>44562</v>
      </c>
      <c r="J1143">
        <v>14</v>
      </c>
      <c r="K1143">
        <v>9</v>
      </c>
      <c r="L1143">
        <v>30</v>
      </c>
      <c r="M1143">
        <v>70</v>
      </c>
      <c r="N1143">
        <v>1000000</v>
      </c>
      <c r="O1143">
        <f>VLOOKUP($B1143&amp;O$1,Data!$A$2:$D$12000,4,FALSE)</f>
        <v>4.2130000000000001E-2</v>
      </c>
      <c r="P1143">
        <f>VLOOKUP($B1143&amp;P$1,Data!$A$2:$D$12000,4,FALSE)</f>
        <v>-0.77400000000000002</v>
      </c>
      <c r="Q1143">
        <f>VLOOKUP($B1143&amp;Q$1,Data!$A$2:$D$12000,4,FALSE)</f>
        <v>893</v>
      </c>
      <c r="R1143">
        <f>VLOOKUP($B1143&amp;R$1,Data!$A$2:$D$12000,4,FALSE)</f>
        <v>2.0000000000000001E-4</v>
      </c>
      <c r="S1143">
        <f>VLOOKUP($B1143&amp;S$1,Data!$A$2:$D$12000,4,FALSE)</f>
        <v>-4.0000000000000002E-4</v>
      </c>
      <c r="T1143">
        <f>VLOOKUP($B1143&amp;T$1,Data!$A$2:$D$12000,4,FALSE)</f>
        <v>-8.3499999999999998E-3</v>
      </c>
      <c r="U1143">
        <f>VLOOKUP($B1143&amp;U$1,Data!$A$2:$D$12000,4,FALSE)</f>
        <v>1.4E-2</v>
      </c>
      <c r="V1143">
        <f>VLOOKUP($B1143&amp;V$1,Data!$A$2:$D$12000,4,FALSE)</f>
        <v>-0.11600000000000001</v>
      </c>
      <c r="W1143">
        <f>VLOOKUP($B1143&amp;W$1,Data!$A$2:$D$12000,4,FALSE)</f>
        <v>-5.5900000000000004E-3</v>
      </c>
      <c r="X1143">
        <f>VLOOKUP($B1143&amp;X$1,Data!$A$2:$D$12000,4,FALSE)</f>
        <v>0.38</v>
      </c>
      <c r="Y1143">
        <f>VLOOKUP($B1143&amp;Y$1,Data!$A$2:$D$12000,4,FALSE)</f>
        <v>0.62</v>
      </c>
      <c r="Z1143">
        <f>VLOOKUP($B1143&amp;Z$1,Data!$A$2:$D$12000,4,FALSE)</f>
        <v>0.42</v>
      </c>
      <c r="AA1143">
        <f>VLOOKUP($B1143&amp;AA$1,Data!$A$2:$D$12000,4,FALSE)</f>
        <v>-5.0000000000000001E-3</v>
      </c>
      <c r="AB1143">
        <f>VLOOKUP($B1143&amp;AB$1,Data!$A$2:$D$12000,4,FALSE)</f>
        <v>-7.0000000000000001E-3</v>
      </c>
      <c r="AC1143">
        <f>VLOOKUP($B1143&amp;AC$1,Data!$A$2:$D$12000,4,FALSE)</f>
        <v>7.0000000000000001E-3</v>
      </c>
      <c r="AD1143">
        <f>VLOOKUP($B1143&amp;AD$1,Data!$A$2:$D$12000,4,FALSE)</f>
        <v>0</v>
      </c>
      <c r="AE1143">
        <f>VLOOKUP($B1143&amp;AE$1,Data!$A$2:$D$12000,4,FALSE)</f>
        <v>-0.82099999999999995</v>
      </c>
      <c r="AF1143">
        <f>VLOOKUP($B1143&amp;AF$1,Data!$A$2:$D$12000,4,FALSE)</f>
        <v>6.8000000000000005E-2</v>
      </c>
      <c r="AG1143">
        <f>VLOOKUP($B1143&amp;AG$1,Data!$A$2:$D$12000,4,FALSE)</f>
        <v>0.85199999999999998</v>
      </c>
      <c r="AH1143">
        <f>VLOOKUP($B1143&amp;AH$1,Data!$A$2:$D$12000,4,FALSE)</f>
        <v>0</v>
      </c>
      <c r="AI1143">
        <f>VLOOKUP($B1143&amp;AI$1,Data!$A$2:$D$12000,4,FALSE)</f>
        <v>7300000</v>
      </c>
    </row>
    <row r="1144" spans="2:35" hidden="1">
      <c r="B1144" s="13">
        <v>2008</v>
      </c>
      <c r="C1144" s="13" t="s">
        <v>58</v>
      </c>
      <c r="D1144" t="s">
        <v>0</v>
      </c>
      <c r="E1144" t="s">
        <v>22</v>
      </c>
      <c r="F1144">
        <v>1000</v>
      </c>
      <c r="G1144" t="s">
        <v>17</v>
      </c>
      <c r="H1144" s="5">
        <v>43831</v>
      </c>
      <c r="I1144" s="5">
        <v>44562</v>
      </c>
      <c r="J1144">
        <v>14</v>
      </c>
      <c r="K1144">
        <v>9</v>
      </c>
      <c r="L1144">
        <v>30</v>
      </c>
      <c r="M1144">
        <v>70</v>
      </c>
      <c r="N1144">
        <v>1000000</v>
      </c>
      <c r="O1144">
        <f>VLOOKUP($B1144&amp;O$1,Data!$A$2:$D$12000,4,FALSE)</f>
        <v>1.8679999999999999E-2</v>
      </c>
      <c r="P1144">
        <f>VLOOKUP($B1144&amp;P$1,Data!$A$2:$D$12000,4,FALSE)</f>
        <v>-1.131</v>
      </c>
      <c r="Q1144">
        <f>VLOOKUP($B1144&amp;Q$1,Data!$A$2:$D$12000,4,FALSE)</f>
        <v>721</v>
      </c>
      <c r="R1144">
        <f>VLOOKUP($B1144&amp;R$1,Data!$A$2:$D$12000,4,FALSE)</f>
        <v>5.0000000000000001E-4</v>
      </c>
      <c r="S1144">
        <f>VLOOKUP($B1144&amp;S$1,Data!$A$2:$D$12000,4,FALSE)</f>
        <v>-1.1999999999999999E-3</v>
      </c>
      <c r="T1144">
        <f>VLOOKUP($B1144&amp;T$1,Data!$A$2:$D$12000,4,FALSE)</f>
        <v>-3.065E-2</v>
      </c>
      <c r="U1144">
        <f>VLOOKUP($B1144&amp;U$1,Data!$A$2:$D$12000,4,FALSE)</f>
        <v>3.4000000000000002E-2</v>
      </c>
      <c r="V1144">
        <f>VLOOKUP($B1144&amp;V$1,Data!$A$2:$D$12000,4,FALSE)</f>
        <v>-0.154</v>
      </c>
      <c r="W1144">
        <f>VLOOKUP($B1144&amp;W$1,Data!$A$2:$D$12000,4,FALSE)</f>
        <v>-2.0590000000000001E-2</v>
      </c>
      <c r="X1144">
        <f>VLOOKUP($B1144&amp;X$1,Data!$A$2:$D$12000,4,FALSE)</f>
        <v>0.4</v>
      </c>
      <c r="Y1144">
        <f>VLOOKUP($B1144&amp;Y$1,Data!$A$2:$D$12000,4,FALSE)</f>
        <v>0.6</v>
      </c>
      <c r="Z1144">
        <f>VLOOKUP($B1144&amp;Z$1,Data!$A$2:$D$12000,4,FALSE)</f>
        <v>0.41</v>
      </c>
      <c r="AA1144">
        <f>VLOOKUP($B1144&amp;AA$1,Data!$A$2:$D$12000,4,FALSE)</f>
        <v>-2.1000000000000001E-2</v>
      </c>
      <c r="AB1144">
        <f>VLOOKUP($B1144&amp;AB$1,Data!$A$2:$D$12000,4,FALSE)</f>
        <v>-5.0000000000000001E-3</v>
      </c>
      <c r="AC1144">
        <f>VLOOKUP($B1144&amp;AC$1,Data!$A$2:$D$12000,4,FALSE)</f>
        <v>1.9E-2</v>
      </c>
      <c r="AD1144">
        <f>VLOOKUP($B1144&amp;AD$1,Data!$A$2:$D$12000,4,FALSE)</f>
        <v>0</v>
      </c>
      <c r="AE1144">
        <f>VLOOKUP($B1144&amp;AE$1,Data!$A$2:$D$12000,4,FALSE)</f>
        <v>-1.0029999999999999</v>
      </c>
      <c r="AF1144">
        <f>VLOOKUP($B1144&amp;AF$1,Data!$A$2:$D$12000,4,FALSE)</f>
        <v>7.0000000000000007E-2</v>
      </c>
      <c r="AG1144">
        <f>VLOOKUP($B1144&amp;AG$1,Data!$A$2:$D$12000,4,FALSE)</f>
        <v>4.18</v>
      </c>
      <c r="AH1144">
        <f>VLOOKUP($B1144&amp;AH$1,Data!$A$2:$D$12000,4,FALSE)</f>
        <v>0</v>
      </c>
      <c r="AI1144">
        <f>VLOOKUP($B1144&amp;AI$1,Data!$A$2:$D$12000,4,FALSE)</f>
        <v>6800000</v>
      </c>
    </row>
    <row r="1145" spans="2:35" hidden="1">
      <c r="B1145" s="13">
        <v>2009</v>
      </c>
      <c r="C1145" s="13" t="s">
        <v>58</v>
      </c>
      <c r="D1145" t="s">
        <v>0</v>
      </c>
      <c r="E1145" t="s">
        <v>22</v>
      </c>
      <c r="F1145">
        <v>5000</v>
      </c>
      <c r="G1145" t="s">
        <v>17</v>
      </c>
      <c r="H1145" s="5">
        <v>43831</v>
      </c>
      <c r="I1145" s="5">
        <v>44562</v>
      </c>
      <c r="J1145">
        <v>14</v>
      </c>
      <c r="K1145">
        <v>9</v>
      </c>
      <c r="L1145">
        <v>30</v>
      </c>
      <c r="M1145">
        <v>70</v>
      </c>
      <c r="N1145">
        <v>1000000</v>
      </c>
      <c r="O1145">
        <f>VLOOKUP($B1145&amp;O$1,Data!$A$2:$D$12000,4,FALSE)</f>
        <v>2.8330000000000001E-2</v>
      </c>
      <c r="P1145">
        <f>VLOOKUP($B1145&amp;P$1,Data!$A$2:$D$12000,4,FALSE)</f>
        <v>-0.88700000000000001</v>
      </c>
      <c r="Q1145">
        <f>VLOOKUP($B1145&amp;Q$1,Data!$A$2:$D$12000,4,FALSE)</f>
        <v>574</v>
      </c>
      <c r="R1145">
        <f>VLOOKUP($B1145&amp;R$1,Data!$A$2:$D$12000,4,FALSE)</f>
        <v>6.9999999999999999E-4</v>
      </c>
      <c r="S1145">
        <f>VLOOKUP($B1145&amp;S$1,Data!$A$2:$D$12000,4,FALSE)</f>
        <v>-1.5E-3</v>
      </c>
      <c r="T1145">
        <f>VLOOKUP($B1145&amp;T$1,Data!$A$2:$D$12000,4,FALSE)</f>
        <v>-2.794E-2</v>
      </c>
      <c r="U1145">
        <f>VLOOKUP($B1145&amp;U$1,Data!$A$2:$D$12000,4,FALSE)</f>
        <v>3.2000000000000001E-2</v>
      </c>
      <c r="V1145">
        <f>VLOOKUP($B1145&amp;V$1,Data!$A$2:$D$12000,4,FALSE)</f>
        <v>-0.113</v>
      </c>
      <c r="W1145">
        <f>VLOOKUP($B1145&amp;W$1,Data!$A$2:$D$12000,4,FALSE)</f>
        <v>-1.8759999999999999E-2</v>
      </c>
      <c r="X1145">
        <f>VLOOKUP($B1145&amp;X$1,Data!$A$2:$D$12000,4,FALSE)</f>
        <v>0.38</v>
      </c>
      <c r="Y1145">
        <f>VLOOKUP($B1145&amp;Y$1,Data!$A$2:$D$12000,4,FALSE)</f>
        <v>0.62</v>
      </c>
      <c r="Z1145">
        <f>VLOOKUP($B1145&amp;Z$1,Data!$A$2:$D$12000,4,FALSE)</f>
        <v>0.43</v>
      </c>
      <c r="AA1145">
        <f>VLOOKUP($B1145&amp;AA$1,Data!$A$2:$D$12000,4,FALSE)</f>
        <v>-1.9E-2</v>
      </c>
      <c r="AB1145">
        <f>VLOOKUP($B1145&amp;AB$1,Data!$A$2:$D$12000,4,FALSE)</f>
        <v>-1.4E-2</v>
      </c>
      <c r="AC1145">
        <f>VLOOKUP($B1145&amp;AC$1,Data!$A$2:$D$12000,4,FALSE)</f>
        <v>2.1999999999999999E-2</v>
      </c>
      <c r="AD1145">
        <f>VLOOKUP($B1145&amp;AD$1,Data!$A$2:$D$12000,4,FALSE)</f>
        <v>0</v>
      </c>
      <c r="AE1145">
        <f>VLOOKUP($B1145&amp;AE$1,Data!$A$2:$D$12000,4,FALSE)</f>
        <v>-0.95499999999999996</v>
      </c>
      <c r="AF1145">
        <f>VLOOKUP($B1145&amp;AF$1,Data!$A$2:$D$12000,4,FALSE)</f>
        <v>7.0999999999999994E-2</v>
      </c>
      <c r="AG1145">
        <f>VLOOKUP($B1145&amp;AG$1,Data!$A$2:$D$12000,4,FALSE)</f>
        <v>1.3680000000000001</v>
      </c>
      <c r="AH1145">
        <f>VLOOKUP($B1145&amp;AH$1,Data!$A$2:$D$12000,4,FALSE)</f>
        <v>0</v>
      </c>
      <c r="AI1145">
        <f>VLOOKUP($B1145&amp;AI$1,Data!$A$2:$D$12000,4,FALSE)</f>
        <v>7400000</v>
      </c>
    </row>
    <row r="1146" spans="2:35" hidden="1">
      <c r="B1146" s="13">
        <v>2010</v>
      </c>
      <c r="C1146" s="13" t="s">
        <v>58</v>
      </c>
      <c r="D1146" t="s">
        <v>5</v>
      </c>
      <c r="E1146" t="s">
        <v>3</v>
      </c>
      <c r="F1146">
        <v>100</v>
      </c>
      <c r="G1146" t="s">
        <v>17</v>
      </c>
      <c r="H1146" s="5">
        <v>43831</v>
      </c>
      <c r="I1146" s="5">
        <v>44562</v>
      </c>
      <c r="J1146">
        <v>14</v>
      </c>
      <c r="K1146">
        <v>9</v>
      </c>
      <c r="L1146">
        <v>30</v>
      </c>
      <c r="M1146">
        <v>70</v>
      </c>
      <c r="N1146">
        <v>1000000</v>
      </c>
      <c r="O1146">
        <f>VLOOKUP($B1146&amp;O$1,Data!$A$2:$D$12000,4,FALSE)</f>
        <v>5.0540000000000002E-2</v>
      </c>
      <c r="P1146">
        <f>VLOOKUP($B1146&amp;P$1,Data!$A$2:$D$12000,4,FALSE)</f>
        <v>-0.746</v>
      </c>
      <c r="Q1146">
        <f>VLOOKUP($B1146&amp;Q$1,Data!$A$2:$D$12000,4,FALSE)</f>
        <v>1648</v>
      </c>
      <c r="R1146">
        <f>VLOOKUP($B1146&amp;R$1,Data!$A$2:$D$12000,4,FALSE)</f>
        <v>2.9999999999999997E-4</v>
      </c>
      <c r="S1146">
        <f>VLOOKUP($B1146&amp;S$1,Data!$A$2:$D$12000,4,FALSE)</f>
        <v>-5.9999999999999995E-4</v>
      </c>
      <c r="T1146">
        <f>VLOOKUP($B1146&amp;T$1,Data!$A$2:$D$12000,4,FALSE)</f>
        <v>-1.098E-2</v>
      </c>
      <c r="U1146">
        <f>VLOOKUP($B1146&amp;U$1,Data!$A$2:$D$12000,4,FALSE)</f>
        <v>8.9999999999999993E-3</v>
      </c>
      <c r="V1146">
        <f>VLOOKUP($B1146&amp;V$1,Data!$A$2:$D$12000,4,FALSE)</f>
        <v>-8.4000000000000005E-2</v>
      </c>
      <c r="W1146">
        <f>VLOOKUP($B1146&amp;W$1,Data!$A$2:$D$12000,4,FALSE)</f>
        <v>-7.3499999999999998E-3</v>
      </c>
      <c r="X1146">
        <f>VLOOKUP($B1146&amp;X$1,Data!$A$2:$D$12000,4,FALSE)</f>
        <v>0.37</v>
      </c>
      <c r="Y1146">
        <f>VLOOKUP($B1146&amp;Y$1,Data!$A$2:$D$12000,4,FALSE)</f>
        <v>0.63</v>
      </c>
      <c r="Z1146">
        <f>VLOOKUP($B1146&amp;Z$1,Data!$A$2:$D$12000,4,FALSE)</f>
        <v>0.46</v>
      </c>
      <c r="AA1146">
        <f>VLOOKUP($B1146&amp;AA$1,Data!$A$2:$D$12000,4,FALSE)</f>
        <v>-8.9999999999999993E-3</v>
      </c>
      <c r="AB1146">
        <f>VLOOKUP($B1146&amp;AB$1,Data!$A$2:$D$12000,4,FALSE)</f>
        <v>0.02</v>
      </c>
      <c r="AC1146">
        <f>VLOOKUP($B1146&amp;AC$1,Data!$A$2:$D$12000,4,FALSE)</f>
        <v>0.01</v>
      </c>
      <c r="AD1146">
        <f>VLOOKUP($B1146&amp;AD$1,Data!$A$2:$D$12000,4,FALSE)</f>
        <v>0</v>
      </c>
      <c r="AE1146">
        <f>VLOOKUP($B1146&amp;AE$1,Data!$A$2:$D$12000,4,FALSE)</f>
        <v>-0.86599999999999999</v>
      </c>
      <c r="AF1146">
        <f>VLOOKUP($B1146&amp;AF$1,Data!$A$2:$D$12000,4,FALSE)</f>
        <v>6.7000000000000004E-2</v>
      </c>
      <c r="AG1146">
        <f>VLOOKUP($B1146&amp;AG$1,Data!$A$2:$D$12000,4,FALSE)</f>
        <v>-0.372</v>
      </c>
      <c r="AH1146">
        <f>VLOOKUP($B1146&amp;AH$1,Data!$A$2:$D$12000,4,FALSE)</f>
        <v>0</v>
      </c>
      <c r="AI1146">
        <f>VLOOKUP($B1146&amp;AI$1,Data!$A$2:$D$12000,4,FALSE)</f>
        <v>1900000000</v>
      </c>
    </row>
    <row r="1147" spans="2:35" hidden="1">
      <c r="B1147" s="13">
        <v>2011</v>
      </c>
      <c r="C1147" s="13" t="s">
        <v>58</v>
      </c>
      <c r="D1147" t="s">
        <v>5</v>
      </c>
      <c r="E1147" t="s">
        <v>3</v>
      </c>
      <c r="F1147">
        <v>1000</v>
      </c>
      <c r="G1147" t="s">
        <v>17</v>
      </c>
      <c r="H1147" s="5">
        <v>43831</v>
      </c>
      <c r="I1147" s="5">
        <v>44562</v>
      </c>
      <c r="J1147">
        <v>14</v>
      </c>
      <c r="K1147">
        <v>9</v>
      </c>
      <c r="L1147">
        <v>30</v>
      </c>
      <c r="M1147">
        <v>70</v>
      </c>
      <c r="N1147">
        <v>1000000</v>
      </c>
      <c r="O1147">
        <f>VLOOKUP($B1147&amp;O$1,Data!$A$2:$D$12000,4,FALSE)</f>
        <v>3.3500000000000001E-3</v>
      </c>
      <c r="P1147">
        <f>VLOOKUP($B1147&amp;P$1,Data!$A$2:$D$12000,4,FALSE)</f>
        <v>-1.65</v>
      </c>
      <c r="Q1147">
        <f>VLOOKUP($B1147&amp;Q$1,Data!$A$2:$D$12000,4,FALSE)</f>
        <v>1371</v>
      </c>
      <c r="R1147">
        <f>VLOOKUP($B1147&amp;R$1,Data!$A$2:$D$12000,4,FALSE)</f>
        <v>1.1000000000000001E-3</v>
      </c>
      <c r="S1147">
        <f>VLOOKUP($B1147&amp;S$1,Data!$A$2:$D$12000,4,FALSE)</f>
        <v>-3.0999999999999999E-3</v>
      </c>
      <c r="T1147">
        <f>VLOOKUP($B1147&amp;T$1,Data!$A$2:$D$12000,4,FALSE)</f>
        <v>-9.0190000000000006E-2</v>
      </c>
      <c r="U1147">
        <f>VLOOKUP($B1147&amp;U$1,Data!$A$2:$D$12000,4,FALSE)</f>
        <v>6.8000000000000005E-2</v>
      </c>
      <c r="V1147">
        <f>VLOOKUP($B1147&amp;V$1,Data!$A$2:$D$12000,4,FALSE)</f>
        <v>-0.14299999999999999</v>
      </c>
      <c r="W1147">
        <f>VLOOKUP($B1147&amp;W$1,Data!$A$2:$D$12000,4,FALSE)</f>
        <v>-6.1219999999999997E-2</v>
      </c>
      <c r="X1147">
        <f>VLOOKUP($B1147&amp;X$1,Data!$A$2:$D$12000,4,FALSE)</f>
        <v>0.37</v>
      </c>
      <c r="Y1147">
        <f>VLOOKUP($B1147&amp;Y$1,Data!$A$2:$D$12000,4,FALSE)</f>
        <v>0.63</v>
      </c>
      <c r="Z1147">
        <f>VLOOKUP($B1147&amp;Z$1,Data!$A$2:$D$12000,4,FALSE)</f>
        <v>0.36</v>
      </c>
      <c r="AA1147">
        <f>VLOOKUP($B1147&amp;AA$1,Data!$A$2:$D$12000,4,FALSE)</f>
        <v>-6.6000000000000003E-2</v>
      </c>
      <c r="AB1147">
        <f>VLOOKUP($B1147&amp;AB$1,Data!$A$2:$D$12000,4,FALSE)</f>
        <v>7.3999999999999996E-2</v>
      </c>
      <c r="AC1147">
        <f>VLOOKUP($B1147&amp;AC$1,Data!$A$2:$D$12000,4,FALSE)</f>
        <v>3.7999999999999999E-2</v>
      </c>
      <c r="AD1147">
        <f>VLOOKUP($B1147&amp;AD$1,Data!$A$2:$D$12000,4,FALSE)</f>
        <v>1E-3</v>
      </c>
      <c r="AE1147">
        <f>VLOOKUP($B1147&amp;AE$1,Data!$A$2:$D$12000,4,FALSE)</f>
        <v>-1.5369999999999999</v>
      </c>
      <c r="AF1147">
        <f>VLOOKUP($B1147&amp;AF$1,Data!$A$2:$D$12000,4,FALSE)</f>
        <v>7.2999999999999995E-2</v>
      </c>
      <c r="AG1147">
        <f>VLOOKUP($B1147&amp;AG$1,Data!$A$2:$D$12000,4,FALSE)</f>
        <v>-0.85</v>
      </c>
      <c r="AH1147">
        <f>VLOOKUP($B1147&amp;AH$1,Data!$A$2:$D$12000,4,FALSE)</f>
        <v>0</v>
      </c>
      <c r="AI1147">
        <f>VLOOKUP($B1147&amp;AI$1,Data!$A$2:$D$12000,4,FALSE)</f>
        <v>200000000</v>
      </c>
    </row>
    <row r="1148" spans="2:35" hidden="1">
      <c r="B1148" s="13">
        <v>2012</v>
      </c>
      <c r="C1148" s="13" t="s">
        <v>58</v>
      </c>
      <c r="D1148" t="s">
        <v>5</v>
      </c>
      <c r="E1148" t="s">
        <v>3</v>
      </c>
      <c r="F1148">
        <v>5000</v>
      </c>
      <c r="G1148" t="s">
        <v>17</v>
      </c>
      <c r="H1148" s="5">
        <v>43831</v>
      </c>
      <c r="I1148" s="5">
        <v>44562</v>
      </c>
      <c r="J1148">
        <v>14</v>
      </c>
      <c r="K1148">
        <v>9</v>
      </c>
      <c r="L1148">
        <v>30</v>
      </c>
      <c r="M1148">
        <v>70</v>
      </c>
      <c r="N1148">
        <v>1000000</v>
      </c>
      <c r="O1148">
        <f>VLOOKUP($B1148&amp;O$1,Data!$A$2:$D$12000,4,FALSE)</f>
        <v>1.31E-3</v>
      </c>
      <c r="P1148">
        <f>VLOOKUP($B1148&amp;P$1,Data!$A$2:$D$12000,4,FALSE)</f>
        <v>-1.8160000000000001</v>
      </c>
      <c r="Q1148">
        <f>VLOOKUP($B1148&amp;Q$1,Data!$A$2:$D$12000,4,FALSE)</f>
        <v>1039</v>
      </c>
      <c r="R1148">
        <f>VLOOKUP($B1148&amp;R$1,Data!$A$2:$D$12000,4,FALSE)</f>
        <v>1.2999999999999999E-3</v>
      </c>
      <c r="S1148">
        <f>VLOOKUP($B1148&amp;S$1,Data!$A$2:$D$12000,4,FALSE)</f>
        <v>-4.1000000000000003E-3</v>
      </c>
      <c r="T1148">
        <f>VLOOKUP($B1148&amp;T$1,Data!$A$2:$D$12000,4,FALSE)</f>
        <v>-0.1113</v>
      </c>
      <c r="U1148">
        <f>VLOOKUP($B1148&amp;U$1,Data!$A$2:$D$12000,4,FALSE)</f>
        <v>8.6999999999999994E-2</v>
      </c>
      <c r="V1148">
        <f>VLOOKUP($B1148&amp;V$1,Data!$A$2:$D$12000,4,FALSE)</f>
        <v>-0.14699999999999999</v>
      </c>
      <c r="W1148">
        <f>VLOOKUP($B1148&amp;W$1,Data!$A$2:$D$12000,4,FALSE)</f>
        <v>-7.5829999999999995E-2</v>
      </c>
      <c r="X1148">
        <f>VLOOKUP($B1148&amp;X$1,Data!$A$2:$D$12000,4,FALSE)</f>
        <v>0.35</v>
      </c>
      <c r="Y1148">
        <f>VLOOKUP($B1148&amp;Y$1,Data!$A$2:$D$12000,4,FALSE)</f>
        <v>0.65</v>
      </c>
      <c r="Z1148">
        <f>VLOOKUP($B1148&amp;Z$1,Data!$A$2:$D$12000,4,FALSE)</f>
        <v>0.31</v>
      </c>
      <c r="AA1148">
        <f>VLOOKUP($B1148&amp;AA$1,Data!$A$2:$D$12000,4,FALSE)</f>
        <v>-8.2000000000000003E-2</v>
      </c>
      <c r="AB1148">
        <f>VLOOKUP($B1148&amp;AB$1,Data!$A$2:$D$12000,4,FALSE)</f>
        <v>9.2999999999999999E-2</v>
      </c>
      <c r="AC1148">
        <f>VLOOKUP($B1148&amp;AC$1,Data!$A$2:$D$12000,4,FALSE)</f>
        <v>4.2999999999999997E-2</v>
      </c>
      <c r="AD1148">
        <f>VLOOKUP($B1148&amp;AD$1,Data!$A$2:$D$12000,4,FALSE)</f>
        <v>2E-3</v>
      </c>
      <c r="AE1148">
        <f>VLOOKUP($B1148&amp;AE$1,Data!$A$2:$D$12000,4,FALSE)</f>
        <v>-1.7230000000000001</v>
      </c>
      <c r="AF1148">
        <f>VLOOKUP($B1148&amp;AF$1,Data!$A$2:$D$12000,4,FALSE)</f>
        <v>7.3999999999999996E-2</v>
      </c>
      <c r="AG1148">
        <f>VLOOKUP($B1148&amp;AG$1,Data!$A$2:$D$12000,4,FALSE)</f>
        <v>-0.83099999999999996</v>
      </c>
      <c r="AH1148">
        <f>VLOOKUP($B1148&amp;AH$1,Data!$A$2:$D$12000,4,FALSE)</f>
        <v>0</v>
      </c>
      <c r="AI1148">
        <f>VLOOKUP($B1148&amp;AI$1,Data!$A$2:$D$12000,4,FALSE)</f>
        <v>47000000</v>
      </c>
    </row>
    <row r="1149" spans="2:35" hidden="1">
      <c r="B1149" s="13">
        <v>2013</v>
      </c>
      <c r="C1149" s="13" t="s">
        <v>58</v>
      </c>
      <c r="D1149" t="s">
        <v>5</v>
      </c>
      <c r="E1149" t="s">
        <v>2</v>
      </c>
      <c r="F1149">
        <v>100</v>
      </c>
      <c r="G1149" t="s">
        <v>17</v>
      </c>
      <c r="H1149" s="5">
        <v>43831</v>
      </c>
      <c r="I1149" s="5">
        <v>44562</v>
      </c>
      <c r="J1149">
        <v>14</v>
      </c>
      <c r="K1149">
        <v>9</v>
      </c>
      <c r="L1149">
        <v>30</v>
      </c>
      <c r="M1149">
        <v>70</v>
      </c>
      <c r="N1149">
        <v>1000000</v>
      </c>
      <c r="O1149">
        <f>VLOOKUP($B1149&amp;O$1,Data!$A$2:$D$12000,4,FALSE)</f>
        <v>8.6899999999999998E-3</v>
      </c>
      <c r="P1149">
        <f>VLOOKUP($B1149&amp;P$1,Data!$A$2:$D$12000,4,FALSE)</f>
        <v>-1.2849999999999999</v>
      </c>
      <c r="Q1149">
        <f>VLOOKUP($B1149&amp;Q$1,Data!$A$2:$D$12000,4,FALSE)</f>
        <v>1062</v>
      </c>
      <c r="R1149">
        <f>VLOOKUP($B1149&amp;R$1,Data!$A$2:$D$12000,4,FALSE)</f>
        <v>2.0000000000000001E-4</v>
      </c>
      <c r="S1149">
        <f>VLOOKUP($B1149&amp;S$1,Data!$A$2:$D$12000,4,FALSE)</f>
        <v>-5.9999999999999995E-4</v>
      </c>
      <c r="T1149">
        <f>VLOOKUP($B1149&amp;T$1,Data!$A$2:$D$12000,4,FALSE)</f>
        <v>-1.4930000000000001E-2</v>
      </c>
      <c r="U1149">
        <f>VLOOKUP($B1149&amp;U$1,Data!$A$2:$D$12000,4,FALSE)</f>
        <v>1.6E-2</v>
      </c>
      <c r="V1149">
        <f>VLOOKUP($B1149&amp;V$1,Data!$A$2:$D$12000,4,FALSE)</f>
        <v>-0.17199999999999999</v>
      </c>
      <c r="W1149">
        <f>VLOOKUP($B1149&amp;W$1,Data!$A$2:$D$12000,4,FALSE)</f>
        <v>-0.01</v>
      </c>
      <c r="X1149">
        <f>VLOOKUP($B1149&amp;X$1,Data!$A$2:$D$12000,4,FALSE)</f>
        <v>0.37</v>
      </c>
      <c r="Y1149">
        <f>VLOOKUP($B1149&amp;Y$1,Data!$A$2:$D$12000,4,FALSE)</f>
        <v>0.63</v>
      </c>
      <c r="Z1149">
        <f>VLOOKUP($B1149&amp;Z$1,Data!$A$2:$D$12000,4,FALSE)</f>
        <v>0.32</v>
      </c>
      <c r="AA1149">
        <f>VLOOKUP($B1149&amp;AA$1,Data!$A$2:$D$12000,4,FALSE)</f>
        <v>-1.0999999999999999E-2</v>
      </c>
      <c r="AB1149">
        <f>VLOOKUP($B1149&amp;AB$1,Data!$A$2:$D$12000,4,FALSE)</f>
        <v>1.6E-2</v>
      </c>
      <c r="AC1149">
        <f>VLOOKUP($B1149&amp;AC$1,Data!$A$2:$D$12000,4,FALSE)</f>
        <v>8.0000000000000002E-3</v>
      </c>
      <c r="AD1149">
        <f>VLOOKUP($B1149&amp;AD$1,Data!$A$2:$D$12000,4,FALSE)</f>
        <v>0</v>
      </c>
      <c r="AE1149">
        <f>VLOOKUP($B1149&amp;AE$1,Data!$A$2:$D$12000,4,FALSE)</f>
        <v>-0.89200000000000002</v>
      </c>
      <c r="AF1149">
        <f>VLOOKUP($B1149&amp;AF$1,Data!$A$2:$D$12000,4,FALSE)</f>
        <v>6.7000000000000004E-2</v>
      </c>
      <c r="AG1149">
        <f>VLOOKUP($B1149&amp;AG$1,Data!$A$2:$D$12000,4,FALSE)</f>
        <v>-0.64400000000000002</v>
      </c>
      <c r="AH1149">
        <f>VLOOKUP($B1149&amp;AH$1,Data!$A$2:$D$12000,4,FALSE)</f>
        <v>0</v>
      </c>
      <c r="AI1149">
        <f>VLOOKUP($B1149&amp;AI$1,Data!$A$2:$D$12000,4,FALSE)</f>
        <v>570000000</v>
      </c>
    </row>
    <row r="1150" spans="2:35" hidden="1">
      <c r="B1150" s="13">
        <v>2014</v>
      </c>
      <c r="C1150" s="13" t="s">
        <v>58</v>
      </c>
      <c r="D1150" t="s">
        <v>5</v>
      </c>
      <c r="E1150" t="s">
        <v>2</v>
      </c>
      <c r="F1150">
        <v>1000</v>
      </c>
      <c r="G1150" t="s">
        <v>17</v>
      </c>
      <c r="H1150" s="5">
        <v>43831</v>
      </c>
      <c r="I1150" s="5">
        <v>44562</v>
      </c>
      <c r="J1150">
        <v>14</v>
      </c>
      <c r="K1150">
        <v>9</v>
      </c>
      <c r="L1150">
        <v>30</v>
      </c>
      <c r="M1150">
        <v>70</v>
      </c>
      <c r="N1150">
        <v>1000000</v>
      </c>
      <c r="O1150">
        <f>VLOOKUP($B1150&amp;O$1,Data!$A$2:$D$12000,4,FALSE)</f>
        <v>1.932E-2</v>
      </c>
      <c r="P1150">
        <f>VLOOKUP($B1150&amp;P$1,Data!$A$2:$D$12000,4,FALSE)</f>
        <v>-1.052</v>
      </c>
      <c r="Q1150">
        <f>VLOOKUP($B1150&amp;Q$1,Data!$A$2:$D$12000,4,FALSE)</f>
        <v>885</v>
      </c>
      <c r="R1150">
        <f>VLOOKUP($B1150&amp;R$1,Data!$A$2:$D$12000,4,FALSE)</f>
        <v>8.9999999999999998E-4</v>
      </c>
      <c r="S1150">
        <f>VLOOKUP($B1150&amp;S$1,Data!$A$2:$D$12000,4,FALSE)</f>
        <v>-2.3999999999999998E-3</v>
      </c>
      <c r="T1150">
        <f>VLOOKUP($B1150&amp;T$1,Data!$A$2:$D$12000,4,FALSE)</f>
        <v>-5.0259999999999999E-2</v>
      </c>
      <c r="U1150">
        <f>VLOOKUP($B1150&amp;U$1,Data!$A$2:$D$12000,4,FALSE)</f>
        <v>7.0000000000000007E-2</v>
      </c>
      <c r="V1150">
        <f>VLOOKUP($B1150&amp;V$1,Data!$A$2:$D$12000,4,FALSE)</f>
        <v>-0.14099999999999999</v>
      </c>
      <c r="W1150">
        <f>VLOOKUP($B1150&amp;W$1,Data!$A$2:$D$12000,4,FALSE)</f>
        <v>-3.388E-2</v>
      </c>
      <c r="X1150">
        <f>VLOOKUP($B1150&amp;X$1,Data!$A$2:$D$12000,4,FALSE)</f>
        <v>0.38</v>
      </c>
      <c r="Y1150">
        <f>VLOOKUP($B1150&amp;Y$1,Data!$A$2:$D$12000,4,FALSE)</f>
        <v>0.62</v>
      </c>
      <c r="Z1150">
        <f>VLOOKUP($B1150&amp;Z$1,Data!$A$2:$D$12000,4,FALSE)</f>
        <v>0.39</v>
      </c>
      <c r="AA1150">
        <f>VLOOKUP($B1150&amp;AA$1,Data!$A$2:$D$12000,4,FALSE)</f>
        <v>-3.9E-2</v>
      </c>
      <c r="AB1150">
        <f>VLOOKUP($B1150&amp;AB$1,Data!$A$2:$D$12000,4,FALSE)</f>
        <v>8.3000000000000004E-2</v>
      </c>
      <c r="AC1150">
        <f>VLOOKUP($B1150&amp;AC$1,Data!$A$2:$D$12000,4,FALSE)</f>
        <v>3.3000000000000002E-2</v>
      </c>
      <c r="AD1150">
        <f>VLOOKUP($B1150&amp;AD$1,Data!$A$2:$D$12000,4,FALSE)</f>
        <v>1E-3</v>
      </c>
      <c r="AE1150">
        <f>VLOOKUP($B1150&amp;AE$1,Data!$A$2:$D$12000,4,FALSE)</f>
        <v>-1.216</v>
      </c>
      <c r="AF1150">
        <f>VLOOKUP($B1150&amp;AF$1,Data!$A$2:$D$12000,4,FALSE)</f>
        <v>7.0000000000000007E-2</v>
      </c>
      <c r="AG1150">
        <f>VLOOKUP($B1150&amp;AG$1,Data!$A$2:$D$12000,4,FALSE)</f>
        <v>-0.41899999999999998</v>
      </c>
      <c r="AH1150">
        <f>VLOOKUP($B1150&amp;AH$1,Data!$A$2:$D$12000,4,FALSE)</f>
        <v>0</v>
      </c>
      <c r="AI1150">
        <f>VLOOKUP($B1150&amp;AI$1,Data!$A$2:$D$12000,4,FALSE)</f>
        <v>60000000</v>
      </c>
    </row>
    <row r="1151" spans="2:35" hidden="1">
      <c r="B1151" s="13">
        <v>2015</v>
      </c>
      <c r="C1151" s="13" t="s">
        <v>58</v>
      </c>
      <c r="D1151" t="s">
        <v>5</v>
      </c>
      <c r="E1151" t="s">
        <v>2</v>
      </c>
      <c r="F1151">
        <v>5000</v>
      </c>
      <c r="G1151" t="s">
        <v>17</v>
      </c>
      <c r="H1151" s="5">
        <v>43831</v>
      </c>
      <c r="I1151" s="5">
        <v>44562</v>
      </c>
      <c r="J1151">
        <v>14</v>
      </c>
      <c r="K1151">
        <v>9</v>
      </c>
      <c r="L1151">
        <v>30</v>
      </c>
      <c r="M1151">
        <v>70</v>
      </c>
      <c r="N1151">
        <v>1000000</v>
      </c>
      <c r="O1151">
        <f>VLOOKUP($B1151&amp;O$1,Data!$A$2:$D$14000,4,FALSE)</f>
        <v>1.01E-3</v>
      </c>
      <c r="P1151">
        <f>VLOOKUP($B1151&amp;P$1,Data!$A$2:$D$14000,4,FALSE)</f>
        <v>-1.843</v>
      </c>
      <c r="Q1151">
        <f>VLOOKUP($B1151&amp;Q$1,Data!$A$2:$D$14000,4,FALSE)</f>
        <v>684</v>
      </c>
      <c r="R1151">
        <f>VLOOKUP($B1151&amp;R$1,Data!$A$2:$D$14000,4,FALSE)</f>
        <v>1.2999999999999999E-3</v>
      </c>
      <c r="S1151">
        <f>VLOOKUP($B1151&amp;S$1,Data!$A$2:$D$14000,4,FALSE)</f>
        <v>-3.8999999999999998E-3</v>
      </c>
      <c r="T1151">
        <f>VLOOKUP($B1151&amp;T$1,Data!$A$2:$D$14000,4,FALSE)</f>
        <v>-0.10911</v>
      </c>
      <c r="U1151">
        <f>VLOOKUP($B1151&amp;U$1,Data!$A$2:$D$14000,4,FALSE)</f>
        <v>0.104</v>
      </c>
      <c r="V1151">
        <f>VLOOKUP($B1151&amp;V$1,Data!$A$2:$D$14000,4,FALSE)</f>
        <v>-0.21099999999999999</v>
      </c>
      <c r="W1151">
        <f>VLOOKUP($B1151&amp;W$1,Data!$A$2:$D$14000,4,FALSE)</f>
        <v>-7.4319999999999997E-2</v>
      </c>
      <c r="X1151">
        <f>VLOOKUP($B1151&amp;X$1,Data!$A$2:$D$14000,4,FALSE)</f>
        <v>0.4</v>
      </c>
      <c r="Y1151">
        <f>VLOOKUP($B1151&amp;Y$1,Data!$A$2:$D$14000,4,FALSE)</f>
        <v>0.6</v>
      </c>
      <c r="Z1151">
        <f>VLOOKUP($B1151&amp;Z$1,Data!$A$2:$D$14000,4,FALSE)</f>
        <v>0.32</v>
      </c>
      <c r="AA1151">
        <f>VLOOKUP($B1151&amp;AA$1,Data!$A$2:$D$14000,4,FALSE)</f>
        <v>-8.2000000000000003E-2</v>
      </c>
      <c r="AB1151">
        <f>VLOOKUP($B1151&amp;AB$1,Data!$A$2:$D$14000,4,FALSE)</f>
        <v>0.124</v>
      </c>
      <c r="AC1151">
        <f>VLOOKUP($B1151&amp;AC$1,Data!$A$2:$D$14000,4,FALSE)</f>
        <v>4.1000000000000002E-2</v>
      </c>
      <c r="AD1151">
        <f>VLOOKUP($B1151&amp;AD$1,Data!$A$2:$D$14000,4,FALSE)</f>
        <v>2E-3</v>
      </c>
      <c r="AE1151">
        <f>VLOOKUP($B1151&amp;AE$1,Data!$A$2:$D$14000,4,FALSE)</f>
        <v>-1.7529999999999999</v>
      </c>
      <c r="AF1151">
        <f>VLOOKUP($B1151&amp;AF$1,Data!$A$2:$D$14000,4,FALSE)</f>
        <v>7.0999999999999994E-2</v>
      </c>
      <c r="AG1151">
        <f>VLOOKUP($B1151&amp;AG$1,Data!$A$2:$D$14000,4,FALSE)</f>
        <v>-0.61599999999999999</v>
      </c>
      <c r="AH1151">
        <f>VLOOKUP($B1151&amp;AH$1,Data!$A$2:$D$14000,4,FALSE)</f>
        <v>0</v>
      </c>
      <c r="AI1151">
        <f>VLOOKUP($B1151&amp;AI$1,Data!$A$2:$D$14000,4,FALSE)</f>
        <v>14000000</v>
      </c>
    </row>
    <row r="1152" spans="2:35" hidden="1">
      <c r="B1152" s="13">
        <v>2016</v>
      </c>
      <c r="C1152" s="13" t="s">
        <v>58</v>
      </c>
      <c r="D1152" t="s">
        <v>5</v>
      </c>
      <c r="E1152" t="s">
        <v>22</v>
      </c>
      <c r="F1152">
        <v>100</v>
      </c>
      <c r="G1152" t="s">
        <v>17</v>
      </c>
      <c r="H1152" s="5">
        <v>43831</v>
      </c>
      <c r="I1152" s="5">
        <v>44562</v>
      </c>
      <c r="J1152">
        <v>14</v>
      </c>
      <c r="K1152">
        <v>9</v>
      </c>
      <c r="L1152">
        <v>30</v>
      </c>
      <c r="M1152">
        <v>70</v>
      </c>
      <c r="N1152">
        <v>1000000</v>
      </c>
      <c r="O1152">
        <f>VLOOKUP($B1152&amp;O$1,Data!$A$2:$D$14000,4,FALSE)</f>
        <v>6.6100000000000006E-2</v>
      </c>
      <c r="P1152">
        <f>VLOOKUP($B1152&amp;P$1,Data!$A$2:$D$14000,4,FALSE)</f>
        <v>-0.56200000000000006</v>
      </c>
      <c r="Q1152">
        <f>VLOOKUP($B1152&amp;Q$1,Data!$A$2:$D$14000,4,FALSE)</f>
        <v>762</v>
      </c>
      <c r="R1152">
        <f>VLOOKUP($B1152&amp;R$1,Data!$A$2:$D$14000,4,FALSE)</f>
        <v>2.0000000000000001E-4</v>
      </c>
      <c r="S1152">
        <f>VLOOKUP($B1152&amp;S$1,Data!$A$2:$D$14000,4,FALSE)</f>
        <v>-5.0000000000000001E-4</v>
      </c>
      <c r="T1152">
        <f>VLOOKUP($B1152&amp;T$1,Data!$A$2:$D$14000,4,FALSE)</f>
        <v>-5.4900000000000001E-3</v>
      </c>
      <c r="U1152">
        <f>VLOOKUP($B1152&amp;U$1,Data!$A$2:$D$14000,4,FALSE)</f>
        <v>8.9999999999999993E-3</v>
      </c>
      <c r="V1152">
        <f>VLOOKUP($B1152&amp;V$1,Data!$A$2:$D$14000,4,FALSE)</f>
        <v>-9.6000000000000002E-2</v>
      </c>
      <c r="W1152">
        <f>VLOOKUP($B1152&amp;W$1,Data!$A$2:$D$14000,4,FALSE)</f>
        <v>-3.6700000000000001E-3</v>
      </c>
      <c r="X1152">
        <f>VLOOKUP($B1152&amp;X$1,Data!$A$2:$D$14000,4,FALSE)</f>
        <v>0.38</v>
      </c>
      <c r="Y1152">
        <f>VLOOKUP($B1152&amp;Y$1,Data!$A$2:$D$14000,4,FALSE)</f>
        <v>0.62</v>
      </c>
      <c r="Z1152">
        <f>VLOOKUP($B1152&amp;Z$1,Data!$A$2:$D$14000,4,FALSE)</f>
        <v>0.47</v>
      </c>
      <c r="AA1152">
        <f>VLOOKUP($B1152&amp;AA$1,Data!$A$2:$D$14000,4,FALSE)</f>
        <v>-5.0000000000000001E-3</v>
      </c>
      <c r="AB1152">
        <f>VLOOKUP($B1152&amp;AB$1,Data!$A$2:$D$14000,4,FALSE)</f>
        <v>0.02</v>
      </c>
      <c r="AC1152">
        <f>VLOOKUP($B1152&amp;AC$1,Data!$A$2:$D$14000,4,FALSE)</f>
        <v>7.0000000000000001E-3</v>
      </c>
      <c r="AD1152">
        <f>VLOOKUP($B1152&amp;AD$1,Data!$A$2:$D$14000,4,FALSE)</f>
        <v>0</v>
      </c>
      <c r="AE1152">
        <f>VLOOKUP($B1152&amp;AE$1,Data!$A$2:$D$14000,4,FALSE)</f>
        <v>-0.81399999999999995</v>
      </c>
      <c r="AF1152">
        <f>VLOOKUP($B1152&amp;AF$1,Data!$A$2:$D$14000,4,FALSE)</f>
        <v>6.6000000000000003E-2</v>
      </c>
      <c r="AG1152">
        <f>VLOOKUP($B1152&amp;AG$1,Data!$A$2:$D$14000,4,FALSE)</f>
        <v>-0.193</v>
      </c>
      <c r="AH1152">
        <f>VLOOKUP($B1152&amp;AH$1,Data!$A$2:$D$14000,4,FALSE)</f>
        <v>0</v>
      </c>
      <c r="AI1152">
        <f>VLOOKUP($B1152&amp;AI$1,Data!$A$2:$D$14000,4,FALSE)</f>
        <v>1600000000</v>
      </c>
    </row>
    <row r="1153" spans="1:35" hidden="1">
      <c r="B1153" s="13">
        <v>2017</v>
      </c>
      <c r="C1153" s="13" t="s">
        <v>58</v>
      </c>
      <c r="D1153" t="s">
        <v>5</v>
      </c>
      <c r="E1153" t="s">
        <v>22</v>
      </c>
      <c r="F1153">
        <v>1000</v>
      </c>
      <c r="G1153" t="s">
        <v>17</v>
      </c>
      <c r="H1153" s="5">
        <v>43831</v>
      </c>
      <c r="I1153" s="5">
        <v>44562</v>
      </c>
      <c r="J1153">
        <v>14</v>
      </c>
      <c r="K1153">
        <v>9</v>
      </c>
      <c r="L1153">
        <v>30</v>
      </c>
      <c r="M1153">
        <v>70</v>
      </c>
      <c r="N1153">
        <v>1000000</v>
      </c>
      <c r="O1153">
        <f>VLOOKUP($B1153&amp;O$1,Data!$A$2:$D$14000,4,FALSE)</f>
        <v>3.0799999999999998E-3</v>
      </c>
      <c r="P1153">
        <f>VLOOKUP($B1153&amp;P$1,Data!$A$2:$D$14000,4,FALSE)</f>
        <v>-1.5089999999999999</v>
      </c>
      <c r="Q1153">
        <f>VLOOKUP($B1153&amp;Q$1,Data!$A$2:$D$14000,4,FALSE)</f>
        <v>655</v>
      </c>
      <c r="R1153">
        <f>VLOOKUP($B1153&amp;R$1,Data!$A$2:$D$14000,4,FALSE)</f>
        <v>1E-3</v>
      </c>
      <c r="S1153">
        <f>VLOOKUP($B1153&amp;S$1,Data!$A$2:$D$14000,4,FALSE)</f>
        <v>-2.8999999999999998E-3</v>
      </c>
      <c r="T1153">
        <f>VLOOKUP($B1153&amp;T$1,Data!$A$2:$D$14000,4,FALSE)</f>
        <v>-6.3670000000000004E-2</v>
      </c>
      <c r="U1153">
        <f>VLOOKUP($B1153&amp;U$1,Data!$A$2:$D$14000,4,FALSE)</f>
        <v>5.8999999999999997E-2</v>
      </c>
      <c r="V1153">
        <f>VLOOKUP($B1153&amp;V$1,Data!$A$2:$D$14000,4,FALSE)</f>
        <v>-0.20499999999999999</v>
      </c>
      <c r="W1153">
        <f>VLOOKUP($B1153&amp;W$1,Data!$A$2:$D$14000,4,FALSE)</f>
        <v>-4.3020000000000003E-2</v>
      </c>
      <c r="X1153">
        <f>VLOOKUP($B1153&amp;X$1,Data!$A$2:$D$14000,4,FALSE)</f>
        <v>0.4</v>
      </c>
      <c r="Y1153">
        <f>VLOOKUP($B1153&amp;Y$1,Data!$A$2:$D$14000,4,FALSE)</f>
        <v>0.6</v>
      </c>
      <c r="Z1153">
        <f>VLOOKUP($B1153&amp;Z$1,Data!$A$2:$D$14000,4,FALSE)</f>
        <v>0.33</v>
      </c>
      <c r="AA1153">
        <f>VLOOKUP($B1153&amp;AA$1,Data!$A$2:$D$14000,4,FALSE)</f>
        <v>-4.9000000000000002E-2</v>
      </c>
      <c r="AB1153">
        <f>VLOOKUP($B1153&amp;AB$1,Data!$A$2:$D$14000,4,FALSE)</f>
        <v>0.10100000000000001</v>
      </c>
      <c r="AC1153">
        <f>VLOOKUP($B1153&amp;AC$1,Data!$A$2:$D$14000,4,FALSE)</f>
        <v>2.9000000000000001E-2</v>
      </c>
      <c r="AD1153">
        <f>VLOOKUP($B1153&amp;AD$1,Data!$A$2:$D$14000,4,FALSE)</f>
        <v>1E-3</v>
      </c>
      <c r="AE1153">
        <f>VLOOKUP($B1153&amp;AE$1,Data!$A$2:$D$14000,4,FALSE)</f>
        <v>-1.4119999999999999</v>
      </c>
      <c r="AF1153">
        <f>VLOOKUP($B1153&amp;AF$1,Data!$A$2:$D$14000,4,FALSE)</f>
        <v>6.7000000000000004E-2</v>
      </c>
      <c r="AG1153">
        <f>VLOOKUP($B1153&amp;AG$1,Data!$A$2:$D$14000,4,FALSE)</f>
        <v>-0.437</v>
      </c>
      <c r="AH1153">
        <f>VLOOKUP($B1153&amp;AH$1,Data!$A$2:$D$14000,4,FALSE)</f>
        <v>0</v>
      </c>
      <c r="AI1153">
        <f>VLOOKUP($B1153&amp;AI$1,Data!$A$2:$D$14000,4,FALSE)</f>
        <v>150000000</v>
      </c>
    </row>
    <row r="1154" spans="1:35" hidden="1">
      <c r="B1154" s="13">
        <v>2018</v>
      </c>
      <c r="C1154" s="13" t="s">
        <v>58</v>
      </c>
      <c r="D1154" t="s">
        <v>5</v>
      </c>
      <c r="E1154" t="s">
        <v>22</v>
      </c>
      <c r="F1154">
        <v>5000</v>
      </c>
      <c r="G1154" t="s">
        <v>17</v>
      </c>
      <c r="H1154" s="5">
        <v>43831</v>
      </c>
      <c r="I1154" s="5">
        <v>44562</v>
      </c>
      <c r="J1154">
        <v>14</v>
      </c>
      <c r="K1154">
        <v>9</v>
      </c>
      <c r="L1154">
        <v>30</v>
      </c>
      <c r="M1154">
        <v>70</v>
      </c>
      <c r="N1154">
        <v>1000000</v>
      </c>
      <c r="O1154">
        <f>VLOOKUP($B1154&amp;O$1,Data!$A$2:$D$14000,4,FALSE)</f>
        <v>3.3999999999999998E-3</v>
      </c>
      <c r="P1154">
        <f>VLOOKUP($B1154&amp;P$1,Data!$A$2:$D$14000,4,FALSE)</f>
        <v>-1.4870000000000001</v>
      </c>
      <c r="Q1154">
        <f>VLOOKUP($B1154&amp;Q$1,Data!$A$2:$D$14000,4,FALSE)</f>
        <v>523</v>
      </c>
      <c r="R1154">
        <f>VLOOKUP($B1154&amp;R$1,Data!$A$2:$D$14000,4,FALSE)</f>
        <v>1.6000000000000001E-3</v>
      </c>
      <c r="S1154">
        <f>VLOOKUP($B1154&amp;S$1,Data!$A$2:$D$14000,4,FALSE)</f>
        <v>-4.7999999999999996E-3</v>
      </c>
      <c r="T1154">
        <f>VLOOKUP($B1154&amp;T$1,Data!$A$2:$D$14000,4,FALSE)</f>
        <v>-9.6290000000000001E-2</v>
      </c>
      <c r="U1154">
        <f>VLOOKUP($B1154&amp;U$1,Data!$A$2:$D$14000,4,FALSE)</f>
        <v>9.9000000000000005E-2</v>
      </c>
      <c r="V1154">
        <f>VLOOKUP($B1154&amp;V$1,Data!$A$2:$D$14000,4,FALSE)</f>
        <v>-0.20699999999999999</v>
      </c>
      <c r="W1154">
        <f>VLOOKUP($B1154&amp;W$1,Data!$A$2:$D$14000,4,FALSE)</f>
        <v>-6.5439999999999998E-2</v>
      </c>
      <c r="X1154">
        <f>VLOOKUP($B1154&amp;X$1,Data!$A$2:$D$14000,4,FALSE)</f>
        <v>0.4</v>
      </c>
      <c r="Y1154">
        <f>VLOOKUP($B1154&amp;Y$1,Data!$A$2:$D$14000,4,FALSE)</f>
        <v>0.6</v>
      </c>
      <c r="Z1154">
        <f>VLOOKUP($B1154&amp;Z$1,Data!$A$2:$D$14000,4,FALSE)</f>
        <v>0.33</v>
      </c>
      <c r="AA1154">
        <f>VLOOKUP($B1154&amp;AA$1,Data!$A$2:$D$14000,4,FALSE)</f>
        <v>-7.4999999999999997E-2</v>
      </c>
      <c r="AB1154">
        <f>VLOOKUP($B1154&amp;AB$1,Data!$A$2:$D$14000,4,FALSE)</f>
        <v>0.156</v>
      </c>
      <c r="AC1154">
        <f>VLOOKUP($B1154&amp;AC$1,Data!$A$2:$D$14000,4,FALSE)</f>
        <v>4.4999999999999998E-2</v>
      </c>
      <c r="AD1154">
        <f>VLOOKUP($B1154&amp;AD$1,Data!$A$2:$D$14000,4,FALSE)</f>
        <v>2E-3</v>
      </c>
      <c r="AE1154">
        <f>VLOOKUP($B1154&amp;AE$1,Data!$A$2:$D$14000,4,FALSE)</f>
        <v>-1.633</v>
      </c>
      <c r="AF1154">
        <f>VLOOKUP($B1154&amp;AF$1,Data!$A$2:$D$14000,4,FALSE)</f>
        <v>7.1999999999999995E-2</v>
      </c>
      <c r="AG1154">
        <f>VLOOKUP($B1154&amp;AG$1,Data!$A$2:$D$14000,4,FALSE)</f>
        <v>-0.43</v>
      </c>
      <c r="AH1154">
        <f>VLOOKUP($B1154&amp;AH$1,Data!$A$2:$D$14000,4,FALSE)</f>
        <v>0</v>
      </c>
      <c r="AI1154">
        <f>VLOOKUP($B1154&amp;AI$1,Data!$A$2:$D$14000,4,FALSE)</f>
        <v>32000000</v>
      </c>
    </row>
    <row r="1155" spans="1:35" hidden="1">
      <c r="B1155" s="13">
        <v>2019</v>
      </c>
      <c r="C1155" s="13" t="s">
        <v>58</v>
      </c>
      <c r="D1155" t="s">
        <v>6</v>
      </c>
      <c r="E1155" t="s">
        <v>3</v>
      </c>
      <c r="F1155">
        <v>100</v>
      </c>
      <c r="G1155" t="s">
        <v>17</v>
      </c>
      <c r="H1155" s="5">
        <v>43831</v>
      </c>
      <c r="I1155" s="5">
        <v>44562</v>
      </c>
      <c r="J1155">
        <v>14</v>
      </c>
      <c r="K1155">
        <v>9</v>
      </c>
      <c r="L1155">
        <v>30</v>
      </c>
      <c r="M1155">
        <v>70</v>
      </c>
      <c r="N1155">
        <v>1000000</v>
      </c>
      <c r="O1155">
        <f>VLOOKUP($B1155&amp;O$1,Data!$A$2:$D$14000,4,FALSE)</f>
        <v>0.32643</v>
      </c>
      <c r="P1155">
        <f>VLOOKUP($B1155&amp;P$1,Data!$A$2:$D$14000,4,FALSE)</f>
        <v>0.55700000000000005</v>
      </c>
      <c r="Q1155">
        <f>VLOOKUP($B1155&amp;Q$1,Data!$A$2:$D$14000,4,FALSE)</f>
        <v>1459</v>
      </c>
      <c r="R1155">
        <f>VLOOKUP($B1155&amp;R$1,Data!$A$2:$D$14000,4,FALSE)</f>
        <v>6.9999999999999999E-4</v>
      </c>
      <c r="S1155">
        <f>VLOOKUP($B1155&amp;S$1,Data!$A$2:$D$14000,4,FALSE)</f>
        <v>-1E-3</v>
      </c>
      <c r="T1155">
        <f>VLOOKUP($B1155&amp;T$1,Data!$A$2:$D$14000,4,FALSE)</f>
        <v>1.321E-2</v>
      </c>
      <c r="U1155">
        <f>VLOOKUP($B1155&amp;U$1,Data!$A$2:$D$14000,4,FALSE)</f>
        <v>8.0000000000000002E-3</v>
      </c>
      <c r="V1155">
        <f>VLOOKUP($B1155&amp;V$1,Data!$A$2:$D$14000,4,FALSE)</f>
        <v>9.8000000000000004E-2</v>
      </c>
      <c r="W1155">
        <f>VLOOKUP($B1155&amp;W$1,Data!$A$2:$D$14000,4,FALSE)</f>
        <v>8.8100000000000001E-3</v>
      </c>
      <c r="X1155">
        <f>VLOOKUP($B1155&amp;X$1,Data!$A$2:$D$14000,4,FALSE)</f>
        <v>0.38</v>
      </c>
      <c r="Y1155">
        <f>VLOOKUP($B1155&amp;Y$1,Data!$A$2:$D$14000,4,FALSE)</f>
        <v>0.62</v>
      </c>
      <c r="Z1155">
        <f>VLOOKUP($B1155&amp;Z$1,Data!$A$2:$D$14000,4,FALSE)</f>
        <v>0.76</v>
      </c>
      <c r="AA1155">
        <f>VLOOKUP($B1155&amp;AA$1,Data!$A$2:$D$14000,4,FALSE)</f>
        <v>8.9999999999999993E-3</v>
      </c>
      <c r="AB1155">
        <f>VLOOKUP($B1155&amp;AB$1,Data!$A$2:$D$14000,4,FALSE)</f>
        <v>-1E-3</v>
      </c>
      <c r="AC1155">
        <f>VLOOKUP($B1155&amp;AC$1,Data!$A$2:$D$14000,4,FALSE)</f>
        <v>1.7000000000000001E-2</v>
      </c>
      <c r="AD1155">
        <f>VLOOKUP($B1155&amp;AD$1,Data!$A$2:$D$14000,4,FALSE)</f>
        <v>0</v>
      </c>
      <c r="AE1155">
        <f>VLOOKUP($B1155&amp;AE$1,Data!$A$2:$D$14000,4,FALSE)</f>
        <v>-0.57399999999999995</v>
      </c>
      <c r="AF1155">
        <f>VLOOKUP($B1155&amp;AF$1,Data!$A$2:$D$14000,4,FALSE)</f>
        <v>6.9000000000000006E-2</v>
      </c>
      <c r="AG1155">
        <f>VLOOKUP($B1155&amp;AG$1,Data!$A$2:$D$14000,4,FALSE)</f>
        <v>-9.7629999999999999</v>
      </c>
      <c r="AH1155">
        <f>VLOOKUP($B1155&amp;AH$1,Data!$A$2:$D$14000,4,FALSE)</f>
        <v>0</v>
      </c>
      <c r="AI1155">
        <f>VLOOKUP($B1155&amp;AI$1,Data!$A$2:$D$14000,4,FALSE)</f>
        <v>610000000</v>
      </c>
    </row>
    <row r="1156" spans="1:35" hidden="1">
      <c r="B1156" s="13">
        <v>2020</v>
      </c>
      <c r="C1156" s="13" t="s">
        <v>58</v>
      </c>
      <c r="D1156" t="s">
        <v>6</v>
      </c>
      <c r="E1156" t="s">
        <v>3</v>
      </c>
      <c r="F1156">
        <v>1000</v>
      </c>
      <c r="G1156" t="s">
        <v>17</v>
      </c>
      <c r="H1156" s="5">
        <v>43831</v>
      </c>
      <c r="I1156" s="5">
        <v>44562</v>
      </c>
      <c r="J1156">
        <v>14</v>
      </c>
      <c r="K1156">
        <v>9</v>
      </c>
      <c r="L1156">
        <v>30</v>
      </c>
      <c r="M1156">
        <v>70</v>
      </c>
      <c r="N1156">
        <v>1000000</v>
      </c>
      <c r="O1156">
        <f>VLOOKUP($B1156&amp;O$1,Data!$A$2:$D$14000,4,FALSE)</f>
        <v>0.54052999999999995</v>
      </c>
      <c r="P1156">
        <f>VLOOKUP($B1156&amp;P$1,Data!$A$2:$D$14000,4,FALSE)</f>
        <v>1.119</v>
      </c>
      <c r="Q1156">
        <f>VLOOKUP($B1156&amp;Q$1,Data!$A$2:$D$14000,4,FALSE)</f>
        <v>1093</v>
      </c>
      <c r="R1156">
        <f>VLOOKUP($B1156&amp;R$1,Data!$A$2:$D$14000,4,FALSE)</f>
        <v>1.9E-3</v>
      </c>
      <c r="S1156">
        <f>VLOOKUP($B1156&amp;S$1,Data!$A$2:$D$14000,4,FALSE)</f>
        <v>-2.3999999999999998E-3</v>
      </c>
      <c r="T1156">
        <f>VLOOKUP($B1156&amp;T$1,Data!$A$2:$D$14000,4,FALSE)</f>
        <v>6.173E-2</v>
      </c>
      <c r="U1156">
        <f>VLOOKUP($B1156&amp;U$1,Data!$A$2:$D$14000,4,FALSE)</f>
        <v>1.7999999999999999E-2</v>
      </c>
      <c r="V1156">
        <f>VLOOKUP($B1156&amp;V$1,Data!$A$2:$D$14000,4,FALSE)</f>
        <v>0.19700000000000001</v>
      </c>
      <c r="W1156">
        <f>VLOOKUP($B1156&amp;W$1,Data!$A$2:$D$14000,4,FALSE)</f>
        <v>4.0849999999999997E-2</v>
      </c>
      <c r="X1156">
        <f>VLOOKUP($B1156&amp;X$1,Data!$A$2:$D$14000,4,FALSE)</f>
        <v>0.34</v>
      </c>
      <c r="Y1156">
        <f>VLOOKUP($B1156&amp;Y$1,Data!$A$2:$D$14000,4,FALSE)</f>
        <v>0.66</v>
      </c>
      <c r="Z1156">
        <f>VLOOKUP($B1156&amp;Z$1,Data!$A$2:$D$14000,4,FALSE)</f>
        <v>0.81</v>
      </c>
      <c r="AA1156">
        <f>VLOOKUP($B1156&amp;AA$1,Data!$A$2:$D$14000,4,FALSE)</f>
        <v>4.2000000000000003E-2</v>
      </c>
      <c r="AB1156">
        <f>VLOOKUP($B1156&amp;AB$1,Data!$A$2:$D$14000,4,FALSE)</f>
        <v>2.5999999999999999E-2</v>
      </c>
      <c r="AC1156">
        <f>VLOOKUP($B1156&amp;AC$1,Data!$A$2:$D$14000,4,FALSE)</f>
        <v>3.9E-2</v>
      </c>
      <c r="AD1156">
        <f>VLOOKUP($B1156&amp;AD$1,Data!$A$2:$D$14000,4,FALSE)</f>
        <v>1E-3</v>
      </c>
      <c r="AE1156">
        <f>VLOOKUP($B1156&amp;AE$1,Data!$A$2:$D$14000,4,FALSE)</f>
        <v>-9.1999999999999998E-2</v>
      </c>
      <c r="AF1156">
        <f>VLOOKUP($B1156&amp;AF$1,Data!$A$2:$D$14000,4,FALSE)</f>
        <v>7.5999999999999998E-2</v>
      </c>
      <c r="AG1156">
        <f>VLOOKUP($B1156&amp;AG$1,Data!$A$2:$D$14000,4,FALSE)</f>
        <v>1.657</v>
      </c>
      <c r="AH1156">
        <f>VLOOKUP($B1156&amp;AH$1,Data!$A$2:$D$14000,4,FALSE)</f>
        <v>0</v>
      </c>
      <c r="AI1156">
        <f>VLOOKUP($B1156&amp;AI$1,Data!$A$2:$D$14000,4,FALSE)</f>
        <v>70000000</v>
      </c>
    </row>
    <row r="1157" spans="1:35" hidden="1">
      <c r="B1157" s="13">
        <v>2021</v>
      </c>
      <c r="C1157" s="13" t="s">
        <v>58</v>
      </c>
      <c r="D1157" t="s">
        <v>6</v>
      </c>
      <c r="E1157" t="s">
        <v>3</v>
      </c>
      <c r="F1157">
        <v>5000</v>
      </c>
      <c r="G1157" t="s">
        <v>17</v>
      </c>
      <c r="H1157" s="5">
        <v>43831</v>
      </c>
      <c r="I1157" s="5">
        <v>44562</v>
      </c>
      <c r="J1157">
        <v>14</v>
      </c>
      <c r="K1157">
        <v>9</v>
      </c>
      <c r="L1157">
        <v>30</v>
      </c>
      <c r="M1157">
        <v>70</v>
      </c>
      <c r="N1157">
        <v>1000000</v>
      </c>
      <c r="O1157">
        <f>VLOOKUP($B1157&amp;O$1,Data!$A$2:$D$14000,4,FALSE)</f>
        <v>0.46834999999999999</v>
      </c>
      <c r="P1157">
        <f>VLOOKUP($B1157&amp;P$1,Data!$A$2:$D$14000,4,FALSE)</f>
        <v>0.94199999999999995</v>
      </c>
      <c r="Q1157">
        <f>VLOOKUP($B1157&amp;Q$1,Data!$A$2:$D$14000,4,FALSE)</f>
        <v>798</v>
      </c>
      <c r="R1157">
        <f>VLOOKUP($B1157&amp;R$1,Data!$A$2:$D$14000,4,FALSE)</f>
        <v>2.2000000000000001E-3</v>
      </c>
      <c r="S1157">
        <f>VLOOKUP($B1157&amp;S$1,Data!$A$2:$D$14000,4,FALSE)</f>
        <v>-3.0000000000000001E-3</v>
      </c>
      <c r="T1157">
        <f>VLOOKUP($B1157&amp;T$1,Data!$A$2:$D$14000,4,FALSE)</f>
        <v>5.4739999999999997E-2</v>
      </c>
      <c r="U1157">
        <f>VLOOKUP($B1157&amp;U$1,Data!$A$2:$D$14000,4,FALSE)</f>
        <v>2.8000000000000001E-2</v>
      </c>
      <c r="V1157">
        <f>VLOOKUP($B1157&amp;V$1,Data!$A$2:$D$14000,4,FALSE)</f>
        <v>0.14199999999999999</v>
      </c>
      <c r="W1157">
        <f>VLOOKUP($B1157&amp;W$1,Data!$A$2:$D$14000,4,FALSE)</f>
        <v>3.6260000000000001E-2</v>
      </c>
      <c r="X1157">
        <f>VLOOKUP($B1157&amp;X$1,Data!$A$2:$D$14000,4,FALSE)</f>
        <v>0.34</v>
      </c>
      <c r="Y1157">
        <f>VLOOKUP($B1157&amp;Y$1,Data!$A$2:$D$14000,4,FALSE)</f>
        <v>0.66</v>
      </c>
      <c r="Z1157">
        <f>VLOOKUP($B1157&amp;Z$1,Data!$A$2:$D$14000,4,FALSE)</f>
        <v>0.73</v>
      </c>
      <c r="AA1157">
        <f>VLOOKUP($B1157&amp;AA$1,Data!$A$2:$D$14000,4,FALSE)</f>
        <v>3.6999999999999998E-2</v>
      </c>
      <c r="AB1157">
        <f>VLOOKUP($B1157&amp;AB$1,Data!$A$2:$D$14000,4,FALSE)</f>
        <v>2.8000000000000001E-2</v>
      </c>
      <c r="AC1157">
        <f>VLOOKUP($B1157&amp;AC$1,Data!$A$2:$D$14000,4,FALSE)</f>
        <v>4.1000000000000002E-2</v>
      </c>
      <c r="AD1157">
        <f>VLOOKUP($B1157&amp;AD$1,Data!$A$2:$D$14000,4,FALSE)</f>
        <v>2E-3</v>
      </c>
      <c r="AE1157">
        <f>VLOOKUP($B1157&amp;AE$1,Data!$A$2:$D$14000,4,FALSE)</f>
        <v>-0.151</v>
      </c>
      <c r="AF1157">
        <f>VLOOKUP($B1157&amp;AF$1,Data!$A$2:$D$14000,4,FALSE)</f>
        <v>7.6999999999999999E-2</v>
      </c>
      <c r="AG1157">
        <f>VLOOKUP($B1157&amp;AG$1,Data!$A$2:$D$14000,4,FALSE)</f>
        <v>1.3839999999999999</v>
      </c>
      <c r="AH1157">
        <f>VLOOKUP($B1157&amp;AH$1,Data!$A$2:$D$14000,4,FALSE)</f>
        <v>0</v>
      </c>
      <c r="AI1157">
        <f>VLOOKUP($B1157&amp;AI$1,Data!$A$2:$D$14000,4,FALSE)</f>
        <v>17000000</v>
      </c>
    </row>
    <row r="1158" spans="1:35" hidden="1">
      <c r="B1158" s="13">
        <v>2022</v>
      </c>
      <c r="C1158" s="13" t="s">
        <v>58</v>
      </c>
      <c r="D1158" t="s">
        <v>6</v>
      </c>
      <c r="E1158" t="s">
        <v>2</v>
      </c>
      <c r="F1158">
        <v>100</v>
      </c>
      <c r="G1158" t="s">
        <v>17</v>
      </c>
      <c r="H1158" s="5">
        <v>43831</v>
      </c>
      <c r="I1158" s="5">
        <v>44562</v>
      </c>
      <c r="J1158">
        <v>14</v>
      </c>
      <c r="K1158">
        <v>9</v>
      </c>
      <c r="L1158">
        <v>30</v>
      </c>
      <c r="M1158">
        <v>70</v>
      </c>
      <c r="N1158">
        <v>1000000</v>
      </c>
      <c r="O1158">
        <f>VLOOKUP($B1158&amp;O$1,Data!$A$2:$D$14000,4,FALSE)</f>
        <v>0.62219000000000002</v>
      </c>
      <c r="P1158">
        <f>VLOOKUP($B1158&amp;P$1,Data!$A$2:$D$14000,4,FALSE)</f>
        <v>1.3</v>
      </c>
      <c r="Q1158">
        <f>VLOOKUP($B1158&amp;Q$1,Data!$A$2:$D$14000,4,FALSE)</f>
        <v>907</v>
      </c>
      <c r="R1158">
        <f>VLOOKUP($B1158&amp;R$1,Data!$A$2:$D$14000,4,FALSE)</f>
        <v>6.9999999999999999E-4</v>
      </c>
      <c r="S1158">
        <f>VLOOKUP($B1158&amp;S$1,Data!$A$2:$D$14000,4,FALSE)</f>
        <v>-8.0000000000000004E-4</v>
      </c>
      <c r="T1158">
        <f>VLOOKUP($B1158&amp;T$1,Data!$A$2:$D$14000,4,FALSE)</f>
        <v>2.3910000000000001E-2</v>
      </c>
      <c r="U1158">
        <f>VLOOKUP($B1158&amp;U$1,Data!$A$2:$D$14000,4,FALSE)</f>
        <v>7.0000000000000001E-3</v>
      </c>
      <c r="V1158">
        <f>VLOOKUP($B1158&amp;V$1,Data!$A$2:$D$14000,4,FALSE)</f>
        <v>0.28399999999999997</v>
      </c>
      <c r="W1158">
        <f>VLOOKUP($B1158&amp;W$1,Data!$A$2:$D$14000,4,FALSE)</f>
        <v>1.592E-2</v>
      </c>
      <c r="X1158">
        <f>VLOOKUP($B1158&amp;X$1,Data!$A$2:$D$14000,4,FALSE)</f>
        <v>0.32</v>
      </c>
      <c r="Y1158">
        <f>VLOOKUP($B1158&amp;Y$1,Data!$A$2:$D$14000,4,FALSE)</f>
        <v>0.68</v>
      </c>
      <c r="Z1158">
        <f>VLOOKUP($B1158&amp;Z$1,Data!$A$2:$D$14000,4,FALSE)</f>
        <v>0.89</v>
      </c>
      <c r="AA1158">
        <f>VLOOKUP($B1158&amp;AA$1,Data!$A$2:$D$14000,4,FALSE)</f>
        <v>1.7000000000000001E-2</v>
      </c>
      <c r="AB1158">
        <f>VLOOKUP($B1158&amp;AB$1,Data!$A$2:$D$14000,4,FALSE)</f>
        <v>1E-3</v>
      </c>
      <c r="AC1158">
        <f>VLOOKUP($B1158&amp;AC$1,Data!$A$2:$D$14000,4,FALSE)</f>
        <v>1.2999999999999999E-2</v>
      </c>
      <c r="AD1158">
        <f>VLOOKUP($B1158&amp;AD$1,Data!$A$2:$D$14000,4,FALSE)</f>
        <v>0</v>
      </c>
      <c r="AE1158">
        <f>VLOOKUP($B1158&amp;AE$1,Data!$A$2:$D$14000,4,FALSE)</f>
        <v>-0.49</v>
      </c>
      <c r="AF1158">
        <f>VLOOKUP($B1158&amp;AF$1,Data!$A$2:$D$14000,4,FALSE)</f>
        <v>6.8000000000000005E-2</v>
      </c>
      <c r="AG1158">
        <f>VLOOKUP($B1158&amp;AG$1,Data!$A$2:$D$14000,4,FALSE)</f>
        <v>22.686</v>
      </c>
      <c r="AH1158">
        <f>VLOOKUP($B1158&amp;AH$1,Data!$A$2:$D$14000,4,FALSE)</f>
        <v>0</v>
      </c>
      <c r="AI1158">
        <f>VLOOKUP($B1158&amp;AI$1,Data!$A$2:$D$14000,4,FALSE)</f>
        <v>6900000</v>
      </c>
    </row>
    <row r="1159" spans="1:35">
      <c r="A1159" s="7" t="s">
        <v>59</v>
      </c>
      <c r="B1159">
        <v>871.1</v>
      </c>
      <c r="C1159" s="13" t="s">
        <v>58</v>
      </c>
      <c r="D1159" t="s">
        <v>19</v>
      </c>
      <c r="E1159" t="s">
        <v>22</v>
      </c>
      <c r="F1159">
        <v>100</v>
      </c>
      <c r="G1159" t="s">
        <v>17</v>
      </c>
      <c r="H1159" s="5">
        <v>43831</v>
      </c>
      <c r="I1159" s="5">
        <v>44562</v>
      </c>
      <c r="J1159">
        <v>14</v>
      </c>
      <c r="K1159">
        <v>9</v>
      </c>
      <c r="L1159">
        <v>30</v>
      </c>
      <c r="M1159">
        <v>70</v>
      </c>
      <c r="N1159">
        <v>1000000</v>
      </c>
      <c r="O1159">
        <f>VLOOKUP($B1159&amp;O$1,Data!$A$2:$D$14000,4,FALSE)</f>
        <v>0.64078000000000002</v>
      </c>
      <c r="P1159" s="7">
        <f>VLOOKUP($B1159&amp;P$1,Data!$A$2:$D$14000,4,FALSE)</f>
        <v>1.3560000000000001</v>
      </c>
      <c r="Q1159">
        <f>VLOOKUP($B1159&amp;Q$1,Data!$A$2:$D$14000,4,FALSE)</f>
        <v>883</v>
      </c>
      <c r="R1159">
        <f>VLOOKUP($B1159&amp;R$1,Data!$A$2:$D$14000,4,FALSE)</f>
        <v>2.9999999999999997E-4</v>
      </c>
      <c r="S1159">
        <f>VLOOKUP($B1159&amp;S$1,Data!$A$2:$D$14000,4,FALSE)</f>
        <v>-4.0000000000000002E-4</v>
      </c>
      <c r="T1159">
        <f>VLOOKUP($B1159&amp;T$1,Data!$A$2:$D$14000,4,FALSE)</f>
        <v>1.915E-2</v>
      </c>
      <c r="U1159">
        <f>VLOOKUP($B1159&amp;U$1,Data!$A$2:$D$14000,4,FALSE)</f>
        <v>5.0000000000000001E-3</v>
      </c>
      <c r="V1159">
        <f>VLOOKUP($B1159&amp;V$1,Data!$A$2:$D$14000,4,FALSE)</f>
        <v>0.32300000000000001</v>
      </c>
      <c r="W1159">
        <f>VLOOKUP($B1159&amp;W$1,Data!$A$2:$D$14000,4,FALSE)</f>
        <v>1.2869999999999999E-2</v>
      </c>
      <c r="X1159">
        <f>VLOOKUP($B1159&amp;X$1,Data!$A$2:$D$14000,4,FALSE)</f>
        <v>0.25</v>
      </c>
      <c r="Y1159">
        <f>VLOOKUP($B1159&amp;Y$1,Data!$A$2:$D$14000,4,FALSE)</f>
        <v>0.75</v>
      </c>
      <c r="Z1159">
        <f>VLOOKUP($B1159&amp;Z$1,Data!$A$2:$D$14000,4,FALSE)</f>
        <v>0.76</v>
      </c>
      <c r="AA1159">
        <f>VLOOKUP($B1159&amp;AA$1,Data!$A$2:$D$14000,4,FALSE)</f>
        <v>1.4E-2</v>
      </c>
      <c r="AB1159">
        <f>VLOOKUP($B1159&amp;AB$1,Data!$A$2:$D$14000,4,FALSE)</f>
        <v>-1.0999999999999999E-2</v>
      </c>
      <c r="AC1159">
        <f>VLOOKUP($B1159&amp;AC$1,Data!$A$2:$D$14000,4,FALSE)</f>
        <v>0.01</v>
      </c>
      <c r="AD1159">
        <f>VLOOKUP($B1159&amp;AD$1,Data!$A$2:$D$14000,4,FALSE)</f>
        <v>0</v>
      </c>
      <c r="AE1159">
        <f>VLOOKUP($B1159&amp;AE$1,Data!$A$2:$D$14000,4,FALSE)</f>
        <v>-0.44</v>
      </c>
      <c r="AF1159">
        <f>VLOOKUP($B1159&amp;AF$1,Data!$A$2:$D$14000,4,FALSE)</f>
        <v>6.8000000000000005E-2</v>
      </c>
      <c r="AG1159">
        <f>VLOOKUP($B1159&amp;AG$1,Data!$A$2:$D$14000,4,FALSE)</f>
        <v>-1.1890000000000001</v>
      </c>
      <c r="AH1159">
        <f>VLOOKUP($B1159&amp;AH$1,Data!$A$2:$D$14000,4,FALSE)</f>
        <v>0</v>
      </c>
      <c r="AI1159">
        <f>VLOOKUP($B1159&amp;AI$1,Data!$A$2:$D$14000,4,FALSE)</f>
        <v>380000000</v>
      </c>
    </row>
    <row r="1160" spans="1:35" hidden="1">
      <c r="B1160" s="13">
        <v>2024</v>
      </c>
      <c r="C1160" s="13" t="s">
        <v>58</v>
      </c>
      <c r="D1160" t="s">
        <v>6</v>
      </c>
      <c r="E1160" t="s">
        <v>2</v>
      </c>
      <c r="F1160">
        <v>5000</v>
      </c>
      <c r="G1160" t="s">
        <v>17</v>
      </c>
      <c r="H1160" s="5">
        <v>43831</v>
      </c>
      <c r="I1160" s="5">
        <v>44562</v>
      </c>
      <c r="J1160">
        <v>14</v>
      </c>
      <c r="K1160">
        <v>9</v>
      </c>
      <c r="L1160">
        <v>30</v>
      </c>
      <c r="M1160">
        <v>70</v>
      </c>
      <c r="N1160">
        <v>1000000</v>
      </c>
      <c r="O1160">
        <f>VLOOKUP($B1160&amp;O$1,Data!$A$2:$D$14000,4,FALSE)</f>
        <v>0.48544999999999999</v>
      </c>
      <c r="P1160">
        <f>VLOOKUP($B1160&amp;P$1,Data!$A$2:$D$14000,4,FALSE)</f>
        <v>0.98199999999999998</v>
      </c>
      <c r="Q1160">
        <f>VLOOKUP($B1160&amp;Q$1,Data!$A$2:$D$14000,4,FALSE)</f>
        <v>514</v>
      </c>
      <c r="R1160">
        <f>VLOOKUP($B1160&amp;R$1,Data!$A$2:$D$14000,4,FALSE)</f>
        <v>2.3E-3</v>
      </c>
      <c r="S1160">
        <f>VLOOKUP($B1160&amp;S$1,Data!$A$2:$D$14000,4,FALSE)</f>
        <v>-2.7000000000000001E-3</v>
      </c>
      <c r="T1160">
        <f>VLOOKUP($B1160&amp;T$1,Data!$A$2:$D$14000,4,FALSE)</f>
        <v>5.364E-2</v>
      </c>
      <c r="U1160">
        <f>VLOOKUP($B1160&amp;U$1,Data!$A$2:$D$14000,4,FALSE)</f>
        <v>2.1000000000000001E-2</v>
      </c>
      <c r="V1160">
        <f>VLOOKUP($B1160&amp;V$1,Data!$A$2:$D$14000,4,FALSE)</f>
        <v>0.19500000000000001</v>
      </c>
      <c r="W1160">
        <f>VLOOKUP($B1160&amp;W$1,Data!$A$2:$D$14000,4,FALSE)</f>
        <v>3.5540000000000002E-2</v>
      </c>
      <c r="X1160">
        <f>VLOOKUP($B1160&amp;X$1,Data!$A$2:$D$14000,4,FALSE)</f>
        <v>0.35</v>
      </c>
      <c r="Y1160">
        <f>VLOOKUP($B1160&amp;Y$1,Data!$A$2:$D$14000,4,FALSE)</f>
        <v>0.65</v>
      </c>
      <c r="Z1160">
        <f>VLOOKUP($B1160&amp;Z$1,Data!$A$2:$D$14000,4,FALSE)</f>
        <v>0.85</v>
      </c>
      <c r="AA1160">
        <f>VLOOKUP($B1160&amp;AA$1,Data!$A$2:$D$14000,4,FALSE)</f>
        <v>3.5999999999999997E-2</v>
      </c>
      <c r="AB1160">
        <f>VLOOKUP($B1160&amp;AB$1,Data!$A$2:$D$14000,4,FALSE)</f>
        <v>3.1E-2</v>
      </c>
      <c r="AC1160">
        <f>VLOOKUP($B1160&amp;AC$1,Data!$A$2:$D$14000,4,FALSE)</f>
        <v>3.7999999999999999E-2</v>
      </c>
      <c r="AD1160">
        <f>VLOOKUP($B1160&amp;AD$1,Data!$A$2:$D$14000,4,FALSE)</f>
        <v>1E-3</v>
      </c>
      <c r="AE1160">
        <f>VLOOKUP($B1160&amp;AE$1,Data!$A$2:$D$14000,4,FALSE)</f>
        <v>-0.16500000000000001</v>
      </c>
      <c r="AF1160">
        <f>VLOOKUP($B1160&amp;AF$1,Data!$A$2:$D$14000,4,FALSE)</f>
        <v>7.4999999999999997E-2</v>
      </c>
      <c r="AG1160">
        <f>VLOOKUP($B1160&amp;AG$1,Data!$A$2:$D$14000,4,FALSE)</f>
        <v>1.2</v>
      </c>
      <c r="AH1160">
        <f>VLOOKUP($B1160&amp;AH$1,Data!$A$2:$D$14000,4,FALSE)</f>
        <v>0</v>
      </c>
      <c r="AI1160">
        <f>VLOOKUP($B1160&amp;AI$1,Data!$A$2:$D$14000,4,FALSE)</f>
        <v>7000000</v>
      </c>
    </row>
    <row r="1161" spans="1:35" hidden="1">
      <c r="B1161" s="13">
        <v>2025</v>
      </c>
      <c r="C1161" s="13" t="s">
        <v>58</v>
      </c>
      <c r="D1161" t="s">
        <v>6</v>
      </c>
      <c r="E1161" t="s">
        <v>22</v>
      </c>
      <c r="F1161">
        <v>100</v>
      </c>
      <c r="G1161" t="s">
        <v>17</v>
      </c>
      <c r="H1161" s="5">
        <v>43831</v>
      </c>
      <c r="I1161" s="5">
        <v>44562</v>
      </c>
      <c r="J1161">
        <v>14</v>
      </c>
      <c r="K1161">
        <v>9</v>
      </c>
      <c r="L1161">
        <v>30</v>
      </c>
      <c r="M1161">
        <v>70</v>
      </c>
      <c r="N1161">
        <v>1000000</v>
      </c>
      <c r="O1161">
        <f>VLOOKUP($B1161&amp;O$1,Data!$A$2:$D$14000,4,FALSE)</f>
        <v>0.14868000000000001</v>
      </c>
      <c r="P1161">
        <f>VLOOKUP($B1161&amp;P$1,Data!$A$2:$D$14000,4,FALSE)</f>
        <v>-5.5E-2</v>
      </c>
      <c r="Q1161">
        <f>VLOOKUP($B1161&amp;Q$1,Data!$A$2:$D$14000,4,FALSE)</f>
        <v>728</v>
      </c>
      <c r="R1161">
        <f>VLOOKUP($B1161&amp;R$1,Data!$A$2:$D$14000,4,FALSE)</f>
        <v>8.0000000000000004E-4</v>
      </c>
      <c r="S1161">
        <f>VLOOKUP($B1161&amp;S$1,Data!$A$2:$D$14000,4,FALSE)</f>
        <v>-1.4E-3</v>
      </c>
      <c r="T1161">
        <f>VLOOKUP($B1161&amp;T$1,Data!$A$2:$D$14000,4,FALSE)</f>
        <v>-1.7899999999999999E-3</v>
      </c>
      <c r="U1161">
        <f>VLOOKUP($B1161&amp;U$1,Data!$A$2:$D$14000,4,FALSE)</f>
        <v>1.7000000000000001E-2</v>
      </c>
      <c r="V1161">
        <f>VLOOKUP($B1161&amp;V$1,Data!$A$2:$D$14000,4,FALSE)</f>
        <v>-2.3E-2</v>
      </c>
      <c r="W1161">
        <f>VLOOKUP($B1161&amp;W$1,Data!$A$2:$D$14000,4,FALSE)</f>
        <v>-1.1999999999999999E-3</v>
      </c>
      <c r="X1161">
        <f>VLOOKUP($B1161&amp;X$1,Data!$A$2:$D$14000,4,FALSE)</f>
        <v>0.37</v>
      </c>
      <c r="Y1161">
        <f>VLOOKUP($B1161&amp;Y$1,Data!$A$2:$D$14000,4,FALSE)</f>
        <v>0.63</v>
      </c>
      <c r="Z1161">
        <f>VLOOKUP($B1161&amp;Z$1,Data!$A$2:$D$14000,4,FALSE)</f>
        <v>0.55000000000000004</v>
      </c>
      <c r="AA1161">
        <f>VLOOKUP($B1161&amp;AA$1,Data!$A$2:$D$14000,4,FALSE)</f>
        <v>-2E-3</v>
      </c>
      <c r="AB1161">
        <f>VLOOKUP($B1161&amp;AB$1,Data!$A$2:$D$14000,4,FALSE)</f>
        <v>2.9000000000000001E-2</v>
      </c>
      <c r="AC1161">
        <f>VLOOKUP($B1161&amp;AC$1,Data!$A$2:$D$14000,4,FALSE)</f>
        <v>1.9E-2</v>
      </c>
      <c r="AD1161">
        <f>VLOOKUP($B1161&amp;AD$1,Data!$A$2:$D$14000,4,FALSE)</f>
        <v>0</v>
      </c>
      <c r="AE1161">
        <f>VLOOKUP($B1161&amp;AE$1,Data!$A$2:$D$14000,4,FALSE)</f>
        <v>-0.73699999999999999</v>
      </c>
      <c r="AF1161">
        <f>VLOOKUP($B1161&amp;AF$1,Data!$A$2:$D$14000,4,FALSE)</f>
        <v>6.8000000000000005E-2</v>
      </c>
      <c r="AG1161">
        <f>VLOOKUP($B1161&amp;AG$1,Data!$A$2:$D$14000,4,FALSE)</f>
        <v>-3.5999999999999997E-2</v>
      </c>
      <c r="AH1161">
        <f>VLOOKUP($B1161&amp;AH$1,Data!$A$2:$D$14000,4,FALSE)</f>
        <v>0</v>
      </c>
      <c r="AI1161">
        <f>VLOOKUP($B1161&amp;AI$1,Data!$A$2:$D$14000,4,FALSE)</f>
        <v>720000000</v>
      </c>
    </row>
    <row r="1162" spans="1:35" hidden="1">
      <c r="B1162" s="13">
        <v>2026</v>
      </c>
      <c r="C1162" s="13" t="s">
        <v>58</v>
      </c>
      <c r="D1162" t="s">
        <v>6</v>
      </c>
      <c r="E1162" t="s">
        <v>22</v>
      </c>
      <c r="F1162">
        <v>1000</v>
      </c>
      <c r="G1162" t="s">
        <v>17</v>
      </c>
      <c r="H1162" s="5">
        <v>43831</v>
      </c>
      <c r="I1162" s="5">
        <v>44562</v>
      </c>
      <c r="J1162">
        <v>14</v>
      </c>
      <c r="K1162">
        <v>9</v>
      </c>
      <c r="L1162">
        <v>30</v>
      </c>
      <c r="M1162">
        <v>70</v>
      </c>
      <c r="N1162">
        <v>1000000</v>
      </c>
      <c r="O1162">
        <f>VLOOKUP($B1162&amp;O$1,Data!$A$2:$D$14000,4,FALSE)</f>
        <v>0.26145000000000002</v>
      </c>
      <c r="P1162">
        <f>VLOOKUP($B1162&amp;P$1,Data!$A$2:$D$14000,4,FALSE)</f>
        <v>0.32900000000000001</v>
      </c>
      <c r="Q1162">
        <f>VLOOKUP($B1162&amp;Q$1,Data!$A$2:$D$14000,4,FALSE)</f>
        <v>542</v>
      </c>
      <c r="R1162">
        <f>VLOOKUP($B1162&amp;R$1,Data!$A$2:$D$14000,4,FALSE)</f>
        <v>2.0999999999999999E-3</v>
      </c>
      <c r="S1162">
        <f>VLOOKUP($B1162&amp;S$1,Data!$A$2:$D$14000,4,FALSE)</f>
        <v>-4.1000000000000003E-3</v>
      </c>
      <c r="T1162">
        <f>VLOOKUP($B1162&amp;T$1,Data!$A$2:$D$14000,4,FALSE)</f>
        <v>1.7610000000000001E-2</v>
      </c>
      <c r="U1162">
        <f>VLOOKUP($B1162&amp;U$1,Data!$A$2:$D$14000,4,FALSE)</f>
        <v>2.8000000000000001E-2</v>
      </c>
      <c r="V1162">
        <f>VLOOKUP($B1162&amp;V$1,Data!$A$2:$D$14000,4,FALSE)</f>
        <v>5.3999999999999999E-2</v>
      </c>
      <c r="W1162">
        <f>VLOOKUP($B1162&amp;W$1,Data!$A$2:$D$14000,4,FALSE)</f>
        <v>1.174E-2</v>
      </c>
      <c r="X1162">
        <f>VLOOKUP($B1162&amp;X$1,Data!$A$2:$D$14000,4,FALSE)</f>
        <v>0.31</v>
      </c>
      <c r="Y1162">
        <f>VLOOKUP($B1162&amp;Y$1,Data!$A$2:$D$14000,4,FALSE)</f>
        <v>0.69</v>
      </c>
      <c r="Z1162">
        <f>VLOOKUP($B1162&amp;Z$1,Data!$A$2:$D$14000,4,FALSE)</f>
        <v>0.53</v>
      </c>
      <c r="AA1162">
        <f>VLOOKUP($B1162&amp;AA$1,Data!$A$2:$D$14000,4,FALSE)</f>
        <v>0.01</v>
      </c>
      <c r="AB1162">
        <f>VLOOKUP($B1162&amp;AB$1,Data!$A$2:$D$14000,4,FALSE)</f>
        <v>6.7000000000000004E-2</v>
      </c>
      <c r="AC1162">
        <f>VLOOKUP($B1162&amp;AC$1,Data!$A$2:$D$14000,4,FALSE)</f>
        <v>3.9E-2</v>
      </c>
      <c r="AD1162">
        <f>VLOOKUP($B1162&amp;AD$1,Data!$A$2:$D$14000,4,FALSE)</f>
        <v>2E-3</v>
      </c>
      <c r="AE1162">
        <f>VLOOKUP($B1162&amp;AE$1,Data!$A$2:$D$14000,4,FALSE)</f>
        <v>-0.503</v>
      </c>
      <c r="AF1162">
        <f>VLOOKUP($B1162&amp;AF$1,Data!$A$2:$D$14000,4,FALSE)</f>
        <v>7.3999999999999996E-2</v>
      </c>
      <c r="AG1162">
        <f>VLOOKUP($B1162&amp;AG$1,Data!$A$2:$D$14000,4,FALSE)</f>
        <v>0.192</v>
      </c>
      <c r="AH1162">
        <f>VLOOKUP($B1162&amp;AH$1,Data!$A$2:$D$14000,4,FALSE)</f>
        <v>0</v>
      </c>
      <c r="AI1162">
        <f>VLOOKUP($B1162&amp;AI$1,Data!$A$2:$D$14000,4,FALSE)</f>
        <v>83000000</v>
      </c>
    </row>
    <row r="1163" spans="1:35" hidden="1">
      <c r="B1163" s="13">
        <v>2027</v>
      </c>
      <c r="C1163" s="13" t="s">
        <v>58</v>
      </c>
      <c r="D1163" t="s">
        <v>6</v>
      </c>
      <c r="E1163" t="s">
        <v>22</v>
      </c>
      <c r="F1163">
        <v>5000</v>
      </c>
      <c r="G1163" t="s">
        <v>17</v>
      </c>
      <c r="H1163" s="5">
        <v>43831</v>
      </c>
      <c r="I1163" s="5">
        <v>44562</v>
      </c>
      <c r="J1163">
        <v>14</v>
      </c>
      <c r="K1163">
        <v>9</v>
      </c>
      <c r="L1163">
        <v>30</v>
      </c>
      <c r="M1163">
        <v>70</v>
      </c>
      <c r="N1163">
        <v>1000000</v>
      </c>
      <c r="O1163">
        <f>VLOOKUP($B1163&amp;O$1,Data!$A$2:$D$14000,4,FALSE)</f>
        <v>0.22844</v>
      </c>
      <c r="P1163">
        <f>VLOOKUP($B1163&amp;P$1,Data!$A$2:$D$14000,4,FALSE)</f>
        <v>0.22800000000000001</v>
      </c>
      <c r="Q1163">
        <f>VLOOKUP($B1163&amp;Q$1,Data!$A$2:$D$14000,4,FALSE)</f>
        <v>402</v>
      </c>
      <c r="R1163">
        <f>VLOOKUP($B1163&amp;R$1,Data!$A$2:$D$14000,4,FALSE)</f>
        <v>2.7000000000000001E-3</v>
      </c>
      <c r="S1163">
        <f>VLOOKUP($B1163&amp;S$1,Data!$A$2:$D$14000,4,FALSE)</f>
        <v>-5.4999999999999997E-3</v>
      </c>
      <c r="T1163">
        <f>VLOOKUP($B1163&amp;T$1,Data!$A$2:$D$14000,4,FALSE)</f>
        <v>1.3599999999999999E-2</v>
      </c>
      <c r="U1163">
        <f>VLOOKUP($B1163&amp;U$1,Data!$A$2:$D$14000,4,FALSE)</f>
        <v>3.5000000000000003E-2</v>
      </c>
      <c r="V1163">
        <f>VLOOKUP($B1163&amp;V$1,Data!$A$2:$D$14000,4,FALSE)</f>
        <v>3.1E-2</v>
      </c>
      <c r="W1163">
        <f>VLOOKUP($B1163&amp;W$1,Data!$A$2:$D$14000,4,FALSE)</f>
        <v>9.0699999999999999E-3</v>
      </c>
      <c r="X1163">
        <f>VLOOKUP($B1163&amp;X$1,Data!$A$2:$D$14000,4,FALSE)</f>
        <v>0.31</v>
      </c>
      <c r="Y1163">
        <f>VLOOKUP($B1163&amp;Y$1,Data!$A$2:$D$14000,4,FALSE)</f>
        <v>0.69</v>
      </c>
      <c r="Z1163">
        <f>VLOOKUP($B1163&amp;Z$1,Data!$A$2:$D$14000,4,FALSE)</f>
        <v>0.49</v>
      </c>
      <c r="AA1163">
        <f>VLOOKUP($B1163&amp;AA$1,Data!$A$2:$D$14000,4,FALSE)</f>
        <v>6.0000000000000001E-3</v>
      </c>
      <c r="AB1163">
        <f>VLOOKUP($B1163&amp;AB$1,Data!$A$2:$D$14000,4,FALSE)</f>
        <v>8.5000000000000006E-2</v>
      </c>
      <c r="AC1163">
        <f>VLOOKUP($B1163&amp;AC$1,Data!$A$2:$D$14000,4,FALSE)</f>
        <v>4.5999999999999999E-2</v>
      </c>
      <c r="AD1163">
        <f>VLOOKUP($B1163&amp;AD$1,Data!$A$2:$D$14000,4,FALSE)</f>
        <v>2E-3</v>
      </c>
      <c r="AE1163">
        <f>VLOOKUP($B1163&amp;AE$1,Data!$A$2:$D$14000,4,FALSE)</f>
        <v>-0.51800000000000002</v>
      </c>
      <c r="AF1163">
        <f>VLOOKUP($B1163&amp;AF$1,Data!$A$2:$D$14000,4,FALSE)</f>
        <v>7.6999999999999999E-2</v>
      </c>
      <c r="AG1163">
        <f>VLOOKUP($B1163&amp;AG$1,Data!$A$2:$D$14000,4,FALSE)</f>
        <v>0.123</v>
      </c>
      <c r="AH1163">
        <f>VLOOKUP($B1163&amp;AH$1,Data!$A$2:$D$14000,4,FALSE)</f>
        <v>0</v>
      </c>
      <c r="AI1163">
        <f>VLOOKUP($B1163&amp;AI$1,Data!$A$2:$D$14000,4,FALSE)</f>
        <v>20000000</v>
      </c>
    </row>
    <row r="1164" spans="1:35" hidden="1">
      <c r="B1164" s="13">
        <v>2028</v>
      </c>
      <c r="C1164" s="13" t="s">
        <v>58</v>
      </c>
      <c r="D1164" t="s">
        <v>7</v>
      </c>
      <c r="E1164" t="s">
        <v>3</v>
      </c>
      <c r="F1164">
        <v>100</v>
      </c>
      <c r="G1164" t="s">
        <v>17</v>
      </c>
      <c r="H1164" s="5">
        <v>43831</v>
      </c>
      <c r="I1164" s="5">
        <v>44562</v>
      </c>
      <c r="J1164">
        <v>14</v>
      </c>
      <c r="K1164">
        <v>9</v>
      </c>
      <c r="L1164">
        <v>30</v>
      </c>
      <c r="M1164">
        <v>70</v>
      </c>
      <c r="N1164">
        <v>1000000</v>
      </c>
      <c r="O1164">
        <f>VLOOKUP($B1164&amp;O$1,Data!$A$2:$D$14000,4,FALSE)</f>
        <v>0.2757</v>
      </c>
      <c r="P1164">
        <f>VLOOKUP($B1164&amp;P$1,Data!$A$2:$D$14000,4,FALSE)</f>
        <v>0.39200000000000002</v>
      </c>
      <c r="Q1164">
        <f>VLOOKUP($B1164&amp;Q$1,Data!$A$2:$D$14000,4,FALSE)</f>
        <v>1576</v>
      </c>
      <c r="R1164">
        <f>VLOOKUP($B1164&amp;R$1,Data!$A$2:$D$14000,4,FALSE)</f>
        <v>5.0000000000000001E-4</v>
      </c>
      <c r="S1164">
        <f>VLOOKUP($B1164&amp;S$1,Data!$A$2:$D$14000,4,FALSE)</f>
        <v>-8.0000000000000004E-4</v>
      </c>
      <c r="T1164">
        <f>VLOOKUP($B1164&amp;T$1,Data!$A$2:$D$14000,4,FALSE)</f>
        <v>7.0899999999999999E-3</v>
      </c>
      <c r="U1164">
        <f>VLOOKUP($B1164&amp;U$1,Data!$A$2:$D$14000,4,FALSE)</f>
        <v>1.2999999999999999E-2</v>
      </c>
      <c r="V1164">
        <f>VLOOKUP($B1164&amp;V$1,Data!$A$2:$D$14000,4,FALSE)</f>
        <v>5.1999999999999998E-2</v>
      </c>
      <c r="W1164">
        <f>VLOOKUP($B1164&amp;W$1,Data!$A$2:$D$14000,4,FALSE)</f>
        <v>4.7299999999999998E-3</v>
      </c>
      <c r="X1164">
        <f>VLOOKUP($B1164&amp;X$1,Data!$A$2:$D$14000,4,FALSE)</f>
        <v>0.35</v>
      </c>
      <c r="Y1164">
        <f>VLOOKUP($B1164&amp;Y$1,Data!$A$2:$D$14000,4,FALSE)</f>
        <v>0.65</v>
      </c>
      <c r="Z1164">
        <f>VLOOKUP($B1164&amp;Z$1,Data!$A$2:$D$14000,4,FALSE)</f>
        <v>0.62</v>
      </c>
      <c r="AA1164">
        <f>VLOOKUP($B1164&amp;AA$1,Data!$A$2:$D$14000,4,FALSE)</f>
        <v>4.0000000000000001E-3</v>
      </c>
      <c r="AB1164">
        <f>VLOOKUP($B1164&amp;AB$1,Data!$A$2:$D$14000,4,FALSE)</f>
        <v>1.7999999999999999E-2</v>
      </c>
      <c r="AC1164">
        <f>VLOOKUP($B1164&amp;AC$1,Data!$A$2:$D$14000,4,FALSE)</f>
        <v>1.2999999999999999E-2</v>
      </c>
      <c r="AD1164">
        <f>VLOOKUP($B1164&amp;AD$1,Data!$A$2:$D$14000,4,FALSE)</f>
        <v>0</v>
      </c>
      <c r="AE1164">
        <f>VLOOKUP($B1164&amp;AE$1,Data!$A$2:$D$14000,4,FALSE)</f>
        <v>-0.65600000000000003</v>
      </c>
      <c r="AF1164">
        <f>VLOOKUP($B1164&amp;AF$1,Data!$A$2:$D$14000,4,FALSE)</f>
        <v>6.7000000000000004E-2</v>
      </c>
      <c r="AG1164">
        <f>VLOOKUP($B1164&amp;AG$1,Data!$A$2:$D$14000,4,FALSE)</f>
        <v>0.28100000000000003</v>
      </c>
      <c r="AH1164">
        <f>VLOOKUP($B1164&amp;AH$1,Data!$A$2:$D$14000,4,FALSE)</f>
        <v>0</v>
      </c>
      <c r="AI1164">
        <f>VLOOKUP($B1164&amp;AI$1,Data!$A$2:$D$14000,4,FALSE)</f>
        <v>5700000</v>
      </c>
    </row>
    <row r="1165" spans="1:35" hidden="1">
      <c r="B1165" s="13">
        <v>2029</v>
      </c>
      <c r="C1165" s="13" t="s">
        <v>58</v>
      </c>
      <c r="D1165" t="s">
        <v>7</v>
      </c>
      <c r="E1165" t="s">
        <v>3</v>
      </c>
      <c r="F1165">
        <v>1000</v>
      </c>
      <c r="G1165" t="s">
        <v>17</v>
      </c>
      <c r="H1165" s="5">
        <v>43831</v>
      </c>
      <c r="I1165" s="5">
        <v>44562</v>
      </c>
      <c r="J1165">
        <v>14</v>
      </c>
      <c r="K1165">
        <v>9</v>
      </c>
      <c r="L1165">
        <v>30</v>
      </c>
      <c r="M1165">
        <v>70</v>
      </c>
      <c r="N1165">
        <v>1000000</v>
      </c>
      <c r="O1165">
        <f>VLOOKUP($B1165&amp;O$1,Data!$A$2:$D$14000,4,FALSE)</f>
        <v>0.17888000000000001</v>
      </c>
      <c r="P1165">
        <f>VLOOKUP($B1165&amp;P$1,Data!$A$2:$D$14000,4,FALSE)</f>
        <v>6.2E-2</v>
      </c>
      <c r="Q1165">
        <f>VLOOKUP($B1165&amp;Q$1,Data!$A$2:$D$14000,4,FALSE)</f>
        <v>1182</v>
      </c>
      <c r="R1165">
        <f>VLOOKUP($B1165&amp;R$1,Data!$A$2:$D$14000,4,FALSE)</f>
        <v>1.5E-3</v>
      </c>
      <c r="S1165">
        <f>VLOOKUP($B1165&amp;S$1,Data!$A$2:$D$14000,4,FALSE)</f>
        <v>-2.3E-3</v>
      </c>
      <c r="T1165">
        <f>VLOOKUP($B1165&amp;T$1,Data!$A$2:$D$14000,4,FALSE)</f>
        <v>1.98E-3</v>
      </c>
      <c r="U1165">
        <f>VLOOKUP($B1165&amp;U$1,Data!$A$2:$D$14000,4,FALSE)</f>
        <v>3.7999999999999999E-2</v>
      </c>
      <c r="V1165">
        <f>VLOOKUP($B1165&amp;V$1,Data!$A$2:$D$14000,4,FALSE)</f>
        <v>7.0000000000000001E-3</v>
      </c>
      <c r="W1165">
        <f>VLOOKUP($B1165&amp;W$1,Data!$A$2:$D$14000,4,FALSE)</f>
        <v>1.32E-3</v>
      </c>
      <c r="X1165">
        <f>VLOOKUP($B1165&amp;X$1,Data!$A$2:$D$14000,4,FALSE)</f>
        <v>0.39</v>
      </c>
      <c r="Y1165">
        <f>VLOOKUP($B1165&amp;Y$1,Data!$A$2:$D$14000,4,FALSE)</f>
        <v>0.61</v>
      </c>
      <c r="Z1165">
        <f>VLOOKUP($B1165&amp;Z$1,Data!$A$2:$D$14000,4,FALSE)</f>
        <v>0.64</v>
      </c>
      <c r="AA1165">
        <f>VLOOKUP($B1165&amp;AA$1,Data!$A$2:$D$14000,4,FALSE)</f>
        <v>-2E-3</v>
      </c>
      <c r="AB1165">
        <f>VLOOKUP($B1165&amp;AB$1,Data!$A$2:$D$14000,4,FALSE)</f>
        <v>7.1999999999999995E-2</v>
      </c>
      <c r="AC1165">
        <f>VLOOKUP($B1165&amp;AC$1,Data!$A$2:$D$14000,4,FALSE)</f>
        <v>2.9000000000000001E-2</v>
      </c>
      <c r="AD1165">
        <f>VLOOKUP($B1165&amp;AD$1,Data!$A$2:$D$14000,4,FALSE)</f>
        <v>1E-3</v>
      </c>
      <c r="AE1165">
        <f>VLOOKUP($B1165&amp;AE$1,Data!$A$2:$D$14000,4,FALSE)</f>
        <v>-0.70499999999999996</v>
      </c>
      <c r="AF1165">
        <f>VLOOKUP($B1165&amp;AF$1,Data!$A$2:$D$14000,4,FALSE)</f>
        <v>6.9000000000000006E-2</v>
      </c>
      <c r="AG1165">
        <f>VLOOKUP($B1165&amp;AG$1,Data!$A$2:$D$14000,4,FALSE)</f>
        <v>2.5000000000000001E-2</v>
      </c>
      <c r="AH1165">
        <f>VLOOKUP($B1165&amp;AH$1,Data!$A$2:$D$14000,4,FALSE)</f>
        <v>0</v>
      </c>
      <c r="AI1165">
        <f>VLOOKUP($B1165&amp;AI$1,Data!$A$2:$D$14000,4,FALSE)</f>
        <v>6100000</v>
      </c>
    </row>
    <row r="1166" spans="1:35" hidden="1">
      <c r="B1166" s="13">
        <v>2030</v>
      </c>
      <c r="C1166" s="13" t="s">
        <v>58</v>
      </c>
      <c r="D1166" t="s">
        <v>7</v>
      </c>
      <c r="E1166" t="s">
        <v>3</v>
      </c>
      <c r="F1166">
        <v>5000</v>
      </c>
      <c r="G1166" t="s">
        <v>17</v>
      </c>
      <c r="H1166" s="5">
        <v>43831</v>
      </c>
      <c r="I1166" s="5">
        <v>44562</v>
      </c>
      <c r="J1166">
        <v>14</v>
      </c>
      <c r="K1166">
        <v>9</v>
      </c>
      <c r="L1166">
        <v>30</v>
      </c>
      <c r="M1166">
        <v>70</v>
      </c>
      <c r="N1166">
        <v>1000000</v>
      </c>
      <c r="O1166">
        <f>VLOOKUP($B1166&amp;O$1,Data!$A$2:$D$14000,4,FALSE)</f>
        <v>4.2349999999999999E-2</v>
      </c>
      <c r="P1166">
        <f>VLOOKUP($B1166&amp;P$1,Data!$A$2:$D$14000,4,FALSE)</f>
        <v>-0.71</v>
      </c>
      <c r="Q1166">
        <f>VLOOKUP($B1166&amp;Q$1,Data!$A$2:$D$14000,4,FALSE)</f>
        <v>855</v>
      </c>
      <c r="R1166">
        <f>VLOOKUP($B1166&amp;R$1,Data!$A$2:$D$14000,4,FALSE)</f>
        <v>1.8E-3</v>
      </c>
      <c r="S1166">
        <f>VLOOKUP($B1166&amp;S$1,Data!$A$2:$D$14000,4,FALSE)</f>
        <v>-3.5000000000000001E-3</v>
      </c>
      <c r="T1166">
        <f>VLOOKUP($B1166&amp;T$1,Data!$A$2:$D$14000,4,FALSE)</f>
        <v>-3.737E-2</v>
      </c>
      <c r="U1166">
        <f>VLOOKUP($B1166&amp;U$1,Data!$A$2:$D$14000,4,FALSE)</f>
        <v>5.6000000000000001E-2</v>
      </c>
      <c r="V1166">
        <f>VLOOKUP($B1166&amp;V$1,Data!$A$2:$D$14000,4,FALSE)</f>
        <v>-7.3999999999999996E-2</v>
      </c>
      <c r="W1166">
        <f>VLOOKUP($B1166&amp;W$1,Data!$A$2:$D$14000,4,FALSE)</f>
        <v>-2.5139999999999999E-2</v>
      </c>
      <c r="X1166">
        <f>VLOOKUP($B1166&amp;X$1,Data!$A$2:$D$14000,4,FALSE)</f>
        <v>0.39</v>
      </c>
      <c r="Y1166">
        <f>VLOOKUP($B1166&amp;Y$1,Data!$A$2:$D$14000,4,FALSE)</f>
        <v>0.61</v>
      </c>
      <c r="Z1166">
        <f>VLOOKUP($B1166&amp;Z$1,Data!$A$2:$D$14000,4,FALSE)</f>
        <v>0.51</v>
      </c>
      <c r="AA1166">
        <f>VLOOKUP($B1166&amp;AA$1,Data!$A$2:$D$14000,4,FALSE)</f>
        <v>-3.3000000000000002E-2</v>
      </c>
      <c r="AB1166">
        <f>VLOOKUP($B1166&amp;AB$1,Data!$A$2:$D$14000,4,FALSE)</f>
        <v>0.153</v>
      </c>
      <c r="AC1166">
        <f>VLOOKUP($B1166&amp;AC$1,Data!$A$2:$D$14000,4,FALSE)</f>
        <v>3.5999999999999997E-2</v>
      </c>
      <c r="AD1166">
        <f>VLOOKUP($B1166&amp;AD$1,Data!$A$2:$D$14000,4,FALSE)</f>
        <v>1E-3</v>
      </c>
      <c r="AE1166">
        <f>VLOOKUP($B1166&amp;AE$1,Data!$A$2:$D$14000,4,FALSE)</f>
        <v>-1.1359999999999999</v>
      </c>
      <c r="AF1166">
        <f>VLOOKUP($B1166&amp;AF$1,Data!$A$2:$D$14000,4,FALSE)</f>
        <v>6.6000000000000003E-2</v>
      </c>
      <c r="AG1166">
        <f>VLOOKUP($B1166&amp;AG$1,Data!$A$2:$D$14000,4,FALSE)</f>
        <v>-0.16700000000000001</v>
      </c>
      <c r="AH1166">
        <f>VLOOKUP($B1166&amp;AH$1,Data!$A$2:$D$14000,4,FALSE)</f>
        <v>0</v>
      </c>
      <c r="AI1166">
        <f>VLOOKUP($B1166&amp;AI$1,Data!$A$2:$D$14000,4,FALSE)</f>
        <v>6300000</v>
      </c>
    </row>
    <row r="1167" spans="1:35" hidden="1">
      <c r="B1167" s="13">
        <v>2031</v>
      </c>
      <c r="C1167" s="13" t="s">
        <v>58</v>
      </c>
      <c r="D1167" t="s">
        <v>7</v>
      </c>
      <c r="E1167" t="s">
        <v>2</v>
      </c>
      <c r="F1167">
        <v>100</v>
      </c>
      <c r="G1167" t="s">
        <v>17</v>
      </c>
      <c r="H1167" s="5">
        <v>43831</v>
      </c>
      <c r="I1167" s="5">
        <v>44562</v>
      </c>
      <c r="J1167">
        <v>14</v>
      </c>
      <c r="K1167">
        <v>9</v>
      </c>
      <c r="L1167">
        <v>30</v>
      </c>
      <c r="M1167">
        <v>70</v>
      </c>
      <c r="N1167">
        <v>1000000</v>
      </c>
      <c r="O1167">
        <f>VLOOKUP($B1167&amp;O$1,Data!$A$2:$D$14000,4,FALSE)</f>
        <v>1.7420000000000001E-2</v>
      </c>
      <c r="P1167">
        <f>VLOOKUP($B1167&amp;P$1,Data!$A$2:$D$14000,4,FALSE)</f>
        <v>-1.19</v>
      </c>
      <c r="Q1167">
        <f>VLOOKUP($B1167&amp;Q$1,Data!$A$2:$D$14000,4,FALSE)</f>
        <v>1009</v>
      </c>
      <c r="R1167">
        <f>VLOOKUP($B1167&amp;R$1,Data!$A$2:$D$14000,4,FALSE)</f>
        <v>5.0000000000000001E-4</v>
      </c>
      <c r="S1167">
        <f>VLOOKUP($B1167&amp;S$1,Data!$A$2:$D$14000,4,FALSE)</f>
        <v>-1E-3</v>
      </c>
      <c r="T1167">
        <f>VLOOKUP($B1167&amp;T$1,Data!$A$2:$D$14000,4,FALSE)</f>
        <v>-2.2380000000000001E-2</v>
      </c>
      <c r="U1167">
        <f>VLOOKUP($B1167&amp;U$1,Data!$A$2:$D$14000,4,FALSE)</f>
        <v>0.02</v>
      </c>
      <c r="V1167">
        <f>VLOOKUP($B1167&amp;V$1,Data!$A$2:$D$14000,4,FALSE)</f>
        <v>-0.193</v>
      </c>
      <c r="W1167">
        <f>VLOOKUP($B1167&amp;W$1,Data!$A$2:$D$14000,4,FALSE)</f>
        <v>-1.5010000000000001E-2</v>
      </c>
      <c r="X1167">
        <f>VLOOKUP($B1167&amp;X$1,Data!$A$2:$D$14000,4,FALSE)</f>
        <v>0.46</v>
      </c>
      <c r="Y1167">
        <f>VLOOKUP($B1167&amp;Y$1,Data!$A$2:$D$14000,4,FALSE)</f>
        <v>0.54</v>
      </c>
      <c r="Z1167">
        <f>VLOOKUP($B1167&amp;Z$1,Data!$A$2:$D$14000,4,FALSE)</f>
        <v>0.49</v>
      </c>
      <c r="AA1167">
        <f>VLOOKUP($B1167&amp;AA$1,Data!$A$2:$D$14000,4,FALSE)</f>
        <v>-1.7000000000000001E-2</v>
      </c>
      <c r="AB1167">
        <f>VLOOKUP($B1167&amp;AB$1,Data!$A$2:$D$14000,4,FALSE)</f>
        <v>0.04</v>
      </c>
      <c r="AC1167">
        <f>VLOOKUP($B1167&amp;AC$1,Data!$A$2:$D$14000,4,FALSE)</f>
        <v>1.2999999999999999E-2</v>
      </c>
      <c r="AD1167">
        <f>VLOOKUP($B1167&amp;AD$1,Data!$A$2:$D$14000,4,FALSE)</f>
        <v>0</v>
      </c>
      <c r="AE1167">
        <f>VLOOKUP($B1167&amp;AE$1,Data!$A$2:$D$14000,4,FALSE)</f>
        <v>-0.998</v>
      </c>
      <c r="AF1167">
        <f>VLOOKUP($B1167&amp;AF$1,Data!$A$2:$D$14000,4,FALSE)</f>
        <v>6.6000000000000003E-2</v>
      </c>
      <c r="AG1167">
        <f>VLOOKUP($B1167&amp;AG$1,Data!$A$2:$D$14000,4,FALSE)</f>
        <v>-0.38600000000000001</v>
      </c>
      <c r="AH1167">
        <f>VLOOKUP($B1167&amp;AH$1,Data!$A$2:$D$14000,4,FALSE)</f>
        <v>0</v>
      </c>
      <c r="AI1167">
        <f>VLOOKUP($B1167&amp;AI$1,Data!$A$2:$D$14000,4,FALSE)</f>
        <v>20000000000</v>
      </c>
    </row>
    <row r="1168" spans="1:35" hidden="1">
      <c r="B1168" s="13">
        <v>2032</v>
      </c>
      <c r="C1168" s="13" t="s">
        <v>58</v>
      </c>
      <c r="D1168" t="s">
        <v>7</v>
      </c>
      <c r="E1168" t="s">
        <v>2</v>
      </c>
      <c r="F1168">
        <v>1000</v>
      </c>
      <c r="G1168" t="s">
        <v>17</v>
      </c>
      <c r="H1168" s="5">
        <v>43831</v>
      </c>
      <c r="I1168" s="5">
        <v>44562</v>
      </c>
      <c r="J1168">
        <v>14</v>
      </c>
      <c r="K1168">
        <v>9</v>
      </c>
      <c r="L1168">
        <v>30</v>
      </c>
      <c r="M1168">
        <v>70</v>
      </c>
      <c r="N1168">
        <v>1000000</v>
      </c>
      <c r="O1168">
        <f>VLOOKUP($B1168&amp;O$1,Data!$A$2:$D$14000,4,FALSE)</f>
        <v>2.811E-2</v>
      </c>
      <c r="P1168">
        <f>VLOOKUP($B1168&amp;P$1,Data!$A$2:$D$14000,4,FALSE)</f>
        <v>-0.93400000000000005</v>
      </c>
      <c r="Q1168">
        <f>VLOOKUP($B1168&amp;Q$1,Data!$A$2:$D$14000,4,FALSE)</f>
        <v>760</v>
      </c>
      <c r="R1168">
        <f>VLOOKUP($B1168&amp;R$1,Data!$A$2:$D$14000,4,FALSE)</f>
        <v>6.9999999999999999E-4</v>
      </c>
      <c r="S1168">
        <f>VLOOKUP($B1168&amp;S$1,Data!$A$2:$D$14000,4,FALSE)</f>
        <v>-2.2000000000000001E-3</v>
      </c>
      <c r="T1168">
        <f>VLOOKUP($B1168&amp;T$1,Data!$A$2:$D$14000,4,FALSE)</f>
        <v>-3.5680000000000003E-2</v>
      </c>
      <c r="U1168">
        <f>VLOOKUP($B1168&amp;U$1,Data!$A$2:$D$14000,4,FALSE)</f>
        <v>4.4999999999999998E-2</v>
      </c>
      <c r="V1168">
        <f>VLOOKUP($B1168&amp;V$1,Data!$A$2:$D$14000,4,FALSE)</f>
        <v>-0.14099999999999999</v>
      </c>
      <c r="W1168">
        <f>VLOOKUP($B1168&amp;W$1,Data!$A$2:$D$14000,4,FALSE)</f>
        <v>-2.3990000000000001E-2</v>
      </c>
      <c r="X1168">
        <f>VLOOKUP($B1168&amp;X$1,Data!$A$2:$D$14000,4,FALSE)</f>
        <v>0.36</v>
      </c>
      <c r="Y1168">
        <f>VLOOKUP($B1168&amp;Y$1,Data!$A$2:$D$14000,4,FALSE)</f>
        <v>0.64</v>
      </c>
      <c r="Z1168">
        <f>VLOOKUP($B1168&amp;Z$1,Data!$A$2:$D$14000,4,FALSE)</f>
        <v>0.34</v>
      </c>
      <c r="AA1168">
        <f>VLOOKUP($B1168&amp;AA$1,Data!$A$2:$D$14000,4,FALSE)</f>
        <v>-3.1E-2</v>
      </c>
      <c r="AB1168">
        <f>VLOOKUP($B1168&amp;AB$1,Data!$A$2:$D$14000,4,FALSE)</f>
        <v>0.13</v>
      </c>
      <c r="AC1168">
        <f>VLOOKUP($B1168&amp;AC$1,Data!$A$2:$D$14000,4,FALSE)</f>
        <v>2.5999999999999999E-2</v>
      </c>
      <c r="AD1168">
        <f>VLOOKUP($B1168&amp;AD$1,Data!$A$2:$D$14000,4,FALSE)</f>
        <v>1E-3</v>
      </c>
      <c r="AE1168">
        <f>VLOOKUP($B1168&amp;AE$1,Data!$A$2:$D$14000,4,FALSE)</f>
        <v>-1.175</v>
      </c>
      <c r="AF1168">
        <f>VLOOKUP($B1168&amp;AF$1,Data!$A$2:$D$14000,4,FALSE)</f>
        <v>6.4000000000000001E-2</v>
      </c>
      <c r="AG1168">
        <f>VLOOKUP($B1168&amp;AG$1,Data!$A$2:$D$14000,4,FALSE)</f>
        <v>-0.189</v>
      </c>
      <c r="AH1168">
        <f>VLOOKUP($B1168&amp;AH$1,Data!$A$2:$D$14000,4,FALSE)</f>
        <v>0</v>
      </c>
      <c r="AI1168">
        <f>VLOOKUP($B1168&amp;AI$1,Data!$A$2:$D$14000,4,FALSE)</f>
        <v>2000000000</v>
      </c>
    </row>
    <row r="1169" spans="1:35" hidden="1">
      <c r="B1169" s="13">
        <v>2033</v>
      </c>
      <c r="C1169" s="13" t="s">
        <v>58</v>
      </c>
      <c r="D1169" t="s">
        <v>7</v>
      </c>
      <c r="E1169" t="s">
        <v>2</v>
      </c>
      <c r="F1169">
        <v>5000</v>
      </c>
      <c r="G1169" t="s">
        <v>17</v>
      </c>
      <c r="H1169" s="5">
        <v>43831</v>
      </c>
      <c r="I1169" s="5">
        <v>44562</v>
      </c>
      <c r="J1169">
        <v>14</v>
      </c>
      <c r="K1169">
        <v>9</v>
      </c>
      <c r="L1169">
        <v>30</v>
      </c>
      <c r="M1169">
        <v>70</v>
      </c>
      <c r="N1169">
        <v>1000000</v>
      </c>
      <c r="O1169">
        <f>VLOOKUP($B1169&amp;O$1,Data!$A$2:$D$14000,4,FALSE)</f>
        <v>9.1429999999999997E-2</v>
      </c>
      <c r="P1169">
        <f>VLOOKUP($B1169&amp;P$1,Data!$A$2:$D$14000,4,FALSE)</f>
        <v>-0.36799999999999999</v>
      </c>
      <c r="Q1169">
        <f>VLOOKUP($B1169&amp;Q$1,Data!$A$2:$D$14000,4,FALSE)</f>
        <v>564</v>
      </c>
      <c r="R1169">
        <f>VLOOKUP($B1169&amp;R$1,Data!$A$2:$D$14000,4,FALSE)</f>
        <v>1.4E-3</v>
      </c>
      <c r="S1169">
        <f>VLOOKUP($B1169&amp;S$1,Data!$A$2:$D$14000,4,FALSE)</f>
        <v>-3.0000000000000001E-3</v>
      </c>
      <c r="T1169">
        <f>VLOOKUP($B1169&amp;T$1,Data!$A$2:$D$14000,4,FALSE)</f>
        <v>-1.6570000000000001E-2</v>
      </c>
      <c r="U1169">
        <f>VLOOKUP($B1169&amp;U$1,Data!$A$2:$D$14000,4,FALSE)</f>
        <v>5.2999999999999999E-2</v>
      </c>
      <c r="V1169">
        <f>VLOOKUP($B1169&amp;V$1,Data!$A$2:$D$14000,4,FALSE)</f>
        <v>-4.9000000000000002E-2</v>
      </c>
      <c r="W1169">
        <f>VLOOKUP($B1169&amp;W$1,Data!$A$2:$D$14000,4,FALSE)</f>
        <v>-1.111E-2</v>
      </c>
      <c r="X1169">
        <f>VLOOKUP($B1169&amp;X$1,Data!$A$2:$D$14000,4,FALSE)</f>
        <v>0.36</v>
      </c>
      <c r="Y1169">
        <f>VLOOKUP($B1169&amp;Y$1,Data!$A$2:$D$14000,4,FALSE)</f>
        <v>0.64</v>
      </c>
      <c r="Z1169">
        <f>VLOOKUP($B1169&amp;Z$1,Data!$A$2:$D$14000,4,FALSE)</f>
        <v>0.48</v>
      </c>
      <c r="AA1169">
        <f>VLOOKUP($B1169&amp;AA$1,Data!$A$2:$D$14000,4,FALSE)</f>
        <v>-1.9E-2</v>
      </c>
      <c r="AB1169">
        <f>VLOOKUP($B1169&amp;AB$1,Data!$A$2:$D$14000,4,FALSE)</f>
        <v>0.156</v>
      </c>
      <c r="AC1169">
        <f>VLOOKUP($B1169&amp;AC$1,Data!$A$2:$D$14000,4,FALSE)</f>
        <v>0.03</v>
      </c>
      <c r="AD1169">
        <f>VLOOKUP($B1169&amp;AD$1,Data!$A$2:$D$14000,4,FALSE)</f>
        <v>1E-3</v>
      </c>
      <c r="AE1169">
        <f>VLOOKUP($B1169&amp;AE$1,Data!$A$2:$D$14000,4,FALSE)</f>
        <v>-0.94899999999999995</v>
      </c>
      <c r="AF1169">
        <f>VLOOKUP($B1169&amp;AF$1,Data!$A$2:$D$14000,4,FALSE)</f>
        <v>6.3E-2</v>
      </c>
      <c r="AG1169">
        <f>VLOOKUP($B1169&amp;AG$1,Data!$A$2:$D$14000,4,FALSE)</f>
        <v>-7.0999999999999994E-2</v>
      </c>
      <c r="AH1169">
        <f>VLOOKUP($B1169&amp;AH$1,Data!$A$2:$D$14000,4,FALSE)</f>
        <v>0</v>
      </c>
      <c r="AI1169">
        <f>VLOOKUP($B1169&amp;AI$1,Data!$A$2:$D$14000,4,FALSE)</f>
        <v>400000000</v>
      </c>
    </row>
    <row r="1170" spans="1:35" hidden="1">
      <c r="B1170" s="13">
        <v>2034</v>
      </c>
      <c r="C1170" s="13" t="s">
        <v>58</v>
      </c>
      <c r="D1170" t="s">
        <v>7</v>
      </c>
      <c r="E1170" t="s">
        <v>22</v>
      </c>
      <c r="F1170">
        <v>100</v>
      </c>
      <c r="G1170" t="s">
        <v>17</v>
      </c>
      <c r="H1170" s="5">
        <v>43831</v>
      </c>
      <c r="I1170" s="5">
        <v>44562</v>
      </c>
      <c r="J1170">
        <v>14</v>
      </c>
      <c r="K1170">
        <v>9</v>
      </c>
      <c r="L1170">
        <v>30</v>
      </c>
      <c r="M1170">
        <v>70</v>
      </c>
      <c r="N1170">
        <v>1000000</v>
      </c>
      <c r="O1170">
        <f>VLOOKUP($B1170&amp;O$1,Data!$A$2:$D$14000,4,FALSE)</f>
        <v>1.09E-2</v>
      </c>
      <c r="P1170">
        <f>VLOOKUP($B1170&amp;P$1,Data!$A$2:$D$14000,4,FALSE)</f>
        <v>-1.2150000000000001</v>
      </c>
      <c r="Q1170">
        <f>VLOOKUP($B1170&amp;Q$1,Data!$A$2:$D$14000,4,FALSE)</f>
        <v>722</v>
      </c>
      <c r="R1170">
        <f>VLOOKUP($B1170&amp;R$1,Data!$A$2:$D$14000,4,FALSE)</f>
        <v>5.0000000000000001E-4</v>
      </c>
      <c r="S1170">
        <f>VLOOKUP($B1170&amp;S$1,Data!$A$2:$D$14000,4,FALSE)</f>
        <v>-1.1000000000000001E-3</v>
      </c>
      <c r="T1170">
        <f>VLOOKUP($B1170&amp;T$1,Data!$A$2:$D$14000,4,FALSE)</f>
        <v>-2.035E-2</v>
      </c>
      <c r="U1170">
        <f>VLOOKUP($B1170&amp;U$1,Data!$A$2:$D$14000,4,FALSE)</f>
        <v>2.5000000000000001E-2</v>
      </c>
      <c r="V1170">
        <f>VLOOKUP($B1170&amp;V$1,Data!$A$2:$D$14000,4,FALSE)</f>
        <v>-0.21</v>
      </c>
      <c r="W1170">
        <f>VLOOKUP($B1170&amp;W$1,Data!$A$2:$D$14000,4,FALSE)</f>
        <v>-1.3650000000000001E-2</v>
      </c>
      <c r="X1170">
        <f>VLOOKUP($B1170&amp;X$1,Data!$A$2:$D$14000,4,FALSE)</f>
        <v>0.44</v>
      </c>
      <c r="Y1170">
        <f>VLOOKUP($B1170&amp;Y$1,Data!$A$2:$D$14000,4,FALSE)</f>
        <v>0.56000000000000005</v>
      </c>
      <c r="Z1170">
        <f>VLOOKUP($B1170&amp;Z$1,Data!$A$2:$D$14000,4,FALSE)</f>
        <v>0.41</v>
      </c>
      <c r="AA1170">
        <f>VLOOKUP($B1170&amp;AA$1,Data!$A$2:$D$14000,4,FALSE)</f>
        <v>-1.4999999999999999E-2</v>
      </c>
      <c r="AB1170">
        <f>VLOOKUP($B1170&amp;AB$1,Data!$A$2:$D$14000,4,FALSE)</f>
        <v>1.7000000000000001E-2</v>
      </c>
      <c r="AC1170">
        <f>VLOOKUP($B1170&amp;AC$1,Data!$A$2:$D$14000,4,FALSE)</f>
        <v>1.2E-2</v>
      </c>
      <c r="AD1170">
        <f>VLOOKUP($B1170&amp;AD$1,Data!$A$2:$D$14000,4,FALSE)</f>
        <v>0</v>
      </c>
      <c r="AE1170">
        <f>VLOOKUP($B1170&amp;AE$1,Data!$A$2:$D$14000,4,FALSE)</f>
        <v>-0.95799999999999996</v>
      </c>
      <c r="AF1170">
        <f>VLOOKUP($B1170&amp;AF$1,Data!$A$2:$D$14000,4,FALSE)</f>
        <v>6.7000000000000004E-2</v>
      </c>
      <c r="AG1170">
        <f>VLOOKUP($B1170&amp;AG$1,Data!$A$2:$D$14000,4,FALSE)</f>
        <v>-0.82699999999999996</v>
      </c>
      <c r="AH1170">
        <f>VLOOKUP($B1170&amp;AH$1,Data!$A$2:$D$14000,4,FALSE)</f>
        <v>0</v>
      </c>
      <c r="AI1170">
        <f>VLOOKUP($B1170&amp;AI$1,Data!$A$2:$D$14000,4,FALSE)</f>
        <v>30000000</v>
      </c>
    </row>
    <row r="1171" spans="1:35" hidden="1">
      <c r="B1171" s="13">
        <v>2035</v>
      </c>
      <c r="C1171" s="13" t="s">
        <v>58</v>
      </c>
      <c r="D1171" t="s">
        <v>7</v>
      </c>
      <c r="E1171" t="s">
        <v>22</v>
      </c>
      <c r="F1171">
        <v>1000</v>
      </c>
      <c r="G1171" t="s">
        <v>17</v>
      </c>
      <c r="H1171" s="5">
        <v>43831</v>
      </c>
      <c r="I1171" s="5">
        <v>44562</v>
      </c>
      <c r="J1171">
        <v>14</v>
      </c>
      <c r="K1171">
        <v>9</v>
      </c>
      <c r="L1171">
        <v>30</v>
      </c>
      <c r="M1171">
        <v>70</v>
      </c>
      <c r="N1171">
        <v>1000000</v>
      </c>
      <c r="O1171">
        <f>VLOOKUP($B1171&amp;O$1,Data!$A$2:$D$14000,4,FALSE)</f>
        <v>5.2600000000000001E-2</v>
      </c>
      <c r="P1171">
        <f>VLOOKUP($B1171&amp;P$1,Data!$A$2:$D$14000,4,FALSE)</f>
        <v>-0.61399999999999999</v>
      </c>
      <c r="Q1171">
        <f>VLOOKUP($B1171&amp;Q$1,Data!$A$2:$D$14000,4,FALSE)</f>
        <v>549</v>
      </c>
      <c r="R1171">
        <f>VLOOKUP($B1171&amp;R$1,Data!$A$2:$D$14000,4,FALSE)</f>
        <v>1.4E-3</v>
      </c>
      <c r="S1171">
        <f>VLOOKUP($B1171&amp;S$1,Data!$A$2:$D$14000,4,FALSE)</f>
        <v>-2.3E-3</v>
      </c>
      <c r="T1171">
        <f>VLOOKUP($B1171&amp;T$1,Data!$A$2:$D$14000,4,FALSE)</f>
        <v>-2.5850000000000001E-2</v>
      </c>
      <c r="U1171">
        <f>VLOOKUP($B1171&amp;U$1,Data!$A$2:$D$14000,4,FALSE)</f>
        <v>5.2999999999999999E-2</v>
      </c>
      <c r="V1171">
        <f>VLOOKUP($B1171&amp;V$1,Data!$A$2:$D$14000,4,FALSE)</f>
        <v>-0.13300000000000001</v>
      </c>
      <c r="W1171">
        <f>VLOOKUP($B1171&amp;W$1,Data!$A$2:$D$14000,4,FALSE)</f>
        <v>-1.7350000000000001E-2</v>
      </c>
      <c r="X1171">
        <f>VLOOKUP($B1171&amp;X$1,Data!$A$2:$D$14000,4,FALSE)</f>
        <v>0.46</v>
      </c>
      <c r="Y1171">
        <f>VLOOKUP($B1171&amp;Y$1,Data!$A$2:$D$14000,4,FALSE)</f>
        <v>0.54</v>
      </c>
      <c r="Z1171">
        <f>VLOOKUP($B1171&amp;Z$1,Data!$A$2:$D$14000,4,FALSE)</f>
        <v>0.62</v>
      </c>
      <c r="AA1171">
        <f>VLOOKUP($B1171&amp;AA$1,Data!$A$2:$D$14000,4,FALSE)</f>
        <v>-2.1999999999999999E-2</v>
      </c>
      <c r="AB1171">
        <f>VLOOKUP($B1171&amp;AB$1,Data!$A$2:$D$14000,4,FALSE)</f>
        <v>8.5999999999999993E-2</v>
      </c>
      <c r="AC1171">
        <f>VLOOKUP($B1171&amp;AC$1,Data!$A$2:$D$14000,4,FALSE)</f>
        <v>2.9000000000000001E-2</v>
      </c>
      <c r="AD1171">
        <f>VLOOKUP($B1171&amp;AD$1,Data!$A$2:$D$14000,4,FALSE)</f>
        <v>1E-3</v>
      </c>
      <c r="AE1171">
        <f>VLOOKUP($B1171&amp;AE$1,Data!$A$2:$D$14000,4,FALSE)</f>
        <v>-0.98699999999999999</v>
      </c>
      <c r="AF1171">
        <f>VLOOKUP($B1171&amp;AF$1,Data!$A$2:$D$14000,4,FALSE)</f>
        <v>6.7000000000000004E-2</v>
      </c>
      <c r="AG1171">
        <f>VLOOKUP($B1171&amp;AG$1,Data!$A$2:$D$14000,4,FALSE)</f>
        <v>-0.20499999999999999</v>
      </c>
      <c r="AH1171">
        <f>VLOOKUP($B1171&amp;AH$1,Data!$A$2:$D$14000,4,FALSE)</f>
        <v>0</v>
      </c>
      <c r="AI1171">
        <f>VLOOKUP($B1171&amp;AI$1,Data!$A$2:$D$14000,4,FALSE)</f>
        <v>8300000</v>
      </c>
    </row>
    <row r="1172" spans="1:35" hidden="1">
      <c r="B1172" s="13">
        <v>2036</v>
      </c>
      <c r="C1172" s="13" t="s">
        <v>58</v>
      </c>
      <c r="D1172" t="s">
        <v>7</v>
      </c>
      <c r="E1172" t="s">
        <v>22</v>
      </c>
      <c r="F1172">
        <v>5000</v>
      </c>
      <c r="G1172" t="s">
        <v>17</v>
      </c>
      <c r="H1172" s="5">
        <v>43831</v>
      </c>
      <c r="I1172" s="5">
        <v>44562</v>
      </c>
      <c r="J1172">
        <v>14</v>
      </c>
      <c r="K1172">
        <v>9</v>
      </c>
      <c r="L1172">
        <v>30</v>
      </c>
      <c r="M1172">
        <v>70</v>
      </c>
      <c r="N1172">
        <v>1000000</v>
      </c>
      <c r="O1172">
        <f>VLOOKUP($B1172&amp;O$1,Data!$A$2:$D$14000,4,FALSE)</f>
        <v>0.13205</v>
      </c>
      <c r="P1172">
        <f>VLOOKUP($B1172&amp;P$1,Data!$A$2:$D$14000,4,FALSE)</f>
        <v>-0.13600000000000001</v>
      </c>
      <c r="Q1172">
        <f>VLOOKUP($B1172&amp;Q$1,Data!$A$2:$D$14000,4,FALSE)</f>
        <v>407</v>
      </c>
      <c r="R1172">
        <f>VLOOKUP($B1172&amp;R$1,Data!$A$2:$D$14000,4,FALSE)</f>
        <v>1.8E-3</v>
      </c>
      <c r="S1172">
        <f>VLOOKUP($B1172&amp;S$1,Data!$A$2:$D$14000,4,FALSE)</f>
        <v>-2.8E-3</v>
      </c>
      <c r="T1172">
        <f>VLOOKUP($B1172&amp;T$1,Data!$A$2:$D$14000,4,FALSE)</f>
        <v>-7.0800000000000004E-3</v>
      </c>
      <c r="U1172">
        <f>VLOOKUP($B1172&amp;U$1,Data!$A$2:$D$14000,4,FALSE)</f>
        <v>4.2000000000000003E-2</v>
      </c>
      <c r="V1172">
        <f>VLOOKUP($B1172&amp;V$1,Data!$A$2:$D$14000,4,FALSE)</f>
        <v>-2.9000000000000001E-2</v>
      </c>
      <c r="W1172">
        <f>VLOOKUP($B1172&amp;W$1,Data!$A$2:$D$14000,4,FALSE)</f>
        <v>-4.7400000000000003E-3</v>
      </c>
      <c r="X1172">
        <f>VLOOKUP($B1172&amp;X$1,Data!$A$2:$D$14000,4,FALSE)</f>
        <v>0.42</v>
      </c>
      <c r="Y1172">
        <f>VLOOKUP($B1172&amp;Y$1,Data!$A$2:$D$14000,4,FALSE)</f>
        <v>0.57999999999999996</v>
      </c>
      <c r="Z1172">
        <f>VLOOKUP($B1172&amp;Z$1,Data!$A$2:$D$14000,4,FALSE)</f>
        <v>0.66</v>
      </c>
      <c r="AA1172">
        <f>VLOOKUP($B1172&amp;AA$1,Data!$A$2:$D$14000,4,FALSE)</f>
        <v>-1.2999999999999999E-2</v>
      </c>
      <c r="AB1172">
        <f>VLOOKUP($B1172&amp;AB$1,Data!$A$2:$D$14000,4,FALSE)</f>
        <v>0.16900000000000001</v>
      </c>
      <c r="AC1172">
        <f>VLOOKUP($B1172&amp;AC$1,Data!$A$2:$D$14000,4,FALSE)</f>
        <v>3.2000000000000001E-2</v>
      </c>
      <c r="AD1172">
        <f>VLOOKUP($B1172&amp;AD$1,Data!$A$2:$D$14000,4,FALSE)</f>
        <v>1E-3</v>
      </c>
      <c r="AE1172">
        <f>VLOOKUP($B1172&amp;AE$1,Data!$A$2:$D$14000,4,FALSE)</f>
        <v>-0.84199999999999997</v>
      </c>
      <c r="AF1172">
        <f>VLOOKUP($B1172&amp;AF$1,Data!$A$2:$D$14000,4,FALSE)</f>
        <v>6.3E-2</v>
      </c>
      <c r="AG1172">
        <f>VLOOKUP($B1172&amp;AG$1,Data!$A$2:$D$14000,4,FALSE)</f>
        <v>-2.5999999999999999E-2</v>
      </c>
      <c r="AH1172">
        <f>VLOOKUP($B1172&amp;AH$1,Data!$A$2:$D$14000,4,FALSE)</f>
        <v>0</v>
      </c>
      <c r="AI1172">
        <f>VLOOKUP($B1172&amp;AI$1,Data!$A$2:$D$14000,4,FALSE)</f>
        <v>8600000</v>
      </c>
    </row>
    <row r="1173" spans="1:35" hidden="1">
      <c r="B1173" s="13">
        <v>2037</v>
      </c>
      <c r="C1173" s="13" t="s">
        <v>58</v>
      </c>
      <c r="D1173" t="s">
        <v>19</v>
      </c>
      <c r="E1173" t="s">
        <v>3</v>
      </c>
      <c r="F1173">
        <v>100</v>
      </c>
      <c r="G1173" t="s">
        <v>17</v>
      </c>
      <c r="H1173" s="5">
        <v>43831</v>
      </c>
      <c r="I1173" s="5">
        <v>44562</v>
      </c>
      <c r="J1173">
        <v>14</v>
      </c>
      <c r="K1173">
        <v>9</v>
      </c>
      <c r="L1173">
        <v>30</v>
      </c>
      <c r="M1173">
        <v>70</v>
      </c>
      <c r="N1173">
        <v>1000000</v>
      </c>
      <c r="O1173">
        <f>VLOOKUP($B1173&amp;O$1,Data!$A$2:$D$14000,4,FALSE)</f>
        <v>6.9999999999999999E-4</v>
      </c>
      <c r="P1173">
        <f>VLOOKUP($B1173&amp;P$1,Data!$A$2:$D$14000,4,FALSE)</f>
        <v>-2.4380000000000002</v>
      </c>
      <c r="Q1173">
        <f>VLOOKUP($B1173&amp;Q$1,Data!$A$2:$D$14000,4,FALSE)</f>
        <v>1523</v>
      </c>
      <c r="R1173">
        <f>VLOOKUP($B1173&amp;R$1,Data!$A$2:$D$14000,4,FALSE)</f>
        <v>1E-4</v>
      </c>
      <c r="S1173">
        <f>VLOOKUP($B1173&amp;S$1,Data!$A$2:$D$14000,4,FALSE)</f>
        <v>-5.0000000000000001E-4</v>
      </c>
      <c r="T1173">
        <f>VLOOKUP($B1173&amp;T$1,Data!$A$2:$D$14000,4,FALSE)</f>
        <v>-2.35E-2</v>
      </c>
      <c r="U1173">
        <f>VLOOKUP($B1173&amp;U$1,Data!$A$2:$D$14000,4,FALSE)</f>
        <v>1.9E-2</v>
      </c>
      <c r="V1173">
        <f>VLOOKUP($B1173&amp;V$1,Data!$A$2:$D$14000,4,FALSE)</f>
        <v>-0.21099999999999999</v>
      </c>
      <c r="W1173">
        <f>VLOOKUP($B1173&amp;W$1,Data!$A$2:$D$14000,4,FALSE)</f>
        <v>-1.5769999999999999E-2</v>
      </c>
      <c r="X1173">
        <f>VLOOKUP($B1173&amp;X$1,Data!$A$2:$D$14000,4,FALSE)</f>
        <v>0.35</v>
      </c>
      <c r="Y1173">
        <f>VLOOKUP($B1173&amp;Y$1,Data!$A$2:$D$14000,4,FALSE)</f>
        <v>0.65</v>
      </c>
      <c r="Z1173">
        <f>VLOOKUP($B1173&amp;Z$1,Data!$A$2:$D$14000,4,FALSE)</f>
        <v>0.2</v>
      </c>
      <c r="AA1173">
        <f>VLOOKUP($B1173&amp;AA$1,Data!$A$2:$D$14000,4,FALSE)</f>
        <v>-1.6E-2</v>
      </c>
      <c r="AB1173">
        <f>VLOOKUP($B1173&amp;AB$1,Data!$A$2:$D$14000,4,FALSE)</f>
        <v>-5.0000000000000001E-3</v>
      </c>
      <c r="AC1173">
        <f>VLOOKUP($B1173&amp;AC$1,Data!$A$2:$D$14000,4,FALSE)</f>
        <v>7.0000000000000001E-3</v>
      </c>
      <c r="AD1173">
        <f>VLOOKUP($B1173&amp;AD$1,Data!$A$2:$D$14000,4,FALSE)</f>
        <v>0</v>
      </c>
      <c r="AE1173">
        <f>VLOOKUP($B1173&amp;AE$1,Data!$A$2:$D$14000,4,FALSE)</f>
        <v>-0.97899999999999998</v>
      </c>
      <c r="AF1173">
        <f>VLOOKUP($B1173&amp;AF$1,Data!$A$2:$D$14000,4,FALSE)</f>
        <v>6.8000000000000005E-2</v>
      </c>
      <c r="AG1173">
        <f>VLOOKUP($B1173&amp;AG$1,Data!$A$2:$D$14000,4,FALSE)</f>
        <v>3.0230000000000001</v>
      </c>
      <c r="AH1173">
        <f>VLOOKUP($B1173&amp;AH$1,Data!$A$2:$D$14000,4,FALSE)</f>
        <v>0</v>
      </c>
      <c r="AI1173">
        <f>VLOOKUP($B1173&amp;AI$1,Data!$A$2:$D$14000,4,FALSE)</f>
        <v>4000000</v>
      </c>
    </row>
    <row r="1174" spans="1:35" hidden="1">
      <c r="B1174" s="13">
        <v>2038</v>
      </c>
      <c r="C1174" s="13" t="s">
        <v>58</v>
      </c>
      <c r="D1174" t="s">
        <v>19</v>
      </c>
      <c r="E1174" t="s">
        <v>3</v>
      </c>
      <c r="F1174">
        <v>1000</v>
      </c>
      <c r="G1174" t="s">
        <v>17</v>
      </c>
      <c r="H1174" s="5">
        <v>43831</v>
      </c>
      <c r="I1174" s="5">
        <v>44562</v>
      </c>
      <c r="J1174">
        <v>14</v>
      </c>
      <c r="K1174">
        <v>9</v>
      </c>
      <c r="L1174">
        <v>30</v>
      </c>
      <c r="M1174">
        <v>70</v>
      </c>
      <c r="N1174">
        <v>1000000</v>
      </c>
      <c r="O1174">
        <f>VLOOKUP($B1174&amp;O$1,Data!$A$2:$D$14000,4,FALSE)</f>
        <v>2.9E-4</v>
      </c>
      <c r="P1174">
        <f>VLOOKUP($B1174&amp;P$1,Data!$A$2:$D$14000,4,FALSE)</f>
        <v>-2.3490000000000002</v>
      </c>
      <c r="Q1174">
        <f>VLOOKUP($B1174&amp;Q$1,Data!$A$2:$D$14000,4,FALSE)</f>
        <v>1172</v>
      </c>
      <c r="R1174">
        <f>VLOOKUP($B1174&amp;R$1,Data!$A$2:$D$14000,4,FALSE)</f>
        <v>4.0000000000000002E-4</v>
      </c>
      <c r="S1174">
        <f>VLOOKUP($B1174&amp;S$1,Data!$A$2:$D$14000,4,FALSE)</f>
        <v>-1.6000000000000001E-3</v>
      </c>
      <c r="T1174">
        <f>VLOOKUP($B1174&amp;T$1,Data!$A$2:$D$14000,4,FALSE)</f>
        <v>-6.9209999999999994E-2</v>
      </c>
      <c r="U1174">
        <f>VLOOKUP($B1174&amp;U$1,Data!$A$2:$D$14000,4,FALSE)</f>
        <v>5.5E-2</v>
      </c>
      <c r="V1174">
        <f>VLOOKUP($B1174&amp;V$1,Data!$A$2:$D$14000,4,FALSE)</f>
        <v>-0.20599999999999999</v>
      </c>
      <c r="W1174">
        <f>VLOOKUP($B1174&amp;W$1,Data!$A$2:$D$14000,4,FALSE)</f>
        <v>-4.6809999999999997E-2</v>
      </c>
      <c r="X1174">
        <f>VLOOKUP($B1174&amp;X$1,Data!$A$2:$D$14000,4,FALSE)</f>
        <v>0.35</v>
      </c>
      <c r="Y1174">
        <f>VLOOKUP($B1174&amp;Y$1,Data!$A$2:$D$14000,4,FALSE)</f>
        <v>0.65</v>
      </c>
      <c r="Z1174">
        <f>VLOOKUP($B1174&amp;Z$1,Data!$A$2:$D$14000,4,FALSE)</f>
        <v>0.22</v>
      </c>
      <c r="AA1174">
        <f>VLOOKUP($B1174&amp;AA$1,Data!$A$2:$D$14000,4,FALSE)</f>
        <v>-4.7E-2</v>
      </c>
      <c r="AB1174">
        <f>VLOOKUP($B1174&amp;AB$1,Data!$A$2:$D$14000,4,FALSE)</f>
        <v>-2.9000000000000001E-2</v>
      </c>
      <c r="AC1174">
        <f>VLOOKUP($B1174&amp;AC$1,Data!$A$2:$D$14000,4,FALSE)</f>
        <v>2.1000000000000001E-2</v>
      </c>
      <c r="AD1174">
        <f>VLOOKUP($B1174&amp;AD$1,Data!$A$2:$D$14000,4,FALSE)</f>
        <v>0</v>
      </c>
      <c r="AE1174">
        <f>VLOOKUP($B1174&amp;AE$1,Data!$A$2:$D$14000,4,FALSE)</f>
        <v>-1.365</v>
      </c>
      <c r="AF1174">
        <f>VLOOKUP($B1174&amp;AF$1,Data!$A$2:$D$14000,4,FALSE)</f>
        <v>7.1999999999999995E-2</v>
      </c>
      <c r="AG1174">
        <f>VLOOKUP($B1174&amp;AG$1,Data!$A$2:$D$14000,4,FALSE)</f>
        <v>1.6739999999999999</v>
      </c>
      <c r="AH1174">
        <f>VLOOKUP($B1174&amp;AH$1,Data!$A$2:$D$14000,4,FALSE)</f>
        <v>0</v>
      </c>
      <c r="AI1174">
        <f>VLOOKUP($B1174&amp;AI$1,Data!$A$2:$D$14000,4,FALSE)</f>
        <v>4500000</v>
      </c>
    </row>
    <row r="1175" spans="1:35" hidden="1">
      <c r="B1175" s="13">
        <v>2039</v>
      </c>
      <c r="C1175" s="13" t="s">
        <v>58</v>
      </c>
      <c r="D1175" t="s">
        <v>19</v>
      </c>
      <c r="E1175" t="s">
        <v>3</v>
      </c>
      <c r="F1175">
        <v>5000</v>
      </c>
      <c r="G1175" t="s">
        <v>17</v>
      </c>
      <c r="H1175" s="5">
        <v>43831</v>
      </c>
      <c r="I1175" s="5">
        <v>44562</v>
      </c>
      <c r="J1175">
        <v>14</v>
      </c>
      <c r="K1175">
        <v>9</v>
      </c>
      <c r="L1175">
        <v>30</v>
      </c>
      <c r="M1175">
        <v>70</v>
      </c>
      <c r="N1175">
        <v>1000000</v>
      </c>
      <c r="O1175">
        <f>VLOOKUP($B1175&amp;O$1,Data!$A$2:$D$14000,4,FALSE)</f>
        <v>2.4499999999999999E-3</v>
      </c>
      <c r="P1175">
        <f>VLOOKUP($B1175&amp;P$1,Data!$A$2:$D$14000,4,FALSE)</f>
        <v>-1.7470000000000001</v>
      </c>
      <c r="Q1175">
        <f>VLOOKUP($B1175&amp;Q$1,Data!$A$2:$D$14000,4,FALSE)</f>
        <v>890</v>
      </c>
      <c r="R1175">
        <f>VLOOKUP($B1175&amp;R$1,Data!$A$2:$D$14000,4,FALSE)</f>
        <v>5.9999999999999995E-4</v>
      </c>
      <c r="S1175">
        <f>VLOOKUP($B1175&amp;S$1,Data!$A$2:$D$14000,4,FALSE)</f>
        <v>-2.3999999999999998E-3</v>
      </c>
      <c r="T1175">
        <f>VLOOKUP($B1175&amp;T$1,Data!$A$2:$D$14000,4,FALSE)</f>
        <v>-7.3270000000000002E-2</v>
      </c>
      <c r="U1175">
        <f>VLOOKUP($B1175&amp;U$1,Data!$A$2:$D$14000,4,FALSE)</f>
        <v>6.7000000000000004E-2</v>
      </c>
      <c r="V1175">
        <f>VLOOKUP($B1175&amp;V$1,Data!$A$2:$D$14000,4,FALSE)</f>
        <v>-0.16</v>
      </c>
      <c r="W1175">
        <f>VLOOKUP($B1175&amp;W$1,Data!$A$2:$D$14000,4,FALSE)</f>
        <v>-4.9590000000000002E-2</v>
      </c>
      <c r="X1175">
        <f>VLOOKUP($B1175&amp;X$1,Data!$A$2:$D$14000,4,FALSE)</f>
        <v>0.32</v>
      </c>
      <c r="Y1175">
        <f>VLOOKUP($B1175&amp;Y$1,Data!$A$2:$D$14000,4,FALSE)</f>
        <v>0.68</v>
      </c>
      <c r="Z1175">
        <f>VLOOKUP($B1175&amp;Z$1,Data!$A$2:$D$14000,4,FALSE)</f>
        <v>0.24</v>
      </c>
      <c r="AA1175">
        <f>VLOOKUP($B1175&amp;AA$1,Data!$A$2:$D$14000,4,FALSE)</f>
        <v>-0.05</v>
      </c>
      <c r="AB1175">
        <f>VLOOKUP($B1175&amp;AB$1,Data!$A$2:$D$14000,4,FALSE)</f>
        <v>-1.6E-2</v>
      </c>
      <c r="AC1175">
        <f>VLOOKUP($B1175&amp;AC$1,Data!$A$2:$D$14000,4,FALSE)</f>
        <v>2.9000000000000001E-2</v>
      </c>
      <c r="AD1175">
        <f>VLOOKUP($B1175&amp;AD$1,Data!$A$2:$D$14000,4,FALSE)</f>
        <v>1E-3</v>
      </c>
      <c r="AE1175">
        <f>VLOOKUP($B1175&amp;AE$1,Data!$A$2:$D$14000,4,FALSE)</f>
        <v>-1.3620000000000001</v>
      </c>
      <c r="AF1175">
        <f>VLOOKUP($B1175&amp;AF$1,Data!$A$2:$D$14000,4,FALSE)</f>
        <v>7.3999999999999996E-2</v>
      </c>
      <c r="AG1175">
        <f>VLOOKUP($B1175&amp;AG$1,Data!$A$2:$D$14000,4,FALSE)</f>
        <v>3.14</v>
      </c>
      <c r="AH1175">
        <f>VLOOKUP($B1175&amp;AH$1,Data!$A$2:$D$14000,4,FALSE)</f>
        <v>0</v>
      </c>
      <c r="AI1175">
        <f>VLOOKUP($B1175&amp;AI$1,Data!$A$2:$D$14000,4,FALSE)</f>
        <v>4700000</v>
      </c>
    </row>
    <row r="1176" spans="1:35" hidden="1">
      <c r="B1176" s="13">
        <v>2040</v>
      </c>
      <c r="C1176" s="13" t="s">
        <v>58</v>
      </c>
      <c r="D1176" t="s">
        <v>19</v>
      </c>
      <c r="E1176" t="s">
        <v>2</v>
      </c>
      <c r="F1176">
        <v>100</v>
      </c>
      <c r="G1176" t="s">
        <v>17</v>
      </c>
      <c r="H1176" s="5">
        <v>43831</v>
      </c>
      <c r="I1176" s="5">
        <v>44562</v>
      </c>
      <c r="J1176">
        <v>14</v>
      </c>
      <c r="K1176">
        <v>9</v>
      </c>
      <c r="L1176">
        <v>30</v>
      </c>
      <c r="M1176">
        <v>70</v>
      </c>
      <c r="N1176">
        <v>1000000</v>
      </c>
      <c r="O1176">
        <f>VLOOKUP($B1176&amp;O$1,Data!$A$2:$D$14000,4,FALSE)</f>
        <v>0.22363</v>
      </c>
      <c r="P1176">
        <f>VLOOKUP($B1176&amp;P$1,Data!$A$2:$D$14000,4,FALSE)</f>
        <v>0.22800000000000001</v>
      </c>
      <c r="Q1176">
        <f>VLOOKUP($B1176&amp;Q$1,Data!$A$2:$D$14000,4,FALSE)</f>
        <v>1177</v>
      </c>
      <c r="R1176">
        <f>VLOOKUP($B1176&amp;R$1,Data!$A$2:$D$14000,4,FALSE)</f>
        <v>2.0000000000000001E-4</v>
      </c>
      <c r="S1176">
        <f>VLOOKUP($B1176&amp;S$1,Data!$A$2:$D$14000,4,FALSE)</f>
        <v>-4.0000000000000002E-4</v>
      </c>
      <c r="T1176">
        <f>VLOOKUP($B1176&amp;T$1,Data!$A$2:$D$14000,4,FALSE)</f>
        <v>2.3900000000000002E-3</v>
      </c>
      <c r="U1176">
        <f>VLOOKUP($B1176&amp;U$1,Data!$A$2:$D$14000,4,FALSE)</f>
        <v>8.0000000000000002E-3</v>
      </c>
      <c r="V1176">
        <f>VLOOKUP($B1176&amp;V$1,Data!$A$2:$D$14000,4,FALSE)</f>
        <v>2.1999999999999999E-2</v>
      </c>
      <c r="W1176">
        <f>VLOOKUP($B1176&amp;W$1,Data!$A$2:$D$14000,4,FALSE)</f>
        <v>1.6000000000000001E-3</v>
      </c>
      <c r="X1176">
        <f>VLOOKUP($B1176&amp;X$1,Data!$A$2:$D$14000,4,FALSE)</f>
        <v>0.33</v>
      </c>
      <c r="Y1176">
        <f>VLOOKUP($B1176&amp;Y$1,Data!$A$2:$D$14000,4,FALSE)</f>
        <v>0.67</v>
      </c>
      <c r="Z1176">
        <f>VLOOKUP($B1176&amp;Z$1,Data!$A$2:$D$14000,4,FALSE)</f>
        <v>0.51</v>
      </c>
      <c r="AA1176">
        <f>VLOOKUP($B1176&amp;AA$1,Data!$A$2:$D$14000,4,FALSE)</f>
        <v>3.0000000000000001E-3</v>
      </c>
      <c r="AB1176">
        <f>VLOOKUP($B1176&amp;AB$1,Data!$A$2:$D$14000,4,FALSE)</f>
        <v>-0.02</v>
      </c>
      <c r="AC1176">
        <f>VLOOKUP($B1176&amp;AC$1,Data!$A$2:$D$14000,4,FALSE)</f>
        <v>7.0000000000000001E-3</v>
      </c>
      <c r="AD1176">
        <f>VLOOKUP($B1176&amp;AD$1,Data!$A$2:$D$14000,4,FALSE)</f>
        <v>0</v>
      </c>
      <c r="AE1176">
        <f>VLOOKUP($B1176&amp;AE$1,Data!$A$2:$D$14000,4,FALSE)</f>
        <v>-0.70299999999999996</v>
      </c>
      <c r="AF1176">
        <f>VLOOKUP($B1176&amp;AF$1,Data!$A$2:$D$14000,4,FALSE)</f>
        <v>6.9000000000000006E-2</v>
      </c>
      <c r="AG1176">
        <f>VLOOKUP($B1176&amp;AG$1,Data!$A$2:$D$14000,4,FALSE)</f>
        <v>-8.4000000000000005E-2</v>
      </c>
      <c r="AH1176">
        <f>VLOOKUP($B1176&amp;AH$1,Data!$A$2:$D$14000,4,FALSE)</f>
        <v>0</v>
      </c>
      <c r="AI1176">
        <f>VLOOKUP($B1176&amp;AI$1,Data!$A$2:$D$14000,4,FALSE)</f>
        <v>7400000</v>
      </c>
    </row>
    <row r="1177" spans="1:35" hidden="1">
      <c r="B1177" s="13">
        <v>2041</v>
      </c>
      <c r="C1177" s="13" t="s">
        <v>58</v>
      </c>
      <c r="D1177" t="s">
        <v>19</v>
      </c>
      <c r="E1177" t="s">
        <v>2</v>
      </c>
      <c r="F1177">
        <v>1000</v>
      </c>
      <c r="G1177" t="s">
        <v>17</v>
      </c>
      <c r="H1177" s="5">
        <v>43831</v>
      </c>
      <c r="I1177" s="5">
        <v>44562</v>
      </c>
      <c r="J1177">
        <v>14</v>
      </c>
      <c r="K1177">
        <v>9</v>
      </c>
      <c r="L1177">
        <v>30</v>
      </c>
      <c r="M1177">
        <v>70</v>
      </c>
      <c r="N1177">
        <v>1000000</v>
      </c>
      <c r="O1177">
        <f>VLOOKUP($B1177&amp;O$1,Data!$A$2:$D$14000,4,FALSE)</f>
        <v>0.26901999999999998</v>
      </c>
      <c r="P1177">
        <f>VLOOKUP($B1177&amp;P$1,Data!$A$2:$D$14000,4,FALSE)</f>
        <v>0.38300000000000001</v>
      </c>
      <c r="Q1177">
        <f>VLOOKUP($B1177&amp;Q$1,Data!$A$2:$D$14000,4,FALSE)</f>
        <v>924</v>
      </c>
      <c r="R1177">
        <f>VLOOKUP($B1177&amp;R$1,Data!$A$2:$D$14000,4,FALSE)</f>
        <v>6.9999999999999999E-4</v>
      </c>
      <c r="S1177">
        <f>VLOOKUP($B1177&amp;S$1,Data!$A$2:$D$14000,4,FALSE)</f>
        <v>-1.2999999999999999E-3</v>
      </c>
      <c r="T1177">
        <f>VLOOKUP($B1177&amp;T$1,Data!$A$2:$D$14000,4,FALSE)</f>
        <v>1.209E-2</v>
      </c>
      <c r="U1177">
        <f>VLOOKUP($B1177&amp;U$1,Data!$A$2:$D$14000,4,FALSE)</f>
        <v>3.1E-2</v>
      </c>
      <c r="V1177">
        <f>VLOOKUP($B1177&amp;V$1,Data!$A$2:$D$14000,4,FALSE)</f>
        <v>4.5999999999999999E-2</v>
      </c>
      <c r="W1177">
        <f>VLOOKUP($B1177&amp;W$1,Data!$A$2:$D$14000,4,FALSE)</f>
        <v>8.0599999999999995E-3</v>
      </c>
      <c r="X1177">
        <f>VLOOKUP($B1177&amp;X$1,Data!$A$2:$D$14000,4,FALSE)</f>
        <v>0.32</v>
      </c>
      <c r="Y1177">
        <f>VLOOKUP($B1177&amp;Y$1,Data!$A$2:$D$14000,4,FALSE)</f>
        <v>0.68</v>
      </c>
      <c r="Z1177">
        <f>VLOOKUP($B1177&amp;Z$1,Data!$A$2:$D$14000,4,FALSE)</f>
        <v>0.54</v>
      </c>
      <c r="AA1177">
        <f>VLOOKUP($B1177&amp;AA$1,Data!$A$2:$D$14000,4,FALSE)</f>
        <v>1.2999999999999999E-2</v>
      </c>
      <c r="AB1177">
        <f>VLOOKUP($B1177&amp;AB$1,Data!$A$2:$D$14000,4,FALSE)</f>
        <v>-8.2000000000000003E-2</v>
      </c>
      <c r="AC1177">
        <f>VLOOKUP($B1177&amp;AC$1,Data!$A$2:$D$14000,4,FALSE)</f>
        <v>2.3E-2</v>
      </c>
      <c r="AD1177">
        <f>VLOOKUP($B1177&amp;AD$1,Data!$A$2:$D$14000,4,FALSE)</f>
        <v>1E-3</v>
      </c>
      <c r="AE1177">
        <f>VLOOKUP($B1177&amp;AE$1,Data!$A$2:$D$14000,4,FALSE)</f>
        <v>-0.54700000000000004</v>
      </c>
      <c r="AF1177">
        <f>VLOOKUP($B1177&amp;AF$1,Data!$A$2:$D$14000,4,FALSE)</f>
        <v>7.5999999999999998E-2</v>
      </c>
      <c r="AG1177">
        <f>VLOOKUP($B1177&amp;AG$1,Data!$A$2:$D$14000,4,FALSE)</f>
        <v>-0.105</v>
      </c>
      <c r="AH1177">
        <f>VLOOKUP($B1177&amp;AH$1,Data!$A$2:$D$14000,4,FALSE)</f>
        <v>0</v>
      </c>
      <c r="AI1177">
        <f>VLOOKUP($B1177&amp;AI$1,Data!$A$2:$D$14000,4,FALSE)</f>
        <v>4800000</v>
      </c>
    </row>
    <row r="1178" spans="1:35" hidden="1">
      <c r="B1178" s="13">
        <v>2042</v>
      </c>
      <c r="C1178" s="13" t="s">
        <v>58</v>
      </c>
      <c r="D1178" t="s">
        <v>19</v>
      </c>
      <c r="E1178" t="s">
        <v>2</v>
      </c>
      <c r="F1178">
        <v>5000</v>
      </c>
      <c r="G1178" t="s">
        <v>17</v>
      </c>
      <c r="H1178" s="5">
        <v>43831</v>
      </c>
      <c r="I1178" s="5">
        <v>44562</v>
      </c>
      <c r="J1178">
        <v>14</v>
      </c>
      <c r="K1178">
        <v>9</v>
      </c>
      <c r="L1178">
        <v>30</v>
      </c>
      <c r="M1178">
        <v>70</v>
      </c>
      <c r="N1178">
        <v>1000000</v>
      </c>
      <c r="O1178">
        <f>VLOOKUP($B1178&amp;O$1,Data!$A$2:$D$14000,4,FALSE)</f>
        <v>4.2659999999999997E-2</v>
      </c>
      <c r="P1178">
        <f>VLOOKUP($B1178&amp;P$1,Data!$A$2:$D$14000,4,FALSE)</f>
        <v>-0.72699999999999998</v>
      </c>
      <c r="Q1178">
        <f>VLOOKUP($B1178&amp;Q$1,Data!$A$2:$D$14000,4,FALSE)</f>
        <v>694</v>
      </c>
      <c r="R1178">
        <f>VLOOKUP($B1178&amp;R$1,Data!$A$2:$D$14000,4,FALSE)</f>
        <v>8.0000000000000004E-4</v>
      </c>
      <c r="S1178">
        <f>VLOOKUP($B1178&amp;S$1,Data!$A$2:$D$14000,4,FALSE)</f>
        <v>-2.0999999999999999E-3</v>
      </c>
      <c r="T1178">
        <f>VLOOKUP($B1178&amp;T$1,Data!$A$2:$D$14000,4,FALSE)</f>
        <v>-2.7980000000000001E-2</v>
      </c>
      <c r="U1178">
        <f>VLOOKUP($B1178&amp;U$1,Data!$A$2:$D$14000,4,FALSE)</f>
        <v>4.4999999999999998E-2</v>
      </c>
      <c r="V1178">
        <f>VLOOKUP($B1178&amp;V$1,Data!$A$2:$D$14000,4,FALSE)</f>
        <v>-7.0000000000000007E-2</v>
      </c>
      <c r="W1178">
        <f>VLOOKUP($B1178&amp;W$1,Data!$A$2:$D$14000,4,FALSE)</f>
        <v>-1.8790000000000001E-2</v>
      </c>
      <c r="X1178">
        <f>VLOOKUP($B1178&amp;X$1,Data!$A$2:$D$14000,4,FALSE)</f>
        <v>0.32</v>
      </c>
      <c r="Y1178">
        <f>VLOOKUP($B1178&amp;Y$1,Data!$A$2:$D$14000,4,FALSE)</f>
        <v>0.68</v>
      </c>
      <c r="Z1178">
        <f>VLOOKUP($B1178&amp;Z$1,Data!$A$2:$D$14000,4,FALSE)</f>
        <v>0.36</v>
      </c>
      <c r="AA1178">
        <f>VLOOKUP($B1178&amp;AA$1,Data!$A$2:$D$14000,4,FALSE)</f>
        <v>-1.4E-2</v>
      </c>
      <c r="AB1178">
        <f>VLOOKUP($B1178&amp;AB$1,Data!$A$2:$D$14000,4,FALSE)</f>
        <v>-9.6000000000000002E-2</v>
      </c>
      <c r="AC1178">
        <f>VLOOKUP($B1178&amp;AC$1,Data!$A$2:$D$14000,4,FALSE)</f>
        <v>2.5999999999999999E-2</v>
      </c>
      <c r="AD1178">
        <f>VLOOKUP($B1178&amp;AD$1,Data!$A$2:$D$14000,4,FALSE)</f>
        <v>1E-3</v>
      </c>
      <c r="AE1178">
        <f>VLOOKUP($B1178&amp;AE$1,Data!$A$2:$D$14000,4,FALSE)</f>
        <v>-0.88900000000000001</v>
      </c>
      <c r="AF1178">
        <f>VLOOKUP($B1178&amp;AF$1,Data!$A$2:$D$14000,4,FALSE)</f>
        <v>7.8E-2</v>
      </c>
      <c r="AG1178">
        <f>VLOOKUP($B1178&amp;AG$1,Data!$A$2:$D$14000,4,FALSE)</f>
        <v>0.19900000000000001</v>
      </c>
      <c r="AH1178">
        <f>VLOOKUP($B1178&amp;AH$1,Data!$A$2:$D$14000,4,FALSE)</f>
        <v>0</v>
      </c>
      <c r="AI1178">
        <f>VLOOKUP($B1178&amp;AI$1,Data!$A$2:$D$14000,4,FALSE)</f>
        <v>5000000</v>
      </c>
    </row>
    <row r="1179" spans="1:35">
      <c r="A1179" s="7" t="s">
        <v>59</v>
      </c>
      <c r="B1179">
        <v>871.2</v>
      </c>
      <c r="C1179" s="13" t="s">
        <v>58</v>
      </c>
      <c r="D1179" t="s">
        <v>19</v>
      </c>
      <c r="E1179" t="s">
        <v>22</v>
      </c>
      <c r="F1179">
        <v>100</v>
      </c>
      <c r="G1179" t="s">
        <v>17</v>
      </c>
      <c r="H1179" s="5">
        <v>43831</v>
      </c>
      <c r="I1179" s="5">
        <v>44562</v>
      </c>
      <c r="J1179">
        <v>14</v>
      </c>
      <c r="K1179">
        <v>9</v>
      </c>
      <c r="L1179">
        <v>30</v>
      </c>
      <c r="M1179">
        <v>70</v>
      </c>
      <c r="N1179">
        <v>1000000</v>
      </c>
      <c r="O1179">
        <f>VLOOKUP($B1179&amp;O$1,Data!$A$2:$D$14000,4,FALSE)</f>
        <v>0.63983999999999996</v>
      </c>
      <c r="P1179">
        <f>VLOOKUP($B1179&amp;P$1,Data!$A$2:$D$14000,4,FALSE)</f>
        <v>1.351</v>
      </c>
      <c r="Q1179">
        <f>VLOOKUP($B1179&amp;Q$1,Data!$A$2:$D$14000,4,FALSE)</f>
        <v>889</v>
      </c>
      <c r="R1179">
        <f>VLOOKUP($B1179&amp;R$1,Data!$A$2:$D$14000,4,FALSE)</f>
        <v>2.9999999999999997E-4</v>
      </c>
      <c r="S1179">
        <f>VLOOKUP($B1179&amp;S$1,Data!$A$2:$D$14000,4,FALSE)</f>
        <v>-4.0000000000000002E-4</v>
      </c>
      <c r="T1179">
        <f>VLOOKUP($B1179&amp;T$1,Data!$A$2:$D$14000,4,FALSE)</f>
        <v>1.8970000000000001E-2</v>
      </c>
      <c r="U1179">
        <f>VLOOKUP($B1179&amp;U$1,Data!$A$2:$D$14000,4,FALSE)</f>
        <v>5.0000000000000001E-3</v>
      </c>
      <c r="V1179">
        <f>VLOOKUP($B1179&amp;V$1,Data!$A$2:$D$14000,4,FALSE)</f>
        <v>0.33300000000000002</v>
      </c>
      <c r="W1179">
        <f>VLOOKUP($B1179&amp;W$1,Data!$A$2:$D$14000,4,FALSE)</f>
        <v>1.29E-2</v>
      </c>
      <c r="X1179">
        <f>VLOOKUP($B1179&amp;X$1,Data!$A$2:$D$14000,4,FALSE)</f>
        <v>0.26</v>
      </c>
      <c r="Y1179">
        <f>VLOOKUP($B1179&amp;Y$1,Data!$A$2:$D$14000,4,FALSE)</f>
        <v>0.74</v>
      </c>
      <c r="Z1179">
        <f>VLOOKUP($B1179&amp;Z$1,Data!$A$2:$D$14000,4,FALSE)</f>
        <v>0.8</v>
      </c>
      <c r="AA1179">
        <f>VLOOKUP($B1179&amp;AA$1,Data!$A$2:$D$14000,4,FALSE)</f>
        <v>1.4E-2</v>
      </c>
      <c r="AB1179">
        <f>VLOOKUP($B1179&amp;AB$1,Data!$A$2:$D$14000,4,FALSE)</f>
        <v>-1.0999999999999999E-2</v>
      </c>
      <c r="AC1179">
        <f>VLOOKUP($B1179&amp;AC$1,Data!$A$2:$D$14000,4,FALSE)</f>
        <v>0.01</v>
      </c>
      <c r="AD1179">
        <f>VLOOKUP($B1179&amp;AD$1,Data!$A$2:$D$14000,4,FALSE)</f>
        <v>0</v>
      </c>
      <c r="AE1179">
        <f>VLOOKUP($B1179&amp;AE$1,Data!$A$2:$D$14000,4,FALSE)</f>
        <v>-0.52900000000000003</v>
      </c>
      <c r="AF1179">
        <f>VLOOKUP($B1179&amp;AF$1,Data!$A$2:$D$14000,4,FALSE)</f>
        <v>6.8000000000000005E-2</v>
      </c>
      <c r="AG1179">
        <f>VLOOKUP($B1179&amp;AG$1,Data!$A$2:$D$14000,4,FALSE)</f>
        <v>-1.198</v>
      </c>
      <c r="AH1179">
        <f>VLOOKUP($B1179&amp;AH$1,Data!$A$2:$D$14000,4,FALSE)</f>
        <v>0</v>
      </c>
      <c r="AI1179">
        <f>VLOOKUP($B1179&amp;AI$1,Data!$A$2:$D$14000,4,FALSE)</f>
        <v>84000000</v>
      </c>
    </row>
    <row r="1180" spans="1:35" hidden="1">
      <c r="B1180" s="13">
        <v>2044</v>
      </c>
      <c r="C1180" s="13" t="s">
        <v>58</v>
      </c>
      <c r="D1180" t="s">
        <v>19</v>
      </c>
      <c r="E1180" t="s">
        <v>22</v>
      </c>
      <c r="F1180">
        <v>1000</v>
      </c>
      <c r="G1180" t="s">
        <v>17</v>
      </c>
      <c r="H1180" s="5">
        <v>43831</v>
      </c>
      <c r="I1180" s="5">
        <v>44562</v>
      </c>
      <c r="J1180">
        <v>14</v>
      </c>
      <c r="K1180">
        <v>9</v>
      </c>
      <c r="L1180">
        <v>30</v>
      </c>
      <c r="M1180">
        <v>70</v>
      </c>
      <c r="N1180">
        <v>1000000</v>
      </c>
      <c r="O1180">
        <f>VLOOKUP($B1180&amp;O$1,Data!$A$2:$D$14000,4,FALSE)</f>
        <v>0.51656000000000002</v>
      </c>
      <c r="P1180">
        <f>VLOOKUP($B1180&amp;P$1,Data!$A$2:$D$14000,4,FALSE)</f>
        <v>1.0509999999999999</v>
      </c>
      <c r="Q1180">
        <f>VLOOKUP($B1180&amp;Q$1,Data!$A$2:$D$14000,4,FALSE)</f>
        <v>680</v>
      </c>
      <c r="R1180">
        <f>VLOOKUP($B1180&amp;R$1,Data!$A$2:$D$14000,4,FALSE)</f>
        <v>8.0000000000000004E-4</v>
      </c>
      <c r="S1180">
        <f>VLOOKUP($B1180&amp;S$1,Data!$A$2:$D$14000,4,FALSE)</f>
        <v>-1.2999999999999999E-3</v>
      </c>
      <c r="T1180">
        <f>VLOOKUP($B1180&amp;T$1,Data!$A$2:$D$14000,4,FALSE)</f>
        <v>2.9909999999999999E-2</v>
      </c>
      <c r="U1180">
        <f>VLOOKUP($B1180&amp;U$1,Data!$A$2:$D$14000,4,FALSE)</f>
        <v>1.9E-2</v>
      </c>
      <c r="V1180">
        <f>VLOOKUP($B1180&amp;V$1,Data!$A$2:$D$14000,4,FALSE)</f>
        <v>0.16900000000000001</v>
      </c>
      <c r="W1180">
        <f>VLOOKUP($B1180&amp;W$1,Data!$A$2:$D$14000,4,FALSE)</f>
        <v>1.9890000000000001E-2</v>
      </c>
      <c r="X1180">
        <f>VLOOKUP($B1180&amp;X$1,Data!$A$2:$D$14000,4,FALSE)</f>
        <v>0.26</v>
      </c>
      <c r="Y1180">
        <f>VLOOKUP($B1180&amp;Y$1,Data!$A$2:$D$14000,4,FALSE)</f>
        <v>0.74</v>
      </c>
      <c r="Z1180">
        <f>VLOOKUP($B1180&amp;Z$1,Data!$A$2:$D$14000,4,FALSE)</f>
        <v>0.59</v>
      </c>
      <c r="AA1180">
        <f>VLOOKUP($B1180&amp;AA$1,Data!$A$2:$D$14000,4,FALSE)</f>
        <v>2.1999999999999999E-2</v>
      </c>
      <c r="AB1180">
        <f>VLOOKUP($B1180&amp;AB$1,Data!$A$2:$D$14000,4,FALSE)</f>
        <v>-2.5999999999999999E-2</v>
      </c>
      <c r="AC1180">
        <f>VLOOKUP($B1180&amp;AC$1,Data!$A$2:$D$14000,4,FALSE)</f>
        <v>0.02</v>
      </c>
      <c r="AD1180">
        <f>VLOOKUP($B1180&amp;AD$1,Data!$A$2:$D$14000,4,FALSE)</f>
        <v>0</v>
      </c>
      <c r="AE1180">
        <f>VLOOKUP($B1180&amp;AE$1,Data!$A$2:$D$14000,4,FALSE)</f>
        <v>-0.40799999999999997</v>
      </c>
      <c r="AF1180">
        <f>VLOOKUP($B1180&amp;AF$1,Data!$A$2:$D$14000,4,FALSE)</f>
        <v>7.1999999999999995E-2</v>
      </c>
      <c r="AG1180">
        <f>VLOOKUP($B1180&amp;AG$1,Data!$A$2:$D$14000,4,FALSE)</f>
        <v>-0.80500000000000005</v>
      </c>
      <c r="AH1180">
        <f>VLOOKUP($B1180&amp;AH$1,Data!$A$2:$D$14000,4,FALSE)</f>
        <v>0</v>
      </c>
      <c r="AI1180">
        <f>VLOOKUP($B1180&amp;AI$1,Data!$A$2:$D$14000,4,FALSE)</f>
        <v>30000000</v>
      </c>
    </row>
    <row r="1181" spans="1:35" hidden="1">
      <c r="B1181" s="13">
        <v>2045</v>
      </c>
      <c r="C1181" s="13" t="s">
        <v>58</v>
      </c>
      <c r="D1181" t="s">
        <v>19</v>
      </c>
      <c r="E1181" t="s">
        <v>22</v>
      </c>
      <c r="F1181">
        <v>5000</v>
      </c>
      <c r="G1181" t="s">
        <v>17</v>
      </c>
      <c r="H1181" s="5">
        <v>43831</v>
      </c>
      <c r="I1181" s="5">
        <v>44562</v>
      </c>
      <c r="J1181">
        <v>14</v>
      </c>
      <c r="K1181">
        <v>9</v>
      </c>
      <c r="L1181">
        <v>30</v>
      </c>
      <c r="M1181">
        <v>70</v>
      </c>
      <c r="N1181">
        <v>1000000</v>
      </c>
      <c r="O1181">
        <f>VLOOKUP($B1181&amp;O$1,Data!$A$2:$D$14000,4,FALSE)</f>
        <v>0.38390999999999997</v>
      </c>
      <c r="P1181">
        <f>VLOOKUP($B1181&amp;P$1,Data!$A$2:$D$14000,4,FALSE)</f>
        <v>0.71399999999999997</v>
      </c>
      <c r="Q1181">
        <f>VLOOKUP($B1181&amp;Q$1,Data!$A$2:$D$14000,4,FALSE)</f>
        <v>520</v>
      </c>
      <c r="R1181">
        <f>VLOOKUP($B1181&amp;R$1,Data!$A$2:$D$14000,4,FALSE)</f>
        <v>8.0000000000000004E-4</v>
      </c>
      <c r="S1181">
        <f>VLOOKUP($B1181&amp;S$1,Data!$A$2:$D$14000,4,FALSE)</f>
        <v>-1.8E-3</v>
      </c>
      <c r="T1181">
        <f>VLOOKUP($B1181&amp;T$1,Data!$A$2:$D$14000,4,FALSE)</f>
        <v>2.5690000000000001E-2</v>
      </c>
      <c r="U1181">
        <f>VLOOKUP($B1181&amp;U$1,Data!$A$2:$D$14000,4,FALSE)</f>
        <v>2.3E-2</v>
      </c>
      <c r="V1181">
        <f>VLOOKUP($B1181&amp;V$1,Data!$A$2:$D$14000,4,FALSE)</f>
        <v>0.12</v>
      </c>
      <c r="W1181">
        <f>VLOOKUP($B1181&amp;W$1,Data!$A$2:$D$14000,4,FALSE)</f>
        <v>1.7100000000000001E-2</v>
      </c>
      <c r="X1181">
        <f>VLOOKUP($B1181&amp;X$1,Data!$A$2:$D$14000,4,FALSE)</f>
        <v>0.22</v>
      </c>
      <c r="Y1181">
        <f>VLOOKUP($B1181&amp;Y$1,Data!$A$2:$D$14000,4,FALSE)</f>
        <v>0.78</v>
      </c>
      <c r="Z1181">
        <f>VLOOKUP($B1181&amp;Z$1,Data!$A$2:$D$14000,4,FALSE)</f>
        <v>0.44</v>
      </c>
      <c r="AA1181">
        <f>VLOOKUP($B1181&amp;AA$1,Data!$A$2:$D$14000,4,FALSE)</f>
        <v>2.1000000000000001E-2</v>
      </c>
      <c r="AB1181">
        <f>VLOOKUP($B1181&amp;AB$1,Data!$A$2:$D$14000,4,FALSE)</f>
        <v>-6.2E-2</v>
      </c>
      <c r="AC1181">
        <f>VLOOKUP($B1181&amp;AC$1,Data!$A$2:$D$14000,4,FALSE)</f>
        <v>2.5000000000000001E-2</v>
      </c>
      <c r="AD1181">
        <f>VLOOKUP($B1181&amp;AD$1,Data!$A$2:$D$14000,4,FALSE)</f>
        <v>1E-3</v>
      </c>
      <c r="AE1181">
        <f>VLOOKUP($B1181&amp;AE$1,Data!$A$2:$D$14000,4,FALSE)</f>
        <v>-0.42399999999999999</v>
      </c>
      <c r="AF1181">
        <f>VLOOKUP($B1181&amp;AF$1,Data!$A$2:$D$14000,4,FALSE)</f>
        <v>7.5999999999999998E-2</v>
      </c>
      <c r="AG1181">
        <f>VLOOKUP($B1181&amp;AG$1,Data!$A$2:$D$14000,4,FALSE)</f>
        <v>-0.28899999999999998</v>
      </c>
      <c r="AH1181">
        <f>VLOOKUP($B1181&amp;AH$1,Data!$A$2:$D$14000,4,FALSE)</f>
        <v>0</v>
      </c>
      <c r="AI1181">
        <f>VLOOKUP($B1181&amp;AI$1,Data!$A$2:$D$14000,4,FALSE)</f>
        <v>9600000</v>
      </c>
    </row>
    <row r="1182" spans="1:35" hidden="1">
      <c r="B1182" s="13">
        <v>2046</v>
      </c>
      <c r="C1182" s="13" t="s">
        <v>58</v>
      </c>
      <c r="D1182" t="s">
        <v>20</v>
      </c>
      <c r="E1182" t="s">
        <v>3</v>
      </c>
      <c r="F1182">
        <v>100</v>
      </c>
      <c r="G1182" t="s">
        <v>17</v>
      </c>
      <c r="H1182" s="5">
        <v>43831</v>
      </c>
      <c r="I1182" s="5">
        <v>44562</v>
      </c>
      <c r="J1182">
        <v>14</v>
      </c>
      <c r="K1182">
        <v>9</v>
      </c>
      <c r="L1182">
        <v>30</v>
      </c>
      <c r="M1182">
        <v>70</v>
      </c>
      <c r="N1182">
        <v>1000000</v>
      </c>
      <c r="O1182">
        <f>VLOOKUP($B1182&amp;O$1,Data!$A$2:$D$14000,4,FALSE)</f>
        <v>0.10711</v>
      </c>
      <c r="P1182">
        <f>VLOOKUP($B1182&amp;P$1,Data!$A$2:$D$14000,4,FALSE)</f>
        <v>-0.28199999999999997</v>
      </c>
      <c r="Q1182">
        <f>VLOOKUP($B1182&amp;Q$1,Data!$A$2:$D$14000,4,FALSE)</f>
        <v>1541</v>
      </c>
      <c r="R1182">
        <f>VLOOKUP($B1182&amp;R$1,Data!$A$2:$D$14000,4,FALSE)</f>
        <v>2.0000000000000001E-4</v>
      </c>
      <c r="S1182">
        <f>VLOOKUP($B1182&amp;S$1,Data!$A$2:$D$14000,4,FALSE)</f>
        <v>-4.0000000000000002E-4</v>
      </c>
      <c r="T1182">
        <f>VLOOKUP($B1182&amp;T$1,Data!$A$2:$D$14000,4,FALSE)</f>
        <v>-4.2199999999999998E-3</v>
      </c>
      <c r="U1182">
        <f>VLOOKUP($B1182&amp;U$1,Data!$A$2:$D$14000,4,FALSE)</f>
        <v>1.7000000000000001E-2</v>
      </c>
      <c r="V1182">
        <f>VLOOKUP($B1182&amp;V$1,Data!$A$2:$D$14000,4,FALSE)</f>
        <v>-5.5E-2</v>
      </c>
      <c r="W1182">
        <f>VLOOKUP($B1182&amp;W$1,Data!$A$2:$D$14000,4,FALSE)</f>
        <v>-2.82E-3</v>
      </c>
      <c r="X1182">
        <f>VLOOKUP($B1182&amp;X$1,Data!$A$2:$D$14000,4,FALSE)</f>
        <v>0.37</v>
      </c>
      <c r="Y1182">
        <f>VLOOKUP($B1182&amp;Y$1,Data!$A$2:$D$14000,4,FALSE)</f>
        <v>0.63</v>
      </c>
      <c r="Z1182">
        <f>VLOOKUP($B1182&amp;Z$1,Data!$A$2:$D$14000,4,FALSE)</f>
        <v>0.49</v>
      </c>
      <c r="AA1182">
        <f>VLOOKUP($B1182&amp;AA$1,Data!$A$2:$D$14000,4,FALSE)</f>
        <v>-3.0000000000000001E-3</v>
      </c>
      <c r="AB1182">
        <f>VLOOKUP($B1182&amp;AB$1,Data!$A$2:$D$14000,4,FALSE)</f>
        <v>1E-3</v>
      </c>
      <c r="AC1182">
        <f>VLOOKUP($B1182&amp;AC$1,Data!$A$2:$D$14000,4,FALSE)</f>
        <v>0.01</v>
      </c>
      <c r="AD1182">
        <f>VLOOKUP($B1182&amp;AD$1,Data!$A$2:$D$14000,4,FALSE)</f>
        <v>0</v>
      </c>
      <c r="AE1182">
        <f>VLOOKUP($B1182&amp;AE$1,Data!$A$2:$D$14000,4,FALSE)</f>
        <v>-0.78100000000000003</v>
      </c>
      <c r="AF1182">
        <f>VLOOKUP($B1182&amp;AF$1,Data!$A$2:$D$14000,4,FALSE)</f>
        <v>6.8000000000000005E-2</v>
      </c>
      <c r="AG1182">
        <f>VLOOKUP($B1182&amp;AG$1,Data!$A$2:$D$14000,4,FALSE)</f>
        <v>-2.94</v>
      </c>
      <c r="AH1182">
        <f>VLOOKUP($B1182&amp;AH$1,Data!$A$2:$D$14000,4,FALSE)</f>
        <v>0</v>
      </c>
      <c r="AI1182">
        <f>VLOOKUP($B1182&amp;AI$1,Data!$A$2:$D$14000,4,FALSE)</f>
        <v>4700000</v>
      </c>
    </row>
    <row r="1183" spans="1:35" hidden="1">
      <c r="B1183" s="13">
        <v>2047</v>
      </c>
      <c r="C1183" s="13" t="s">
        <v>58</v>
      </c>
      <c r="D1183" t="s">
        <v>20</v>
      </c>
      <c r="E1183" t="s">
        <v>3</v>
      </c>
      <c r="F1183">
        <v>1000</v>
      </c>
      <c r="G1183" t="s">
        <v>17</v>
      </c>
      <c r="H1183" s="5">
        <v>43831</v>
      </c>
      <c r="I1183" s="5">
        <v>44562</v>
      </c>
      <c r="J1183">
        <v>14</v>
      </c>
      <c r="K1183">
        <v>9</v>
      </c>
      <c r="L1183">
        <v>30</v>
      </c>
      <c r="M1183">
        <v>70</v>
      </c>
      <c r="N1183">
        <v>1000000</v>
      </c>
      <c r="O1183">
        <f>VLOOKUP($B1183&amp;O$1,Data!$A$2:$D$14000,4,FALSE)</f>
        <v>8.7899999999999992E-3</v>
      </c>
      <c r="P1183">
        <f>VLOOKUP($B1183&amp;P$1,Data!$A$2:$D$14000,4,FALSE)</f>
        <v>-1.518</v>
      </c>
      <c r="Q1183">
        <f>VLOOKUP($B1183&amp;Q$1,Data!$A$2:$D$14000,4,FALSE)</f>
        <v>1204</v>
      </c>
      <c r="R1183">
        <f>VLOOKUP($B1183&amp;R$1,Data!$A$2:$D$14000,4,FALSE)</f>
        <v>5.9999999999999995E-4</v>
      </c>
      <c r="S1183">
        <f>VLOOKUP($B1183&amp;S$1,Data!$A$2:$D$14000,4,FALSE)</f>
        <v>-1.6999999999999999E-3</v>
      </c>
      <c r="T1183">
        <f>VLOOKUP($B1183&amp;T$1,Data!$A$2:$D$14000,4,FALSE)</f>
        <v>-5.8029999999999998E-2</v>
      </c>
      <c r="U1183">
        <f>VLOOKUP($B1183&amp;U$1,Data!$A$2:$D$14000,4,FALSE)</f>
        <v>5.8000000000000003E-2</v>
      </c>
      <c r="V1183">
        <f>VLOOKUP($B1183&amp;V$1,Data!$A$2:$D$14000,4,FALSE)</f>
        <v>-0.155</v>
      </c>
      <c r="W1183">
        <f>VLOOKUP($B1183&amp;W$1,Data!$A$2:$D$14000,4,FALSE)</f>
        <v>-3.9170000000000003E-2</v>
      </c>
      <c r="X1183">
        <f>VLOOKUP($B1183&amp;X$1,Data!$A$2:$D$14000,4,FALSE)</f>
        <v>0.38</v>
      </c>
      <c r="Y1183">
        <f>VLOOKUP($B1183&amp;Y$1,Data!$A$2:$D$14000,4,FALSE)</f>
        <v>0.62</v>
      </c>
      <c r="Z1183">
        <f>VLOOKUP($B1183&amp;Z$1,Data!$A$2:$D$14000,4,FALSE)</f>
        <v>0.35</v>
      </c>
      <c r="AA1183">
        <f>VLOOKUP($B1183&amp;AA$1,Data!$A$2:$D$14000,4,FALSE)</f>
        <v>-4.2000000000000003E-2</v>
      </c>
      <c r="AB1183">
        <f>VLOOKUP($B1183&amp;AB$1,Data!$A$2:$D$14000,4,FALSE)</f>
        <v>0.04</v>
      </c>
      <c r="AC1183">
        <f>VLOOKUP($B1183&amp;AC$1,Data!$A$2:$D$14000,4,FALSE)</f>
        <v>2.7E-2</v>
      </c>
      <c r="AD1183">
        <f>VLOOKUP($B1183&amp;AD$1,Data!$A$2:$D$14000,4,FALSE)</f>
        <v>1E-3</v>
      </c>
      <c r="AE1183">
        <f>VLOOKUP($B1183&amp;AE$1,Data!$A$2:$D$14000,4,FALSE)</f>
        <v>-1.2969999999999999</v>
      </c>
      <c r="AF1183">
        <f>VLOOKUP($B1183&amp;AF$1,Data!$A$2:$D$14000,4,FALSE)</f>
        <v>7.0000000000000007E-2</v>
      </c>
      <c r="AG1183">
        <f>VLOOKUP($B1183&amp;AG$1,Data!$A$2:$D$14000,4,FALSE)</f>
        <v>-1.0129999999999999</v>
      </c>
      <c r="AH1183">
        <f>VLOOKUP($B1183&amp;AH$1,Data!$A$2:$D$14000,4,FALSE)</f>
        <v>0</v>
      </c>
      <c r="AI1183">
        <f>VLOOKUP($B1183&amp;AI$1,Data!$A$2:$D$14000,4,FALSE)</f>
        <v>4700000</v>
      </c>
    </row>
    <row r="1184" spans="1:35" hidden="1">
      <c r="B1184" s="13">
        <v>2048</v>
      </c>
      <c r="C1184" s="13" t="s">
        <v>58</v>
      </c>
      <c r="D1184" t="s">
        <v>20</v>
      </c>
      <c r="E1184" t="s">
        <v>3</v>
      </c>
      <c r="F1184">
        <v>5000</v>
      </c>
      <c r="G1184" t="s">
        <v>17</v>
      </c>
      <c r="H1184" s="5">
        <v>43831</v>
      </c>
      <c r="I1184" s="5">
        <v>44562</v>
      </c>
      <c r="J1184">
        <v>14</v>
      </c>
      <c r="K1184">
        <v>9</v>
      </c>
      <c r="L1184">
        <v>30</v>
      </c>
      <c r="M1184">
        <v>70</v>
      </c>
      <c r="N1184">
        <v>1000000</v>
      </c>
      <c r="O1184">
        <f>VLOOKUP($B1184&amp;O$1,Data!$A$2:$D$14000,4,FALSE)</f>
        <v>1.2999999999999999E-4</v>
      </c>
      <c r="P1184">
        <f>VLOOKUP($B1184&amp;P$1,Data!$A$2:$D$14000,4,FALSE)</f>
        <v>-2.3919999999999999</v>
      </c>
      <c r="Q1184">
        <f>VLOOKUP($B1184&amp;Q$1,Data!$A$2:$D$14000,4,FALSE)</f>
        <v>915</v>
      </c>
      <c r="R1184">
        <f>VLOOKUP($B1184&amp;R$1,Data!$A$2:$D$14000,4,FALSE)</f>
        <v>6.9999999999999999E-4</v>
      </c>
      <c r="S1184">
        <f>VLOOKUP($B1184&amp;S$1,Data!$A$2:$D$14000,4,FALSE)</f>
        <v>-2.5000000000000001E-3</v>
      </c>
      <c r="T1184">
        <f>VLOOKUP($B1184&amp;T$1,Data!$A$2:$D$14000,4,FALSE)</f>
        <v>-0.10765</v>
      </c>
      <c r="U1184">
        <f>VLOOKUP($B1184&amp;U$1,Data!$A$2:$D$14000,4,FALSE)</f>
        <v>7.9000000000000001E-2</v>
      </c>
      <c r="V1184">
        <f>VLOOKUP($B1184&amp;V$1,Data!$A$2:$D$14000,4,FALSE)</f>
        <v>-0.20300000000000001</v>
      </c>
      <c r="W1184">
        <f>VLOOKUP($B1184&amp;W$1,Data!$A$2:$D$14000,4,FALSE)</f>
        <v>-7.3300000000000004E-2</v>
      </c>
      <c r="X1184">
        <f>VLOOKUP($B1184&amp;X$1,Data!$A$2:$D$14000,4,FALSE)</f>
        <v>0.38</v>
      </c>
      <c r="Y1184">
        <f>VLOOKUP($B1184&amp;Y$1,Data!$A$2:$D$14000,4,FALSE)</f>
        <v>0.62</v>
      </c>
      <c r="Z1184">
        <f>VLOOKUP($B1184&amp;Z$1,Data!$A$2:$D$14000,4,FALSE)</f>
        <v>0.28000000000000003</v>
      </c>
      <c r="AA1184">
        <f>VLOOKUP($B1184&amp;AA$1,Data!$A$2:$D$14000,4,FALSE)</f>
        <v>-7.8E-2</v>
      </c>
      <c r="AB1184">
        <f>VLOOKUP($B1184&amp;AB$1,Data!$A$2:$D$14000,4,FALSE)</f>
        <v>4.8000000000000001E-2</v>
      </c>
      <c r="AC1184">
        <f>VLOOKUP($B1184&amp;AC$1,Data!$A$2:$D$14000,4,FALSE)</f>
        <v>3.2000000000000001E-2</v>
      </c>
      <c r="AD1184">
        <f>VLOOKUP($B1184&amp;AD$1,Data!$A$2:$D$14000,4,FALSE)</f>
        <v>1E-3</v>
      </c>
      <c r="AE1184">
        <f>VLOOKUP($B1184&amp;AE$1,Data!$A$2:$D$14000,4,FALSE)</f>
        <v>-1.762</v>
      </c>
      <c r="AF1184">
        <f>VLOOKUP($B1184&amp;AF$1,Data!$A$2:$D$14000,4,FALSE)</f>
        <v>7.0999999999999994E-2</v>
      </c>
      <c r="AG1184">
        <f>VLOOKUP($B1184&amp;AG$1,Data!$A$2:$D$14000,4,FALSE)</f>
        <v>-1.5860000000000001</v>
      </c>
      <c r="AH1184">
        <f>VLOOKUP($B1184&amp;AH$1,Data!$A$2:$D$14000,4,FALSE)</f>
        <v>0</v>
      </c>
      <c r="AI1184">
        <f>VLOOKUP($B1184&amp;AI$1,Data!$A$2:$D$14000,4,FALSE)</f>
        <v>4900000</v>
      </c>
    </row>
    <row r="1185" spans="1:35" hidden="1">
      <c r="B1185" s="13">
        <v>2049</v>
      </c>
      <c r="C1185" s="13" t="s">
        <v>58</v>
      </c>
      <c r="D1185" t="s">
        <v>20</v>
      </c>
      <c r="E1185" t="s">
        <v>2</v>
      </c>
      <c r="F1185">
        <v>100</v>
      </c>
      <c r="G1185" t="s">
        <v>17</v>
      </c>
      <c r="H1185" s="5">
        <v>43831</v>
      </c>
      <c r="I1185" s="5">
        <v>44562</v>
      </c>
      <c r="J1185">
        <v>14</v>
      </c>
      <c r="K1185">
        <v>9</v>
      </c>
      <c r="L1185">
        <v>30</v>
      </c>
      <c r="M1185">
        <v>70</v>
      </c>
      <c r="N1185">
        <v>1000000</v>
      </c>
      <c r="O1185">
        <f>VLOOKUP($B1185&amp;O$1,Data!$A$2:$D$14000,4,FALSE)</f>
        <v>2.0590000000000001E-2</v>
      </c>
      <c r="P1185">
        <f>VLOOKUP($B1185&amp;P$1,Data!$A$2:$D$14000,4,FALSE)</f>
        <v>-1.161</v>
      </c>
      <c r="Q1185">
        <f>VLOOKUP($B1185&amp;Q$1,Data!$A$2:$D$14000,4,FALSE)</f>
        <v>1264</v>
      </c>
      <c r="R1185">
        <f>VLOOKUP($B1185&amp;R$1,Data!$A$2:$D$14000,4,FALSE)</f>
        <v>1E-4</v>
      </c>
      <c r="S1185">
        <f>VLOOKUP($B1185&amp;S$1,Data!$A$2:$D$14000,4,FALSE)</f>
        <v>-2.9999999999999997E-4</v>
      </c>
      <c r="T1185">
        <f>VLOOKUP($B1185&amp;T$1,Data!$A$2:$D$14000,4,FALSE)</f>
        <v>-1.1350000000000001E-2</v>
      </c>
      <c r="U1185">
        <f>VLOOKUP($B1185&amp;U$1,Data!$A$2:$D$14000,4,FALSE)</f>
        <v>1.2999999999999999E-2</v>
      </c>
      <c r="V1185">
        <f>VLOOKUP($B1185&amp;V$1,Data!$A$2:$D$14000,4,FALSE)</f>
        <v>-0.152</v>
      </c>
      <c r="W1185">
        <f>VLOOKUP($B1185&amp;W$1,Data!$A$2:$D$14000,4,FALSE)</f>
        <v>-7.6299999999999996E-3</v>
      </c>
      <c r="X1185">
        <f>VLOOKUP($B1185&amp;X$1,Data!$A$2:$D$14000,4,FALSE)</f>
        <v>0.39</v>
      </c>
      <c r="Y1185">
        <f>VLOOKUP($B1185&amp;Y$1,Data!$A$2:$D$14000,4,FALSE)</f>
        <v>0.61</v>
      </c>
      <c r="Z1185">
        <f>VLOOKUP($B1185&amp;Z$1,Data!$A$2:$D$14000,4,FALSE)</f>
        <v>0.38</v>
      </c>
      <c r="AA1185">
        <f>VLOOKUP($B1185&amp;AA$1,Data!$A$2:$D$14000,4,FALSE)</f>
        <v>-8.0000000000000002E-3</v>
      </c>
      <c r="AB1185">
        <f>VLOOKUP($B1185&amp;AB$1,Data!$A$2:$D$14000,4,FALSE)</f>
        <v>5.0000000000000001E-3</v>
      </c>
      <c r="AC1185">
        <f>VLOOKUP($B1185&amp;AC$1,Data!$A$2:$D$14000,4,FALSE)</f>
        <v>7.0000000000000001E-3</v>
      </c>
      <c r="AD1185">
        <f>VLOOKUP($B1185&amp;AD$1,Data!$A$2:$D$14000,4,FALSE)</f>
        <v>0</v>
      </c>
      <c r="AE1185">
        <f>VLOOKUP($B1185&amp;AE$1,Data!$A$2:$D$14000,4,FALSE)</f>
        <v>-0.86099999999999999</v>
      </c>
      <c r="AF1185">
        <f>VLOOKUP($B1185&amp;AF$1,Data!$A$2:$D$14000,4,FALSE)</f>
        <v>6.7000000000000004E-2</v>
      </c>
      <c r="AG1185">
        <f>VLOOKUP($B1185&amp;AG$1,Data!$A$2:$D$14000,4,FALSE)</f>
        <v>-1.677</v>
      </c>
      <c r="AH1185">
        <f>VLOOKUP($B1185&amp;AH$1,Data!$A$2:$D$14000,4,FALSE)</f>
        <v>0</v>
      </c>
      <c r="AI1185">
        <f>VLOOKUP($B1185&amp;AI$1,Data!$A$2:$D$14000,4,FALSE)</f>
        <v>4700000</v>
      </c>
    </row>
    <row r="1186" spans="1:35" hidden="1">
      <c r="B1186" s="13">
        <v>2050</v>
      </c>
      <c r="C1186" s="13" t="s">
        <v>58</v>
      </c>
      <c r="D1186" t="s">
        <v>20</v>
      </c>
      <c r="E1186" t="s">
        <v>2</v>
      </c>
      <c r="F1186">
        <v>1000</v>
      </c>
      <c r="G1186" t="s">
        <v>17</v>
      </c>
      <c r="H1186" s="5">
        <v>43831</v>
      </c>
      <c r="I1186" s="5">
        <v>44562</v>
      </c>
      <c r="J1186">
        <v>14</v>
      </c>
      <c r="K1186">
        <v>9</v>
      </c>
      <c r="L1186">
        <v>30</v>
      </c>
      <c r="M1186">
        <v>70</v>
      </c>
      <c r="N1186">
        <v>1000000</v>
      </c>
      <c r="O1186">
        <f>VLOOKUP($B1186&amp;O$1,Data!$A$2:$D$14000,4,FALSE)</f>
        <v>9.7800000000000005E-3</v>
      </c>
      <c r="P1186">
        <f>VLOOKUP($B1186&amp;P$1,Data!$A$2:$D$14000,4,FALSE)</f>
        <v>-1.2450000000000001</v>
      </c>
      <c r="Q1186">
        <f>VLOOKUP($B1186&amp;Q$1,Data!$A$2:$D$14000,4,FALSE)</f>
        <v>994</v>
      </c>
      <c r="R1186">
        <f>VLOOKUP($B1186&amp;R$1,Data!$A$2:$D$14000,4,FALSE)</f>
        <v>5.0000000000000001E-4</v>
      </c>
      <c r="S1186">
        <f>VLOOKUP($B1186&amp;S$1,Data!$A$2:$D$14000,4,FALSE)</f>
        <v>-1.1000000000000001E-3</v>
      </c>
      <c r="T1186">
        <f>VLOOKUP($B1186&amp;T$1,Data!$A$2:$D$14000,4,FALSE)</f>
        <v>-3.5639999999999998E-2</v>
      </c>
      <c r="U1186">
        <f>VLOOKUP($B1186&amp;U$1,Data!$A$2:$D$14000,4,FALSE)</f>
        <v>2.9000000000000001E-2</v>
      </c>
      <c r="V1186">
        <f>VLOOKUP($B1186&amp;V$1,Data!$A$2:$D$14000,4,FALSE)</f>
        <v>-0.155</v>
      </c>
      <c r="W1186">
        <f>VLOOKUP($B1186&amp;W$1,Data!$A$2:$D$14000,4,FALSE)</f>
        <v>-2.4060000000000002E-2</v>
      </c>
      <c r="X1186">
        <f>VLOOKUP($B1186&amp;X$1,Data!$A$2:$D$14000,4,FALSE)</f>
        <v>0.41</v>
      </c>
      <c r="Y1186">
        <f>VLOOKUP($B1186&amp;Y$1,Data!$A$2:$D$14000,4,FALSE)</f>
        <v>0.59</v>
      </c>
      <c r="Z1186">
        <f>VLOOKUP($B1186&amp;Z$1,Data!$A$2:$D$14000,4,FALSE)</f>
        <v>0.44</v>
      </c>
      <c r="AA1186">
        <f>VLOOKUP($B1186&amp;AA$1,Data!$A$2:$D$14000,4,FALSE)</f>
        <v>-2.4E-2</v>
      </c>
      <c r="AB1186">
        <f>VLOOKUP($B1186&amp;AB$1,Data!$A$2:$D$14000,4,FALSE)</f>
        <v>-3.0000000000000001E-3</v>
      </c>
      <c r="AC1186">
        <f>VLOOKUP($B1186&amp;AC$1,Data!$A$2:$D$14000,4,FALSE)</f>
        <v>0.02</v>
      </c>
      <c r="AD1186">
        <f>VLOOKUP($B1186&amp;AD$1,Data!$A$2:$D$14000,4,FALSE)</f>
        <v>0</v>
      </c>
      <c r="AE1186">
        <f>VLOOKUP($B1186&amp;AE$1,Data!$A$2:$D$14000,4,FALSE)</f>
        <v>-1.0629999999999999</v>
      </c>
      <c r="AF1186">
        <f>VLOOKUP($B1186&amp;AF$1,Data!$A$2:$D$14000,4,FALSE)</f>
        <v>7.0000000000000007E-2</v>
      </c>
      <c r="AG1186">
        <f>VLOOKUP($B1186&amp;AG$1,Data!$A$2:$D$14000,4,FALSE)</f>
        <v>7.1920000000000002</v>
      </c>
      <c r="AH1186">
        <f>VLOOKUP($B1186&amp;AH$1,Data!$A$2:$D$14000,4,FALSE)</f>
        <v>0</v>
      </c>
      <c r="AI1186">
        <f>VLOOKUP($B1186&amp;AI$1,Data!$A$2:$D$14000,4,FALSE)</f>
        <v>5000000</v>
      </c>
    </row>
    <row r="1187" spans="1:35" hidden="1">
      <c r="B1187" s="13">
        <v>2051</v>
      </c>
      <c r="C1187" s="13" t="s">
        <v>58</v>
      </c>
      <c r="D1187" t="s">
        <v>20</v>
      </c>
      <c r="E1187" t="s">
        <v>2</v>
      </c>
      <c r="F1187">
        <v>5000</v>
      </c>
      <c r="G1187" t="s">
        <v>17</v>
      </c>
      <c r="H1187" s="5">
        <v>43831</v>
      </c>
      <c r="I1187" s="5">
        <v>44562</v>
      </c>
      <c r="J1187">
        <v>14</v>
      </c>
      <c r="K1187">
        <v>9</v>
      </c>
      <c r="L1187">
        <v>30</v>
      </c>
      <c r="M1187">
        <v>70</v>
      </c>
      <c r="N1187">
        <v>1000000</v>
      </c>
      <c r="O1187">
        <f>VLOOKUP($B1187&amp;O$1,Data!$A$2:$D$14000,4,FALSE)</f>
        <v>3.0000000000000001E-5</v>
      </c>
      <c r="P1187">
        <f>VLOOKUP($B1187&amp;P$1,Data!$A$2:$D$14000,4,FALSE)</f>
        <v>-2.415</v>
      </c>
      <c r="Q1187">
        <f>VLOOKUP($B1187&amp;Q$1,Data!$A$2:$D$14000,4,FALSE)</f>
        <v>772</v>
      </c>
      <c r="R1187">
        <f>VLOOKUP($B1187&amp;R$1,Data!$A$2:$D$14000,4,FALSE)</f>
        <v>5.0000000000000001E-4</v>
      </c>
      <c r="S1187">
        <f>VLOOKUP($B1187&amp;S$1,Data!$A$2:$D$14000,4,FALSE)</f>
        <v>-1.9E-3</v>
      </c>
      <c r="T1187">
        <f>VLOOKUP($B1187&amp;T$1,Data!$A$2:$D$14000,4,FALSE)</f>
        <v>-9.3149999999999997E-2</v>
      </c>
      <c r="U1187">
        <f>VLOOKUP($B1187&amp;U$1,Data!$A$2:$D$14000,4,FALSE)</f>
        <v>6.6000000000000003E-2</v>
      </c>
      <c r="V1187">
        <f>VLOOKUP($B1187&amp;V$1,Data!$A$2:$D$14000,4,FALSE)</f>
        <v>-0.253</v>
      </c>
      <c r="W1187">
        <f>VLOOKUP($B1187&amp;W$1,Data!$A$2:$D$14000,4,FALSE)</f>
        <v>-6.3509999999999997E-2</v>
      </c>
      <c r="X1187">
        <f>VLOOKUP($B1187&amp;X$1,Data!$A$2:$D$14000,4,FALSE)</f>
        <v>0.4</v>
      </c>
      <c r="Y1187">
        <f>VLOOKUP($B1187&amp;Y$1,Data!$A$2:$D$14000,4,FALSE)</f>
        <v>0.6</v>
      </c>
      <c r="Z1187">
        <f>VLOOKUP($B1187&amp;Z$1,Data!$A$2:$D$14000,4,FALSE)</f>
        <v>0.24</v>
      </c>
      <c r="AA1187">
        <f>VLOOKUP($B1187&amp;AA$1,Data!$A$2:$D$14000,4,FALSE)</f>
        <v>-6.3E-2</v>
      </c>
      <c r="AB1187">
        <f>VLOOKUP($B1187&amp;AB$1,Data!$A$2:$D$14000,4,FALSE)</f>
        <v>-4.8000000000000001E-2</v>
      </c>
      <c r="AC1187">
        <f>VLOOKUP($B1187&amp;AC$1,Data!$A$2:$D$14000,4,FALSE)</f>
        <v>2.7E-2</v>
      </c>
      <c r="AD1187">
        <f>VLOOKUP($B1187&amp;AD$1,Data!$A$2:$D$14000,4,FALSE)</f>
        <v>1E-3</v>
      </c>
      <c r="AE1187">
        <f>VLOOKUP($B1187&amp;AE$1,Data!$A$2:$D$14000,4,FALSE)</f>
        <v>-1.5309999999999999</v>
      </c>
      <c r="AF1187">
        <f>VLOOKUP($B1187&amp;AF$1,Data!$A$2:$D$14000,4,FALSE)</f>
        <v>7.4999999999999997E-2</v>
      </c>
      <c r="AG1187">
        <f>VLOOKUP($B1187&amp;AG$1,Data!$A$2:$D$14000,4,FALSE)</f>
        <v>1.36</v>
      </c>
      <c r="AH1187">
        <f>VLOOKUP($B1187&amp;AH$1,Data!$A$2:$D$14000,4,FALSE)</f>
        <v>0</v>
      </c>
      <c r="AI1187">
        <f>VLOOKUP($B1187&amp;AI$1,Data!$A$2:$D$14000,4,FALSE)</f>
        <v>5300000</v>
      </c>
    </row>
    <row r="1188" spans="1:35" hidden="1">
      <c r="B1188" s="13">
        <v>2052</v>
      </c>
      <c r="C1188" s="13" t="s">
        <v>58</v>
      </c>
      <c r="D1188" t="s">
        <v>20</v>
      </c>
      <c r="E1188" t="s">
        <v>22</v>
      </c>
      <c r="F1188">
        <v>100</v>
      </c>
      <c r="G1188" t="s">
        <v>17</v>
      </c>
      <c r="H1188" s="5">
        <v>43831</v>
      </c>
      <c r="I1188" s="5">
        <v>44562</v>
      </c>
      <c r="J1188">
        <v>14</v>
      </c>
      <c r="K1188">
        <v>9</v>
      </c>
      <c r="L1188">
        <v>30</v>
      </c>
      <c r="M1188">
        <v>70</v>
      </c>
      <c r="N1188">
        <v>1000000</v>
      </c>
      <c r="O1188">
        <f>VLOOKUP($B1188&amp;O$1,Data!$A$2:$D$14000,4,FALSE)</f>
        <v>4.0910000000000002E-2</v>
      </c>
      <c r="P1188">
        <f>VLOOKUP($B1188&amp;P$1,Data!$A$2:$D$14000,4,FALSE)</f>
        <v>-0.84199999999999997</v>
      </c>
      <c r="Q1188">
        <f>VLOOKUP($B1188&amp;Q$1,Data!$A$2:$D$14000,4,FALSE)</f>
        <v>833</v>
      </c>
      <c r="R1188">
        <f>VLOOKUP($B1188&amp;R$1,Data!$A$2:$D$14000,4,FALSE)</f>
        <v>1E-4</v>
      </c>
      <c r="S1188">
        <f>VLOOKUP($B1188&amp;S$1,Data!$A$2:$D$14000,4,FALSE)</f>
        <v>-4.0000000000000002E-4</v>
      </c>
      <c r="T1188">
        <f>VLOOKUP($B1188&amp;T$1,Data!$A$2:$D$14000,4,FALSE)</f>
        <v>-7.8399999999999997E-3</v>
      </c>
      <c r="U1188">
        <f>VLOOKUP($B1188&amp;U$1,Data!$A$2:$D$14000,4,FALSE)</f>
        <v>8.9999999999999993E-3</v>
      </c>
      <c r="V1188">
        <f>VLOOKUP($B1188&amp;V$1,Data!$A$2:$D$14000,4,FALSE)</f>
        <v>-0.14099999999999999</v>
      </c>
      <c r="W1188">
        <f>VLOOKUP($B1188&amp;W$1,Data!$A$2:$D$14000,4,FALSE)</f>
        <v>-5.2700000000000004E-3</v>
      </c>
      <c r="X1188">
        <f>VLOOKUP($B1188&amp;X$1,Data!$A$2:$D$14000,4,FALSE)</f>
        <v>0.36</v>
      </c>
      <c r="Y1188">
        <f>VLOOKUP($B1188&amp;Y$1,Data!$A$2:$D$14000,4,FALSE)</f>
        <v>0.64</v>
      </c>
      <c r="Z1188">
        <f>VLOOKUP($B1188&amp;Z$1,Data!$A$2:$D$14000,4,FALSE)</f>
        <v>0.35</v>
      </c>
      <c r="AA1188">
        <f>VLOOKUP($B1188&amp;AA$1,Data!$A$2:$D$14000,4,FALSE)</f>
        <v>-5.0000000000000001E-3</v>
      </c>
      <c r="AB1188">
        <f>VLOOKUP($B1188&amp;AB$1,Data!$A$2:$D$14000,4,FALSE)</f>
        <v>-3.0000000000000001E-3</v>
      </c>
      <c r="AC1188">
        <f>VLOOKUP($B1188&amp;AC$1,Data!$A$2:$D$14000,4,FALSE)</f>
        <v>6.0000000000000001E-3</v>
      </c>
      <c r="AD1188">
        <f>VLOOKUP($B1188&amp;AD$1,Data!$A$2:$D$14000,4,FALSE)</f>
        <v>0</v>
      </c>
      <c r="AE1188">
        <f>VLOOKUP($B1188&amp;AE$1,Data!$A$2:$D$14000,4,FALSE)</f>
        <v>-0.81899999999999995</v>
      </c>
      <c r="AF1188">
        <f>VLOOKUP($B1188&amp;AF$1,Data!$A$2:$D$14000,4,FALSE)</f>
        <v>6.8000000000000005E-2</v>
      </c>
      <c r="AG1188">
        <f>VLOOKUP($B1188&amp;AG$1,Data!$A$2:$D$14000,4,FALSE)</f>
        <v>2.1280000000000001</v>
      </c>
      <c r="AH1188">
        <f>VLOOKUP($B1188&amp;AH$1,Data!$A$2:$D$14000,4,FALSE)</f>
        <v>0</v>
      </c>
      <c r="AI1188">
        <f>VLOOKUP($B1188&amp;AI$1,Data!$A$2:$D$14000,4,FALSE)</f>
        <v>54000000</v>
      </c>
    </row>
    <row r="1189" spans="1:35" hidden="1">
      <c r="B1189" s="13">
        <v>2053</v>
      </c>
      <c r="C1189" s="13" t="s">
        <v>58</v>
      </c>
      <c r="D1189" t="s">
        <v>20</v>
      </c>
      <c r="E1189" t="s">
        <v>22</v>
      </c>
      <c r="F1189">
        <v>1000</v>
      </c>
      <c r="G1189" t="s">
        <v>17</v>
      </c>
      <c r="H1189" s="5">
        <v>43831</v>
      </c>
      <c r="I1189" s="5">
        <v>44562</v>
      </c>
      <c r="J1189">
        <v>14</v>
      </c>
      <c r="K1189">
        <v>9</v>
      </c>
      <c r="L1189">
        <v>30</v>
      </c>
      <c r="M1189">
        <v>70</v>
      </c>
      <c r="N1189">
        <v>1000000</v>
      </c>
      <c r="O1189">
        <f>VLOOKUP($B1189&amp;O$1,Data!$A$2:$D$14000,4,FALSE)</f>
        <v>4.7000000000000002E-3</v>
      </c>
      <c r="P1189">
        <f>VLOOKUP($B1189&amp;P$1,Data!$A$2:$D$14000,4,FALSE)</f>
        <v>-1.3839999999999999</v>
      </c>
      <c r="Q1189">
        <f>VLOOKUP($B1189&amp;Q$1,Data!$A$2:$D$14000,4,FALSE)</f>
        <v>674</v>
      </c>
      <c r="R1189">
        <f>VLOOKUP($B1189&amp;R$1,Data!$A$2:$D$14000,4,FALSE)</f>
        <v>4.0000000000000002E-4</v>
      </c>
      <c r="S1189">
        <f>VLOOKUP($B1189&amp;S$1,Data!$A$2:$D$14000,4,FALSE)</f>
        <v>-1.6999999999999999E-3</v>
      </c>
      <c r="T1189">
        <f>VLOOKUP($B1189&amp;T$1,Data!$A$2:$D$14000,4,FALSE)</f>
        <v>-4.7509999999999997E-2</v>
      </c>
      <c r="U1189">
        <f>VLOOKUP($B1189&amp;U$1,Data!$A$2:$D$14000,4,FALSE)</f>
        <v>3.4000000000000002E-2</v>
      </c>
      <c r="V1189">
        <f>VLOOKUP($B1189&amp;V$1,Data!$A$2:$D$14000,4,FALSE)</f>
        <v>-0.189</v>
      </c>
      <c r="W1189">
        <f>VLOOKUP($B1189&amp;W$1,Data!$A$2:$D$14000,4,FALSE)</f>
        <v>-3.2140000000000002E-2</v>
      </c>
      <c r="X1189">
        <f>VLOOKUP($B1189&amp;X$1,Data!$A$2:$D$14000,4,FALSE)</f>
        <v>0.35</v>
      </c>
      <c r="Y1189">
        <f>VLOOKUP($B1189&amp;Y$1,Data!$A$2:$D$14000,4,FALSE)</f>
        <v>0.65</v>
      </c>
      <c r="Z1189">
        <f>VLOOKUP($B1189&amp;Z$1,Data!$A$2:$D$14000,4,FALSE)</f>
        <v>0.25</v>
      </c>
      <c r="AA1189">
        <f>VLOOKUP($B1189&amp;AA$1,Data!$A$2:$D$14000,4,FALSE)</f>
        <v>-3.2000000000000001E-2</v>
      </c>
      <c r="AB1189">
        <f>VLOOKUP($B1189&amp;AB$1,Data!$A$2:$D$14000,4,FALSE)</f>
        <v>-2.1000000000000001E-2</v>
      </c>
      <c r="AC1189">
        <f>VLOOKUP($B1189&amp;AC$1,Data!$A$2:$D$14000,4,FALSE)</f>
        <v>2.4E-2</v>
      </c>
      <c r="AD1189">
        <f>VLOOKUP($B1189&amp;AD$1,Data!$A$2:$D$14000,4,FALSE)</f>
        <v>1E-3</v>
      </c>
      <c r="AE1189">
        <f>VLOOKUP($B1189&amp;AE$1,Data!$A$2:$D$14000,4,FALSE)</f>
        <v>-1.1419999999999999</v>
      </c>
      <c r="AF1189">
        <f>VLOOKUP($B1189&amp;AF$1,Data!$A$2:$D$14000,4,FALSE)</f>
        <v>7.1999999999999995E-2</v>
      </c>
      <c r="AG1189">
        <f>VLOOKUP($B1189&amp;AG$1,Data!$A$2:$D$14000,4,FALSE)</f>
        <v>1.5309999999999999</v>
      </c>
      <c r="AH1189">
        <f>VLOOKUP($B1189&amp;AH$1,Data!$A$2:$D$14000,4,FALSE)</f>
        <v>0</v>
      </c>
      <c r="AI1189">
        <f>VLOOKUP($B1189&amp;AI$1,Data!$A$2:$D$14000,4,FALSE)</f>
        <v>9200000</v>
      </c>
    </row>
    <row r="1190" spans="1:35" hidden="1">
      <c r="B1190" s="13">
        <v>2054</v>
      </c>
      <c r="C1190" s="13" t="s">
        <v>58</v>
      </c>
      <c r="D1190" t="s">
        <v>20</v>
      </c>
      <c r="E1190" t="s">
        <v>22</v>
      </c>
      <c r="F1190">
        <v>5000</v>
      </c>
      <c r="G1190" t="s">
        <v>17</v>
      </c>
      <c r="H1190" s="5">
        <v>43831</v>
      </c>
      <c r="I1190" s="5">
        <v>44562</v>
      </c>
      <c r="J1190">
        <v>14</v>
      </c>
      <c r="K1190">
        <v>9</v>
      </c>
      <c r="L1190">
        <v>30</v>
      </c>
      <c r="M1190">
        <v>70</v>
      </c>
      <c r="N1190">
        <v>1000000</v>
      </c>
      <c r="O1190">
        <f>VLOOKUP($B1190&amp;O$1,Data!$A$2:$D$14000,4,FALSE)</f>
        <v>1.027E-2</v>
      </c>
      <c r="P1190">
        <f>VLOOKUP($B1190&amp;P$1,Data!$A$2:$D$14000,4,FALSE)</f>
        <v>-1.157</v>
      </c>
      <c r="Q1190">
        <f>VLOOKUP($B1190&amp;Q$1,Data!$A$2:$D$14000,4,FALSE)</f>
        <v>519</v>
      </c>
      <c r="R1190">
        <f>VLOOKUP($B1190&amp;R$1,Data!$A$2:$D$14000,4,FALSE)</f>
        <v>5.9999999999999995E-4</v>
      </c>
      <c r="S1190">
        <f>VLOOKUP($B1190&amp;S$1,Data!$A$2:$D$14000,4,FALSE)</f>
        <v>-2.0999999999999999E-3</v>
      </c>
      <c r="T1190">
        <f>VLOOKUP($B1190&amp;T$1,Data!$A$2:$D$14000,4,FALSE)</f>
        <v>-3.8309999999999997E-2</v>
      </c>
      <c r="U1190">
        <f>VLOOKUP($B1190&amp;U$1,Data!$A$2:$D$14000,4,FALSE)</f>
        <v>3.2000000000000001E-2</v>
      </c>
      <c r="V1190">
        <f>VLOOKUP($B1190&amp;V$1,Data!$A$2:$D$14000,4,FALSE)</f>
        <v>-0.14399999999999999</v>
      </c>
      <c r="W1190">
        <f>VLOOKUP($B1190&amp;W$1,Data!$A$2:$D$14000,4,FALSE)</f>
        <v>-2.5870000000000001E-2</v>
      </c>
      <c r="X1190">
        <f>VLOOKUP($B1190&amp;X$1,Data!$A$2:$D$14000,4,FALSE)</f>
        <v>0.34</v>
      </c>
      <c r="Y1190">
        <f>VLOOKUP($B1190&amp;Y$1,Data!$A$2:$D$14000,4,FALSE)</f>
        <v>0.66</v>
      </c>
      <c r="Z1190">
        <f>VLOOKUP($B1190&amp;Z$1,Data!$A$2:$D$14000,4,FALSE)</f>
        <v>0.28999999999999998</v>
      </c>
      <c r="AA1190">
        <f>VLOOKUP($B1190&amp;AA$1,Data!$A$2:$D$14000,4,FALSE)</f>
        <v>-2.5999999999999999E-2</v>
      </c>
      <c r="AB1190">
        <f>VLOOKUP($B1190&amp;AB$1,Data!$A$2:$D$14000,4,FALSE)</f>
        <v>-1.7000000000000001E-2</v>
      </c>
      <c r="AC1190">
        <f>VLOOKUP($B1190&amp;AC$1,Data!$A$2:$D$14000,4,FALSE)</f>
        <v>2.3E-2</v>
      </c>
      <c r="AD1190">
        <f>VLOOKUP($B1190&amp;AD$1,Data!$A$2:$D$14000,4,FALSE)</f>
        <v>1E-3</v>
      </c>
      <c r="AE1190">
        <f>VLOOKUP($B1190&amp;AE$1,Data!$A$2:$D$14000,4,FALSE)</f>
        <v>-1.0609999999999999</v>
      </c>
      <c r="AF1190">
        <f>VLOOKUP($B1190&amp;AF$1,Data!$A$2:$D$14000,4,FALSE)</f>
        <v>7.1999999999999995E-2</v>
      </c>
      <c r="AG1190">
        <f>VLOOKUP($B1190&amp;AG$1,Data!$A$2:$D$14000,4,FALSE)</f>
        <v>1.514</v>
      </c>
      <c r="AH1190">
        <f>VLOOKUP($B1190&amp;AH$1,Data!$A$2:$D$14000,4,FALSE)</f>
        <v>0</v>
      </c>
      <c r="AI1190">
        <f>VLOOKUP($B1190&amp;AI$1,Data!$A$2:$D$14000,4,FALSE)</f>
        <v>6200000</v>
      </c>
    </row>
    <row r="1191" spans="1:35" hidden="1">
      <c r="B1191" s="13">
        <v>2055</v>
      </c>
      <c r="C1191" s="13" t="s">
        <v>58</v>
      </c>
      <c r="D1191" t="s">
        <v>21</v>
      </c>
      <c r="E1191" t="s">
        <v>3</v>
      </c>
      <c r="F1191">
        <v>100</v>
      </c>
      <c r="G1191" t="s">
        <v>17</v>
      </c>
      <c r="H1191" s="5">
        <v>43831</v>
      </c>
      <c r="I1191" s="5">
        <v>44562</v>
      </c>
      <c r="J1191">
        <v>14</v>
      </c>
      <c r="K1191">
        <v>9</v>
      </c>
      <c r="L1191">
        <v>30</v>
      </c>
      <c r="M1191">
        <v>70</v>
      </c>
      <c r="N1191">
        <v>1000000</v>
      </c>
      <c r="O1191">
        <f>VLOOKUP($B1191&amp;O$1,Data!$A$2:$D$14000,4,FALSE)</f>
        <v>0.12551000000000001</v>
      </c>
      <c r="P1191">
        <f>VLOOKUP($B1191&amp;P$1,Data!$A$2:$D$14000,4,FALSE)</f>
        <v>-0.17199999999999999</v>
      </c>
      <c r="Q1191">
        <f>VLOOKUP($B1191&amp;Q$1,Data!$A$2:$D$14000,4,FALSE)</f>
        <v>1809</v>
      </c>
      <c r="R1191">
        <f>VLOOKUP($B1191&amp;R$1,Data!$A$2:$D$14000,4,FALSE)</f>
        <v>4.0000000000000002E-4</v>
      </c>
      <c r="S1191">
        <f>VLOOKUP($B1191&amp;S$1,Data!$A$2:$D$14000,4,FALSE)</f>
        <v>-8.0000000000000004E-4</v>
      </c>
      <c r="T1191">
        <f>VLOOKUP($B1191&amp;T$1,Data!$A$2:$D$14000,4,FALSE)</f>
        <v>-3.2299999999999998E-3</v>
      </c>
      <c r="U1191">
        <f>VLOOKUP($B1191&amp;U$1,Data!$A$2:$D$14000,4,FALSE)</f>
        <v>1.7000000000000001E-2</v>
      </c>
      <c r="V1191">
        <f>VLOOKUP($B1191&amp;V$1,Data!$A$2:$D$14000,4,FALSE)</f>
        <v>-2.5999999999999999E-2</v>
      </c>
      <c r="W1191">
        <f>VLOOKUP($B1191&amp;W$1,Data!$A$2:$D$14000,4,FALSE)</f>
        <v>-2.1700000000000001E-3</v>
      </c>
      <c r="X1191">
        <f>VLOOKUP($B1191&amp;X$1,Data!$A$2:$D$14000,4,FALSE)</f>
        <v>0.37</v>
      </c>
      <c r="Y1191">
        <f>VLOOKUP($B1191&amp;Y$1,Data!$A$2:$D$14000,4,FALSE)</f>
        <v>0.63</v>
      </c>
      <c r="Z1191">
        <f>VLOOKUP($B1191&amp;Z$1,Data!$A$2:$D$14000,4,FALSE)</f>
        <v>0.55000000000000004</v>
      </c>
      <c r="AA1191">
        <f>VLOOKUP($B1191&amp;AA$1,Data!$A$2:$D$14000,4,FALSE)</f>
        <v>-2E-3</v>
      </c>
      <c r="AB1191">
        <f>VLOOKUP($B1191&amp;AB$1,Data!$A$2:$D$14000,4,FALSE)</f>
        <v>-6.0000000000000001E-3</v>
      </c>
      <c r="AC1191">
        <f>VLOOKUP($B1191&amp;AC$1,Data!$A$2:$D$14000,4,FALSE)</f>
        <v>1.2999999999999999E-2</v>
      </c>
      <c r="AD1191">
        <f>VLOOKUP($B1191&amp;AD$1,Data!$A$2:$D$14000,4,FALSE)</f>
        <v>0</v>
      </c>
      <c r="AE1191">
        <f>VLOOKUP($B1191&amp;AE$1,Data!$A$2:$D$14000,4,FALSE)</f>
        <v>-0.75900000000000001</v>
      </c>
      <c r="AF1191">
        <f>VLOOKUP($B1191&amp;AF$1,Data!$A$2:$D$14000,4,FALSE)</f>
        <v>6.9000000000000006E-2</v>
      </c>
      <c r="AG1191">
        <f>VLOOKUP($B1191&amp;AG$1,Data!$A$2:$D$14000,4,FALSE)</f>
        <v>0.34799999999999998</v>
      </c>
      <c r="AH1191">
        <f>VLOOKUP($B1191&amp;AH$1,Data!$A$2:$D$14000,4,FALSE)</f>
        <v>0</v>
      </c>
      <c r="AI1191" t="e">
        <f>VLOOKUP($B1191&amp;AI$1,Data!$A$2:$D$14000,4,FALSE)</f>
        <v>#N/A</v>
      </c>
    </row>
    <row r="1192" spans="1:35" hidden="1">
      <c r="B1192" s="13">
        <v>2056</v>
      </c>
      <c r="C1192" s="13" t="s">
        <v>58</v>
      </c>
      <c r="D1192" t="s">
        <v>21</v>
      </c>
      <c r="E1192" t="s">
        <v>3</v>
      </c>
      <c r="F1192">
        <v>1000</v>
      </c>
      <c r="G1192" t="s">
        <v>17</v>
      </c>
      <c r="H1192" s="5">
        <v>43831</v>
      </c>
      <c r="I1192" s="5">
        <v>44562</v>
      </c>
      <c r="J1192">
        <v>14</v>
      </c>
      <c r="K1192">
        <v>9</v>
      </c>
      <c r="L1192">
        <v>30</v>
      </c>
      <c r="M1192">
        <v>70</v>
      </c>
      <c r="N1192">
        <v>1000000</v>
      </c>
      <c r="O1192">
        <f>VLOOKUP($B1192&amp;O$1,Data!$A$2:$D$14000,4,FALSE)</f>
        <v>5.552E-2</v>
      </c>
      <c r="P1192">
        <f>VLOOKUP($B1192&amp;P$1,Data!$A$2:$D$14000,4,FALSE)</f>
        <v>-0.61</v>
      </c>
      <c r="Q1192">
        <f>VLOOKUP($B1192&amp;Q$1,Data!$A$2:$D$14000,4,FALSE)</f>
        <v>1380</v>
      </c>
      <c r="R1192">
        <f>VLOOKUP($B1192&amp;R$1,Data!$A$2:$D$14000,4,FALSE)</f>
        <v>1.1000000000000001E-3</v>
      </c>
      <c r="S1192">
        <f>VLOOKUP($B1192&amp;S$1,Data!$A$2:$D$14000,4,FALSE)</f>
        <v>-2.5999999999999999E-3</v>
      </c>
      <c r="T1192">
        <f>VLOOKUP($B1192&amp;T$1,Data!$A$2:$D$14000,4,FALSE)</f>
        <v>-3.2219999999999999E-2</v>
      </c>
      <c r="U1192">
        <f>VLOOKUP($B1192&amp;U$1,Data!$A$2:$D$14000,4,FALSE)</f>
        <v>5.2999999999999999E-2</v>
      </c>
      <c r="V1192">
        <f>VLOOKUP($B1192&amp;V$1,Data!$A$2:$D$14000,4,FALSE)</f>
        <v>-7.2999999999999995E-2</v>
      </c>
      <c r="W1192">
        <f>VLOOKUP($B1192&amp;W$1,Data!$A$2:$D$14000,4,FALSE)</f>
        <v>-2.1739999999999999E-2</v>
      </c>
      <c r="X1192">
        <f>VLOOKUP($B1192&amp;X$1,Data!$A$2:$D$14000,4,FALSE)</f>
        <v>0.36</v>
      </c>
      <c r="Y1192">
        <f>VLOOKUP($B1192&amp;Y$1,Data!$A$2:$D$14000,4,FALSE)</f>
        <v>0.64</v>
      </c>
      <c r="Z1192">
        <f>VLOOKUP($B1192&amp;Z$1,Data!$A$2:$D$14000,4,FALSE)</f>
        <v>0.45</v>
      </c>
      <c r="AA1192">
        <f>VLOOKUP($B1192&amp;AA$1,Data!$A$2:$D$14000,4,FALSE)</f>
        <v>-1.7999999999999999E-2</v>
      </c>
      <c r="AB1192">
        <f>VLOOKUP($B1192&amp;AB$1,Data!$A$2:$D$14000,4,FALSE)</f>
        <v>-6.7000000000000004E-2</v>
      </c>
      <c r="AC1192">
        <f>VLOOKUP($B1192&amp;AC$1,Data!$A$2:$D$14000,4,FALSE)</f>
        <v>3.5999999999999997E-2</v>
      </c>
      <c r="AD1192">
        <f>VLOOKUP($B1192&amp;AD$1,Data!$A$2:$D$14000,4,FALSE)</f>
        <v>1E-3</v>
      </c>
      <c r="AE1192">
        <f>VLOOKUP($B1192&amp;AE$1,Data!$A$2:$D$14000,4,FALSE)</f>
        <v>-0.89800000000000002</v>
      </c>
      <c r="AF1192">
        <f>VLOOKUP($B1192&amp;AF$1,Data!$A$2:$D$14000,4,FALSE)</f>
        <v>0.08</v>
      </c>
      <c r="AG1192">
        <f>VLOOKUP($B1192&amp;AG$1,Data!$A$2:$D$14000,4,FALSE)</f>
        <v>0.32700000000000001</v>
      </c>
      <c r="AH1192">
        <f>VLOOKUP($B1192&amp;AH$1,Data!$A$2:$D$14000,4,FALSE)</f>
        <v>0</v>
      </c>
      <c r="AI1192">
        <f>VLOOKUP($B1192&amp;AI$1,Data!$A$2:$D$14000,4,FALSE)</f>
        <v>4600000</v>
      </c>
    </row>
    <row r="1193" spans="1:35" hidden="1">
      <c r="B1193" s="13">
        <v>2057</v>
      </c>
      <c r="C1193" s="13" t="s">
        <v>58</v>
      </c>
      <c r="D1193" t="s">
        <v>21</v>
      </c>
      <c r="E1193" t="s">
        <v>3</v>
      </c>
      <c r="F1193">
        <v>5000</v>
      </c>
      <c r="G1193" t="s">
        <v>17</v>
      </c>
      <c r="H1193" s="5">
        <v>43831</v>
      </c>
      <c r="I1193" s="5">
        <v>44562</v>
      </c>
      <c r="J1193">
        <v>14</v>
      </c>
      <c r="K1193">
        <v>9</v>
      </c>
      <c r="L1193">
        <v>30</v>
      </c>
      <c r="M1193">
        <v>70</v>
      </c>
      <c r="N1193">
        <v>1000000</v>
      </c>
      <c r="O1193">
        <f>VLOOKUP($B1193&amp;O$1,Data!$A$2:$D$14000,4,FALSE)</f>
        <v>0.24312</v>
      </c>
      <c r="P1193">
        <f>VLOOKUP($B1193&amp;P$1,Data!$A$2:$D$14000,4,FALSE)</f>
        <v>0.29499999999999998</v>
      </c>
      <c r="Q1193">
        <f>VLOOKUP($B1193&amp;Q$1,Data!$A$2:$D$14000,4,FALSE)</f>
        <v>1041</v>
      </c>
      <c r="R1193">
        <f>VLOOKUP($B1193&amp;R$1,Data!$A$2:$D$14000,4,FALSE)</f>
        <v>1.6999999999999999E-3</v>
      </c>
      <c r="S1193">
        <f>VLOOKUP($B1193&amp;S$1,Data!$A$2:$D$14000,4,FALSE)</f>
        <v>-3.0999999999999999E-3</v>
      </c>
      <c r="T1193">
        <f>VLOOKUP($B1193&amp;T$1,Data!$A$2:$D$14000,4,FALSE)</f>
        <v>1.6879999999999999E-2</v>
      </c>
      <c r="U1193">
        <f>VLOOKUP($B1193&amp;U$1,Data!$A$2:$D$14000,4,FALSE)</f>
        <v>0.05</v>
      </c>
      <c r="V1193">
        <f>VLOOKUP($B1193&amp;V$1,Data!$A$2:$D$14000,4,FALSE)</f>
        <v>3.5999999999999997E-2</v>
      </c>
      <c r="W1193">
        <f>VLOOKUP($B1193&amp;W$1,Data!$A$2:$D$14000,4,FALSE)</f>
        <v>1.1299999999999999E-2</v>
      </c>
      <c r="X1193">
        <f>VLOOKUP($B1193&amp;X$1,Data!$A$2:$D$14000,4,FALSE)</f>
        <v>0.33</v>
      </c>
      <c r="Y1193">
        <f>VLOOKUP($B1193&amp;Y$1,Data!$A$2:$D$14000,4,FALSE)</f>
        <v>0.67</v>
      </c>
      <c r="Z1193">
        <f>VLOOKUP($B1193&amp;Z$1,Data!$A$2:$D$14000,4,FALSE)</f>
        <v>0.54</v>
      </c>
      <c r="AA1193">
        <f>VLOOKUP($B1193&amp;AA$1,Data!$A$2:$D$14000,4,FALSE)</f>
        <v>0.02</v>
      </c>
      <c r="AB1193">
        <f>VLOOKUP($B1193&amp;AB$1,Data!$A$2:$D$14000,4,FALSE)</f>
        <v>-0.14899999999999999</v>
      </c>
      <c r="AC1193">
        <f>VLOOKUP($B1193&amp;AC$1,Data!$A$2:$D$14000,4,FALSE)</f>
        <v>4.2999999999999997E-2</v>
      </c>
      <c r="AD1193">
        <f>VLOOKUP($B1193&amp;AD$1,Data!$A$2:$D$14000,4,FALSE)</f>
        <v>2E-3</v>
      </c>
      <c r="AE1193">
        <f>VLOOKUP($B1193&amp;AE$1,Data!$A$2:$D$14000,4,FALSE)</f>
        <v>-0.42699999999999999</v>
      </c>
      <c r="AF1193">
        <f>VLOOKUP($B1193&amp;AF$1,Data!$A$2:$D$14000,4,FALSE)</f>
        <v>8.6999999999999994E-2</v>
      </c>
      <c r="AG1193">
        <f>VLOOKUP($B1193&amp;AG$1,Data!$A$2:$D$14000,4,FALSE)</f>
        <v>-8.5000000000000006E-2</v>
      </c>
      <c r="AH1193">
        <f>VLOOKUP($B1193&amp;AH$1,Data!$A$2:$D$14000,4,FALSE)</f>
        <v>0</v>
      </c>
      <c r="AI1193">
        <f>VLOOKUP($B1193&amp;AI$1,Data!$A$2:$D$14000,4,FALSE)</f>
        <v>4700000</v>
      </c>
    </row>
    <row r="1194" spans="1:35" hidden="1">
      <c r="B1194" s="13">
        <v>2058</v>
      </c>
      <c r="C1194" s="13" t="s">
        <v>58</v>
      </c>
      <c r="D1194" t="s">
        <v>21</v>
      </c>
      <c r="E1194" t="s">
        <v>2</v>
      </c>
      <c r="F1194">
        <v>100</v>
      </c>
      <c r="G1194" t="s">
        <v>17</v>
      </c>
      <c r="H1194" s="5">
        <v>43831</v>
      </c>
      <c r="I1194" s="5">
        <v>44562</v>
      </c>
      <c r="J1194">
        <v>14</v>
      </c>
      <c r="K1194">
        <v>9</v>
      </c>
      <c r="L1194">
        <v>30</v>
      </c>
      <c r="M1194">
        <v>70</v>
      </c>
      <c r="N1194">
        <v>1000000</v>
      </c>
      <c r="O1194">
        <f>VLOOKUP($B1194&amp;O$1,Data!$A$2:$D$14000,4,FALSE)</f>
        <v>0.14899999999999999</v>
      </c>
      <c r="P1194">
        <f>VLOOKUP($B1194&amp;P$1,Data!$A$2:$D$14000,4,FALSE)</f>
        <v>-6.6000000000000003E-2</v>
      </c>
      <c r="Q1194">
        <f>VLOOKUP($B1194&amp;Q$1,Data!$A$2:$D$14000,4,FALSE)</f>
        <v>1005</v>
      </c>
      <c r="R1194">
        <f>VLOOKUP($B1194&amp;R$1,Data!$A$2:$D$14000,4,FALSE)</f>
        <v>5.0000000000000001E-4</v>
      </c>
      <c r="S1194">
        <f>VLOOKUP($B1194&amp;S$1,Data!$A$2:$D$14000,4,FALSE)</f>
        <v>-1E-3</v>
      </c>
      <c r="T1194">
        <f>VLOOKUP($B1194&amp;T$1,Data!$A$2:$D$14000,4,FALSE)</f>
        <v>-1.57E-3</v>
      </c>
      <c r="U1194">
        <f>VLOOKUP($B1194&amp;U$1,Data!$A$2:$D$14000,4,FALSE)</f>
        <v>1.0999999999999999E-2</v>
      </c>
      <c r="V1194">
        <f>VLOOKUP($B1194&amp;V$1,Data!$A$2:$D$14000,4,FALSE)</f>
        <v>-8.9999999999999993E-3</v>
      </c>
      <c r="W1194">
        <f>VLOOKUP($B1194&amp;W$1,Data!$A$2:$D$14000,4,FALSE)</f>
        <v>-1.06E-3</v>
      </c>
      <c r="X1194">
        <f>VLOOKUP($B1194&amp;X$1,Data!$A$2:$D$14000,4,FALSE)</f>
        <v>0.33</v>
      </c>
      <c r="Y1194">
        <f>VLOOKUP($B1194&amp;Y$1,Data!$A$2:$D$14000,4,FALSE)</f>
        <v>0.67</v>
      </c>
      <c r="Z1194">
        <f>VLOOKUP($B1194&amp;Z$1,Data!$A$2:$D$14000,4,FALSE)</f>
        <v>0.48</v>
      </c>
      <c r="AA1194">
        <f>VLOOKUP($B1194&amp;AA$1,Data!$A$2:$D$14000,4,FALSE)</f>
        <v>-1E-3</v>
      </c>
      <c r="AB1194">
        <f>VLOOKUP($B1194&amp;AB$1,Data!$A$2:$D$14000,4,FALSE)</f>
        <v>1E-3</v>
      </c>
      <c r="AC1194">
        <f>VLOOKUP($B1194&amp;AC$1,Data!$A$2:$D$14000,4,FALSE)</f>
        <v>1.4999999999999999E-2</v>
      </c>
      <c r="AD1194">
        <f>VLOOKUP($B1194&amp;AD$1,Data!$A$2:$D$14000,4,FALSE)</f>
        <v>0</v>
      </c>
      <c r="AE1194">
        <f>VLOOKUP($B1194&amp;AE$1,Data!$A$2:$D$14000,4,FALSE)</f>
        <v>-0.74199999999999999</v>
      </c>
      <c r="AF1194">
        <f>VLOOKUP($B1194&amp;AF$1,Data!$A$2:$D$14000,4,FALSE)</f>
        <v>6.9000000000000006E-2</v>
      </c>
      <c r="AG1194">
        <f>VLOOKUP($B1194&amp;AG$1,Data!$A$2:$D$14000,4,FALSE)</f>
        <v>-1.4650000000000001</v>
      </c>
      <c r="AH1194">
        <f>VLOOKUP($B1194&amp;AH$1,Data!$A$2:$D$14000,4,FALSE)</f>
        <v>0</v>
      </c>
      <c r="AI1194">
        <f>VLOOKUP($B1194&amp;AI$1,Data!$A$2:$D$14000,4,FALSE)</f>
        <v>34000000</v>
      </c>
    </row>
    <row r="1195" spans="1:35" hidden="1">
      <c r="B1195" s="13">
        <v>2059</v>
      </c>
      <c r="C1195" s="13" t="s">
        <v>58</v>
      </c>
      <c r="D1195" t="s">
        <v>21</v>
      </c>
      <c r="E1195" t="s">
        <v>2</v>
      </c>
      <c r="F1195">
        <v>1000</v>
      </c>
      <c r="G1195" t="s">
        <v>17</v>
      </c>
      <c r="H1195" s="5">
        <v>43831</v>
      </c>
      <c r="I1195" s="5">
        <v>44562</v>
      </c>
      <c r="J1195">
        <v>14</v>
      </c>
      <c r="K1195">
        <v>9</v>
      </c>
      <c r="L1195">
        <v>30</v>
      </c>
      <c r="M1195">
        <v>70</v>
      </c>
      <c r="N1195">
        <v>1000000</v>
      </c>
      <c r="O1195">
        <f>VLOOKUP($B1195&amp;O$1,Data!$A$2:$D$14000,4,FALSE)</f>
        <v>2.0910000000000002E-2</v>
      </c>
      <c r="P1195">
        <f>VLOOKUP($B1195&amp;P$1,Data!$A$2:$D$14000,4,FALSE)</f>
        <v>-1.008</v>
      </c>
      <c r="Q1195">
        <f>VLOOKUP($B1195&amp;Q$1,Data!$A$2:$D$14000,4,FALSE)</f>
        <v>762</v>
      </c>
      <c r="R1195">
        <f>VLOOKUP($B1195&amp;R$1,Data!$A$2:$D$14000,4,FALSE)</f>
        <v>1E-3</v>
      </c>
      <c r="S1195">
        <f>VLOOKUP($B1195&amp;S$1,Data!$A$2:$D$14000,4,FALSE)</f>
        <v>-3.5000000000000001E-3</v>
      </c>
      <c r="T1195">
        <f>VLOOKUP($B1195&amp;T$1,Data!$A$2:$D$14000,4,FALSE)</f>
        <v>-6.0150000000000002E-2</v>
      </c>
      <c r="U1195">
        <f>VLOOKUP($B1195&amp;U$1,Data!$A$2:$D$14000,4,FALSE)</f>
        <v>4.8000000000000001E-2</v>
      </c>
      <c r="V1195">
        <f>VLOOKUP($B1195&amp;V$1,Data!$A$2:$D$14000,4,FALSE)</f>
        <v>-0.158</v>
      </c>
      <c r="W1195">
        <f>VLOOKUP($B1195&amp;W$1,Data!$A$2:$D$14000,4,FALSE)</f>
        <v>-4.0779999999999997E-2</v>
      </c>
      <c r="X1195">
        <f>VLOOKUP($B1195&amp;X$1,Data!$A$2:$D$14000,4,FALSE)</f>
        <v>0.35</v>
      </c>
      <c r="Y1195">
        <f>VLOOKUP($B1195&amp;Y$1,Data!$A$2:$D$14000,4,FALSE)</f>
        <v>0.65</v>
      </c>
      <c r="Z1195">
        <f>VLOOKUP($B1195&amp;Z$1,Data!$A$2:$D$14000,4,FALSE)</f>
        <v>0.28999999999999998</v>
      </c>
      <c r="AA1195">
        <f>VLOOKUP($B1195&amp;AA$1,Data!$A$2:$D$14000,4,FALSE)</f>
        <v>-0.04</v>
      </c>
      <c r="AB1195">
        <f>VLOOKUP($B1195&amp;AB$1,Data!$A$2:$D$14000,4,FALSE)</f>
        <v>-2.9000000000000001E-2</v>
      </c>
      <c r="AC1195">
        <f>VLOOKUP($B1195&amp;AC$1,Data!$A$2:$D$14000,4,FALSE)</f>
        <v>4.1000000000000002E-2</v>
      </c>
      <c r="AD1195">
        <f>VLOOKUP($B1195&amp;AD$1,Data!$A$2:$D$14000,4,FALSE)</f>
        <v>2E-3</v>
      </c>
      <c r="AE1195">
        <f>VLOOKUP($B1195&amp;AE$1,Data!$A$2:$D$14000,4,FALSE)</f>
        <v>-1.137</v>
      </c>
      <c r="AF1195">
        <f>VLOOKUP($B1195&amp;AF$1,Data!$A$2:$D$14000,4,FALSE)</f>
        <v>0.08</v>
      </c>
      <c r="AG1195">
        <f>VLOOKUP($B1195&amp;AG$1,Data!$A$2:$D$14000,4,FALSE)</f>
        <v>1.4390000000000001</v>
      </c>
      <c r="AH1195">
        <f>VLOOKUP($B1195&amp;AH$1,Data!$A$2:$D$14000,4,FALSE)</f>
        <v>0</v>
      </c>
      <c r="AI1195">
        <f>VLOOKUP($B1195&amp;AI$1,Data!$A$2:$D$14000,4,FALSE)</f>
        <v>7400000</v>
      </c>
    </row>
    <row r="1196" spans="1:35" hidden="1">
      <c r="B1196" s="13">
        <v>2060</v>
      </c>
      <c r="C1196" s="13" t="s">
        <v>58</v>
      </c>
      <c r="D1196" t="s">
        <v>21</v>
      </c>
      <c r="E1196" t="s">
        <v>2</v>
      </c>
      <c r="F1196">
        <v>5000</v>
      </c>
      <c r="G1196" t="s">
        <v>17</v>
      </c>
      <c r="H1196" s="5">
        <v>43831</v>
      </c>
      <c r="I1196" s="5">
        <v>44562</v>
      </c>
      <c r="J1196">
        <v>14</v>
      </c>
      <c r="K1196">
        <v>9</v>
      </c>
      <c r="L1196">
        <v>30</v>
      </c>
      <c r="M1196">
        <v>70</v>
      </c>
      <c r="N1196">
        <v>1000000</v>
      </c>
      <c r="O1196">
        <f>VLOOKUP($B1196&amp;O$1,Data!$A$2:$D$14000,4,FALSE)</f>
        <v>2.494E-2</v>
      </c>
      <c r="P1196">
        <f>VLOOKUP($B1196&amp;P$1,Data!$A$2:$D$14000,4,FALSE)</f>
        <v>-0.97199999999999998</v>
      </c>
      <c r="Q1196">
        <f>VLOOKUP($B1196&amp;Q$1,Data!$A$2:$D$14000,4,FALSE)</f>
        <v>561</v>
      </c>
      <c r="R1196">
        <f>VLOOKUP($B1196&amp;R$1,Data!$A$2:$D$14000,4,FALSE)</f>
        <v>1.6000000000000001E-3</v>
      </c>
      <c r="S1196">
        <f>VLOOKUP($B1196&amp;S$1,Data!$A$2:$D$14000,4,FALSE)</f>
        <v>-5.1999999999999998E-3</v>
      </c>
      <c r="T1196">
        <f>VLOOKUP($B1196&amp;T$1,Data!$A$2:$D$14000,4,FALSE)</f>
        <v>-5.7000000000000002E-2</v>
      </c>
      <c r="U1196">
        <f>VLOOKUP($B1196&amp;U$1,Data!$A$2:$D$14000,4,FALSE)</f>
        <v>5.8000000000000003E-2</v>
      </c>
      <c r="V1196">
        <f>VLOOKUP($B1196&amp;V$1,Data!$A$2:$D$14000,4,FALSE)</f>
        <v>-0.112</v>
      </c>
      <c r="W1196">
        <f>VLOOKUP($B1196&amp;W$1,Data!$A$2:$D$14000,4,FALSE)</f>
        <v>-3.8620000000000002E-2</v>
      </c>
      <c r="X1196">
        <f>VLOOKUP($B1196&amp;X$1,Data!$A$2:$D$14000,4,FALSE)</f>
        <v>0.32</v>
      </c>
      <c r="Y1196">
        <f>VLOOKUP($B1196&amp;Y$1,Data!$A$2:$D$14000,4,FALSE)</f>
        <v>0.68</v>
      </c>
      <c r="Z1196">
        <f>VLOOKUP($B1196&amp;Z$1,Data!$A$2:$D$14000,4,FALSE)</f>
        <v>0.3</v>
      </c>
      <c r="AA1196">
        <f>VLOOKUP($B1196&amp;AA$1,Data!$A$2:$D$14000,4,FALSE)</f>
        <v>-3.3000000000000002E-2</v>
      </c>
      <c r="AB1196">
        <f>VLOOKUP($B1196&amp;AB$1,Data!$A$2:$D$14000,4,FALSE)</f>
        <v>-0.13</v>
      </c>
      <c r="AC1196">
        <f>VLOOKUP($B1196&amp;AC$1,Data!$A$2:$D$14000,4,FALSE)</f>
        <v>0.04</v>
      </c>
      <c r="AD1196">
        <f>VLOOKUP($B1196&amp;AD$1,Data!$A$2:$D$14000,4,FALSE)</f>
        <v>2E-3</v>
      </c>
      <c r="AE1196">
        <f>VLOOKUP($B1196&amp;AE$1,Data!$A$2:$D$14000,4,FALSE)</f>
        <v>-1.0429999999999999</v>
      </c>
      <c r="AF1196">
        <f>VLOOKUP($B1196&amp;AF$1,Data!$A$2:$D$14000,4,FALSE)</f>
        <v>8.5000000000000006E-2</v>
      </c>
      <c r="AG1196">
        <f>VLOOKUP($B1196&amp;AG$1,Data!$A$2:$D$14000,4,FALSE)</f>
        <v>0.30099999999999999</v>
      </c>
      <c r="AH1196">
        <f>VLOOKUP($B1196&amp;AH$1,Data!$A$2:$D$14000,4,FALSE)</f>
        <v>0</v>
      </c>
      <c r="AI1196">
        <f>VLOOKUP($B1196&amp;AI$1,Data!$A$2:$D$14000,4,FALSE)</f>
        <v>6800000</v>
      </c>
    </row>
    <row r="1197" spans="1:35" hidden="1">
      <c r="B1197" s="13">
        <v>2061</v>
      </c>
      <c r="C1197" s="13" t="s">
        <v>58</v>
      </c>
      <c r="D1197" t="s">
        <v>21</v>
      </c>
      <c r="E1197" t="s">
        <v>22</v>
      </c>
      <c r="F1197">
        <v>100</v>
      </c>
      <c r="G1197" t="s">
        <v>17</v>
      </c>
      <c r="H1197" s="5">
        <v>43831</v>
      </c>
      <c r="I1197" s="5">
        <v>44562</v>
      </c>
      <c r="J1197">
        <v>14</v>
      </c>
      <c r="K1197">
        <v>9</v>
      </c>
      <c r="L1197">
        <v>30</v>
      </c>
      <c r="M1197">
        <v>70</v>
      </c>
      <c r="N1197">
        <v>1000000</v>
      </c>
      <c r="O1197">
        <f>VLOOKUP($B1197&amp;O$1,Data!$A$2:$D$14000,4,FALSE)</f>
        <v>0.14445</v>
      </c>
      <c r="P1197">
        <f>VLOOKUP($B1197&amp;P$1,Data!$A$2:$D$14000,4,FALSE)</f>
        <v>-8.6999999999999994E-2</v>
      </c>
      <c r="Q1197">
        <f>VLOOKUP($B1197&amp;Q$1,Data!$A$2:$D$14000,4,FALSE)</f>
        <v>740</v>
      </c>
      <c r="R1197">
        <f>VLOOKUP($B1197&amp;R$1,Data!$A$2:$D$14000,4,FALSE)</f>
        <v>4.0000000000000002E-4</v>
      </c>
      <c r="S1197">
        <f>VLOOKUP($B1197&amp;S$1,Data!$A$2:$D$14000,4,FALSE)</f>
        <v>-8.0000000000000004E-4</v>
      </c>
      <c r="T1197">
        <f>VLOOKUP($B1197&amp;T$1,Data!$A$2:$D$14000,4,FALSE)</f>
        <v>-1.92E-3</v>
      </c>
      <c r="U1197">
        <f>VLOOKUP($B1197&amp;U$1,Data!$A$2:$D$14000,4,FALSE)</f>
        <v>1.2999999999999999E-2</v>
      </c>
      <c r="V1197">
        <f>VLOOKUP($B1197&amp;V$1,Data!$A$2:$D$14000,4,FALSE)</f>
        <v>-0.03</v>
      </c>
      <c r="W1197">
        <f>VLOOKUP($B1197&amp;W$1,Data!$A$2:$D$14000,4,FALSE)</f>
        <v>-1.2899999999999999E-3</v>
      </c>
      <c r="X1197">
        <f>VLOOKUP($B1197&amp;X$1,Data!$A$2:$D$14000,4,FALSE)</f>
        <v>0.34</v>
      </c>
      <c r="Y1197">
        <f>VLOOKUP($B1197&amp;Y$1,Data!$A$2:$D$14000,4,FALSE)</f>
        <v>0.66</v>
      </c>
      <c r="Z1197">
        <f>VLOOKUP($B1197&amp;Z$1,Data!$A$2:$D$14000,4,FALSE)</f>
        <v>0.47</v>
      </c>
      <c r="AA1197">
        <f>VLOOKUP($B1197&amp;AA$1,Data!$A$2:$D$14000,4,FALSE)</f>
        <v>0</v>
      </c>
      <c r="AB1197">
        <f>VLOOKUP($B1197&amp;AB$1,Data!$A$2:$D$14000,4,FALSE)</f>
        <v>-3.4000000000000002E-2</v>
      </c>
      <c r="AC1197">
        <f>VLOOKUP($B1197&amp;AC$1,Data!$A$2:$D$14000,4,FALSE)</f>
        <v>1.4E-2</v>
      </c>
      <c r="AD1197">
        <f>VLOOKUP($B1197&amp;AD$1,Data!$A$2:$D$14000,4,FALSE)</f>
        <v>0</v>
      </c>
      <c r="AE1197">
        <f>VLOOKUP($B1197&amp;AE$1,Data!$A$2:$D$14000,4,FALSE)</f>
        <v>-0.72299999999999998</v>
      </c>
      <c r="AF1197">
        <f>VLOOKUP($B1197&amp;AF$1,Data!$A$2:$D$14000,4,FALSE)</f>
        <v>7.0999999999999994E-2</v>
      </c>
      <c r="AG1197">
        <f>VLOOKUP($B1197&amp;AG$1,Data!$A$2:$D$14000,4,FALSE)</f>
        <v>3.6999999999999998E-2</v>
      </c>
      <c r="AH1197">
        <f>VLOOKUP($B1197&amp;AH$1,Data!$A$2:$D$14000,4,FALSE)</f>
        <v>0</v>
      </c>
      <c r="AI1197">
        <f>VLOOKUP($B1197&amp;AI$1,Data!$A$2:$D$14000,4,FALSE)</f>
        <v>350000000</v>
      </c>
    </row>
    <row r="1198" spans="1:35" hidden="1">
      <c r="B1198" s="13">
        <v>2062</v>
      </c>
      <c r="C1198" s="13" t="s">
        <v>58</v>
      </c>
      <c r="D1198" t="s">
        <v>21</v>
      </c>
      <c r="E1198" t="s">
        <v>22</v>
      </c>
      <c r="F1198">
        <v>1000</v>
      </c>
      <c r="G1198" t="s">
        <v>17</v>
      </c>
      <c r="H1198" s="5">
        <v>43831</v>
      </c>
      <c r="I1198" s="5">
        <v>44562</v>
      </c>
      <c r="J1198">
        <v>14</v>
      </c>
      <c r="K1198">
        <v>9</v>
      </c>
      <c r="L1198">
        <v>30</v>
      </c>
      <c r="M1198">
        <v>70</v>
      </c>
      <c r="N1198">
        <v>1000000</v>
      </c>
      <c r="O1198">
        <f>VLOOKUP($B1198&amp;O$1,Data!$A$2:$D$14000,4,FALSE)</f>
        <v>5.4820000000000001E-2</v>
      </c>
      <c r="P1198">
        <f>VLOOKUP($B1198&amp;P$1,Data!$A$2:$D$14000,4,FALSE)</f>
        <v>-0.65300000000000002</v>
      </c>
      <c r="Q1198">
        <f>VLOOKUP($B1198&amp;Q$1,Data!$A$2:$D$14000,4,FALSE)</f>
        <v>583</v>
      </c>
      <c r="R1198">
        <f>VLOOKUP($B1198&amp;R$1,Data!$A$2:$D$14000,4,FALSE)</f>
        <v>6.9999999999999999E-4</v>
      </c>
      <c r="S1198">
        <f>VLOOKUP($B1198&amp;S$1,Data!$A$2:$D$14000,4,FALSE)</f>
        <v>-2.3999999999999998E-3</v>
      </c>
      <c r="T1198">
        <f>VLOOKUP($B1198&amp;T$1,Data!$A$2:$D$14000,4,FALSE)</f>
        <v>-3.5209999999999998E-2</v>
      </c>
      <c r="U1198">
        <f>VLOOKUP($B1198&amp;U$1,Data!$A$2:$D$14000,4,FALSE)</f>
        <v>3.7999999999999999E-2</v>
      </c>
      <c r="V1198">
        <f>VLOOKUP($B1198&amp;V$1,Data!$A$2:$D$14000,4,FALSE)</f>
        <v>-0.17899999999999999</v>
      </c>
      <c r="W1198">
        <f>VLOOKUP($B1198&amp;W$1,Data!$A$2:$D$14000,4,FALSE)</f>
        <v>-2.3769999999999999E-2</v>
      </c>
      <c r="X1198">
        <f>VLOOKUP($B1198&amp;X$1,Data!$A$2:$D$14000,4,FALSE)</f>
        <v>0.37</v>
      </c>
      <c r="Y1198">
        <f>VLOOKUP($B1198&amp;Y$1,Data!$A$2:$D$14000,4,FALSE)</f>
        <v>0.63</v>
      </c>
      <c r="Z1198">
        <f>VLOOKUP($B1198&amp;Z$1,Data!$A$2:$D$14000,4,FALSE)</f>
        <v>0.3</v>
      </c>
      <c r="AA1198">
        <f>VLOOKUP($B1198&amp;AA$1,Data!$A$2:$D$14000,4,FALSE)</f>
        <v>-2.1000000000000001E-2</v>
      </c>
      <c r="AB1198">
        <f>VLOOKUP($B1198&amp;AB$1,Data!$A$2:$D$14000,4,FALSE)</f>
        <v>-6.5000000000000002E-2</v>
      </c>
      <c r="AC1198">
        <f>VLOOKUP($B1198&amp;AC$1,Data!$A$2:$D$14000,4,FALSE)</f>
        <v>3.6999999999999998E-2</v>
      </c>
      <c r="AD1198">
        <f>VLOOKUP($B1198&amp;AD$1,Data!$A$2:$D$14000,4,FALSE)</f>
        <v>1E-3</v>
      </c>
      <c r="AE1198">
        <f>VLOOKUP($B1198&amp;AE$1,Data!$A$2:$D$14000,4,FALSE)</f>
        <v>-0.92100000000000004</v>
      </c>
      <c r="AF1198">
        <f>VLOOKUP($B1198&amp;AF$1,Data!$A$2:$D$14000,4,FALSE)</f>
        <v>0.08</v>
      </c>
      <c r="AG1198">
        <f>VLOOKUP($B1198&amp;AG$1,Data!$A$2:$D$14000,4,FALSE)</f>
        <v>0.37</v>
      </c>
      <c r="AH1198">
        <f>VLOOKUP($B1198&amp;AH$1,Data!$A$2:$D$14000,4,FALSE)</f>
        <v>0</v>
      </c>
      <c r="AI1198">
        <f>VLOOKUP($B1198&amp;AI$1,Data!$A$2:$D$14000,4,FALSE)</f>
        <v>35000000</v>
      </c>
    </row>
    <row r="1199" spans="1:35" hidden="1">
      <c r="B1199" s="13">
        <v>2063</v>
      </c>
      <c r="C1199" s="13" t="s">
        <v>58</v>
      </c>
      <c r="D1199" t="s">
        <v>21</v>
      </c>
      <c r="E1199" t="s">
        <v>22</v>
      </c>
      <c r="F1199">
        <v>5000</v>
      </c>
      <c r="G1199" t="s">
        <v>17</v>
      </c>
      <c r="H1199" s="5">
        <v>43831</v>
      </c>
      <c r="I1199" s="5">
        <v>44562</v>
      </c>
      <c r="J1199">
        <v>14</v>
      </c>
      <c r="K1199">
        <v>9</v>
      </c>
      <c r="L1199">
        <v>30</v>
      </c>
      <c r="M1199">
        <v>70</v>
      </c>
      <c r="N1199">
        <v>1000000</v>
      </c>
      <c r="O1199">
        <f>VLOOKUP($B1199&amp;O$1,Data!$A$2:$D$14000,4,FALSE)</f>
        <v>7.6749999999999999E-2</v>
      </c>
      <c r="P1199">
        <f>VLOOKUP($B1199&amp;P$1,Data!$A$2:$D$14000,4,FALSE)</f>
        <v>-0.46100000000000002</v>
      </c>
      <c r="Q1199">
        <f>VLOOKUP($B1199&amp;Q$1,Data!$A$2:$D$14000,4,FALSE)</f>
        <v>455</v>
      </c>
      <c r="R1199">
        <f>VLOOKUP($B1199&amp;R$1,Data!$A$2:$D$14000,4,FALSE)</f>
        <v>1.5E-3</v>
      </c>
      <c r="S1199">
        <f>VLOOKUP($B1199&amp;S$1,Data!$A$2:$D$14000,4,FALSE)</f>
        <v>-4.0000000000000001E-3</v>
      </c>
      <c r="T1199">
        <f>VLOOKUP($B1199&amp;T$1,Data!$A$2:$D$14000,4,FALSE)</f>
        <v>-3.0290000000000001E-2</v>
      </c>
      <c r="U1199">
        <f>VLOOKUP($B1199&amp;U$1,Data!$A$2:$D$14000,4,FALSE)</f>
        <v>4.8000000000000001E-2</v>
      </c>
      <c r="V1199">
        <f>VLOOKUP($B1199&amp;V$1,Data!$A$2:$D$14000,4,FALSE)</f>
        <v>-0.104</v>
      </c>
      <c r="W1199">
        <f>VLOOKUP($B1199&amp;W$1,Data!$A$2:$D$14000,4,FALSE)</f>
        <v>-2.043E-2</v>
      </c>
      <c r="X1199">
        <f>VLOOKUP($B1199&amp;X$1,Data!$A$2:$D$14000,4,FALSE)</f>
        <v>0.35</v>
      </c>
      <c r="Y1199">
        <f>VLOOKUP($B1199&amp;Y$1,Data!$A$2:$D$14000,4,FALSE)</f>
        <v>0.65</v>
      </c>
      <c r="Z1199">
        <f>VLOOKUP($B1199&amp;Z$1,Data!$A$2:$D$14000,4,FALSE)</f>
        <v>0.37</v>
      </c>
      <c r="AA1199">
        <f>VLOOKUP($B1199&amp;AA$1,Data!$A$2:$D$14000,4,FALSE)</f>
        <v>-1.6E-2</v>
      </c>
      <c r="AB1199">
        <f>VLOOKUP($B1199&amp;AB$1,Data!$A$2:$D$14000,4,FALSE)</f>
        <v>-8.1000000000000003E-2</v>
      </c>
      <c r="AC1199">
        <f>VLOOKUP($B1199&amp;AC$1,Data!$A$2:$D$14000,4,FALSE)</f>
        <v>4.3999999999999997E-2</v>
      </c>
      <c r="AD1199">
        <f>VLOOKUP($B1199&amp;AD$1,Data!$A$2:$D$14000,4,FALSE)</f>
        <v>2E-3</v>
      </c>
      <c r="AE1199">
        <f>VLOOKUP($B1199&amp;AE$1,Data!$A$2:$D$14000,4,FALSE)</f>
        <v>-0.82899999999999996</v>
      </c>
      <c r="AF1199">
        <f>VLOOKUP($B1199&amp;AF$1,Data!$A$2:$D$14000,4,FALSE)</f>
        <v>8.4000000000000005E-2</v>
      </c>
      <c r="AG1199">
        <f>VLOOKUP($B1199&amp;AG$1,Data!$A$2:$D$14000,4,FALSE)</f>
        <v>0.249</v>
      </c>
      <c r="AH1199">
        <f>VLOOKUP($B1199&amp;AH$1,Data!$A$2:$D$14000,4,FALSE)</f>
        <v>0</v>
      </c>
      <c r="AI1199">
        <f>VLOOKUP($B1199&amp;AI$1,Data!$A$2:$D$14000,4,FALSE)</f>
        <v>11000000</v>
      </c>
    </row>
    <row r="1200" spans="1:35">
      <c r="A1200" t="s">
        <v>59</v>
      </c>
      <c r="B1200" s="32">
        <v>1004</v>
      </c>
      <c r="C1200" s="20" t="s">
        <v>58</v>
      </c>
      <c r="D1200" s="7" t="s">
        <v>6</v>
      </c>
      <c r="E1200" t="s">
        <v>2</v>
      </c>
      <c r="F1200">
        <v>100</v>
      </c>
      <c r="G1200" t="s">
        <v>17</v>
      </c>
      <c r="H1200" s="5">
        <v>43831</v>
      </c>
      <c r="I1200" s="5">
        <v>44562</v>
      </c>
      <c r="J1200">
        <v>14</v>
      </c>
      <c r="K1200">
        <v>9</v>
      </c>
      <c r="L1200">
        <v>30</v>
      </c>
      <c r="M1200">
        <v>70</v>
      </c>
      <c r="N1200">
        <v>10000</v>
      </c>
      <c r="O1200">
        <f>VLOOKUP($B1200&amp;O$1,Data!$A$2:$D$12000,4,FALSE)</f>
        <v>0.68003000000000002</v>
      </c>
      <c r="P1200">
        <f>VLOOKUP($B1200&amp;P$1,Data!$A$2:$D$12000,4,FALSE)</f>
        <v>1.446</v>
      </c>
      <c r="Q1200">
        <f>VLOOKUP($B1200&amp;Q$1,Data!$A$2:$D$12000,4,FALSE)</f>
        <v>884</v>
      </c>
      <c r="R1200">
        <f>VLOOKUP($B1200&amp;R$1,Data!$A$2:$D$12000,4,FALSE)</f>
        <v>6.9999999999999999E-4</v>
      </c>
      <c r="S1200">
        <f>VLOOKUP($B1200&amp;S$1,Data!$A$2:$D$12000,4,FALSE)</f>
        <v>-8.0000000000000004E-4</v>
      </c>
      <c r="T1200">
        <f>VLOOKUP($B1200&amp;T$1,Data!$A$2:$D$12000,4,FALSE)</f>
        <v>2.6620000000000001E-2</v>
      </c>
      <c r="U1200">
        <f>VLOOKUP($B1200&amp;U$1,Data!$A$2:$D$12000,4,FALSE)</f>
        <v>7.0000000000000001E-3</v>
      </c>
      <c r="V1200">
        <f>VLOOKUP($B1200&amp;V$1,Data!$A$2:$D$12000,4,FALSE)</f>
        <v>0.32600000000000001</v>
      </c>
      <c r="W1200">
        <f>VLOOKUP($B1200&amp;W$1,Data!$A$2:$D$12000,4,FALSE)</f>
        <v>1.7569999999999999E-2</v>
      </c>
      <c r="X1200">
        <f>VLOOKUP($B1200&amp;X$1,Data!$A$2:$D$12000,4,FALSE)</f>
        <v>0.31</v>
      </c>
      <c r="Y1200">
        <f>VLOOKUP($B1200&amp;Y$1,Data!$A$2:$D$12000,4,FALSE)</f>
        <v>0.69</v>
      </c>
      <c r="Z1200">
        <f>VLOOKUP($B1200&amp;Z$1,Data!$A$2:$D$12000,4,FALSE)</f>
        <v>0.93</v>
      </c>
      <c r="AA1200">
        <f>VLOOKUP($B1200&amp;AA$1,Data!$A$2:$D$12000,4,FALSE)</f>
        <v>1.7999999999999999E-2</v>
      </c>
      <c r="AB1200">
        <f>VLOOKUP($B1200&amp;AB$1,Data!$A$2:$D$12000,4,FALSE)</f>
        <v>0</v>
      </c>
      <c r="AC1200">
        <f>VLOOKUP($B1200&amp;AC$1,Data!$A$2:$D$12000,4,FALSE)</f>
        <v>1.2999999999999999E-2</v>
      </c>
      <c r="AD1200">
        <f>VLOOKUP($B1200&amp;AD$1,Data!$A$2:$D$12000,4,FALSE)</f>
        <v>0</v>
      </c>
      <c r="AE1200">
        <f>VLOOKUP($B1200&amp;AE$1,Data!$A$2:$D$12000,4,FALSE)</f>
        <v>-0.48199999999999998</v>
      </c>
      <c r="AF1200">
        <f>VLOOKUP($B1200&amp;AF$1,Data!$A$2:$D$12000,4,FALSE)</f>
        <v>6.9000000000000006E-2</v>
      </c>
      <c r="AG1200">
        <f>VLOOKUP($B1200&amp;AG$1,Data!$A$2:$D$12000,4,FALSE)</f>
        <v>41.758000000000003</v>
      </c>
      <c r="AH1200">
        <f>VLOOKUP($B1200&amp;AH$1,Data!$A$2:$D$12000,4,FALSE)</f>
        <v>0</v>
      </c>
      <c r="AI1200">
        <f>VLOOKUP($B1200&amp;AI$1,Data!$A$2:$D$12000,4,FALSE)</f>
        <v>200000000</v>
      </c>
    </row>
    <row r="1201" spans="1:35">
      <c r="A1201" s="7" t="s">
        <v>59</v>
      </c>
      <c r="B1201" s="34">
        <v>1004.1</v>
      </c>
      <c r="C1201" s="20" t="s">
        <v>58</v>
      </c>
      <c r="D1201" s="7" t="s">
        <v>6</v>
      </c>
      <c r="E1201" t="s">
        <v>2</v>
      </c>
      <c r="F1201">
        <v>100</v>
      </c>
      <c r="G1201" t="s">
        <v>17</v>
      </c>
      <c r="H1201" s="5">
        <v>43831</v>
      </c>
      <c r="I1201" s="5">
        <v>44562</v>
      </c>
      <c r="J1201">
        <v>14</v>
      </c>
      <c r="K1201">
        <v>9</v>
      </c>
      <c r="L1201">
        <v>30</v>
      </c>
      <c r="M1201">
        <v>70</v>
      </c>
      <c r="N1201">
        <v>10000</v>
      </c>
      <c r="O1201">
        <f>VLOOKUP($B1201&amp;O$1,Data!$A$2:$D$14000,4,FALSE)</f>
        <v>0.41145999999999999</v>
      </c>
      <c r="P1201">
        <f>VLOOKUP($B1201&amp;P$1,Data!$A$2:$D$14000,4,FALSE)</f>
        <v>0.78900000000000003</v>
      </c>
      <c r="Q1201" s="33">
        <f>VLOOKUP($B1201&amp;Q$1,Data!$A$2:$D$14000,4,FALSE)</f>
        <v>458</v>
      </c>
      <c r="R1201">
        <f>VLOOKUP($B1201&amp;R$1,Data!$A$2:$D$14000,4,FALSE)</f>
        <v>2.2000000000000001E-3</v>
      </c>
      <c r="S1201">
        <f>VLOOKUP($B1201&amp;S$1,Data!$A$2:$D$14000,4,FALSE)</f>
        <v>-3.2000000000000002E-3</v>
      </c>
      <c r="T1201">
        <f>VLOOKUP($B1201&amp;T$1,Data!$A$2:$D$14000,4,FALSE)</f>
        <v>4.6730000000000001E-2</v>
      </c>
      <c r="U1201">
        <f>VLOOKUP($B1201&amp;U$1,Data!$A$2:$D$14000,4,FALSE)</f>
        <v>2.8000000000000001E-2</v>
      </c>
      <c r="V1201">
        <f>VLOOKUP($B1201&amp;V$1,Data!$A$2:$D$14000,4,FALSE)</f>
        <v>0.14499999999999999</v>
      </c>
      <c r="W1201">
        <f>VLOOKUP($B1201&amp;W$1,Data!$A$2:$D$14000,4,FALSE)</f>
        <v>3.1640000000000001E-2</v>
      </c>
      <c r="X1201">
        <f>VLOOKUP($B1201&amp;X$1,Data!$A$2:$D$14000,4,FALSE)</f>
        <v>0.33</v>
      </c>
      <c r="Y1201">
        <f>VLOOKUP($B1201&amp;Y$1,Data!$A$2:$D$14000,4,FALSE)</f>
        <v>0.67</v>
      </c>
      <c r="Z1201">
        <f>VLOOKUP($B1201&amp;Z$1,Data!$A$2:$D$14000,4,FALSE)</f>
        <v>0.71</v>
      </c>
      <c r="AA1201">
        <f>VLOOKUP($B1201&amp;AA$1,Data!$A$2:$D$14000,4,FALSE)</f>
        <v>2.9000000000000001E-2</v>
      </c>
      <c r="AB1201">
        <f>VLOOKUP($B1201&amp;AB$1,Data!$A$2:$D$14000,4,FALSE)</f>
        <v>8.1000000000000003E-2</v>
      </c>
      <c r="AC1201">
        <f>VLOOKUP($B1201&amp;AC$1,Data!$A$2:$D$14000,4,FALSE)</f>
        <v>4.2000000000000003E-2</v>
      </c>
      <c r="AD1201">
        <f>VLOOKUP($B1201&amp;AD$1,Data!$A$2:$D$14000,4,FALSE)</f>
        <v>2E-3</v>
      </c>
      <c r="AE1201">
        <f>VLOOKUP($B1201&amp;AE$1,Data!$A$2:$D$14000,4,FALSE)</f>
        <v>-0.219</v>
      </c>
      <c r="AF1201">
        <f>VLOOKUP($B1201&amp;AF$1,Data!$A$2:$D$14000,4,FALSE)</f>
        <v>7.3999999999999996E-2</v>
      </c>
      <c r="AG1201">
        <f>VLOOKUP($B1201&amp;AG$1,Data!$A$2:$D$14000,4,FALSE)</f>
        <v>0.40600000000000003</v>
      </c>
      <c r="AH1201">
        <f>VLOOKUP($B1201&amp;AH$1,Data!$A$2:$D$14000,4,FALSE)</f>
        <v>0</v>
      </c>
      <c r="AI1201">
        <f>VLOOKUP($B1201&amp;AI$1,Data!$A$2:$D$14000,4,FALSE)</f>
        <v>7600000</v>
      </c>
    </row>
    <row r="1202" spans="1:35">
      <c r="A1202" t="s">
        <v>59</v>
      </c>
      <c r="B1202" s="35">
        <v>1004.2</v>
      </c>
      <c r="C1202" s="20" t="s">
        <v>58</v>
      </c>
      <c r="D1202" s="7" t="s">
        <v>6</v>
      </c>
      <c r="E1202" t="s">
        <v>2</v>
      </c>
      <c r="F1202">
        <v>100</v>
      </c>
      <c r="G1202" t="s">
        <v>17</v>
      </c>
      <c r="H1202" s="5">
        <v>43831</v>
      </c>
      <c r="I1202" s="5">
        <v>44562</v>
      </c>
      <c r="J1202">
        <v>14</v>
      </c>
      <c r="K1202">
        <v>9</v>
      </c>
      <c r="L1202">
        <v>30</v>
      </c>
      <c r="M1202">
        <v>70</v>
      </c>
      <c r="N1202">
        <v>10000</v>
      </c>
      <c r="O1202">
        <f>VLOOKUP($B1202&amp;O$1,Data!$A$2:$D$14000,4,FALSE)</f>
        <v>0.41145999999999999</v>
      </c>
      <c r="P1202">
        <f>VLOOKUP($B1202&amp;P$1,Data!$A$2:$D$14000,4,FALSE)</f>
        <v>0.78900000000000003</v>
      </c>
      <c r="Q1202" s="33">
        <f>VLOOKUP($B1202&amp;Q$1,Data!$A$2:$D$14000,4,FALSE)</f>
        <v>458</v>
      </c>
      <c r="R1202">
        <f>VLOOKUP($B1202&amp;R$1,Data!$A$2:$D$14000,4,FALSE)</f>
        <v>2.2000000000000001E-3</v>
      </c>
      <c r="S1202">
        <f>VLOOKUP($B1202&amp;S$1,Data!$A$2:$D$14000,4,FALSE)</f>
        <v>-3.2000000000000002E-3</v>
      </c>
      <c r="T1202">
        <f>VLOOKUP($B1202&amp;T$1,Data!$A$2:$D$14000,4,FALSE)</f>
        <v>4.6730000000000001E-2</v>
      </c>
      <c r="U1202">
        <f>VLOOKUP($B1202&amp;U$1,Data!$A$2:$D$14000,4,FALSE)</f>
        <v>2.8000000000000001E-2</v>
      </c>
      <c r="V1202">
        <f>VLOOKUP($B1202&amp;V$1,Data!$A$2:$D$14000,4,FALSE)</f>
        <v>0.14499999999999999</v>
      </c>
      <c r="W1202">
        <f>VLOOKUP($B1202&amp;W$1,Data!$A$2:$D$14000,4,FALSE)</f>
        <v>3.1640000000000001E-2</v>
      </c>
      <c r="X1202">
        <f>VLOOKUP($B1202&amp;X$1,Data!$A$2:$D$14000,4,FALSE)</f>
        <v>0.33</v>
      </c>
      <c r="Y1202">
        <f>VLOOKUP($B1202&amp;Y$1,Data!$A$2:$D$14000,4,FALSE)</f>
        <v>0.67</v>
      </c>
      <c r="Z1202">
        <f>VLOOKUP($B1202&amp;Z$1,Data!$A$2:$D$14000,4,FALSE)</f>
        <v>0.71</v>
      </c>
      <c r="AA1202">
        <f>VLOOKUP($B1202&amp;AA$1,Data!$A$2:$D$14000,4,FALSE)</f>
        <v>2.8000000000000001E-2</v>
      </c>
      <c r="AB1202">
        <f>VLOOKUP($B1202&amp;AB$1,Data!$A$2:$D$14000,4,FALSE)</f>
        <v>0.04</v>
      </c>
      <c r="AC1202">
        <f>VLOOKUP($B1202&amp;AC$1,Data!$A$2:$D$14000,4,FALSE)</f>
        <v>4.2000000000000003E-2</v>
      </c>
      <c r="AD1202">
        <f>VLOOKUP($B1202&amp;AD$1,Data!$A$2:$D$14000,4,FALSE)</f>
        <v>2E-3</v>
      </c>
      <c r="AE1202">
        <f>VLOOKUP($B1202&amp;AE$1,Data!$A$2:$D$14000,4,FALSE)</f>
        <v>-0.71299999999999997</v>
      </c>
      <c r="AF1202">
        <f>VLOOKUP($B1202&amp;AF$1,Data!$A$2:$D$14000,4,FALSE)</f>
        <v>0.122</v>
      </c>
      <c r="AG1202">
        <f>VLOOKUP($B1202&amp;AG$1,Data!$A$2:$D$14000,4,FALSE)</f>
        <v>0.83399999999999996</v>
      </c>
      <c r="AH1202">
        <f>VLOOKUP($B1202&amp;AH$1,Data!$A$2:$D$14000,4,FALSE)</f>
        <v>0</v>
      </c>
      <c r="AI1202">
        <f>VLOOKUP($B1202&amp;AI$1,Data!$A$2:$D$14000,4,FALSE)</f>
        <v>7600000</v>
      </c>
    </row>
    <row r="1203" spans="1:35">
      <c r="A1203" t="s">
        <v>59</v>
      </c>
      <c r="B1203" s="36">
        <v>1004.3</v>
      </c>
      <c r="C1203" s="20" t="s">
        <v>58</v>
      </c>
      <c r="D1203" s="7" t="s">
        <v>6</v>
      </c>
      <c r="E1203" t="s">
        <v>2</v>
      </c>
      <c r="F1203">
        <v>100</v>
      </c>
      <c r="G1203" t="s">
        <v>17</v>
      </c>
      <c r="H1203" s="5">
        <v>43831</v>
      </c>
      <c r="I1203" s="5">
        <v>44932</v>
      </c>
      <c r="J1203">
        <v>14</v>
      </c>
      <c r="K1203">
        <v>9</v>
      </c>
      <c r="L1203">
        <v>30</v>
      </c>
      <c r="M1203">
        <v>70</v>
      </c>
      <c r="N1203">
        <v>10000</v>
      </c>
      <c r="O1203">
        <f>VLOOKUP($B1203&amp;O$1,Data!$A$2:$D$14000,4,FALSE)</f>
        <v>0.24643000000000001</v>
      </c>
      <c r="P1203">
        <f>VLOOKUP($B1203&amp;P$1,Data!$A$2:$D$14000,4,FALSE)</f>
        <v>-0.307</v>
      </c>
      <c r="Q1203" s="33">
        <f>VLOOKUP($B1203&amp;Q$1,Data!$A$2:$D$14000,4,FALSE)</f>
        <v>88</v>
      </c>
      <c r="R1203">
        <f>VLOOKUP($B1203&amp;R$1,Data!$A$2:$D$14000,4,FALSE)</f>
        <v>1E-3</v>
      </c>
      <c r="S1203">
        <f>VLOOKUP($B1203&amp;S$1,Data!$A$2:$D$14000,4,FALSE)</f>
        <v>-4.7999999999999996E-3</v>
      </c>
      <c r="T1203">
        <f>VLOOKUP($B1203&amp;T$1,Data!$A$2:$D$14000,4,FALSE)</f>
        <v>-1.068E-2</v>
      </c>
      <c r="U1203">
        <f>VLOOKUP($B1203&amp;U$1,Data!$A$2:$D$14000,4,FALSE)</f>
        <v>1.0999999999999999E-2</v>
      </c>
      <c r="V1203">
        <f>VLOOKUP($B1203&amp;V$1,Data!$A$2:$D$14000,4,FALSE)</f>
        <v>-2.3E-2</v>
      </c>
      <c r="W1203">
        <f>VLOOKUP($B1203&amp;W$1,Data!$A$2:$D$14000,4,FALSE)</f>
        <v>-1.97E-3</v>
      </c>
      <c r="X1203">
        <f>VLOOKUP($B1203&amp;X$1,Data!$A$2:$D$14000,4,FALSE)</f>
        <v>0.19</v>
      </c>
      <c r="Y1203">
        <f>VLOOKUP($B1203&amp;Y$1,Data!$A$2:$D$14000,4,FALSE)</f>
        <v>0.81</v>
      </c>
      <c r="Z1203">
        <f>VLOOKUP($B1203&amp;Z$1,Data!$A$2:$D$14000,4,FALSE)</f>
        <v>0.2</v>
      </c>
      <c r="AA1203">
        <f>VLOOKUP($B1203&amp;AA$1,Data!$A$2:$D$14000,4,FALSE)</f>
        <v>-4.0000000000000001E-3</v>
      </c>
      <c r="AB1203">
        <f>VLOOKUP($B1203&amp;AB$1,Data!$A$2:$D$14000,4,FALSE)</f>
        <v>-0.01</v>
      </c>
      <c r="AC1203">
        <f>VLOOKUP($B1203&amp;AC$1,Data!$A$2:$D$14000,4,FALSE)</f>
        <v>2.4E-2</v>
      </c>
      <c r="AD1203">
        <f>VLOOKUP($B1203&amp;AD$1,Data!$A$2:$D$14000,4,FALSE)</f>
        <v>1E-3</v>
      </c>
      <c r="AE1203">
        <f>VLOOKUP($B1203&amp;AE$1,Data!$A$2:$D$14000,4,FALSE)</f>
        <v>-3.2029999999999998</v>
      </c>
      <c r="AF1203">
        <f>VLOOKUP($B1203&amp;AF$1,Data!$A$2:$D$14000,4,FALSE)</f>
        <v>8.5999999999999993E-2</v>
      </c>
      <c r="AG1203">
        <f>VLOOKUP($B1203&amp;AG$1,Data!$A$2:$D$14000,4,FALSE)</f>
        <v>0.69899999999999995</v>
      </c>
      <c r="AH1203">
        <f>VLOOKUP($B1203&amp;AH$1,Data!$A$2:$D$14000,4,FALSE)</f>
        <v>0</v>
      </c>
      <c r="AI1203">
        <f>VLOOKUP($B1203&amp;AI$1,Data!$A$2:$D$14000,4,FALSE)</f>
        <v>7900000</v>
      </c>
    </row>
    <row r="1204" spans="1:35">
      <c r="A1204" t="s">
        <v>59</v>
      </c>
      <c r="B1204" s="32">
        <v>1015</v>
      </c>
      <c r="C1204" s="20" t="s">
        <v>58</v>
      </c>
      <c r="D1204" s="7" t="s">
        <v>6</v>
      </c>
      <c r="E1204" t="s">
        <v>22</v>
      </c>
      <c r="F1204">
        <v>10</v>
      </c>
      <c r="G1204" t="s">
        <v>17</v>
      </c>
      <c r="H1204" s="5">
        <v>43831</v>
      </c>
      <c r="I1204" s="5">
        <v>44562</v>
      </c>
      <c r="J1204">
        <v>14</v>
      </c>
      <c r="K1204">
        <v>9</v>
      </c>
      <c r="L1204">
        <v>32</v>
      </c>
      <c r="M1204">
        <v>68</v>
      </c>
      <c r="N1204">
        <v>10000</v>
      </c>
      <c r="O1204">
        <f>VLOOKUP($B1204&amp;O$1,Data!$A$2:$D$12000,4,FALSE)</f>
        <v>0.87360000000000004</v>
      </c>
      <c r="P1204">
        <f>VLOOKUP($B1204&amp;P$1,Data!$A$2:$D$12000,4,FALSE)</f>
        <v>2.0819999999999999</v>
      </c>
      <c r="Q1204">
        <f>VLOOKUP($B1204&amp;Q$1,Data!$A$2:$D$12000,4,FALSE)</f>
        <v>666</v>
      </c>
      <c r="R1204">
        <f>VLOOKUP($B1204&amp;R$1,Data!$A$2:$D$12000,4,FALSE)</f>
        <v>2.8E-3</v>
      </c>
      <c r="S1204">
        <f>VLOOKUP($B1204&amp;S$1,Data!$A$2:$D$12000,4,FALSE)</f>
        <v>-2.0999999999999999E-3</v>
      </c>
      <c r="T1204">
        <f>VLOOKUP($B1204&amp;T$1,Data!$A$2:$D$12000,4,FALSE)</f>
        <v>0.10988000000000001</v>
      </c>
      <c r="U1204">
        <f>VLOOKUP($B1204&amp;U$1,Data!$A$2:$D$12000,4,FALSE)</f>
        <v>1.6E-2</v>
      </c>
      <c r="V1204">
        <f>VLOOKUP($B1204&amp;V$1,Data!$A$2:$D$12000,4,FALSE)</f>
        <v>0.61799999999999999</v>
      </c>
      <c r="W1204">
        <f>VLOOKUP($B1204&amp;W$1,Data!$A$2:$D$12000,4,FALSE)</f>
        <v>7.1859999999999993E-2</v>
      </c>
      <c r="X1204">
        <f>VLOOKUP($B1204&amp;X$1,Data!$A$2:$D$12000,4,FALSE)</f>
        <v>0.31</v>
      </c>
      <c r="Y1204">
        <f>VLOOKUP($B1204&amp;Y$1,Data!$A$2:$D$12000,4,FALSE)</f>
        <v>0.69</v>
      </c>
      <c r="Z1204">
        <f>VLOOKUP($B1204&amp;Z$1,Data!$A$2:$D$12000,4,FALSE)</f>
        <v>1.35</v>
      </c>
      <c r="AA1204">
        <f>VLOOKUP($B1204&amp;AA$1,Data!$A$2:$D$12000,4,FALSE)</f>
        <v>7.2999999999999995E-2</v>
      </c>
      <c r="AB1204">
        <f>VLOOKUP($B1204&amp;AB$1,Data!$A$2:$D$12000,4,FALSE)</f>
        <v>6.4000000000000001E-2</v>
      </c>
      <c r="AC1204">
        <f>VLOOKUP($B1204&amp;AC$1,Data!$A$2:$D$12000,4,FALSE)</f>
        <v>3.5999999999999997E-2</v>
      </c>
      <c r="AD1204">
        <f>VLOOKUP($B1204&amp;AD$1,Data!$A$2:$D$12000,4,FALSE)</f>
        <v>1E-3</v>
      </c>
      <c r="AE1204">
        <f>VLOOKUP($B1204&amp;AE$1,Data!$A$2:$D$12000,4,FALSE)</f>
        <v>0.36399999999999999</v>
      </c>
      <c r="AF1204">
        <f>VLOOKUP($B1204&amp;AF$1,Data!$A$2:$D$12000,4,FALSE)</f>
        <v>7.2999999999999995E-2</v>
      </c>
      <c r="AG1204">
        <f>VLOOKUP($B1204&amp;AG$1,Data!$A$2:$D$12000,4,FALSE)</f>
        <v>1.19</v>
      </c>
      <c r="AH1204">
        <f>VLOOKUP($B1204&amp;AH$1,Data!$A$2:$D$12000,4,FALSE)</f>
        <v>0</v>
      </c>
      <c r="AI1204">
        <f>VLOOKUP($B1204&amp;AI$1,Data!$A$2:$D$12000,4,FALSE)</f>
        <v>6600000</v>
      </c>
    </row>
    <row r="1205" spans="1:35">
      <c r="A1205" s="7" t="s">
        <v>59</v>
      </c>
      <c r="B1205" s="20">
        <v>2023</v>
      </c>
      <c r="C1205" s="20" t="s">
        <v>58</v>
      </c>
      <c r="D1205" s="7" t="s">
        <v>6</v>
      </c>
      <c r="E1205" s="7" t="s">
        <v>2</v>
      </c>
      <c r="F1205" s="7">
        <v>1000</v>
      </c>
      <c r="G1205" s="7" t="s">
        <v>17</v>
      </c>
      <c r="H1205" s="21">
        <v>43831</v>
      </c>
      <c r="I1205" s="21">
        <v>44562</v>
      </c>
      <c r="J1205" s="7">
        <v>14</v>
      </c>
      <c r="K1205" s="7">
        <v>9</v>
      </c>
      <c r="L1205" s="7">
        <v>30</v>
      </c>
      <c r="M1205" s="7">
        <v>70</v>
      </c>
      <c r="N1205" s="7">
        <v>1000000</v>
      </c>
      <c r="O1205">
        <f>VLOOKUP($B1205&amp;O$1,Data!$A$2:$D$14000,4,FALSE)</f>
        <v>0.65010000000000001</v>
      </c>
      <c r="P1205" s="7">
        <f>VLOOKUP($B1205&amp;P$1,Data!$A$2:$D$14000,4,FALSE)</f>
        <v>1.409</v>
      </c>
      <c r="Q1205">
        <f>VLOOKUP($B1205&amp;Q$1,Data!$A$2:$D$14000,4,FALSE)</f>
        <v>690</v>
      </c>
      <c r="R1205">
        <f>VLOOKUP($B1205&amp;R$1,Data!$A$2:$D$14000,4,FALSE)</f>
        <v>1.6999999999999999E-3</v>
      </c>
      <c r="S1205">
        <f>VLOOKUP($B1205&amp;S$1,Data!$A$2:$D$14000,4,FALSE)</f>
        <v>-2.0999999999999999E-3</v>
      </c>
      <c r="T1205">
        <f>VLOOKUP($B1205&amp;T$1,Data!$A$2:$D$14000,4,FALSE)</f>
        <v>5.9119999999999999E-2</v>
      </c>
      <c r="U1205">
        <f>VLOOKUP($B1205&amp;U$1,Data!$A$2:$D$14000,4,FALSE)</f>
        <v>1.6E-2</v>
      </c>
      <c r="V1205">
        <f>VLOOKUP($B1205&amp;V$1,Data!$A$2:$D$14000,4,FALSE)</f>
        <v>0.27</v>
      </c>
      <c r="W1205">
        <f>VLOOKUP($B1205&amp;W$1,Data!$A$2:$D$14000,4,FALSE)</f>
        <v>3.9140000000000001E-2</v>
      </c>
      <c r="X1205">
        <f>VLOOKUP($B1205&amp;X$1,Data!$A$2:$D$14000,4,FALSE)</f>
        <v>0.31</v>
      </c>
      <c r="Y1205">
        <f>VLOOKUP($B1205&amp;Y$1,Data!$A$2:$D$14000,4,FALSE)</f>
        <v>0.69</v>
      </c>
      <c r="Z1205">
        <f>VLOOKUP($B1205&amp;Z$1,Data!$A$2:$D$14000,4,FALSE)</f>
        <v>0.84</v>
      </c>
      <c r="AA1205">
        <f>VLOOKUP($B1205&amp;AA$1,Data!$A$2:$D$14000,4,FALSE)</f>
        <v>3.7999999999999999E-2</v>
      </c>
      <c r="AB1205">
        <f>VLOOKUP($B1205&amp;AB$1,Data!$A$2:$D$14000,4,FALSE)</f>
        <v>5.5E-2</v>
      </c>
      <c r="AC1205">
        <f>VLOOKUP($B1205&amp;AC$1,Data!$A$2:$D$14000,4,FALSE)</f>
        <v>2.9000000000000001E-2</v>
      </c>
      <c r="AD1205">
        <f>VLOOKUP($B1205&amp;AD$1,Data!$A$2:$D$14000,4,FALSE)</f>
        <v>1E-3</v>
      </c>
      <c r="AE1205">
        <f>VLOOKUP($B1205&amp;AE$1,Data!$A$2:$D$14000,4,FALSE)</f>
        <v>-0.13</v>
      </c>
      <c r="AF1205">
        <f>VLOOKUP($B1205&amp;AF$1,Data!$A$2:$D$14000,4,FALSE)</f>
        <v>7.0000000000000007E-2</v>
      </c>
      <c r="AG1205">
        <f>VLOOKUP($B1205&amp;AG$1,Data!$A$2:$D$14000,4,FALSE)</f>
        <v>0.74299999999999999</v>
      </c>
      <c r="AH1205">
        <f>VLOOKUP($B1205&amp;AH$1,Data!$A$2:$D$14000,4,FALSE)</f>
        <v>0</v>
      </c>
      <c r="AI1205">
        <f>VLOOKUP($B1205&amp;AI$1,Data!$A$2:$D$14000,4,FALSE)</f>
        <v>7100000</v>
      </c>
    </row>
    <row r="1206" spans="1:35">
      <c r="A1206" s="7" t="s">
        <v>59</v>
      </c>
      <c r="B1206" s="20">
        <v>2043</v>
      </c>
      <c r="C1206" s="20" t="s">
        <v>58</v>
      </c>
      <c r="D1206" s="7" t="s">
        <v>19</v>
      </c>
      <c r="E1206" s="7" t="s">
        <v>22</v>
      </c>
      <c r="F1206" s="7">
        <v>100</v>
      </c>
      <c r="G1206" s="7" t="s">
        <v>17</v>
      </c>
      <c r="H1206" s="21">
        <v>43831</v>
      </c>
      <c r="I1206" s="21">
        <v>44562</v>
      </c>
      <c r="J1206" s="7">
        <v>14</v>
      </c>
      <c r="K1206" s="7">
        <v>9</v>
      </c>
      <c r="L1206" s="7">
        <v>30</v>
      </c>
      <c r="M1206" s="7">
        <v>70</v>
      </c>
      <c r="N1206" s="7">
        <v>1000000</v>
      </c>
      <c r="O1206">
        <f>VLOOKUP($B1206&amp;O$1,Data!$A$2:$D$14000,4,FALSE)</f>
        <v>0.67423</v>
      </c>
      <c r="P1206" s="7">
        <f>VLOOKUP($B1206&amp;P$1,Data!$A$2:$D$14000,4,FALSE)</f>
        <v>1.446</v>
      </c>
      <c r="Q1206">
        <f>VLOOKUP($B1206&amp;Q$1,Data!$A$2:$D$14000,4,FALSE)</f>
        <v>853</v>
      </c>
      <c r="R1206">
        <f>VLOOKUP($B1206&amp;R$1,Data!$A$2:$D$14000,4,FALSE)</f>
        <v>2.9999999999999997E-4</v>
      </c>
      <c r="S1206">
        <f>VLOOKUP($B1206&amp;S$1,Data!$A$2:$D$14000,4,FALSE)</f>
        <v>-4.0000000000000002E-4</v>
      </c>
      <c r="T1206">
        <f>VLOOKUP($B1206&amp;T$1,Data!$A$2:$D$14000,4,FALSE)</f>
        <v>2.0449999999999999E-2</v>
      </c>
      <c r="U1206">
        <f>VLOOKUP($B1206&amp;U$1,Data!$A$2:$D$14000,4,FALSE)</f>
        <v>5.0000000000000001E-3</v>
      </c>
      <c r="V1206">
        <f>VLOOKUP($B1206&amp;V$1,Data!$A$2:$D$14000,4,FALSE)</f>
        <v>0.35299999999999998</v>
      </c>
      <c r="W1206">
        <f>VLOOKUP($B1206&amp;W$1,Data!$A$2:$D$14000,4,FALSE)</f>
        <v>1.362E-2</v>
      </c>
      <c r="X1206">
        <f>VLOOKUP($B1206&amp;X$1,Data!$A$2:$D$14000,4,FALSE)</f>
        <v>0.24</v>
      </c>
      <c r="Y1206">
        <f>VLOOKUP($B1206&amp;Y$1,Data!$A$2:$D$14000,4,FALSE)</f>
        <v>0.76</v>
      </c>
      <c r="Z1206">
        <f>VLOOKUP($B1206&amp;Z$1,Data!$A$2:$D$14000,4,FALSE)</f>
        <v>0.78</v>
      </c>
      <c r="AA1206">
        <f>VLOOKUP($B1206&amp;AA$1,Data!$A$2:$D$14000,4,FALSE)</f>
        <v>1.4999999999999999E-2</v>
      </c>
      <c r="AB1206">
        <f>VLOOKUP($B1206&amp;AB$1,Data!$A$2:$D$14000,4,FALSE)</f>
        <v>-1.2E-2</v>
      </c>
      <c r="AC1206">
        <f>VLOOKUP($B1206&amp;AC$1,Data!$A$2:$D$14000,4,FALSE)</f>
        <v>0.01</v>
      </c>
      <c r="AD1206">
        <f>VLOOKUP($B1206&amp;AD$1,Data!$A$2:$D$14000,4,FALSE)</f>
        <v>0</v>
      </c>
      <c r="AE1206">
        <f>VLOOKUP($B1206&amp;AE$1,Data!$A$2:$D$14000,4,FALSE)</f>
        <v>-0.52300000000000002</v>
      </c>
      <c r="AF1206">
        <f>VLOOKUP($B1206&amp;AF$1,Data!$A$2:$D$14000,4,FALSE)</f>
        <v>6.9000000000000006E-2</v>
      </c>
      <c r="AG1206">
        <f>VLOOKUP($B1206&amp;AG$1,Data!$A$2:$D$14000,4,FALSE)</f>
        <v>-1.1819999999999999</v>
      </c>
      <c r="AH1206">
        <f>VLOOKUP($B1206&amp;AH$1,Data!$A$2:$D$14000,4,FALSE)</f>
        <v>0</v>
      </c>
      <c r="AI1206">
        <f>VLOOKUP($B1206&amp;AI$1,Data!$A$2:$D$14000,4,FALSE)</f>
        <v>250000000</v>
      </c>
    </row>
    <row r="1207" spans="1:35">
      <c r="A1207" s="7" t="s">
        <v>59</v>
      </c>
      <c r="B1207" s="30">
        <v>2043.1</v>
      </c>
      <c r="C1207" s="20" t="s">
        <v>58</v>
      </c>
      <c r="D1207" s="7" t="s">
        <v>19</v>
      </c>
      <c r="E1207" s="7" t="s">
        <v>22</v>
      </c>
      <c r="F1207" s="7">
        <v>100</v>
      </c>
      <c r="G1207" s="7" t="s">
        <v>17</v>
      </c>
      <c r="H1207" s="21">
        <v>43831</v>
      </c>
      <c r="I1207" s="21">
        <v>44562</v>
      </c>
      <c r="J1207" s="7">
        <v>14</v>
      </c>
      <c r="K1207" s="7">
        <v>9</v>
      </c>
      <c r="L1207" s="7">
        <v>30</v>
      </c>
      <c r="M1207" s="7">
        <v>70</v>
      </c>
      <c r="N1207" s="7">
        <v>1000000</v>
      </c>
      <c r="O1207">
        <f>VLOOKUP($B1207&amp;O$1,Data!$A$2:$D$14000,4,FALSE)</f>
        <v>0.64178999999999997</v>
      </c>
      <c r="P1207" s="7">
        <f>VLOOKUP($B1207&amp;P$1,Data!$A$2:$D$14000,4,FALSE)</f>
        <v>1.359</v>
      </c>
      <c r="Q1207">
        <f>VLOOKUP($B1207&amp;Q$1,Data!$A$2:$D$14000,4,FALSE)</f>
        <v>872</v>
      </c>
      <c r="R1207">
        <f>VLOOKUP($B1207&amp;R$1,Data!$A$2:$D$14000,4,FALSE)</f>
        <v>2.9999999999999997E-4</v>
      </c>
      <c r="S1207">
        <f>VLOOKUP($B1207&amp;S$1,Data!$A$2:$D$14000,4,FALSE)</f>
        <v>-4.0000000000000002E-4</v>
      </c>
      <c r="T1207">
        <f>VLOOKUP($B1207&amp;T$1,Data!$A$2:$D$14000,4,FALSE)</f>
        <v>1.924E-2</v>
      </c>
      <c r="U1207">
        <f>VLOOKUP($B1207&amp;U$1,Data!$A$2:$D$14000,4,FALSE)</f>
        <v>5.0000000000000001E-3</v>
      </c>
      <c r="V1207">
        <f>VLOOKUP($B1207&amp;V$1,Data!$A$2:$D$14000,4,FALSE)</f>
        <v>0.32300000000000001</v>
      </c>
      <c r="W1207">
        <f>VLOOKUP($B1207&amp;W$1,Data!$A$2:$D$14000,4,FALSE)</f>
        <v>1.2869999999999999E-2</v>
      </c>
      <c r="X1207">
        <f>VLOOKUP($B1207&amp;X$1,Data!$A$2:$D$14000,4,FALSE)</f>
        <v>0.25</v>
      </c>
      <c r="Y1207">
        <f>VLOOKUP($B1207&amp;Y$1,Data!$A$2:$D$14000,4,FALSE)</f>
        <v>0.75</v>
      </c>
      <c r="Z1207">
        <f>VLOOKUP($B1207&amp;Z$1,Data!$A$2:$D$14000,4,FALSE)</f>
        <v>0.76</v>
      </c>
      <c r="AA1207">
        <f>VLOOKUP($B1207&amp;AA$1,Data!$A$2:$D$14000,4,FALSE)</f>
        <v>1.4E-2</v>
      </c>
      <c r="AB1207">
        <f>VLOOKUP($B1207&amp;AB$1,Data!$A$2:$D$14000,4,FALSE)</f>
        <v>-1.2E-2</v>
      </c>
      <c r="AC1207">
        <f>VLOOKUP($B1207&amp;AC$1,Data!$A$2:$D$14000,4,FALSE)</f>
        <v>0.01</v>
      </c>
      <c r="AD1207">
        <f>VLOOKUP($B1207&amp;AD$1,Data!$A$2:$D$14000,4,FALSE)</f>
        <v>0</v>
      </c>
      <c r="AE1207">
        <f>VLOOKUP($B1207&amp;AE$1,Data!$A$2:$D$14000,4,FALSE)</f>
        <v>-0.53300000000000003</v>
      </c>
      <c r="AF1207">
        <f>VLOOKUP($B1207&amp;AF$1,Data!$A$2:$D$14000,4,FALSE)</f>
        <v>6.9000000000000006E-2</v>
      </c>
      <c r="AG1207">
        <f>VLOOKUP($B1207&amp;AG$1,Data!$A$2:$D$14000,4,FALSE)</f>
        <v>-1.1140000000000001</v>
      </c>
      <c r="AH1207">
        <f>VLOOKUP($B1207&amp;AH$1,Data!$A$2:$D$14000,4,FALSE)</f>
        <v>0</v>
      </c>
      <c r="AI1207">
        <f>VLOOKUP($B1207&amp;AI$1,Data!$A$2:$D$14000,4,FALSE)</f>
        <v>17000000000</v>
      </c>
    </row>
    <row r="1208" spans="1:35">
      <c r="A1208" t="s">
        <v>59</v>
      </c>
      <c r="B1208" s="35" t="s">
        <v>63</v>
      </c>
      <c r="C1208" s="20" t="s">
        <v>58</v>
      </c>
      <c r="D1208" s="7" t="s">
        <v>6</v>
      </c>
      <c r="E1208" t="s">
        <v>2</v>
      </c>
      <c r="F1208">
        <v>100</v>
      </c>
      <c r="G1208" t="s">
        <v>17</v>
      </c>
      <c r="H1208" s="5">
        <v>43831</v>
      </c>
      <c r="I1208" s="5">
        <v>44562</v>
      </c>
      <c r="J1208">
        <v>14</v>
      </c>
      <c r="K1208">
        <v>9</v>
      </c>
      <c r="L1208">
        <v>30</v>
      </c>
      <c r="M1208">
        <v>70</v>
      </c>
      <c r="N1208">
        <v>10000</v>
      </c>
      <c r="O1208">
        <f>VLOOKUP($B1208&amp;O$1,Data!$A$2:$D$14000,4,FALSE)</f>
        <v>0.41145999999999999</v>
      </c>
      <c r="P1208">
        <f>VLOOKUP($B1208&amp;P$1,Data!$A$2:$D$14000,4,FALSE)</f>
        <v>0.78900000000000003</v>
      </c>
      <c r="Q1208" s="33">
        <f>VLOOKUP($B1208&amp;Q$1,Data!$A$2:$D$14000,4,FALSE)</f>
        <v>458</v>
      </c>
      <c r="R1208">
        <f>VLOOKUP($B1208&amp;R$1,Data!$A$2:$D$14000,4,FALSE)</f>
        <v>2.2000000000000001E-3</v>
      </c>
      <c r="S1208">
        <f>VLOOKUP($B1208&amp;S$1,Data!$A$2:$D$14000,4,FALSE)</f>
        <v>-3.2000000000000002E-3</v>
      </c>
      <c r="T1208">
        <f>VLOOKUP($B1208&amp;T$1,Data!$A$2:$D$14000,4,FALSE)</f>
        <v>4.6730000000000001E-2</v>
      </c>
      <c r="U1208">
        <f>VLOOKUP($B1208&amp;U$1,Data!$A$2:$D$14000,4,FALSE)</f>
        <v>2.8000000000000001E-2</v>
      </c>
      <c r="V1208">
        <f>VLOOKUP($B1208&amp;V$1,Data!$A$2:$D$14000,4,FALSE)</f>
        <v>0.14499999999999999</v>
      </c>
      <c r="W1208">
        <f>VLOOKUP($B1208&amp;W$1,Data!$A$2:$D$14000,4,FALSE)</f>
        <v>3.1640000000000001E-2</v>
      </c>
      <c r="X1208">
        <f>VLOOKUP($B1208&amp;X$1,Data!$A$2:$D$14000,4,FALSE)</f>
        <v>0.33</v>
      </c>
      <c r="Y1208">
        <f>VLOOKUP($B1208&amp;Y$1,Data!$A$2:$D$14000,4,FALSE)</f>
        <v>0.67</v>
      </c>
      <c r="Z1208">
        <f>VLOOKUP($B1208&amp;Z$1,Data!$A$2:$D$14000,4,FALSE)</f>
        <v>0.71</v>
      </c>
      <c r="AA1208">
        <f>VLOOKUP($B1208&amp;AA$1,Data!$A$2:$D$14000,4,FALSE)</f>
        <v>2.8000000000000001E-2</v>
      </c>
      <c r="AB1208">
        <f>VLOOKUP($B1208&amp;AB$1,Data!$A$2:$D$14000,4,FALSE)</f>
        <v>0.04</v>
      </c>
      <c r="AC1208">
        <f>VLOOKUP($B1208&amp;AC$1,Data!$A$2:$D$14000,4,FALSE)</f>
        <v>4.2000000000000003E-2</v>
      </c>
      <c r="AD1208">
        <f>VLOOKUP($B1208&amp;AD$1,Data!$A$2:$D$14000,4,FALSE)</f>
        <v>2E-3</v>
      </c>
      <c r="AE1208">
        <f>VLOOKUP($B1208&amp;AE$1,Data!$A$2:$D$14000,4,FALSE)</f>
        <v>-0.71299999999999997</v>
      </c>
      <c r="AF1208">
        <f>VLOOKUP($B1208&amp;AF$1,Data!$A$2:$D$14000,4,FALSE)</f>
        <v>0.122</v>
      </c>
      <c r="AG1208">
        <f>VLOOKUP($B1208&amp;AG$1,Data!$A$2:$D$14000,4,FALSE)</f>
        <v>0.83399999999999996</v>
      </c>
      <c r="AH1208">
        <f>VLOOKUP($B1208&amp;AH$1,Data!$A$2:$D$14000,4,FALSE)</f>
        <v>0</v>
      </c>
      <c r="AI1208">
        <f>VLOOKUP($B1208&amp;AI$1,Data!$A$2:$D$14000,4,FALSE)</f>
        <v>7600000</v>
      </c>
    </row>
  </sheetData>
  <autoFilter ref="A1:AI1208" xr:uid="{8D04EEA1-3C45-4C84-84E4-8EA17A4E9583}">
    <filterColumn colId="0">
      <customFilters>
        <customFilter operator="notEqual" val=" "/>
      </customFilters>
    </filterColumn>
    <sortState xmlns:xlrd2="http://schemas.microsoft.com/office/spreadsheetml/2017/richdata2" ref="A816:AI1208">
      <sortCondition ref="B816:B1208"/>
    </sortState>
  </autoFilter>
  <phoneticPr fontId="4" type="noConversion"/>
  <conditionalFormatting sqref="O2:O19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:AA19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45:O253 O218:O226 O272:O29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5:P253 P218:P226 P272:P2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00:O307 O326:O334 O353:O3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0:P307 P326:P334 P353:P3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9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9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0:O57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0:P57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80:AA56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23:O631 O596:O604 O650:O67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23:P631 P596:P604 P650:P67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8:O685 O704:O712 O731:O73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78:P685 P704:P712 P731:P73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7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7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58:P775 P777:P120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58:O775 O1151:P1200 O777:O120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529D-640E-47F0-8293-653E941B649C}">
  <sheetPr codeName="Sheet4">
    <tabColor theme="5" tint="0.59999389629810485"/>
  </sheetPr>
  <dimension ref="A1:E13258"/>
  <sheetViews>
    <sheetView topLeftCell="A13125" workbookViewId="0">
      <selection activeCell="C13129" sqref="C13129"/>
    </sheetView>
  </sheetViews>
  <sheetFormatPr defaultRowHeight="14.5"/>
  <cols>
    <col min="1" max="1" width="28.36328125" bestFit="1" customWidth="1"/>
    <col min="2" max="2" width="10.6328125" customWidth="1"/>
    <col min="3" max="3" width="26.6328125" customWidth="1"/>
    <col min="4" max="4" width="14.453125" bestFit="1" customWidth="1"/>
  </cols>
  <sheetData>
    <row r="1" spans="1:5">
      <c r="A1" s="14" t="s">
        <v>51</v>
      </c>
      <c r="B1" s="25" t="s">
        <v>48</v>
      </c>
      <c r="C1" s="14" t="s">
        <v>49</v>
      </c>
      <c r="D1" s="14" t="s">
        <v>50</v>
      </c>
      <c r="E1" s="31"/>
    </row>
    <row r="2" spans="1:5">
      <c r="A2" t="str">
        <f>B2&amp;C2</f>
        <v>1PSR</v>
      </c>
      <c r="B2">
        <v>1</v>
      </c>
      <c r="C2" s="9" t="s">
        <v>27</v>
      </c>
      <c r="D2" s="8">
        <v>4.4080000000000001E-2</v>
      </c>
    </row>
    <row r="3" spans="1:5">
      <c r="A3" t="str">
        <f t="shared" ref="A3:A66" si="0">B3&amp;C3</f>
        <v>1Sharpe Ratio</v>
      </c>
      <c r="B3">
        <v>1</v>
      </c>
      <c r="C3" s="9" t="s">
        <v>1</v>
      </c>
      <c r="D3" s="8">
        <v>-0.73599999999999999</v>
      </c>
    </row>
    <row r="4" spans="1:5">
      <c r="A4" t="str">
        <f t="shared" si="0"/>
        <v>1Total Trades</v>
      </c>
      <c r="B4">
        <v>1</v>
      </c>
      <c r="C4" s="9" t="s">
        <v>28</v>
      </c>
      <c r="D4" s="8">
        <v>1002</v>
      </c>
    </row>
    <row r="5" spans="1:5">
      <c r="A5" t="str">
        <f t="shared" si="0"/>
        <v>1Average Win</v>
      </c>
      <c r="B5">
        <v>1</v>
      </c>
      <c r="C5" s="9" t="s">
        <v>25</v>
      </c>
      <c r="D5" s="8">
        <v>2.0000000000000001E-4</v>
      </c>
    </row>
    <row r="6" spans="1:5">
      <c r="A6" t="str">
        <f t="shared" si="0"/>
        <v>1Average Loss</v>
      </c>
      <c r="B6">
        <v>1</v>
      </c>
      <c r="C6" s="9" t="s">
        <v>29</v>
      </c>
      <c r="D6" s="8">
        <v>-4.0000000000000002E-4</v>
      </c>
    </row>
    <row r="7" spans="1:5">
      <c r="A7" t="str">
        <f t="shared" si="0"/>
        <v>1Compounding Annual Return</v>
      </c>
      <c r="B7">
        <v>1</v>
      </c>
      <c r="C7" s="9" t="s">
        <v>30</v>
      </c>
      <c r="D7" s="8">
        <v>-6.9199999999999999E-3</v>
      </c>
    </row>
    <row r="8" spans="1:5">
      <c r="A8" t="str">
        <f t="shared" si="0"/>
        <v>1Drawdown</v>
      </c>
      <c r="B8">
        <v>1</v>
      </c>
      <c r="C8" s="9" t="s">
        <v>8</v>
      </c>
      <c r="D8" s="8">
        <v>1.0999999999999999E-2</v>
      </c>
    </row>
    <row r="9" spans="1:5">
      <c r="A9" t="str">
        <f t="shared" si="0"/>
        <v>1Expectancy</v>
      </c>
      <c r="B9">
        <v>1</v>
      </c>
      <c r="C9" s="9" t="s">
        <v>31</v>
      </c>
      <c r="D9" s="8">
        <v>-0.10199999999999999</v>
      </c>
    </row>
    <row r="10" spans="1:5">
      <c r="A10" t="str">
        <f t="shared" si="0"/>
        <v>1Net Profit</v>
      </c>
      <c r="B10">
        <v>1</v>
      </c>
      <c r="C10" s="9" t="s">
        <v>32</v>
      </c>
      <c r="D10" s="8">
        <v>-4.5199999999999997E-3</v>
      </c>
    </row>
    <row r="11" spans="1:5">
      <c r="A11" t="str">
        <f t="shared" si="0"/>
        <v>1Loss Rate</v>
      </c>
      <c r="B11">
        <v>1</v>
      </c>
      <c r="C11" s="9" t="s">
        <v>33</v>
      </c>
      <c r="D11" s="8">
        <v>0.39</v>
      </c>
    </row>
    <row r="12" spans="1:5">
      <c r="A12" t="str">
        <f t="shared" si="0"/>
        <v>1Win Rate</v>
      </c>
      <c r="B12">
        <v>1</v>
      </c>
      <c r="C12" s="9" t="s">
        <v>34</v>
      </c>
      <c r="D12" s="8">
        <v>0.61</v>
      </c>
    </row>
    <row r="13" spans="1:5">
      <c r="A13" t="str">
        <f t="shared" si="0"/>
        <v>1Profit-Loss Ratio</v>
      </c>
      <c r="B13">
        <v>1</v>
      </c>
      <c r="C13" s="9" t="s">
        <v>26</v>
      </c>
      <c r="D13" s="8">
        <v>0.48</v>
      </c>
    </row>
    <row r="14" spans="1:5">
      <c r="A14" t="str">
        <f t="shared" si="0"/>
        <v>1Alpha</v>
      </c>
      <c r="B14">
        <v>1</v>
      </c>
      <c r="C14" s="9" t="s">
        <v>23</v>
      </c>
      <c r="D14" s="8">
        <v>-4.0000000000000001E-3</v>
      </c>
    </row>
    <row r="15" spans="1:5">
      <c r="A15" t="str">
        <f t="shared" si="0"/>
        <v>1Beta</v>
      </c>
      <c r="B15">
        <v>1</v>
      </c>
      <c r="C15" s="9" t="s">
        <v>24</v>
      </c>
      <c r="D15" s="8">
        <v>-6.0000000000000001E-3</v>
      </c>
    </row>
    <row r="16" spans="1:5">
      <c r="A16" t="str">
        <f t="shared" si="0"/>
        <v>1Annual Standard Deviation</v>
      </c>
      <c r="B16">
        <v>1</v>
      </c>
      <c r="C16" s="9" t="s">
        <v>35</v>
      </c>
      <c r="D16" s="8">
        <v>6.0000000000000001E-3</v>
      </c>
    </row>
    <row r="17" spans="1:4">
      <c r="A17" t="str">
        <f t="shared" si="0"/>
        <v>1Annual Variance</v>
      </c>
      <c r="B17">
        <v>1</v>
      </c>
      <c r="C17" s="9" t="s">
        <v>36</v>
      </c>
      <c r="D17" s="8">
        <v>0</v>
      </c>
    </row>
    <row r="18" spans="1:4">
      <c r="A18" t="str">
        <f t="shared" si="0"/>
        <v>1Information Ratio</v>
      </c>
      <c r="B18">
        <v>1</v>
      </c>
      <c r="C18" s="9" t="s">
        <v>37</v>
      </c>
      <c r="D18" s="8">
        <v>-0.93700000000000006</v>
      </c>
    </row>
    <row r="19" spans="1:4">
      <c r="A19" t="str">
        <f t="shared" si="0"/>
        <v>1Tracking Error</v>
      </c>
      <c r="B19">
        <v>1</v>
      </c>
      <c r="C19" s="9" t="s">
        <v>38</v>
      </c>
      <c r="D19" s="8">
        <v>6.7000000000000004E-2</v>
      </c>
    </row>
    <row r="20" spans="1:4">
      <c r="A20" t="str">
        <f t="shared" si="0"/>
        <v>1Treynor Ratio</v>
      </c>
      <c r="B20">
        <v>1</v>
      </c>
      <c r="C20" s="9" t="s">
        <v>39</v>
      </c>
      <c r="D20" s="8">
        <v>0.77700000000000002</v>
      </c>
    </row>
    <row r="21" spans="1:4">
      <c r="A21" t="str">
        <f t="shared" si="0"/>
        <v>1Total Fees</v>
      </c>
      <c r="B21">
        <v>1</v>
      </c>
      <c r="C21" s="9" t="s">
        <v>40</v>
      </c>
      <c r="D21" s="8">
        <v>0</v>
      </c>
    </row>
    <row r="22" spans="1:4">
      <c r="A22" t="str">
        <f t="shared" si="0"/>
        <v>1Estimated Strategy Capacity</v>
      </c>
      <c r="B22">
        <v>1</v>
      </c>
      <c r="C22" s="9" t="s">
        <v>41</v>
      </c>
      <c r="D22" s="8">
        <v>6400000</v>
      </c>
    </row>
    <row r="23" spans="1:4">
      <c r="A23" t="str">
        <f t="shared" si="0"/>
        <v>2PSR</v>
      </c>
      <c r="B23">
        <v>2</v>
      </c>
      <c r="C23" s="9" t="s">
        <v>27</v>
      </c>
      <c r="D23" s="8">
        <v>4.6609999999999999E-2</v>
      </c>
    </row>
    <row r="24" spans="1:4">
      <c r="A24" t="str">
        <f t="shared" si="0"/>
        <v>2Sharpe Ratio</v>
      </c>
      <c r="B24">
        <v>2</v>
      </c>
      <c r="C24" s="9" t="s">
        <v>1</v>
      </c>
      <c r="D24" s="8">
        <v>-0.69899999999999995</v>
      </c>
    </row>
    <row r="25" spans="1:4">
      <c r="A25" t="str">
        <f t="shared" si="0"/>
        <v>2Total Trades</v>
      </c>
      <c r="B25">
        <v>2</v>
      </c>
      <c r="C25" s="9" t="s">
        <v>28</v>
      </c>
      <c r="D25" s="8">
        <v>1002</v>
      </c>
    </row>
    <row r="26" spans="1:4">
      <c r="A26" t="str">
        <f t="shared" si="0"/>
        <v>2Average Win</v>
      </c>
      <c r="B26">
        <v>2</v>
      </c>
      <c r="C26" s="9" t="s">
        <v>25</v>
      </c>
      <c r="D26" s="8">
        <v>1.8E-3</v>
      </c>
    </row>
    <row r="27" spans="1:4">
      <c r="A27" t="str">
        <f t="shared" si="0"/>
        <v>2Average Loss</v>
      </c>
      <c r="B27">
        <v>2</v>
      </c>
      <c r="C27" s="9" t="s">
        <v>29</v>
      </c>
      <c r="D27" s="8">
        <v>-3.8E-3</v>
      </c>
    </row>
    <row r="28" spans="1:4">
      <c r="A28" t="str">
        <f t="shared" si="0"/>
        <v>2Compounding Annual Return</v>
      </c>
      <c r="B28">
        <v>2</v>
      </c>
      <c r="C28" s="9" t="s">
        <v>30</v>
      </c>
      <c r="D28" s="8">
        <v>-6.8430000000000005E-2</v>
      </c>
    </row>
    <row r="29" spans="1:4">
      <c r="A29" t="str">
        <f t="shared" si="0"/>
        <v>2Drawdown</v>
      </c>
      <c r="B29">
        <v>2</v>
      </c>
      <c r="C29" s="9" t="s">
        <v>8</v>
      </c>
      <c r="D29" s="8">
        <v>0.11</v>
      </c>
    </row>
    <row r="30" spans="1:4">
      <c r="A30" t="str">
        <f t="shared" si="0"/>
        <v>2Expectancy</v>
      </c>
      <c r="B30">
        <v>2</v>
      </c>
      <c r="C30" s="9" t="s">
        <v>31</v>
      </c>
      <c r="D30" s="8">
        <v>-9.8000000000000004E-2</v>
      </c>
    </row>
    <row r="31" spans="1:4">
      <c r="A31" t="str">
        <f t="shared" si="0"/>
        <v>2Net Profit</v>
      </c>
      <c r="B31">
        <v>2</v>
      </c>
      <c r="C31" s="9" t="s">
        <v>32</v>
      </c>
      <c r="D31" s="8">
        <v>-4.5159999999999999E-2</v>
      </c>
    </row>
    <row r="32" spans="1:4">
      <c r="A32" t="str">
        <f t="shared" si="0"/>
        <v>2Loss Rate</v>
      </c>
      <c r="B32">
        <v>2</v>
      </c>
      <c r="C32" s="9" t="s">
        <v>33</v>
      </c>
      <c r="D32" s="8">
        <v>0.39</v>
      </c>
    </row>
    <row r="33" spans="1:4">
      <c r="A33" t="str">
        <f t="shared" si="0"/>
        <v>2Win Rate</v>
      </c>
      <c r="B33">
        <v>2</v>
      </c>
      <c r="C33" s="9" t="s">
        <v>34</v>
      </c>
      <c r="D33" s="8">
        <v>0.61</v>
      </c>
    </row>
    <row r="34" spans="1:4">
      <c r="A34" t="str">
        <f t="shared" si="0"/>
        <v>2Profit-Loss Ratio</v>
      </c>
      <c r="B34">
        <v>2</v>
      </c>
      <c r="C34" s="9" t="s">
        <v>26</v>
      </c>
      <c r="D34" s="8">
        <v>0.49</v>
      </c>
    </row>
    <row r="35" spans="1:4">
      <c r="A35" t="str">
        <f t="shared" si="0"/>
        <v>2Alpha</v>
      </c>
      <c r="B35">
        <v>2</v>
      </c>
      <c r="C35" s="9" t="s">
        <v>23</v>
      </c>
      <c r="D35" s="8">
        <v>-4.2000000000000003E-2</v>
      </c>
    </row>
    <row r="36" spans="1:4">
      <c r="A36" t="str">
        <f t="shared" si="0"/>
        <v>2Beta</v>
      </c>
      <c r="B36">
        <v>2</v>
      </c>
      <c r="C36" s="9" t="s">
        <v>24</v>
      </c>
      <c r="D36" s="8">
        <v>-6.0999999999999999E-2</v>
      </c>
    </row>
    <row r="37" spans="1:4">
      <c r="A37" t="str">
        <f t="shared" si="0"/>
        <v>2Annual Standard Deviation</v>
      </c>
      <c r="B37">
        <v>2</v>
      </c>
      <c r="C37" s="9" t="s">
        <v>35</v>
      </c>
      <c r="D37" s="8">
        <v>6.6000000000000003E-2</v>
      </c>
    </row>
    <row r="38" spans="1:4">
      <c r="A38" t="str">
        <f t="shared" si="0"/>
        <v>2Annual Variance</v>
      </c>
      <c r="B38">
        <v>2</v>
      </c>
      <c r="C38" s="9" t="s">
        <v>36</v>
      </c>
      <c r="D38" s="8">
        <v>4.0000000000000001E-3</v>
      </c>
    </row>
    <row r="39" spans="1:4">
      <c r="A39" t="str">
        <f t="shared" si="0"/>
        <v>2Information Ratio</v>
      </c>
      <c r="B39">
        <v>2</v>
      </c>
      <c r="C39" s="9" t="s">
        <v>37</v>
      </c>
      <c r="D39" s="8">
        <v>-1.081</v>
      </c>
    </row>
    <row r="40" spans="1:4">
      <c r="A40" t="str">
        <f t="shared" si="0"/>
        <v>2Tracking Error</v>
      </c>
      <c r="B40">
        <v>2</v>
      </c>
      <c r="C40" s="9" t="s">
        <v>38</v>
      </c>
      <c r="D40" s="8">
        <v>9.7000000000000003E-2</v>
      </c>
    </row>
    <row r="41" spans="1:4">
      <c r="A41" t="str">
        <f t="shared" si="0"/>
        <v>2Treynor Ratio</v>
      </c>
      <c r="B41">
        <v>2</v>
      </c>
      <c r="C41" s="9" t="s">
        <v>39</v>
      </c>
      <c r="D41" s="8">
        <v>0.748</v>
      </c>
    </row>
    <row r="42" spans="1:4">
      <c r="A42" t="str">
        <f t="shared" si="0"/>
        <v>2Total Fees</v>
      </c>
      <c r="B42">
        <v>2</v>
      </c>
      <c r="C42" s="9" t="s">
        <v>40</v>
      </c>
      <c r="D42" s="8">
        <v>0</v>
      </c>
    </row>
    <row r="43" spans="1:4">
      <c r="A43" t="str">
        <f t="shared" si="0"/>
        <v>2Estimated Strategy Capacity</v>
      </c>
      <c r="B43">
        <v>2</v>
      </c>
      <c r="C43" s="9" t="s">
        <v>41</v>
      </c>
      <c r="D43" s="8">
        <v>6400000</v>
      </c>
    </row>
    <row r="44" spans="1:4">
      <c r="A44" t="str">
        <f t="shared" si="0"/>
        <v>3PSR</v>
      </c>
      <c r="B44">
        <v>3</v>
      </c>
      <c r="C44" s="9" t="s">
        <v>27</v>
      </c>
      <c r="D44" s="8">
        <v>5.7389999999999997E-2</v>
      </c>
    </row>
    <row r="45" spans="1:4">
      <c r="A45" t="str">
        <f t="shared" si="0"/>
        <v>3Sharpe Ratio</v>
      </c>
      <c r="B45">
        <v>3</v>
      </c>
      <c r="C45" s="9" t="s">
        <v>1</v>
      </c>
      <c r="D45" s="8">
        <v>-0.56999999999999995</v>
      </c>
    </row>
    <row r="46" spans="1:4">
      <c r="A46" t="str">
        <f t="shared" si="0"/>
        <v>3Total Trades</v>
      </c>
      <c r="B46">
        <v>3</v>
      </c>
      <c r="C46" s="9" t="s">
        <v>28</v>
      </c>
      <c r="D46" s="8">
        <v>999</v>
      </c>
    </row>
    <row r="47" spans="1:4">
      <c r="A47" t="str">
        <f t="shared" si="0"/>
        <v>3Average Win</v>
      </c>
      <c r="B47">
        <v>3</v>
      </c>
      <c r="C47" s="9" t="s">
        <v>25</v>
      </c>
      <c r="D47" s="8">
        <v>1.03E-2</v>
      </c>
    </row>
    <row r="48" spans="1:4">
      <c r="A48" t="str">
        <f t="shared" si="0"/>
        <v>3Average Loss</v>
      </c>
      <c r="B48">
        <v>3</v>
      </c>
      <c r="C48" s="9" t="s">
        <v>29</v>
      </c>
      <c r="D48" s="8">
        <v>-2.0299999999999999E-2</v>
      </c>
    </row>
    <row r="49" spans="1:4">
      <c r="A49" t="str">
        <f t="shared" si="0"/>
        <v>3Compounding Annual Return</v>
      </c>
      <c r="B49">
        <v>3</v>
      </c>
      <c r="C49" s="9" t="s">
        <v>30</v>
      </c>
      <c r="D49" s="8">
        <v>-0.33722000000000002</v>
      </c>
    </row>
    <row r="50" spans="1:4">
      <c r="A50" t="str">
        <f t="shared" si="0"/>
        <v>3Drawdown</v>
      </c>
      <c r="B50">
        <v>3</v>
      </c>
      <c r="C50" s="9" t="s">
        <v>8</v>
      </c>
      <c r="D50" s="8">
        <v>0.47099999999999997</v>
      </c>
    </row>
    <row r="51" spans="1:4">
      <c r="A51" t="str">
        <f t="shared" si="0"/>
        <v>3Expectancy</v>
      </c>
      <c r="B51">
        <v>3</v>
      </c>
      <c r="C51" s="9" t="s">
        <v>31</v>
      </c>
      <c r="D51" s="8">
        <v>-8.3000000000000004E-2</v>
      </c>
    </row>
    <row r="52" spans="1:4">
      <c r="A52" t="str">
        <f t="shared" si="0"/>
        <v>3Net Profit</v>
      </c>
      <c r="B52">
        <v>3</v>
      </c>
      <c r="C52" s="9" t="s">
        <v>32</v>
      </c>
      <c r="D52" s="8">
        <v>-0.23521</v>
      </c>
    </row>
    <row r="53" spans="1:4">
      <c r="A53" t="str">
        <f t="shared" si="0"/>
        <v>3Loss Rate</v>
      </c>
      <c r="B53">
        <v>3</v>
      </c>
      <c r="C53" s="9" t="s">
        <v>33</v>
      </c>
      <c r="D53" s="8">
        <v>0.39</v>
      </c>
    </row>
    <row r="54" spans="1:4">
      <c r="A54" t="str">
        <f t="shared" si="0"/>
        <v>3Win Rate</v>
      </c>
      <c r="B54">
        <v>3</v>
      </c>
      <c r="C54" s="9" t="s">
        <v>34</v>
      </c>
      <c r="D54" s="8">
        <v>0.61</v>
      </c>
    </row>
    <row r="55" spans="1:4">
      <c r="A55" t="str">
        <f t="shared" si="0"/>
        <v>3Profit-Loss Ratio</v>
      </c>
      <c r="B55">
        <v>3</v>
      </c>
      <c r="C55" s="9" t="s">
        <v>26</v>
      </c>
      <c r="D55" s="8">
        <v>0.51</v>
      </c>
    </row>
    <row r="56" spans="1:4">
      <c r="A56" t="str">
        <f t="shared" si="0"/>
        <v>3Alpha</v>
      </c>
      <c r="B56">
        <v>3</v>
      </c>
      <c r="C56" s="9" t="s">
        <v>23</v>
      </c>
      <c r="D56" s="8">
        <v>-0.183</v>
      </c>
    </row>
    <row r="57" spans="1:4">
      <c r="A57" t="str">
        <f t="shared" si="0"/>
        <v>3Beta</v>
      </c>
      <c r="B57">
        <v>3</v>
      </c>
      <c r="C57" s="9" t="s">
        <v>24</v>
      </c>
      <c r="D57" s="8">
        <v>-0.3</v>
      </c>
    </row>
    <row r="58" spans="1:4">
      <c r="A58" t="str">
        <f t="shared" si="0"/>
        <v>3Annual Standard Deviation</v>
      </c>
      <c r="B58">
        <v>3</v>
      </c>
      <c r="C58" s="9" t="s">
        <v>35</v>
      </c>
      <c r="D58" s="8">
        <v>0.35099999999999998</v>
      </c>
    </row>
    <row r="59" spans="1:4">
      <c r="A59" t="str">
        <f t="shared" si="0"/>
        <v>3Annual Variance</v>
      </c>
      <c r="B59">
        <v>3</v>
      </c>
      <c r="C59" s="9" t="s">
        <v>36</v>
      </c>
      <c r="D59" s="8">
        <v>0.123</v>
      </c>
    </row>
    <row r="60" spans="1:4">
      <c r="A60" t="str">
        <f t="shared" si="0"/>
        <v>3Information Ratio</v>
      </c>
      <c r="B60">
        <v>3</v>
      </c>
      <c r="C60" s="9" t="s">
        <v>37</v>
      </c>
      <c r="D60" s="8">
        <v>-0.71599999999999997</v>
      </c>
    </row>
    <row r="61" spans="1:4">
      <c r="A61" t="str">
        <f t="shared" si="0"/>
        <v>3Tracking Error</v>
      </c>
      <c r="B61">
        <v>3</v>
      </c>
      <c r="C61" s="9" t="s">
        <v>38</v>
      </c>
      <c r="D61" s="8">
        <v>0.36099999999999999</v>
      </c>
    </row>
    <row r="62" spans="1:4">
      <c r="A62" t="str">
        <f t="shared" si="0"/>
        <v>3Treynor Ratio</v>
      </c>
      <c r="B62">
        <v>3</v>
      </c>
      <c r="C62" s="9" t="s">
        <v>39</v>
      </c>
      <c r="D62" s="8">
        <v>0.66800000000000004</v>
      </c>
    </row>
    <row r="63" spans="1:4">
      <c r="A63" t="str">
        <f t="shared" si="0"/>
        <v>3Total Fees</v>
      </c>
      <c r="B63">
        <v>3</v>
      </c>
      <c r="C63" s="9" t="s">
        <v>40</v>
      </c>
      <c r="D63" s="8">
        <v>0</v>
      </c>
    </row>
    <row r="64" spans="1:4">
      <c r="A64" t="str">
        <f t="shared" si="0"/>
        <v>3Estimated Strategy Capacity</v>
      </c>
      <c r="B64">
        <v>3</v>
      </c>
      <c r="C64" s="9" t="s">
        <v>41</v>
      </c>
      <c r="D64" s="8">
        <v>6300000</v>
      </c>
    </row>
    <row r="65" spans="1:4">
      <c r="A65" t="str">
        <f t="shared" si="0"/>
        <v>4PSR</v>
      </c>
      <c r="B65">
        <v>4</v>
      </c>
      <c r="C65" t="s">
        <v>27</v>
      </c>
      <c r="D65" s="6">
        <v>5.8100000000000001E-3</v>
      </c>
    </row>
    <row r="66" spans="1:4">
      <c r="A66" t="str">
        <f t="shared" si="0"/>
        <v>4Sharpe Ratio</v>
      </c>
      <c r="B66">
        <v>4</v>
      </c>
      <c r="C66" t="s">
        <v>1</v>
      </c>
      <c r="D66" s="6">
        <v>-1.57</v>
      </c>
    </row>
    <row r="67" spans="1:4">
      <c r="A67" t="str">
        <f t="shared" ref="A67:A130" si="1">B67&amp;C67</f>
        <v>4Total Trades</v>
      </c>
      <c r="B67">
        <v>4</v>
      </c>
      <c r="C67" t="s">
        <v>28</v>
      </c>
      <c r="D67" s="6">
        <v>198</v>
      </c>
    </row>
    <row r="68" spans="1:4">
      <c r="A68" t="str">
        <f t="shared" si="1"/>
        <v>4Average Win</v>
      </c>
      <c r="B68">
        <v>4</v>
      </c>
      <c r="C68" t="s">
        <v>25</v>
      </c>
      <c r="D68" s="6">
        <v>1.1999999999999999E-3</v>
      </c>
    </row>
    <row r="69" spans="1:4">
      <c r="A69" t="str">
        <f t="shared" si="1"/>
        <v>4Average Loss</v>
      </c>
      <c r="B69">
        <v>4</v>
      </c>
      <c r="C69" t="s">
        <v>29</v>
      </c>
      <c r="D69" s="6">
        <v>-3.7000000000000002E-3</v>
      </c>
    </row>
    <row r="70" spans="1:4">
      <c r="A70" t="str">
        <f t="shared" si="1"/>
        <v>4Compounding Annual Return</v>
      </c>
      <c r="B70">
        <v>4</v>
      </c>
      <c r="C70" t="s">
        <v>30</v>
      </c>
      <c r="D70" s="6">
        <v>-1.9720000000000001E-2</v>
      </c>
    </row>
    <row r="71" spans="1:4">
      <c r="A71" t="str">
        <f t="shared" si="1"/>
        <v>4Drawdown</v>
      </c>
      <c r="B71">
        <v>4</v>
      </c>
      <c r="C71" t="s">
        <v>8</v>
      </c>
      <c r="D71" s="6">
        <v>1.6E-2</v>
      </c>
    </row>
    <row r="72" spans="1:4">
      <c r="A72" t="str">
        <f t="shared" si="1"/>
        <v>4Expectancy</v>
      </c>
      <c r="B72">
        <v>4</v>
      </c>
      <c r="C72" t="s">
        <v>31</v>
      </c>
      <c r="D72" s="6">
        <v>-0.56200000000000006</v>
      </c>
    </row>
    <row r="73" spans="1:4">
      <c r="A73" t="str">
        <f t="shared" si="1"/>
        <v>4Net Profit</v>
      </c>
      <c r="B73">
        <v>4</v>
      </c>
      <c r="C73" t="s">
        <v>32</v>
      </c>
      <c r="D73" s="6">
        <v>-1.274E-2</v>
      </c>
    </row>
    <row r="74" spans="1:4">
      <c r="A74" t="str">
        <f t="shared" si="1"/>
        <v>4Loss Rate</v>
      </c>
      <c r="B74">
        <v>4</v>
      </c>
      <c r="C74" t="s">
        <v>33</v>
      </c>
      <c r="D74" s="6">
        <v>0.67</v>
      </c>
    </row>
    <row r="75" spans="1:4">
      <c r="A75" t="str">
        <f t="shared" si="1"/>
        <v>4Win Rate</v>
      </c>
      <c r="B75">
        <v>4</v>
      </c>
      <c r="C75" t="s">
        <v>34</v>
      </c>
      <c r="D75" s="6">
        <v>0.33</v>
      </c>
    </row>
    <row r="76" spans="1:4">
      <c r="A76" t="str">
        <f t="shared" si="1"/>
        <v>4Profit-Loss Ratio</v>
      </c>
      <c r="B76">
        <v>4</v>
      </c>
      <c r="C76" t="s">
        <v>26</v>
      </c>
      <c r="D76" s="6">
        <v>0.31</v>
      </c>
    </row>
    <row r="77" spans="1:4">
      <c r="A77" t="str">
        <f t="shared" si="1"/>
        <v>4Alpha</v>
      </c>
      <c r="B77">
        <v>4</v>
      </c>
      <c r="C77" t="s">
        <v>23</v>
      </c>
      <c r="D77" s="6">
        <v>-1.4999999999999999E-2</v>
      </c>
    </row>
    <row r="78" spans="1:4">
      <c r="A78" t="str">
        <f t="shared" si="1"/>
        <v>4Beta</v>
      </c>
      <c r="B78">
        <v>4</v>
      </c>
      <c r="C78" t="s">
        <v>24</v>
      </c>
      <c r="D78" s="6">
        <v>2.3E-2</v>
      </c>
    </row>
    <row r="79" spans="1:4">
      <c r="A79" t="str">
        <f t="shared" si="1"/>
        <v>4Annual Standard Deviation</v>
      </c>
      <c r="B79">
        <v>4</v>
      </c>
      <c r="C79" t="s">
        <v>35</v>
      </c>
      <c r="D79" s="6">
        <v>8.9999999999999993E-3</v>
      </c>
    </row>
    <row r="80" spans="1:4">
      <c r="A80" t="str">
        <f t="shared" si="1"/>
        <v>4Annual Variance</v>
      </c>
      <c r="B80">
        <v>4</v>
      </c>
      <c r="C80" t="s">
        <v>36</v>
      </c>
      <c r="D80" s="6">
        <v>0</v>
      </c>
    </row>
    <row r="81" spans="1:4">
      <c r="A81" t="str">
        <f t="shared" si="1"/>
        <v>4Information Ratio</v>
      </c>
      <c r="B81">
        <v>4</v>
      </c>
      <c r="C81" t="s">
        <v>37</v>
      </c>
      <c r="D81" s="6">
        <v>-1.18</v>
      </c>
    </row>
    <row r="82" spans="1:4">
      <c r="A82" t="str">
        <f t="shared" si="1"/>
        <v>4Tracking Error</v>
      </c>
      <c r="B82">
        <v>4</v>
      </c>
      <c r="C82" t="s">
        <v>38</v>
      </c>
      <c r="D82" s="6">
        <v>6.6000000000000003E-2</v>
      </c>
    </row>
    <row r="83" spans="1:4">
      <c r="A83" t="str">
        <f t="shared" si="1"/>
        <v>4Treynor Ratio</v>
      </c>
      <c r="B83">
        <v>4</v>
      </c>
      <c r="C83" t="s">
        <v>39</v>
      </c>
      <c r="D83" s="6">
        <v>-0.58799999999999997</v>
      </c>
    </row>
    <row r="84" spans="1:4">
      <c r="A84" t="str">
        <f t="shared" si="1"/>
        <v>4Total Fees</v>
      </c>
      <c r="B84">
        <v>4</v>
      </c>
      <c r="C84" t="s">
        <v>40</v>
      </c>
      <c r="D84" s="6">
        <v>0</v>
      </c>
    </row>
    <row r="85" spans="1:4">
      <c r="A85" t="str">
        <f t="shared" si="1"/>
        <v>4Estimated Strategy Capacity</v>
      </c>
      <c r="B85">
        <v>4</v>
      </c>
      <c r="C85" t="s">
        <v>41</v>
      </c>
      <c r="D85" s="6">
        <v>95000000</v>
      </c>
    </row>
    <row r="86" spans="1:4">
      <c r="A86" t="str">
        <f t="shared" si="1"/>
        <v>5PSR</v>
      </c>
      <c r="B86">
        <v>5</v>
      </c>
      <c r="C86" t="s">
        <v>27</v>
      </c>
      <c r="D86" s="6">
        <v>5.9800000000000001E-3</v>
      </c>
    </row>
    <row r="87" spans="1:4">
      <c r="A87" t="str">
        <f t="shared" si="1"/>
        <v>5Sharpe Ratio</v>
      </c>
      <c r="B87">
        <v>5</v>
      </c>
      <c r="C87" t="s">
        <v>1</v>
      </c>
      <c r="D87" s="6">
        <v>-1.4610000000000001</v>
      </c>
    </row>
    <row r="88" spans="1:4">
      <c r="A88" t="str">
        <f t="shared" si="1"/>
        <v>5Total Trades</v>
      </c>
      <c r="B88">
        <v>5</v>
      </c>
      <c r="C88" t="s">
        <v>28</v>
      </c>
      <c r="D88" s="6">
        <v>198</v>
      </c>
    </row>
    <row r="89" spans="1:4">
      <c r="A89" t="str">
        <f t="shared" si="1"/>
        <v>5Average Win</v>
      </c>
      <c r="B89">
        <v>5</v>
      </c>
      <c r="C89" t="s">
        <v>25</v>
      </c>
      <c r="D89" s="6">
        <v>1.17E-2</v>
      </c>
    </row>
    <row r="90" spans="1:4">
      <c r="A90" t="str">
        <f t="shared" si="1"/>
        <v>5Average Loss</v>
      </c>
      <c r="B90">
        <v>5</v>
      </c>
      <c r="C90" t="s">
        <v>29</v>
      </c>
      <c r="D90" s="6">
        <v>-3.8199999999999998E-2</v>
      </c>
    </row>
    <row r="91" spans="1:4">
      <c r="A91" t="str">
        <f t="shared" si="1"/>
        <v>5Compounding Annual Return</v>
      </c>
      <c r="B91">
        <v>5</v>
      </c>
      <c r="C91" t="s">
        <v>30</v>
      </c>
      <c r="D91" s="6">
        <v>-0.19076000000000001</v>
      </c>
    </row>
    <row r="92" spans="1:4">
      <c r="A92" t="str">
        <f t="shared" si="1"/>
        <v>5Drawdown</v>
      </c>
      <c r="B92">
        <v>5</v>
      </c>
      <c r="C92" t="s">
        <v>8</v>
      </c>
      <c r="D92" s="6">
        <v>0.159</v>
      </c>
    </row>
    <row r="93" spans="1:4">
      <c r="A93" t="str">
        <f t="shared" si="1"/>
        <v>5Expectancy</v>
      </c>
      <c r="B93">
        <v>5</v>
      </c>
      <c r="C93" t="s">
        <v>31</v>
      </c>
      <c r="D93" s="6">
        <v>-0.56499999999999995</v>
      </c>
    </row>
    <row r="94" spans="1:4">
      <c r="A94" t="str">
        <f t="shared" si="1"/>
        <v>5Net Profit</v>
      </c>
      <c r="B94">
        <v>5</v>
      </c>
      <c r="C94" t="s">
        <v>32</v>
      </c>
      <c r="D94" s="6">
        <v>-0.12737000000000001</v>
      </c>
    </row>
    <row r="95" spans="1:4">
      <c r="A95" t="str">
        <f t="shared" si="1"/>
        <v>5Loss Rate</v>
      </c>
      <c r="B95">
        <v>5</v>
      </c>
      <c r="C95" t="s">
        <v>33</v>
      </c>
      <c r="D95" s="6">
        <v>0.67</v>
      </c>
    </row>
    <row r="96" spans="1:4">
      <c r="A96" t="str">
        <f t="shared" si="1"/>
        <v>5Win Rate</v>
      </c>
      <c r="B96">
        <v>5</v>
      </c>
      <c r="C96" t="s">
        <v>34</v>
      </c>
      <c r="D96" s="6">
        <v>0.33</v>
      </c>
    </row>
    <row r="97" spans="1:4">
      <c r="A97" t="str">
        <f t="shared" si="1"/>
        <v>5Profit-Loss Ratio</v>
      </c>
      <c r="B97">
        <v>5</v>
      </c>
      <c r="C97" t="s">
        <v>26</v>
      </c>
      <c r="D97" s="6">
        <v>0.31</v>
      </c>
    </row>
    <row r="98" spans="1:4">
      <c r="A98" t="str">
        <f t="shared" si="1"/>
        <v>5Alpha</v>
      </c>
      <c r="B98">
        <v>5</v>
      </c>
      <c r="C98" t="s">
        <v>23</v>
      </c>
      <c r="D98" s="6">
        <v>-0.14899999999999999</v>
      </c>
    </row>
    <row r="99" spans="1:4">
      <c r="A99" t="str">
        <f t="shared" si="1"/>
        <v>5Beta</v>
      </c>
      <c r="B99">
        <v>5</v>
      </c>
      <c r="C99" t="s">
        <v>24</v>
      </c>
      <c r="D99" s="6">
        <v>0.24399999999999999</v>
      </c>
    </row>
    <row r="100" spans="1:4">
      <c r="A100" t="str">
        <f t="shared" si="1"/>
        <v>5Annual Standard Deviation</v>
      </c>
      <c r="B100">
        <v>5</v>
      </c>
      <c r="C100" t="s">
        <v>35</v>
      </c>
      <c r="D100" s="6">
        <v>9.0999999999999998E-2</v>
      </c>
    </row>
    <row r="101" spans="1:4">
      <c r="A101" t="str">
        <f t="shared" si="1"/>
        <v>5Annual Variance</v>
      </c>
      <c r="B101">
        <v>5</v>
      </c>
      <c r="C101" t="s">
        <v>36</v>
      </c>
      <c r="D101" s="6">
        <v>8.0000000000000002E-3</v>
      </c>
    </row>
    <row r="102" spans="1:4">
      <c r="A102" t="str">
        <f t="shared" si="1"/>
        <v>5Information Ratio</v>
      </c>
      <c r="B102">
        <v>5</v>
      </c>
      <c r="C102" t="s">
        <v>37</v>
      </c>
      <c r="D102" s="6">
        <v>-1.917</v>
      </c>
    </row>
    <row r="103" spans="1:4">
      <c r="A103" t="str">
        <f t="shared" si="1"/>
        <v>5Tracking Error</v>
      </c>
      <c r="B103">
        <v>5</v>
      </c>
      <c r="C103" t="s">
        <v>38</v>
      </c>
      <c r="D103" s="6">
        <v>0.10299999999999999</v>
      </c>
    </row>
    <row r="104" spans="1:4">
      <c r="A104" t="str">
        <f t="shared" si="1"/>
        <v>5Treynor Ratio</v>
      </c>
      <c r="B104">
        <v>5</v>
      </c>
      <c r="C104" t="s">
        <v>39</v>
      </c>
      <c r="D104" s="6">
        <v>-0.54500000000000004</v>
      </c>
    </row>
    <row r="105" spans="1:4">
      <c r="A105" t="str">
        <f t="shared" si="1"/>
        <v>5Total Fees</v>
      </c>
      <c r="B105">
        <v>5</v>
      </c>
      <c r="C105" t="s">
        <v>40</v>
      </c>
      <c r="D105" s="6">
        <v>0</v>
      </c>
    </row>
    <row r="106" spans="1:4">
      <c r="A106" t="str">
        <f t="shared" si="1"/>
        <v>5Estimated Strategy Capacity</v>
      </c>
      <c r="B106">
        <v>5</v>
      </c>
      <c r="C106" t="s">
        <v>41</v>
      </c>
      <c r="D106" s="6">
        <v>13000000</v>
      </c>
    </row>
    <row r="107" spans="1:4">
      <c r="A107" t="str">
        <f t="shared" si="1"/>
        <v>6PSR</v>
      </c>
      <c r="B107">
        <v>6</v>
      </c>
      <c r="C107" t="s">
        <v>27</v>
      </c>
      <c r="D107" s="6">
        <v>1.468E-2</v>
      </c>
    </row>
    <row r="108" spans="1:4">
      <c r="A108" t="str">
        <f t="shared" si="1"/>
        <v>6Sharpe Ratio</v>
      </c>
      <c r="B108">
        <v>6</v>
      </c>
      <c r="C108" t="s">
        <v>1</v>
      </c>
      <c r="D108" s="6">
        <v>-0.93700000000000006</v>
      </c>
    </row>
    <row r="109" spans="1:4">
      <c r="A109" t="str">
        <f t="shared" si="1"/>
        <v>6Total Trades</v>
      </c>
      <c r="B109">
        <v>6</v>
      </c>
      <c r="C109" t="s">
        <v>28</v>
      </c>
      <c r="D109" s="6">
        <v>195</v>
      </c>
    </row>
    <row r="110" spans="1:4">
      <c r="A110" t="str">
        <f t="shared" si="1"/>
        <v>6Average Win</v>
      </c>
      <c r="B110">
        <v>6</v>
      </c>
      <c r="C110" t="s">
        <v>25</v>
      </c>
      <c r="D110" s="6">
        <v>5.9900000000000002E-2</v>
      </c>
    </row>
    <row r="111" spans="1:4">
      <c r="A111" t="str">
        <f t="shared" si="1"/>
        <v>6Average Loss</v>
      </c>
      <c r="B111">
        <v>6</v>
      </c>
      <c r="C111" t="s">
        <v>29</v>
      </c>
      <c r="D111" s="6">
        <v>-0.19839999999999999</v>
      </c>
    </row>
    <row r="112" spans="1:4">
      <c r="A112" t="str">
        <f t="shared" si="1"/>
        <v>6Compounding Annual Return</v>
      </c>
      <c r="B112">
        <v>6</v>
      </c>
      <c r="C112" t="s">
        <v>30</v>
      </c>
      <c r="D112" s="6">
        <v>-0.72033999999999998</v>
      </c>
    </row>
    <row r="113" spans="1:4">
      <c r="A113" t="str">
        <f t="shared" si="1"/>
        <v>6Drawdown</v>
      </c>
      <c r="B113">
        <v>6</v>
      </c>
      <c r="C113" t="s">
        <v>8</v>
      </c>
      <c r="D113" s="6">
        <v>0.63400000000000001</v>
      </c>
    </row>
    <row r="114" spans="1:4">
      <c r="A114" t="str">
        <f t="shared" si="1"/>
        <v>6Expectancy</v>
      </c>
      <c r="B114">
        <v>6</v>
      </c>
      <c r="C114" t="s">
        <v>31</v>
      </c>
      <c r="D114" s="6">
        <v>-0.56599999999999995</v>
      </c>
    </row>
    <row r="115" spans="1:4">
      <c r="A115" t="str">
        <f t="shared" si="1"/>
        <v>6Net Profit</v>
      </c>
      <c r="B115">
        <v>6</v>
      </c>
      <c r="C115" t="s">
        <v>32</v>
      </c>
      <c r="D115" s="6">
        <v>-0.55966000000000005</v>
      </c>
    </row>
    <row r="116" spans="1:4">
      <c r="A116" t="str">
        <f t="shared" si="1"/>
        <v>6Loss Rate</v>
      </c>
      <c r="B116">
        <v>6</v>
      </c>
      <c r="C116" t="s">
        <v>33</v>
      </c>
      <c r="D116" s="6">
        <v>0.67</v>
      </c>
    </row>
    <row r="117" spans="1:4">
      <c r="A117" t="str">
        <f t="shared" si="1"/>
        <v>6Win Rate</v>
      </c>
      <c r="B117">
        <v>6</v>
      </c>
      <c r="C117" t="s">
        <v>34</v>
      </c>
      <c r="D117" s="6">
        <v>0.33</v>
      </c>
    </row>
    <row r="118" spans="1:4">
      <c r="A118" t="str">
        <f t="shared" si="1"/>
        <v>6Profit-Loss Ratio</v>
      </c>
      <c r="B118">
        <v>6</v>
      </c>
      <c r="C118" t="s">
        <v>26</v>
      </c>
      <c r="D118" s="6">
        <v>0.3</v>
      </c>
    </row>
    <row r="119" spans="1:4">
      <c r="A119" t="str">
        <f t="shared" si="1"/>
        <v>6Alpha</v>
      </c>
      <c r="B119">
        <v>6</v>
      </c>
      <c r="C119" t="s">
        <v>23</v>
      </c>
      <c r="D119" s="6">
        <v>-0.61599999999999999</v>
      </c>
    </row>
    <row r="120" spans="1:4">
      <c r="A120" t="str">
        <f t="shared" si="1"/>
        <v>6Beta</v>
      </c>
      <c r="B120">
        <v>6</v>
      </c>
      <c r="C120" t="s">
        <v>24</v>
      </c>
      <c r="D120" s="6">
        <v>1.53</v>
      </c>
    </row>
    <row r="121" spans="1:4">
      <c r="A121" t="str">
        <f t="shared" si="1"/>
        <v>6Annual Standard Deviation</v>
      </c>
      <c r="B121">
        <v>6</v>
      </c>
      <c r="C121" t="s">
        <v>35</v>
      </c>
      <c r="D121" s="6">
        <v>0.55300000000000005</v>
      </c>
    </row>
    <row r="122" spans="1:4">
      <c r="A122" t="str">
        <f t="shared" si="1"/>
        <v>6Annual Variance</v>
      </c>
      <c r="B122">
        <v>6</v>
      </c>
      <c r="C122" t="s">
        <v>36</v>
      </c>
      <c r="D122" s="6">
        <v>0.30499999999999999</v>
      </c>
    </row>
    <row r="123" spans="1:4">
      <c r="A123" t="str">
        <f t="shared" si="1"/>
        <v>6Information Ratio</v>
      </c>
      <c r="B123">
        <v>6</v>
      </c>
      <c r="C123" t="s">
        <v>37</v>
      </c>
      <c r="D123" s="6">
        <v>-1.069</v>
      </c>
    </row>
    <row r="124" spans="1:4">
      <c r="A124" t="str">
        <f t="shared" si="1"/>
        <v>6Tracking Error</v>
      </c>
      <c r="B124">
        <v>6</v>
      </c>
      <c r="C124" t="s">
        <v>38</v>
      </c>
      <c r="D124" s="6">
        <v>0.54400000000000004</v>
      </c>
    </row>
    <row r="125" spans="1:4">
      <c r="A125" t="str">
        <f t="shared" si="1"/>
        <v>6Treynor Ratio</v>
      </c>
      <c r="B125">
        <v>6</v>
      </c>
      <c r="C125" t="s">
        <v>39</v>
      </c>
      <c r="D125" s="6">
        <v>-0.33800000000000002</v>
      </c>
    </row>
    <row r="126" spans="1:4">
      <c r="A126" t="str">
        <f t="shared" si="1"/>
        <v>6Total Fees</v>
      </c>
      <c r="B126">
        <v>6</v>
      </c>
      <c r="C126" t="s">
        <v>40</v>
      </c>
      <c r="D126" s="6">
        <v>0</v>
      </c>
    </row>
    <row r="127" spans="1:4">
      <c r="A127" t="str">
        <f t="shared" si="1"/>
        <v>6Estimated Strategy Capacity</v>
      </c>
      <c r="B127">
        <v>6</v>
      </c>
      <c r="C127" t="s">
        <v>41</v>
      </c>
      <c r="D127" s="6">
        <v>3000000</v>
      </c>
    </row>
    <row r="128" spans="1:4">
      <c r="A128" t="str">
        <f t="shared" si="1"/>
        <v>6EURGBP 8G</v>
      </c>
      <c r="B128">
        <v>6</v>
      </c>
      <c r="C128" t="s">
        <v>43</v>
      </c>
      <c r="D128" s="6">
        <v>0</v>
      </c>
    </row>
    <row r="129" spans="1:4">
      <c r="A129" t="str">
        <f t="shared" si="1"/>
        <v>7PSR</v>
      </c>
      <c r="B129">
        <v>7</v>
      </c>
      <c r="C129" t="s">
        <v>27</v>
      </c>
      <c r="D129" s="6">
        <v>1.554E-2</v>
      </c>
    </row>
    <row r="130" spans="1:4">
      <c r="A130" t="str">
        <f t="shared" si="1"/>
        <v>7Sharpe Ratio</v>
      </c>
      <c r="B130">
        <v>7</v>
      </c>
      <c r="C130" t="s">
        <v>1</v>
      </c>
      <c r="D130" s="6">
        <v>-1.2050000000000001</v>
      </c>
    </row>
    <row r="131" spans="1:4">
      <c r="A131" t="str">
        <f t="shared" ref="A131:A194" si="2">B131&amp;C131</f>
        <v>7Total Trades</v>
      </c>
      <c r="B131">
        <v>7</v>
      </c>
      <c r="C131" t="s">
        <v>28</v>
      </c>
      <c r="D131" s="6">
        <v>136</v>
      </c>
    </row>
    <row r="132" spans="1:4">
      <c r="A132" t="str">
        <f t="shared" si="2"/>
        <v>7Average Win</v>
      </c>
      <c r="B132">
        <v>7</v>
      </c>
      <c r="C132" t="s">
        <v>25</v>
      </c>
      <c r="D132" s="6">
        <v>4.7000000000000002E-3</v>
      </c>
    </row>
    <row r="133" spans="1:4">
      <c r="A133" t="str">
        <f t="shared" si="2"/>
        <v>7Average Loss</v>
      </c>
      <c r="B133">
        <v>7</v>
      </c>
      <c r="C133" t="s">
        <v>29</v>
      </c>
      <c r="D133" s="6">
        <v>-1.2999999999999999E-2</v>
      </c>
    </row>
    <row r="134" spans="1:4">
      <c r="A134" t="str">
        <f t="shared" si="2"/>
        <v>7Compounding Annual Return</v>
      </c>
      <c r="B134">
        <v>7</v>
      </c>
      <c r="C134" t="s">
        <v>30</v>
      </c>
      <c r="D134" s="6">
        <v>-2.512E-2</v>
      </c>
    </row>
    <row r="135" spans="1:4">
      <c r="A135" t="str">
        <f t="shared" si="2"/>
        <v>7Drawdown</v>
      </c>
      <c r="B135">
        <v>7</v>
      </c>
      <c r="C135" t="s">
        <v>8</v>
      </c>
      <c r="D135" s="6">
        <v>2.7E-2</v>
      </c>
    </row>
    <row r="136" spans="1:4">
      <c r="A136" t="str">
        <f t="shared" si="2"/>
        <v>7Expectancy</v>
      </c>
      <c r="B136">
        <v>7</v>
      </c>
      <c r="C136" t="s">
        <v>31</v>
      </c>
      <c r="D136" s="6">
        <v>-0.32</v>
      </c>
    </row>
    <row r="137" spans="1:4">
      <c r="A137" t="str">
        <f t="shared" si="2"/>
        <v>7Net Profit</v>
      </c>
      <c r="B137">
        <v>7</v>
      </c>
      <c r="C137" t="s">
        <v>32</v>
      </c>
      <c r="D137" s="6">
        <v>-1.6240000000000001E-2</v>
      </c>
    </row>
    <row r="138" spans="1:4">
      <c r="A138" t="str">
        <f t="shared" si="2"/>
        <v>7Loss Rate</v>
      </c>
      <c r="B138">
        <v>7</v>
      </c>
      <c r="C138" t="s">
        <v>33</v>
      </c>
      <c r="D138" s="6">
        <v>0.5</v>
      </c>
    </row>
    <row r="139" spans="1:4">
      <c r="A139" t="str">
        <f t="shared" si="2"/>
        <v>7Win Rate</v>
      </c>
      <c r="B139">
        <v>7</v>
      </c>
      <c r="C139" t="s">
        <v>34</v>
      </c>
      <c r="D139" s="6">
        <v>0.5</v>
      </c>
    </row>
    <row r="140" spans="1:4">
      <c r="A140" t="str">
        <f t="shared" si="2"/>
        <v>7Profit-Loss Ratio</v>
      </c>
      <c r="B140">
        <v>7</v>
      </c>
      <c r="C140" t="s">
        <v>26</v>
      </c>
      <c r="D140" s="6">
        <v>0.36</v>
      </c>
    </row>
    <row r="141" spans="1:4">
      <c r="A141" t="str">
        <f t="shared" si="2"/>
        <v>7Alpha</v>
      </c>
      <c r="B141">
        <v>7</v>
      </c>
      <c r="C141" t="s">
        <v>23</v>
      </c>
      <c r="D141" s="6">
        <v>-1.9E-2</v>
      </c>
    </row>
    <row r="142" spans="1:4">
      <c r="A142" t="str">
        <f t="shared" si="2"/>
        <v>7Beta</v>
      </c>
      <c r="B142">
        <v>7</v>
      </c>
      <c r="C142" t="s">
        <v>24</v>
      </c>
      <c r="D142" s="6">
        <v>1.7999999999999999E-2</v>
      </c>
    </row>
    <row r="143" spans="1:4">
      <c r="A143" t="str">
        <f t="shared" si="2"/>
        <v>7Annual Standard Deviation</v>
      </c>
      <c r="B143">
        <v>7</v>
      </c>
      <c r="C143" t="s">
        <v>35</v>
      </c>
      <c r="D143" s="6">
        <v>1.4E-2</v>
      </c>
    </row>
    <row r="144" spans="1:4">
      <c r="A144" t="str">
        <f t="shared" si="2"/>
        <v>7Annual Variance</v>
      </c>
      <c r="B144">
        <v>7</v>
      </c>
      <c r="C144" t="s">
        <v>36</v>
      </c>
      <c r="D144" s="6">
        <v>0</v>
      </c>
    </row>
    <row r="145" spans="1:4">
      <c r="A145" t="str">
        <f t="shared" si="2"/>
        <v>7Information Ratio</v>
      </c>
      <c r="B145">
        <v>7</v>
      </c>
      <c r="C145" t="s">
        <v>37</v>
      </c>
      <c r="D145" s="6">
        <v>-1.212</v>
      </c>
    </row>
    <row r="146" spans="1:4">
      <c r="A146" t="str">
        <f t="shared" si="2"/>
        <v>7Tracking Error</v>
      </c>
      <c r="B146">
        <v>7</v>
      </c>
      <c r="C146" t="s">
        <v>38</v>
      </c>
      <c r="D146" s="6">
        <v>6.7000000000000004E-2</v>
      </c>
    </row>
    <row r="147" spans="1:4">
      <c r="A147" t="str">
        <f t="shared" si="2"/>
        <v>7Treynor Ratio</v>
      </c>
      <c r="B147">
        <v>7</v>
      </c>
      <c r="C147" t="s">
        <v>39</v>
      </c>
      <c r="D147" s="6">
        <v>-0.96299999999999997</v>
      </c>
    </row>
    <row r="148" spans="1:4">
      <c r="A148" t="str">
        <f t="shared" si="2"/>
        <v>7Total Fees</v>
      </c>
      <c r="B148">
        <v>7</v>
      </c>
      <c r="C148" t="s">
        <v>40</v>
      </c>
      <c r="D148" s="6">
        <v>0</v>
      </c>
    </row>
    <row r="149" spans="1:4">
      <c r="A149" t="str">
        <f t="shared" si="2"/>
        <v>7Estimated Strategy Capacity</v>
      </c>
      <c r="B149">
        <v>7</v>
      </c>
      <c r="C149" t="s">
        <v>41</v>
      </c>
      <c r="D149" s="6">
        <v>240000000</v>
      </c>
    </row>
    <row r="150" spans="1:4">
      <c r="A150" t="str">
        <f t="shared" si="2"/>
        <v>7EURGBP 8G</v>
      </c>
      <c r="B150">
        <v>7</v>
      </c>
      <c r="C150" t="s">
        <v>43</v>
      </c>
      <c r="D150" s="6">
        <v>0</v>
      </c>
    </row>
    <row r="151" spans="1:4">
      <c r="A151" t="str">
        <f t="shared" si="2"/>
        <v>8PSR</v>
      </c>
      <c r="B151">
        <v>8</v>
      </c>
      <c r="C151" t="s">
        <v>27</v>
      </c>
      <c r="D151" s="6">
        <v>1.626E-2</v>
      </c>
    </row>
    <row r="152" spans="1:4">
      <c r="A152" t="str">
        <f t="shared" si="2"/>
        <v>8Sharpe Ratio</v>
      </c>
      <c r="B152">
        <v>8</v>
      </c>
      <c r="C152" t="s">
        <v>1</v>
      </c>
      <c r="D152" s="6">
        <v>-1.1040000000000001</v>
      </c>
    </row>
    <row r="153" spans="1:4">
      <c r="A153" t="str">
        <f t="shared" si="2"/>
        <v>8Total Trades</v>
      </c>
      <c r="B153">
        <v>8</v>
      </c>
      <c r="C153" t="s">
        <v>28</v>
      </c>
      <c r="D153" s="6">
        <v>136</v>
      </c>
    </row>
    <row r="154" spans="1:4">
      <c r="A154" t="str">
        <f t="shared" si="2"/>
        <v>8Average Win</v>
      </c>
      <c r="B154">
        <v>8</v>
      </c>
      <c r="C154" t="s">
        <v>25</v>
      </c>
      <c r="D154" s="6">
        <v>4.6100000000000002E-2</v>
      </c>
    </row>
    <row r="155" spans="1:4">
      <c r="A155" t="str">
        <f t="shared" si="2"/>
        <v>8Average Loss</v>
      </c>
      <c r="B155">
        <v>8</v>
      </c>
      <c r="C155" t="s">
        <v>29</v>
      </c>
      <c r="D155" s="6">
        <v>-0.12509999999999999</v>
      </c>
    </row>
    <row r="156" spans="1:4">
      <c r="A156" t="str">
        <f t="shared" si="2"/>
        <v>8Compounding Annual Return</v>
      </c>
      <c r="B156">
        <v>8</v>
      </c>
      <c r="C156" t="s">
        <v>30</v>
      </c>
      <c r="D156" s="6">
        <v>-0.24071000000000001</v>
      </c>
    </row>
    <row r="157" spans="1:4">
      <c r="A157" t="str">
        <f t="shared" si="2"/>
        <v>8Drawdown</v>
      </c>
      <c r="B157">
        <v>8</v>
      </c>
      <c r="C157" t="s">
        <v>8</v>
      </c>
      <c r="D157" s="6">
        <v>0.245</v>
      </c>
    </row>
    <row r="158" spans="1:4">
      <c r="A158" t="str">
        <f t="shared" si="2"/>
        <v>8Expectancy</v>
      </c>
      <c r="B158">
        <v>8</v>
      </c>
      <c r="C158" t="s">
        <v>31</v>
      </c>
      <c r="D158" s="6">
        <v>-0.316</v>
      </c>
    </row>
    <row r="159" spans="1:4">
      <c r="A159" t="str">
        <f t="shared" si="2"/>
        <v>8Net Profit</v>
      </c>
      <c r="B159">
        <v>8</v>
      </c>
      <c r="C159" t="s">
        <v>32</v>
      </c>
      <c r="D159" s="6">
        <v>-0.16244</v>
      </c>
    </row>
    <row r="160" spans="1:4">
      <c r="A160" t="str">
        <f t="shared" si="2"/>
        <v>8Loss Rate</v>
      </c>
      <c r="B160">
        <v>8</v>
      </c>
      <c r="C160" t="s">
        <v>33</v>
      </c>
      <c r="D160" s="6">
        <v>0.5</v>
      </c>
    </row>
    <row r="161" spans="1:4">
      <c r="A161" t="str">
        <f t="shared" si="2"/>
        <v>8Win Rate</v>
      </c>
      <c r="B161">
        <v>8</v>
      </c>
      <c r="C161" t="s">
        <v>34</v>
      </c>
      <c r="D161" s="6">
        <v>0.5</v>
      </c>
    </row>
    <row r="162" spans="1:4">
      <c r="A162" t="str">
        <f t="shared" si="2"/>
        <v>8Profit-Loss Ratio</v>
      </c>
      <c r="B162">
        <v>8</v>
      </c>
      <c r="C162" t="s">
        <v>26</v>
      </c>
      <c r="D162" s="6">
        <v>0.37</v>
      </c>
    </row>
    <row r="163" spans="1:4">
      <c r="A163" t="str">
        <f t="shared" si="2"/>
        <v>8Alpha</v>
      </c>
      <c r="B163">
        <v>8</v>
      </c>
      <c r="C163" t="s">
        <v>23</v>
      </c>
      <c r="D163" s="6">
        <v>-0.17599999999999999</v>
      </c>
    </row>
    <row r="164" spans="1:4">
      <c r="A164" t="str">
        <f t="shared" si="2"/>
        <v>8Beta</v>
      </c>
      <c r="B164">
        <v>8</v>
      </c>
      <c r="C164" t="s">
        <v>24</v>
      </c>
      <c r="D164" s="6">
        <v>0.183</v>
      </c>
    </row>
    <row r="165" spans="1:4">
      <c r="A165" t="str">
        <f t="shared" si="2"/>
        <v>8Annual Standard Deviation</v>
      </c>
      <c r="B165">
        <v>8</v>
      </c>
      <c r="C165" t="s">
        <v>35</v>
      </c>
      <c r="D165" s="6">
        <v>0.14899999999999999</v>
      </c>
    </row>
    <row r="166" spans="1:4">
      <c r="A166" t="str">
        <f t="shared" si="2"/>
        <v>8Annual Variance</v>
      </c>
      <c r="B166">
        <v>8</v>
      </c>
      <c r="C166" t="s">
        <v>36</v>
      </c>
      <c r="D166" s="6">
        <v>2.1999999999999999E-2</v>
      </c>
    </row>
    <row r="167" spans="1:4">
      <c r="A167" t="str">
        <f t="shared" si="2"/>
        <v>8Information Ratio</v>
      </c>
      <c r="B167">
        <v>8</v>
      </c>
      <c r="C167" t="s">
        <v>37</v>
      </c>
      <c r="D167" s="6">
        <v>-1.444</v>
      </c>
    </row>
    <row r="168" spans="1:4">
      <c r="A168" t="str">
        <f t="shared" si="2"/>
        <v>8Tracking Error</v>
      </c>
      <c r="B168">
        <v>8</v>
      </c>
      <c r="C168" t="s">
        <v>38</v>
      </c>
      <c r="D168" s="6">
        <v>0.158</v>
      </c>
    </row>
    <row r="169" spans="1:4">
      <c r="A169" t="str">
        <f t="shared" si="2"/>
        <v>8Treynor Ratio</v>
      </c>
      <c r="B169">
        <v>8</v>
      </c>
      <c r="C169" t="s">
        <v>39</v>
      </c>
      <c r="D169" s="6">
        <v>-0.89800000000000002</v>
      </c>
    </row>
    <row r="170" spans="1:4">
      <c r="A170" t="str">
        <f t="shared" si="2"/>
        <v>8Total Fees</v>
      </c>
      <c r="B170">
        <v>8</v>
      </c>
      <c r="C170" t="s">
        <v>40</v>
      </c>
      <c r="D170" s="6">
        <v>0</v>
      </c>
    </row>
    <row r="171" spans="1:4">
      <c r="A171" t="str">
        <f t="shared" si="2"/>
        <v>8Estimated Strategy Capacity</v>
      </c>
      <c r="B171">
        <v>8</v>
      </c>
      <c r="C171" t="s">
        <v>41</v>
      </c>
      <c r="D171" s="6">
        <v>23000000</v>
      </c>
    </row>
    <row r="172" spans="1:4">
      <c r="A172" t="str">
        <f t="shared" si="2"/>
        <v>34PSR</v>
      </c>
      <c r="B172">
        <v>34</v>
      </c>
      <c r="C172" t="s">
        <v>27</v>
      </c>
      <c r="D172" s="6">
        <v>0.22356999999999999</v>
      </c>
    </row>
    <row r="173" spans="1:4">
      <c r="A173" t="str">
        <f t="shared" si="2"/>
        <v>34Sharpe Ratio</v>
      </c>
      <c r="B173">
        <v>34</v>
      </c>
      <c r="C173" t="s">
        <v>1</v>
      </c>
      <c r="D173" s="6">
        <v>0.23699999999999999</v>
      </c>
    </row>
    <row r="174" spans="1:4">
      <c r="A174" t="str">
        <f t="shared" si="2"/>
        <v>34Total Trades</v>
      </c>
      <c r="B174">
        <v>34</v>
      </c>
      <c r="C174" t="s">
        <v>28</v>
      </c>
      <c r="D174" s="6">
        <v>317</v>
      </c>
    </row>
    <row r="175" spans="1:4">
      <c r="A175" t="str">
        <f t="shared" si="2"/>
        <v>34Average Win</v>
      </c>
      <c r="B175">
        <v>34</v>
      </c>
      <c r="C175" t="s">
        <v>25</v>
      </c>
      <c r="D175" s="6">
        <v>1.6999999999999999E-3</v>
      </c>
    </row>
    <row r="176" spans="1:4">
      <c r="A176" t="str">
        <f t="shared" si="2"/>
        <v>34Average Loss</v>
      </c>
      <c r="B176">
        <v>34</v>
      </c>
      <c r="C176" t="s">
        <v>29</v>
      </c>
      <c r="D176" s="6">
        <v>-8.0000000000000004E-4</v>
      </c>
    </row>
    <row r="177" spans="1:4">
      <c r="A177" t="str">
        <f t="shared" si="2"/>
        <v>34Compounding Annual Return</v>
      </c>
      <c r="B177">
        <v>34</v>
      </c>
      <c r="C177" t="s">
        <v>30</v>
      </c>
      <c r="D177" s="6">
        <v>3.1199999999999999E-3</v>
      </c>
    </row>
    <row r="178" spans="1:4">
      <c r="A178" t="str">
        <f t="shared" si="2"/>
        <v>34Drawdown</v>
      </c>
      <c r="B178">
        <v>34</v>
      </c>
      <c r="C178" t="s">
        <v>8</v>
      </c>
      <c r="D178" s="6">
        <v>5.0000000000000001E-3</v>
      </c>
    </row>
    <row r="179" spans="1:4">
      <c r="A179" t="str">
        <f t="shared" si="2"/>
        <v>34Expectancy</v>
      </c>
      <c r="B179">
        <v>34</v>
      </c>
      <c r="C179" t="s">
        <v>31</v>
      </c>
      <c r="D179" s="6">
        <v>0.28699999999999998</v>
      </c>
    </row>
    <row r="180" spans="1:4">
      <c r="A180" t="str">
        <f t="shared" si="2"/>
        <v>34Net Profit</v>
      </c>
      <c r="B180">
        <v>34</v>
      </c>
      <c r="C180" t="s">
        <v>32</v>
      </c>
      <c r="D180" s="6">
        <v>2.0100000000000001E-3</v>
      </c>
    </row>
    <row r="181" spans="1:4">
      <c r="A181" t="str">
        <f t="shared" si="2"/>
        <v>34Loss Rate</v>
      </c>
      <c r="B181">
        <v>34</v>
      </c>
      <c r="C181" t="s">
        <v>33</v>
      </c>
      <c r="D181" s="6">
        <v>0.6</v>
      </c>
    </row>
    <row r="182" spans="1:4">
      <c r="A182" t="str">
        <f t="shared" si="2"/>
        <v>34Win Rate</v>
      </c>
      <c r="B182">
        <v>34</v>
      </c>
      <c r="C182" t="s">
        <v>34</v>
      </c>
      <c r="D182" s="6">
        <v>0.4</v>
      </c>
    </row>
    <row r="183" spans="1:4">
      <c r="A183" t="str">
        <f t="shared" si="2"/>
        <v>34Profit-Loss Ratio</v>
      </c>
      <c r="B183">
        <v>34</v>
      </c>
      <c r="C183" t="s">
        <v>26</v>
      </c>
      <c r="D183" s="6">
        <v>2.2200000000000002</v>
      </c>
    </row>
    <row r="184" spans="1:4">
      <c r="A184" t="str">
        <f t="shared" si="2"/>
        <v>34Alpha</v>
      </c>
      <c r="B184">
        <v>34</v>
      </c>
      <c r="C184" t="s">
        <v>23</v>
      </c>
      <c r="D184" s="6">
        <v>0</v>
      </c>
    </row>
    <row r="185" spans="1:4">
      <c r="A185" t="str">
        <f t="shared" si="2"/>
        <v>34Beta</v>
      </c>
      <c r="B185">
        <v>34</v>
      </c>
      <c r="C185" t="s">
        <v>24</v>
      </c>
      <c r="D185" s="6">
        <v>4.2000000000000003E-2</v>
      </c>
    </row>
    <row r="186" spans="1:4">
      <c r="A186" t="str">
        <f t="shared" si="2"/>
        <v>34Annual Standard Deviation</v>
      </c>
      <c r="B186">
        <v>34</v>
      </c>
      <c r="C186" t="s">
        <v>35</v>
      </c>
      <c r="D186" s="6">
        <v>8.9999999999999993E-3</v>
      </c>
    </row>
    <row r="187" spans="1:4">
      <c r="A187" t="str">
        <f t="shared" si="2"/>
        <v>34Annual Variance</v>
      </c>
      <c r="B187">
        <v>34</v>
      </c>
      <c r="C187" t="s">
        <v>36</v>
      </c>
      <c r="D187" s="6">
        <v>0</v>
      </c>
    </row>
    <row r="188" spans="1:4">
      <c r="A188" t="str">
        <f t="shared" si="2"/>
        <v>34Information Ratio</v>
      </c>
      <c r="B188">
        <v>34</v>
      </c>
      <c r="C188" t="s">
        <v>37</v>
      </c>
      <c r="D188" s="6">
        <v>-0.95699999999999996</v>
      </c>
    </row>
    <row r="189" spans="1:4">
      <c r="A189" t="str">
        <f t="shared" si="2"/>
        <v>34Tracking Error</v>
      </c>
      <c r="B189">
        <v>34</v>
      </c>
      <c r="C189" t="s">
        <v>38</v>
      </c>
      <c r="D189" s="6">
        <v>6.5000000000000002E-2</v>
      </c>
    </row>
    <row r="190" spans="1:4">
      <c r="A190" t="str">
        <f t="shared" si="2"/>
        <v>34Treynor Ratio</v>
      </c>
      <c r="B190">
        <v>34</v>
      </c>
      <c r="C190" t="s">
        <v>39</v>
      </c>
      <c r="D190" s="6">
        <v>5.2999999999999999E-2</v>
      </c>
    </row>
    <row r="191" spans="1:4">
      <c r="A191" t="str">
        <f t="shared" si="2"/>
        <v>34Total Fees</v>
      </c>
      <c r="B191">
        <v>34</v>
      </c>
      <c r="C191" t="s">
        <v>40</v>
      </c>
      <c r="D191" s="6">
        <v>0</v>
      </c>
    </row>
    <row r="192" spans="1:4">
      <c r="A192" t="str">
        <f t="shared" si="2"/>
        <v>34Estimated Strategy Capacity</v>
      </c>
      <c r="B192">
        <v>34</v>
      </c>
      <c r="C192" t="s">
        <v>41</v>
      </c>
      <c r="D192" s="6">
        <v>230000000</v>
      </c>
    </row>
    <row r="193" spans="1:4">
      <c r="A193" t="str">
        <f t="shared" si="2"/>
        <v>28PSR</v>
      </c>
      <c r="B193">
        <v>28</v>
      </c>
      <c r="C193" t="s">
        <v>27</v>
      </c>
      <c r="D193" s="6">
        <v>1.125E-2</v>
      </c>
    </row>
    <row r="194" spans="1:4">
      <c r="A194" t="str">
        <f t="shared" si="2"/>
        <v>28Sharpe Ratio</v>
      </c>
      <c r="B194">
        <v>28</v>
      </c>
      <c r="C194" t="s">
        <v>1</v>
      </c>
      <c r="D194" s="6">
        <v>-1.2729999999999999</v>
      </c>
    </row>
    <row r="195" spans="1:4">
      <c r="A195" t="str">
        <f t="shared" ref="A195:A258" si="3">B195&amp;C195</f>
        <v>28Total Trades</v>
      </c>
      <c r="B195">
        <v>28</v>
      </c>
      <c r="C195" t="s">
        <v>28</v>
      </c>
      <c r="D195" s="6">
        <v>764</v>
      </c>
    </row>
    <row r="196" spans="1:4">
      <c r="A196" t="str">
        <f t="shared" si="3"/>
        <v>28Average Win</v>
      </c>
      <c r="B196">
        <v>28</v>
      </c>
      <c r="C196" t="s">
        <v>25</v>
      </c>
      <c r="D196" s="6">
        <v>8.0000000000000004E-4</v>
      </c>
    </row>
    <row r="197" spans="1:4">
      <c r="A197" t="str">
        <f t="shared" si="3"/>
        <v>28Average Loss</v>
      </c>
      <c r="B197">
        <v>28</v>
      </c>
      <c r="C197" t="s">
        <v>29</v>
      </c>
      <c r="D197" s="6">
        <v>-1.1999999999999999E-3</v>
      </c>
    </row>
    <row r="198" spans="1:4">
      <c r="A198" t="str">
        <f t="shared" si="3"/>
        <v>28Compounding Annual Return</v>
      </c>
      <c r="B198">
        <v>28</v>
      </c>
      <c r="C198" t="s">
        <v>30</v>
      </c>
      <c r="D198" s="6">
        <v>-1.6959999999999999E-2</v>
      </c>
    </row>
    <row r="199" spans="1:4">
      <c r="A199" t="str">
        <f t="shared" si="3"/>
        <v>28Drawdown</v>
      </c>
      <c r="B199">
        <v>28</v>
      </c>
      <c r="C199" t="s">
        <v>8</v>
      </c>
      <c r="D199" s="6">
        <v>1.6E-2</v>
      </c>
    </row>
    <row r="200" spans="1:4">
      <c r="A200" t="str">
        <f t="shared" si="3"/>
        <v>28Expectancy</v>
      </c>
      <c r="B200">
        <v>28</v>
      </c>
      <c r="C200" t="s">
        <v>31</v>
      </c>
      <c r="D200" s="6">
        <v>-0.35599999999999998</v>
      </c>
    </row>
    <row r="201" spans="1:4">
      <c r="A201" t="str">
        <f t="shared" si="3"/>
        <v>28Net Profit</v>
      </c>
      <c r="B201">
        <v>28</v>
      </c>
      <c r="C201" t="s">
        <v>32</v>
      </c>
      <c r="D201" s="6">
        <v>-1.095E-2</v>
      </c>
    </row>
    <row r="202" spans="1:4">
      <c r="A202" t="str">
        <f t="shared" si="3"/>
        <v>28Loss Rate</v>
      </c>
      <c r="B202">
        <v>28</v>
      </c>
      <c r="C202" t="s">
        <v>33</v>
      </c>
      <c r="D202" s="6">
        <v>0.6</v>
      </c>
    </row>
    <row r="203" spans="1:4">
      <c r="A203" t="str">
        <f t="shared" si="3"/>
        <v>28Win Rate</v>
      </c>
      <c r="B203">
        <v>28</v>
      </c>
      <c r="C203" t="s">
        <v>34</v>
      </c>
      <c r="D203" s="6">
        <v>0.4</v>
      </c>
    </row>
    <row r="204" spans="1:4">
      <c r="A204" t="str">
        <f t="shared" si="3"/>
        <v>28Profit-Loss Ratio</v>
      </c>
      <c r="B204">
        <v>28</v>
      </c>
      <c r="C204" t="s">
        <v>26</v>
      </c>
      <c r="D204" s="6">
        <v>0.61</v>
      </c>
    </row>
    <row r="205" spans="1:4">
      <c r="A205" t="str">
        <f t="shared" si="3"/>
        <v>28Alpha</v>
      </c>
      <c r="B205">
        <v>28</v>
      </c>
      <c r="C205" t="s">
        <v>23</v>
      </c>
      <c r="D205" s="6">
        <v>-1.4E-2</v>
      </c>
    </row>
    <row r="206" spans="1:4">
      <c r="A206" t="str">
        <f t="shared" si="3"/>
        <v>28Beta</v>
      </c>
      <c r="B206">
        <v>28</v>
      </c>
      <c r="C206" t="s">
        <v>24</v>
      </c>
      <c r="D206" s="6">
        <v>0.03</v>
      </c>
    </row>
    <row r="207" spans="1:4">
      <c r="A207" t="str">
        <f t="shared" si="3"/>
        <v>28Annual Standard Deviation</v>
      </c>
      <c r="B207">
        <v>28</v>
      </c>
      <c r="C207" t="s">
        <v>35</v>
      </c>
      <c r="D207" s="6">
        <v>8.9999999999999993E-3</v>
      </c>
    </row>
    <row r="208" spans="1:4">
      <c r="A208" t="str">
        <f t="shared" si="3"/>
        <v>28Annual Variance</v>
      </c>
      <c r="B208">
        <v>28</v>
      </c>
      <c r="C208" t="s">
        <v>36</v>
      </c>
      <c r="D208" s="6">
        <v>0</v>
      </c>
    </row>
    <row r="209" spans="1:4">
      <c r="A209" t="str">
        <f t="shared" si="3"/>
        <v>28Information Ratio</v>
      </c>
      <c r="B209">
        <v>28</v>
      </c>
      <c r="C209" t="s">
        <v>37</v>
      </c>
      <c r="D209" s="6">
        <v>-1.161</v>
      </c>
    </row>
    <row r="210" spans="1:4">
      <c r="A210" t="str">
        <f t="shared" si="3"/>
        <v>28Tracking Error</v>
      </c>
      <c r="B210">
        <v>28</v>
      </c>
      <c r="C210" t="s">
        <v>38</v>
      </c>
      <c r="D210" s="6">
        <v>7.0000000000000007E-2</v>
      </c>
    </row>
    <row r="211" spans="1:4">
      <c r="A211" t="str">
        <f t="shared" si="3"/>
        <v>28Treynor Ratio</v>
      </c>
      <c r="B211">
        <v>28</v>
      </c>
      <c r="C211" t="s">
        <v>39</v>
      </c>
      <c r="D211" s="6">
        <v>-0.35799999999999998</v>
      </c>
    </row>
    <row r="212" spans="1:4">
      <c r="A212" t="str">
        <f t="shared" si="3"/>
        <v>28Total Fees</v>
      </c>
      <c r="B212">
        <v>28</v>
      </c>
      <c r="C212" t="s">
        <v>40</v>
      </c>
      <c r="D212" s="6">
        <v>0</v>
      </c>
    </row>
    <row r="213" spans="1:4">
      <c r="A213" t="str">
        <f t="shared" si="3"/>
        <v>28Estimated Strategy Capacity</v>
      </c>
      <c r="B213">
        <v>28</v>
      </c>
      <c r="C213" t="s">
        <v>41</v>
      </c>
      <c r="D213" s="6">
        <v>230000000</v>
      </c>
    </row>
    <row r="214" spans="1:4">
      <c r="A214" t="str">
        <f t="shared" si="3"/>
        <v>29PSR</v>
      </c>
      <c r="B214">
        <v>29</v>
      </c>
      <c r="C214" t="s">
        <v>27</v>
      </c>
      <c r="D214" s="6">
        <v>1E-3</v>
      </c>
    </row>
    <row r="215" spans="1:4">
      <c r="A215" t="str">
        <f t="shared" si="3"/>
        <v>29Sharpe Ratio</v>
      </c>
      <c r="B215">
        <v>29</v>
      </c>
      <c r="C215" t="s">
        <v>1</v>
      </c>
      <c r="D215" s="6">
        <v>-1.1679999999999999</v>
      </c>
    </row>
    <row r="216" spans="1:4">
      <c r="A216" t="str">
        <f t="shared" si="3"/>
        <v>29Total Trades</v>
      </c>
      <c r="B216">
        <v>29</v>
      </c>
      <c r="C216" t="s">
        <v>28</v>
      </c>
      <c r="D216" s="6">
        <v>764</v>
      </c>
    </row>
    <row r="217" spans="1:4">
      <c r="A217" t="str">
        <f t="shared" si="3"/>
        <v>29Average Win</v>
      </c>
      <c r="B217">
        <v>29</v>
      </c>
      <c r="C217" t="s">
        <v>25</v>
      </c>
      <c r="D217" s="6">
        <v>7.9000000000000008E-3</v>
      </c>
    </row>
    <row r="218" spans="1:4">
      <c r="A218" t="str">
        <f t="shared" si="3"/>
        <v>29Average Loss</v>
      </c>
      <c r="B218">
        <v>29</v>
      </c>
      <c r="C218" t="s">
        <v>29</v>
      </c>
      <c r="D218" s="6">
        <v>-1.2699999999999999E-2</v>
      </c>
    </row>
    <row r="219" spans="1:4">
      <c r="A219" t="str">
        <f t="shared" si="3"/>
        <v>29Compounding Annual Return</v>
      </c>
      <c r="B219">
        <v>29</v>
      </c>
      <c r="C219" t="s">
        <v>30</v>
      </c>
      <c r="D219" s="6">
        <v>-0.16483999999999999</v>
      </c>
    </row>
    <row r="220" spans="1:4">
      <c r="A220" t="str">
        <f t="shared" si="3"/>
        <v>29Drawdown</v>
      </c>
      <c r="B220">
        <v>29</v>
      </c>
      <c r="C220" t="s">
        <v>8</v>
      </c>
      <c r="D220" s="6">
        <v>0.155</v>
      </c>
    </row>
    <row r="221" spans="1:4">
      <c r="A221" t="str">
        <f t="shared" si="3"/>
        <v>29Expectancy</v>
      </c>
      <c r="B221">
        <v>29</v>
      </c>
      <c r="C221" t="s">
        <v>31</v>
      </c>
      <c r="D221" s="6">
        <v>-0.35299999999999998</v>
      </c>
    </row>
    <row r="222" spans="1:4">
      <c r="A222" t="str">
        <f t="shared" si="3"/>
        <v>29Net Profit</v>
      </c>
      <c r="B222">
        <v>29</v>
      </c>
      <c r="C222" t="s">
        <v>32</v>
      </c>
      <c r="D222" s="6">
        <v>-0.10947999999999999</v>
      </c>
    </row>
    <row r="223" spans="1:4">
      <c r="A223" t="str">
        <f t="shared" si="3"/>
        <v>29Loss Rate</v>
      </c>
      <c r="B223">
        <v>29</v>
      </c>
      <c r="C223" t="s">
        <v>33</v>
      </c>
      <c r="D223" s="6">
        <v>0.6</v>
      </c>
    </row>
    <row r="224" spans="1:4">
      <c r="A224" t="str">
        <f t="shared" si="3"/>
        <v>29Win Rate</v>
      </c>
      <c r="B224">
        <v>29</v>
      </c>
      <c r="C224" t="s">
        <v>34</v>
      </c>
      <c r="D224" s="6">
        <v>0.4</v>
      </c>
    </row>
    <row r="225" spans="1:4">
      <c r="A225" t="str">
        <f t="shared" si="3"/>
        <v>29Profit-Loss Ratio</v>
      </c>
      <c r="B225">
        <v>29</v>
      </c>
      <c r="C225" t="s">
        <v>26</v>
      </c>
      <c r="D225" s="6">
        <v>0.62</v>
      </c>
    </row>
    <row r="226" spans="1:4">
      <c r="A226" t="str">
        <f t="shared" si="3"/>
        <v>29Alpha</v>
      </c>
      <c r="B226">
        <v>29</v>
      </c>
      <c r="C226" t="s">
        <v>23</v>
      </c>
      <c r="D226" s="6">
        <v>-0.13500000000000001</v>
      </c>
    </row>
    <row r="227" spans="1:4">
      <c r="A227" t="str">
        <f t="shared" si="3"/>
        <v>29Beta</v>
      </c>
      <c r="B227">
        <v>29</v>
      </c>
      <c r="C227" t="s">
        <v>24</v>
      </c>
      <c r="D227" s="6">
        <v>0.34599999999999997</v>
      </c>
    </row>
    <row r="228" spans="1:4">
      <c r="A228" t="str">
        <f t="shared" si="3"/>
        <v>29Annual Standard Deviation</v>
      </c>
      <c r="B228">
        <v>29</v>
      </c>
      <c r="C228" t="s">
        <v>35</v>
      </c>
      <c r="D228" s="6">
        <v>9.7000000000000003E-2</v>
      </c>
    </row>
    <row r="229" spans="1:4">
      <c r="A229" t="str">
        <f t="shared" si="3"/>
        <v>29Annual Variance</v>
      </c>
      <c r="B229">
        <v>29</v>
      </c>
      <c r="C229" t="s">
        <v>36</v>
      </c>
      <c r="D229" s="6">
        <v>8.9999999999999993E-3</v>
      </c>
    </row>
    <row r="230" spans="1:4">
      <c r="A230" t="str">
        <f t="shared" si="3"/>
        <v>29Information Ratio</v>
      </c>
      <c r="B230">
        <v>29</v>
      </c>
      <c r="C230" t="s">
        <v>37</v>
      </c>
      <c r="D230" s="6">
        <v>-1.708</v>
      </c>
    </row>
    <row r="231" spans="1:4">
      <c r="A231" t="str">
        <f t="shared" si="3"/>
        <v>29Tracking Error</v>
      </c>
      <c r="B231">
        <v>29</v>
      </c>
      <c r="C231" t="s">
        <v>38</v>
      </c>
      <c r="D231" s="6">
        <v>0.104</v>
      </c>
    </row>
    <row r="232" spans="1:4">
      <c r="A232" t="str">
        <f t="shared" si="3"/>
        <v>29Treynor Ratio</v>
      </c>
      <c r="B232">
        <v>29</v>
      </c>
      <c r="C232" t="s">
        <v>39</v>
      </c>
      <c r="D232" s="6">
        <v>-0.32700000000000001</v>
      </c>
    </row>
    <row r="233" spans="1:4">
      <c r="A233" t="str">
        <f t="shared" si="3"/>
        <v>29Total Fees</v>
      </c>
      <c r="B233">
        <v>29</v>
      </c>
      <c r="C233" t="s">
        <v>40</v>
      </c>
      <c r="D233" s="6">
        <v>0</v>
      </c>
    </row>
    <row r="234" spans="1:4">
      <c r="A234" t="str">
        <f t="shared" si="3"/>
        <v>29Estimated Strategy Capacity</v>
      </c>
      <c r="B234">
        <v>29</v>
      </c>
      <c r="C234" t="s">
        <v>41</v>
      </c>
      <c r="D234" s="6">
        <v>22000000</v>
      </c>
    </row>
    <row r="235" spans="1:4">
      <c r="A235" t="str">
        <f t="shared" si="3"/>
        <v>30PSR</v>
      </c>
      <c r="B235">
        <v>30</v>
      </c>
      <c r="C235" t="s">
        <v>27</v>
      </c>
      <c r="D235" s="6">
        <v>4.7910000000000001E-2</v>
      </c>
    </row>
    <row r="236" spans="1:4">
      <c r="A236" t="str">
        <f t="shared" si="3"/>
        <v>30Sharpe Ratio</v>
      </c>
      <c r="B236">
        <v>30</v>
      </c>
      <c r="C236" t="s">
        <v>1</v>
      </c>
      <c r="D236" s="6">
        <v>-0.61899999999999999</v>
      </c>
    </row>
    <row r="237" spans="1:4">
      <c r="A237" t="str">
        <f t="shared" si="3"/>
        <v>30Total Trades</v>
      </c>
      <c r="B237">
        <v>30</v>
      </c>
      <c r="C237" t="s">
        <v>28</v>
      </c>
      <c r="D237" s="6">
        <v>764</v>
      </c>
    </row>
    <row r="238" spans="1:4">
      <c r="A238" t="str">
        <f t="shared" si="3"/>
        <v>30Average Win</v>
      </c>
      <c r="B238">
        <v>30</v>
      </c>
      <c r="C238" t="s">
        <v>25</v>
      </c>
      <c r="D238" s="6">
        <v>5.0900000000000001E-2</v>
      </c>
    </row>
    <row r="239" spans="1:4">
      <c r="A239" t="str">
        <f t="shared" si="3"/>
        <v>30Average Loss</v>
      </c>
      <c r="B239">
        <v>30</v>
      </c>
      <c r="C239" t="s">
        <v>29</v>
      </c>
      <c r="D239" s="6">
        <v>-7.8899999999999998E-2</v>
      </c>
    </row>
    <row r="240" spans="1:4">
      <c r="A240" t="str">
        <f t="shared" si="3"/>
        <v>30Compounding Annual Return</v>
      </c>
      <c r="B240">
        <v>30</v>
      </c>
      <c r="C240" t="s">
        <v>30</v>
      </c>
      <c r="D240" s="6">
        <v>-0.70816000000000001</v>
      </c>
    </row>
    <row r="241" spans="1:4">
      <c r="A241" t="str">
        <f t="shared" si="3"/>
        <v>30Drawdown</v>
      </c>
      <c r="B241">
        <v>30</v>
      </c>
      <c r="C241" t="s">
        <v>8</v>
      </c>
      <c r="D241" s="6">
        <v>0.70899999999999996</v>
      </c>
    </row>
    <row r="242" spans="1:4">
      <c r="A242" t="str">
        <f t="shared" si="3"/>
        <v>30Expectancy</v>
      </c>
      <c r="B242">
        <v>30</v>
      </c>
      <c r="C242" t="s">
        <v>31</v>
      </c>
      <c r="D242" s="6">
        <v>-0.34200000000000003</v>
      </c>
    </row>
    <row r="243" spans="1:4">
      <c r="A243" t="str">
        <f t="shared" si="3"/>
        <v>30Net Profit</v>
      </c>
      <c r="B243">
        <v>30</v>
      </c>
      <c r="C243" t="s">
        <v>32</v>
      </c>
      <c r="D243" s="6">
        <v>-0.54740999999999995</v>
      </c>
    </row>
    <row r="244" spans="1:4">
      <c r="A244" t="str">
        <f t="shared" si="3"/>
        <v>30Loss Rate</v>
      </c>
      <c r="B244">
        <v>30</v>
      </c>
      <c r="C244" t="s">
        <v>33</v>
      </c>
      <c r="D244" s="6">
        <v>0.6</v>
      </c>
    </row>
    <row r="245" spans="1:4">
      <c r="A245" t="str">
        <f t="shared" si="3"/>
        <v>30Win Rate</v>
      </c>
      <c r="B245">
        <v>30</v>
      </c>
      <c r="C245" t="s">
        <v>34</v>
      </c>
      <c r="D245" s="6">
        <v>0.4</v>
      </c>
    </row>
    <row r="246" spans="1:4">
      <c r="A246" t="str">
        <f t="shared" si="3"/>
        <v>30Profit-Loss Ratio</v>
      </c>
      <c r="B246">
        <v>30</v>
      </c>
      <c r="C246" t="s">
        <v>26</v>
      </c>
      <c r="D246" s="6">
        <v>0.65</v>
      </c>
    </row>
    <row r="247" spans="1:4">
      <c r="A247" t="str">
        <f t="shared" si="3"/>
        <v>30Alpha</v>
      </c>
      <c r="B247">
        <v>30</v>
      </c>
      <c r="C247" t="s">
        <v>23</v>
      </c>
      <c r="D247" s="6">
        <v>-0.61199999999999999</v>
      </c>
    </row>
    <row r="248" spans="1:4">
      <c r="A248" t="str">
        <f t="shared" si="3"/>
        <v>30Beta</v>
      </c>
      <c r="B248">
        <v>30</v>
      </c>
      <c r="C248" t="s">
        <v>24</v>
      </c>
      <c r="D248" s="6">
        <v>2.528</v>
      </c>
    </row>
    <row r="249" spans="1:4">
      <c r="A249" t="str">
        <f t="shared" si="3"/>
        <v>30Annual Standard Deviation</v>
      </c>
      <c r="B249">
        <v>30</v>
      </c>
      <c r="C249" t="s">
        <v>35</v>
      </c>
      <c r="D249" s="6">
        <v>0.72599999999999998</v>
      </c>
    </row>
    <row r="250" spans="1:4">
      <c r="A250" t="str">
        <f t="shared" si="3"/>
        <v>30Annual Variance</v>
      </c>
      <c r="B250">
        <v>30</v>
      </c>
      <c r="C250" t="s">
        <v>36</v>
      </c>
      <c r="D250" s="6">
        <v>0.52800000000000002</v>
      </c>
    </row>
    <row r="251" spans="1:4">
      <c r="A251" t="str">
        <f t="shared" si="3"/>
        <v>30Information Ratio</v>
      </c>
      <c r="B251">
        <v>30</v>
      </c>
      <c r="C251" t="s">
        <v>37</v>
      </c>
      <c r="D251" s="6">
        <v>-0.71899999999999997</v>
      </c>
    </row>
    <row r="252" spans="1:4">
      <c r="A252" t="str">
        <f t="shared" si="3"/>
        <v>30Tracking Error</v>
      </c>
      <c r="B252">
        <v>30</v>
      </c>
      <c r="C252" t="s">
        <v>38</v>
      </c>
      <c r="D252" s="6">
        <v>0.71399999999999997</v>
      </c>
    </row>
    <row r="253" spans="1:4">
      <c r="A253" t="str">
        <f t="shared" si="3"/>
        <v>30Treynor Ratio</v>
      </c>
      <c r="B253">
        <v>30</v>
      </c>
      <c r="C253" t="s">
        <v>39</v>
      </c>
      <c r="D253" s="6">
        <v>-0.17799999999999999</v>
      </c>
    </row>
    <row r="254" spans="1:4">
      <c r="A254" t="str">
        <f t="shared" si="3"/>
        <v>30Total Fees</v>
      </c>
      <c r="B254">
        <v>30</v>
      </c>
      <c r="C254" t="s">
        <v>40</v>
      </c>
      <c r="D254" s="6">
        <v>0</v>
      </c>
    </row>
    <row r="255" spans="1:4">
      <c r="A255" t="str">
        <f t="shared" si="3"/>
        <v>30Estimated Strategy Capacity</v>
      </c>
      <c r="B255">
        <v>30</v>
      </c>
      <c r="C255" t="s">
        <v>41</v>
      </c>
      <c r="D255" s="6">
        <v>3300000</v>
      </c>
    </row>
    <row r="256" spans="1:4">
      <c r="A256" t="str">
        <f t="shared" si="3"/>
        <v>31PSR</v>
      </c>
      <c r="B256">
        <v>31</v>
      </c>
      <c r="C256" t="s">
        <v>27</v>
      </c>
      <c r="D256" s="6">
        <v>4.5999999999999999E-2</v>
      </c>
    </row>
    <row r="257" spans="1:4">
      <c r="A257" t="str">
        <f t="shared" si="3"/>
        <v>31Sharpe Ratio</v>
      </c>
      <c r="B257">
        <v>31</v>
      </c>
      <c r="C257" t="s">
        <v>1</v>
      </c>
      <c r="D257" s="6">
        <v>-0.76900000000000002</v>
      </c>
    </row>
    <row r="258" spans="1:4">
      <c r="A258" t="str">
        <f t="shared" si="3"/>
        <v>31Total Trades</v>
      </c>
      <c r="B258">
        <v>31</v>
      </c>
      <c r="C258" t="s">
        <v>28</v>
      </c>
      <c r="D258" s="6">
        <v>459</v>
      </c>
    </row>
    <row r="259" spans="1:4">
      <c r="A259" t="str">
        <f t="shared" ref="A259:A322" si="4">B259&amp;C259</f>
        <v>31Average Win</v>
      </c>
      <c r="B259">
        <v>31</v>
      </c>
      <c r="C259" t="s">
        <v>25</v>
      </c>
      <c r="D259" s="6">
        <v>6.9999999999999999E-4</v>
      </c>
    </row>
    <row r="260" spans="1:4">
      <c r="A260" t="str">
        <f t="shared" si="4"/>
        <v>31Average Loss</v>
      </c>
      <c r="B260">
        <v>31</v>
      </c>
      <c r="C260" t="s">
        <v>29</v>
      </c>
      <c r="D260" s="6">
        <v>-1.4E-3</v>
      </c>
    </row>
    <row r="261" spans="1:4">
      <c r="A261" t="str">
        <f t="shared" si="4"/>
        <v>31Compounding Annual Return</v>
      </c>
      <c r="B261">
        <v>31</v>
      </c>
      <c r="C261" t="s">
        <v>30</v>
      </c>
      <c r="D261" s="6">
        <v>-1.0160000000000001E-2</v>
      </c>
    </row>
    <row r="262" spans="1:4">
      <c r="A262" t="str">
        <f t="shared" si="4"/>
        <v>31Drawdown</v>
      </c>
      <c r="B262">
        <v>31</v>
      </c>
      <c r="C262" t="s">
        <v>8</v>
      </c>
      <c r="D262" s="6">
        <v>1.4E-2</v>
      </c>
    </row>
    <row r="263" spans="1:4">
      <c r="A263" t="str">
        <f t="shared" si="4"/>
        <v>31Expectancy</v>
      </c>
      <c r="B263">
        <v>31</v>
      </c>
      <c r="C263" t="s">
        <v>31</v>
      </c>
      <c r="D263" s="6">
        <v>-0.30199999999999999</v>
      </c>
    </row>
    <row r="264" spans="1:4">
      <c r="A264" t="str">
        <f t="shared" si="4"/>
        <v>31Net Profit</v>
      </c>
      <c r="B264">
        <v>31</v>
      </c>
      <c r="C264" t="s">
        <v>32</v>
      </c>
      <c r="D264" s="6">
        <v>-6.5500000000000003E-3</v>
      </c>
    </row>
    <row r="265" spans="1:4">
      <c r="A265" t="str">
        <f t="shared" si="4"/>
        <v>31Loss Rate</v>
      </c>
      <c r="B265">
        <v>31</v>
      </c>
      <c r="C265" t="s">
        <v>33</v>
      </c>
      <c r="D265" s="6">
        <v>0.53</v>
      </c>
    </row>
    <row r="266" spans="1:4">
      <c r="A266" t="str">
        <f t="shared" si="4"/>
        <v>31Win Rate</v>
      </c>
      <c r="B266">
        <v>31</v>
      </c>
      <c r="C266" t="s">
        <v>34</v>
      </c>
      <c r="D266" s="6">
        <v>0.47</v>
      </c>
    </row>
    <row r="267" spans="1:4">
      <c r="A267" t="str">
        <f t="shared" si="4"/>
        <v>31Profit-Loss Ratio</v>
      </c>
      <c r="B267">
        <v>31</v>
      </c>
      <c r="C267" t="s">
        <v>26</v>
      </c>
      <c r="D267" s="6">
        <v>0.5</v>
      </c>
    </row>
    <row r="268" spans="1:4">
      <c r="A268" t="str">
        <f t="shared" si="4"/>
        <v>31Alpha</v>
      </c>
      <c r="B268">
        <v>31</v>
      </c>
      <c r="C268" t="s">
        <v>23</v>
      </c>
      <c r="D268" s="6">
        <v>-8.9999999999999993E-3</v>
      </c>
    </row>
    <row r="269" spans="1:4">
      <c r="A269" t="str">
        <f t="shared" si="4"/>
        <v>31Beta</v>
      </c>
      <c r="B269">
        <v>31</v>
      </c>
      <c r="C269" t="s">
        <v>24</v>
      </c>
      <c r="D269" s="6">
        <v>3.6999999999999998E-2</v>
      </c>
    </row>
    <row r="270" spans="1:4">
      <c r="A270" t="str">
        <f t="shared" si="4"/>
        <v>31Annual Standard Deviation</v>
      </c>
      <c r="B270">
        <v>31</v>
      </c>
      <c r="C270" t="s">
        <v>35</v>
      </c>
      <c r="D270" s="6">
        <v>8.9999999999999993E-3</v>
      </c>
    </row>
    <row r="271" spans="1:4">
      <c r="A271" t="str">
        <f t="shared" si="4"/>
        <v>31Annual Variance</v>
      </c>
      <c r="B271">
        <v>31</v>
      </c>
      <c r="C271" t="s">
        <v>36</v>
      </c>
      <c r="D271" s="6">
        <v>0</v>
      </c>
    </row>
    <row r="272" spans="1:4">
      <c r="A272" t="str">
        <f t="shared" si="4"/>
        <v>31Information Ratio</v>
      </c>
      <c r="B272">
        <v>31</v>
      </c>
      <c r="C272" t="s">
        <v>37</v>
      </c>
      <c r="D272" s="6">
        <v>-1.0940000000000001</v>
      </c>
    </row>
    <row r="273" spans="1:4">
      <c r="A273" t="str">
        <f t="shared" si="4"/>
        <v>31Tracking Error</v>
      </c>
      <c r="B273">
        <v>31</v>
      </c>
      <c r="C273" t="s">
        <v>38</v>
      </c>
      <c r="D273" s="6">
        <v>6.5000000000000002E-2</v>
      </c>
    </row>
    <row r="274" spans="1:4">
      <c r="A274" t="str">
        <f t="shared" si="4"/>
        <v>31Treynor Ratio</v>
      </c>
      <c r="B274">
        <v>31</v>
      </c>
      <c r="C274" t="s">
        <v>39</v>
      </c>
      <c r="D274" s="6">
        <v>-0.188</v>
      </c>
    </row>
    <row r="275" spans="1:4">
      <c r="A275" t="str">
        <f t="shared" si="4"/>
        <v>31Total Fees</v>
      </c>
      <c r="B275">
        <v>31</v>
      </c>
      <c r="C275" t="s">
        <v>40</v>
      </c>
      <c r="D275" s="6">
        <v>0</v>
      </c>
    </row>
    <row r="276" spans="1:4">
      <c r="A276" t="str">
        <f t="shared" si="4"/>
        <v>31Estimated Strategy Capacity</v>
      </c>
      <c r="B276">
        <v>31</v>
      </c>
      <c r="C276" t="s">
        <v>41</v>
      </c>
      <c r="D276" s="6">
        <v>1300000000</v>
      </c>
    </row>
    <row r="277" spans="1:4">
      <c r="A277" t="str">
        <f t="shared" si="4"/>
        <v>31AUDUSD 8G</v>
      </c>
      <c r="B277">
        <v>31</v>
      </c>
      <c r="C277" t="s">
        <v>44</v>
      </c>
      <c r="D277" s="6">
        <v>0</v>
      </c>
    </row>
    <row r="278" spans="1:4">
      <c r="A278" t="str">
        <f t="shared" si="4"/>
        <v>32PSR</v>
      </c>
      <c r="B278">
        <v>32</v>
      </c>
      <c r="C278" t="s">
        <v>27</v>
      </c>
      <c r="D278" s="6">
        <v>5.142E-2</v>
      </c>
    </row>
    <row r="279" spans="1:4">
      <c r="A279" t="str">
        <f t="shared" si="4"/>
        <v>32Sharpe Ratio</v>
      </c>
      <c r="B279">
        <v>32</v>
      </c>
      <c r="C279" t="s">
        <v>1</v>
      </c>
      <c r="D279" s="6">
        <v>-0.7</v>
      </c>
    </row>
    <row r="280" spans="1:4">
      <c r="A280" t="str">
        <f t="shared" si="4"/>
        <v>32Total Trades</v>
      </c>
      <c r="B280">
        <v>32</v>
      </c>
      <c r="C280" t="s">
        <v>28</v>
      </c>
      <c r="D280" s="6">
        <v>459</v>
      </c>
    </row>
    <row r="281" spans="1:4">
      <c r="A281" t="str">
        <f t="shared" si="4"/>
        <v>32Average Win</v>
      </c>
      <c r="B281">
        <v>32</v>
      </c>
      <c r="C281" t="s">
        <v>25</v>
      </c>
      <c r="D281" s="6">
        <v>7.3000000000000001E-3</v>
      </c>
    </row>
    <row r="282" spans="1:4">
      <c r="A282" t="str">
        <f t="shared" si="4"/>
        <v>32Average Loss</v>
      </c>
      <c r="B282">
        <v>32</v>
      </c>
      <c r="C282" t="s">
        <v>29</v>
      </c>
      <c r="D282" s="6">
        <v>-1.47E-2</v>
      </c>
    </row>
    <row r="283" spans="1:4">
      <c r="A283" t="str">
        <f t="shared" si="4"/>
        <v>32Compounding Annual Return</v>
      </c>
      <c r="B283">
        <v>32</v>
      </c>
      <c r="C283" t="s">
        <v>30</v>
      </c>
      <c r="D283" s="6">
        <v>-9.9900000000000003E-2</v>
      </c>
    </row>
    <row r="284" spans="1:4">
      <c r="A284" t="str">
        <f t="shared" si="4"/>
        <v>32Drawdown</v>
      </c>
      <c r="B284">
        <v>32</v>
      </c>
      <c r="C284" t="s">
        <v>8</v>
      </c>
      <c r="D284" s="6">
        <v>0.13700000000000001</v>
      </c>
    </row>
    <row r="285" spans="1:4">
      <c r="A285" t="str">
        <f t="shared" si="4"/>
        <v>32Expectancy</v>
      </c>
      <c r="B285">
        <v>32</v>
      </c>
      <c r="C285" t="s">
        <v>31</v>
      </c>
      <c r="D285" s="6">
        <v>-0.3</v>
      </c>
    </row>
    <row r="286" spans="1:4">
      <c r="A286" t="str">
        <f t="shared" si="4"/>
        <v>32Net Profit</v>
      </c>
      <c r="B286">
        <v>32</v>
      </c>
      <c r="C286" t="s">
        <v>32</v>
      </c>
      <c r="D286" s="6">
        <v>-6.5509999999999999E-2</v>
      </c>
    </row>
    <row r="287" spans="1:4">
      <c r="A287" t="str">
        <f t="shared" si="4"/>
        <v>32Loss Rate</v>
      </c>
      <c r="B287">
        <v>32</v>
      </c>
      <c r="C287" t="s">
        <v>33</v>
      </c>
      <c r="D287" s="6">
        <v>0.53</v>
      </c>
    </row>
    <row r="288" spans="1:4">
      <c r="A288" t="str">
        <f t="shared" si="4"/>
        <v>32Win Rate</v>
      </c>
      <c r="B288">
        <v>32</v>
      </c>
      <c r="C288" t="s">
        <v>34</v>
      </c>
      <c r="D288" s="6">
        <v>0.47</v>
      </c>
    </row>
    <row r="289" spans="1:4">
      <c r="A289" t="str">
        <f t="shared" si="4"/>
        <v>32PSR</v>
      </c>
      <c r="B289">
        <v>32</v>
      </c>
      <c r="C289" t="s">
        <v>27</v>
      </c>
      <c r="D289" s="6">
        <v>0.5</v>
      </c>
    </row>
    <row r="290" spans="1:4">
      <c r="A290" t="str">
        <f t="shared" si="4"/>
        <v>32Alpha</v>
      </c>
      <c r="B290">
        <v>32</v>
      </c>
      <c r="C290" t="s">
        <v>23</v>
      </c>
      <c r="D290" s="6">
        <v>-9.0999999999999998E-2</v>
      </c>
    </row>
    <row r="291" spans="1:4">
      <c r="A291" t="str">
        <f t="shared" si="4"/>
        <v>32Beta</v>
      </c>
      <c r="B291">
        <v>32</v>
      </c>
      <c r="C291" t="s">
        <v>24</v>
      </c>
      <c r="D291" s="6">
        <v>0.38</v>
      </c>
    </row>
    <row r="292" spans="1:4">
      <c r="A292" t="str">
        <f>B292&amp;C292</f>
        <v>32Annual Standard Deviation</v>
      </c>
      <c r="B292">
        <v>32</v>
      </c>
      <c r="C292" t="s">
        <v>35</v>
      </c>
      <c r="D292" s="6">
        <v>9.5000000000000001E-2</v>
      </c>
    </row>
    <row r="293" spans="1:4">
      <c r="A293" t="str">
        <f t="shared" si="4"/>
        <v>32Annual Variance</v>
      </c>
      <c r="B293">
        <v>32</v>
      </c>
      <c r="C293" t="s">
        <v>36</v>
      </c>
      <c r="D293" s="6">
        <v>8.9999999999999993E-3</v>
      </c>
    </row>
    <row r="294" spans="1:4">
      <c r="A294" t="str">
        <f t="shared" si="4"/>
        <v>32Information Ratio</v>
      </c>
      <c r="B294">
        <v>32</v>
      </c>
      <c r="C294" t="s">
        <v>37</v>
      </c>
      <c r="D294" s="6">
        <v>-1.3009999999999999</v>
      </c>
    </row>
    <row r="295" spans="1:4">
      <c r="A295" t="str">
        <f t="shared" si="4"/>
        <v>32Tracking Error</v>
      </c>
      <c r="B295">
        <v>32</v>
      </c>
      <c r="C295" t="s">
        <v>38</v>
      </c>
      <c r="D295" s="6">
        <v>0.1</v>
      </c>
    </row>
    <row r="296" spans="1:4">
      <c r="A296" t="str">
        <f t="shared" si="4"/>
        <v>32Treynor Ratio</v>
      </c>
      <c r="B296">
        <v>32</v>
      </c>
      <c r="C296" t="s">
        <v>39</v>
      </c>
      <c r="D296" s="6">
        <v>-0.17399999999999999</v>
      </c>
    </row>
    <row r="297" spans="1:4">
      <c r="A297" t="str">
        <f t="shared" si="4"/>
        <v>32Total Fees</v>
      </c>
      <c r="B297">
        <v>32</v>
      </c>
      <c r="C297" t="s">
        <v>40</v>
      </c>
      <c r="D297" s="6">
        <v>0</v>
      </c>
    </row>
    <row r="298" spans="1:4">
      <c r="A298" t="str">
        <f t="shared" si="4"/>
        <v>32Estimated Strategy Capacity</v>
      </c>
      <c r="B298">
        <v>32</v>
      </c>
      <c r="C298" t="s">
        <v>41</v>
      </c>
      <c r="D298" s="6">
        <v>120000000</v>
      </c>
    </row>
    <row r="299" spans="1:4">
      <c r="A299" t="str">
        <f t="shared" si="4"/>
        <v>33PSR</v>
      </c>
      <c r="B299">
        <v>33</v>
      </c>
      <c r="C299" t="s">
        <v>27</v>
      </c>
      <c r="D299" s="6">
        <v>9.3880000000000005E-2</v>
      </c>
    </row>
    <row r="300" spans="1:4">
      <c r="A300" t="str">
        <f t="shared" si="4"/>
        <v>33Sharpe Ratio</v>
      </c>
      <c r="B300">
        <v>33</v>
      </c>
      <c r="C300" t="s">
        <v>1</v>
      </c>
      <c r="D300" s="6">
        <v>-0.36699999999999999</v>
      </c>
    </row>
    <row r="301" spans="1:4">
      <c r="A301" t="str">
        <f t="shared" si="4"/>
        <v>33Total Trades</v>
      </c>
      <c r="B301">
        <v>33</v>
      </c>
      <c r="C301" t="s">
        <v>28</v>
      </c>
      <c r="D301" s="6">
        <v>459</v>
      </c>
    </row>
    <row r="302" spans="1:4">
      <c r="A302" t="str">
        <f t="shared" si="4"/>
        <v>33Average Win</v>
      </c>
      <c r="B302">
        <v>33</v>
      </c>
      <c r="C302" t="s">
        <v>25</v>
      </c>
      <c r="D302" s="6">
        <v>4.1099999999999998E-2</v>
      </c>
    </row>
    <row r="303" spans="1:4">
      <c r="A303" t="str">
        <f t="shared" si="4"/>
        <v>33Average Loss</v>
      </c>
      <c r="B303">
        <v>33</v>
      </c>
      <c r="C303" t="s">
        <v>29</v>
      </c>
      <c r="D303" s="6">
        <v>-7.9299999999999995E-2</v>
      </c>
    </row>
    <row r="304" spans="1:4">
      <c r="A304" t="str">
        <f t="shared" si="4"/>
        <v>33Compounding Annual Return</v>
      </c>
      <c r="B304">
        <v>33</v>
      </c>
      <c r="C304" t="s">
        <v>30</v>
      </c>
      <c r="D304" s="6">
        <v>-0.46013999999999999</v>
      </c>
    </row>
    <row r="305" spans="1:4">
      <c r="A305" t="str">
        <f t="shared" si="4"/>
        <v>33Drawdown</v>
      </c>
      <c r="B305">
        <v>33</v>
      </c>
      <c r="C305" t="s">
        <v>8</v>
      </c>
      <c r="D305" s="6">
        <v>0.59299999999999997</v>
      </c>
    </row>
    <row r="306" spans="1:4">
      <c r="A306" t="str">
        <f t="shared" si="4"/>
        <v>33Expectancy</v>
      </c>
      <c r="B306">
        <v>33</v>
      </c>
      <c r="C306" t="s">
        <v>31</v>
      </c>
      <c r="D306" s="6">
        <v>-0.29099999999999998</v>
      </c>
    </row>
    <row r="307" spans="1:4">
      <c r="A307" t="str">
        <f t="shared" si="4"/>
        <v>33Net Profit</v>
      </c>
      <c r="B307">
        <v>33</v>
      </c>
      <c r="C307" t="s">
        <v>32</v>
      </c>
      <c r="D307" s="6">
        <v>-0.32754</v>
      </c>
    </row>
    <row r="308" spans="1:4">
      <c r="A308" t="str">
        <f t="shared" si="4"/>
        <v>33Loss Rate</v>
      </c>
      <c r="B308">
        <v>33</v>
      </c>
      <c r="C308" t="s">
        <v>33</v>
      </c>
      <c r="D308" s="6">
        <v>0.53</v>
      </c>
    </row>
    <row r="309" spans="1:4">
      <c r="A309" t="str">
        <f t="shared" si="4"/>
        <v>33Win Rate</v>
      </c>
      <c r="B309">
        <v>33</v>
      </c>
      <c r="C309" t="s">
        <v>34</v>
      </c>
      <c r="D309" s="6">
        <v>0.47</v>
      </c>
    </row>
    <row r="310" spans="1:4">
      <c r="A310" t="str">
        <f t="shared" si="4"/>
        <v>33Profit-Loss Ratio</v>
      </c>
      <c r="B310">
        <v>33</v>
      </c>
      <c r="C310" t="s">
        <v>26</v>
      </c>
      <c r="D310" s="6">
        <v>0.52</v>
      </c>
    </row>
    <row r="311" spans="1:4">
      <c r="A311" t="str">
        <f t="shared" si="4"/>
        <v>33Alpha</v>
      </c>
      <c r="B311">
        <v>33</v>
      </c>
      <c r="C311" t="s">
        <v>23</v>
      </c>
      <c r="D311" s="6">
        <v>-0.36</v>
      </c>
    </row>
    <row r="312" spans="1:4">
      <c r="A312" t="str">
        <f t="shared" si="4"/>
        <v>33Beta</v>
      </c>
      <c r="B312">
        <v>33</v>
      </c>
      <c r="C312" t="s">
        <v>24</v>
      </c>
      <c r="D312" s="6">
        <v>2.1549999999999998</v>
      </c>
    </row>
    <row r="313" spans="1:4">
      <c r="A313" t="str">
        <f t="shared" si="4"/>
        <v>33Annual Standard Deviation</v>
      </c>
      <c r="B313">
        <v>33</v>
      </c>
      <c r="C313" t="s">
        <v>35</v>
      </c>
      <c r="D313" s="6">
        <v>0.60599999999999998</v>
      </c>
    </row>
    <row r="314" spans="1:4">
      <c r="A314" t="str">
        <f t="shared" si="4"/>
        <v>33Annual Variance</v>
      </c>
      <c r="B314">
        <v>33</v>
      </c>
      <c r="C314" t="s">
        <v>36</v>
      </c>
      <c r="D314" s="6">
        <v>0.36699999999999999</v>
      </c>
    </row>
    <row r="315" spans="1:4">
      <c r="A315" t="str">
        <f t="shared" si="4"/>
        <v>33Information Ratio</v>
      </c>
      <c r="B315">
        <v>33</v>
      </c>
      <c r="C315" t="s">
        <v>37</v>
      </c>
      <c r="D315" s="6">
        <v>-0.48199999999999998</v>
      </c>
    </row>
    <row r="316" spans="1:4">
      <c r="A316" t="str">
        <f t="shared" si="4"/>
        <v>33Tracking Error</v>
      </c>
      <c r="B316">
        <v>33</v>
      </c>
      <c r="C316" t="s">
        <v>38</v>
      </c>
      <c r="D316" s="6">
        <v>0.59299999999999997</v>
      </c>
    </row>
    <row r="317" spans="1:4">
      <c r="A317" t="str">
        <f t="shared" si="4"/>
        <v>33Treynor Ratio</v>
      </c>
      <c r="B317">
        <v>33</v>
      </c>
      <c r="C317" t="s">
        <v>39</v>
      </c>
      <c r="D317" s="6">
        <v>-0.10299999999999999</v>
      </c>
    </row>
    <row r="318" spans="1:4">
      <c r="A318" t="str">
        <f t="shared" si="4"/>
        <v>33Total Fees</v>
      </c>
      <c r="B318">
        <v>33</v>
      </c>
      <c r="C318" t="s">
        <v>40</v>
      </c>
      <c r="D318" s="6">
        <v>0</v>
      </c>
    </row>
    <row r="319" spans="1:4">
      <c r="A319" t="str">
        <f t="shared" si="4"/>
        <v>33Estimated Strategy Capacity</v>
      </c>
      <c r="B319">
        <v>33</v>
      </c>
      <c r="C319" t="s">
        <v>41</v>
      </c>
      <c r="D319" s="6">
        <v>19000000</v>
      </c>
    </row>
    <row r="320" spans="1:4">
      <c r="A320" t="str">
        <f t="shared" si="4"/>
        <v>35PSR</v>
      </c>
      <c r="B320">
        <v>35</v>
      </c>
      <c r="C320" s="9" t="s">
        <v>27</v>
      </c>
      <c r="D320" s="8">
        <v>0.23299</v>
      </c>
    </row>
    <row r="321" spans="1:4">
      <c r="A321" t="str">
        <f t="shared" si="4"/>
        <v>35Sharpe Ratio</v>
      </c>
      <c r="B321">
        <v>35</v>
      </c>
      <c r="C321" s="9" t="s">
        <v>1</v>
      </c>
      <c r="D321" s="8">
        <v>0.28000000000000003</v>
      </c>
    </row>
    <row r="322" spans="1:4">
      <c r="A322" t="str">
        <f t="shared" si="4"/>
        <v>35Total Trades</v>
      </c>
      <c r="B322">
        <v>35</v>
      </c>
      <c r="C322" s="9" t="s">
        <v>28</v>
      </c>
      <c r="D322" s="8">
        <v>317</v>
      </c>
    </row>
    <row r="323" spans="1:4">
      <c r="A323" t="str">
        <f t="shared" ref="A323:A386" si="5">B323&amp;C323</f>
        <v>35Average Win</v>
      </c>
      <c r="B323">
        <v>35</v>
      </c>
      <c r="C323" s="9" t="s">
        <v>25</v>
      </c>
      <c r="D323" s="8">
        <v>1.6500000000000001E-2</v>
      </c>
    </row>
    <row r="324" spans="1:4">
      <c r="A324" t="str">
        <f t="shared" si="5"/>
        <v>35Average Loss</v>
      </c>
      <c r="B324">
        <v>35</v>
      </c>
      <c r="C324" s="9" t="s">
        <v>29</v>
      </c>
      <c r="D324" s="8">
        <v>-7.3000000000000001E-3</v>
      </c>
    </row>
    <row r="325" spans="1:4">
      <c r="A325" t="str">
        <f t="shared" si="5"/>
        <v>35Compounding Annual Return</v>
      </c>
      <c r="B325">
        <v>35</v>
      </c>
      <c r="C325" s="9" t="s">
        <v>30</v>
      </c>
      <c r="D325" s="8">
        <v>3.1510000000000003E-2</v>
      </c>
    </row>
    <row r="326" spans="1:4">
      <c r="A326" t="str">
        <f t="shared" si="5"/>
        <v>35Drawdown</v>
      </c>
      <c r="B326">
        <v>35</v>
      </c>
      <c r="C326" s="9" t="s">
        <v>8</v>
      </c>
      <c r="D326" s="8">
        <v>4.8000000000000001E-2</v>
      </c>
    </row>
    <row r="327" spans="1:4">
      <c r="A327" t="str">
        <f t="shared" si="5"/>
        <v>35Expectancy</v>
      </c>
      <c r="B327">
        <v>35</v>
      </c>
      <c r="C327" s="9" t="s">
        <v>31</v>
      </c>
      <c r="D327" s="8">
        <v>0.30099999999999999</v>
      </c>
    </row>
    <row r="328" spans="1:4">
      <c r="A328" t="str">
        <f t="shared" si="5"/>
        <v>35Net Profit</v>
      </c>
      <c r="B328">
        <v>35</v>
      </c>
      <c r="C328" s="9" t="s">
        <v>32</v>
      </c>
      <c r="D328" s="8">
        <v>2.026E-2</v>
      </c>
    </row>
    <row r="329" spans="1:4">
      <c r="A329" t="str">
        <f t="shared" si="5"/>
        <v>35Loss Rate</v>
      </c>
      <c r="B329">
        <v>35</v>
      </c>
      <c r="C329" s="9" t="s">
        <v>33</v>
      </c>
      <c r="D329" s="8">
        <v>0.6</v>
      </c>
    </row>
    <row r="330" spans="1:4">
      <c r="A330" t="str">
        <f t="shared" si="5"/>
        <v>35Win Rate</v>
      </c>
      <c r="B330">
        <v>35</v>
      </c>
      <c r="C330" s="9" t="s">
        <v>34</v>
      </c>
      <c r="D330" s="8">
        <v>0.4</v>
      </c>
    </row>
    <row r="331" spans="1:4">
      <c r="A331" t="str">
        <f t="shared" si="5"/>
        <v>35Profit-Loss Ratio</v>
      </c>
      <c r="B331">
        <v>35</v>
      </c>
      <c r="C331" s="9" t="s">
        <v>26</v>
      </c>
      <c r="D331" s="8">
        <v>2.25</v>
      </c>
    </row>
    <row r="332" spans="1:4">
      <c r="A332" t="str">
        <f t="shared" si="5"/>
        <v>35Alpha</v>
      </c>
      <c r="B332">
        <v>35</v>
      </c>
      <c r="C332" s="9" t="s">
        <v>23</v>
      </c>
      <c r="D332" s="8">
        <v>-1E-3</v>
      </c>
    </row>
    <row r="333" spans="1:4">
      <c r="A333" t="str">
        <f t="shared" si="5"/>
        <v>35Beta</v>
      </c>
      <c r="B333">
        <v>35</v>
      </c>
      <c r="C333" s="9" t="s">
        <v>24</v>
      </c>
      <c r="D333" s="8">
        <v>0.42299999999999999</v>
      </c>
    </row>
    <row r="334" spans="1:4">
      <c r="A334" t="str">
        <f t="shared" si="5"/>
        <v>35Annual Standard Deviation</v>
      </c>
      <c r="B334">
        <v>35</v>
      </c>
      <c r="C334" s="9" t="s">
        <v>35</v>
      </c>
      <c r="D334" s="8">
        <v>9.2999999999999999E-2</v>
      </c>
    </row>
    <row r="335" spans="1:4">
      <c r="A335" t="str">
        <f t="shared" si="5"/>
        <v>35Annual Variance</v>
      </c>
      <c r="B335">
        <v>35</v>
      </c>
      <c r="C335" s="9" t="s">
        <v>36</v>
      </c>
      <c r="D335" s="8">
        <v>8.9999999999999993E-3</v>
      </c>
    </row>
    <row r="336" spans="1:4">
      <c r="A336" t="str">
        <f t="shared" si="5"/>
        <v>35Information Ratio</v>
      </c>
      <c r="B336">
        <v>35</v>
      </c>
      <c r="C336" s="9" t="s">
        <v>37</v>
      </c>
      <c r="D336" s="8">
        <v>-0.38800000000000001</v>
      </c>
    </row>
    <row r="337" spans="1:4">
      <c r="A337" t="str">
        <f t="shared" si="5"/>
        <v>35Tracking Error</v>
      </c>
      <c r="B337">
        <v>35</v>
      </c>
      <c r="C337" s="9" t="s">
        <v>38</v>
      </c>
      <c r="D337" s="8">
        <v>9.7000000000000003E-2</v>
      </c>
    </row>
    <row r="338" spans="1:4">
      <c r="A338" t="str">
        <f t="shared" si="5"/>
        <v>35Treynor Ratio</v>
      </c>
      <c r="B338">
        <v>35</v>
      </c>
      <c r="C338" s="9" t="s">
        <v>39</v>
      </c>
      <c r="D338" s="8">
        <v>6.2E-2</v>
      </c>
    </row>
    <row r="339" spans="1:4">
      <c r="A339" t="str">
        <f t="shared" si="5"/>
        <v>35Total Fees</v>
      </c>
      <c r="B339">
        <v>35</v>
      </c>
      <c r="C339" s="9" t="s">
        <v>40</v>
      </c>
      <c r="D339" s="8">
        <v>0</v>
      </c>
    </row>
    <row r="340" spans="1:4">
      <c r="A340" t="str">
        <f t="shared" si="5"/>
        <v>35Estimated Strategy Capacity</v>
      </c>
      <c r="B340">
        <v>35</v>
      </c>
      <c r="C340" s="9" t="s">
        <v>41</v>
      </c>
      <c r="D340" s="8">
        <v>25000000</v>
      </c>
    </row>
    <row r="341" spans="1:4">
      <c r="A341" t="str">
        <f t="shared" si="5"/>
        <v>36PSR</v>
      </c>
      <c r="B341">
        <v>36</v>
      </c>
      <c r="C341" s="9" t="s">
        <v>27</v>
      </c>
      <c r="D341" s="8">
        <v>0.27490999999999999</v>
      </c>
    </row>
    <row r="342" spans="1:4">
      <c r="A342" t="str">
        <f t="shared" si="5"/>
        <v>36Sharpe Ratio</v>
      </c>
      <c r="B342">
        <v>36</v>
      </c>
      <c r="C342" s="9" t="s">
        <v>1</v>
      </c>
      <c r="D342" s="8">
        <v>0.47799999999999998</v>
      </c>
    </row>
    <row r="343" spans="1:4">
      <c r="A343" t="str">
        <f t="shared" si="5"/>
        <v>36Total Trades</v>
      </c>
      <c r="B343">
        <v>36</v>
      </c>
      <c r="C343" s="9" t="s">
        <v>28</v>
      </c>
      <c r="D343" s="8">
        <v>317</v>
      </c>
    </row>
    <row r="344" spans="1:4">
      <c r="A344" t="str">
        <f t="shared" si="5"/>
        <v>36Average Win</v>
      </c>
      <c r="B344">
        <v>36</v>
      </c>
      <c r="C344" s="9" t="s">
        <v>25</v>
      </c>
      <c r="D344" s="8">
        <v>8.09E-2</v>
      </c>
    </row>
    <row r="345" spans="1:4">
      <c r="A345" t="str">
        <f t="shared" si="5"/>
        <v>36Average Loss</v>
      </c>
      <c r="B345">
        <v>36</v>
      </c>
      <c r="C345" s="9" t="s">
        <v>29</v>
      </c>
      <c r="D345" s="8">
        <v>-3.3799999999999997E-2</v>
      </c>
    </row>
    <row r="346" spans="1:4">
      <c r="A346" t="str">
        <f t="shared" si="5"/>
        <v>36Compounding Annual Return</v>
      </c>
      <c r="B346">
        <v>36</v>
      </c>
      <c r="C346" s="9" t="s">
        <v>30</v>
      </c>
      <c r="D346" s="8">
        <v>0.16094</v>
      </c>
    </row>
    <row r="347" spans="1:4">
      <c r="A347" t="str">
        <f t="shared" si="5"/>
        <v>36Drawdown</v>
      </c>
      <c r="B347">
        <v>36</v>
      </c>
      <c r="C347" s="9" t="s">
        <v>8</v>
      </c>
      <c r="D347" s="8">
        <v>0.20799999999999999</v>
      </c>
    </row>
    <row r="348" spans="1:4">
      <c r="A348" t="str">
        <f t="shared" si="5"/>
        <v>36Expectancy</v>
      </c>
      <c r="B348">
        <v>36</v>
      </c>
      <c r="C348" s="9" t="s">
        <v>31</v>
      </c>
      <c r="D348" s="8">
        <v>0.35799999999999998</v>
      </c>
    </row>
    <row r="349" spans="1:4">
      <c r="A349" t="str">
        <f t="shared" si="5"/>
        <v>36Net Profit</v>
      </c>
      <c r="B349">
        <v>36</v>
      </c>
      <c r="C349" s="9" t="s">
        <v>32</v>
      </c>
      <c r="D349" s="8">
        <v>0.10128</v>
      </c>
    </row>
    <row r="350" spans="1:4">
      <c r="A350" t="str">
        <f t="shared" si="5"/>
        <v>36Loss Rate</v>
      </c>
      <c r="B350">
        <v>36</v>
      </c>
      <c r="C350" s="9" t="s">
        <v>33</v>
      </c>
      <c r="D350" s="8">
        <v>0.6</v>
      </c>
    </row>
    <row r="351" spans="1:4">
      <c r="A351" t="str">
        <f t="shared" si="5"/>
        <v>36Win Rate</v>
      </c>
      <c r="B351">
        <v>36</v>
      </c>
      <c r="C351" s="9" t="s">
        <v>34</v>
      </c>
      <c r="D351" s="8">
        <v>0.4</v>
      </c>
    </row>
    <row r="352" spans="1:4">
      <c r="A352" t="str">
        <f t="shared" si="5"/>
        <v>36Profit-Loss Ratio</v>
      </c>
      <c r="B352">
        <v>36</v>
      </c>
      <c r="C352" s="9" t="s">
        <v>26</v>
      </c>
      <c r="D352" s="8">
        <v>2.4</v>
      </c>
    </row>
    <row r="353" spans="1:4">
      <c r="A353" t="str">
        <f t="shared" si="5"/>
        <v>36Alpha</v>
      </c>
      <c r="B353">
        <v>36</v>
      </c>
      <c r="C353" s="9" t="s">
        <v>23</v>
      </c>
      <c r="D353" s="8">
        <v>8.8999999999999996E-2</v>
      </c>
    </row>
    <row r="354" spans="1:4">
      <c r="A354" t="str">
        <f t="shared" si="5"/>
        <v>36Beta</v>
      </c>
      <c r="B354">
        <v>36</v>
      </c>
      <c r="C354" s="9" t="s">
        <v>24</v>
      </c>
      <c r="D354" s="8">
        <v>2.2570000000000001</v>
      </c>
    </row>
    <row r="355" spans="1:4">
      <c r="A355" t="str">
        <f t="shared" si="5"/>
        <v>36Annual Standard Deviation</v>
      </c>
      <c r="B355">
        <v>36</v>
      </c>
      <c r="C355" s="9" t="s">
        <v>35</v>
      </c>
      <c r="D355" s="8">
        <v>0.48699999999999999</v>
      </c>
    </row>
    <row r="356" spans="1:4">
      <c r="A356" t="str">
        <f t="shared" si="5"/>
        <v>36Annual Variance</v>
      </c>
      <c r="B356">
        <v>36</v>
      </c>
      <c r="C356" s="9" t="s">
        <v>36</v>
      </c>
      <c r="D356" s="8">
        <v>0.23799999999999999</v>
      </c>
    </row>
    <row r="357" spans="1:4">
      <c r="A357" t="str">
        <f t="shared" si="5"/>
        <v>36Information Ratio</v>
      </c>
      <c r="B357">
        <v>36</v>
      </c>
      <c r="C357" s="9" t="s">
        <v>37</v>
      </c>
      <c r="D357" s="8">
        <v>0.36</v>
      </c>
    </row>
    <row r="358" spans="1:4">
      <c r="A358" t="str">
        <f t="shared" si="5"/>
        <v>36Tracking Error</v>
      </c>
      <c r="B358">
        <v>36</v>
      </c>
      <c r="C358" s="9" t="s">
        <v>38</v>
      </c>
      <c r="D358" s="8">
        <v>0.47099999999999997</v>
      </c>
    </row>
    <row r="359" spans="1:4">
      <c r="A359" t="str">
        <f t="shared" si="5"/>
        <v>36Treynor Ratio</v>
      </c>
      <c r="B359">
        <v>36</v>
      </c>
      <c r="C359" s="9" t="s">
        <v>39</v>
      </c>
      <c r="D359" s="8">
        <v>0.10299999999999999</v>
      </c>
    </row>
    <row r="360" spans="1:4">
      <c r="A360" t="str">
        <f t="shared" si="5"/>
        <v>36Total Fees</v>
      </c>
      <c r="B360">
        <v>36</v>
      </c>
      <c r="C360" s="9" t="s">
        <v>40</v>
      </c>
      <c r="D360" s="8">
        <v>0</v>
      </c>
    </row>
    <row r="361" spans="1:4">
      <c r="A361" t="str">
        <f t="shared" si="5"/>
        <v>36Estimated Strategy Capacity</v>
      </c>
      <c r="B361">
        <v>36</v>
      </c>
      <c r="C361" s="9" t="s">
        <v>41</v>
      </c>
      <c r="D361" s="8">
        <v>6600000</v>
      </c>
    </row>
    <row r="362" spans="1:4">
      <c r="A362" t="str">
        <f t="shared" si="5"/>
        <v>55PSR</v>
      </c>
      <c r="B362">
        <v>55</v>
      </c>
      <c r="C362" s="9" t="s">
        <v>27</v>
      </c>
      <c r="D362" s="8">
        <v>0.60584000000000005</v>
      </c>
    </row>
    <row r="363" spans="1:4">
      <c r="A363" t="str">
        <f t="shared" si="5"/>
        <v>55Sharpe Ratio</v>
      </c>
      <c r="B363">
        <v>55</v>
      </c>
      <c r="C363" s="9" t="s">
        <v>1</v>
      </c>
      <c r="D363" s="8">
        <v>1.9770000000000001</v>
      </c>
    </row>
    <row r="364" spans="1:4">
      <c r="A364" t="str">
        <f t="shared" si="5"/>
        <v>55Total Trades</v>
      </c>
      <c r="B364">
        <v>55</v>
      </c>
      <c r="C364" s="9" t="s">
        <v>28</v>
      </c>
      <c r="D364" s="8">
        <v>896</v>
      </c>
    </row>
    <row r="365" spans="1:4">
      <c r="A365" t="str">
        <f t="shared" si="5"/>
        <v>55Average Win</v>
      </c>
      <c r="B365">
        <v>55</v>
      </c>
      <c r="C365" s="9" t="s">
        <v>25</v>
      </c>
      <c r="D365" s="8">
        <v>0.1022</v>
      </c>
    </row>
    <row r="366" spans="1:4">
      <c r="A366" t="str">
        <f t="shared" si="5"/>
        <v>55Average Loss</v>
      </c>
      <c r="B366">
        <v>55</v>
      </c>
      <c r="C366" s="9" t="s">
        <v>29</v>
      </c>
      <c r="D366" s="8">
        <v>-5.6300000000000003E-2</v>
      </c>
    </row>
    <row r="367" spans="1:4">
      <c r="A367" t="str">
        <f t="shared" si="5"/>
        <v>55Compounding Annual Return</v>
      </c>
      <c r="B367">
        <v>55</v>
      </c>
      <c r="C367" s="9" t="s">
        <v>30</v>
      </c>
      <c r="D367" s="8">
        <v>1.4669099999999999</v>
      </c>
    </row>
    <row r="368" spans="1:4">
      <c r="A368" t="str">
        <f t="shared" si="5"/>
        <v>55Drawdown</v>
      </c>
      <c r="B368">
        <v>55</v>
      </c>
      <c r="C368" s="9" t="s">
        <v>8</v>
      </c>
      <c r="D368" s="8">
        <v>0.34899999999999998</v>
      </c>
    </row>
    <row r="369" spans="1:4">
      <c r="A369" t="str">
        <f t="shared" si="5"/>
        <v>55Expectancy</v>
      </c>
      <c r="B369">
        <v>55</v>
      </c>
      <c r="C369" s="9" t="s">
        <v>31</v>
      </c>
      <c r="D369" s="8">
        <v>0.45700000000000002</v>
      </c>
    </row>
    <row r="370" spans="1:4">
      <c r="A370" t="str">
        <f t="shared" si="5"/>
        <v>55Net Profit</v>
      </c>
      <c r="B370">
        <v>55</v>
      </c>
      <c r="C370" s="9" t="s">
        <v>32</v>
      </c>
      <c r="D370" s="8">
        <v>0.79271999999999998</v>
      </c>
    </row>
    <row r="371" spans="1:4">
      <c r="A371" t="str">
        <f t="shared" si="5"/>
        <v>55Loss Rate</v>
      </c>
      <c r="B371">
        <v>55</v>
      </c>
      <c r="C371" s="9" t="s">
        <v>33</v>
      </c>
      <c r="D371" s="8">
        <v>0.48</v>
      </c>
    </row>
    <row r="372" spans="1:4">
      <c r="A372" t="str">
        <f t="shared" si="5"/>
        <v>55Win Rate</v>
      </c>
      <c r="B372">
        <v>55</v>
      </c>
      <c r="C372" s="9" t="s">
        <v>34</v>
      </c>
      <c r="D372" s="8">
        <v>0.52</v>
      </c>
    </row>
    <row r="373" spans="1:4">
      <c r="A373" t="str">
        <f t="shared" si="5"/>
        <v>55Profit-Loss Ratio</v>
      </c>
      <c r="B373">
        <v>55</v>
      </c>
      <c r="C373" s="9" t="s">
        <v>26</v>
      </c>
      <c r="D373" s="8">
        <v>1.82</v>
      </c>
    </row>
    <row r="374" spans="1:4">
      <c r="A374" t="str">
        <f t="shared" si="5"/>
        <v>55Alpha</v>
      </c>
      <c r="B374">
        <v>55</v>
      </c>
      <c r="C374" s="9" t="s">
        <v>23</v>
      </c>
      <c r="D374" s="8">
        <v>1.3029999999999999</v>
      </c>
    </row>
    <row r="375" spans="1:4">
      <c r="A375" t="str">
        <f t="shared" si="5"/>
        <v>55Beta</v>
      </c>
      <c r="B375">
        <v>55</v>
      </c>
      <c r="C375" s="9" t="s">
        <v>24</v>
      </c>
      <c r="D375" s="8">
        <v>0.13</v>
      </c>
    </row>
    <row r="376" spans="1:4">
      <c r="A376" t="str">
        <f t="shared" si="5"/>
        <v>55Annual Standard Deviation</v>
      </c>
      <c r="B376">
        <v>55</v>
      </c>
      <c r="C376" s="9" t="s">
        <v>35</v>
      </c>
      <c r="D376" s="8">
        <v>0.66300000000000003</v>
      </c>
    </row>
    <row r="377" spans="1:4">
      <c r="A377" t="str">
        <f t="shared" si="5"/>
        <v>55Annual Variance</v>
      </c>
      <c r="B377">
        <v>55</v>
      </c>
      <c r="C377" s="9" t="s">
        <v>36</v>
      </c>
      <c r="D377" s="8">
        <v>0.44</v>
      </c>
    </row>
    <row r="378" spans="1:4">
      <c r="A378" t="str">
        <f t="shared" si="5"/>
        <v>55Information Ratio</v>
      </c>
      <c r="B378">
        <v>55</v>
      </c>
      <c r="C378" s="9" t="s">
        <v>37</v>
      </c>
      <c r="D378" s="8">
        <v>1.8740000000000001</v>
      </c>
    </row>
    <row r="379" spans="1:4">
      <c r="A379" t="str">
        <f t="shared" si="5"/>
        <v>55Tracking Error</v>
      </c>
      <c r="B379">
        <v>55</v>
      </c>
      <c r="C379" s="9" t="s">
        <v>38</v>
      </c>
      <c r="D379" s="8">
        <v>0.66600000000000004</v>
      </c>
    </row>
    <row r="380" spans="1:4">
      <c r="A380" t="str">
        <f t="shared" si="5"/>
        <v>55Treynor Ratio</v>
      </c>
      <c r="B380">
        <v>55</v>
      </c>
      <c r="C380" s="9" t="s">
        <v>39</v>
      </c>
      <c r="D380" s="8">
        <v>10.096</v>
      </c>
    </row>
    <row r="381" spans="1:4">
      <c r="A381" t="str">
        <f t="shared" si="5"/>
        <v>55Total Fees</v>
      </c>
      <c r="B381">
        <v>55</v>
      </c>
      <c r="C381" s="9" t="s">
        <v>40</v>
      </c>
      <c r="D381" s="8">
        <v>0</v>
      </c>
    </row>
    <row r="382" spans="1:4">
      <c r="A382" t="str">
        <f t="shared" si="5"/>
        <v>55Estimated Strategy Capacity</v>
      </c>
      <c r="B382">
        <v>55</v>
      </c>
      <c r="C382" s="9" t="s">
        <v>41</v>
      </c>
      <c r="D382" s="8">
        <v>4500000</v>
      </c>
    </row>
    <row r="383" spans="1:4">
      <c r="A383" t="str">
        <f t="shared" si="5"/>
        <v>56PSR</v>
      </c>
      <c r="B383">
        <v>56</v>
      </c>
      <c r="C383" s="9" t="s">
        <v>27</v>
      </c>
      <c r="D383" s="8">
        <v>0.53564000000000001</v>
      </c>
    </row>
    <row r="384" spans="1:4">
      <c r="A384" t="str">
        <f t="shared" si="5"/>
        <v>56Sharpe Ratio</v>
      </c>
      <c r="B384">
        <v>56</v>
      </c>
      <c r="C384" s="9" t="s">
        <v>1</v>
      </c>
      <c r="D384" s="8">
        <v>1.1859999999999999</v>
      </c>
    </row>
    <row r="385" spans="1:4">
      <c r="A385" t="str">
        <f t="shared" si="5"/>
        <v>56Total Trades</v>
      </c>
      <c r="B385">
        <v>56</v>
      </c>
      <c r="C385" s="9" t="s">
        <v>28</v>
      </c>
      <c r="D385" s="8">
        <v>896</v>
      </c>
    </row>
    <row r="386" spans="1:4">
      <c r="A386" t="str">
        <f t="shared" si="5"/>
        <v>56Average Win</v>
      </c>
      <c r="B386">
        <v>56</v>
      </c>
      <c r="C386" s="9" t="s">
        <v>25</v>
      </c>
      <c r="D386" s="8">
        <v>2.46E-2</v>
      </c>
    </row>
    <row r="387" spans="1:4">
      <c r="A387" t="str">
        <f t="shared" ref="A387:A450" si="6">B387&amp;C387</f>
        <v>56Average Loss</v>
      </c>
      <c r="B387">
        <v>56</v>
      </c>
      <c r="C387" s="9" t="s">
        <v>29</v>
      </c>
      <c r="D387" s="8">
        <v>-1.4999999999999999E-2</v>
      </c>
    </row>
    <row r="388" spans="1:4">
      <c r="A388" t="str">
        <f t="shared" si="6"/>
        <v>56Compounding Annual Return</v>
      </c>
      <c r="B388">
        <v>56</v>
      </c>
      <c r="C388" s="9" t="s">
        <v>30</v>
      </c>
      <c r="D388" s="8">
        <v>0.25563999999999998</v>
      </c>
    </row>
    <row r="389" spans="1:4">
      <c r="A389" t="str">
        <f t="shared" si="6"/>
        <v>56Drawdown</v>
      </c>
      <c r="B389">
        <v>56</v>
      </c>
      <c r="C389" s="9" t="s">
        <v>8</v>
      </c>
      <c r="D389" s="8">
        <v>7.1999999999999995E-2</v>
      </c>
    </row>
    <row r="390" spans="1:4">
      <c r="A390" t="str">
        <f t="shared" si="6"/>
        <v>56Expectancy</v>
      </c>
      <c r="B390">
        <v>56</v>
      </c>
      <c r="C390" s="9" t="s">
        <v>31</v>
      </c>
      <c r="D390" s="8">
        <v>0.36599999999999999</v>
      </c>
    </row>
    <row r="391" spans="1:4">
      <c r="A391" t="str">
        <f t="shared" si="6"/>
        <v>56Net Profit</v>
      </c>
      <c r="B391">
        <v>56</v>
      </c>
      <c r="C391" s="9" t="s">
        <v>32</v>
      </c>
      <c r="D391" s="8">
        <v>0.15853999999999999</v>
      </c>
    </row>
    <row r="392" spans="1:4">
      <c r="A392" t="str">
        <f t="shared" si="6"/>
        <v>56Loss Rate</v>
      </c>
      <c r="B392">
        <v>56</v>
      </c>
      <c r="C392" s="9" t="s">
        <v>33</v>
      </c>
      <c r="D392" s="8">
        <v>0.48</v>
      </c>
    </row>
    <row r="393" spans="1:4">
      <c r="A393" t="str">
        <f t="shared" si="6"/>
        <v>56Win Rate</v>
      </c>
      <c r="B393">
        <v>56</v>
      </c>
      <c r="C393" s="9" t="s">
        <v>34</v>
      </c>
      <c r="D393" s="8">
        <v>0.52</v>
      </c>
    </row>
    <row r="394" spans="1:4">
      <c r="A394" t="str">
        <f t="shared" si="6"/>
        <v>56Profit-Loss Ratio</v>
      </c>
      <c r="B394">
        <v>56</v>
      </c>
      <c r="C394" s="10" t="s">
        <v>26</v>
      </c>
      <c r="D394" s="8">
        <v>1.64</v>
      </c>
    </row>
    <row r="395" spans="1:4">
      <c r="A395" t="str">
        <f t="shared" si="6"/>
        <v>56Alpha</v>
      </c>
      <c r="B395">
        <v>56</v>
      </c>
      <c r="C395" s="10" t="s">
        <v>23</v>
      </c>
      <c r="D395" s="8">
        <v>0.183</v>
      </c>
    </row>
    <row r="396" spans="1:4">
      <c r="A396" t="str">
        <f t="shared" si="6"/>
        <v>56Beta</v>
      </c>
      <c r="B396">
        <v>56</v>
      </c>
      <c r="C396" s="10" t="s">
        <v>24</v>
      </c>
      <c r="D396" s="8">
        <v>3.2000000000000001E-2</v>
      </c>
    </row>
    <row r="397" spans="1:4">
      <c r="A397" t="str">
        <f t="shared" si="6"/>
        <v>56Annual Standard Deviation</v>
      </c>
      <c r="B397">
        <v>56</v>
      </c>
      <c r="C397" s="10" t="s">
        <v>35</v>
      </c>
      <c r="D397" s="8">
        <v>0.156</v>
      </c>
    </row>
    <row r="398" spans="1:4">
      <c r="A398" t="str">
        <f t="shared" si="6"/>
        <v>56Annual Variance</v>
      </c>
      <c r="B398">
        <v>56</v>
      </c>
      <c r="C398" s="10" t="s">
        <v>36</v>
      </c>
      <c r="D398" s="8">
        <v>2.4E-2</v>
      </c>
    </row>
    <row r="399" spans="1:4">
      <c r="A399" t="str">
        <f t="shared" si="6"/>
        <v>56Information Ratio</v>
      </c>
      <c r="B399">
        <v>56</v>
      </c>
      <c r="C399" s="10" t="s">
        <v>37</v>
      </c>
      <c r="D399" s="8">
        <v>0.71799999999999997</v>
      </c>
    </row>
    <row r="400" spans="1:4">
      <c r="A400" t="str">
        <f t="shared" si="6"/>
        <v>56Tracking Error</v>
      </c>
      <c r="B400">
        <v>56</v>
      </c>
      <c r="C400" s="10" t="s">
        <v>38</v>
      </c>
      <c r="D400" s="8">
        <v>0.16900000000000001</v>
      </c>
    </row>
    <row r="401" spans="1:4">
      <c r="A401" t="str">
        <f t="shared" si="6"/>
        <v>56Treynor Ratio</v>
      </c>
      <c r="B401">
        <v>56</v>
      </c>
      <c r="C401" s="10" t="s">
        <v>39</v>
      </c>
      <c r="D401" s="8">
        <v>5.8689999999999998</v>
      </c>
    </row>
    <row r="402" spans="1:4">
      <c r="A402" t="str">
        <f t="shared" si="6"/>
        <v>56Total Fees</v>
      </c>
      <c r="B402">
        <v>56</v>
      </c>
      <c r="C402" s="10" t="s">
        <v>40</v>
      </c>
      <c r="D402" s="8">
        <v>0</v>
      </c>
    </row>
    <row r="403" spans="1:4">
      <c r="A403" t="str">
        <f t="shared" si="6"/>
        <v>56Estimated Strategy Capacity</v>
      </c>
      <c r="B403">
        <v>56</v>
      </c>
      <c r="C403" s="10" t="s">
        <v>41</v>
      </c>
      <c r="D403" s="8">
        <v>10000000</v>
      </c>
    </row>
    <row r="404" spans="1:4">
      <c r="A404" t="str">
        <f t="shared" si="6"/>
        <v>57PSR</v>
      </c>
      <c r="B404">
        <v>57</v>
      </c>
      <c r="C404" s="9" t="s">
        <v>27</v>
      </c>
      <c r="D404" s="8">
        <v>0.60584000000000005</v>
      </c>
    </row>
    <row r="405" spans="1:4">
      <c r="A405" t="str">
        <f t="shared" si="6"/>
        <v>57Sharpe Ratio</v>
      </c>
      <c r="B405">
        <v>57</v>
      </c>
      <c r="C405" s="9" t="s">
        <v>1</v>
      </c>
      <c r="D405" s="8">
        <v>1.9770000000000001</v>
      </c>
    </row>
    <row r="406" spans="1:4">
      <c r="A406" t="str">
        <f t="shared" si="6"/>
        <v>57Total Trades</v>
      </c>
      <c r="B406">
        <v>57</v>
      </c>
      <c r="C406" s="9" t="s">
        <v>28</v>
      </c>
      <c r="D406" s="8">
        <v>896</v>
      </c>
    </row>
    <row r="407" spans="1:4">
      <c r="A407" t="str">
        <f t="shared" si="6"/>
        <v>57Average Win</v>
      </c>
      <c r="B407">
        <v>57</v>
      </c>
      <c r="C407" s="9" t="s">
        <v>25</v>
      </c>
      <c r="D407" s="8">
        <v>0.1022</v>
      </c>
    </row>
    <row r="408" spans="1:4">
      <c r="A408" t="str">
        <f t="shared" si="6"/>
        <v>57Average Loss</v>
      </c>
      <c r="B408">
        <v>57</v>
      </c>
      <c r="C408" s="9" t="s">
        <v>29</v>
      </c>
      <c r="D408" s="8">
        <v>-5.6300000000000003E-2</v>
      </c>
    </row>
    <row r="409" spans="1:4">
      <c r="A409" t="str">
        <f t="shared" si="6"/>
        <v>57Compounding Annual Return</v>
      </c>
      <c r="B409">
        <v>57</v>
      </c>
      <c r="C409" s="9" t="s">
        <v>30</v>
      </c>
      <c r="D409" s="8">
        <v>1.4669099999999999</v>
      </c>
    </row>
    <row r="410" spans="1:4">
      <c r="A410" t="str">
        <f t="shared" si="6"/>
        <v>57Drawdown</v>
      </c>
      <c r="B410">
        <v>57</v>
      </c>
      <c r="C410" s="9" t="s">
        <v>8</v>
      </c>
      <c r="D410" s="8">
        <v>0.34899999999999998</v>
      </c>
    </row>
    <row r="411" spans="1:4">
      <c r="A411" t="str">
        <f t="shared" si="6"/>
        <v>57Expectancy</v>
      </c>
      <c r="B411">
        <v>57</v>
      </c>
      <c r="C411" s="9" t="s">
        <v>31</v>
      </c>
      <c r="D411" s="8">
        <v>0.45700000000000002</v>
      </c>
    </row>
    <row r="412" spans="1:4">
      <c r="A412" t="str">
        <f t="shared" si="6"/>
        <v>57Net Profit</v>
      </c>
      <c r="B412">
        <v>57</v>
      </c>
      <c r="C412" s="9" t="s">
        <v>32</v>
      </c>
      <c r="D412" s="8">
        <v>0.79271999999999998</v>
      </c>
    </row>
    <row r="413" spans="1:4">
      <c r="A413" t="str">
        <f t="shared" si="6"/>
        <v>57Loss Rate</v>
      </c>
      <c r="B413">
        <v>57</v>
      </c>
      <c r="C413" s="9" t="s">
        <v>33</v>
      </c>
      <c r="D413" s="8">
        <v>0.48</v>
      </c>
    </row>
    <row r="414" spans="1:4">
      <c r="A414" t="str">
        <f t="shared" si="6"/>
        <v>57Win Rate</v>
      </c>
      <c r="B414">
        <v>57</v>
      </c>
      <c r="C414" s="9" t="s">
        <v>34</v>
      </c>
      <c r="D414" s="8">
        <v>0.52</v>
      </c>
    </row>
    <row r="415" spans="1:4">
      <c r="A415" t="str">
        <f t="shared" si="6"/>
        <v>57Profit-Loss Ratio</v>
      </c>
      <c r="B415">
        <v>57</v>
      </c>
      <c r="C415" s="9" t="s">
        <v>26</v>
      </c>
      <c r="D415" s="8">
        <v>1.82</v>
      </c>
    </row>
    <row r="416" spans="1:4">
      <c r="A416" t="str">
        <f t="shared" si="6"/>
        <v>57Alpha</v>
      </c>
      <c r="B416">
        <v>57</v>
      </c>
      <c r="C416" s="9" t="s">
        <v>23</v>
      </c>
      <c r="D416" s="8">
        <v>1.3029999999999999</v>
      </c>
    </row>
    <row r="417" spans="1:4">
      <c r="A417" t="str">
        <f t="shared" si="6"/>
        <v>57Beta</v>
      </c>
      <c r="B417">
        <v>57</v>
      </c>
      <c r="C417" s="9" t="s">
        <v>24</v>
      </c>
      <c r="D417" s="8">
        <v>0.13</v>
      </c>
    </row>
    <row r="418" spans="1:4">
      <c r="A418" t="str">
        <f t="shared" si="6"/>
        <v>57Annual Standard Deviation</v>
      </c>
      <c r="B418">
        <v>57</v>
      </c>
      <c r="C418" s="9" t="s">
        <v>35</v>
      </c>
      <c r="D418" s="8">
        <v>0.66300000000000003</v>
      </c>
    </row>
    <row r="419" spans="1:4">
      <c r="A419" t="str">
        <f t="shared" si="6"/>
        <v>57Annual Variance</v>
      </c>
      <c r="B419">
        <v>57</v>
      </c>
      <c r="C419" s="9" t="s">
        <v>36</v>
      </c>
      <c r="D419" s="8">
        <v>0.44</v>
      </c>
    </row>
    <row r="420" spans="1:4">
      <c r="A420" t="str">
        <f t="shared" si="6"/>
        <v>57Information Ratio</v>
      </c>
      <c r="B420">
        <v>57</v>
      </c>
      <c r="C420" s="9" t="s">
        <v>37</v>
      </c>
      <c r="D420" s="8">
        <v>1.8740000000000001</v>
      </c>
    </row>
    <row r="421" spans="1:4">
      <c r="A421" t="str">
        <f t="shared" si="6"/>
        <v>57Tracking Error</v>
      </c>
      <c r="B421">
        <v>57</v>
      </c>
      <c r="C421" s="9" t="s">
        <v>38</v>
      </c>
      <c r="D421" s="8">
        <v>0.66600000000000004</v>
      </c>
    </row>
    <row r="422" spans="1:4">
      <c r="A422" t="str">
        <f t="shared" si="6"/>
        <v>57Treynor Ratio</v>
      </c>
      <c r="B422">
        <v>57</v>
      </c>
      <c r="C422" s="9" t="s">
        <v>39</v>
      </c>
      <c r="D422" s="8">
        <v>10.096</v>
      </c>
    </row>
    <row r="423" spans="1:4">
      <c r="A423" t="str">
        <f t="shared" si="6"/>
        <v>57Total Fees</v>
      </c>
      <c r="B423">
        <v>57</v>
      </c>
      <c r="C423" s="9" t="s">
        <v>40</v>
      </c>
      <c r="D423" s="8">
        <v>0</v>
      </c>
    </row>
    <row r="424" spans="1:4">
      <c r="A424" t="str">
        <f t="shared" si="6"/>
        <v>57Estimated Strategy Capacity</v>
      </c>
      <c r="B424">
        <v>57</v>
      </c>
      <c r="C424" s="9" t="s">
        <v>41</v>
      </c>
      <c r="D424" s="8">
        <v>4500000</v>
      </c>
    </row>
    <row r="425" spans="1:4">
      <c r="A425" t="str">
        <f t="shared" si="6"/>
        <v>58PSR</v>
      </c>
      <c r="B425">
        <v>58</v>
      </c>
      <c r="C425" s="9" t="s">
        <v>27</v>
      </c>
      <c r="D425" s="8">
        <v>0.85036999999999996</v>
      </c>
    </row>
    <row r="426" spans="1:4">
      <c r="A426" t="str">
        <f t="shared" si="6"/>
        <v>58Sharpe Ratio</v>
      </c>
      <c r="B426">
        <v>58</v>
      </c>
      <c r="C426" s="9" t="s">
        <v>1</v>
      </c>
      <c r="D426" s="8">
        <v>1.9279999999999999</v>
      </c>
    </row>
    <row r="427" spans="1:4">
      <c r="A427" t="str">
        <f t="shared" si="6"/>
        <v>58Total Trades</v>
      </c>
      <c r="B427">
        <v>58</v>
      </c>
      <c r="C427" s="9" t="s">
        <v>28</v>
      </c>
      <c r="D427" s="8">
        <v>504</v>
      </c>
    </row>
    <row r="428" spans="1:4">
      <c r="A428" t="str">
        <f t="shared" si="6"/>
        <v>58Average Win</v>
      </c>
      <c r="B428">
        <v>58</v>
      </c>
      <c r="C428" s="9" t="s">
        <v>25</v>
      </c>
      <c r="D428" s="8">
        <v>2.8999999999999998E-3</v>
      </c>
    </row>
    <row r="429" spans="1:4">
      <c r="A429" t="str">
        <f t="shared" si="6"/>
        <v>58Average Loss</v>
      </c>
      <c r="B429">
        <v>58</v>
      </c>
      <c r="C429" s="9" t="s">
        <v>29</v>
      </c>
      <c r="D429" s="8">
        <v>-1.1000000000000001E-3</v>
      </c>
    </row>
    <row r="430" spans="1:4">
      <c r="A430" t="str">
        <f t="shared" si="6"/>
        <v>58Compounding Annual Return</v>
      </c>
      <c r="B430">
        <v>58</v>
      </c>
      <c r="C430" s="9" t="s">
        <v>30</v>
      </c>
      <c r="D430" s="8">
        <v>3.2989999999999998E-2</v>
      </c>
    </row>
    <row r="431" spans="1:4">
      <c r="A431" t="str">
        <f t="shared" si="6"/>
        <v>58Drawdown</v>
      </c>
      <c r="B431">
        <v>58</v>
      </c>
      <c r="C431" s="9" t="s">
        <v>8</v>
      </c>
      <c r="D431" s="8">
        <v>7.0000000000000001E-3</v>
      </c>
    </row>
    <row r="432" spans="1:4">
      <c r="A432" t="str">
        <f t="shared" si="6"/>
        <v>58Expectancy</v>
      </c>
      <c r="B432">
        <v>58</v>
      </c>
      <c r="C432" s="9" t="s">
        <v>31</v>
      </c>
      <c r="D432" s="8">
        <v>1.222</v>
      </c>
    </row>
    <row r="433" spans="1:4">
      <c r="A433" t="str">
        <f t="shared" si="6"/>
        <v>58Net Profit</v>
      </c>
      <c r="B433">
        <v>58</v>
      </c>
      <c r="C433" s="9" t="s">
        <v>32</v>
      </c>
      <c r="D433" s="8">
        <v>2.12E-2</v>
      </c>
    </row>
    <row r="434" spans="1:4">
      <c r="A434" t="str">
        <f t="shared" si="6"/>
        <v>58Loss Rate</v>
      </c>
      <c r="B434">
        <v>58</v>
      </c>
      <c r="C434" s="9" t="s">
        <v>33</v>
      </c>
      <c r="D434" s="8">
        <v>0.38</v>
      </c>
    </row>
    <row r="435" spans="1:4">
      <c r="A435" t="str">
        <f t="shared" si="6"/>
        <v>58Win Rate</v>
      </c>
      <c r="B435">
        <v>58</v>
      </c>
      <c r="C435" s="9" t="s">
        <v>34</v>
      </c>
      <c r="D435" s="8">
        <v>0.62</v>
      </c>
    </row>
    <row r="436" spans="1:4">
      <c r="A436" t="str">
        <f t="shared" si="6"/>
        <v>58Profit-Loss Ratio</v>
      </c>
      <c r="B436">
        <v>58</v>
      </c>
      <c r="C436" s="9" t="s">
        <v>26</v>
      </c>
      <c r="D436" s="8">
        <v>2.5499999999999998</v>
      </c>
    </row>
    <row r="437" spans="1:4">
      <c r="A437" t="str">
        <f t="shared" si="6"/>
        <v>58Alpha</v>
      </c>
      <c r="B437">
        <v>58</v>
      </c>
      <c r="C437" s="9" t="s">
        <v>23</v>
      </c>
      <c r="D437" s="8">
        <v>2.1999999999999999E-2</v>
      </c>
    </row>
    <row r="438" spans="1:4">
      <c r="A438" t="str">
        <f t="shared" si="6"/>
        <v>58Beta</v>
      </c>
      <c r="B438">
        <v>58</v>
      </c>
      <c r="C438" s="9" t="s">
        <v>24</v>
      </c>
      <c r="D438" s="8">
        <v>7.0000000000000001E-3</v>
      </c>
    </row>
    <row r="439" spans="1:4">
      <c r="A439" t="str">
        <f t="shared" si="6"/>
        <v>58Annual Standard Deviation</v>
      </c>
      <c r="B439">
        <v>58</v>
      </c>
      <c r="C439" s="9" t="s">
        <v>35</v>
      </c>
      <c r="D439" s="8">
        <v>1.2E-2</v>
      </c>
    </row>
    <row r="440" spans="1:4">
      <c r="A440" t="str">
        <f t="shared" si="6"/>
        <v>58Annual Variance</v>
      </c>
      <c r="B440">
        <v>58</v>
      </c>
      <c r="C440" s="9" t="s">
        <v>36</v>
      </c>
      <c r="D440" s="8">
        <v>0</v>
      </c>
    </row>
    <row r="441" spans="1:4">
      <c r="A441" t="str">
        <f t="shared" si="6"/>
        <v>58Information Ratio</v>
      </c>
      <c r="B441">
        <v>58</v>
      </c>
      <c r="C441" s="9" t="s">
        <v>37</v>
      </c>
      <c r="D441" s="8">
        <v>-0.60699999999999998</v>
      </c>
    </row>
    <row r="442" spans="1:4">
      <c r="A442" t="str">
        <f t="shared" si="6"/>
        <v>58Tracking Error</v>
      </c>
      <c r="B442">
        <v>58</v>
      </c>
      <c r="C442" s="9" t="s">
        <v>38</v>
      </c>
      <c r="D442" s="8">
        <v>6.7000000000000004E-2</v>
      </c>
    </row>
    <row r="443" spans="1:4">
      <c r="A443" t="str">
        <f t="shared" si="6"/>
        <v>58Treynor Ratio</v>
      </c>
      <c r="B443">
        <v>58</v>
      </c>
      <c r="C443" s="9" t="s">
        <v>39</v>
      </c>
      <c r="D443" s="8">
        <v>3.3090000000000002</v>
      </c>
    </row>
    <row r="444" spans="1:4">
      <c r="A444" t="str">
        <f t="shared" si="6"/>
        <v>58Total Fees</v>
      </c>
      <c r="B444">
        <v>58</v>
      </c>
      <c r="C444" s="9" t="s">
        <v>40</v>
      </c>
      <c r="D444" s="8">
        <v>0</v>
      </c>
    </row>
    <row r="445" spans="1:4">
      <c r="A445" t="str">
        <f t="shared" si="6"/>
        <v>58Estimated Strategy Capacity</v>
      </c>
      <c r="B445">
        <v>58</v>
      </c>
      <c r="C445" s="9" t="s">
        <v>41</v>
      </c>
      <c r="D445" s="8">
        <v>54000000</v>
      </c>
    </row>
    <row r="446" spans="1:4">
      <c r="A446" t="str">
        <f t="shared" si="6"/>
        <v>59PSR</v>
      </c>
      <c r="B446">
        <v>59</v>
      </c>
      <c r="C446" s="9" t="s">
        <v>27</v>
      </c>
      <c r="D446" s="8">
        <v>0.86380000000000001</v>
      </c>
    </row>
    <row r="447" spans="1:4">
      <c r="A447" t="str">
        <f t="shared" si="6"/>
        <v>59Sharpe Ratio</v>
      </c>
      <c r="B447">
        <v>59</v>
      </c>
      <c r="C447" s="9" t="s">
        <v>1</v>
      </c>
      <c r="D447" s="8">
        <v>2.17</v>
      </c>
    </row>
    <row r="448" spans="1:4">
      <c r="A448" t="str">
        <f t="shared" si="6"/>
        <v>59Total Trades</v>
      </c>
      <c r="B448">
        <v>59</v>
      </c>
      <c r="C448" s="9" t="s">
        <v>28</v>
      </c>
      <c r="D448" s="8">
        <v>504</v>
      </c>
    </row>
    <row r="449" spans="1:4">
      <c r="A449" t="str">
        <f t="shared" si="6"/>
        <v>59Average Win</v>
      </c>
      <c r="B449">
        <v>59</v>
      </c>
      <c r="C449" s="9" t="s">
        <v>25</v>
      </c>
      <c r="D449" s="8">
        <v>2.6599999999999999E-2</v>
      </c>
    </row>
    <row r="450" spans="1:4">
      <c r="A450" t="str">
        <f t="shared" si="6"/>
        <v>59Average Loss</v>
      </c>
      <c r="B450">
        <v>59</v>
      </c>
      <c r="C450" s="9" t="s">
        <v>29</v>
      </c>
      <c r="D450" s="8">
        <v>-0.01</v>
      </c>
    </row>
    <row r="451" spans="1:4">
      <c r="A451" t="str">
        <f t="shared" ref="A451:A514" si="7">B451&amp;C451</f>
        <v>59Compounding Annual Return</v>
      </c>
      <c r="B451">
        <v>59</v>
      </c>
      <c r="C451" s="9" t="s">
        <v>30</v>
      </c>
      <c r="D451" s="8">
        <v>0.34642000000000001</v>
      </c>
    </row>
    <row r="452" spans="1:4">
      <c r="A452" t="str">
        <f t="shared" si="7"/>
        <v>59Drawdown</v>
      </c>
      <c r="B452">
        <v>59</v>
      </c>
      <c r="C452" s="9" t="s">
        <v>8</v>
      </c>
      <c r="D452" s="8">
        <v>0.06</v>
      </c>
    </row>
    <row r="453" spans="1:4">
      <c r="A453" t="str">
        <f t="shared" si="7"/>
        <v>59Expectancy</v>
      </c>
      <c r="B453">
        <v>59</v>
      </c>
      <c r="C453" s="9" t="s">
        <v>31</v>
      </c>
      <c r="D453" s="8">
        <v>1.284</v>
      </c>
    </row>
    <row r="454" spans="1:4">
      <c r="A454" t="str">
        <f t="shared" si="7"/>
        <v>59Net Profit</v>
      </c>
      <c r="B454">
        <v>59</v>
      </c>
      <c r="C454" s="9" t="s">
        <v>32</v>
      </c>
      <c r="D454" s="8">
        <v>0.21201999999999999</v>
      </c>
    </row>
    <row r="455" spans="1:4">
      <c r="A455" t="str">
        <f t="shared" si="7"/>
        <v>59Loss Rate</v>
      </c>
      <c r="B455">
        <v>59</v>
      </c>
      <c r="C455" s="9" t="s">
        <v>33</v>
      </c>
      <c r="D455" s="8">
        <v>0.38</v>
      </c>
    </row>
    <row r="456" spans="1:4">
      <c r="A456" t="str">
        <f t="shared" si="7"/>
        <v>59Win Rate</v>
      </c>
      <c r="B456">
        <v>59</v>
      </c>
      <c r="C456" s="9" t="s">
        <v>34</v>
      </c>
      <c r="D456" s="8">
        <v>0.62</v>
      </c>
    </row>
    <row r="457" spans="1:4">
      <c r="A457" t="str">
        <f t="shared" si="7"/>
        <v>59Profit-Loss Ratio</v>
      </c>
      <c r="B457">
        <v>59</v>
      </c>
      <c r="C457" s="9" t="s">
        <v>26</v>
      </c>
      <c r="D457" s="8">
        <v>2.65</v>
      </c>
    </row>
    <row r="458" spans="1:4">
      <c r="A458" t="str">
        <f t="shared" si="7"/>
        <v>59Alpha</v>
      </c>
      <c r="B458">
        <v>59</v>
      </c>
      <c r="C458" s="9" t="s">
        <v>23</v>
      </c>
      <c r="D458" s="8">
        <v>0.23200000000000001</v>
      </c>
    </row>
    <row r="459" spans="1:4">
      <c r="A459" t="str">
        <f t="shared" si="7"/>
        <v>59Beta</v>
      </c>
      <c r="B459">
        <v>59</v>
      </c>
      <c r="C459" s="9" t="s">
        <v>24</v>
      </c>
      <c r="D459" s="8">
        <v>6.2E-2</v>
      </c>
    </row>
    <row r="460" spans="1:4">
      <c r="A460" t="str">
        <f t="shared" si="7"/>
        <v>59Annual Standard Deviation</v>
      </c>
      <c r="B460">
        <v>59</v>
      </c>
      <c r="C460" s="9" t="s">
        <v>35</v>
      </c>
      <c r="D460" s="8">
        <v>0.109</v>
      </c>
    </row>
    <row r="461" spans="1:4">
      <c r="A461" t="str">
        <f t="shared" si="7"/>
        <v>59Annual Variance</v>
      </c>
      <c r="B461">
        <v>59</v>
      </c>
      <c r="C461" s="9" t="s">
        <v>36</v>
      </c>
      <c r="D461" s="8">
        <v>1.2E-2</v>
      </c>
    </row>
    <row r="462" spans="1:4">
      <c r="A462" t="str">
        <f t="shared" si="7"/>
        <v>59Information Ratio</v>
      </c>
      <c r="B462">
        <v>59</v>
      </c>
      <c r="C462" s="9" t="s">
        <v>37</v>
      </c>
      <c r="D462" s="8">
        <v>1.375</v>
      </c>
    </row>
    <row r="463" spans="1:4">
      <c r="A463" t="str">
        <f t="shared" si="7"/>
        <v>59Tracking Error</v>
      </c>
      <c r="B463">
        <v>59</v>
      </c>
      <c r="C463" s="9" t="s">
        <v>38</v>
      </c>
      <c r="D463" s="8">
        <v>0.125</v>
      </c>
    </row>
    <row r="464" spans="1:4">
      <c r="A464" t="str">
        <f t="shared" si="7"/>
        <v>59Treynor Ratio</v>
      </c>
      <c r="B464">
        <v>59</v>
      </c>
      <c r="C464" s="9" t="s">
        <v>39</v>
      </c>
      <c r="D464" s="8">
        <v>3.7850000000000001</v>
      </c>
    </row>
    <row r="465" spans="1:4">
      <c r="A465" t="str">
        <f t="shared" si="7"/>
        <v>59Total Fees</v>
      </c>
      <c r="B465">
        <v>59</v>
      </c>
      <c r="C465" s="9" t="s">
        <v>40</v>
      </c>
      <c r="D465" s="8">
        <v>0</v>
      </c>
    </row>
    <row r="466" spans="1:4">
      <c r="A466" t="str">
        <f t="shared" si="7"/>
        <v>59Estimated Strategy Capacity</v>
      </c>
      <c r="B466">
        <v>59</v>
      </c>
      <c r="C466" s="9" t="s">
        <v>41</v>
      </c>
      <c r="D466" s="8">
        <v>9000000</v>
      </c>
    </row>
    <row r="467" spans="1:4">
      <c r="A467" t="str">
        <f t="shared" si="7"/>
        <v>60PSR</v>
      </c>
      <c r="B467">
        <v>60</v>
      </c>
      <c r="C467" s="9" t="s">
        <v>27</v>
      </c>
      <c r="D467" s="8">
        <v>0.89739000000000002</v>
      </c>
    </row>
    <row r="468" spans="1:4">
      <c r="A468" t="str">
        <f t="shared" si="7"/>
        <v>60Sharpe Ratio</v>
      </c>
      <c r="B468">
        <v>60</v>
      </c>
      <c r="C468" s="9" t="s">
        <v>1</v>
      </c>
      <c r="D468" s="8">
        <v>3.26</v>
      </c>
    </row>
    <row r="469" spans="1:4">
      <c r="A469" t="str">
        <f t="shared" si="7"/>
        <v>60Total Trades</v>
      </c>
      <c r="B469">
        <v>60</v>
      </c>
      <c r="C469" s="9" t="s">
        <v>28</v>
      </c>
      <c r="D469" s="8">
        <v>504</v>
      </c>
    </row>
    <row r="470" spans="1:4">
      <c r="A470" t="str">
        <f t="shared" si="7"/>
        <v>60Average Win</v>
      </c>
      <c r="B470">
        <v>60</v>
      </c>
      <c r="C470" s="9" t="s">
        <v>25</v>
      </c>
      <c r="D470" s="8">
        <v>0.1037</v>
      </c>
    </row>
    <row r="471" spans="1:4">
      <c r="A471" t="str">
        <f t="shared" si="7"/>
        <v>60Average Loss</v>
      </c>
      <c r="B471">
        <v>60</v>
      </c>
      <c r="C471" s="9" t="s">
        <v>29</v>
      </c>
      <c r="D471" s="8">
        <v>-3.5000000000000003E-2</v>
      </c>
    </row>
    <row r="472" spans="1:4">
      <c r="A472" t="str">
        <f t="shared" si="7"/>
        <v>60Compounding Annual Return</v>
      </c>
      <c r="B472">
        <v>60</v>
      </c>
      <c r="C472" s="9" t="s">
        <v>30</v>
      </c>
      <c r="D472" s="8">
        <v>2.0588199999999999</v>
      </c>
    </row>
    <row r="473" spans="1:4">
      <c r="A473" t="str">
        <f t="shared" si="7"/>
        <v>60Drawdown</v>
      </c>
      <c r="B473">
        <v>60</v>
      </c>
      <c r="C473" s="9" t="s">
        <v>8</v>
      </c>
      <c r="D473" s="8">
        <v>0.20799999999999999</v>
      </c>
    </row>
    <row r="474" spans="1:4">
      <c r="A474" t="str">
        <f t="shared" si="7"/>
        <v>60Expectancy</v>
      </c>
      <c r="B474">
        <v>60</v>
      </c>
      <c r="C474" s="9" t="s">
        <v>31</v>
      </c>
      <c r="D474" s="8">
        <v>1.4790000000000001</v>
      </c>
    </row>
    <row r="475" spans="1:4">
      <c r="A475" t="str">
        <f t="shared" si="7"/>
        <v>60Net Profit</v>
      </c>
      <c r="B475">
        <v>60</v>
      </c>
      <c r="C475" s="9" t="s">
        <v>32</v>
      </c>
      <c r="D475" s="8">
        <v>1.06012</v>
      </c>
    </row>
    <row r="476" spans="1:4">
      <c r="A476" t="str">
        <f t="shared" si="7"/>
        <v>60Loss Rate</v>
      </c>
      <c r="B476">
        <v>60</v>
      </c>
      <c r="C476" s="9" t="s">
        <v>33</v>
      </c>
      <c r="D476" s="8">
        <v>0.38</v>
      </c>
    </row>
    <row r="477" spans="1:4">
      <c r="A477" t="str">
        <f t="shared" si="7"/>
        <v>60Win Rate</v>
      </c>
      <c r="B477">
        <v>60</v>
      </c>
      <c r="C477" s="9" t="s">
        <v>34</v>
      </c>
      <c r="D477" s="8">
        <v>0.62</v>
      </c>
    </row>
    <row r="478" spans="1:4">
      <c r="A478" t="str">
        <f t="shared" si="7"/>
        <v>60Profit-Loss Ratio</v>
      </c>
      <c r="B478">
        <v>60</v>
      </c>
      <c r="C478" s="9" t="s">
        <v>26</v>
      </c>
      <c r="D478" s="8">
        <v>2.97</v>
      </c>
    </row>
    <row r="479" spans="1:4">
      <c r="A479" t="str">
        <f t="shared" si="7"/>
        <v>60Alpha</v>
      </c>
      <c r="B479">
        <v>60</v>
      </c>
      <c r="C479" s="9" t="s">
        <v>23</v>
      </c>
      <c r="D479" s="8">
        <v>1.339</v>
      </c>
    </row>
    <row r="480" spans="1:4">
      <c r="A480" t="str">
        <f t="shared" si="7"/>
        <v>60Beta</v>
      </c>
      <c r="B480">
        <v>60</v>
      </c>
      <c r="C480" s="9" t="s">
        <v>24</v>
      </c>
      <c r="D480" s="8">
        <v>0.216</v>
      </c>
    </row>
    <row r="481" spans="1:4">
      <c r="A481" t="str">
        <f t="shared" si="7"/>
        <v>60Annual Standard Deviation</v>
      </c>
      <c r="B481">
        <v>60</v>
      </c>
      <c r="C481" s="9" t="s">
        <v>35</v>
      </c>
      <c r="D481" s="8">
        <v>0.41499999999999998</v>
      </c>
    </row>
    <row r="482" spans="1:4">
      <c r="A482" t="str">
        <f t="shared" si="7"/>
        <v>60Annual Variance</v>
      </c>
      <c r="B482">
        <v>60</v>
      </c>
      <c r="C482" s="9" t="s">
        <v>36</v>
      </c>
      <c r="D482" s="8">
        <v>0.17199999999999999</v>
      </c>
    </row>
    <row r="483" spans="1:4">
      <c r="A483" t="str">
        <f t="shared" si="7"/>
        <v>60Information Ratio</v>
      </c>
      <c r="B483">
        <v>60</v>
      </c>
      <c r="C483" s="9" t="s">
        <v>37</v>
      </c>
      <c r="D483" s="8">
        <v>3.0840000000000001</v>
      </c>
    </row>
    <row r="484" spans="1:4">
      <c r="A484" t="str">
        <f t="shared" si="7"/>
        <v>60Tracking Error</v>
      </c>
      <c r="B484">
        <v>60</v>
      </c>
      <c r="C484" s="9" t="s">
        <v>38</v>
      </c>
      <c r="D484" s="8">
        <v>0.41799999999999998</v>
      </c>
    </row>
    <row r="485" spans="1:4">
      <c r="A485" t="str">
        <f t="shared" si="7"/>
        <v>60Treynor Ratio</v>
      </c>
      <c r="B485">
        <v>60</v>
      </c>
      <c r="C485" s="9" t="s">
        <v>39</v>
      </c>
      <c r="D485" s="8">
        <v>6.2569999999999997</v>
      </c>
    </row>
    <row r="486" spans="1:4">
      <c r="A486" t="str">
        <f t="shared" si="7"/>
        <v>60Total Fees</v>
      </c>
      <c r="B486">
        <v>60</v>
      </c>
      <c r="C486" s="9" t="s">
        <v>40</v>
      </c>
      <c r="D486" s="8">
        <v>0</v>
      </c>
    </row>
    <row r="487" spans="1:4">
      <c r="A487" t="str">
        <f t="shared" si="7"/>
        <v>60Estimated Strategy Capacity</v>
      </c>
      <c r="B487">
        <v>60</v>
      </c>
      <c r="C487" s="9" t="s">
        <v>41</v>
      </c>
      <c r="D487" s="8">
        <v>4200000</v>
      </c>
    </row>
    <row r="488" spans="1:4">
      <c r="A488" t="str">
        <f t="shared" si="7"/>
        <v>61PSR</v>
      </c>
      <c r="B488">
        <v>61</v>
      </c>
      <c r="C488" s="9" t="s">
        <v>27</v>
      </c>
      <c r="D488" s="8">
        <v>0.65983000000000003</v>
      </c>
    </row>
    <row r="489" spans="1:4">
      <c r="A489" t="str">
        <f t="shared" si="7"/>
        <v>61Sharpe Ratio</v>
      </c>
      <c r="B489">
        <v>61</v>
      </c>
      <c r="C489" s="9" t="s">
        <v>1</v>
      </c>
      <c r="D489" s="8">
        <v>1.4139999999999999</v>
      </c>
    </row>
    <row r="490" spans="1:4">
      <c r="A490" t="str">
        <f t="shared" si="7"/>
        <v>61Total Trades</v>
      </c>
      <c r="B490">
        <v>61</v>
      </c>
      <c r="C490" s="9" t="s">
        <v>28</v>
      </c>
      <c r="D490" s="8">
        <v>386</v>
      </c>
    </row>
    <row r="491" spans="1:4">
      <c r="A491" t="str">
        <f t="shared" si="7"/>
        <v>61Average Win</v>
      </c>
      <c r="B491">
        <v>61</v>
      </c>
      <c r="C491" s="9" t="s">
        <v>25</v>
      </c>
      <c r="D491" s="8">
        <v>3.8999999999999998E-3</v>
      </c>
    </row>
    <row r="492" spans="1:4">
      <c r="A492" t="str">
        <f t="shared" si="7"/>
        <v>61Average Loss</v>
      </c>
      <c r="B492">
        <v>61</v>
      </c>
      <c r="C492" s="9" t="s">
        <v>29</v>
      </c>
      <c r="D492" s="8">
        <v>-3.0000000000000001E-3</v>
      </c>
    </row>
    <row r="493" spans="1:4">
      <c r="A493" t="str">
        <f t="shared" si="7"/>
        <v>61Compounding Annual Return</v>
      </c>
      <c r="B493">
        <v>61</v>
      </c>
      <c r="C493" s="9" t="s">
        <v>30</v>
      </c>
      <c r="D493" s="8">
        <v>2.8309999999999998E-2</v>
      </c>
    </row>
    <row r="494" spans="1:4">
      <c r="A494" t="str">
        <f t="shared" si="7"/>
        <v>61Drawdown</v>
      </c>
      <c r="B494">
        <v>61</v>
      </c>
      <c r="C494" s="9" t="s">
        <v>8</v>
      </c>
      <c r="D494" s="8">
        <v>8.0000000000000002E-3</v>
      </c>
    </row>
    <row r="495" spans="1:4">
      <c r="A495" t="str">
        <f t="shared" si="7"/>
        <v>61Expectancy</v>
      </c>
      <c r="B495">
        <v>61</v>
      </c>
      <c r="C495" s="9" t="s">
        <v>31</v>
      </c>
      <c r="D495" s="8">
        <v>0.51</v>
      </c>
    </row>
    <row r="496" spans="1:4">
      <c r="A496" t="str">
        <f t="shared" si="7"/>
        <v>61Net Profit</v>
      </c>
      <c r="B496">
        <v>61</v>
      </c>
      <c r="C496" s="9" t="s">
        <v>32</v>
      </c>
      <c r="D496" s="8">
        <v>1.821E-2</v>
      </c>
    </row>
    <row r="497" spans="1:4">
      <c r="A497" t="str">
        <f t="shared" si="7"/>
        <v>61Loss Rate</v>
      </c>
      <c r="B497">
        <v>61</v>
      </c>
      <c r="C497" s="9" t="s">
        <v>33</v>
      </c>
      <c r="D497" s="8">
        <v>0.33</v>
      </c>
    </row>
    <row r="498" spans="1:4">
      <c r="A498" t="str">
        <f t="shared" si="7"/>
        <v>61Win Rate</v>
      </c>
      <c r="B498">
        <v>61</v>
      </c>
      <c r="C498" s="9" t="s">
        <v>34</v>
      </c>
      <c r="D498" s="8">
        <v>0.67</v>
      </c>
    </row>
    <row r="499" spans="1:4">
      <c r="A499" t="str">
        <f t="shared" si="7"/>
        <v>61Profit-Loss Ratio</v>
      </c>
      <c r="B499">
        <v>61</v>
      </c>
      <c r="C499" s="9" t="s">
        <v>26</v>
      </c>
      <c r="D499" s="8">
        <v>1.26</v>
      </c>
    </row>
    <row r="500" spans="1:4">
      <c r="A500" t="str">
        <f t="shared" si="7"/>
        <v>61Alpha</v>
      </c>
      <c r="B500">
        <v>61</v>
      </c>
      <c r="C500" s="9" t="s">
        <v>23</v>
      </c>
      <c r="D500" s="8">
        <v>1.9E-2</v>
      </c>
    </row>
    <row r="501" spans="1:4">
      <c r="A501" t="str">
        <f t="shared" si="7"/>
        <v>61Beta</v>
      </c>
      <c r="B501">
        <v>61</v>
      </c>
      <c r="C501" s="9" t="s">
        <v>24</v>
      </c>
      <c r="D501" s="8">
        <v>4.0000000000000001E-3</v>
      </c>
    </row>
    <row r="502" spans="1:4">
      <c r="A502" t="str">
        <f t="shared" si="7"/>
        <v>61Annual Standard Deviation</v>
      </c>
      <c r="B502">
        <v>61</v>
      </c>
      <c r="C502" s="9" t="s">
        <v>35</v>
      </c>
      <c r="D502" s="8">
        <v>1.4E-2</v>
      </c>
    </row>
    <row r="503" spans="1:4">
      <c r="A503" t="str">
        <f t="shared" si="7"/>
        <v>61Annual Variance</v>
      </c>
      <c r="B503">
        <v>61</v>
      </c>
      <c r="C503" s="9" t="s">
        <v>36</v>
      </c>
      <c r="D503" s="8">
        <v>0</v>
      </c>
    </row>
    <row r="504" spans="1:4">
      <c r="A504" t="str">
        <f t="shared" si="7"/>
        <v>61Information Ratio</v>
      </c>
      <c r="B504">
        <v>61</v>
      </c>
      <c r="C504" s="9" t="s">
        <v>37</v>
      </c>
      <c r="D504" s="8">
        <v>-0.64900000000000002</v>
      </c>
    </row>
    <row r="505" spans="1:4">
      <c r="A505" t="str">
        <f t="shared" si="7"/>
        <v>61Tracking Error</v>
      </c>
      <c r="B505">
        <v>61</v>
      </c>
      <c r="C505" s="9" t="s">
        <v>38</v>
      </c>
      <c r="D505" s="8">
        <v>6.8000000000000005E-2</v>
      </c>
    </row>
    <row r="506" spans="1:4">
      <c r="A506" t="str">
        <f t="shared" si="7"/>
        <v>61Treynor Ratio</v>
      </c>
      <c r="B506">
        <v>61</v>
      </c>
      <c r="C506" s="9" t="s">
        <v>39</v>
      </c>
      <c r="D506" s="8">
        <v>4.5309999999999997</v>
      </c>
    </row>
    <row r="507" spans="1:4">
      <c r="A507" t="str">
        <f t="shared" si="7"/>
        <v>61Total Fees</v>
      </c>
      <c r="B507">
        <v>61</v>
      </c>
      <c r="C507" s="9" t="s">
        <v>40</v>
      </c>
      <c r="D507" s="8">
        <v>0</v>
      </c>
    </row>
    <row r="508" spans="1:4">
      <c r="A508" t="str">
        <f t="shared" si="7"/>
        <v>61Estimated Strategy Capacity</v>
      </c>
      <c r="B508">
        <v>61</v>
      </c>
      <c r="C508" s="9" t="s">
        <v>41</v>
      </c>
      <c r="D508" s="8">
        <v>21000000</v>
      </c>
    </row>
    <row r="509" spans="1:4">
      <c r="A509" t="str">
        <f t="shared" si="7"/>
        <v>62PSR</v>
      </c>
      <c r="B509">
        <v>62</v>
      </c>
      <c r="C509" s="9" t="s">
        <v>27</v>
      </c>
      <c r="D509" s="8">
        <v>0.66590000000000005</v>
      </c>
    </row>
    <row r="510" spans="1:4">
      <c r="A510" t="str">
        <f t="shared" si="7"/>
        <v>62Sharpe Ratio</v>
      </c>
      <c r="B510">
        <v>62</v>
      </c>
      <c r="C510" s="9" t="s">
        <v>1</v>
      </c>
      <c r="D510" s="8">
        <v>1.5549999999999999</v>
      </c>
    </row>
    <row r="511" spans="1:4">
      <c r="A511" t="str">
        <f t="shared" si="7"/>
        <v>62Total Trades</v>
      </c>
      <c r="B511">
        <v>62</v>
      </c>
      <c r="C511" s="9" t="s">
        <v>28</v>
      </c>
      <c r="D511" s="8">
        <v>386</v>
      </c>
    </row>
    <row r="512" spans="1:4">
      <c r="A512" t="str">
        <f t="shared" si="7"/>
        <v>62Average Win</v>
      </c>
      <c r="B512">
        <v>62</v>
      </c>
      <c r="C512" s="9" t="s">
        <v>25</v>
      </c>
      <c r="D512" s="8">
        <v>3.7699999999999997E-2</v>
      </c>
    </row>
    <row r="513" spans="1:4">
      <c r="A513" t="str">
        <f t="shared" si="7"/>
        <v>62Average Loss</v>
      </c>
      <c r="B513">
        <v>62</v>
      </c>
      <c r="C513" s="9" t="s">
        <v>29</v>
      </c>
      <c r="D513" s="8">
        <v>-2.9100000000000001E-2</v>
      </c>
    </row>
    <row r="514" spans="1:4">
      <c r="A514" t="str">
        <f t="shared" si="7"/>
        <v>62Compounding Annual Return</v>
      </c>
      <c r="B514">
        <v>62</v>
      </c>
      <c r="C514" s="9" t="s">
        <v>30</v>
      </c>
      <c r="D514" s="8">
        <v>0.29536000000000001</v>
      </c>
    </row>
    <row r="515" spans="1:4">
      <c r="A515" t="str">
        <f t="shared" ref="A515:A578" si="8">B515&amp;C515</f>
        <v>62Drawdown</v>
      </c>
      <c r="B515">
        <v>62</v>
      </c>
      <c r="C515" s="9" t="s">
        <v>8</v>
      </c>
      <c r="D515" s="8">
        <v>7.6999999999999999E-2</v>
      </c>
    </row>
    <row r="516" spans="1:4">
      <c r="A516" t="str">
        <f t="shared" si="8"/>
        <v>62Expectancy</v>
      </c>
      <c r="B516">
        <v>62</v>
      </c>
      <c r="C516" s="9" t="s">
        <v>31</v>
      </c>
      <c r="D516" s="8">
        <v>0.53</v>
      </c>
    </row>
    <row r="517" spans="1:4">
      <c r="A517" t="str">
        <f t="shared" si="8"/>
        <v>62Net Profit</v>
      </c>
      <c r="B517">
        <v>62</v>
      </c>
      <c r="C517" s="9" t="s">
        <v>32</v>
      </c>
      <c r="D517" s="8">
        <v>0.18210999999999999</v>
      </c>
    </row>
    <row r="518" spans="1:4">
      <c r="A518" t="str">
        <f t="shared" si="8"/>
        <v>62Loss Rate</v>
      </c>
      <c r="B518">
        <v>62</v>
      </c>
      <c r="C518" s="9" t="s">
        <v>33</v>
      </c>
      <c r="D518" s="8">
        <v>0.33</v>
      </c>
    </row>
    <row r="519" spans="1:4">
      <c r="A519" t="str">
        <f t="shared" si="8"/>
        <v>62Win Rate</v>
      </c>
      <c r="B519">
        <v>62</v>
      </c>
      <c r="C519" s="9" t="s">
        <v>34</v>
      </c>
      <c r="D519" s="8">
        <v>0.67</v>
      </c>
    </row>
    <row r="520" spans="1:4">
      <c r="A520" t="str">
        <f t="shared" si="8"/>
        <v>62Profit-Loss Ratio</v>
      </c>
      <c r="B520">
        <v>62</v>
      </c>
      <c r="C520" s="9" t="s">
        <v>26</v>
      </c>
      <c r="D520" s="8">
        <v>1.29</v>
      </c>
    </row>
    <row r="521" spans="1:4">
      <c r="A521" t="str">
        <f t="shared" si="8"/>
        <v>62Alpha</v>
      </c>
      <c r="B521">
        <v>62</v>
      </c>
      <c r="C521" s="9" t="s">
        <v>23</v>
      </c>
      <c r="D521" s="8">
        <v>0.20499999999999999</v>
      </c>
    </row>
    <row r="522" spans="1:4">
      <c r="A522" t="str">
        <f t="shared" si="8"/>
        <v>62Beta</v>
      </c>
      <c r="B522">
        <v>62</v>
      </c>
      <c r="C522" s="9" t="s">
        <v>24</v>
      </c>
      <c r="D522" s="8">
        <v>3.4000000000000002E-2</v>
      </c>
    </row>
    <row r="523" spans="1:4">
      <c r="A523" t="str">
        <f t="shared" si="8"/>
        <v>62Annual Standard Deviation</v>
      </c>
      <c r="B523">
        <v>62</v>
      </c>
      <c r="C523" s="9" t="s">
        <v>35</v>
      </c>
      <c r="D523" s="8">
        <v>0.13300000000000001</v>
      </c>
    </row>
    <row r="524" spans="1:4">
      <c r="A524" t="str">
        <f t="shared" si="8"/>
        <v>62Annual Variance</v>
      </c>
      <c r="B524">
        <v>62</v>
      </c>
      <c r="C524" s="9" t="s">
        <v>36</v>
      </c>
      <c r="D524" s="8">
        <v>1.7999999999999999E-2</v>
      </c>
    </row>
    <row r="525" spans="1:4">
      <c r="A525" t="str">
        <f t="shared" si="8"/>
        <v>62Information Ratio</v>
      </c>
      <c r="B525">
        <v>62</v>
      </c>
      <c r="C525" s="9" t="s">
        <v>37</v>
      </c>
      <c r="D525" s="8">
        <v>0.96899999999999997</v>
      </c>
    </row>
    <row r="526" spans="1:4">
      <c r="A526" t="str">
        <f t="shared" si="8"/>
        <v>62Tracking Error</v>
      </c>
      <c r="B526">
        <v>62</v>
      </c>
      <c r="C526" s="9" t="s">
        <v>38</v>
      </c>
      <c r="D526" s="8">
        <v>0.14799999999999999</v>
      </c>
    </row>
    <row r="527" spans="1:4">
      <c r="A527" t="str">
        <f t="shared" si="8"/>
        <v>62Treynor Ratio</v>
      </c>
      <c r="B527">
        <v>62</v>
      </c>
      <c r="C527" s="9" t="s">
        <v>39</v>
      </c>
      <c r="D527" s="8">
        <v>6.0049999999999999</v>
      </c>
    </row>
    <row r="528" spans="1:4">
      <c r="A528" t="str">
        <f t="shared" si="8"/>
        <v>62Total Fees</v>
      </c>
      <c r="B528">
        <v>62</v>
      </c>
      <c r="C528" s="9" t="s">
        <v>40</v>
      </c>
      <c r="D528" s="8">
        <v>0</v>
      </c>
    </row>
    <row r="529" spans="1:4">
      <c r="A529" t="str">
        <f t="shared" si="8"/>
        <v>62Estimated Strategy Capacity</v>
      </c>
      <c r="B529">
        <v>62</v>
      </c>
      <c r="C529" s="9" t="s">
        <v>41</v>
      </c>
      <c r="D529" s="8">
        <v>4800000</v>
      </c>
    </row>
    <row r="530" spans="1:4">
      <c r="A530" t="str">
        <f t="shared" si="8"/>
        <v>63PSR</v>
      </c>
      <c r="B530">
        <v>63</v>
      </c>
      <c r="C530" s="9" t="s">
        <v>27</v>
      </c>
      <c r="D530" s="8">
        <v>0.68054999999999999</v>
      </c>
    </row>
    <row r="531" spans="1:4">
      <c r="A531" t="str">
        <f t="shared" si="8"/>
        <v>63Sharpe Ratio</v>
      </c>
      <c r="B531">
        <v>63</v>
      </c>
      <c r="C531" s="9" t="s">
        <v>1</v>
      </c>
      <c r="D531" s="8">
        <v>2.2850000000000001</v>
      </c>
    </row>
    <row r="532" spans="1:4">
      <c r="A532" t="str">
        <f t="shared" si="8"/>
        <v>63Total Trades</v>
      </c>
      <c r="B532">
        <v>63</v>
      </c>
      <c r="C532" s="9" t="s">
        <v>28</v>
      </c>
      <c r="D532" s="8">
        <v>385</v>
      </c>
    </row>
    <row r="533" spans="1:4">
      <c r="A533" t="str">
        <f t="shared" si="8"/>
        <v>63Average Win</v>
      </c>
      <c r="B533">
        <v>63</v>
      </c>
      <c r="C533" s="9" t="s">
        <v>25</v>
      </c>
      <c r="D533" s="8">
        <v>0.18360000000000001</v>
      </c>
    </row>
    <row r="534" spans="1:4">
      <c r="A534" t="str">
        <f t="shared" si="8"/>
        <v>63Average Loss</v>
      </c>
      <c r="B534">
        <v>63</v>
      </c>
      <c r="C534" s="9" t="s">
        <v>29</v>
      </c>
      <c r="D534" s="8">
        <v>-0.1255</v>
      </c>
    </row>
    <row r="535" spans="1:4">
      <c r="A535" t="str">
        <f t="shared" si="8"/>
        <v>63Compounding Annual Return</v>
      </c>
      <c r="B535">
        <v>63</v>
      </c>
      <c r="C535" s="9" t="s">
        <v>30</v>
      </c>
      <c r="D535" s="8">
        <v>1.7191399999999999</v>
      </c>
    </row>
    <row r="536" spans="1:4">
      <c r="A536" t="str">
        <f t="shared" si="8"/>
        <v>63Drawdown</v>
      </c>
      <c r="B536">
        <v>63</v>
      </c>
      <c r="C536" s="9" t="s">
        <v>8</v>
      </c>
      <c r="D536" s="8">
        <v>0.30099999999999999</v>
      </c>
    </row>
    <row r="537" spans="1:4">
      <c r="A537" t="str">
        <f t="shared" si="8"/>
        <v>63Expectancy</v>
      </c>
      <c r="B537">
        <v>63</v>
      </c>
      <c r="C537" s="9" t="s">
        <v>31</v>
      </c>
      <c r="D537" s="8">
        <v>0.64200000000000002</v>
      </c>
    </row>
    <row r="538" spans="1:4">
      <c r="A538" t="str">
        <f t="shared" si="8"/>
        <v>63Net Profit</v>
      </c>
      <c r="B538">
        <v>63</v>
      </c>
      <c r="C538" s="9" t="s">
        <v>32</v>
      </c>
      <c r="D538" s="8">
        <v>0.90915999999999997</v>
      </c>
    </row>
    <row r="539" spans="1:4">
      <c r="A539" t="str">
        <f t="shared" si="8"/>
        <v>63Loss Rate</v>
      </c>
      <c r="B539">
        <v>63</v>
      </c>
      <c r="C539" s="9" t="s">
        <v>33</v>
      </c>
      <c r="D539" s="8">
        <v>0.33</v>
      </c>
    </row>
    <row r="540" spans="1:4">
      <c r="A540" t="str">
        <f t="shared" si="8"/>
        <v>63Win Rate</v>
      </c>
      <c r="B540">
        <v>63</v>
      </c>
      <c r="C540" s="9" t="s">
        <v>34</v>
      </c>
      <c r="D540" s="8">
        <v>0.67</v>
      </c>
    </row>
    <row r="541" spans="1:4">
      <c r="A541" t="str">
        <f t="shared" si="8"/>
        <v>63Profit-Loss Ratio</v>
      </c>
      <c r="B541">
        <v>63</v>
      </c>
      <c r="C541" s="9" t="s">
        <v>26</v>
      </c>
      <c r="D541" s="8">
        <v>1.46</v>
      </c>
    </row>
    <row r="542" spans="1:4">
      <c r="A542" t="str">
        <f t="shared" si="8"/>
        <v>63Alpha</v>
      </c>
      <c r="B542">
        <v>63</v>
      </c>
      <c r="C542" s="9" t="s">
        <v>23</v>
      </c>
      <c r="D542" s="8">
        <v>1.371</v>
      </c>
    </row>
    <row r="543" spans="1:4">
      <c r="A543" t="str">
        <f t="shared" si="8"/>
        <v>63Beta</v>
      </c>
      <c r="B543">
        <v>63</v>
      </c>
      <c r="C543" s="9" t="s">
        <v>24</v>
      </c>
      <c r="D543" s="8">
        <v>1.2E-2</v>
      </c>
    </row>
    <row r="544" spans="1:4">
      <c r="A544" t="str">
        <f t="shared" si="8"/>
        <v>63Annual Standard Deviation</v>
      </c>
      <c r="B544">
        <v>63</v>
      </c>
      <c r="C544" s="9" t="s">
        <v>35</v>
      </c>
      <c r="D544" s="8">
        <v>0.6</v>
      </c>
    </row>
    <row r="545" spans="1:4">
      <c r="A545" t="str">
        <f t="shared" si="8"/>
        <v>63Annual Variance</v>
      </c>
      <c r="B545">
        <v>63</v>
      </c>
      <c r="C545" s="9" t="s">
        <v>36</v>
      </c>
      <c r="D545" s="8">
        <v>0.36</v>
      </c>
    </row>
    <row r="546" spans="1:4">
      <c r="A546" t="str">
        <f t="shared" si="8"/>
        <v>63Information Ratio</v>
      </c>
      <c r="B546">
        <v>63</v>
      </c>
      <c r="C546" s="9" t="s">
        <v>37</v>
      </c>
      <c r="D546" s="8">
        <v>2.1659999999999999</v>
      </c>
    </row>
    <row r="547" spans="1:4">
      <c r="A547" t="str">
        <f t="shared" si="8"/>
        <v>63Tracking Error</v>
      </c>
      <c r="B547">
        <v>63</v>
      </c>
      <c r="C547" s="9" t="s">
        <v>38</v>
      </c>
      <c r="D547" s="8">
        <v>0.60399999999999998</v>
      </c>
    </row>
    <row r="548" spans="1:4">
      <c r="A548" t="str">
        <f t="shared" si="8"/>
        <v>63Treynor Ratio</v>
      </c>
      <c r="B548">
        <v>63</v>
      </c>
      <c r="C548" s="9" t="s">
        <v>39</v>
      </c>
      <c r="D548" s="8">
        <v>110.32299999999999</v>
      </c>
    </row>
    <row r="549" spans="1:4">
      <c r="A549" t="str">
        <f t="shared" si="8"/>
        <v>63Total Fees</v>
      </c>
      <c r="B549">
        <v>63</v>
      </c>
      <c r="C549" s="9" t="s">
        <v>40</v>
      </c>
      <c r="D549" s="8">
        <v>0</v>
      </c>
    </row>
    <row r="550" spans="1:4">
      <c r="A550" t="str">
        <f t="shared" si="8"/>
        <v>63Estimated Strategy Capacity</v>
      </c>
      <c r="B550">
        <v>63</v>
      </c>
      <c r="C550" s="9" t="s">
        <v>41</v>
      </c>
      <c r="D550" s="8">
        <v>2400000</v>
      </c>
    </row>
    <row r="551" spans="1:4">
      <c r="A551" t="str">
        <f t="shared" si="8"/>
        <v>82PSR</v>
      </c>
      <c r="B551">
        <v>82</v>
      </c>
      <c r="C551" s="9" t="s">
        <v>27</v>
      </c>
      <c r="D551" s="8">
        <v>0.76280000000000003</v>
      </c>
    </row>
    <row r="552" spans="1:4">
      <c r="A552" t="str">
        <f t="shared" si="8"/>
        <v>82Sharpe Ratio</v>
      </c>
      <c r="B552">
        <v>82</v>
      </c>
      <c r="C552" s="9" t="s">
        <v>1</v>
      </c>
      <c r="D552" s="8">
        <v>1.7230000000000001</v>
      </c>
    </row>
    <row r="553" spans="1:4">
      <c r="A553" t="str">
        <f t="shared" si="8"/>
        <v>82Total Trades</v>
      </c>
      <c r="B553">
        <v>82</v>
      </c>
      <c r="C553" s="9" t="s">
        <v>28</v>
      </c>
      <c r="D553" s="8">
        <v>893</v>
      </c>
    </row>
    <row r="554" spans="1:4">
      <c r="A554" t="str">
        <f t="shared" si="8"/>
        <v>82Average Win</v>
      </c>
      <c r="B554">
        <v>82</v>
      </c>
      <c r="C554" s="9" t="s">
        <v>25</v>
      </c>
      <c r="D554" s="8">
        <v>2.2000000000000001E-3</v>
      </c>
    </row>
    <row r="555" spans="1:4">
      <c r="A555" t="str">
        <f t="shared" si="8"/>
        <v>82Average Loss</v>
      </c>
      <c r="B555">
        <v>82</v>
      </c>
      <c r="C555" s="9" t="s">
        <v>29</v>
      </c>
      <c r="D555" s="8">
        <v>-1.4E-3</v>
      </c>
    </row>
    <row r="556" spans="1:4">
      <c r="A556" t="str">
        <f t="shared" si="8"/>
        <v>82Compounding Annual Return</v>
      </c>
      <c r="B556">
        <v>82</v>
      </c>
      <c r="C556" s="9" t="s">
        <v>30</v>
      </c>
      <c r="D556" s="8">
        <v>3.4130000000000001E-2</v>
      </c>
    </row>
    <row r="557" spans="1:4">
      <c r="A557" t="str">
        <f t="shared" si="8"/>
        <v>82Drawdown</v>
      </c>
      <c r="B557">
        <v>82</v>
      </c>
      <c r="C557" s="9" t="s">
        <v>8</v>
      </c>
      <c r="D557" s="8">
        <v>8.9999999999999993E-3</v>
      </c>
    </row>
    <row r="558" spans="1:4">
      <c r="A558" t="str">
        <f t="shared" si="8"/>
        <v>82Expectancy</v>
      </c>
      <c r="B558">
        <v>82</v>
      </c>
      <c r="C558" s="9" t="s">
        <v>31</v>
      </c>
      <c r="D558" s="8">
        <v>0.55300000000000005</v>
      </c>
    </row>
    <row r="559" spans="1:4">
      <c r="A559" t="str">
        <f t="shared" si="8"/>
        <v>82Net Profit</v>
      </c>
      <c r="B559">
        <v>82</v>
      </c>
      <c r="C559" s="9" t="s">
        <v>32</v>
      </c>
      <c r="D559" s="8">
        <v>2.1930000000000002E-2</v>
      </c>
    </row>
    <row r="560" spans="1:4">
      <c r="A560" t="str">
        <f t="shared" si="8"/>
        <v>82Loss Rate</v>
      </c>
      <c r="B560">
        <v>82</v>
      </c>
      <c r="C560" s="9" t="s">
        <v>33</v>
      </c>
      <c r="D560" s="8">
        <v>0.38</v>
      </c>
    </row>
    <row r="561" spans="1:4">
      <c r="A561" t="str">
        <f t="shared" si="8"/>
        <v>82Win Rate</v>
      </c>
      <c r="B561">
        <v>82</v>
      </c>
      <c r="C561" s="9" t="s">
        <v>34</v>
      </c>
      <c r="D561" s="8">
        <v>0.62</v>
      </c>
    </row>
    <row r="562" spans="1:4">
      <c r="A562" t="str">
        <f t="shared" si="8"/>
        <v>82Profit-Loss Ratio</v>
      </c>
      <c r="B562">
        <v>82</v>
      </c>
      <c r="C562" s="9" t="s">
        <v>26</v>
      </c>
      <c r="D562" s="8">
        <v>1.5</v>
      </c>
    </row>
    <row r="563" spans="1:4">
      <c r="A563" t="str">
        <f t="shared" si="8"/>
        <v>82Alpha</v>
      </c>
      <c r="B563">
        <v>82</v>
      </c>
      <c r="C563" s="9" t="s">
        <v>23</v>
      </c>
      <c r="D563" s="8">
        <v>1.9E-2</v>
      </c>
    </row>
    <row r="564" spans="1:4">
      <c r="A564" t="str">
        <f t="shared" si="8"/>
        <v>82Beta</v>
      </c>
      <c r="B564">
        <v>82</v>
      </c>
      <c r="C564" s="9" t="s">
        <v>24</v>
      </c>
      <c r="D564" s="8">
        <v>7.1999999999999995E-2</v>
      </c>
    </row>
    <row r="565" spans="1:4">
      <c r="A565" t="str">
        <f t="shared" si="8"/>
        <v>82Annual Standard Deviation</v>
      </c>
      <c r="B565">
        <v>82</v>
      </c>
      <c r="C565" s="9" t="s">
        <v>35</v>
      </c>
      <c r="D565" s="8">
        <v>1.4E-2</v>
      </c>
    </row>
    <row r="566" spans="1:4">
      <c r="A566" t="str">
        <f t="shared" si="8"/>
        <v>82Annual Variance</v>
      </c>
      <c r="B566">
        <v>82</v>
      </c>
      <c r="C566" s="9" t="s">
        <v>36</v>
      </c>
      <c r="D566" s="8">
        <v>0</v>
      </c>
    </row>
    <row r="567" spans="1:4">
      <c r="A567" t="str">
        <f t="shared" si="8"/>
        <v>82Information Ratio</v>
      </c>
      <c r="B567">
        <v>82</v>
      </c>
      <c r="C567" s="9" t="s">
        <v>37</v>
      </c>
      <c r="D567" s="8">
        <v>-0.63300000000000001</v>
      </c>
    </row>
    <row r="568" spans="1:4">
      <c r="A568" t="str">
        <f t="shared" si="8"/>
        <v>82Tracking Error</v>
      </c>
      <c r="B568">
        <v>82</v>
      </c>
      <c r="C568" s="9" t="s">
        <v>38</v>
      </c>
      <c r="D568" s="8">
        <v>6.3E-2</v>
      </c>
    </row>
    <row r="569" spans="1:4">
      <c r="A569" t="str">
        <f t="shared" si="8"/>
        <v>82Treynor Ratio</v>
      </c>
      <c r="B569">
        <v>82</v>
      </c>
      <c r="C569" s="9" t="s">
        <v>39</v>
      </c>
      <c r="D569" s="8">
        <v>0.32900000000000001</v>
      </c>
    </row>
    <row r="570" spans="1:4">
      <c r="A570" t="str">
        <f t="shared" si="8"/>
        <v>82Total Fees</v>
      </c>
      <c r="B570">
        <v>82</v>
      </c>
      <c r="C570" s="9" t="s">
        <v>40</v>
      </c>
      <c r="D570" s="8">
        <v>0</v>
      </c>
    </row>
    <row r="571" spans="1:4">
      <c r="A571" t="str">
        <f t="shared" si="8"/>
        <v>82Estimated Strategy Capacity</v>
      </c>
      <c r="B571">
        <v>82</v>
      </c>
      <c r="C571" s="9" t="s">
        <v>41</v>
      </c>
      <c r="D571" s="8">
        <v>25000000</v>
      </c>
    </row>
    <row r="572" spans="1:4">
      <c r="A572" t="str">
        <f t="shared" si="8"/>
        <v>83PSR</v>
      </c>
      <c r="B572">
        <v>83</v>
      </c>
      <c r="C572" s="9" t="s">
        <v>27</v>
      </c>
      <c r="D572" s="8">
        <v>0.77276</v>
      </c>
    </row>
    <row r="573" spans="1:4">
      <c r="A573" t="str">
        <f t="shared" si="8"/>
        <v>83Sharpe Ratio</v>
      </c>
      <c r="B573">
        <v>83</v>
      </c>
      <c r="C573" s="9" t="s">
        <v>1</v>
      </c>
      <c r="D573" s="8">
        <v>1.9350000000000001</v>
      </c>
    </row>
    <row r="574" spans="1:4">
      <c r="A574" t="str">
        <f t="shared" si="8"/>
        <v>83Total Trades</v>
      </c>
      <c r="B574">
        <v>83</v>
      </c>
      <c r="C574" s="9" t="s">
        <v>28</v>
      </c>
      <c r="D574" s="8">
        <v>893</v>
      </c>
    </row>
    <row r="575" spans="1:4">
      <c r="A575" t="str">
        <f t="shared" si="8"/>
        <v>83Average Win</v>
      </c>
      <c r="B575">
        <v>83</v>
      </c>
      <c r="C575" s="9" t="s">
        <v>25</v>
      </c>
      <c r="D575" s="8">
        <v>2.0299999999999999E-2</v>
      </c>
    </row>
    <row r="576" spans="1:4">
      <c r="A576" t="str">
        <f t="shared" si="8"/>
        <v>83Average Loss</v>
      </c>
      <c r="B576">
        <v>83</v>
      </c>
      <c r="C576" s="9" t="s">
        <v>29</v>
      </c>
      <c r="D576" s="8">
        <v>-1.34E-2</v>
      </c>
    </row>
    <row r="577" spans="1:4">
      <c r="A577" t="str">
        <f t="shared" si="8"/>
        <v>83Compounding Annual Return</v>
      </c>
      <c r="B577">
        <v>83</v>
      </c>
      <c r="C577" s="9" t="s">
        <v>30</v>
      </c>
      <c r="D577" s="8">
        <v>0.35898000000000002</v>
      </c>
    </row>
    <row r="578" spans="1:4">
      <c r="A578" t="str">
        <f t="shared" si="8"/>
        <v>83Drawdown</v>
      </c>
      <c r="B578">
        <v>83</v>
      </c>
      <c r="C578" s="9" t="s">
        <v>8</v>
      </c>
      <c r="D578" s="8">
        <v>8.2000000000000003E-2</v>
      </c>
    </row>
    <row r="579" spans="1:4">
      <c r="A579" t="str">
        <f t="shared" ref="A579:A642" si="9">B579&amp;C579</f>
        <v>83Expectancy</v>
      </c>
      <c r="B579">
        <v>83</v>
      </c>
      <c r="C579" s="9" t="s">
        <v>31</v>
      </c>
      <c r="D579" s="8">
        <v>0.56299999999999994</v>
      </c>
    </row>
    <row r="580" spans="1:4">
      <c r="A580" t="str">
        <f t="shared" si="9"/>
        <v>83Net Profit</v>
      </c>
      <c r="B580">
        <v>83</v>
      </c>
      <c r="C580" s="9" t="s">
        <v>32</v>
      </c>
      <c r="D580" s="8">
        <v>0.21931999999999999</v>
      </c>
    </row>
    <row r="581" spans="1:4">
      <c r="A581" t="str">
        <f t="shared" si="9"/>
        <v>83Loss Rate</v>
      </c>
      <c r="B581">
        <v>83</v>
      </c>
      <c r="C581" s="9" t="s">
        <v>33</v>
      </c>
      <c r="D581" s="8">
        <v>0.38</v>
      </c>
    </row>
    <row r="582" spans="1:4">
      <c r="A582" t="str">
        <f t="shared" si="9"/>
        <v>83Win Rate</v>
      </c>
      <c r="B582">
        <v>83</v>
      </c>
      <c r="C582" s="9" t="s">
        <v>34</v>
      </c>
      <c r="D582" s="8">
        <v>0.62</v>
      </c>
    </row>
    <row r="583" spans="1:4">
      <c r="A583" t="str">
        <f t="shared" si="9"/>
        <v>83Profit-Loss Ratio</v>
      </c>
      <c r="B583">
        <v>83</v>
      </c>
      <c r="C583" s="9" t="s">
        <v>26</v>
      </c>
      <c r="D583" s="8">
        <v>1.52</v>
      </c>
    </row>
    <row r="584" spans="1:4">
      <c r="A584" t="str">
        <f t="shared" si="9"/>
        <v>83Alpha</v>
      </c>
      <c r="B584">
        <v>83</v>
      </c>
      <c r="C584" s="9" t="s">
        <v>23</v>
      </c>
      <c r="D584" s="8">
        <v>0.20499999999999999</v>
      </c>
    </row>
    <row r="585" spans="1:4">
      <c r="A585" t="str">
        <f t="shared" si="9"/>
        <v>83Beta</v>
      </c>
      <c r="B585">
        <v>83</v>
      </c>
      <c r="C585" s="9" t="s">
        <v>24</v>
      </c>
      <c r="D585" s="8">
        <v>0.65900000000000003</v>
      </c>
    </row>
    <row r="586" spans="1:4">
      <c r="A586" t="str">
        <f t="shared" si="9"/>
        <v>83Annual Standard Deviation</v>
      </c>
      <c r="B586">
        <v>83</v>
      </c>
      <c r="C586" s="9" t="s">
        <v>35</v>
      </c>
      <c r="D586" s="8">
        <v>0.128</v>
      </c>
    </row>
    <row r="587" spans="1:4">
      <c r="A587" t="str">
        <f t="shared" si="9"/>
        <v>83Annual Variance</v>
      </c>
      <c r="B587">
        <v>83</v>
      </c>
      <c r="C587" s="9" t="s">
        <v>36</v>
      </c>
      <c r="D587" s="8">
        <v>1.6E-2</v>
      </c>
    </row>
    <row r="588" spans="1:4">
      <c r="A588" t="str">
        <f t="shared" si="9"/>
        <v>83Information Ratio</v>
      </c>
      <c r="B588">
        <v>83</v>
      </c>
      <c r="C588" s="9" t="s">
        <v>37</v>
      </c>
      <c r="D588" s="8">
        <v>1.502</v>
      </c>
    </row>
    <row r="589" spans="1:4">
      <c r="A589" t="str">
        <f t="shared" si="9"/>
        <v>83Tracking Error</v>
      </c>
      <c r="B589">
        <v>83</v>
      </c>
      <c r="C589" s="9" t="s">
        <v>38</v>
      </c>
      <c r="D589" s="8">
        <v>0.122</v>
      </c>
    </row>
    <row r="590" spans="1:4">
      <c r="A590" t="str">
        <f t="shared" si="9"/>
        <v>83Treynor Ratio</v>
      </c>
      <c r="B590">
        <v>83</v>
      </c>
      <c r="C590" s="9" t="s">
        <v>39</v>
      </c>
      <c r="D590" s="8">
        <v>0.375</v>
      </c>
    </row>
    <row r="591" spans="1:4">
      <c r="A591" t="str">
        <f t="shared" si="9"/>
        <v>83Total Fees</v>
      </c>
      <c r="B591">
        <v>83</v>
      </c>
      <c r="C591" s="9" t="s">
        <v>40</v>
      </c>
      <c r="D591" s="8">
        <v>0</v>
      </c>
    </row>
    <row r="592" spans="1:4">
      <c r="A592" t="str">
        <f t="shared" si="9"/>
        <v>83Estimated Strategy Capacity</v>
      </c>
      <c r="B592">
        <v>83</v>
      </c>
      <c r="C592" s="9" t="s">
        <v>41</v>
      </c>
      <c r="D592" s="8">
        <v>5000000</v>
      </c>
    </row>
    <row r="593" spans="1:4">
      <c r="A593" t="str">
        <f t="shared" si="9"/>
        <v>84PSR</v>
      </c>
      <c r="B593">
        <v>84</v>
      </c>
      <c r="C593" s="9" t="s">
        <v>27</v>
      </c>
      <c r="D593" s="8">
        <v>0.80110000000000003</v>
      </c>
    </row>
    <row r="594" spans="1:4">
      <c r="A594" t="str">
        <f t="shared" si="9"/>
        <v>84Sharpe Ratio</v>
      </c>
      <c r="B594">
        <v>84</v>
      </c>
      <c r="C594" s="9" t="s">
        <v>1</v>
      </c>
      <c r="D594" s="8">
        <v>2.944</v>
      </c>
    </row>
    <row r="595" spans="1:4">
      <c r="A595" t="str">
        <f t="shared" si="9"/>
        <v>84Total Trades</v>
      </c>
      <c r="B595">
        <v>84</v>
      </c>
      <c r="C595" s="9" t="s">
        <v>28</v>
      </c>
      <c r="D595" s="8">
        <v>893</v>
      </c>
    </row>
    <row r="596" spans="1:4">
      <c r="A596" t="str">
        <f t="shared" si="9"/>
        <v>84Average Win</v>
      </c>
      <c r="B596">
        <v>84</v>
      </c>
      <c r="C596" s="9" t="s">
        <v>25</v>
      </c>
      <c r="D596" s="8">
        <v>8.2299999999999998E-2</v>
      </c>
    </row>
    <row r="597" spans="1:4">
      <c r="A597" t="str">
        <f t="shared" si="9"/>
        <v>84Average Loss</v>
      </c>
      <c r="B597">
        <v>84</v>
      </c>
      <c r="C597" s="9" t="s">
        <v>29</v>
      </c>
      <c r="D597" s="8">
        <v>-5.1799999999999999E-2</v>
      </c>
    </row>
    <row r="598" spans="1:4">
      <c r="A598" t="str">
        <f t="shared" si="9"/>
        <v>84Compounding Annual Return</v>
      </c>
      <c r="B598">
        <v>84</v>
      </c>
      <c r="C598" s="9" t="s">
        <v>30</v>
      </c>
      <c r="D598" s="8">
        <v>2.14303</v>
      </c>
    </row>
    <row r="599" spans="1:4">
      <c r="A599" t="str">
        <f t="shared" si="9"/>
        <v>84Drawdown</v>
      </c>
      <c r="B599">
        <v>84</v>
      </c>
      <c r="C599" s="9" t="s">
        <v>8</v>
      </c>
      <c r="D599" s="8">
        <v>0.32100000000000001</v>
      </c>
    </row>
    <row r="600" spans="1:4">
      <c r="A600" t="str">
        <f t="shared" si="9"/>
        <v>84Expectancy</v>
      </c>
      <c r="B600">
        <v>84</v>
      </c>
      <c r="C600" s="9" t="s">
        <v>31</v>
      </c>
      <c r="D600" s="8">
        <v>0.60699999999999998</v>
      </c>
    </row>
    <row r="601" spans="1:4">
      <c r="A601" t="str">
        <f t="shared" si="9"/>
        <v>84Net Profit</v>
      </c>
      <c r="B601">
        <v>84</v>
      </c>
      <c r="C601" s="9" t="s">
        <v>32</v>
      </c>
      <c r="D601" s="8">
        <v>1.0966</v>
      </c>
    </row>
    <row r="602" spans="1:4">
      <c r="A602" t="str">
        <f t="shared" si="9"/>
        <v>84Loss Rate</v>
      </c>
      <c r="B602">
        <v>84</v>
      </c>
      <c r="C602" s="9" t="s">
        <v>33</v>
      </c>
      <c r="D602" s="8">
        <v>0.38</v>
      </c>
    </row>
    <row r="603" spans="1:4">
      <c r="A603" t="str">
        <f t="shared" si="9"/>
        <v>84Win Rate</v>
      </c>
      <c r="B603">
        <v>84</v>
      </c>
      <c r="C603" s="9" t="s">
        <v>34</v>
      </c>
      <c r="D603" s="8">
        <v>0.62</v>
      </c>
    </row>
    <row r="604" spans="1:4">
      <c r="A604" t="str">
        <f t="shared" si="9"/>
        <v>84Profit-Loss Ratio</v>
      </c>
      <c r="B604">
        <v>84</v>
      </c>
      <c r="C604" s="9" t="s">
        <v>26</v>
      </c>
      <c r="D604" s="8">
        <v>1.59</v>
      </c>
    </row>
    <row r="605" spans="1:4">
      <c r="A605" t="str">
        <f t="shared" si="9"/>
        <v>84Alpha</v>
      </c>
      <c r="B605">
        <v>84</v>
      </c>
      <c r="C605" s="9" t="s">
        <v>23</v>
      </c>
      <c r="D605" s="8">
        <v>1.35</v>
      </c>
    </row>
    <row r="606" spans="1:4">
      <c r="A606" t="str">
        <f t="shared" si="9"/>
        <v>84Beta</v>
      </c>
      <c r="B606">
        <v>84</v>
      </c>
      <c r="C606" s="9" t="s">
        <v>24</v>
      </c>
      <c r="D606" s="8">
        <v>2.468</v>
      </c>
    </row>
    <row r="607" spans="1:4">
      <c r="A607" t="str">
        <f t="shared" si="9"/>
        <v>84Annual Standard Deviation</v>
      </c>
      <c r="B607">
        <v>84</v>
      </c>
      <c r="C607" s="9" t="s">
        <v>35</v>
      </c>
      <c r="D607" s="8">
        <v>0.51200000000000001</v>
      </c>
    </row>
    <row r="608" spans="1:4">
      <c r="A608" t="str">
        <f t="shared" si="9"/>
        <v>84Annual Variance</v>
      </c>
      <c r="B608">
        <v>84</v>
      </c>
      <c r="C608" s="9" t="s">
        <v>36</v>
      </c>
      <c r="D608" s="8">
        <v>0.26200000000000001</v>
      </c>
    </row>
    <row r="609" spans="1:4">
      <c r="A609" t="str">
        <f t="shared" si="9"/>
        <v>84Information Ratio</v>
      </c>
      <c r="B609">
        <v>84</v>
      </c>
      <c r="C609" s="9" t="s">
        <v>37</v>
      </c>
      <c r="D609" s="8">
        <v>2.919</v>
      </c>
    </row>
    <row r="610" spans="1:4">
      <c r="A610" t="str">
        <f t="shared" si="9"/>
        <v>84Tracking Error</v>
      </c>
      <c r="B610">
        <v>84</v>
      </c>
      <c r="C610" s="9" t="s">
        <v>38</v>
      </c>
      <c r="D610" s="8">
        <v>0.495</v>
      </c>
    </row>
    <row r="611" spans="1:4">
      <c r="A611" t="str">
        <f t="shared" si="9"/>
        <v>84Treynor Ratio</v>
      </c>
      <c r="B611">
        <v>84</v>
      </c>
      <c r="C611" s="9" t="s">
        <v>39</v>
      </c>
      <c r="D611" s="8">
        <v>0.61099999999999999</v>
      </c>
    </row>
    <row r="612" spans="1:4">
      <c r="A612" t="str">
        <f t="shared" si="9"/>
        <v>84Total Fees</v>
      </c>
      <c r="B612">
        <v>84</v>
      </c>
      <c r="C612" s="9" t="s">
        <v>40</v>
      </c>
      <c r="D612" s="8">
        <v>0</v>
      </c>
    </row>
    <row r="613" spans="1:4">
      <c r="A613" t="str">
        <f t="shared" si="9"/>
        <v>84Estimated Strategy Capacity</v>
      </c>
      <c r="B613">
        <v>84</v>
      </c>
      <c r="C613" s="9" t="s">
        <v>41</v>
      </c>
      <c r="D613" s="8">
        <v>2800000</v>
      </c>
    </row>
    <row r="614" spans="1:4">
      <c r="A614" t="str">
        <f t="shared" si="9"/>
        <v>85PSR</v>
      </c>
      <c r="B614">
        <v>85</v>
      </c>
      <c r="C614" s="9" t="s">
        <v>27</v>
      </c>
      <c r="D614" s="8">
        <v>0.23429</v>
      </c>
    </row>
    <row r="615" spans="1:4">
      <c r="A615" t="str">
        <f t="shared" si="9"/>
        <v>85Sharpe Ratio</v>
      </c>
      <c r="B615">
        <v>85</v>
      </c>
      <c r="C615" s="9" t="s">
        <v>1</v>
      </c>
      <c r="D615" s="8">
        <v>0.24299999999999999</v>
      </c>
    </row>
    <row r="616" spans="1:4">
      <c r="A616" t="str">
        <f t="shared" si="9"/>
        <v>85Total Trades</v>
      </c>
      <c r="B616">
        <v>85</v>
      </c>
      <c r="C616" s="9" t="s">
        <v>28</v>
      </c>
      <c r="D616" s="8">
        <v>557</v>
      </c>
    </row>
    <row r="617" spans="1:4">
      <c r="A617" t="str">
        <f t="shared" si="9"/>
        <v>85Average Win</v>
      </c>
      <c r="B617">
        <v>85</v>
      </c>
      <c r="C617" s="9" t="s">
        <v>25</v>
      </c>
      <c r="D617" s="8">
        <v>4.7999999999999996E-3</v>
      </c>
    </row>
    <row r="618" spans="1:4">
      <c r="A618" t="str">
        <f t="shared" si="9"/>
        <v>85Average Loss</v>
      </c>
      <c r="B618">
        <v>85</v>
      </c>
      <c r="C618" s="9" t="s">
        <v>29</v>
      </c>
      <c r="D618" s="8">
        <v>-2.0999999999999999E-3</v>
      </c>
    </row>
    <row r="619" spans="1:4">
      <c r="A619" t="str">
        <f t="shared" si="9"/>
        <v>85Compounding Annual Return</v>
      </c>
      <c r="B619">
        <v>85</v>
      </c>
      <c r="C619" s="9" t="s">
        <v>30</v>
      </c>
      <c r="D619" s="8">
        <v>5.5100000000000001E-3</v>
      </c>
    </row>
    <row r="620" spans="1:4">
      <c r="A620" t="str">
        <f t="shared" si="9"/>
        <v>85Drawdown</v>
      </c>
      <c r="B620">
        <v>85</v>
      </c>
      <c r="C620" s="9" t="s">
        <v>8</v>
      </c>
      <c r="D620" s="8">
        <v>1.4E-2</v>
      </c>
    </row>
    <row r="621" spans="1:4">
      <c r="A621" t="str">
        <f t="shared" si="9"/>
        <v>85Expectancy</v>
      </c>
      <c r="B621">
        <v>85</v>
      </c>
      <c r="C621" s="9" t="s">
        <v>31</v>
      </c>
      <c r="D621" s="8">
        <v>0.107</v>
      </c>
    </row>
    <row r="622" spans="1:4">
      <c r="A622" t="str">
        <f t="shared" si="9"/>
        <v>85Net Profit</v>
      </c>
      <c r="B622">
        <v>85</v>
      </c>
      <c r="C622" s="9" t="s">
        <v>32</v>
      </c>
      <c r="D622" s="8">
        <v>3.5599999999999998E-3</v>
      </c>
    </row>
    <row r="623" spans="1:4">
      <c r="A623" t="str">
        <f t="shared" si="9"/>
        <v>85Loss Rate</v>
      </c>
      <c r="B623">
        <v>85</v>
      </c>
      <c r="C623" s="9" t="s">
        <v>33</v>
      </c>
      <c r="D623" s="8">
        <v>0.67</v>
      </c>
    </row>
    <row r="624" spans="1:4">
      <c r="A624" t="str">
        <f t="shared" si="9"/>
        <v>85Win Rate</v>
      </c>
      <c r="B624">
        <v>85</v>
      </c>
      <c r="C624" s="9" t="s">
        <v>34</v>
      </c>
      <c r="D624" s="8">
        <v>0.33</v>
      </c>
    </row>
    <row r="625" spans="1:4">
      <c r="A625" t="str">
        <f t="shared" si="9"/>
        <v>85Profit-Loss Ratio</v>
      </c>
      <c r="B625">
        <v>85</v>
      </c>
      <c r="C625" s="9" t="s">
        <v>26</v>
      </c>
      <c r="D625" s="8">
        <v>2.3199999999999998</v>
      </c>
    </row>
    <row r="626" spans="1:4">
      <c r="A626" t="str">
        <f t="shared" si="9"/>
        <v>85Alpha</v>
      </c>
      <c r="B626">
        <v>85</v>
      </c>
      <c r="C626" s="9" t="s">
        <v>23</v>
      </c>
      <c r="D626" s="8">
        <v>-2E-3</v>
      </c>
    </row>
    <row r="627" spans="1:4">
      <c r="A627" t="str">
        <f t="shared" si="9"/>
        <v>85Beta</v>
      </c>
      <c r="B627">
        <v>85</v>
      </c>
      <c r="C627" s="9" t="s">
        <v>24</v>
      </c>
      <c r="D627" s="8">
        <v>9.2999999999999999E-2</v>
      </c>
    </row>
    <row r="628" spans="1:4">
      <c r="A628" t="str">
        <f t="shared" si="9"/>
        <v>85Annual Standard Deviation</v>
      </c>
      <c r="B628">
        <v>85</v>
      </c>
      <c r="C628" s="9" t="s">
        <v>35</v>
      </c>
      <c r="D628" s="8">
        <v>1.6E-2</v>
      </c>
    </row>
    <row r="629" spans="1:4">
      <c r="A629" t="str">
        <f t="shared" si="9"/>
        <v>85Annual Variance</v>
      </c>
      <c r="B629">
        <v>85</v>
      </c>
      <c r="C629" s="9" t="s">
        <v>36</v>
      </c>
      <c r="D629" s="8">
        <v>0</v>
      </c>
    </row>
    <row r="630" spans="1:4">
      <c r="A630" t="str">
        <f t="shared" si="9"/>
        <v>85Information Ratio</v>
      </c>
      <c r="B630">
        <v>85</v>
      </c>
      <c r="C630" s="9" t="s">
        <v>37</v>
      </c>
      <c r="D630" s="8">
        <v>-0.95799999999999996</v>
      </c>
    </row>
    <row r="631" spans="1:4">
      <c r="A631" t="str">
        <f t="shared" si="9"/>
        <v>85Tracking Error</v>
      </c>
      <c r="B631">
        <v>85</v>
      </c>
      <c r="C631" s="9" t="s">
        <v>38</v>
      </c>
      <c r="D631" s="8">
        <v>6.2E-2</v>
      </c>
    </row>
    <row r="632" spans="1:4">
      <c r="A632" t="str">
        <f t="shared" si="9"/>
        <v>85Treynor Ratio</v>
      </c>
      <c r="B632">
        <v>85</v>
      </c>
      <c r="C632" s="9" t="s">
        <v>39</v>
      </c>
      <c r="D632" s="8">
        <v>4.2999999999999997E-2</v>
      </c>
    </row>
    <row r="633" spans="1:4">
      <c r="A633" t="str">
        <f t="shared" si="9"/>
        <v>85Total Fees</v>
      </c>
      <c r="B633">
        <v>85</v>
      </c>
      <c r="C633" s="9" t="s">
        <v>40</v>
      </c>
      <c r="D633" s="8">
        <v>0</v>
      </c>
    </row>
    <row r="634" spans="1:4">
      <c r="A634" t="str">
        <f t="shared" si="9"/>
        <v>85Estimated Strategy Capacity</v>
      </c>
      <c r="B634">
        <v>85</v>
      </c>
      <c r="C634" s="9" t="s">
        <v>41</v>
      </c>
      <c r="D634" s="8">
        <v>120000000</v>
      </c>
    </row>
    <row r="635" spans="1:4">
      <c r="A635" t="str">
        <f t="shared" si="9"/>
        <v>86PSR</v>
      </c>
      <c r="B635">
        <v>86</v>
      </c>
      <c r="C635" s="9" t="s">
        <v>27</v>
      </c>
      <c r="D635" s="8">
        <v>0.25339</v>
      </c>
    </row>
    <row r="636" spans="1:4">
      <c r="A636" t="str">
        <f t="shared" si="9"/>
        <v>86Sharpe Ratio</v>
      </c>
      <c r="B636">
        <v>86</v>
      </c>
      <c r="C636" s="9" t="s">
        <v>1</v>
      </c>
      <c r="D636" s="8">
        <v>0.315</v>
      </c>
    </row>
    <row r="637" spans="1:4">
      <c r="A637" t="str">
        <f t="shared" si="9"/>
        <v>86Total Trades</v>
      </c>
      <c r="B637">
        <v>86</v>
      </c>
      <c r="C637" s="9" t="s">
        <v>28</v>
      </c>
      <c r="D637" s="8">
        <v>557</v>
      </c>
    </row>
    <row r="638" spans="1:4">
      <c r="A638" t="str">
        <f t="shared" si="9"/>
        <v>86Average Win</v>
      </c>
      <c r="B638">
        <v>86</v>
      </c>
      <c r="C638" s="9" t="s">
        <v>25</v>
      </c>
      <c r="D638" s="8">
        <v>5.16E-2</v>
      </c>
    </row>
    <row r="639" spans="1:4">
      <c r="A639" t="str">
        <f t="shared" si="9"/>
        <v>86Average Loss</v>
      </c>
      <c r="B639">
        <v>86</v>
      </c>
      <c r="C639" s="9" t="s">
        <v>29</v>
      </c>
      <c r="D639" s="8">
        <v>-2.1399999999999999E-2</v>
      </c>
    </row>
    <row r="640" spans="1:4">
      <c r="A640" t="str">
        <f t="shared" si="9"/>
        <v>86Compounding Annual Return</v>
      </c>
      <c r="B640">
        <v>86</v>
      </c>
      <c r="C640" s="9" t="s">
        <v>30</v>
      </c>
      <c r="D640" s="8">
        <v>5.5599999999999997E-2</v>
      </c>
    </row>
    <row r="641" spans="1:4">
      <c r="A641" t="str">
        <f t="shared" si="9"/>
        <v>86Drawdown</v>
      </c>
      <c r="B641">
        <v>86</v>
      </c>
      <c r="C641" s="9" t="s">
        <v>8</v>
      </c>
      <c r="D641" s="8">
        <v>0.13400000000000001</v>
      </c>
    </row>
    <row r="642" spans="1:4">
      <c r="A642" t="str">
        <f t="shared" si="9"/>
        <v>86Expectancy</v>
      </c>
      <c r="B642">
        <v>86</v>
      </c>
      <c r="C642" s="9" t="s">
        <v>31</v>
      </c>
      <c r="D642" s="8">
        <v>0.13500000000000001</v>
      </c>
    </row>
    <row r="643" spans="1:4">
      <c r="A643" t="str">
        <f t="shared" ref="A643:A706" si="10">B643&amp;C643</f>
        <v>86Net Profit</v>
      </c>
      <c r="B643">
        <v>86</v>
      </c>
      <c r="C643" s="9" t="s">
        <v>32</v>
      </c>
      <c r="D643" s="8">
        <v>3.56E-2</v>
      </c>
    </row>
    <row r="644" spans="1:4">
      <c r="A644" t="str">
        <f t="shared" si="10"/>
        <v>86Loss Rate</v>
      </c>
      <c r="B644">
        <v>86</v>
      </c>
      <c r="C644" s="9" t="s">
        <v>33</v>
      </c>
      <c r="D644" s="8">
        <v>0.67</v>
      </c>
    </row>
    <row r="645" spans="1:4">
      <c r="A645" t="str">
        <f t="shared" si="10"/>
        <v>86Win Rate</v>
      </c>
      <c r="B645">
        <v>86</v>
      </c>
      <c r="C645" s="9" t="s">
        <v>34</v>
      </c>
      <c r="D645" s="8">
        <v>0.33</v>
      </c>
    </row>
    <row r="646" spans="1:4">
      <c r="A646" t="str">
        <f t="shared" si="10"/>
        <v>86Profit-Loss Ratio</v>
      </c>
      <c r="B646">
        <v>86</v>
      </c>
      <c r="C646" s="9" t="s">
        <v>26</v>
      </c>
      <c r="D646" s="8">
        <v>2.41</v>
      </c>
    </row>
    <row r="647" spans="1:4">
      <c r="A647" t="str">
        <f t="shared" si="10"/>
        <v>86Alpha</v>
      </c>
      <c r="B647">
        <v>86</v>
      </c>
      <c r="C647" s="9" t="s">
        <v>23</v>
      </c>
      <c r="D647" s="8">
        <v>-8.9999999999999993E-3</v>
      </c>
    </row>
    <row r="648" spans="1:4">
      <c r="A648" t="str">
        <f t="shared" si="10"/>
        <v>86Beta</v>
      </c>
      <c r="B648">
        <v>86</v>
      </c>
      <c r="C648" s="9" t="s">
        <v>24</v>
      </c>
      <c r="D648" s="8">
        <v>0.97499999999999998</v>
      </c>
    </row>
    <row r="649" spans="1:4">
      <c r="A649" t="str">
        <f t="shared" si="10"/>
        <v>86Annual Standard Deviation</v>
      </c>
      <c r="B649">
        <v>86</v>
      </c>
      <c r="C649" s="9" t="s">
        <v>35</v>
      </c>
      <c r="D649" s="8">
        <v>0.16900000000000001</v>
      </c>
    </row>
    <row r="650" spans="1:4">
      <c r="A650" t="str">
        <f t="shared" si="10"/>
        <v>86Annual Variance</v>
      </c>
      <c r="B650">
        <v>86</v>
      </c>
      <c r="C650" s="9" t="s">
        <v>36</v>
      </c>
      <c r="D650" s="8">
        <v>2.9000000000000001E-2</v>
      </c>
    </row>
    <row r="651" spans="1:4">
      <c r="A651" t="str">
        <f t="shared" si="10"/>
        <v>86Information Ratio</v>
      </c>
      <c r="B651">
        <v>86</v>
      </c>
      <c r="C651" s="9" t="s">
        <v>37</v>
      </c>
      <c r="D651" s="8">
        <v>-6.8000000000000005E-2</v>
      </c>
    </row>
    <row r="652" spans="1:4">
      <c r="A652" t="str">
        <f t="shared" si="10"/>
        <v>86Tracking Error</v>
      </c>
      <c r="B652">
        <v>86</v>
      </c>
      <c r="C652" s="9" t="s">
        <v>38</v>
      </c>
      <c r="D652" s="8">
        <v>0.156</v>
      </c>
    </row>
    <row r="653" spans="1:4">
      <c r="A653" t="str">
        <f t="shared" si="10"/>
        <v>86Treynor Ratio</v>
      </c>
      <c r="B653">
        <v>86</v>
      </c>
      <c r="C653" s="9" t="s">
        <v>39</v>
      </c>
      <c r="D653" s="8">
        <v>5.3999999999999999E-2</v>
      </c>
    </row>
    <row r="654" spans="1:4">
      <c r="A654" t="str">
        <f t="shared" si="10"/>
        <v>86Total Fees</v>
      </c>
      <c r="B654">
        <v>86</v>
      </c>
      <c r="C654" s="9" t="s">
        <v>40</v>
      </c>
      <c r="D654" s="8">
        <v>0</v>
      </c>
    </row>
    <row r="655" spans="1:4">
      <c r="A655" t="str">
        <f t="shared" si="10"/>
        <v>86Estimated Strategy Capacity</v>
      </c>
      <c r="B655">
        <v>86</v>
      </c>
      <c r="C655" s="9" t="s">
        <v>41</v>
      </c>
      <c r="D655" s="8">
        <v>15000000</v>
      </c>
    </row>
    <row r="656" spans="1:4">
      <c r="A656" t="str">
        <f t="shared" si="10"/>
        <v>87PSR</v>
      </c>
      <c r="B656">
        <v>87</v>
      </c>
      <c r="C656" s="9" t="s">
        <v>27</v>
      </c>
      <c r="D656" s="8">
        <v>0.30986999999999998</v>
      </c>
    </row>
    <row r="657" spans="1:4">
      <c r="A657" t="str">
        <f t="shared" si="10"/>
        <v>87Sharpe Ratio</v>
      </c>
      <c r="B657">
        <v>87</v>
      </c>
      <c r="C657" s="9" t="s">
        <v>1</v>
      </c>
      <c r="D657" s="8">
        <v>0.61399999999999999</v>
      </c>
    </row>
    <row r="658" spans="1:4">
      <c r="A658" t="str">
        <f t="shared" si="10"/>
        <v>87Total Trades</v>
      </c>
      <c r="B658">
        <v>87</v>
      </c>
      <c r="C658" s="9" t="s">
        <v>28</v>
      </c>
      <c r="D658" s="8">
        <v>541</v>
      </c>
    </row>
    <row r="659" spans="1:4">
      <c r="A659" t="str">
        <f t="shared" si="10"/>
        <v>87Average Win</v>
      </c>
      <c r="B659">
        <v>87</v>
      </c>
      <c r="C659" s="9" t="s">
        <v>25</v>
      </c>
      <c r="D659" s="8">
        <v>0.25979999999999998</v>
      </c>
    </row>
    <row r="660" spans="1:4">
      <c r="A660" t="str">
        <f t="shared" si="10"/>
        <v>87Average Loss</v>
      </c>
      <c r="B660">
        <v>87</v>
      </c>
      <c r="C660" s="9" t="s">
        <v>29</v>
      </c>
      <c r="D660" s="8">
        <v>-9.8299999999999998E-2</v>
      </c>
    </row>
    <row r="661" spans="1:4">
      <c r="A661" t="str">
        <f t="shared" si="10"/>
        <v>87Compounding Annual Return</v>
      </c>
      <c r="B661">
        <v>87</v>
      </c>
      <c r="C661" s="9" t="s">
        <v>30</v>
      </c>
      <c r="D661" s="8">
        <v>2.3769999999999999E-2</v>
      </c>
    </row>
    <row r="662" spans="1:4">
      <c r="A662" t="str">
        <f t="shared" si="10"/>
        <v>87Drawdown</v>
      </c>
      <c r="B662">
        <v>87</v>
      </c>
      <c r="C662" s="9" t="s">
        <v>8</v>
      </c>
      <c r="D662" s="8">
        <v>0.56100000000000005</v>
      </c>
    </row>
    <row r="663" spans="1:4">
      <c r="A663" t="str">
        <f t="shared" si="10"/>
        <v>87Expectancy</v>
      </c>
      <c r="B663">
        <v>87</v>
      </c>
      <c r="C663" s="9" t="s">
        <v>31</v>
      </c>
      <c r="D663" s="8">
        <v>0.214</v>
      </c>
    </row>
    <row r="664" spans="1:4">
      <c r="A664" t="str">
        <f t="shared" si="10"/>
        <v>87Net Profit</v>
      </c>
      <c r="B664">
        <v>87</v>
      </c>
      <c r="C664" s="9" t="s">
        <v>32</v>
      </c>
      <c r="D664" s="8">
        <v>1.5299999999999999E-2</v>
      </c>
    </row>
    <row r="665" spans="1:4">
      <c r="A665" t="str">
        <f t="shared" si="10"/>
        <v>87Loss Rate</v>
      </c>
      <c r="B665">
        <v>87</v>
      </c>
      <c r="C665" s="9" t="s">
        <v>33</v>
      </c>
      <c r="D665" s="8">
        <v>0.67</v>
      </c>
    </row>
    <row r="666" spans="1:4">
      <c r="A666" t="str">
        <f t="shared" si="10"/>
        <v>87Win Rate</v>
      </c>
      <c r="B666">
        <v>87</v>
      </c>
      <c r="C666" s="9" t="s">
        <v>34</v>
      </c>
      <c r="D666" s="8">
        <v>0.33</v>
      </c>
    </row>
    <row r="667" spans="1:4">
      <c r="A667" t="str">
        <f t="shared" si="10"/>
        <v>87Profit-Loss Ratio</v>
      </c>
      <c r="B667">
        <v>87</v>
      </c>
      <c r="C667" s="9" t="s">
        <v>26</v>
      </c>
      <c r="D667" s="8">
        <v>2.64</v>
      </c>
    </row>
    <row r="668" spans="1:4">
      <c r="A668" t="str">
        <f t="shared" si="10"/>
        <v>87Alpha</v>
      </c>
      <c r="B668">
        <v>87</v>
      </c>
      <c r="C668" s="9" t="s">
        <v>23</v>
      </c>
      <c r="D668" s="8">
        <v>0.19800000000000001</v>
      </c>
    </row>
    <row r="669" spans="1:4">
      <c r="A669" t="str">
        <f t="shared" si="10"/>
        <v>87Beta</v>
      </c>
      <c r="B669">
        <v>87</v>
      </c>
      <c r="C669" s="9" t="s">
        <v>24</v>
      </c>
      <c r="D669" s="8">
        <v>5.8239999999999998</v>
      </c>
    </row>
    <row r="670" spans="1:4">
      <c r="A670" t="str">
        <f t="shared" si="10"/>
        <v>87Annual Standard Deviation</v>
      </c>
      <c r="B670">
        <v>87</v>
      </c>
      <c r="C670" s="9" t="s">
        <v>35</v>
      </c>
      <c r="D670" s="8">
        <v>0.92600000000000005</v>
      </c>
    </row>
    <row r="671" spans="1:4">
      <c r="A671" t="str">
        <f t="shared" si="10"/>
        <v>87Annual Variance</v>
      </c>
      <c r="B671">
        <v>87</v>
      </c>
      <c r="C671" s="9" t="s">
        <v>36</v>
      </c>
      <c r="D671" s="8">
        <v>0.85799999999999998</v>
      </c>
    </row>
    <row r="672" spans="1:4">
      <c r="A672" t="str">
        <f t="shared" si="10"/>
        <v>87Information Ratio</v>
      </c>
      <c r="B672">
        <v>87</v>
      </c>
      <c r="C672" s="9" t="s">
        <v>37</v>
      </c>
      <c r="D672" s="8">
        <v>0.56100000000000005</v>
      </c>
    </row>
    <row r="673" spans="1:4">
      <c r="A673" t="str">
        <f t="shared" si="10"/>
        <v>87Tracking Error</v>
      </c>
      <c r="B673">
        <v>87</v>
      </c>
      <c r="C673" s="9" t="s">
        <v>38</v>
      </c>
      <c r="D673" s="8">
        <v>0.9</v>
      </c>
    </row>
    <row r="674" spans="1:4">
      <c r="A674" t="str">
        <f t="shared" si="10"/>
        <v>87Treynor Ratio</v>
      </c>
      <c r="B674">
        <v>87</v>
      </c>
      <c r="C674" s="9" t="s">
        <v>39</v>
      </c>
      <c r="D674" s="8">
        <v>9.8000000000000004E-2</v>
      </c>
    </row>
    <row r="675" spans="1:4">
      <c r="A675" t="str">
        <f t="shared" si="10"/>
        <v>87Total Fees</v>
      </c>
      <c r="B675">
        <v>87</v>
      </c>
      <c r="C675" s="9" t="s">
        <v>40</v>
      </c>
      <c r="D675" s="8">
        <v>0</v>
      </c>
    </row>
    <row r="676" spans="1:4">
      <c r="A676" t="str">
        <f t="shared" si="10"/>
        <v>87Estimated Strategy Capacity</v>
      </c>
      <c r="B676">
        <v>87</v>
      </c>
      <c r="C676" s="9" t="s">
        <v>41</v>
      </c>
      <c r="D676" s="8">
        <v>4500000</v>
      </c>
    </row>
    <row r="677" spans="1:4">
      <c r="A677" t="str">
        <f t="shared" si="10"/>
        <v>88PSR</v>
      </c>
      <c r="B677">
        <v>88</v>
      </c>
      <c r="C677" s="9" t="s">
        <v>27</v>
      </c>
      <c r="D677" s="8">
        <v>0.12909000000000001</v>
      </c>
    </row>
    <row r="678" spans="1:4">
      <c r="A678" t="str">
        <f t="shared" si="10"/>
        <v>88Sharpe Ratio</v>
      </c>
      <c r="B678">
        <v>88</v>
      </c>
      <c r="C678" s="9" t="s">
        <v>1</v>
      </c>
      <c r="D678" s="8">
        <v>-0.17699999999999999</v>
      </c>
    </row>
    <row r="679" spans="1:4">
      <c r="A679" t="str">
        <f t="shared" si="10"/>
        <v>88Total Trades</v>
      </c>
      <c r="B679">
        <v>88</v>
      </c>
      <c r="C679" s="9" t="s">
        <v>28</v>
      </c>
      <c r="D679" s="8">
        <v>372</v>
      </c>
    </row>
    <row r="680" spans="1:4">
      <c r="A680" t="str">
        <f t="shared" si="10"/>
        <v>88Average Win</v>
      </c>
      <c r="B680">
        <v>88</v>
      </c>
      <c r="C680" s="9" t="s">
        <v>25</v>
      </c>
      <c r="D680" s="8">
        <v>2.5999999999999999E-3</v>
      </c>
    </row>
    <row r="681" spans="1:4">
      <c r="A681" t="str">
        <f t="shared" si="10"/>
        <v>88Average Loss</v>
      </c>
      <c r="B681">
        <v>88</v>
      </c>
      <c r="C681" s="9" t="s">
        <v>29</v>
      </c>
      <c r="D681" s="8">
        <v>-2.2000000000000001E-3</v>
      </c>
    </row>
    <row r="682" spans="1:4">
      <c r="A682" t="str">
        <f t="shared" si="10"/>
        <v>88Compounding Annual Return</v>
      </c>
      <c r="B682">
        <v>88</v>
      </c>
      <c r="C682" s="9" t="s">
        <v>30</v>
      </c>
      <c r="D682" s="8">
        <v>-3.5500000000000002E-3</v>
      </c>
    </row>
    <row r="683" spans="1:4">
      <c r="A683" t="str">
        <f t="shared" si="10"/>
        <v>88Drawdown</v>
      </c>
      <c r="B683">
        <v>88</v>
      </c>
      <c r="C683" s="9" t="s">
        <v>8</v>
      </c>
      <c r="D683" s="8">
        <v>1.6E-2</v>
      </c>
    </row>
    <row r="684" spans="1:4">
      <c r="A684" t="str">
        <f t="shared" si="10"/>
        <v>88Expectancy</v>
      </c>
      <c r="B684">
        <v>88</v>
      </c>
      <c r="C684" s="9" t="s">
        <v>31</v>
      </c>
      <c r="D684" s="8">
        <v>-8.3000000000000004E-2</v>
      </c>
    </row>
    <row r="685" spans="1:4">
      <c r="A685" t="str">
        <f t="shared" si="10"/>
        <v>88Net Profit</v>
      </c>
      <c r="B685">
        <v>88</v>
      </c>
      <c r="C685" s="9" t="s">
        <v>32</v>
      </c>
      <c r="D685" s="8">
        <v>-2.3E-3</v>
      </c>
    </row>
    <row r="686" spans="1:4">
      <c r="A686" t="str">
        <f t="shared" si="10"/>
        <v>88Loss Rate</v>
      </c>
      <c r="B686">
        <v>88</v>
      </c>
      <c r="C686" s="9" t="s">
        <v>33</v>
      </c>
      <c r="D686" s="8">
        <v>0.57999999999999996</v>
      </c>
    </row>
    <row r="687" spans="1:4">
      <c r="A687" t="str">
        <f t="shared" si="10"/>
        <v>88Win Rate</v>
      </c>
      <c r="B687">
        <v>88</v>
      </c>
      <c r="C687" s="9" t="s">
        <v>34</v>
      </c>
      <c r="D687" s="8">
        <v>0.42</v>
      </c>
    </row>
    <row r="688" spans="1:4">
      <c r="A688" t="str">
        <f t="shared" si="10"/>
        <v>88Profit-Loss Ratio</v>
      </c>
      <c r="B688">
        <v>88</v>
      </c>
      <c r="C688" s="9" t="s">
        <v>26</v>
      </c>
      <c r="D688" s="8">
        <v>1.2</v>
      </c>
    </row>
    <row r="689" spans="1:4">
      <c r="A689" t="str">
        <f t="shared" si="10"/>
        <v>88Alpha</v>
      </c>
      <c r="B689">
        <v>88</v>
      </c>
      <c r="C689" s="9" t="s">
        <v>23</v>
      </c>
      <c r="D689" s="8">
        <v>-7.0000000000000001E-3</v>
      </c>
    </row>
    <row r="690" spans="1:4">
      <c r="A690" t="str">
        <f t="shared" si="10"/>
        <v>88Beta</v>
      </c>
      <c r="B690">
        <v>88</v>
      </c>
      <c r="C690" s="9" t="s">
        <v>24</v>
      </c>
      <c r="D690" s="8">
        <v>6.9000000000000006E-2</v>
      </c>
    </row>
    <row r="691" spans="1:4">
      <c r="A691" t="str">
        <f t="shared" si="10"/>
        <v>88Annual Standard Deviation</v>
      </c>
      <c r="B691">
        <v>88</v>
      </c>
      <c r="C691" s="9" t="s">
        <v>35</v>
      </c>
      <c r="D691" s="8">
        <v>1.2999999999999999E-2</v>
      </c>
    </row>
    <row r="692" spans="1:4">
      <c r="A692" t="str">
        <f t="shared" si="10"/>
        <v>88Annual Variance</v>
      </c>
      <c r="B692">
        <v>88</v>
      </c>
      <c r="C692" s="9" t="s">
        <v>36</v>
      </c>
      <c r="D692" s="8">
        <v>0</v>
      </c>
    </row>
    <row r="693" spans="1:4">
      <c r="A693" t="str">
        <f t="shared" si="10"/>
        <v>88Information Ratio</v>
      </c>
      <c r="B693">
        <v>88</v>
      </c>
      <c r="C693" s="9" t="s">
        <v>37</v>
      </c>
      <c r="D693" s="8">
        <v>-1.0429999999999999</v>
      </c>
    </row>
    <row r="694" spans="1:4">
      <c r="A694" t="str">
        <f t="shared" si="10"/>
        <v>88Tracking Error</v>
      </c>
      <c r="B694">
        <v>88</v>
      </c>
      <c r="C694" s="9" t="s">
        <v>38</v>
      </c>
      <c r="D694" s="8">
        <v>6.3E-2</v>
      </c>
    </row>
    <row r="695" spans="1:4">
      <c r="A695" t="str">
        <f t="shared" si="10"/>
        <v>88Treynor Ratio</v>
      </c>
      <c r="B695">
        <v>88</v>
      </c>
      <c r="C695" s="9" t="s">
        <v>39</v>
      </c>
      <c r="D695" s="8">
        <v>-3.4000000000000002E-2</v>
      </c>
    </row>
    <row r="696" spans="1:4">
      <c r="A696" t="str">
        <f t="shared" si="10"/>
        <v>88Total Fees</v>
      </c>
      <c r="B696">
        <v>88</v>
      </c>
      <c r="C696" s="9" t="s">
        <v>40</v>
      </c>
      <c r="D696" s="8">
        <v>0</v>
      </c>
    </row>
    <row r="697" spans="1:4">
      <c r="A697" t="str">
        <f t="shared" si="10"/>
        <v>88Estimated Strategy Capacity</v>
      </c>
      <c r="B697">
        <v>88</v>
      </c>
      <c r="C697" s="9" t="s">
        <v>41</v>
      </c>
      <c r="D697" s="8">
        <v>500000000</v>
      </c>
    </row>
    <row r="698" spans="1:4">
      <c r="A698" t="str">
        <f t="shared" si="10"/>
        <v>89PSR</v>
      </c>
      <c r="B698">
        <v>89</v>
      </c>
      <c r="C698" s="9" t="s">
        <v>27</v>
      </c>
      <c r="D698" s="8">
        <v>0.14418</v>
      </c>
    </row>
    <row r="699" spans="1:4">
      <c r="A699" t="str">
        <f t="shared" si="10"/>
        <v>89Sharpe Ratio</v>
      </c>
      <c r="B699">
        <v>89</v>
      </c>
      <c r="C699" s="9" t="s">
        <v>1</v>
      </c>
      <c r="D699" s="8">
        <v>-0.104</v>
      </c>
    </row>
    <row r="700" spans="1:4">
      <c r="A700" t="str">
        <f t="shared" si="10"/>
        <v>89Total Trades</v>
      </c>
      <c r="B700">
        <v>89</v>
      </c>
      <c r="C700" s="9" t="s">
        <v>28</v>
      </c>
      <c r="D700" s="8">
        <v>372</v>
      </c>
    </row>
    <row r="701" spans="1:4">
      <c r="A701" t="str">
        <f t="shared" si="10"/>
        <v>89Average Win</v>
      </c>
      <c r="B701">
        <v>89</v>
      </c>
      <c r="C701" s="9" t="s">
        <v>25</v>
      </c>
      <c r="D701" s="8">
        <v>2.8299999999999999E-2</v>
      </c>
    </row>
    <row r="702" spans="1:4">
      <c r="A702" t="str">
        <f t="shared" si="10"/>
        <v>89Average Loss</v>
      </c>
      <c r="B702">
        <v>89</v>
      </c>
      <c r="C702" s="9" t="s">
        <v>29</v>
      </c>
      <c r="D702" s="8">
        <v>-2.2499999999999999E-2</v>
      </c>
    </row>
    <row r="703" spans="1:4">
      <c r="A703" t="str">
        <f t="shared" si="10"/>
        <v>89Compounding Annual Return</v>
      </c>
      <c r="B703">
        <v>89</v>
      </c>
      <c r="C703" s="9" t="s">
        <v>30</v>
      </c>
      <c r="D703" s="8">
        <v>-3.533E-2</v>
      </c>
    </row>
    <row r="704" spans="1:4">
      <c r="A704" t="str">
        <f t="shared" si="10"/>
        <v>89Drawdown</v>
      </c>
      <c r="B704">
        <v>89</v>
      </c>
      <c r="C704" s="9" t="s">
        <v>8</v>
      </c>
      <c r="D704" s="8">
        <v>0.158</v>
      </c>
    </row>
    <row r="705" spans="1:4">
      <c r="A705" t="str">
        <f t="shared" si="10"/>
        <v>89Expectancy</v>
      </c>
      <c r="B705">
        <v>89</v>
      </c>
      <c r="C705" s="9" t="s">
        <v>31</v>
      </c>
      <c r="D705" s="8">
        <v>-0.06</v>
      </c>
    </row>
    <row r="706" spans="1:4">
      <c r="A706" t="str">
        <f t="shared" si="10"/>
        <v>89Net Profit</v>
      </c>
      <c r="B706">
        <v>89</v>
      </c>
      <c r="C706" s="9" t="s">
        <v>32</v>
      </c>
      <c r="D706" s="8">
        <v>-2.299E-2</v>
      </c>
    </row>
    <row r="707" spans="1:4">
      <c r="A707" t="str">
        <f t="shared" ref="A707:A770" si="11">B707&amp;C707</f>
        <v>89Loss Rate</v>
      </c>
      <c r="B707">
        <v>89</v>
      </c>
      <c r="C707" s="9" t="s">
        <v>33</v>
      </c>
      <c r="D707" s="8">
        <v>0.57999999999999996</v>
      </c>
    </row>
    <row r="708" spans="1:4">
      <c r="A708" t="str">
        <f t="shared" si="11"/>
        <v>89Win Rate</v>
      </c>
      <c r="B708">
        <v>89</v>
      </c>
      <c r="C708" s="9" t="s">
        <v>34</v>
      </c>
      <c r="D708" s="8">
        <v>0.42</v>
      </c>
    </row>
    <row r="709" spans="1:4">
      <c r="A709" t="str">
        <f t="shared" si="11"/>
        <v>89Profit-Loss Ratio</v>
      </c>
      <c r="B709">
        <v>89</v>
      </c>
      <c r="C709" s="9" t="s">
        <v>26</v>
      </c>
      <c r="D709" s="8">
        <v>1.26</v>
      </c>
    </row>
    <row r="710" spans="1:4">
      <c r="A710" t="str">
        <f t="shared" si="11"/>
        <v>89Alpha</v>
      </c>
      <c r="B710">
        <v>89</v>
      </c>
      <c r="C710" s="9" t="s">
        <v>23</v>
      </c>
      <c r="D710" s="8">
        <v>-0.06</v>
      </c>
    </row>
    <row r="711" spans="1:4">
      <c r="A711" t="str">
        <f t="shared" si="11"/>
        <v>89Beta</v>
      </c>
      <c r="B711">
        <v>89</v>
      </c>
      <c r="C711" s="9" t="s">
        <v>24</v>
      </c>
      <c r="D711" s="8">
        <v>0.71499999999999997</v>
      </c>
    </row>
    <row r="712" spans="1:4">
      <c r="A712" t="str">
        <f t="shared" si="11"/>
        <v>89Annual Standard Deviation</v>
      </c>
      <c r="B712">
        <v>89</v>
      </c>
      <c r="C712" s="9" t="s">
        <v>35</v>
      </c>
      <c r="D712" s="8">
        <v>0.14199999999999999</v>
      </c>
    </row>
    <row r="713" spans="1:4">
      <c r="A713" t="str">
        <f t="shared" si="11"/>
        <v>89Annual Variance</v>
      </c>
      <c r="B713">
        <v>89</v>
      </c>
      <c r="C713" s="9" t="s">
        <v>36</v>
      </c>
      <c r="D713" s="8">
        <v>0.02</v>
      </c>
    </row>
    <row r="714" spans="1:4">
      <c r="A714" t="str">
        <f t="shared" si="11"/>
        <v>89Information Ratio</v>
      </c>
      <c r="B714">
        <v>89</v>
      </c>
      <c r="C714" s="9" t="s">
        <v>37</v>
      </c>
      <c r="D714" s="8">
        <v>-0.58099999999999996</v>
      </c>
    </row>
    <row r="715" spans="1:4">
      <c r="A715" t="str">
        <f t="shared" si="11"/>
        <v>89Tracking Error</v>
      </c>
      <c r="B715">
        <v>89</v>
      </c>
      <c r="C715" s="9" t="s">
        <v>38</v>
      </c>
      <c r="D715" s="8">
        <v>0.13500000000000001</v>
      </c>
    </row>
    <row r="716" spans="1:4">
      <c r="A716" t="str">
        <f t="shared" si="11"/>
        <v>89Treynor Ratio</v>
      </c>
      <c r="B716">
        <v>89</v>
      </c>
      <c r="C716" s="9" t="s">
        <v>39</v>
      </c>
      <c r="D716" s="8">
        <v>-2.1000000000000001E-2</v>
      </c>
    </row>
    <row r="717" spans="1:4">
      <c r="A717" t="str">
        <f t="shared" si="11"/>
        <v>89Total Fees</v>
      </c>
      <c r="B717">
        <v>89</v>
      </c>
      <c r="C717" s="9" t="s">
        <v>40</v>
      </c>
      <c r="D717" s="8">
        <v>0</v>
      </c>
    </row>
    <row r="718" spans="1:4">
      <c r="A718" t="str">
        <f t="shared" si="11"/>
        <v>89Estimated Strategy Capacity</v>
      </c>
      <c r="B718">
        <v>89</v>
      </c>
      <c r="C718" s="9" t="s">
        <v>41</v>
      </c>
      <c r="D718" s="8">
        <v>51000000</v>
      </c>
    </row>
    <row r="719" spans="1:4">
      <c r="A719" t="str">
        <f t="shared" si="11"/>
        <v>90PSR</v>
      </c>
      <c r="B719">
        <v>90</v>
      </c>
      <c r="C719" s="9" t="s">
        <v>27</v>
      </c>
      <c r="D719" s="8">
        <v>0.18754000000000001</v>
      </c>
    </row>
    <row r="720" spans="1:4">
      <c r="A720" t="str">
        <f t="shared" si="11"/>
        <v>90Sharpe Ratio</v>
      </c>
      <c r="B720">
        <v>90</v>
      </c>
      <c r="C720" s="9" t="s">
        <v>1</v>
      </c>
      <c r="D720" s="8">
        <v>8.5000000000000006E-2</v>
      </c>
    </row>
    <row r="721" spans="1:4">
      <c r="A721" t="str">
        <f t="shared" si="11"/>
        <v>90Total Trades</v>
      </c>
      <c r="B721">
        <v>90</v>
      </c>
      <c r="C721" s="9" t="s">
        <v>28</v>
      </c>
      <c r="D721" s="8">
        <v>358</v>
      </c>
    </row>
    <row r="722" spans="1:4">
      <c r="A722" t="str">
        <f t="shared" si="11"/>
        <v>90Average Win</v>
      </c>
      <c r="B722">
        <v>90</v>
      </c>
      <c r="C722" s="9" t="s">
        <v>25</v>
      </c>
      <c r="D722" s="8">
        <v>0.18959999999999999</v>
      </c>
    </row>
    <row r="723" spans="1:4">
      <c r="A723" t="str">
        <f t="shared" si="11"/>
        <v>90Average Loss</v>
      </c>
      <c r="B723">
        <v>90</v>
      </c>
      <c r="C723" s="9" t="s">
        <v>29</v>
      </c>
      <c r="D723" s="8">
        <v>-0.12989999999999999</v>
      </c>
    </row>
    <row r="724" spans="1:4">
      <c r="A724" t="str">
        <f t="shared" si="11"/>
        <v>90Compounding Annual Return</v>
      </c>
      <c r="B724">
        <v>90</v>
      </c>
      <c r="C724" s="9" t="s">
        <v>30</v>
      </c>
      <c r="D724" s="8">
        <v>-0.26555000000000001</v>
      </c>
    </row>
    <row r="725" spans="1:4">
      <c r="A725" t="str">
        <f t="shared" si="11"/>
        <v>90Drawdown</v>
      </c>
      <c r="B725">
        <v>90</v>
      </c>
      <c r="C725" s="9" t="s">
        <v>8</v>
      </c>
      <c r="D725" s="8">
        <v>0.63500000000000001</v>
      </c>
    </row>
    <row r="726" spans="1:4">
      <c r="A726" t="str">
        <f t="shared" si="11"/>
        <v>90Expectancy</v>
      </c>
      <c r="B726">
        <v>90</v>
      </c>
      <c r="C726" s="9" t="s">
        <v>31</v>
      </c>
      <c r="D726" s="8">
        <v>2.5000000000000001E-2</v>
      </c>
    </row>
    <row r="727" spans="1:4">
      <c r="A727" t="str">
        <f t="shared" si="11"/>
        <v>90Net Profit</v>
      </c>
      <c r="B727">
        <v>90</v>
      </c>
      <c r="C727" s="9" t="s">
        <v>32</v>
      </c>
      <c r="D727" s="8">
        <v>-0.18087</v>
      </c>
    </row>
    <row r="728" spans="1:4">
      <c r="A728" t="str">
        <f t="shared" si="11"/>
        <v>90Loss Rate</v>
      </c>
      <c r="B728">
        <v>90</v>
      </c>
      <c r="C728" s="9" t="s">
        <v>33</v>
      </c>
      <c r="D728" s="8">
        <v>0.57999999999999996</v>
      </c>
    </row>
    <row r="729" spans="1:4">
      <c r="A729" t="str">
        <f t="shared" si="11"/>
        <v>90Win Rate</v>
      </c>
      <c r="B729">
        <v>90</v>
      </c>
      <c r="C729" s="9" t="s">
        <v>34</v>
      </c>
      <c r="D729" s="8">
        <v>0.42</v>
      </c>
    </row>
    <row r="730" spans="1:4">
      <c r="A730" t="str">
        <f t="shared" si="11"/>
        <v>90Profit-Loss Ratio</v>
      </c>
      <c r="B730">
        <v>90</v>
      </c>
      <c r="C730" s="9" t="s">
        <v>26</v>
      </c>
      <c r="D730" s="8">
        <v>1.46</v>
      </c>
    </row>
    <row r="731" spans="1:4">
      <c r="A731" t="str">
        <f t="shared" si="11"/>
        <v>90Alpha</v>
      </c>
      <c r="B731">
        <v>90</v>
      </c>
      <c r="C731" s="9" t="s">
        <v>23</v>
      </c>
      <c r="D731" s="8">
        <v>-0.18</v>
      </c>
    </row>
    <row r="732" spans="1:4">
      <c r="A732" t="str">
        <f t="shared" si="11"/>
        <v>90Beta</v>
      </c>
      <c r="B732">
        <v>90</v>
      </c>
      <c r="C732" s="9" t="s">
        <v>24</v>
      </c>
      <c r="D732" s="8">
        <v>3.8279999999999998</v>
      </c>
    </row>
    <row r="733" spans="1:4">
      <c r="A733" t="str">
        <f t="shared" si="11"/>
        <v>90Annual Standard Deviation</v>
      </c>
      <c r="B733">
        <v>90</v>
      </c>
      <c r="C733" s="9" t="s">
        <v>35</v>
      </c>
      <c r="D733" s="8">
        <v>0.751</v>
      </c>
    </row>
    <row r="734" spans="1:4">
      <c r="A734" t="str">
        <f t="shared" si="11"/>
        <v>90Annual Variance</v>
      </c>
      <c r="B734">
        <v>90</v>
      </c>
      <c r="C734" s="9" t="s">
        <v>36</v>
      </c>
      <c r="D734" s="8">
        <v>0.56399999999999995</v>
      </c>
    </row>
    <row r="735" spans="1:4">
      <c r="A735" t="str">
        <f t="shared" si="11"/>
        <v>90Information Ratio</v>
      </c>
      <c r="B735">
        <v>90</v>
      </c>
      <c r="C735" s="9" t="s">
        <v>37</v>
      </c>
      <c r="D735" s="8">
        <v>0</v>
      </c>
    </row>
    <row r="736" spans="1:4">
      <c r="A736" t="str">
        <f t="shared" si="11"/>
        <v>90Tracking Error</v>
      </c>
      <c r="B736">
        <v>90</v>
      </c>
      <c r="C736" s="9" t="s">
        <v>38</v>
      </c>
      <c r="D736" s="8">
        <v>0.73099999999999998</v>
      </c>
    </row>
    <row r="737" spans="1:4">
      <c r="A737" t="str">
        <f t="shared" si="11"/>
        <v>90Treynor Ratio</v>
      </c>
      <c r="B737">
        <v>90</v>
      </c>
      <c r="C737" s="9" t="s">
        <v>39</v>
      </c>
      <c r="D737" s="8">
        <v>1.7000000000000001E-2</v>
      </c>
    </row>
    <row r="738" spans="1:4">
      <c r="A738" t="str">
        <f t="shared" si="11"/>
        <v>90Total Fees</v>
      </c>
      <c r="B738">
        <v>90</v>
      </c>
      <c r="C738" s="9" t="s">
        <v>40</v>
      </c>
      <c r="D738" s="8">
        <v>0</v>
      </c>
    </row>
    <row r="739" spans="1:4">
      <c r="A739" t="str">
        <f t="shared" si="11"/>
        <v>90Estimated Strategy Capacity</v>
      </c>
      <c r="B739">
        <v>90</v>
      </c>
      <c r="C739" s="9" t="s">
        <v>41</v>
      </c>
      <c r="D739" s="8">
        <v>10000000</v>
      </c>
    </row>
    <row r="740" spans="1:4">
      <c r="A740" t="str">
        <f t="shared" si="11"/>
        <v>109PSR</v>
      </c>
      <c r="B740">
        <v>109</v>
      </c>
      <c r="C740" s="9" t="s">
        <v>27</v>
      </c>
      <c r="D740" s="8">
        <v>1.1E-4</v>
      </c>
    </row>
    <row r="741" spans="1:4">
      <c r="A741" t="str">
        <f t="shared" si="11"/>
        <v>109Sharpe Ratio</v>
      </c>
      <c r="B741">
        <v>109</v>
      </c>
      <c r="C741" s="9" t="s">
        <v>1</v>
      </c>
      <c r="D741" s="8">
        <v>-2.3759999999999999</v>
      </c>
    </row>
    <row r="742" spans="1:4">
      <c r="A742" t="str">
        <f t="shared" si="11"/>
        <v>109Total Trades</v>
      </c>
      <c r="B742">
        <v>109</v>
      </c>
      <c r="C742" s="9" t="s">
        <v>28</v>
      </c>
      <c r="D742" s="8">
        <v>607</v>
      </c>
    </row>
    <row r="743" spans="1:4">
      <c r="A743" t="str">
        <f t="shared" si="11"/>
        <v>109Average Win</v>
      </c>
      <c r="B743">
        <v>109</v>
      </c>
      <c r="C743" s="9" t="s">
        <v>25</v>
      </c>
      <c r="D743" s="8">
        <v>2.0000000000000001E-4</v>
      </c>
    </row>
    <row r="744" spans="1:4">
      <c r="A744" t="str">
        <f t="shared" si="11"/>
        <v>109Average Loss</v>
      </c>
      <c r="B744">
        <v>109</v>
      </c>
      <c r="C744" s="9" t="s">
        <v>29</v>
      </c>
      <c r="D744" s="8">
        <v>-1.1000000000000001E-3</v>
      </c>
    </row>
    <row r="745" spans="1:4">
      <c r="A745" t="str">
        <f t="shared" si="11"/>
        <v>109Compounding Annual Return</v>
      </c>
      <c r="B745">
        <v>109</v>
      </c>
      <c r="C745" s="9" t="s">
        <v>30</v>
      </c>
      <c r="D745" s="8">
        <v>-2.0080000000000001E-2</v>
      </c>
    </row>
    <row r="746" spans="1:4">
      <c r="A746" t="str">
        <f t="shared" si="11"/>
        <v>109Drawdown</v>
      </c>
      <c r="B746">
        <v>109</v>
      </c>
      <c r="C746" s="9" t="s">
        <v>8</v>
      </c>
      <c r="D746" s="8">
        <v>1.4999999999999999E-2</v>
      </c>
    </row>
    <row r="747" spans="1:4">
      <c r="A747" t="str">
        <f t="shared" si="11"/>
        <v>109Expectancy</v>
      </c>
      <c r="B747">
        <v>109</v>
      </c>
      <c r="C747" s="9" t="s">
        <v>31</v>
      </c>
      <c r="D747" s="8">
        <v>-0.59599999999999997</v>
      </c>
    </row>
    <row r="748" spans="1:4">
      <c r="A748" t="str">
        <f t="shared" si="11"/>
        <v>109Net Profit</v>
      </c>
      <c r="B748">
        <v>109</v>
      </c>
      <c r="C748" s="9" t="s">
        <v>32</v>
      </c>
      <c r="D748" s="8">
        <v>-1.303E-2</v>
      </c>
    </row>
    <row r="749" spans="1:4">
      <c r="A749" t="str">
        <f t="shared" si="11"/>
        <v>109Loss Rate</v>
      </c>
      <c r="B749">
        <v>109</v>
      </c>
      <c r="C749" s="9" t="s">
        <v>33</v>
      </c>
      <c r="D749" s="8">
        <v>0.65</v>
      </c>
    </row>
    <row r="750" spans="1:4">
      <c r="A750" t="str">
        <f t="shared" si="11"/>
        <v>109Win Rate</v>
      </c>
      <c r="B750">
        <v>109</v>
      </c>
      <c r="C750" s="9" t="s">
        <v>34</v>
      </c>
      <c r="D750" s="8">
        <v>0.35</v>
      </c>
    </row>
    <row r="751" spans="1:4">
      <c r="A751" t="str">
        <f t="shared" si="11"/>
        <v>109Profit-Loss Ratio</v>
      </c>
      <c r="B751">
        <v>109</v>
      </c>
      <c r="C751" s="9" t="s">
        <v>26</v>
      </c>
      <c r="D751" s="8">
        <v>0.15</v>
      </c>
    </row>
    <row r="752" spans="1:4">
      <c r="A752" t="str">
        <f t="shared" si="11"/>
        <v>109Alpha</v>
      </c>
      <c r="B752">
        <v>109</v>
      </c>
      <c r="C752" s="9" t="s">
        <v>23</v>
      </c>
      <c r="D752" s="8">
        <v>-1.2E-2</v>
      </c>
    </row>
    <row r="753" spans="1:4">
      <c r="A753" t="str">
        <f t="shared" si="11"/>
        <v>109Beta</v>
      </c>
      <c r="B753">
        <v>109</v>
      </c>
      <c r="C753" s="9" t="s">
        <v>24</v>
      </c>
      <c r="D753" s="8">
        <v>-0.03</v>
      </c>
    </row>
    <row r="754" spans="1:4">
      <c r="A754" t="str">
        <f t="shared" si="11"/>
        <v>109Annual Standard Deviation</v>
      </c>
      <c r="B754">
        <v>109</v>
      </c>
      <c r="C754" s="9" t="s">
        <v>35</v>
      </c>
      <c r="D754" s="8">
        <v>6.0000000000000001E-3</v>
      </c>
    </row>
    <row r="755" spans="1:4">
      <c r="A755" t="str">
        <f t="shared" si="11"/>
        <v>109Annual Variance</v>
      </c>
      <c r="B755">
        <v>109</v>
      </c>
      <c r="C755" s="9" t="s">
        <v>36</v>
      </c>
      <c r="D755" s="8">
        <v>0</v>
      </c>
    </row>
    <row r="756" spans="1:4">
      <c r="A756" t="str">
        <f t="shared" si="11"/>
        <v>109Information Ratio</v>
      </c>
      <c r="B756">
        <v>109</v>
      </c>
      <c r="C756" s="9" t="s">
        <v>37</v>
      </c>
      <c r="D756" s="8">
        <v>-1.1259999999999999</v>
      </c>
    </row>
    <row r="757" spans="1:4">
      <c r="A757" t="str">
        <f t="shared" si="11"/>
        <v>109Tracking Error</v>
      </c>
      <c r="B757">
        <v>109</v>
      </c>
      <c r="C757" s="9" t="s">
        <v>38</v>
      </c>
      <c r="D757" s="8">
        <v>6.9000000000000006E-2</v>
      </c>
    </row>
    <row r="758" spans="1:4">
      <c r="A758" t="str">
        <f t="shared" si="11"/>
        <v>109Treynor Ratio</v>
      </c>
      <c r="B758">
        <v>109</v>
      </c>
      <c r="C758" s="9" t="s">
        <v>39</v>
      </c>
      <c r="D758" s="8">
        <v>0.46899999999999997</v>
      </c>
    </row>
    <row r="759" spans="1:4">
      <c r="A759" t="str">
        <f t="shared" si="11"/>
        <v>109Total Fees</v>
      </c>
      <c r="B759">
        <v>109</v>
      </c>
      <c r="C759" s="9" t="s">
        <v>40</v>
      </c>
      <c r="D759" s="8">
        <v>0</v>
      </c>
    </row>
    <row r="760" spans="1:4">
      <c r="A760" t="str">
        <f t="shared" si="11"/>
        <v>109Estimated Strategy Capacity</v>
      </c>
      <c r="B760">
        <v>109</v>
      </c>
      <c r="C760" s="9" t="s">
        <v>41</v>
      </c>
      <c r="D760" s="8">
        <v>3000000000</v>
      </c>
    </row>
    <row r="761" spans="1:4">
      <c r="A761" t="str">
        <f t="shared" si="11"/>
        <v>110PSR</v>
      </c>
      <c r="B761">
        <v>110</v>
      </c>
      <c r="C761" s="9" t="s">
        <v>27</v>
      </c>
      <c r="D761" s="8">
        <v>1.4999999999999999E-4</v>
      </c>
    </row>
    <row r="762" spans="1:4">
      <c r="A762" t="str">
        <f t="shared" si="11"/>
        <v>110Sharpe Ratio</v>
      </c>
      <c r="B762">
        <v>110</v>
      </c>
      <c r="C762" s="9" t="s">
        <v>1</v>
      </c>
      <c r="D762" s="8">
        <v>-2.19</v>
      </c>
    </row>
    <row r="763" spans="1:4">
      <c r="A763" t="str">
        <f t="shared" si="11"/>
        <v>110Total Trades</v>
      </c>
      <c r="B763">
        <v>110</v>
      </c>
      <c r="C763" s="9" t="s">
        <v>28</v>
      </c>
      <c r="D763" s="8">
        <v>607</v>
      </c>
    </row>
    <row r="764" spans="1:4">
      <c r="A764" t="str">
        <f t="shared" si="11"/>
        <v>110Average Win</v>
      </c>
      <c r="B764">
        <v>110</v>
      </c>
      <c r="C764" s="9" t="s">
        <v>25</v>
      </c>
      <c r="D764" s="8">
        <v>1.6999999999999999E-3</v>
      </c>
    </row>
    <row r="765" spans="1:4">
      <c r="A765" t="str">
        <f t="shared" si="11"/>
        <v>110Average Loss</v>
      </c>
      <c r="B765">
        <v>110</v>
      </c>
      <c r="C765" s="9" t="s">
        <v>29</v>
      </c>
      <c r="D765" s="8">
        <v>-1.12E-2</v>
      </c>
    </row>
    <row r="766" spans="1:4">
      <c r="A766" t="str">
        <f t="shared" si="11"/>
        <v>110Compounding Annual Return</v>
      </c>
      <c r="B766">
        <v>110</v>
      </c>
      <c r="C766" s="9" t="s">
        <v>30</v>
      </c>
      <c r="D766" s="8">
        <v>-0.19416</v>
      </c>
    </row>
    <row r="767" spans="1:4">
      <c r="A767" t="str">
        <f t="shared" si="11"/>
        <v>110Drawdown</v>
      </c>
      <c r="B767">
        <v>110</v>
      </c>
      <c r="C767" s="9" t="s">
        <v>8</v>
      </c>
      <c r="D767" s="8">
        <v>0.14499999999999999</v>
      </c>
    </row>
    <row r="768" spans="1:4">
      <c r="A768" t="str">
        <f t="shared" si="11"/>
        <v>110Expectancy</v>
      </c>
      <c r="B768">
        <v>110</v>
      </c>
      <c r="C768" s="9" t="s">
        <v>31</v>
      </c>
      <c r="D768" s="8">
        <v>-0.59699999999999998</v>
      </c>
    </row>
    <row r="769" spans="1:4">
      <c r="A769" t="str">
        <f t="shared" si="11"/>
        <v>110Net Profit</v>
      </c>
      <c r="B769">
        <v>110</v>
      </c>
      <c r="C769" s="9" t="s">
        <v>32</v>
      </c>
      <c r="D769" s="8">
        <v>-0.13025</v>
      </c>
    </row>
    <row r="770" spans="1:4">
      <c r="A770" t="str">
        <f t="shared" si="11"/>
        <v>110Loss Rate</v>
      </c>
      <c r="B770">
        <v>110</v>
      </c>
      <c r="C770" s="9" t="s">
        <v>33</v>
      </c>
      <c r="D770" s="8">
        <v>0.65</v>
      </c>
    </row>
    <row r="771" spans="1:4">
      <c r="A771" t="str">
        <f t="shared" ref="A771:A834" si="12">B771&amp;C771</f>
        <v>110Win Rate</v>
      </c>
      <c r="B771">
        <v>110</v>
      </c>
      <c r="C771" s="9" t="s">
        <v>34</v>
      </c>
      <c r="D771" s="8">
        <v>0.35</v>
      </c>
    </row>
    <row r="772" spans="1:4">
      <c r="A772" t="str">
        <f t="shared" si="12"/>
        <v>110Profit-Loss Ratio</v>
      </c>
      <c r="B772">
        <v>110</v>
      </c>
      <c r="C772" s="9" t="s">
        <v>26</v>
      </c>
      <c r="D772" s="8">
        <v>0.15</v>
      </c>
    </row>
    <row r="773" spans="1:4">
      <c r="A773" t="str">
        <f t="shared" si="12"/>
        <v>110Alpha</v>
      </c>
      <c r="B773">
        <v>110</v>
      </c>
      <c r="C773" s="9" t="s">
        <v>23</v>
      </c>
      <c r="D773" s="8">
        <v>-0.11700000000000001</v>
      </c>
    </row>
    <row r="774" spans="1:4">
      <c r="A774" t="str">
        <f t="shared" si="12"/>
        <v>110Beta</v>
      </c>
      <c r="B774">
        <v>110</v>
      </c>
      <c r="C774" s="9" t="s">
        <v>24</v>
      </c>
      <c r="D774" s="8">
        <v>-0.318</v>
      </c>
    </row>
    <row r="775" spans="1:4">
      <c r="A775" t="str">
        <f t="shared" si="12"/>
        <v>110Annual Standard Deviation</v>
      </c>
      <c r="B775">
        <v>110</v>
      </c>
      <c r="C775" s="9" t="s">
        <v>35</v>
      </c>
      <c r="D775" s="8">
        <v>6.3E-2</v>
      </c>
    </row>
    <row r="776" spans="1:4">
      <c r="A776" t="str">
        <f t="shared" si="12"/>
        <v>110Annual Variance</v>
      </c>
      <c r="B776">
        <v>110</v>
      </c>
      <c r="C776" s="9" t="s">
        <v>36</v>
      </c>
      <c r="D776" s="8">
        <v>4.0000000000000001E-3</v>
      </c>
    </row>
    <row r="777" spans="1:4">
      <c r="A777" t="str">
        <f t="shared" si="12"/>
        <v>110Information Ratio</v>
      </c>
      <c r="B777">
        <v>110</v>
      </c>
      <c r="C777" s="9" t="s">
        <v>37</v>
      </c>
      <c r="D777" s="8">
        <v>-1.8979999999999999</v>
      </c>
    </row>
    <row r="778" spans="1:4">
      <c r="A778" t="str">
        <f t="shared" si="12"/>
        <v>110Tracking Error</v>
      </c>
      <c r="B778">
        <v>110</v>
      </c>
      <c r="C778" s="9" t="s">
        <v>38</v>
      </c>
      <c r="D778" s="8">
        <v>0.106</v>
      </c>
    </row>
    <row r="779" spans="1:4">
      <c r="A779" t="str">
        <f t="shared" si="12"/>
        <v>110Treynor Ratio</v>
      </c>
      <c r="B779">
        <v>110</v>
      </c>
      <c r="C779" s="9" t="s">
        <v>39</v>
      </c>
      <c r="D779" s="8">
        <v>0.432</v>
      </c>
    </row>
    <row r="780" spans="1:4">
      <c r="A780" t="str">
        <f t="shared" si="12"/>
        <v>110Total Fees</v>
      </c>
      <c r="B780">
        <v>110</v>
      </c>
      <c r="C780" s="9" t="s">
        <v>40</v>
      </c>
      <c r="D780" s="8">
        <v>0</v>
      </c>
    </row>
    <row r="781" spans="1:4">
      <c r="A781" t="str">
        <f t="shared" si="12"/>
        <v>110Estimated Strategy Capacity</v>
      </c>
      <c r="B781">
        <v>110</v>
      </c>
      <c r="C781" s="9" t="s">
        <v>41</v>
      </c>
      <c r="D781" s="8">
        <v>270000000</v>
      </c>
    </row>
    <row r="782" spans="1:4">
      <c r="A782" t="str">
        <f t="shared" si="12"/>
        <v>111PSR</v>
      </c>
      <c r="B782">
        <v>111</v>
      </c>
      <c r="C782" s="9" t="s">
        <v>27</v>
      </c>
      <c r="D782" s="8">
        <v>1.6900000000000001E-3</v>
      </c>
    </row>
    <row r="783" spans="1:4">
      <c r="A783" t="str">
        <f t="shared" si="12"/>
        <v>111Sharpe Ratio</v>
      </c>
      <c r="B783">
        <v>111</v>
      </c>
      <c r="C783" s="9" t="s">
        <v>1</v>
      </c>
      <c r="D783" s="8">
        <v>-1.252</v>
      </c>
    </row>
    <row r="784" spans="1:4">
      <c r="A784" t="str">
        <f t="shared" si="12"/>
        <v>111Total Trades</v>
      </c>
      <c r="B784">
        <v>111</v>
      </c>
      <c r="C784" s="9" t="s">
        <v>28</v>
      </c>
      <c r="D784" s="8">
        <v>600</v>
      </c>
    </row>
    <row r="785" spans="1:4">
      <c r="A785" t="str">
        <f t="shared" si="12"/>
        <v>111Average Win</v>
      </c>
      <c r="B785">
        <v>111</v>
      </c>
      <c r="C785" s="9" t="s">
        <v>25</v>
      </c>
      <c r="D785" s="8">
        <v>1.18E-2</v>
      </c>
    </row>
    <row r="786" spans="1:4">
      <c r="A786" t="str">
        <f t="shared" si="12"/>
        <v>111Average Loss</v>
      </c>
      <c r="B786">
        <v>111</v>
      </c>
      <c r="C786" s="9" t="s">
        <v>29</v>
      </c>
      <c r="D786" s="8">
        <v>-6.4899999999999999E-2</v>
      </c>
    </row>
    <row r="787" spans="1:4">
      <c r="A787" t="str">
        <f t="shared" si="12"/>
        <v>111Compounding Annual Return</v>
      </c>
      <c r="B787">
        <v>111</v>
      </c>
      <c r="C787" s="9" t="s">
        <v>30</v>
      </c>
      <c r="D787" s="8">
        <v>-0.77429999999999999</v>
      </c>
    </row>
    <row r="788" spans="1:4">
      <c r="A788" t="str">
        <f t="shared" si="12"/>
        <v>111Drawdown</v>
      </c>
      <c r="B788">
        <v>111</v>
      </c>
      <c r="C788" s="9" t="s">
        <v>8</v>
      </c>
      <c r="D788" s="8">
        <v>0.65900000000000003</v>
      </c>
    </row>
    <row r="789" spans="1:4">
      <c r="A789" t="str">
        <f t="shared" si="12"/>
        <v>111Expectancy</v>
      </c>
      <c r="B789">
        <v>111</v>
      </c>
      <c r="C789" s="9" t="s">
        <v>31</v>
      </c>
      <c r="D789" s="8">
        <v>-0.64500000000000002</v>
      </c>
    </row>
    <row r="790" spans="1:4">
      <c r="A790" t="str">
        <f t="shared" si="12"/>
        <v>111Net Profit</v>
      </c>
      <c r="B790">
        <v>111</v>
      </c>
      <c r="C790" s="9" t="s">
        <v>32</v>
      </c>
      <c r="D790" s="8">
        <v>-0.61799000000000004</v>
      </c>
    </row>
    <row r="791" spans="1:4">
      <c r="A791" t="str">
        <f t="shared" si="12"/>
        <v>111Loss Rate</v>
      </c>
      <c r="B791">
        <v>111</v>
      </c>
      <c r="C791" s="9" t="s">
        <v>33</v>
      </c>
      <c r="D791" s="8">
        <v>0.7</v>
      </c>
    </row>
    <row r="792" spans="1:4">
      <c r="A792" t="str">
        <f t="shared" si="12"/>
        <v>111Win Rate</v>
      </c>
      <c r="B792">
        <v>111</v>
      </c>
      <c r="C792" s="9" t="s">
        <v>34</v>
      </c>
      <c r="D792" s="8">
        <v>0.3</v>
      </c>
    </row>
    <row r="793" spans="1:4">
      <c r="A793" t="str">
        <f t="shared" si="12"/>
        <v>111Profit-Loss Ratio</v>
      </c>
      <c r="B793">
        <v>111</v>
      </c>
      <c r="C793" s="9" t="s">
        <v>26</v>
      </c>
      <c r="D793" s="8">
        <v>0.18</v>
      </c>
    </row>
    <row r="794" spans="1:4">
      <c r="A794" t="str">
        <f t="shared" si="12"/>
        <v>111Alpha</v>
      </c>
      <c r="B794">
        <v>111</v>
      </c>
      <c r="C794" s="9" t="s">
        <v>23</v>
      </c>
      <c r="D794" s="8">
        <v>-0.45</v>
      </c>
    </row>
    <row r="795" spans="1:4">
      <c r="A795" t="str">
        <f t="shared" si="12"/>
        <v>111Beta</v>
      </c>
      <c r="B795">
        <v>111</v>
      </c>
      <c r="C795" s="9" t="s">
        <v>24</v>
      </c>
      <c r="D795" s="8">
        <v>-2.35</v>
      </c>
    </row>
    <row r="796" spans="1:4">
      <c r="A796" t="str">
        <f t="shared" si="12"/>
        <v>111Annual Standard Deviation</v>
      </c>
      <c r="B796">
        <v>111</v>
      </c>
      <c r="C796" s="9" t="s">
        <v>35</v>
      </c>
      <c r="D796" s="8">
        <v>0.47799999999999998</v>
      </c>
    </row>
    <row r="797" spans="1:4">
      <c r="A797" t="str">
        <f t="shared" si="12"/>
        <v>111Annual Variance</v>
      </c>
      <c r="B797">
        <v>111</v>
      </c>
      <c r="C797" s="9" t="s">
        <v>36</v>
      </c>
      <c r="D797" s="8">
        <v>0.22900000000000001</v>
      </c>
    </row>
    <row r="798" spans="1:4">
      <c r="A798" t="str">
        <f t="shared" si="12"/>
        <v>111Information Ratio</v>
      </c>
      <c r="B798">
        <v>111</v>
      </c>
      <c r="C798" s="9" t="s">
        <v>37</v>
      </c>
      <c r="D798" s="8">
        <v>-1.3149999999999999</v>
      </c>
    </row>
    <row r="799" spans="1:4">
      <c r="A799" t="str">
        <f t="shared" si="12"/>
        <v>111Tracking Error</v>
      </c>
      <c r="B799">
        <v>111</v>
      </c>
      <c r="C799" s="9" t="s">
        <v>38</v>
      </c>
      <c r="D799" s="8">
        <v>0.504</v>
      </c>
    </row>
    <row r="800" spans="1:4">
      <c r="A800" t="str">
        <f t="shared" si="12"/>
        <v>111Treynor Ratio</v>
      </c>
      <c r="B800">
        <v>111</v>
      </c>
      <c r="C800" s="9" t="s">
        <v>39</v>
      </c>
      <c r="D800" s="8">
        <v>0.255</v>
      </c>
    </row>
    <row r="801" spans="1:4">
      <c r="A801" t="str">
        <f t="shared" si="12"/>
        <v>111Total Fees</v>
      </c>
      <c r="B801">
        <v>111</v>
      </c>
      <c r="C801" s="9" t="s">
        <v>40</v>
      </c>
      <c r="D801" s="8">
        <v>0</v>
      </c>
    </row>
    <row r="802" spans="1:4">
      <c r="A802" t="str">
        <f t="shared" si="12"/>
        <v>111Estimated Strategy Capacity</v>
      </c>
      <c r="B802">
        <v>111</v>
      </c>
      <c r="C802" s="9" t="s">
        <v>41</v>
      </c>
      <c r="D802" s="8">
        <v>23000000</v>
      </c>
    </row>
    <row r="803" spans="1:4">
      <c r="A803" t="str">
        <f t="shared" si="12"/>
        <v>112PSR</v>
      </c>
      <c r="B803">
        <v>112</v>
      </c>
      <c r="C803" s="9" t="s">
        <v>27</v>
      </c>
      <c r="D803" s="8">
        <v>0.56274000000000002</v>
      </c>
    </row>
    <row r="804" spans="1:4">
      <c r="A804" t="str">
        <f t="shared" si="12"/>
        <v>112Sharpe Ratio</v>
      </c>
      <c r="B804">
        <v>112</v>
      </c>
      <c r="C804" s="9" t="s">
        <v>1</v>
      </c>
      <c r="D804" s="8">
        <v>1.1579999999999999</v>
      </c>
    </row>
    <row r="805" spans="1:4">
      <c r="A805" t="str">
        <f t="shared" si="12"/>
        <v>112Total Trades</v>
      </c>
      <c r="B805">
        <v>112</v>
      </c>
      <c r="C805" s="9" t="s">
        <v>28</v>
      </c>
      <c r="D805" s="8">
        <v>359</v>
      </c>
    </row>
    <row r="806" spans="1:4">
      <c r="A806" t="str">
        <f t="shared" si="12"/>
        <v>112Average Win</v>
      </c>
      <c r="B806">
        <v>112</v>
      </c>
      <c r="C806" s="9" t="s">
        <v>25</v>
      </c>
      <c r="D806" s="8">
        <v>2.2000000000000001E-3</v>
      </c>
    </row>
    <row r="807" spans="1:4">
      <c r="A807" t="str">
        <f t="shared" si="12"/>
        <v>112Average Loss</v>
      </c>
      <c r="B807">
        <v>112</v>
      </c>
      <c r="C807" s="9" t="s">
        <v>29</v>
      </c>
      <c r="D807" s="8">
        <v>-5.9999999999999995E-4</v>
      </c>
    </row>
    <row r="808" spans="1:4">
      <c r="A808" t="str">
        <f t="shared" si="12"/>
        <v>112Compounding Annual Return</v>
      </c>
      <c r="B808">
        <v>112</v>
      </c>
      <c r="C808" s="9" t="s">
        <v>30</v>
      </c>
      <c r="D808" s="8">
        <v>2.223E-2</v>
      </c>
    </row>
    <row r="809" spans="1:4">
      <c r="A809" t="str">
        <f t="shared" si="12"/>
        <v>112Drawdown</v>
      </c>
      <c r="B809">
        <v>112</v>
      </c>
      <c r="C809" s="9" t="s">
        <v>8</v>
      </c>
      <c r="D809" s="8">
        <v>8.9999999999999993E-3</v>
      </c>
    </row>
    <row r="810" spans="1:4">
      <c r="A810" t="str">
        <f t="shared" si="12"/>
        <v>112Expectancy</v>
      </c>
      <c r="B810">
        <v>112</v>
      </c>
      <c r="C810" s="9" t="s">
        <v>31</v>
      </c>
      <c r="D810" s="8">
        <v>2.948</v>
      </c>
    </row>
    <row r="811" spans="1:4">
      <c r="A811" t="str">
        <f t="shared" si="12"/>
        <v>112Net Profit</v>
      </c>
      <c r="B811">
        <v>112</v>
      </c>
      <c r="C811" s="9" t="s">
        <v>32</v>
      </c>
      <c r="D811" s="8">
        <v>1.4319999999999999E-2</v>
      </c>
    </row>
    <row r="812" spans="1:4">
      <c r="A812" t="str">
        <f t="shared" si="12"/>
        <v>112Loss Rate</v>
      </c>
      <c r="B812">
        <v>112</v>
      </c>
      <c r="C812" s="9" t="s">
        <v>33</v>
      </c>
      <c r="D812" s="8">
        <v>0.18</v>
      </c>
    </row>
    <row r="813" spans="1:4">
      <c r="A813" t="str">
        <f t="shared" si="12"/>
        <v>112Win Rate</v>
      </c>
      <c r="B813">
        <v>112</v>
      </c>
      <c r="C813" s="9" t="s">
        <v>34</v>
      </c>
      <c r="D813" s="8">
        <v>0.82</v>
      </c>
    </row>
    <row r="814" spans="1:4">
      <c r="A814" t="str">
        <f t="shared" si="12"/>
        <v>112Profit-Loss Ratio</v>
      </c>
      <c r="B814">
        <v>112</v>
      </c>
      <c r="C814" s="9" t="s">
        <v>26</v>
      </c>
      <c r="D814" s="8">
        <v>3.83</v>
      </c>
    </row>
    <row r="815" spans="1:4">
      <c r="A815" t="str">
        <f t="shared" si="12"/>
        <v>112Alpha</v>
      </c>
      <c r="B815">
        <v>112</v>
      </c>
      <c r="C815" s="9" t="s">
        <v>23</v>
      </c>
      <c r="D815" s="8">
        <v>1.9E-2</v>
      </c>
    </row>
    <row r="816" spans="1:4">
      <c r="A816" t="str">
        <f t="shared" si="12"/>
        <v>112Beta</v>
      </c>
      <c r="B816">
        <v>112</v>
      </c>
      <c r="C816" s="9" t="s">
        <v>24</v>
      </c>
      <c r="D816" s="8">
        <v>-5.6000000000000001E-2</v>
      </c>
    </row>
    <row r="817" spans="1:4">
      <c r="A817" t="str">
        <f t="shared" si="12"/>
        <v>112Annual Standard Deviation</v>
      </c>
      <c r="B817">
        <v>112</v>
      </c>
      <c r="C817" s="9" t="s">
        <v>35</v>
      </c>
      <c r="D817" s="8">
        <v>1.2999999999999999E-2</v>
      </c>
    </row>
    <row r="818" spans="1:4">
      <c r="A818" t="str">
        <f t="shared" si="12"/>
        <v>112Annual Variance</v>
      </c>
      <c r="B818">
        <v>112</v>
      </c>
      <c r="C818" s="9" t="s">
        <v>36</v>
      </c>
      <c r="D818" s="8">
        <v>0</v>
      </c>
    </row>
    <row r="819" spans="1:4">
      <c r="A819" t="str">
        <f t="shared" si="12"/>
        <v>112Information Ratio</v>
      </c>
      <c r="B819">
        <v>112</v>
      </c>
      <c r="C819" s="9" t="s">
        <v>37</v>
      </c>
      <c r="D819" s="8">
        <v>-0.67400000000000004</v>
      </c>
    </row>
    <row r="820" spans="1:4">
      <c r="A820" t="str">
        <f t="shared" si="12"/>
        <v>112Tracking Error</v>
      </c>
      <c r="B820">
        <v>112</v>
      </c>
      <c r="C820" s="9" t="s">
        <v>38</v>
      </c>
      <c r="D820" s="8">
        <v>7.1999999999999995E-2</v>
      </c>
    </row>
    <row r="821" spans="1:4">
      <c r="A821" t="str">
        <f t="shared" si="12"/>
        <v>112Treynor Ratio</v>
      </c>
      <c r="B821">
        <v>112</v>
      </c>
      <c r="C821" s="9" t="s">
        <v>39</v>
      </c>
      <c r="D821" s="8">
        <v>-0.27700000000000002</v>
      </c>
    </row>
    <row r="822" spans="1:4">
      <c r="A822" t="str">
        <f t="shared" si="12"/>
        <v>112Total Fees</v>
      </c>
      <c r="B822">
        <v>112</v>
      </c>
      <c r="C822" s="9" t="s">
        <v>40</v>
      </c>
      <c r="D822" s="8">
        <v>0</v>
      </c>
    </row>
    <row r="823" spans="1:4">
      <c r="A823" t="str">
        <f t="shared" si="12"/>
        <v>112Estimated Strategy Capacity</v>
      </c>
      <c r="B823">
        <v>112</v>
      </c>
      <c r="C823" s="9" t="s">
        <v>41</v>
      </c>
      <c r="D823" s="8">
        <v>28000000</v>
      </c>
    </row>
    <row r="824" spans="1:4">
      <c r="A824" t="str">
        <f t="shared" si="12"/>
        <v>113PSR</v>
      </c>
      <c r="B824">
        <v>113</v>
      </c>
      <c r="C824" s="9" t="s">
        <v>27</v>
      </c>
      <c r="D824" s="8">
        <v>0.59633000000000003</v>
      </c>
    </row>
    <row r="825" spans="1:4">
      <c r="A825" t="str">
        <f t="shared" si="12"/>
        <v>113Sharpe Ratio</v>
      </c>
      <c r="B825">
        <v>113</v>
      </c>
      <c r="C825" s="9" t="s">
        <v>1</v>
      </c>
      <c r="D825" s="8">
        <v>1.325</v>
      </c>
    </row>
    <row r="826" spans="1:4">
      <c r="A826" t="str">
        <f t="shared" si="12"/>
        <v>113Total Trades</v>
      </c>
      <c r="B826">
        <v>113</v>
      </c>
      <c r="C826" s="9" t="s">
        <v>28</v>
      </c>
      <c r="D826" s="8">
        <v>359</v>
      </c>
    </row>
    <row r="827" spans="1:4">
      <c r="A827" t="str">
        <f t="shared" si="12"/>
        <v>113Average Win</v>
      </c>
      <c r="B827">
        <v>113</v>
      </c>
      <c r="C827" s="9" t="s">
        <v>25</v>
      </c>
      <c r="D827" s="8">
        <v>2.1100000000000001E-2</v>
      </c>
    </row>
    <row r="828" spans="1:4">
      <c r="A828" t="str">
        <f t="shared" si="12"/>
        <v>113Average Loss</v>
      </c>
      <c r="B828">
        <v>113</v>
      </c>
      <c r="C828" s="9" t="s">
        <v>29</v>
      </c>
      <c r="D828" s="8">
        <v>-5.7000000000000002E-3</v>
      </c>
    </row>
    <row r="829" spans="1:4">
      <c r="A829" t="str">
        <f t="shared" si="12"/>
        <v>113Compounding Annual Return</v>
      </c>
      <c r="B829">
        <v>113</v>
      </c>
      <c r="C829" s="9" t="s">
        <v>30</v>
      </c>
      <c r="D829" s="8">
        <v>0.22996</v>
      </c>
    </row>
    <row r="830" spans="1:4">
      <c r="A830" t="str">
        <f t="shared" si="12"/>
        <v>113Drawdown</v>
      </c>
      <c r="B830">
        <v>113</v>
      </c>
      <c r="C830" s="9" t="s">
        <v>8</v>
      </c>
      <c r="D830" s="8">
        <v>0.08</v>
      </c>
    </row>
    <row r="831" spans="1:4">
      <c r="A831" t="str">
        <f t="shared" si="12"/>
        <v>113Expectancy</v>
      </c>
      <c r="B831">
        <v>113</v>
      </c>
      <c r="C831" s="9" t="s">
        <v>31</v>
      </c>
      <c r="D831" s="8">
        <v>2.8580000000000001</v>
      </c>
    </row>
    <row r="832" spans="1:4">
      <c r="A832" t="str">
        <f t="shared" si="12"/>
        <v>113Net Profit</v>
      </c>
      <c r="B832">
        <v>113</v>
      </c>
      <c r="C832" s="9" t="s">
        <v>32</v>
      </c>
      <c r="D832" s="8">
        <v>0.14316999999999999</v>
      </c>
    </row>
    <row r="833" spans="1:4">
      <c r="A833" t="str">
        <f t="shared" si="12"/>
        <v>113Loss Rate</v>
      </c>
      <c r="B833">
        <v>113</v>
      </c>
      <c r="C833" s="9" t="s">
        <v>33</v>
      </c>
      <c r="D833" s="8">
        <v>0.18</v>
      </c>
    </row>
    <row r="834" spans="1:4">
      <c r="A834" t="str">
        <f t="shared" si="12"/>
        <v>113Win Rate</v>
      </c>
      <c r="B834">
        <v>113</v>
      </c>
      <c r="C834" s="9" t="s">
        <v>34</v>
      </c>
      <c r="D834" s="8">
        <v>0.82</v>
      </c>
    </row>
    <row r="835" spans="1:4">
      <c r="A835" t="str">
        <f t="shared" ref="A835:A898" si="13">B835&amp;C835</f>
        <v>113Profit-Loss Ratio</v>
      </c>
      <c r="B835">
        <v>113</v>
      </c>
      <c r="C835" s="9" t="s">
        <v>26</v>
      </c>
      <c r="D835" s="8">
        <v>3.71</v>
      </c>
    </row>
    <row r="836" spans="1:4">
      <c r="A836" t="str">
        <f t="shared" si="13"/>
        <v>113Alpha</v>
      </c>
      <c r="B836">
        <v>113</v>
      </c>
      <c r="C836" s="9" t="s">
        <v>23</v>
      </c>
      <c r="D836" s="8">
        <v>0.19500000000000001</v>
      </c>
    </row>
    <row r="837" spans="1:4">
      <c r="A837" t="str">
        <f t="shared" si="13"/>
        <v>113Beta</v>
      </c>
      <c r="B837">
        <v>113</v>
      </c>
      <c r="C837" s="9" t="s">
        <v>24</v>
      </c>
      <c r="D837" s="8">
        <v>-0.51</v>
      </c>
    </row>
    <row r="838" spans="1:4">
      <c r="A838" t="str">
        <f t="shared" si="13"/>
        <v>113Annual Standard Deviation</v>
      </c>
      <c r="B838">
        <v>113</v>
      </c>
      <c r="C838" s="9" t="s">
        <v>35</v>
      </c>
      <c r="D838" s="8">
        <v>0.123</v>
      </c>
    </row>
    <row r="839" spans="1:4">
      <c r="A839" t="str">
        <f t="shared" si="13"/>
        <v>113Annual Variance</v>
      </c>
      <c r="B839">
        <v>113</v>
      </c>
      <c r="C839" s="9" t="s">
        <v>36</v>
      </c>
      <c r="D839" s="8">
        <v>1.4999999999999999E-2</v>
      </c>
    </row>
    <row r="840" spans="1:4">
      <c r="A840" t="str">
        <f t="shared" si="13"/>
        <v>113Information Ratio</v>
      </c>
      <c r="B840">
        <v>113</v>
      </c>
      <c r="C840" s="9" t="s">
        <v>37</v>
      </c>
      <c r="D840" s="8">
        <v>0.63900000000000001</v>
      </c>
    </row>
    <row r="841" spans="1:4">
      <c r="A841" t="str">
        <f t="shared" si="13"/>
        <v>113Tracking Error</v>
      </c>
      <c r="B841">
        <v>113</v>
      </c>
      <c r="C841" s="9" t="s">
        <v>38</v>
      </c>
      <c r="D841" s="8">
        <v>0.155</v>
      </c>
    </row>
    <row r="842" spans="1:4">
      <c r="A842" t="str">
        <f t="shared" si="13"/>
        <v>113Treynor Ratio</v>
      </c>
      <c r="B842">
        <v>113</v>
      </c>
      <c r="C842" s="9" t="s">
        <v>39</v>
      </c>
      <c r="D842" s="8">
        <v>-0.31900000000000001</v>
      </c>
    </row>
    <row r="843" spans="1:4">
      <c r="A843" t="str">
        <f t="shared" si="13"/>
        <v>113Total Fees</v>
      </c>
      <c r="B843">
        <v>113</v>
      </c>
      <c r="C843" s="9" t="s">
        <v>40</v>
      </c>
      <c r="D843" s="8">
        <v>0</v>
      </c>
    </row>
    <row r="844" spans="1:4">
      <c r="A844" t="str">
        <f t="shared" si="13"/>
        <v>113Estimated Strategy Capacity</v>
      </c>
      <c r="B844">
        <v>113</v>
      </c>
      <c r="C844" s="9" t="s">
        <v>41</v>
      </c>
      <c r="D844" s="8">
        <v>3400000</v>
      </c>
    </row>
    <row r="845" spans="1:4">
      <c r="A845" t="str">
        <f t="shared" si="13"/>
        <v>114PSR</v>
      </c>
      <c r="B845">
        <v>114</v>
      </c>
      <c r="C845" s="9" t="s">
        <v>27</v>
      </c>
      <c r="D845" s="8">
        <v>0.68464000000000003</v>
      </c>
    </row>
    <row r="846" spans="1:4">
      <c r="A846" t="str">
        <f t="shared" si="13"/>
        <v>114Sharpe Ratio</v>
      </c>
      <c r="B846">
        <v>114</v>
      </c>
      <c r="C846" s="9" t="s">
        <v>1</v>
      </c>
      <c r="D846" s="8">
        <v>2.0459999999999998</v>
      </c>
    </row>
    <row r="847" spans="1:4">
      <c r="A847" t="str">
        <f t="shared" si="13"/>
        <v>114Total Trades</v>
      </c>
      <c r="B847">
        <v>114</v>
      </c>
      <c r="C847" s="9" t="s">
        <v>28</v>
      </c>
      <c r="D847" s="8">
        <v>359</v>
      </c>
    </row>
    <row r="848" spans="1:4">
      <c r="A848" t="str">
        <f t="shared" si="13"/>
        <v>114Average Win</v>
      </c>
      <c r="B848">
        <v>114</v>
      </c>
      <c r="C848" s="9" t="s">
        <v>25</v>
      </c>
      <c r="D848" s="8">
        <v>8.4699999999999998E-2</v>
      </c>
    </row>
    <row r="849" spans="1:4">
      <c r="A849" t="str">
        <f t="shared" si="13"/>
        <v>114Average Loss</v>
      </c>
      <c r="B849">
        <v>114</v>
      </c>
      <c r="C849" s="9" t="s">
        <v>29</v>
      </c>
      <c r="D849" s="8">
        <v>-2.47E-2</v>
      </c>
    </row>
    <row r="850" spans="1:4">
      <c r="A850" t="str">
        <f t="shared" si="13"/>
        <v>114Compounding Annual Return</v>
      </c>
      <c r="B850">
        <v>114</v>
      </c>
      <c r="C850" s="9" t="s">
        <v>30</v>
      </c>
      <c r="D850" s="8">
        <v>1.3051999999999999</v>
      </c>
    </row>
    <row r="851" spans="1:4">
      <c r="A851" t="str">
        <f t="shared" si="13"/>
        <v>114Drawdown</v>
      </c>
      <c r="B851">
        <v>114</v>
      </c>
      <c r="C851" s="9" t="s">
        <v>8</v>
      </c>
      <c r="D851" s="8">
        <v>0.24199999999999999</v>
      </c>
    </row>
    <row r="852" spans="1:4">
      <c r="A852" t="str">
        <f t="shared" si="13"/>
        <v>114Expectancy</v>
      </c>
      <c r="B852">
        <v>114</v>
      </c>
      <c r="C852" s="9" t="s">
        <v>31</v>
      </c>
      <c r="D852" s="8">
        <v>2.6240000000000001</v>
      </c>
    </row>
    <row r="853" spans="1:4">
      <c r="A853" t="str">
        <f t="shared" si="13"/>
        <v>114Net Profit</v>
      </c>
      <c r="B853">
        <v>114</v>
      </c>
      <c r="C853" s="9" t="s">
        <v>32</v>
      </c>
      <c r="D853" s="8">
        <v>0.71584000000000003</v>
      </c>
    </row>
    <row r="854" spans="1:4">
      <c r="A854" t="str">
        <f t="shared" si="13"/>
        <v>114Loss Rate</v>
      </c>
      <c r="B854">
        <v>114</v>
      </c>
      <c r="C854" s="9" t="s">
        <v>33</v>
      </c>
      <c r="D854" s="8">
        <v>0.18</v>
      </c>
    </row>
    <row r="855" spans="1:4">
      <c r="A855" t="str">
        <f t="shared" si="13"/>
        <v>114Win Rate</v>
      </c>
      <c r="B855">
        <v>114</v>
      </c>
      <c r="C855" s="9" t="s">
        <v>34</v>
      </c>
      <c r="D855" s="8">
        <v>0.82</v>
      </c>
    </row>
    <row r="856" spans="1:4">
      <c r="A856" t="str">
        <f t="shared" si="13"/>
        <v>114Profit-Loss Ratio</v>
      </c>
      <c r="B856">
        <v>114</v>
      </c>
      <c r="C856" s="9" t="s">
        <v>26</v>
      </c>
      <c r="D856" s="8">
        <v>3.43</v>
      </c>
    </row>
    <row r="857" spans="1:4">
      <c r="A857" t="str">
        <f t="shared" si="13"/>
        <v>114Alpha</v>
      </c>
      <c r="B857">
        <v>114</v>
      </c>
      <c r="C857" s="9" t="s">
        <v>23</v>
      </c>
      <c r="D857" s="8">
        <v>1.109</v>
      </c>
    </row>
    <row r="858" spans="1:4">
      <c r="A858" t="str">
        <f t="shared" si="13"/>
        <v>114Beta</v>
      </c>
      <c r="B858">
        <v>114</v>
      </c>
      <c r="C858" s="9" t="s">
        <v>24</v>
      </c>
      <c r="D858" s="8">
        <v>-1.881</v>
      </c>
    </row>
    <row r="859" spans="1:4">
      <c r="A859" t="str">
        <f t="shared" si="13"/>
        <v>114Annual Standard Deviation</v>
      </c>
      <c r="B859">
        <v>114</v>
      </c>
      <c r="C859" s="9" t="s">
        <v>35</v>
      </c>
      <c r="D859" s="8">
        <v>0.48299999999999998</v>
      </c>
    </row>
    <row r="860" spans="1:4">
      <c r="A860" t="str">
        <f t="shared" si="13"/>
        <v>114Annual Variance</v>
      </c>
      <c r="B860">
        <v>114</v>
      </c>
      <c r="C860" s="9" t="s">
        <v>36</v>
      </c>
      <c r="D860" s="8">
        <v>0.23400000000000001</v>
      </c>
    </row>
    <row r="861" spans="1:4">
      <c r="A861" t="str">
        <f t="shared" si="13"/>
        <v>114Information Ratio</v>
      </c>
      <c r="B861">
        <v>114</v>
      </c>
      <c r="C861" s="9" t="s">
        <v>37</v>
      </c>
      <c r="D861" s="8">
        <v>1.833</v>
      </c>
    </row>
    <row r="862" spans="1:4">
      <c r="A862" t="str">
        <f t="shared" si="13"/>
        <v>114Tracking Error</v>
      </c>
      <c r="B862">
        <v>114</v>
      </c>
      <c r="C862" s="9" t="s">
        <v>38</v>
      </c>
      <c r="D862" s="8">
        <v>0.505</v>
      </c>
    </row>
    <row r="863" spans="1:4">
      <c r="A863" t="str">
        <f t="shared" si="13"/>
        <v>114Treynor Ratio</v>
      </c>
      <c r="B863">
        <v>114</v>
      </c>
      <c r="C863" s="9" t="s">
        <v>39</v>
      </c>
      <c r="D863" s="8">
        <v>-0.52600000000000002</v>
      </c>
    </row>
    <row r="864" spans="1:4">
      <c r="A864" t="str">
        <f t="shared" si="13"/>
        <v>114Total Fees</v>
      </c>
      <c r="B864">
        <v>114</v>
      </c>
      <c r="C864" s="9" t="s">
        <v>40</v>
      </c>
      <c r="D864" s="8">
        <v>0</v>
      </c>
    </row>
    <row r="865" spans="1:4">
      <c r="A865" t="str">
        <f t="shared" si="13"/>
        <v>114Estimated Strategy Capacity</v>
      </c>
      <c r="B865">
        <v>114</v>
      </c>
      <c r="C865" s="9" t="s">
        <v>41</v>
      </c>
      <c r="D865" s="8">
        <v>1100000</v>
      </c>
    </row>
    <row r="866" spans="1:4">
      <c r="A866" t="str">
        <f t="shared" si="13"/>
        <v>115PSR</v>
      </c>
      <c r="B866">
        <v>115</v>
      </c>
      <c r="C866" s="9" t="s">
        <v>27</v>
      </c>
      <c r="D866" s="8">
        <v>0.51526000000000005</v>
      </c>
    </row>
    <row r="867" spans="1:4">
      <c r="A867" t="str">
        <f t="shared" si="13"/>
        <v>115Sharpe Ratio</v>
      </c>
      <c r="B867">
        <v>115</v>
      </c>
      <c r="C867" s="9" t="s">
        <v>1</v>
      </c>
      <c r="D867" s="8">
        <v>1.0429999999999999</v>
      </c>
    </row>
    <row r="868" spans="1:4">
      <c r="A868" t="str">
        <f t="shared" si="13"/>
        <v>115Total Trades</v>
      </c>
      <c r="B868">
        <v>115</v>
      </c>
      <c r="C868" s="9" t="s">
        <v>28</v>
      </c>
      <c r="D868" s="8">
        <v>254</v>
      </c>
    </row>
    <row r="869" spans="1:4">
      <c r="A869" t="str">
        <f t="shared" si="13"/>
        <v>115Average Win</v>
      </c>
      <c r="B869">
        <v>115</v>
      </c>
      <c r="C869" s="9" t="s">
        <v>25</v>
      </c>
      <c r="D869" s="8">
        <v>2E-3</v>
      </c>
    </row>
    <row r="870" spans="1:4">
      <c r="A870" t="str">
        <f t="shared" si="13"/>
        <v>115Average Loss</v>
      </c>
      <c r="B870">
        <v>115</v>
      </c>
      <c r="C870" s="9" t="s">
        <v>29</v>
      </c>
      <c r="D870" s="8">
        <v>-1.2999999999999999E-3</v>
      </c>
    </row>
    <row r="871" spans="1:4">
      <c r="A871" t="str">
        <f t="shared" si="13"/>
        <v>115Compounding Annual Return</v>
      </c>
      <c r="B871">
        <v>115</v>
      </c>
      <c r="C871" s="9" t="s">
        <v>30</v>
      </c>
      <c r="D871" s="8">
        <v>1.503E-2</v>
      </c>
    </row>
    <row r="872" spans="1:4">
      <c r="A872" t="str">
        <f t="shared" si="13"/>
        <v>115Drawdown</v>
      </c>
      <c r="B872">
        <v>115</v>
      </c>
      <c r="C872" s="9" t="s">
        <v>8</v>
      </c>
      <c r="D872" s="8">
        <v>7.0000000000000001E-3</v>
      </c>
    </row>
    <row r="873" spans="1:4">
      <c r="A873" t="str">
        <f t="shared" si="13"/>
        <v>115Expectancy</v>
      </c>
      <c r="B873">
        <v>115</v>
      </c>
      <c r="C873" s="9" t="s">
        <v>31</v>
      </c>
      <c r="D873" s="8">
        <v>0.92300000000000004</v>
      </c>
    </row>
    <row r="874" spans="1:4">
      <c r="A874" t="str">
        <f t="shared" si="13"/>
        <v>115Net Profit</v>
      </c>
      <c r="B874">
        <v>115</v>
      </c>
      <c r="C874" s="9" t="s">
        <v>32</v>
      </c>
      <c r="D874" s="8">
        <v>9.6900000000000007E-3</v>
      </c>
    </row>
    <row r="875" spans="1:4">
      <c r="A875" t="str">
        <f t="shared" si="13"/>
        <v>115Loss Rate</v>
      </c>
      <c r="B875">
        <v>115</v>
      </c>
      <c r="C875" s="9" t="s">
        <v>33</v>
      </c>
      <c r="D875" s="8">
        <v>0.25</v>
      </c>
    </row>
    <row r="876" spans="1:4">
      <c r="A876" t="str">
        <f t="shared" si="13"/>
        <v>115Win Rate</v>
      </c>
      <c r="B876">
        <v>115</v>
      </c>
      <c r="C876" s="9" t="s">
        <v>34</v>
      </c>
      <c r="D876" s="8">
        <v>0.75</v>
      </c>
    </row>
    <row r="877" spans="1:4">
      <c r="A877" t="str">
        <f t="shared" si="13"/>
        <v>115Profit-Loss Ratio</v>
      </c>
      <c r="B877">
        <v>115</v>
      </c>
      <c r="C877" s="9" t="s">
        <v>26</v>
      </c>
      <c r="D877" s="8">
        <v>1.56</v>
      </c>
    </row>
    <row r="878" spans="1:4">
      <c r="A878" t="str">
        <f t="shared" si="13"/>
        <v>115Alpha</v>
      </c>
      <c r="B878">
        <v>115</v>
      </c>
      <c r="C878" s="9" t="s">
        <v>23</v>
      </c>
      <c r="D878" s="8">
        <v>1.2999999999999999E-2</v>
      </c>
    </row>
    <row r="879" spans="1:4">
      <c r="A879" t="str">
        <f t="shared" si="13"/>
        <v>115Beta</v>
      </c>
      <c r="B879">
        <v>115</v>
      </c>
      <c r="C879" s="9" t="s">
        <v>24</v>
      </c>
      <c r="D879" s="8">
        <v>-3.3000000000000002E-2</v>
      </c>
    </row>
    <row r="880" spans="1:4">
      <c r="A880" t="str">
        <f t="shared" si="13"/>
        <v>115Annual Standard Deviation</v>
      </c>
      <c r="B880">
        <v>115</v>
      </c>
      <c r="C880" s="9" t="s">
        <v>35</v>
      </c>
      <c r="D880" s="8">
        <v>0.01</v>
      </c>
    </row>
    <row r="881" spans="1:4">
      <c r="A881" t="str">
        <f t="shared" si="13"/>
        <v>115Annual Variance</v>
      </c>
      <c r="B881">
        <v>115</v>
      </c>
      <c r="C881" s="9" t="s">
        <v>36</v>
      </c>
      <c r="D881" s="8">
        <v>0</v>
      </c>
    </row>
    <row r="882" spans="1:4">
      <c r="A882" t="str">
        <f t="shared" si="13"/>
        <v>115Information Ratio</v>
      </c>
      <c r="B882">
        <v>115</v>
      </c>
      <c r="C882" s="9" t="s">
        <v>37</v>
      </c>
      <c r="D882" s="8">
        <v>-0.76400000000000001</v>
      </c>
    </row>
    <row r="883" spans="1:4">
      <c r="A883" t="str">
        <f t="shared" si="13"/>
        <v>115Tracking Error</v>
      </c>
      <c r="B883">
        <v>115</v>
      </c>
      <c r="C883" s="9" t="s">
        <v>38</v>
      </c>
      <c r="D883" s="8">
        <v>7.0000000000000007E-2</v>
      </c>
    </row>
    <row r="884" spans="1:4">
      <c r="A884" t="str">
        <f t="shared" si="13"/>
        <v>115Treynor Ratio</v>
      </c>
      <c r="B884">
        <v>115</v>
      </c>
      <c r="C884" s="9" t="s">
        <v>39</v>
      </c>
      <c r="D884" s="8">
        <v>-0.312</v>
      </c>
    </row>
    <row r="885" spans="1:4">
      <c r="A885" t="str">
        <f t="shared" si="13"/>
        <v>115Total Fees</v>
      </c>
      <c r="B885">
        <v>115</v>
      </c>
      <c r="C885" s="9" t="s">
        <v>40</v>
      </c>
      <c r="D885" s="8">
        <v>0</v>
      </c>
    </row>
    <row r="886" spans="1:4">
      <c r="A886" t="str">
        <f t="shared" si="13"/>
        <v>115Estimated Strategy Capacity</v>
      </c>
      <c r="B886">
        <v>115</v>
      </c>
      <c r="C886" s="9" t="s">
        <v>41</v>
      </c>
      <c r="D886" s="8">
        <v>1300000000</v>
      </c>
    </row>
    <row r="887" spans="1:4">
      <c r="A887" t="str">
        <f t="shared" si="13"/>
        <v>116PSR</v>
      </c>
      <c r="B887">
        <v>116</v>
      </c>
      <c r="C887" s="9" t="s">
        <v>27</v>
      </c>
      <c r="D887" s="8">
        <v>0.52122000000000002</v>
      </c>
    </row>
    <row r="888" spans="1:4">
      <c r="A888" t="str">
        <f t="shared" si="13"/>
        <v>116Sharpe Ratio</v>
      </c>
      <c r="B888">
        <v>116</v>
      </c>
      <c r="C888" s="9" t="s">
        <v>1</v>
      </c>
      <c r="D888" s="8">
        <v>1.109</v>
      </c>
    </row>
    <row r="889" spans="1:4">
      <c r="A889" t="str">
        <f t="shared" si="13"/>
        <v>116Total Trades</v>
      </c>
      <c r="B889">
        <v>116</v>
      </c>
      <c r="C889" s="9" t="s">
        <v>28</v>
      </c>
      <c r="D889" s="8">
        <v>254</v>
      </c>
    </row>
    <row r="890" spans="1:4">
      <c r="A890" t="str">
        <f t="shared" si="13"/>
        <v>116Average Win</v>
      </c>
      <c r="B890">
        <v>116</v>
      </c>
      <c r="C890" s="9" t="s">
        <v>25</v>
      </c>
      <c r="D890" s="8">
        <v>1.9699999999999999E-2</v>
      </c>
    </row>
    <row r="891" spans="1:4">
      <c r="A891" t="str">
        <f t="shared" si="13"/>
        <v>116Average Loss</v>
      </c>
      <c r="B891">
        <v>116</v>
      </c>
      <c r="C891" s="9" t="s">
        <v>29</v>
      </c>
      <c r="D891" s="8">
        <v>-1.2699999999999999E-2</v>
      </c>
    </row>
    <row r="892" spans="1:4">
      <c r="A892" t="str">
        <f t="shared" si="13"/>
        <v>116Compounding Annual Return</v>
      </c>
      <c r="B892">
        <v>116</v>
      </c>
      <c r="C892" s="9" t="s">
        <v>30</v>
      </c>
      <c r="D892" s="8">
        <v>0.15382999999999999</v>
      </c>
    </row>
    <row r="893" spans="1:4">
      <c r="A893" t="str">
        <f t="shared" si="13"/>
        <v>116Drawdown</v>
      </c>
      <c r="B893">
        <v>116</v>
      </c>
      <c r="C893" s="9" t="s">
        <v>8</v>
      </c>
      <c r="D893" s="8">
        <v>6.4000000000000001E-2</v>
      </c>
    </row>
    <row r="894" spans="1:4">
      <c r="A894" t="str">
        <f t="shared" si="13"/>
        <v>116Expectancy</v>
      </c>
      <c r="B894">
        <v>116</v>
      </c>
      <c r="C894" s="9" t="s">
        <v>31</v>
      </c>
      <c r="D894" s="8">
        <v>0.91300000000000003</v>
      </c>
    </row>
    <row r="895" spans="1:4">
      <c r="A895" t="str">
        <f t="shared" si="13"/>
        <v>116Net Profit</v>
      </c>
      <c r="B895">
        <v>116</v>
      </c>
      <c r="C895" s="9" t="s">
        <v>32</v>
      </c>
      <c r="D895" s="8">
        <v>9.6909999999999996E-2</v>
      </c>
    </row>
    <row r="896" spans="1:4">
      <c r="A896" t="str">
        <f t="shared" si="13"/>
        <v>116Loss Rate</v>
      </c>
      <c r="B896">
        <v>116</v>
      </c>
      <c r="C896" s="9" t="s">
        <v>33</v>
      </c>
      <c r="D896" s="8">
        <v>0.25</v>
      </c>
    </row>
    <row r="897" spans="1:4">
      <c r="A897" t="str">
        <f t="shared" si="13"/>
        <v>116Win Rate</v>
      </c>
      <c r="B897">
        <v>116</v>
      </c>
      <c r="C897" s="9" t="s">
        <v>34</v>
      </c>
      <c r="D897" s="8">
        <v>0.75</v>
      </c>
    </row>
    <row r="898" spans="1:4">
      <c r="A898" t="str">
        <f t="shared" si="13"/>
        <v>116Profit-Loss Ratio</v>
      </c>
      <c r="B898">
        <v>116</v>
      </c>
      <c r="C898" s="9" t="s">
        <v>26</v>
      </c>
      <c r="D898" s="8">
        <v>1.55</v>
      </c>
    </row>
    <row r="899" spans="1:4">
      <c r="A899" t="str">
        <f t="shared" ref="A899:A962" si="14">B899&amp;C899</f>
        <v>116Alpha</v>
      </c>
      <c r="B899">
        <v>116</v>
      </c>
      <c r="C899" s="9" t="s">
        <v>23</v>
      </c>
      <c r="D899" s="8">
        <v>0.13100000000000001</v>
      </c>
    </row>
    <row r="900" spans="1:4">
      <c r="A900" t="str">
        <f t="shared" si="14"/>
        <v>116Beta</v>
      </c>
      <c r="B900">
        <v>116</v>
      </c>
      <c r="C900" s="9" t="s">
        <v>24</v>
      </c>
      <c r="D900" s="8">
        <v>-0.33</v>
      </c>
    </row>
    <row r="901" spans="1:4">
      <c r="A901" t="str">
        <f t="shared" si="14"/>
        <v>116Annual Standard Deviation</v>
      </c>
      <c r="B901">
        <v>116</v>
      </c>
      <c r="C901" s="9" t="s">
        <v>35</v>
      </c>
      <c r="D901" s="8">
        <v>9.9000000000000005E-2</v>
      </c>
    </row>
    <row r="902" spans="1:4">
      <c r="A902" t="str">
        <f t="shared" si="14"/>
        <v>116Annual Variance</v>
      </c>
      <c r="B902">
        <v>116</v>
      </c>
      <c r="C902" s="9" t="s">
        <v>36</v>
      </c>
      <c r="D902" s="8">
        <v>0.01</v>
      </c>
    </row>
    <row r="903" spans="1:4">
      <c r="A903" t="str">
        <f t="shared" si="14"/>
        <v>116Information Ratio</v>
      </c>
      <c r="B903">
        <v>116</v>
      </c>
      <c r="C903" s="9" t="s">
        <v>37</v>
      </c>
      <c r="D903" s="8">
        <v>0.35099999999999998</v>
      </c>
    </row>
    <row r="904" spans="1:4">
      <c r="A904" t="str">
        <f t="shared" si="14"/>
        <v>116Tracking Error</v>
      </c>
      <c r="B904">
        <v>116</v>
      </c>
      <c r="C904" s="9" t="s">
        <v>38</v>
      </c>
      <c r="D904" s="8">
        <v>0.13100000000000001</v>
      </c>
    </row>
    <row r="905" spans="1:4">
      <c r="A905" t="str">
        <f t="shared" si="14"/>
        <v>116Treynor Ratio</v>
      </c>
      <c r="B905">
        <v>116</v>
      </c>
      <c r="C905" s="9" t="s">
        <v>39</v>
      </c>
      <c r="D905" s="8">
        <v>-0.33300000000000002</v>
      </c>
    </row>
    <row r="906" spans="1:4">
      <c r="A906" t="str">
        <f t="shared" si="14"/>
        <v>116Total Fees</v>
      </c>
      <c r="B906">
        <v>116</v>
      </c>
      <c r="C906" s="9" t="s">
        <v>40</v>
      </c>
      <c r="D906" s="8">
        <v>0</v>
      </c>
    </row>
    <row r="907" spans="1:4">
      <c r="A907" t="str">
        <f t="shared" si="14"/>
        <v>116Estimated Strategy Capacity</v>
      </c>
      <c r="B907">
        <v>116</v>
      </c>
      <c r="C907" s="9" t="s">
        <v>41</v>
      </c>
      <c r="D907" s="8">
        <v>140000000</v>
      </c>
    </row>
    <row r="908" spans="1:4">
      <c r="A908" t="str">
        <f t="shared" si="14"/>
        <v>117PSR</v>
      </c>
      <c r="B908">
        <v>117</v>
      </c>
      <c r="C908" s="9" t="s">
        <v>27</v>
      </c>
      <c r="D908" s="8">
        <v>0.54954999999999998</v>
      </c>
    </row>
    <row r="909" spans="1:4">
      <c r="A909" t="str">
        <f t="shared" si="14"/>
        <v>117Sharpe Ratio</v>
      </c>
      <c r="B909">
        <v>117</v>
      </c>
      <c r="C909" s="9" t="s">
        <v>1</v>
      </c>
      <c r="D909" s="8">
        <v>1.4750000000000001</v>
      </c>
    </row>
    <row r="910" spans="1:4">
      <c r="A910" t="str">
        <f t="shared" si="14"/>
        <v>117Total Trades</v>
      </c>
      <c r="B910">
        <v>117</v>
      </c>
      <c r="C910" s="9" t="s">
        <v>28</v>
      </c>
      <c r="D910" s="8">
        <v>254</v>
      </c>
    </row>
    <row r="911" spans="1:4">
      <c r="A911" t="str">
        <f t="shared" si="14"/>
        <v>117Average Win</v>
      </c>
      <c r="B911">
        <v>117</v>
      </c>
      <c r="C911" s="9" t="s">
        <v>25</v>
      </c>
      <c r="D911" s="8">
        <v>9.8900000000000002E-2</v>
      </c>
    </row>
    <row r="912" spans="1:4">
      <c r="A912" t="str">
        <f t="shared" si="14"/>
        <v>117Average Loss</v>
      </c>
      <c r="B912">
        <v>117</v>
      </c>
      <c r="C912" s="9" t="s">
        <v>29</v>
      </c>
      <c r="D912" s="8">
        <v>-6.5100000000000005E-2</v>
      </c>
    </row>
    <row r="913" spans="1:4">
      <c r="A913" t="str">
        <f t="shared" si="14"/>
        <v>117Compounding Annual Return</v>
      </c>
      <c r="B913">
        <v>117</v>
      </c>
      <c r="C913" s="9" t="s">
        <v>30</v>
      </c>
      <c r="D913" s="8">
        <v>0.84267000000000003</v>
      </c>
    </row>
    <row r="914" spans="1:4">
      <c r="A914" t="str">
        <f t="shared" si="14"/>
        <v>117Drawdown</v>
      </c>
      <c r="B914">
        <v>117</v>
      </c>
      <c r="C914" s="9" t="s">
        <v>8</v>
      </c>
      <c r="D914" s="8">
        <v>0.23599999999999999</v>
      </c>
    </row>
    <row r="915" spans="1:4">
      <c r="A915" t="str">
        <f t="shared" si="14"/>
        <v>117Expectancy</v>
      </c>
      <c r="B915">
        <v>117</v>
      </c>
      <c r="C915" s="9" t="s">
        <v>31</v>
      </c>
      <c r="D915" s="8">
        <v>0.88900000000000001</v>
      </c>
    </row>
    <row r="916" spans="1:4">
      <c r="A916" t="str">
        <f t="shared" si="14"/>
        <v>117Net Profit</v>
      </c>
      <c r="B916">
        <v>117</v>
      </c>
      <c r="C916" s="9" t="s">
        <v>32</v>
      </c>
      <c r="D916" s="8">
        <v>0.48457</v>
      </c>
    </row>
    <row r="917" spans="1:4">
      <c r="A917" t="str">
        <f t="shared" si="14"/>
        <v>117Loss Rate</v>
      </c>
      <c r="B917">
        <v>117</v>
      </c>
      <c r="C917" s="9" t="s">
        <v>33</v>
      </c>
      <c r="D917" s="8">
        <v>0.25</v>
      </c>
    </row>
    <row r="918" spans="1:4">
      <c r="A918" t="str">
        <f t="shared" si="14"/>
        <v>117Win Rate</v>
      </c>
      <c r="B918">
        <v>117</v>
      </c>
      <c r="C918" s="9" t="s">
        <v>34</v>
      </c>
      <c r="D918" s="8">
        <v>0.75</v>
      </c>
    </row>
    <row r="919" spans="1:4">
      <c r="A919" t="str">
        <f t="shared" si="14"/>
        <v>117Profit-Loss Ratio</v>
      </c>
      <c r="B919">
        <v>117</v>
      </c>
      <c r="C919" s="9" t="s">
        <v>26</v>
      </c>
      <c r="D919" s="8">
        <v>1.52</v>
      </c>
    </row>
    <row r="920" spans="1:4">
      <c r="A920" t="str">
        <f t="shared" si="14"/>
        <v>117Alpha</v>
      </c>
      <c r="B920">
        <v>117</v>
      </c>
      <c r="C920" s="9" t="s">
        <v>23</v>
      </c>
      <c r="D920" s="8">
        <v>0.80100000000000005</v>
      </c>
    </row>
    <row r="921" spans="1:4">
      <c r="A921" t="str">
        <f t="shared" si="14"/>
        <v>117Beta</v>
      </c>
      <c r="B921">
        <v>117</v>
      </c>
      <c r="C921" s="9" t="s">
        <v>24</v>
      </c>
      <c r="D921" s="8">
        <v>-1.571</v>
      </c>
    </row>
    <row r="922" spans="1:4">
      <c r="A922" t="str">
        <f t="shared" si="14"/>
        <v>117Annual Standard Deviation</v>
      </c>
      <c r="B922">
        <v>117</v>
      </c>
      <c r="C922" s="9" t="s">
        <v>35</v>
      </c>
      <c r="D922" s="8">
        <v>0.47499999999999998</v>
      </c>
    </row>
    <row r="923" spans="1:4">
      <c r="A923" t="str">
        <f t="shared" si="14"/>
        <v>117Annual Variance</v>
      </c>
      <c r="B923">
        <v>117</v>
      </c>
      <c r="C923" s="9" t="s">
        <v>36</v>
      </c>
      <c r="D923" s="8">
        <v>0.22600000000000001</v>
      </c>
    </row>
    <row r="924" spans="1:4">
      <c r="A924" t="str">
        <f t="shared" si="14"/>
        <v>117Information Ratio</v>
      </c>
      <c r="B924">
        <v>117</v>
      </c>
      <c r="C924" s="9" t="s">
        <v>37</v>
      </c>
      <c r="D924" s="8">
        <v>1.2889999999999999</v>
      </c>
    </row>
    <row r="925" spans="1:4">
      <c r="A925" t="str">
        <f t="shared" si="14"/>
        <v>117Tracking Error</v>
      </c>
      <c r="B925">
        <v>117</v>
      </c>
      <c r="C925" s="9" t="s">
        <v>38</v>
      </c>
      <c r="D925" s="8">
        <v>0.49399999999999999</v>
      </c>
    </row>
    <row r="926" spans="1:4">
      <c r="A926" t="str">
        <f t="shared" si="14"/>
        <v>117Treynor Ratio</v>
      </c>
      <c r="B926">
        <v>117</v>
      </c>
      <c r="C926" s="9" t="s">
        <v>39</v>
      </c>
      <c r="D926" s="8">
        <v>-0.44600000000000001</v>
      </c>
    </row>
    <row r="927" spans="1:4">
      <c r="A927" t="str">
        <f t="shared" si="14"/>
        <v>117Total Fees</v>
      </c>
      <c r="B927">
        <v>117</v>
      </c>
      <c r="C927" s="9" t="s">
        <v>40</v>
      </c>
      <c r="D927" s="8">
        <v>0</v>
      </c>
    </row>
    <row r="928" spans="1:4">
      <c r="A928" t="str">
        <f t="shared" si="14"/>
        <v>117Estimated Strategy Capacity</v>
      </c>
      <c r="B928">
        <v>117</v>
      </c>
      <c r="C928" s="9" t="s">
        <v>41</v>
      </c>
      <c r="D928" s="8">
        <v>38000000</v>
      </c>
    </row>
    <row r="929" spans="1:4">
      <c r="A929" t="str">
        <f t="shared" si="14"/>
        <v>136PSR</v>
      </c>
      <c r="B929">
        <v>136</v>
      </c>
      <c r="C929" s="9" t="s">
        <v>27</v>
      </c>
      <c r="D929" s="8">
        <v>1.9040000000000001E-2</v>
      </c>
    </row>
    <row r="930" spans="1:4">
      <c r="A930" t="str">
        <f t="shared" si="14"/>
        <v>136Sharpe Ratio</v>
      </c>
      <c r="B930">
        <v>136</v>
      </c>
      <c r="C930" s="9" t="s">
        <v>1</v>
      </c>
      <c r="D930" s="8">
        <v>-1.2030000000000001</v>
      </c>
    </row>
    <row r="931" spans="1:4">
      <c r="A931" t="str">
        <f t="shared" si="14"/>
        <v>136Total Trades</v>
      </c>
      <c r="B931">
        <v>136</v>
      </c>
      <c r="C931" s="9" t="s">
        <v>28</v>
      </c>
      <c r="D931" s="8">
        <v>366</v>
      </c>
    </row>
    <row r="932" spans="1:4">
      <c r="A932" t="str">
        <f t="shared" si="14"/>
        <v>136Average Win</v>
      </c>
      <c r="B932">
        <v>136</v>
      </c>
      <c r="C932" s="9" t="s">
        <v>25</v>
      </c>
      <c r="D932" s="8">
        <v>1.6000000000000001E-3</v>
      </c>
    </row>
    <row r="933" spans="1:4">
      <c r="A933" t="str">
        <f t="shared" si="14"/>
        <v>136Average Loss</v>
      </c>
      <c r="B933">
        <v>136</v>
      </c>
      <c r="C933" s="9" t="s">
        <v>29</v>
      </c>
      <c r="D933" s="8">
        <v>-3.8999999999999998E-3</v>
      </c>
    </row>
    <row r="934" spans="1:4">
      <c r="A934" t="str">
        <f t="shared" si="14"/>
        <v>136Compounding Annual Return</v>
      </c>
      <c r="B934">
        <v>136</v>
      </c>
      <c r="C934" s="9" t="s">
        <v>30</v>
      </c>
      <c r="D934" s="8">
        <v>-3.099E-2</v>
      </c>
    </row>
    <row r="935" spans="1:4">
      <c r="A935" t="str">
        <f t="shared" si="14"/>
        <v>136Drawdown</v>
      </c>
      <c r="B935">
        <v>136</v>
      </c>
      <c r="C935" s="9" t="s">
        <v>8</v>
      </c>
      <c r="D935" s="8">
        <v>2.5000000000000001E-2</v>
      </c>
    </row>
    <row r="936" spans="1:4">
      <c r="A936" t="str">
        <f t="shared" si="14"/>
        <v>136Expectancy</v>
      </c>
      <c r="B936">
        <v>136</v>
      </c>
      <c r="C936" s="9" t="s">
        <v>31</v>
      </c>
      <c r="D936" s="8">
        <v>-0.41699999999999998</v>
      </c>
    </row>
    <row r="937" spans="1:4">
      <c r="A937" t="str">
        <f t="shared" si="14"/>
        <v>136Net Profit</v>
      </c>
      <c r="B937">
        <v>136</v>
      </c>
      <c r="C937" s="9" t="s">
        <v>32</v>
      </c>
      <c r="D937" s="8">
        <v>-2.0140000000000002E-2</v>
      </c>
    </row>
    <row r="938" spans="1:4">
      <c r="A938" t="str">
        <f t="shared" si="14"/>
        <v>136Loss Rate</v>
      </c>
      <c r="B938">
        <v>136</v>
      </c>
      <c r="C938" s="9" t="s">
        <v>33</v>
      </c>
      <c r="D938" s="8">
        <v>0.57999999999999996</v>
      </c>
    </row>
    <row r="939" spans="1:4">
      <c r="A939" t="str">
        <f t="shared" si="14"/>
        <v>136Win Rate</v>
      </c>
      <c r="B939">
        <v>136</v>
      </c>
      <c r="C939" s="9" t="s">
        <v>34</v>
      </c>
      <c r="D939" s="8">
        <v>0.42</v>
      </c>
    </row>
    <row r="940" spans="1:4">
      <c r="A940" t="str">
        <f t="shared" si="14"/>
        <v>136Profit-Loss Ratio</v>
      </c>
      <c r="B940">
        <v>136</v>
      </c>
      <c r="C940" s="9" t="s">
        <v>26</v>
      </c>
      <c r="D940" s="8">
        <v>0.4</v>
      </c>
    </row>
    <row r="941" spans="1:4">
      <c r="A941" t="str">
        <f t="shared" si="14"/>
        <v>136Alpha</v>
      </c>
      <c r="B941">
        <v>136</v>
      </c>
      <c r="C941" s="9" t="s">
        <v>23</v>
      </c>
      <c r="D941" s="8">
        <v>-1.2E-2</v>
      </c>
    </row>
    <row r="942" spans="1:4">
      <c r="A942" t="str">
        <f t="shared" si="14"/>
        <v>136Beta</v>
      </c>
      <c r="B942">
        <v>136</v>
      </c>
      <c r="C942" s="9" t="s">
        <v>24</v>
      </c>
      <c r="D942" s="8">
        <v>-0.14399999999999999</v>
      </c>
    </row>
    <row r="943" spans="1:4">
      <c r="A943" t="str">
        <f t="shared" si="14"/>
        <v>136Annual Standard Deviation</v>
      </c>
      <c r="B943">
        <v>136</v>
      </c>
      <c r="C943" s="9" t="s">
        <v>35</v>
      </c>
      <c r="D943" s="8">
        <v>1.7999999999999999E-2</v>
      </c>
    </row>
    <row r="944" spans="1:4">
      <c r="A944" t="str">
        <f t="shared" si="14"/>
        <v>136Annual Variance</v>
      </c>
      <c r="B944">
        <v>136</v>
      </c>
      <c r="C944" s="9" t="s">
        <v>36</v>
      </c>
      <c r="D944" s="8">
        <v>0</v>
      </c>
    </row>
    <row r="945" spans="1:4">
      <c r="A945" t="str">
        <f t="shared" si="14"/>
        <v>136Information Ratio</v>
      </c>
      <c r="B945">
        <v>136</v>
      </c>
      <c r="C945" s="9" t="s">
        <v>37</v>
      </c>
      <c r="D945" s="8">
        <v>-1.0940000000000001</v>
      </c>
    </row>
    <row r="946" spans="1:4">
      <c r="A946" t="str">
        <f t="shared" si="14"/>
        <v>136Tracking Error</v>
      </c>
      <c r="B946">
        <v>136</v>
      </c>
      <c r="C946" s="9" t="s">
        <v>38</v>
      </c>
      <c r="D946" s="8">
        <v>7.8E-2</v>
      </c>
    </row>
    <row r="947" spans="1:4">
      <c r="A947" t="str">
        <f t="shared" si="14"/>
        <v>136Treynor Ratio</v>
      </c>
      <c r="B947">
        <v>136</v>
      </c>
      <c r="C947" s="9" t="s">
        <v>39</v>
      </c>
      <c r="D947" s="8">
        <v>0.14899999999999999</v>
      </c>
    </row>
    <row r="948" spans="1:4">
      <c r="A948" t="str">
        <f t="shared" si="14"/>
        <v>136Total Fees</v>
      </c>
      <c r="B948">
        <v>136</v>
      </c>
      <c r="C948" s="9" t="s">
        <v>40</v>
      </c>
      <c r="D948" s="8">
        <v>0</v>
      </c>
    </row>
    <row r="949" spans="1:4">
      <c r="A949" t="str">
        <f t="shared" si="14"/>
        <v>136Estimated Strategy Capacity</v>
      </c>
      <c r="B949">
        <v>136</v>
      </c>
      <c r="C949" s="9" t="s">
        <v>41</v>
      </c>
      <c r="D949" s="8">
        <v>4200000000</v>
      </c>
    </row>
    <row r="950" spans="1:4">
      <c r="A950" t="str">
        <f t="shared" si="14"/>
        <v>137PSR</v>
      </c>
      <c r="B950">
        <v>137</v>
      </c>
      <c r="C950" s="9" t="s">
        <v>27</v>
      </c>
      <c r="D950" s="8">
        <v>3.5409999999999997E-2</v>
      </c>
    </row>
    <row r="951" spans="1:4">
      <c r="A951" t="str">
        <f t="shared" si="14"/>
        <v>137Sharpe Ratio</v>
      </c>
      <c r="B951">
        <v>137</v>
      </c>
      <c r="C951" s="9" t="s">
        <v>1</v>
      </c>
      <c r="D951" s="8">
        <v>-0.47499999999999998</v>
      </c>
    </row>
    <row r="952" spans="1:4">
      <c r="A952" t="str">
        <f t="shared" si="14"/>
        <v>137Total Trades</v>
      </c>
      <c r="B952">
        <v>137</v>
      </c>
      <c r="C952" s="9" t="s">
        <v>28</v>
      </c>
      <c r="D952" s="8">
        <v>349</v>
      </c>
    </row>
    <row r="953" spans="1:4">
      <c r="A953" t="str">
        <f t="shared" si="14"/>
        <v>137Average Win</v>
      </c>
      <c r="B953">
        <v>137</v>
      </c>
      <c r="C953" s="9" t="s">
        <v>25</v>
      </c>
      <c r="D953" s="8">
        <v>0.11799999999999999</v>
      </c>
    </row>
    <row r="954" spans="1:4">
      <c r="A954" t="str">
        <f t="shared" si="14"/>
        <v>137Average Loss</v>
      </c>
      <c r="B954">
        <v>137</v>
      </c>
      <c r="C954" s="9" t="s">
        <v>29</v>
      </c>
      <c r="D954" s="8">
        <v>-0.109</v>
      </c>
    </row>
    <row r="955" spans="1:4">
      <c r="A955" t="str">
        <f t="shared" si="14"/>
        <v>137Compounding Annual Return</v>
      </c>
      <c r="B955">
        <v>137</v>
      </c>
      <c r="C955" s="9" t="s">
        <v>30</v>
      </c>
      <c r="D955" s="8">
        <v>-0.98458999999999997</v>
      </c>
    </row>
    <row r="956" spans="1:4">
      <c r="A956" t="str">
        <f t="shared" si="14"/>
        <v>137Drawdown</v>
      </c>
      <c r="B956">
        <v>137</v>
      </c>
      <c r="C956" s="9" t="s">
        <v>8</v>
      </c>
      <c r="D956" s="8">
        <v>0.95399999999999996</v>
      </c>
    </row>
    <row r="957" spans="1:4">
      <c r="A957" t="str">
        <f t="shared" si="14"/>
        <v>137Expectancy</v>
      </c>
      <c r="B957">
        <v>137</v>
      </c>
      <c r="C957" s="9" t="s">
        <v>31</v>
      </c>
      <c r="D957" s="8">
        <v>-0.69199999999999995</v>
      </c>
    </row>
    <row r="958" spans="1:4">
      <c r="A958" t="str">
        <f t="shared" si="14"/>
        <v>137Net Profit</v>
      </c>
      <c r="B958">
        <v>137</v>
      </c>
      <c r="C958" s="9" t="s">
        <v>32</v>
      </c>
      <c r="D958" s="8">
        <v>-0.93262999999999996</v>
      </c>
    </row>
    <row r="959" spans="1:4">
      <c r="A959" t="str">
        <f t="shared" si="14"/>
        <v>137Loss Rate</v>
      </c>
      <c r="B959">
        <v>137</v>
      </c>
      <c r="C959" s="9" t="s">
        <v>33</v>
      </c>
      <c r="D959" s="8">
        <v>0.85</v>
      </c>
    </row>
    <row r="960" spans="1:4">
      <c r="A960" t="str">
        <f t="shared" si="14"/>
        <v>137Win Rate</v>
      </c>
      <c r="B960">
        <v>137</v>
      </c>
      <c r="C960" s="9" t="s">
        <v>34</v>
      </c>
      <c r="D960" s="8">
        <v>0.15</v>
      </c>
    </row>
    <row r="961" spans="1:4">
      <c r="A961" t="str">
        <f t="shared" si="14"/>
        <v>137Profit-Loss Ratio</v>
      </c>
      <c r="B961">
        <v>137</v>
      </c>
      <c r="C961" s="9" t="s">
        <v>26</v>
      </c>
      <c r="D961" s="8">
        <v>1.08</v>
      </c>
    </row>
    <row r="962" spans="1:4">
      <c r="A962" t="str">
        <f t="shared" si="14"/>
        <v>137Alpha</v>
      </c>
      <c r="B962">
        <v>137</v>
      </c>
      <c r="C962" s="9" t="s">
        <v>23</v>
      </c>
      <c r="D962" s="8">
        <v>0.13100000000000001</v>
      </c>
    </row>
    <row r="963" spans="1:4">
      <c r="A963" t="str">
        <f t="shared" ref="A963:A1026" si="15">B963&amp;C963</f>
        <v>137Beta</v>
      </c>
      <c r="B963">
        <v>137</v>
      </c>
      <c r="C963" s="9" t="s">
        <v>24</v>
      </c>
      <c r="D963" s="8">
        <v>-14.295</v>
      </c>
    </row>
    <row r="964" spans="1:4">
      <c r="A964" t="str">
        <f t="shared" si="15"/>
        <v>137Annual Standard Deviation</v>
      </c>
      <c r="B964">
        <v>137</v>
      </c>
      <c r="C964" s="9" t="s">
        <v>35</v>
      </c>
      <c r="D964" s="8">
        <v>1.64</v>
      </c>
    </row>
    <row r="965" spans="1:4">
      <c r="A965" t="str">
        <f t="shared" si="15"/>
        <v>137Annual Variance</v>
      </c>
      <c r="B965">
        <v>137</v>
      </c>
      <c r="C965" s="9" t="s">
        <v>36</v>
      </c>
      <c r="D965" s="8">
        <v>2.69</v>
      </c>
    </row>
    <row r="966" spans="1:4">
      <c r="A966" t="str">
        <f t="shared" si="15"/>
        <v>137Information Ratio</v>
      </c>
      <c r="B966">
        <v>137</v>
      </c>
      <c r="C966" s="9" t="s">
        <v>37</v>
      </c>
      <c r="D966" s="8">
        <v>-0.502</v>
      </c>
    </row>
    <row r="967" spans="1:4">
      <c r="A967" t="str">
        <f t="shared" si="15"/>
        <v>137Tracking Error</v>
      </c>
      <c r="B967">
        <v>137</v>
      </c>
      <c r="C967" s="9" t="s">
        <v>38</v>
      </c>
      <c r="D967" s="8">
        <v>1.68</v>
      </c>
    </row>
    <row r="968" spans="1:4">
      <c r="A968" t="str">
        <f t="shared" si="15"/>
        <v>137Treynor Ratio</v>
      </c>
      <c r="B968">
        <v>137</v>
      </c>
      <c r="C968" s="9" t="s">
        <v>39</v>
      </c>
      <c r="D968" s="8">
        <v>5.5E-2</v>
      </c>
    </row>
    <row r="969" spans="1:4">
      <c r="A969" t="str">
        <f t="shared" si="15"/>
        <v>137Total Fees</v>
      </c>
      <c r="B969">
        <v>137</v>
      </c>
      <c r="C969" s="9" t="s">
        <v>40</v>
      </c>
      <c r="D969" s="8">
        <v>0</v>
      </c>
    </row>
    <row r="970" spans="1:4">
      <c r="A970" t="str">
        <f t="shared" si="15"/>
        <v>137Estimated Strategy Capacity</v>
      </c>
      <c r="B970">
        <v>137</v>
      </c>
      <c r="C970" s="9" t="s">
        <v>41</v>
      </c>
      <c r="D970" s="8">
        <v>7500000</v>
      </c>
    </row>
    <row r="971" spans="1:4">
      <c r="A971" t="str">
        <f t="shared" si="15"/>
        <v>138PSR</v>
      </c>
      <c r="B971">
        <v>138</v>
      </c>
      <c r="C971" t="s">
        <v>27</v>
      </c>
      <c r="D971" s="6">
        <v>9.3880000000000005E-2</v>
      </c>
    </row>
    <row r="972" spans="1:4">
      <c r="A972" t="str">
        <f t="shared" si="15"/>
        <v>138Sharpe Ratio</v>
      </c>
      <c r="B972">
        <v>138</v>
      </c>
      <c r="C972" t="s">
        <v>1</v>
      </c>
      <c r="D972" s="6">
        <v>-0.36699999999999999</v>
      </c>
    </row>
    <row r="973" spans="1:4">
      <c r="A973" t="str">
        <f t="shared" si="15"/>
        <v>138Total Trades</v>
      </c>
      <c r="B973">
        <v>138</v>
      </c>
      <c r="C973" t="s">
        <v>28</v>
      </c>
      <c r="D973" s="6">
        <v>459</v>
      </c>
    </row>
    <row r="974" spans="1:4">
      <c r="A974" t="str">
        <f t="shared" si="15"/>
        <v>138Average Win</v>
      </c>
      <c r="B974">
        <v>138</v>
      </c>
      <c r="C974" t="s">
        <v>25</v>
      </c>
      <c r="D974" s="6">
        <v>4.1099999999999998E-2</v>
      </c>
    </row>
    <row r="975" spans="1:4">
      <c r="A975" t="str">
        <f t="shared" si="15"/>
        <v>138Average Loss</v>
      </c>
      <c r="B975">
        <v>138</v>
      </c>
      <c r="C975" t="s">
        <v>29</v>
      </c>
      <c r="D975" s="6">
        <v>-7.9299999999999995E-2</v>
      </c>
    </row>
    <row r="976" spans="1:4">
      <c r="A976" t="str">
        <f t="shared" si="15"/>
        <v>138Compounding Annual Return</v>
      </c>
      <c r="B976">
        <v>138</v>
      </c>
      <c r="C976" t="s">
        <v>30</v>
      </c>
      <c r="D976" s="6">
        <v>-0.46013999999999999</v>
      </c>
    </row>
    <row r="977" spans="1:4">
      <c r="A977" t="str">
        <f t="shared" si="15"/>
        <v>138Drawdown</v>
      </c>
      <c r="B977">
        <v>138</v>
      </c>
      <c r="C977" t="s">
        <v>8</v>
      </c>
      <c r="D977" s="6">
        <v>0.59299999999999997</v>
      </c>
    </row>
    <row r="978" spans="1:4">
      <c r="A978" t="str">
        <f t="shared" si="15"/>
        <v>138Expectancy</v>
      </c>
      <c r="B978">
        <v>138</v>
      </c>
      <c r="C978" t="s">
        <v>31</v>
      </c>
      <c r="D978" s="6">
        <v>-0.29099999999999998</v>
      </c>
    </row>
    <row r="979" spans="1:4">
      <c r="A979" t="str">
        <f t="shared" si="15"/>
        <v>138Net Profit</v>
      </c>
      <c r="B979">
        <v>138</v>
      </c>
      <c r="C979" t="s">
        <v>32</v>
      </c>
      <c r="D979" s="6">
        <v>-0.32754</v>
      </c>
    </row>
    <row r="980" spans="1:4">
      <c r="A980" t="str">
        <f t="shared" si="15"/>
        <v>138Loss Rate</v>
      </c>
      <c r="B980">
        <v>138</v>
      </c>
      <c r="C980" t="s">
        <v>33</v>
      </c>
      <c r="D980" s="6">
        <v>0.53</v>
      </c>
    </row>
    <row r="981" spans="1:4">
      <c r="A981" t="str">
        <f t="shared" si="15"/>
        <v>138Win Rate</v>
      </c>
      <c r="B981">
        <v>138</v>
      </c>
      <c r="C981" t="s">
        <v>34</v>
      </c>
      <c r="D981" s="6">
        <v>0.47</v>
      </c>
    </row>
    <row r="982" spans="1:4">
      <c r="A982" t="str">
        <f t="shared" si="15"/>
        <v>138Profit-Loss Ratio</v>
      </c>
      <c r="B982">
        <v>138</v>
      </c>
      <c r="C982" t="s">
        <v>26</v>
      </c>
      <c r="D982" s="6">
        <v>0.52</v>
      </c>
    </row>
    <row r="983" spans="1:4">
      <c r="A983" t="str">
        <f t="shared" si="15"/>
        <v>138Alpha</v>
      </c>
      <c r="B983">
        <v>138</v>
      </c>
      <c r="C983" t="s">
        <v>23</v>
      </c>
      <c r="D983" s="6">
        <v>-0.36</v>
      </c>
    </row>
    <row r="984" spans="1:4">
      <c r="A984" t="str">
        <f t="shared" si="15"/>
        <v>138Beta</v>
      </c>
      <c r="B984">
        <v>138</v>
      </c>
      <c r="C984" t="s">
        <v>24</v>
      </c>
      <c r="D984" s="6">
        <v>2.1549999999999998</v>
      </c>
    </row>
    <row r="985" spans="1:4">
      <c r="A985" t="str">
        <f t="shared" si="15"/>
        <v>138Annual Standard Deviation</v>
      </c>
      <c r="B985">
        <v>138</v>
      </c>
      <c r="C985" t="s">
        <v>35</v>
      </c>
      <c r="D985" s="6">
        <v>0.60599999999999998</v>
      </c>
    </row>
    <row r="986" spans="1:4">
      <c r="A986" t="str">
        <f t="shared" si="15"/>
        <v>138Annual Variance</v>
      </c>
      <c r="B986">
        <v>138</v>
      </c>
      <c r="C986" t="s">
        <v>36</v>
      </c>
      <c r="D986" s="6">
        <v>0.36699999999999999</v>
      </c>
    </row>
    <row r="987" spans="1:4">
      <c r="A987" t="str">
        <f t="shared" si="15"/>
        <v>138Information Ratio</v>
      </c>
      <c r="B987">
        <v>138</v>
      </c>
      <c r="C987" t="s">
        <v>37</v>
      </c>
      <c r="D987" s="6">
        <v>-0.48199999999999998</v>
      </c>
    </row>
    <row r="988" spans="1:4">
      <c r="A988" t="str">
        <f t="shared" si="15"/>
        <v>138Tracking Error</v>
      </c>
      <c r="B988">
        <v>138</v>
      </c>
      <c r="C988" t="s">
        <v>38</v>
      </c>
      <c r="D988" s="6">
        <v>0.59299999999999997</v>
      </c>
    </row>
    <row r="989" spans="1:4">
      <c r="A989" t="str">
        <f t="shared" si="15"/>
        <v>138Treynor Ratio</v>
      </c>
      <c r="B989">
        <v>138</v>
      </c>
      <c r="C989" t="s">
        <v>39</v>
      </c>
      <c r="D989" s="6">
        <v>-0.10299999999999999</v>
      </c>
    </row>
    <row r="990" spans="1:4">
      <c r="A990" t="str">
        <f t="shared" si="15"/>
        <v>138Total Fees</v>
      </c>
      <c r="B990">
        <v>138</v>
      </c>
      <c r="C990" t="s">
        <v>40</v>
      </c>
      <c r="D990" s="6">
        <v>0</v>
      </c>
    </row>
    <row r="991" spans="1:4">
      <c r="A991" t="str">
        <f t="shared" si="15"/>
        <v>138Estimated Strategy Capacity</v>
      </c>
      <c r="B991">
        <v>138</v>
      </c>
      <c r="C991" t="s">
        <v>41</v>
      </c>
      <c r="D991" s="6">
        <v>19000000</v>
      </c>
    </row>
    <row r="992" spans="1:4">
      <c r="A992" t="str">
        <f t="shared" si="15"/>
        <v>139PSR</v>
      </c>
      <c r="B992">
        <v>139</v>
      </c>
      <c r="C992" s="9" t="s">
        <v>27</v>
      </c>
      <c r="D992" s="8">
        <v>2.9389999999999999E-2</v>
      </c>
    </row>
    <row r="993" spans="1:4">
      <c r="A993" t="str">
        <f t="shared" si="15"/>
        <v>139Sharpe Ratio</v>
      </c>
      <c r="B993">
        <v>139</v>
      </c>
      <c r="C993" s="9" t="s">
        <v>1</v>
      </c>
      <c r="D993" s="8">
        <v>-1.014</v>
      </c>
    </row>
    <row r="994" spans="1:4">
      <c r="A994" t="str">
        <f t="shared" si="15"/>
        <v>139Total Trades</v>
      </c>
      <c r="B994">
        <v>139</v>
      </c>
      <c r="C994" s="9" t="s">
        <v>28</v>
      </c>
      <c r="D994" s="8">
        <v>222</v>
      </c>
    </row>
    <row r="995" spans="1:4">
      <c r="A995" t="str">
        <f t="shared" si="15"/>
        <v>139Average Win</v>
      </c>
      <c r="B995">
        <v>139</v>
      </c>
      <c r="C995" s="9" t="s">
        <v>25</v>
      </c>
      <c r="D995" s="8">
        <v>2.5000000000000001E-3</v>
      </c>
    </row>
    <row r="996" spans="1:4">
      <c r="A996" t="str">
        <f t="shared" si="15"/>
        <v>139Average Loss</v>
      </c>
      <c r="B996">
        <v>139</v>
      </c>
      <c r="C996" s="9" t="s">
        <v>29</v>
      </c>
      <c r="D996" s="8">
        <v>-3.5000000000000001E-3</v>
      </c>
    </row>
    <row r="997" spans="1:4">
      <c r="A997" t="str">
        <f t="shared" si="15"/>
        <v>139Compounding Annual Return</v>
      </c>
      <c r="B997">
        <v>139</v>
      </c>
      <c r="C997" s="9" t="s">
        <v>30</v>
      </c>
      <c r="D997" s="8">
        <v>-1.9630000000000002E-2</v>
      </c>
    </row>
    <row r="998" spans="1:4">
      <c r="A998" t="str">
        <f t="shared" si="15"/>
        <v>139Drawdown</v>
      </c>
      <c r="B998">
        <v>139</v>
      </c>
      <c r="C998" s="9" t="s">
        <v>8</v>
      </c>
      <c r="D998" s="8">
        <v>1.7999999999999999E-2</v>
      </c>
    </row>
    <row r="999" spans="1:4">
      <c r="A999" t="str">
        <f t="shared" si="15"/>
        <v>139Expectancy</v>
      </c>
      <c r="B999">
        <v>139</v>
      </c>
      <c r="C999" s="9" t="s">
        <v>31</v>
      </c>
      <c r="D999" s="8">
        <v>-0.50700000000000001</v>
      </c>
    </row>
    <row r="1000" spans="1:4">
      <c r="A1000" t="str">
        <f t="shared" si="15"/>
        <v>139Net Profit</v>
      </c>
      <c r="B1000">
        <v>139</v>
      </c>
      <c r="C1000" s="9" t="s">
        <v>32</v>
      </c>
      <c r="D1000" s="8">
        <v>-1.273E-2</v>
      </c>
    </row>
    <row r="1001" spans="1:4">
      <c r="A1001" t="str">
        <f t="shared" si="15"/>
        <v>139Loss Rate</v>
      </c>
      <c r="B1001">
        <v>139</v>
      </c>
      <c r="C1001" s="9" t="s">
        <v>33</v>
      </c>
      <c r="D1001" s="8">
        <v>0.71</v>
      </c>
    </row>
    <row r="1002" spans="1:4">
      <c r="A1002" t="str">
        <f t="shared" si="15"/>
        <v>139Win Rate</v>
      </c>
      <c r="B1002">
        <v>139</v>
      </c>
      <c r="C1002" s="9" t="s">
        <v>34</v>
      </c>
      <c r="D1002" s="8">
        <v>0.28999999999999998</v>
      </c>
    </row>
    <row r="1003" spans="1:4">
      <c r="A1003" t="str">
        <f t="shared" si="15"/>
        <v>139Profit-Loss Ratio</v>
      </c>
      <c r="B1003">
        <v>139</v>
      </c>
      <c r="C1003" s="9" t="s">
        <v>26</v>
      </c>
      <c r="D1003" s="8">
        <v>0.73</v>
      </c>
    </row>
    <row r="1004" spans="1:4">
      <c r="A1004" t="str">
        <f t="shared" si="15"/>
        <v>139Alpha</v>
      </c>
      <c r="B1004">
        <v>139</v>
      </c>
      <c r="C1004" s="9" t="s">
        <v>23</v>
      </c>
      <c r="D1004" s="8">
        <v>-7.0000000000000001E-3</v>
      </c>
    </row>
    <row r="1005" spans="1:4">
      <c r="A1005" t="str">
        <f t="shared" si="15"/>
        <v>139Beta</v>
      </c>
      <c r="B1005">
        <v>139</v>
      </c>
      <c r="C1005" s="9" t="s">
        <v>24</v>
      </c>
      <c r="D1005" s="8">
        <v>-9.7000000000000003E-2</v>
      </c>
    </row>
    <row r="1006" spans="1:4">
      <c r="A1006" t="str">
        <f t="shared" si="15"/>
        <v>139Annual Standard Deviation</v>
      </c>
      <c r="B1006">
        <v>139</v>
      </c>
      <c r="C1006" s="9" t="s">
        <v>35</v>
      </c>
      <c r="D1006" s="8">
        <v>1.2999999999999999E-2</v>
      </c>
    </row>
    <row r="1007" spans="1:4">
      <c r="A1007" t="str">
        <f t="shared" si="15"/>
        <v>139Annual Variance</v>
      </c>
      <c r="B1007">
        <v>139</v>
      </c>
      <c r="C1007" s="9" t="s">
        <v>36</v>
      </c>
      <c r="D1007" s="8">
        <v>0</v>
      </c>
    </row>
    <row r="1008" spans="1:4">
      <c r="A1008" t="str">
        <f t="shared" si="15"/>
        <v>139Information Ratio</v>
      </c>
      <c r="B1008">
        <v>139</v>
      </c>
      <c r="C1008" s="9" t="s">
        <v>37</v>
      </c>
      <c r="D1008" s="8">
        <v>-1.042</v>
      </c>
    </row>
    <row r="1009" spans="1:4">
      <c r="A1009" t="str">
        <f t="shared" si="15"/>
        <v>139Tracking Error</v>
      </c>
      <c r="B1009">
        <v>139</v>
      </c>
      <c r="C1009" s="9" t="s">
        <v>38</v>
      </c>
      <c r="D1009" s="8">
        <v>7.3999999999999996E-2</v>
      </c>
    </row>
    <row r="1010" spans="1:4">
      <c r="A1010" t="str">
        <f t="shared" si="15"/>
        <v>139Treynor Ratio</v>
      </c>
      <c r="B1010">
        <v>139</v>
      </c>
      <c r="C1010" s="9" t="s">
        <v>39</v>
      </c>
      <c r="D1010" s="8">
        <v>0.14000000000000001</v>
      </c>
    </row>
    <row r="1011" spans="1:4">
      <c r="A1011" t="str">
        <f t="shared" si="15"/>
        <v>139Total Fees</v>
      </c>
      <c r="B1011">
        <v>139</v>
      </c>
      <c r="C1011" s="9" t="s">
        <v>40</v>
      </c>
      <c r="D1011" s="8">
        <v>0</v>
      </c>
    </row>
    <row r="1012" spans="1:4">
      <c r="A1012" t="str">
        <f t="shared" si="15"/>
        <v>139Estimated Strategy Capacity</v>
      </c>
      <c r="B1012">
        <v>139</v>
      </c>
      <c r="C1012" s="9" t="s">
        <v>41</v>
      </c>
      <c r="D1012" s="8">
        <v>680000000</v>
      </c>
    </row>
    <row r="1013" spans="1:4">
      <c r="A1013" t="str">
        <f t="shared" si="15"/>
        <v>140PSR</v>
      </c>
      <c r="B1013">
        <v>140</v>
      </c>
      <c r="C1013" s="9" t="s">
        <v>27</v>
      </c>
      <c r="D1013" s="8">
        <v>3.4819999999999997E-2</v>
      </c>
    </row>
    <row r="1014" spans="1:4">
      <c r="A1014" t="str">
        <f t="shared" si="15"/>
        <v>140Sharpe Ratio</v>
      </c>
      <c r="B1014">
        <v>140</v>
      </c>
      <c r="C1014" s="9" t="s">
        <v>1</v>
      </c>
      <c r="D1014" s="8">
        <v>-0.873</v>
      </c>
    </row>
    <row r="1015" spans="1:4">
      <c r="A1015" t="str">
        <f t="shared" si="15"/>
        <v>140Total Trades</v>
      </c>
      <c r="B1015">
        <v>140</v>
      </c>
      <c r="C1015" s="9" t="s">
        <v>28</v>
      </c>
      <c r="D1015" s="8">
        <v>222</v>
      </c>
    </row>
    <row r="1016" spans="1:4">
      <c r="A1016" t="str">
        <f t="shared" si="15"/>
        <v>140Average Win</v>
      </c>
      <c r="B1016">
        <v>140</v>
      </c>
      <c r="C1016" s="9" t="s">
        <v>25</v>
      </c>
      <c r="D1016" s="8">
        <v>2.69E-2</v>
      </c>
    </row>
    <row r="1017" spans="1:4">
      <c r="A1017" t="str">
        <f t="shared" si="15"/>
        <v>140Average Loss</v>
      </c>
      <c r="B1017">
        <v>140</v>
      </c>
      <c r="C1017" s="9" t="s">
        <v>29</v>
      </c>
      <c r="D1017" s="8">
        <v>-3.49E-2</v>
      </c>
    </row>
    <row r="1018" spans="1:4">
      <c r="A1018" t="str">
        <f t="shared" si="15"/>
        <v>140Compounding Annual Return</v>
      </c>
      <c r="B1018">
        <v>140</v>
      </c>
      <c r="C1018" s="9" t="s">
        <v>30</v>
      </c>
      <c r="D1018" s="8">
        <v>-0.18998999999999999</v>
      </c>
    </row>
    <row r="1019" spans="1:4">
      <c r="A1019" t="str">
        <f t="shared" si="15"/>
        <v>140Drawdown</v>
      </c>
      <c r="B1019">
        <v>140</v>
      </c>
      <c r="C1019" s="9" t="s">
        <v>8</v>
      </c>
      <c r="D1019" s="8">
        <v>0.17599999999999999</v>
      </c>
    </row>
    <row r="1020" spans="1:4">
      <c r="A1020" t="str">
        <f t="shared" si="15"/>
        <v>140Expectancy</v>
      </c>
      <c r="B1020">
        <v>140</v>
      </c>
      <c r="C1020" s="9" t="s">
        <v>31</v>
      </c>
      <c r="D1020" s="8">
        <v>-0.49399999999999999</v>
      </c>
    </row>
    <row r="1021" spans="1:4">
      <c r="A1021" t="str">
        <f t="shared" si="15"/>
        <v>140Net Profit</v>
      </c>
      <c r="B1021">
        <v>140</v>
      </c>
      <c r="C1021" s="9" t="s">
        <v>32</v>
      </c>
      <c r="D1021" s="8">
        <v>-0.12734000000000001</v>
      </c>
    </row>
    <row r="1022" spans="1:4">
      <c r="A1022" t="str">
        <f t="shared" si="15"/>
        <v>140Loss Rate</v>
      </c>
      <c r="B1022">
        <v>140</v>
      </c>
      <c r="C1022" s="9" t="s">
        <v>33</v>
      </c>
      <c r="D1022" s="8">
        <v>0.71</v>
      </c>
    </row>
    <row r="1023" spans="1:4">
      <c r="A1023" t="str">
        <f t="shared" si="15"/>
        <v>140Win Rate</v>
      </c>
      <c r="B1023">
        <v>140</v>
      </c>
      <c r="C1023" s="9" t="s">
        <v>34</v>
      </c>
      <c r="D1023" s="8">
        <v>0.28999999999999998</v>
      </c>
    </row>
    <row r="1024" spans="1:4">
      <c r="A1024" t="str">
        <f t="shared" si="15"/>
        <v>140Profit-Loss Ratio</v>
      </c>
      <c r="B1024">
        <v>140</v>
      </c>
      <c r="C1024" s="9" t="s">
        <v>26</v>
      </c>
      <c r="D1024" s="8">
        <v>0.77</v>
      </c>
    </row>
    <row r="1025" spans="1:4">
      <c r="A1025" t="str">
        <f t="shared" si="15"/>
        <v>140Alpha</v>
      </c>
      <c r="B1025">
        <v>140</v>
      </c>
      <c r="C1025" s="9" t="s">
        <v>23</v>
      </c>
      <c r="D1025" s="8">
        <v>-0.06</v>
      </c>
    </row>
    <row r="1026" spans="1:4">
      <c r="A1026" t="str">
        <f t="shared" si="15"/>
        <v>140Beta</v>
      </c>
      <c r="B1026">
        <v>140</v>
      </c>
      <c r="C1026" s="9" t="s">
        <v>24</v>
      </c>
      <c r="D1026" s="8">
        <v>-1.0509999999999999</v>
      </c>
    </row>
    <row r="1027" spans="1:4">
      <c r="A1027" t="str">
        <f t="shared" ref="A1027:A1090" si="16">B1027&amp;C1027</f>
        <v>140Annual Standard Deviation</v>
      </c>
      <c r="B1027">
        <v>140</v>
      </c>
      <c r="C1027" s="9" t="s">
        <v>35</v>
      </c>
      <c r="D1027" s="8">
        <v>0.14499999999999999</v>
      </c>
    </row>
    <row r="1028" spans="1:4">
      <c r="A1028" t="str">
        <f t="shared" si="16"/>
        <v>140Annual Variance</v>
      </c>
      <c r="B1028">
        <v>140</v>
      </c>
      <c r="C1028" s="9" t="s">
        <v>36</v>
      </c>
      <c r="D1028" s="8">
        <v>2.1000000000000001E-2</v>
      </c>
    </row>
    <row r="1029" spans="1:4">
      <c r="A1029" t="str">
        <f t="shared" si="16"/>
        <v>140Information Ratio</v>
      </c>
      <c r="B1029">
        <v>140</v>
      </c>
      <c r="C1029" s="9" t="s">
        <v>37</v>
      </c>
      <c r="D1029" s="8">
        <v>-1.02</v>
      </c>
    </row>
    <row r="1030" spans="1:4">
      <c r="A1030" t="str">
        <f t="shared" si="16"/>
        <v>140Tracking Error</v>
      </c>
      <c r="B1030">
        <v>140</v>
      </c>
      <c r="C1030" s="9" t="s">
        <v>38</v>
      </c>
      <c r="D1030" s="8">
        <v>0.187</v>
      </c>
    </row>
    <row r="1031" spans="1:4">
      <c r="A1031" t="str">
        <f t="shared" si="16"/>
        <v>140Treynor Ratio</v>
      </c>
      <c r="B1031">
        <v>140</v>
      </c>
      <c r="C1031" s="9" t="s">
        <v>39</v>
      </c>
      <c r="D1031" s="8">
        <v>0.121</v>
      </c>
    </row>
    <row r="1032" spans="1:4">
      <c r="A1032" t="str">
        <f t="shared" si="16"/>
        <v>140Total Fees</v>
      </c>
      <c r="B1032">
        <v>140</v>
      </c>
      <c r="C1032" s="9" t="s">
        <v>40</v>
      </c>
      <c r="D1032" s="8">
        <v>0</v>
      </c>
    </row>
    <row r="1033" spans="1:4">
      <c r="A1033" t="str">
        <f t="shared" si="16"/>
        <v>140Estimated Strategy Capacity</v>
      </c>
      <c r="B1033">
        <v>140</v>
      </c>
      <c r="C1033" s="9" t="s">
        <v>41</v>
      </c>
      <c r="D1033" s="8">
        <v>62000000</v>
      </c>
    </row>
    <row r="1034" spans="1:4">
      <c r="A1034" t="str">
        <f t="shared" si="16"/>
        <v>141PSR</v>
      </c>
      <c r="B1034">
        <v>141</v>
      </c>
      <c r="C1034" s="9" t="s">
        <v>27</v>
      </c>
      <c r="D1034" s="8">
        <v>7.8109999999999999E-2</v>
      </c>
    </row>
    <row r="1035" spans="1:4">
      <c r="A1035" t="str">
        <f t="shared" si="16"/>
        <v>141Sharpe Ratio</v>
      </c>
      <c r="B1035">
        <v>141</v>
      </c>
      <c r="C1035" s="9" t="s">
        <v>1</v>
      </c>
      <c r="D1035" s="8">
        <v>-0.36299999999999999</v>
      </c>
    </row>
    <row r="1036" spans="1:4">
      <c r="A1036" t="str">
        <f t="shared" si="16"/>
        <v>141Total Trades</v>
      </c>
      <c r="B1036">
        <v>141</v>
      </c>
      <c r="C1036" s="9" t="s">
        <v>28</v>
      </c>
      <c r="D1036" s="8">
        <v>215</v>
      </c>
    </row>
    <row r="1037" spans="1:4">
      <c r="A1037" t="str">
        <f t="shared" si="16"/>
        <v>141Average Win</v>
      </c>
      <c r="B1037">
        <v>141</v>
      </c>
      <c r="C1037" s="9" t="s">
        <v>25</v>
      </c>
      <c r="D1037" s="8">
        <v>0.13170000000000001</v>
      </c>
    </row>
    <row r="1038" spans="1:4">
      <c r="A1038" t="str">
        <f t="shared" si="16"/>
        <v>141Average Loss</v>
      </c>
      <c r="B1038">
        <v>141</v>
      </c>
      <c r="C1038" s="9" t="s">
        <v>29</v>
      </c>
      <c r="D1038" s="8">
        <v>-0.1108</v>
      </c>
    </row>
    <row r="1039" spans="1:4">
      <c r="A1039" t="str">
        <f t="shared" si="16"/>
        <v>141Compounding Annual Return</v>
      </c>
      <c r="B1039">
        <v>141</v>
      </c>
      <c r="C1039" s="9" t="s">
        <v>30</v>
      </c>
      <c r="D1039" s="8">
        <v>-0.87075999999999998</v>
      </c>
    </row>
    <row r="1040" spans="1:4">
      <c r="A1040" t="str">
        <f t="shared" si="16"/>
        <v>141Drawdown</v>
      </c>
      <c r="B1040">
        <v>141</v>
      </c>
      <c r="C1040" s="9" t="s">
        <v>8</v>
      </c>
      <c r="D1040" s="8">
        <v>0.83699999999999997</v>
      </c>
    </row>
    <row r="1041" spans="1:4">
      <c r="A1041" t="str">
        <f t="shared" si="16"/>
        <v>141Expectancy</v>
      </c>
      <c r="B1041">
        <v>141</v>
      </c>
      <c r="C1041" s="9" t="s">
        <v>31</v>
      </c>
      <c r="D1041" s="8">
        <v>-0.66300000000000003</v>
      </c>
    </row>
    <row r="1042" spans="1:4">
      <c r="A1042" t="str">
        <f t="shared" si="16"/>
        <v>141Net Profit</v>
      </c>
      <c r="B1042">
        <v>141</v>
      </c>
      <c r="C1042" s="9" t="s">
        <v>32</v>
      </c>
      <c r="D1042" s="8">
        <v>-0.73358000000000001</v>
      </c>
    </row>
    <row r="1043" spans="1:4">
      <c r="A1043" t="str">
        <f t="shared" si="16"/>
        <v>141Loss Rate</v>
      </c>
      <c r="B1043">
        <v>141</v>
      </c>
      <c r="C1043" s="9" t="s">
        <v>33</v>
      </c>
      <c r="D1043" s="8">
        <v>0.85</v>
      </c>
    </row>
    <row r="1044" spans="1:4">
      <c r="A1044" t="str">
        <f t="shared" si="16"/>
        <v>141Win Rate</v>
      </c>
      <c r="B1044">
        <v>141</v>
      </c>
      <c r="C1044" s="9" t="s">
        <v>34</v>
      </c>
      <c r="D1044" s="8">
        <v>0.15</v>
      </c>
    </row>
    <row r="1045" spans="1:4">
      <c r="A1045" t="str">
        <f t="shared" si="16"/>
        <v>141Profit-Loss Ratio</v>
      </c>
      <c r="B1045">
        <v>141</v>
      </c>
      <c r="C1045" s="9" t="s">
        <v>26</v>
      </c>
      <c r="D1045" s="8">
        <v>1.19</v>
      </c>
    </row>
    <row r="1046" spans="1:4">
      <c r="A1046" t="str">
        <f t="shared" si="16"/>
        <v>141Alpha</v>
      </c>
      <c r="B1046">
        <v>141</v>
      </c>
      <c r="C1046" s="9" t="s">
        <v>23</v>
      </c>
      <c r="D1046" s="8">
        <v>0.15</v>
      </c>
    </row>
    <row r="1047" spans="1:4">
      <c r="A1047" t="str">
        <f t="shared" si="16"/>
        <v>141Beta</v>
      </c>
      <c r="B1047">
        <v>141</v>
      </c>
      <c r="C1047" s="9" t="s">
        <v>24</v>
      </c>
      <c r="D1047" s="8">
        <v>-9.5239999999999991</v>
      </c>
    </row>
    <row r="1048" spans="1:4">
      <c r="A1048" t="str">
        <f t="shared" si="16"/>
        <v>141Annual Standard Deviation</v>
      </c>
      <c r="B1048">
        <v>141</v>
      </c>
      <c r="C1048" s="9" t="s">
        <v>35</v>
      </c>
      <c r="D1048" s="8">
        <v>1.258</v>
      </c>
    </row>
    <row r="1049" spans="1:4">
      <c r="A1049" t="str">
        <f t="shared" si="16"/>
        <v>141Annual Variance</v>
      </c>
      <c r="B1049">
        <v>141</v>
      </c>
      <c r="C1049" s="9" t="s">
        <v>36</v>
      </c>
      <c r="D1049" s="8">
        <v>1.5820000000000001</v>
      </c>
    </row>
    <row r="1050" spans="1:4">
      <c r="A1050" t="str">
        <f t="shared" si="16"/>
        <v>141Information Ratio</v>
      </c>
      <c r="B1050">
        <v>141</v>
      </c>
      <c r="C1050" s="9" t="s">
        <v>37</v>
      </c>
      <c r="D1050" s="8">
        <v>-0.40200000000000002</v>
      </c>
    </row>
    <row r="1051" spans="1:4">
      <c r="A1051" t="str">
        <f t="shared" si="16"/>
        <v>141Tracking Error</v>
      </c>
      <c r="B1051">
        <v>141</v>
      </c>
      <c r="C1051" s="9" t="s">
        <v>38</v>
      </c>
      <c r="D1051" s="8">
        <v>1.2929999999999999</v>
      </c>
    </row>
    <row r="1052" spans="1:4">
      <c r="A1052" t="str">
        <f t="shared" si="16"/>
        <v>141Treynor Ratio</v>
      </c>
      <c r="B1052">
        <v>141</v>
      </c>
      <c r="C1052" s="9" t="s">
        <v>39</v>
      </c>
      <c r="D1052" s="8">
        <v>4.8000000000000001E-2</v>
      </c>
    </row>
    <row r="1053" spans="1:4">
      <c r="A1053" t="str">
        <f t="shared" si="16"/>
        <v>141Total Fees</v>
      </c>
      <c r="B1053">
        <v>141</v>
      </c>
      <c r="C1053" s="9" t="s">
        <v>40</v>
      </c>
      <c r="D1053" s="8">
        <v>0</v>
      </c>
    </row>
    <row r="1054" spans="1:4">
      <c r="A1054" t="str">
        <f t="shared" si="16"/>
        <v>141Estimated Strategy Capacity</v>
      </c>
      <c r="B1054">
        <v>141</v>
      </c>
      <c r="C1054" s="9" t="s">
        <v>41</v>
      </c>
      <c r="D1054" s="8">
        <v>4800000</v>
      </c>
    </row>
    <row r="1055" spans="1:4">
      <c r="A1055" t="str">
        <f t="shared" si="16"/>
        <v>142PSR</v>
      </c>
      <c r="B1055">
        <v>142</v>
      </c>
      <c r="C1055" s="9" t="s">
        <v>27</v>
      </c>
      <c r="D1055" s="8">
        <v>8.1240000000000007E-2</v>
      </c>
    </row>
    <row r="1056" spans="1:4">
      <c r="A1056" t="str">
        <f t="shared" si="16"/>
        <v>142Sharpe Ratio</v>
      </c>
      <c r="B1056">
        <v>142</v>
      </c>
      <c r="C1056" s="9" t="s">
        <v>1</v>
      </c>
      <c r="D1056" s="8">
        <v>-0.42</v>
      </c>
    </row>
    <row r="1057" spans="1:4">
      <c r="A1057" t="str">
        <f t="shared" si="16"/>
        <v>142Total Trades</v>
      </c>
      <c r="B1057">
        <v>142</v>
      </c>
      <c r="C1057" s="9" t="s">
        <v>28</v>
      </c>
      <c r="D1057" s="8">
        <v>165</v>
      </c>
    </row>
    <row r="1058" spans="1:4">
      <c r="A1058" t="str">
        <f t="shared" si="16"/>
        <v>142Average Win</v>
      </c>
      <c r="B1058">
        <v>142</v>
      </c>
      <c r="C1058" s="9" t="s">
        <v>25</v>
      </c>
      <c r="D1058" s="8">
        <v>1.2999999999999999E-3</v>
      </c>
    </row>
    <row r="1059" spans="1:4">
      <c r="A1059" t="str">
        <f t="shared" si="16"/>
        <v>142Average Loss</v>
      </c>
      <c r="B1059">
        <v>142</v>
      </c>
      <c r="C1059" s="9" t="s">
        <v>29</v>
      </c>
      <c r="D1059" s="8">
        <v>-1.9E-3</v>
      </c>
    </row>
    <row r="1060" spans="1:4">
      <c r="A1060" t="str">
        <f t="shared" si="16"/>
        <v>142Compounding Annual Return</v>
      </c>
      <c r="B1060">
        <v>142</v>
      </c>
      <c r="C1060" s="9" t="s">
        <v>30</v>
      </c>
      <c r="D1060" s="8">
        <v>-5.4999999999999997E-3</v>
      </c>
    </row>
    <row r="1061" spans="1:4">
      <c r="A1061" t="str">
        <f t="shared" si="16"/>
        <v>142Drawdown</v>
      </c>
      <c r="B1061">
        <v>142</v>
      </c>
      <c r="C1061" s="9" t="s">
        <v>8</v>
      </c>
      <c r="D1061" s="8">
        <v>8.0000000000000002E-3</v>
      </c>
    </row>
    <row r="1062" spans="1:4">
      <c r="A1062" t="str">
        <f t="shared" si="16"/>
        <v>142Expectancy</v>
      </c>
      <c r="B1062">
        <v>142</v>
      </c>
      <c r="C1062" s="9" t="s">
        <v>31</v>
      </c>
      <c r="D1062" s="8">
        <v>-0.32500000000000001</v>
      </c>
    </row>
    <row r="1063" spans="1:4">
      <c r="A1063" t="str">
        <f t="shared" si="16"/>
        <v>142Net Profit</v>
      </c>
      <c r="B1063">
        <v>142</v>
      </c>
      <c r="C1063" s="9" t="s">
        <v>32</v>
      </c>
      <c r="D1063" s="8">
        <v>-3.5599999999999998E-3</v>
      </c>
    </row>
    <row r="1064" spans="1:4">
      <c r="A1064" t="str">
        <f t="shared" si="16"/>
        <v>142Loss Rate</v>
      </c>
      <c r="B1064">
        <v>142</v>
      </c>
      <c r="C1064" s="9" t="s">
        <v>33</v>
      </c>
      <c r="D1064" s="8">
        <v>0.6</v>
      </c>
    </row>
    <row r="1065" spans="1:4">
      <c r="A1065" t="str">
        <f t="shared" si="16"/>
        <v>142Win Rate</v>
      </c>
      <c r="B1065">
        <v>142</v>
      </c>
      <c r="C1065" s="9" t="s">
        <v>34</v>
      </c>
      <c r="D1065" s="8">
        <v>0.4</v>
      </c>
    </row>
    <row r="1066" spans="1:4">
      <c r="A1066" t="str">
        <f t="shared" si="16"/>
        <v>142Profit-Loss Ratio</v>
      </c>
      <c r="B1066">
        <v>142</v>
      </c>
      <c r="C1066" s="9" t="s">
        <v>26</v>
      </c>
      <c r="D1066" s="8">
        <v>0.69</v>
      </c>
    </row>
    <row r="1067" spans="1:4">
      <c r="A1067" t="str">
        <f t="shared" si="16"/>
        <v>142Alpha</v>
      </c>
      <c r="B1067">
        <v>142</v>
      </c>
      <c r="C1067" s="9" t="s">
        <v>23</v>
      </c>
      <c r="D1067" s="8">
        <v>0</v>
      </c>
    </row>
    <row r="1068" spans="1:4">
      <c r="A1068" t="str">
        <f t="shared" si="16"/>
        <v>142Beta</v>
      </c>
      <c r="B1068">
        <v>142</v>
      </c>
      <c r="C1068" s="9" t="s">
        <v>24</v>
      </c>
      <c r="D1068" s="8">
        <v>-5.3999999999999999E-2</v>
      </c>
    </row>
    <row r="1069" spans="1:4">
      <c r="A1069" t="str">
        <f t="shared" si="16"/>
        <v>142Annual Standard Deviation</v>
      </c>
      <c r="B1069">
        <v>142</v>
      </c>
      <c r="C1069" s="9" t="s">
        <v>35</v>
      </c>
      <c r="D1069" s="8">
        <v>8.9999999999999993E-3</v>
      </c>
    </row>
    <row r="1070" spans="1:4">
      <c r="A1070" t="str">
        <f t="shared" si="16"/>
        <v>142Annual Variance</v>
      </c>
      <c r="B1070">
        <v>142</v>
      </c>
      <c r="C1070" s="9" t="s">
        <v>36</v>
      </c>
      <c r="D1070" s="8">
        <v>0</v>
      </c>
    </row>
    <row r="1071" spans="1:4">
      <c r="A1071" t="str">
        <f t="shared" si="16"/>
        <v>142Information Ratio</v>
      </c>
      <c r="B1071">
        <v>142</v>
      </c>
      <c r="C1071" s="9" t="s">
        <v>37</v>
      </c>
      <c r="D1071" s="8">
        <v>-0.95299999999999996</v>
      </c>
    </row>
    <row r="1072" spans="1:4">
      <c r="A1072" t="str">
        <f t="shared" si="16"/>
        <v>142Tracking Error</v>
      </c>
      <c r="B1072">
        <v>142</v>
      </c>
      <c r="C1072" s="9" t="s">
        <v>38</v>
      </c>
      <c r="D1072" s="8">
        <v>7.0999999999999994E-2</v>
      </c>
    </row>
    <row r="1073" spans="1:4">
      <c r="A1073" t="str">
        <f t="shared" si="16"/>
        <v>142Treynor Ratio</v>
      </c>
      <c r="B1073">
        <v>142</v>
      </c>
      <c r="C1073" s="9" t="s">
        <v>39</v>
      </c>
      <c r="D1073" s="8">
        <v>7.0000000000000007E-2</v>
      </c>
    </row>
    <row r="1074" spans="1:4">
      <c r="A1074" t="str">
        <f t="shared" si="16"/>
        <v>142Total Fees</v>
      </c>
      <c r="B1074">
        <v>142</v>
      </c>
      <c r="C1074" s="9" t="s">
        <v>40</v>
      </c>
      <c r="D1074" s="8">
        <v>0</v>
      </c>
    </row>
    <row r="1075" spans="1:4">
      <c r="A1075" t="str">
        <f t="shared" si="16"/>
        <v>142Estimated Strategy Capacity</v>
      </c>
      <c r="B1075">
        <v>142</v>
      </c>
      <c r="C1075" s="9" t="s">
        <v>41</v>
      </c>
      <c r="D1075" s="8">
        <v>270000000</v>
      </c>
    </row>
    <row r="1076" spans="1:4">
      <c r="A1076" t="str">
        <f t="shared" si="16"/>
        <v>143PSR</v>
      </c>
      <c r="B1076">
        <v>143</v>
      </c>
      <c r="C1076" s="9" t="s">
        <v>27</v>
      </c>
      <c r="D1076" s="8">
        <v>8.8220000000000007E-2</v>
      </c>
    </row>
    <row r="1077" spans="1:4">
      <c r="A1077" t="str">
        <f t="shared" si="16"/>
        <v>143Sharpe Ratio</v>
      </c>
      <c r="B1077">
        <v>143</v>
      </c>
      <c r="C1077" s="9" t="s">
        <v>1</v>
      </c>
      <c r="D1077" s="8">
        <v>-0.376</v>
      </c>
    </row>
    <row r="1078" spans="1:4">
      <c r="A1078" t="str">
        <f t="shared" si="16"/>
        <v>143Total Trades</v>
      </c>
      <c r="B1078">
        <v>143</v>
      </c>
      <c r="C1078" s="9" t="s">
        <v>28</v>
      </c>
      <c r="D1078" s="8">
        <v>165</v>
      </c>
    </row>
    <row r="1079" spans="1:4">
      <c r="A1079" t="str">
        <f t="shared" si="16"/>
        <v>143Average Win</v>
      </c>
      <c r="B1079">
        <v>143</v>
      </c>
      <c r="C1079" s="9" t="s">
        <v>25</v>
      </c>
      <c r="D1079" s="8">
        <v>1.3299999999999999E-2</v>
      </c>
    </row>
    <row r="1080" spans="1:4">
      <c r="A1080" t="str">
        <f t="shared" si="16"/>
        <v>143Average Loss</v>
      </c>
      <c r="B1080">
        <v>143</v>
      </c>
      <c r="C1080" s="9" t="s">
        <v>29</v>
      </c>
      <c r="D1080" s="8">
        <v>-1.89E-2</v>
      </c>
    </row>
    <row r="1081" spans="1:4">
      <c r="A1081" t="str">
        <f t="shared" si="16"/>
        <v>143Compounding Annual Return</v>
      </c>
      <c r="B1081">
        <v>143</v>
      </c>
      <c r="C1081" s="9" t="s">
        <v>30</v>
      </c>
      <c r="D1081" s="8">
        <v>-5.4539999999999998E-2</v>
      </c>
    </row>
    <row r="1082" spans="1:4">
      <c r="A1082" t="str">
        <f t="shared" si="16"/>
        <v>143Drawdown</v>
      </c>
      <c r="B1082">
        <v>143</v>
      </c>
      <c r="C1082" s="9" t="s">
        <v>8</v>
      </c>
      <c r="D1082" s="8">
        <v>8.1000000000000003E-2</v>
      </c>
    </row>
    <row r="1083" spans="1:4">
      <c r="A1083" t="str">
        <f t="shared" si="16"/>
        <v>143Expectancy</v>
      </c>
      <c r="B1083">
        <v>143</v>
      </c>
      <c r="C1083" s="9" t="s">
        <v>31</v>
      </c>
      <c r="D1083" s="8">
        <v>-0.318</v>
      </c>
    </row>
    <row r="1084" spans="1:4">
      <c r="A1084" t="str">
        <f t="shared" si="16"/>
        <v>143Net Profit</v>
      </c>
      <c r="B1084">
        <v>143</v>
      </c>
      <c r="C1084" s="9" t="s">
        <v>32</v>
      </c>
      <c r="D1084" s="8">
        <v>-3.5610000000000003E-2</v>
      </c>
    </row>
    <row r="1085" spans="1:4">
      <c r="A1085" t="str">
        <f t="shared" si="16"/>
        <v>143Loss Rate</v>
      </c>
      <c r="B1085">
        <v>143</v>
      </c>
      <c r="C1085" s="9" t="s">
        <v>33</v>
      </c>
      <c r="D1085" s="8">
        <v>0.6</v>
      </c>
    </row>
    <row r="1086" spans="1:4">
      <c r="A1086" t="str">
        <f t="shared" si="16"/>
        <v>143Win Rate</v>
      </c>
      <c r="B1086">
        <v>143</v>
      </c>
      <c r="C1086" s="9" t="s">
        <v>34</v>
      </c>
      <c r="D1086" s="8">
        <v>0.4</v>
      </c>
    </row>
    <row r="1087" spans="1:4">
      <c r="A1087" t="str">
        <f t="shared" si="16"/>
        <v>143Profit-Loss Ratio</v>
      </c>
      <c r="B1087">
        <v>143</v>
      </c>
      <c r="C1087" s="9" t="s">
        <v>26</v>
      </c>
      <c r="D1087" s="8">
        <v>0.71</v>
      </c>
    </row>
    <row r="1088" spans="1:4">
      <c r="A1088" t="str">
        <f t="shared" si="16"/>
        <v>143Alpha</v>
      </c>
      <c r="B1088">
        <v>143</v>
      </c>
      <c r="C1088" s="9" t="s">
        <v>23</v>
      </c>
      <c r="D1088" s="8">
        <v>1E-3</v>
      </c>
    </row>
    <row r="1089" spans="1:4">
      <c r="A1089" t="str">
        <f t="shared" si="16"/>
        <v>143Beta</v>
      </c>
      <c r="B1089">
        <v>143</v>
      </c>
      <c r="C1089" s="9" t="s">
        <v>24</v>
      </c>
      <c r="D1089" s="8">
        <v>-0.55500000000000005</v>
      </c>
    </row>
    <row r="1090" spans="1:4">
      <c r="A1090" t="str">
        <f t="shared" si="16"/>
        <v>143Annual Standard Deviation</v>
      </c>
      <c r="B1090">
        <v>143</v>
      </c>
      <c r="C1090" s="9" t="s">
        <v>35</v>
      </c>
      <c r="D1090" s="8">
        <v>9.0999999999999998E-2</v>
      </c>
    </row>
    <row r="1091" spans="1:4">
      <c r="A1091" t="str">
        <f t="shared" ref="A1091:A1154" si="17">B1091&amp;C1091</f>
        <v>143Annual Variance</v>
      </c>
      <c r="B1091">
        <v>143</v>
      </c>
      <c r="C1091" s="9" t="s">
        <v>36</v>
      </c>
      <c r="D1091" s="8">
        <v>8.0000000000000002E-3</v>
      </c>
    </row>
    <row r="1092" spans="1:4">
      <c r="A1092" t="str">
        <f t="shared" si="17"/>
        <v>143Information Ratio</v>
      </c>
      <c r="B1092">
        <v>143</v>
      </c>
      <c r="C1092" s="9" t="s">
        <v>37</v>
      </c>
      <c r="D1092" s="8">
        <v>-0.73599999999999999</v>
      </c>
    </row>
    <row r="1093" spans="1:4">
      <c r="A1093" t="str">
        <f t="shared" si="17"/>
        <v>143Tracking Error</v>
      </c>
      <c r="B1093">
        <v>143</v>
      </c>
      <c r="C1093" s="9" t="s">
        <v>38</v>
      </c>
      <c r="D1093" s="8">
        <v>0.13300000000000001</v>
      </c>
    </row>
    <row r="1094" spans="1:4">
      <c r="A1094" t="str">
        <f t="shared" si="17"/>
        <v>143Treynor Ratio</v>
      </c>
      <c r="B1094">
        <v>143</v>
      </c>
      <c r="C1094" s="9" t="s">
        <v>39</v>
      </c>
      <c r="D1094" s="8">
        <v>6.2E-2</v>
      </c>
    </row>
    <row r="1095" spans="1:4">
      <c r="A1095" t="str">
        <f t="shared" si="17"/>
        <v>143Total Fees</v>
      </c>
      <c r="B1095">
        <v>143</v>
      </c>
      <c r="C1095" s="9" t="s">
        <v>40</v>
      </c>
      <c r="D1095" s="8">
        <v>0</v>
      </c>
    </row>
    <row r="1096" spans="1:4">
      <c r="A1096" t="str">
        <f t="shared" si="17"/>
        <v>143Estimated Strategy Capacity</v>
      </c>
      <c r="B1096">
        <v>143</v>
      </c>
      <c r="C1096" s="9" t="s">
        <v>41</v>
      </c>
      <c r="D1096" s="8">
        <v>28000000</v>
      </c>
    </row>
    <row r="1097" spans="1:4">
      <c r="A1097" t="str">
        <f t="shared" si="17"/>
        <v>144PSR</v>
      </c>
      <c r="B1097">
        <v>144</v>
      </c>
      <c r="C1097" s="9" t="s">
        <v>27</v>
      </c>
      <c r="D1097" s="8">
        <v>0.12673999999999999</v>
      </c>
    </row>
    <row r="1098" spans="1:4">
      <c r="A1098" t="str">
        <f t="shared" si="17"/>
        <v>144Sharpe Ratio</v>
      </c>
      <c r="B1098">
        <v>144</v>
      </c>
      <c r="C1098" s="9" t="s">
        <v>1</v>
      </c>
      <c r="D1098" s="8">
        <v>-0.17599999999999999</v>
      </c>
    </row>
    <row r="1099" spans="1:4">
      <c r="A1099" t="str">
        <f t="shared" si="17"/>
        <v>144Total Trades</v>
      </c>
      <c r="B1099">
        <v>144</v>
      </c>
      <c r="C1099" s="9" t="s">
        <v>28</v>
      </c>
      <c r="D1099" s="8">
        <v>165</v>
      </c>
    </row>
    <row r="1100" spans="1:4">
      <c r="A1100" t="str">
        <f t="shared" si="17"/>
        <v>144Average Win</v>
      </c>
      <c r="B1100">
        <v>144</v>
      </c>
      <c r="C1100" s="9" t="s">
        <v>25</v>
      </c>
      <c r="D1100" s="8">
        <v>7.8700000000000006E-2</v>
      </c>
    </row>
    <row r="1101" spans="1:4">
      <c r="A1101" t="str">
        <f t="shared" si="17"/>
        <v>144Average Loss</v>
      </c>
      <c r="B1101">
        <v>144</v>
      </c>
      <c r="C1101" s="9" t="s">
        <v>29</v>
      </c>
      <c r="D1101" s="8">
        <v>-9.69E-2</v>
      </c>
    </row>
    <row r="1102" spans="1:4">
      <c r="A1102" t="str">
        <f t="shared" si="17"/>
        <v>144Compounding Annual Return</v>
      </c>
      <c r="B1102">
        <v>144</v>
      </c>
      <c r="C1102" s="9" t="s">
        <v>30</v>
      </c>
      <c r="D1102" s="8">
        <v>-0.2616</v>
      </c>
    </row>
    <row r="1103" spans="1:4">
      <c r="A1103" t="str">
        <f t="shared" si="17"/>
        <v>144Drawdown</v>
      </c>
      <c r="B1103">
        <v>144</v>
      </c>
      <c r="C1103" s="9" t="s">
        <v>8</v>
      </c>
      <c r="D1103" s="8">
        <v>0.375</v>
      </c>
    </row>
    <row r="1104" spans="1:4">
      <c r="A1104" t="str">
        <f t="shared" si="17"/>
        <v>144Expectancy</v>
      </c>
      <c r="B1104">
        <v>144</v>
      </c>
      <c r="C1104" s="9" t="s">
        <v>31</v>
      </c>
      <c r="D1104" s="8">
        <v>-0.27500000000000002</v>
      </c>
    </row>
    <row r="1105" spans="1:4">
      <c r="A1105" t="str">
        <f t="shared" si="17"/>
        <v>144Net Profit</v>
      </c>
      <c r="B1105">
        <v>144</v>
      </c>
      <c r="C1105" s="9" t="s">
        <v>32</v>
      </c>
      <c r="D1105" s="8">
        <v>-0.17802999999999999</v>
      </c>
    </row>
    <row r="1106" spans="1:4">
      <c r="A1106" t="str">
        <f t="shared" si="17"/>
        <v>144Loss Rate</v>
      </c>
      <c r="B1106">
        <v>144</v>
      </c>
      <c r="C1106" s="9" t="s">
        <v>33</v>
      </c>
      <c r="D1106" s="8">
        <v>0.6</v>
      </c>
    </row>
    <row r="1107" spans="1:4">
      <c r="A1107" t="str">
        <f t="shared" si="17"/>
        <v>144Win Rate</v>
      </c>
      <c r="B1107">
        <v>144</v>
      </c>
      <c r="C1107" s="9" t="s">
        <v>34</v>
      </c>
      <c r="D1107" s="8">
        <v>0.4</v>
      </c>
    </row>
    <row r="1108" spans="1:4">
      <c r="A1108" t="str">
        <f t="shared" si="17"/>
        <v>144Profit-Loss Ratio</v>
      </c>
      <c r="B1108">
        <v>144</v>
      </c>
      <c r="C1108" s="9" t="s">
        <v>26</v>
      </c>
      <c r="D1108" s="8">
        <v>0.81</v>
      </c>
    </row>
    <row r="1109" spans="1:4">
      <c r="A1109" t="str">
        <f t="shared" si="17"/>
        <v>144Alpha</v>
      </c>
      <c r="B1109">
        <v>144</v>
      </c>
      <c r="C1109" s="9" t="s">
        <v>23</v>
      </c>
      <c r="D1109" s="8">
        <v>0.115</v>
      </c>
    </row>
    <row r="1110" spans="1:4">
      <c r="A1110" t="str">
        <f t="shared" si="17"/>
        <v>144Beta</v>
      </c>
      <c r="B1110">
        <v>144</v>
      </c>
      <c r="C1110" s="9" t="s">
        <v>24</v>
      </c>
      <c r="D1110" s="8">
        <v>-3.1469999999999998</v>
      </c>
    </row>
    <row r="1111" spans="1:4">
      <c r="A1111" t="str">
        <f t="shared" si="17"/>
        <v>144Annual Standard Deviation</v>
      </c>
      <c r="B1111">
        <v>144</v>
      </c>
      <c r="C1111" s="9" t="s">
        <v>35</v>
      </c>
      <c r="D1111" s="8">
        <v>0.48699999999999999</v>
      </c>
    </row>
    <row r="1112" spans="1:4">
      <c r="A1112" t="str">
        <f t="shared" si="17"/>
        <v>144Annual Variance</v>
      </c>
      <c r="B1112">
        <v>144</v>
      </c>
      <c r="C1112" s="9" t="s">
        <v>36</v>
      </c>
      <c r="D1112" s="8">
        <v>0.23799999999999999</v>
      </c>
    </row>
    <row r="1113" spans="1:4">
      <c r="A1113" t="str">
        <f t="shared" si="17"/>
        <v>144Information Ratio</v>
      </c>
      <c r="B1113">
        <v>144</v>
      </c>
      <c r="C1113" s="9" t="s">
        <v>37</v>
      </c>
      <c r="D1113" s="8">
        <v>-0.28799999999999998</v>
      </c>
    </row>
    <row r="1114" spans="1:4">
      <c r="A1114" t="str">
        <f t="shared" si="17"/>
        <v>144Tracking Error</v>
      </c>
      <c r="B1114">
        <v>144</v>
      </c>
      <c r="C1114" s="9" t="s">
        <v>38</v>
      </c>
      <c r="D1114" s="8">
        <v>0.52</v>
      </c>
    </row>
    <row r="1115" spans="1:4">
      <c r="A1115" t="str">
        <f t="shared" si="17"/>
        <v>144Treynor Ratio</v>
      </c>
      <c r="B1115">
        <v>144</v>
      </c>
      <c r="C1115" s="9" t="s">
        <v>39</v>
      </c>
      <c r="D1115" s="8">
        <v>2.7E-2</v>
      </c>
    </row>
    <row r="1116" spans="1:4">
      <c r="A1116" t="str">
        <f t="shared" si="17"/>
        <v>144Total Fees</v>
      </c>
      <c r="B1116">
        <v>144</v>
      </c>
      <c r="C1116" s="9" t="s">
        <v>40</v>
      </c>
      <c r="D1116" s="8">
        <v>0</v>
      </c>
    </row>
    <row r="1117" spans="1:4">
      <c r="A1117" t="str">
        <f t="shared" si="17"/>
        <v>144Estimated Strategy Capacity</v>
      </c>
      <c r="B1117">
        <v>144</v>
      </c>
      <c r="C1117" s="9" t="s">
        <v>41</v>
      </c>
      <c r="D1117" s="8">
        <v>5700000</v>
      </c>
    </row>
    <row r="1118" spans="1:4">
      <c r="A1118" t="str">
        <f t="shared" si="17"/>
        <v>163PSR</v>
      </c>
      <c r="B1118">
        <v>163</v>
      </c>
      <c r="C1118" s="9" t="s">
        <v>27</v>
      </c>
      <c r="D1118" s="8">
        <v>0.66979</v>
      </c>
    </row>
    <row r="1119" spans="1:4">
      <c r="A1119" t="str">
        <f t="shared" si="17"/>
        <v>163Sharpe Ratio</v>
      </c>
      <c r="B1119">
        <v>163</v>
      </c>
      <c r="C1119" s="9" t="s">
        <v>1</v>
      </c>
      <c r="D1119" s="8">
        <v>1.4079999999999999</v>
      </c>
    </row>
    <row r="1120" spans="1:4">
      <c r="A1120" t="str">
        <f t="shared" si="17"/>
        <v>163Total Trades</v>
      </c>
      <c r="B1120">
        <v>163</v>
      </c>
      <c r="C1120" s="9" t="s">
        <v>28</v>
      </c>
      <c r="D1120" s="8">
        <v>1016</v>
      </c>
    </row>
    <row r="1121" spans="1:4">
      <c r="A1121" t="str">
        <f t="shared" si="17"/>
        <v>163Average Win</v>
      </c>
      <c r="B1121">
        <v>163</v>
      </c>
      <c r="C1121" s="9" t="s">
        <v>25</v>
      </c>
      <c r="D1121" s="8">
        <v>1.6999999999999999E-3</v>
      </c>
    </row>
    <row r="1122" spans="1:4">
      <c r="A1122" t="str">
        <f t="shared" si="17"/>
        <v>163Average Loss</v>
      </c>
      <c r="B1122">
        <v>163</v>
      </c>
      <c r="C1122" s="9" t="s">
        <v>29</v>
      </c>
      <c r="D1122" s="8">
        <v>-8.9999999999999998E-4</v>
      </c>
    </row>
    <row r="1123" spans="1:4">
      <c r="A1123" t="str">
        <f t="shared" si="17"/>
        <v>163Compounding Annual Return</v>
      </c>
      <c r="B1123">
        <v>163</v>
      </c>
      <c r="C1123" s="9" t="s">
        <v>30</v>
      </c>
      <c r="D1123" s="8">
        <v>2.0559999999999998E-2</v>
      </c>
    </row>
    <row r="1124" spans="1:4">
      <c r="A1124" t="str">
        <f t="shared" si="17"/>
        <v>163Drawdown</v>
      </c>
      <c r="B1124">
        <v>163</v>
      </c>
      <c r="C1124" s="9" t="s">
        <v>8</v>
      </c>
      <c r="D1124" s="8">
        <v>6.0000000000000001E-3</v>
      </c>
    </row>
    <row r="1125" spans="1:4">
      <c r="A1125" t="str">
        <f t="shared" si="17"/>
        <v>163Expectancy</v>
      </c>
      <c r="B1125">
        <v>163</v>
      </c>
      <c r="C1125" s="9" t="s">
        <v>31</v>
      </c>
      <c r="D1125" s="8">
        <v>0.42</v>
      </c>
    </row>
    <row r="1126" spans="1:4">
      <c r="A1126" t="str">
        <f t="shared" si="17"/>
        <v>163Net Profit</v>
      </c>
      <c r="B1126">
        <v>163</v>
      </c>
      <c r="C1126" s="9" t="s">
        <v>32</v>
      </c>
      <c r="D1126" s="8">
        <v>1.324E-2</v>
      </c>
    </row>
    <row r="1127" spans="1:4">
      <c r="A1127" t="str">
        <f t="shared" si="17"/>
        <v>163Loss Rate</v>
      </c>
      <c r="B1127">
        <v>163</v>
      </c>
      <c r="C1127" s="9" t="s">
        <v>33</v>
      </c>
      <c r="D1127" s="8">
        <v>0.48</v>
      </c>
    </row>
    <row r="1128" spans="1:4">
      <c r="A1128" t="str">
        <f t="shared" si="17"/>
        <v>163Win Rate</v>
      </c>
      <c r="B1128">
        <v>163</v>
      </c>
      <c r="C1128" s="9" t="s">
        <v>34</v>
      </c>
      <c r="D1128" s="8">
        <v>0.52</v>
      </c>
    </row>
    <row r="1129" spans="1:4">
      <c r="A1129" t="str">
        <f t="shared" si="17"/>
        <v>163Profit-Loss Ratio</v>
      </c>
      <c r="B1129">
        <v>163</v>
      </c>
      <c r="C1129" s="9" t="s">
        <v>26</v>
      </c>
      <c r="D1129" s="8">
        <v>1.76</v>
      </c>
    </row>
    <row r="1130" spans="1:4">
      <c r="A1130" t="str">
        <f t="shared" si="17"/>
        <v>163Alpha</v>
      </c>
      <c r="B1130">
        <v>163</v>
      </c>
      <c r="C1130" s="9" t="s">
        <v>23</v>
      </c>
      <c r="D1130" s="8">
        <v>1.6E-2</v>
      </c>
    </row>
    <row r="1131" spans="1:4">
      <c r="A1131" t="str">
        <f t="shared" si="17"/>
        <v>163Beta</v>
      </c>
      <c r="B1131">
        <v>163</v>
      </c>
      <c r="C1131" s="9" t="s">
        <v>24</v>
      </c>
      <c r="D1131" s="8">
        <v>-0.02</v>
      </c>
    </row>
    <row r="1132" spans="1:4">
      <c r="A1132" t="str">
        <f t="shared" si="17"/>
        <v>163Annual Standard Deviation</v>
      </c>
      <c r="B1132">
        <v>163</v>
      </c>
      <c r="C1132" s="9" t="s">
        <v>35</v>
      </c>
      <c r="D1132" s="8">
        <v>0.01</v>
      </c>
    </row>
    <row r="1133" spans="1:4">
      <c r="A1133" t="str">
        <f t="shared" si="17"/>
        <v>163Annual Variance</v>
      </c>
      <c r="B1133">
        <v>163</v>
      </c>
      <c r="C1133" s="9" t="s">
        <v>36</v>
      </c>
      <c r="D1133" s="8">
        <v>0</v>
      </c>
    </row>
    <row r="1134" spans="1:4">
      <c r="A1134" t="str">
        <f t="shared" si="17"/>
        <v>163Information Ratio</v>
      </c>
      <c r="B1134">
        <v>163</v>
      </c>
      <c r="C1134" s="9" t="s">
        <v>37</v>
      </c>
      <c r="D1134" s="8">
        <v>-0.71799999999999997</v>
      </c>
    </row>
    <row r="1135" spans="1:4">
      <c r="A1135" t="str">
        <f t="shared" si="17"/>
        <v>163Tracking Error</v>
      </c>
      <c r="B1135">
        <v>163</v>
      </c>
      <c r="C1135" s="9" t="s">
        <v>38</v>
      </c>
      <c r="D1135" s="8">
        <v>6.9000000000000006E-2</v>
      </c>
    </row>
    <row r="1136" spans="1:4">
      <c r="A1136" t="str">
        <f t="shared" si="17"/>
        <v>163Treynor Ratio</v>
      </c>
      <c r="B1136">
        <v>163</v>
      </c>
      <c r="C1136" s="9" t="s">
        <v>39</v>
      </c>
      <c r="D1136" s="8">
        <v>-0.71499999999999997</v>
      </c>
    </row>
    <row r="1137" spans="1:4">
      <c r="A1137" t="str">
        <f t="shared" si="17"/>
        <v>163Total Fees</v>
      </c>
      <c r="B1137">
        <v>163</v>
      </c>
      <c r="C1137" s="9" t="s">
        <v>40</v>
      </c>
      <c r="D1137" s="8">
        <v>0</v>
      </c>
    </row>
    <row r="1138" spans="1:4">
      <c r="A1138" t="str">
        <f t="shared" si="17"/>
        <v>163Estimated Strategy Capacity</v>
      </c>
      <c r="B1138">
        <v>163</v>
      </c>
      <c r="C1138" s="9" t="s">
        <v>41</v>
      </c>
      <c r="D1138" s="8">
        <v>56000000</v>
      </c>
    </row>
    <row r="1139" spans="1:4">
      <c r="A1139" t="str">
        <f t="shared" si="17"/>
        <v>164PSR</v>
      </c>
      <c r="B1139">
        <v>164</v>
      </c>
      <c r="C1139" s="11" t="s">
        <v>27</v>
      </c>
      <c r="D1139" s="8">
        <v>0.55000000000000004</v>
      </c>
    </row>
    <row r="1140" spans="1:4">
      <c r="A1140" t="str">
        <f t="shared" si="17"/>
        <v>164Sharpe Ratio</v>
      </c>
      <c r="B1140">
        <v>164</v>
      </c>
      <c r="C1140" s="9" t="s">
        <v>1</v>
      </c>
      <c r="D1140" s="8">
        <v>1.5469999999999999</v>
      </c>
    </row>
    <row r="1141" spans="1:4">
      <c r="A1141" t="str">
        <f t="shared" si="17"/>
        <v>164Total Trades</v>
      </c>
      <c r="B1141">
        <v>164</v>
      </c>
      <c r="C1141" s="9" t="s">
        <v>28</v>
      </c>
      <c r="D1141" s="8">
        <v>1016</v>
      </c>
    </row>
    <row r="1142" spans="1:4">
      <c r="A1142" t="str">
        <f t="shared" si="17"/>
        <v>164Average Win</v>
      </c>
      <c r="B1142">
        <v>164</v>
      </c>
      <c r="C1142" s="9" t="s">
        <v>25</v>
      </c>
      <c r="D1142" s="8">
        <v>1.5800000000000002E-2</v>
      </c>
    </row>
    <row r="1143" spans="1:4">
      <c r="A1143" t="str">
        <f t="shared" si="17"/>
        <v>164Average Loss</v>
      </c>
      <c r="B1143">
        <v>164</v>
      </c>
      <c r="C1143" s="9" t="s">
        <v>29</v>
      </c>
      <c r="D1143" s="8">
        <v>-8.8000000000000005E-3</v>
      </c>
    </row>
    <row r="1144" spans="1:4">
      <c r="A1144" t="str">
        <f t="shared" si="17"/>
        <v>164Compounding Annual Return</v>
      </c>
      <c r="B1144">
        <v>164</v>
      </c>
      <c r="C1144" s="9" t="s">
        <v>30</v>
      </c>
      <c r="D1144" s="8">
        <v>0.21215999999999999</v>
      </c>
    </row>
    <row r="1145" spans="1:4">
      <c r="A1145" t="str">
        <f t="shared" si="17"/>
        <v>164Drawdown</v>
      </c>
      <c r="B1145">
        <v>164</v>
      </c>
      <c r="C1145" s="9" t="s">
        <v>8</v>
      </c>
      <c r="D1145" s="8">
        <v>5.3999999999999999E-2</v>
      </c>
    </row>
    <row r="1146" spans="1:4">
      <c r="A1146" t="str">
        <f t="shared" si="17"/>
        <v>164Expectancy</v>
      </c>
      <c r="B1146">
        <v>164</v>
      </c>
      <c r="C1146" s="9" t="s">
        <v>31</v>
      </c>
      <c r="D1146" s="8">
        <v>0.443</v>
      </c>
    </row>
    <row r="1147" spans="1:4">
      <c r="A1147" t="str">
        <f t="shared" si="17"/>
        <v>164Net Profit</v>
      </c>
      <c r="B1147">
        <v>164</v>
      </c>
      <c r="C1147" s="9" t="s">
        <v>32</v>
      </c>
      <c r="D1147" s="8">
        <v>0.13245000000000001</v>
      </c>
    </row>
    <row r="1148" spans="1:4">
      <c r="A1148" t="str">
        <f t="shared" si="17"/>
        <v>164Loss Rate</v>
      </c>
      <c r="B1148">
        <v>164</v>
      </c>
      <c r="C1148" s="9" t="s">
        <v>33</v>
      </c>
      <c r="D1148" s="8">
        <v>0.48</v>
      </c>
    </row>
    <row r="1149" spans="1:4">
      <c r="A1149" t="str">
        <f t="shared" si="17"/>
        <v>164Win Rate</v>
      </c>
      <c r="B1149">
        <v>164</v>
      </c>
      <c r="C1149" s="9" t="s">
        <v>34</v>
      </c>
      <c r="D1149" s="8">
        <v>0.52</v>
      </c>
    </row>
    <row r="1150" spans="1:4">
      <c r="A1150" t="str">
        <f t="shared" si="17"/>
        <v>164Profit-Loss Ratio</v>
      </c>
      <c r="B1150">
        <v>164</v>
      </c>
      <c r="C1150" s="9" t="s">
        <v>26</v>
      </c>
      <c r="D1150" s="8">
        <v>1.8</v>
      </c>
    </row>
    <row r="1151" spans="1:4">
      <c r="A1151" t="str">
        <f t="shared" si="17"/>
        <v>164Alpha</v>
      </c>
      <c r="B1151">
        <v>164</v>
      </c>
      <c r="C1151" s="9" t="s">
        <v>23</v>
      </c>
      <c r="D1151" s="8">
        <v>0.16</v>
      </c>
    </row>
    <row r="1152" spans="1:4">
      <c r="A1152" t="str">
        <f t="shared" si="17"/>
        <v>164Beta</v>
      </c>
      <c r="B1152">
        <v>164</v>
      </c>
      <c r="C1152" s="9" t="s">
        <v>24</v>
      </c>
      <c r="D1152" s="8">
        <v>-0.184</v>
      </c>
    </row>
    <row r="1153" spans="1:4">
      <c r="A1153" t="str">
        <f t="shared" si="17"/>
        <v>164Annual Standard Deviation</v>
      </c>
      <c r="B1153">
        <v>164</v>
      </c>
      <c r="C1153" s="9" t="s">
        <v>35</v>
      </c>
      <c r="D1153" s="8">
        <v>9.6000000000000002E-2</v>
      </c>
    </row>
    <row r="1154" spans="1:4">
      <c r="A1154" t="str">
        <f t="shared" si="17"/>
        <v>164Annual Variance</v>
      </c>
      <c r="B1154">
        <v>164</v>
      </c>
      <c r="C1154" s="9" t="s">
        <v>36</v>
      </c>
      <c r="D1154" s="8">
        <v>8.9999999999999993E-3</v>
      </c>
    </row>
    <row r="1155" spans="1:4">
      <c r="A1155" t="str">
        <f t="shared" ref="A1155:A1218" si="18">B1155&amp;C1155</f>
        <v>164Information Ratio</v>
      </c>
      <c r="B1155">
        <v>164</v>
      </c>
      <c r="C1155" s="9" t="s">
        <v>37</v>
      </c>
      <c r="D1155" s="8">
        <v>0.68200000000000005</v>
      </c>
    </row>
    <row r="1156" spans="1:4">
      <c r="A1156" t="str">
        <f t="shared" si="18"/>
        <v>164Tracking Error</v>
      </c>
      <c r="B1156">
        <v>164</v>
      </c>
      <c r="C1156" s="9" t="s">
        <v>38</v>
      </c>
      <c r="D1156" s="8">
        <v>0.123</v>
      </c>
    </row>
    <row r="1157" spans="1:4">
      <c r="A1157" t="str">
        <f t="shared" si="18"/>
        <v>164Treynor Ratio</v>
      </c>
      <c r="B1157">
        <v>164</v>
      </c>
      <c r="C1157" s="9" t="s">
        <v>39</v>
      </c>
      <c r="D1157" s="8">
        <v>-0.80200000000000005</v>
      </c>
    </row>
    <row r="1158" spans="1:4">
      <c r="A1158" t="str">
        <f t="shared" si="18"/>
        <v>164Total Fees</v>
      </c>
      <c r="B1158">
        <v>164</v>
      </c>
      <c r="C1158" s="9" t="s">
        <v>40</v>
      </c>
      <c r="D1158" s="8">
        <v>0</v>
      </c>
    </row>
    <row r="1159" spans="1:4">
      <c r="A1159" t="str">
        <f t="shared" si="18"/>
        <v>164Estimated Strategy Capacity</v>
      </c>
      <c r="B1159">
        <v>164</v>
      </c>
      <c r="C1159" s="9" t="s">
        <v>41</v>
      </c>
      <c r="D1159" s="8">
        <v>7300000</v>
      </c>
    </row>
    <row r="1160" spans="1:4">
      <c r="A1160" t="str">
        <f t="shared" si="18"/>
        <v>165PSR</v>
      </c>
      <c r="B1160">
        <v>165</v>
      </c>
      <c r="C1160" s="9" t="s">
        <v>27</v>
      </c>
      <c r="D1160" s="8">
        <v>0.74877000000000005</v>
      </c>
    </row>
    <row r="1161" spans="1:4">
      <c r="A1161" t="str">
        <f t="shared" si="18"/>
        <v>165Sharpe Ratio</v>
      </c>
      <c r="B1161">
        <v>165</v>
      </c>
      <c r="C1161" s="9" t="s">
        <v>1</v>
      </c>
      <c r="D1161" s="8">
        <v>2.17</v>
      </c>
    </row>
    <row r="1162" spans="1:4">
      <c r="A1162" t="str">
        <f t="shared" si="18"/>
        <v>165Total Trades</v>
      </c>
      <c r="B1162">
        <v>165</v>
      </c>
      <c r="C1162" s="9" t="s">
        <v>28</v>
      </c>
      <c r="D1162" s="8">
        <v>1016</v>
      </c>
    </row>
    <row r="1163" spans="1:4">
      <c r="A1163" t="str">
        <f t="shared" si="18"/>
        <v>165Average Win</v>
      </c>
      <c r="B1163">
        <v>165</v>
      </c>
      <c r="C1163" s="9" t="s">
        <v>25</v>
      </c>
      <c r="D1163" s="8">
        <v>6.6699999999999995E-2</v>
      </c>
    </row>
    <row r="1164" spans="1:4">
      <c r="A1164" t="str">
        <f t="shared" si="18"/>
        <v>165Average Loss</v>
      </c>
      <c r="B1164">
        <v>165</v>
      </c>
      <c r="C1164" s="9" t="s">
        <v>29</v>
      </c>
      <c r="D1164" s="8">
        <v>-3.4099999999999998E-2</v>
      </c>
    </row>
    <row r="1165" spans="1:4">
      <c r="A1165" t="str">
        <f t="shared" si="18"/>
        <v>165Compounding Annual Return</v>
      </c>
      <c r="B1165">
        <v>165</v>
      </c>
      <c r="C1165" s="9" t="s">
        <v>30</v>
      </c>
      <c r="D1165" s="8">
        <v>1.19475</v>
      </c>
    </row>
    <row r="1166" spans="1:4">
      <c r="A1166" t="str">
        <f t="shared" si="18"/>
        <v>165Drawdown</v>
      </c>
      <c r="B1166">
        <v>165</v>
      </c>
      <c r="C1166" s="9" t="s">
        <v>8</v>
      </c>
      <c r="D1166" s="8">
        <v>0.24099999999999999</v>
      </c>
    </row>
    <row r="1167" spans="1:4">
      <c r="A1167" t="str">
        <f t="shared" si="18"/>
        <v>165Expectancy</v>
      </c>
      <c r="B1167">
        <v>165</v>
      </c>
      <c r="C1167" s="9" t="s">
        <v>31</v>
      </c>
      <c r="D1167" s="8">
        <v>0.52400000000000002</v>
      </c>
    </row>
    <row r="1168" spans="1:4">
      <c r="A1168" t="str">
        <f t="shared" si="18"/>
        <v>165Net Profit</v>
      </c>
      <c r="B1168">
        <v>165</v>
      </c>
      <c r="C1168" s="9" t="s">
        <v>32</v>
      </c>
      <c r="D1168" s="8">
        <v>0.66222999999999999</v>
      </c>
    </row>
    <row r="1169" spans="1:4">
      <c r="A1169" t="str">
        <f t="shared" si="18"/>
        <v>165Loss Rate</v>
      </c>
      <c r="B1169">
        <v>165</v>
      </c>
      <c r="C1169" s="9" t="s">
        <v>33</v>
      </c>
      <c r="D1169" s="8">
        <v>0.48</v>
      </c>
    </row>
    <row r="1170" spans="1:4">
      <c r="A1170" t="str">
        <f t="shared" si="18"/>
        <v>165Win Rate</v>
      </c>
      <c r="B1170">
        <v>165</v>
      </c>
      <c r="C1170" s="9" t="s">
        <v>34</v>
      </c>
      <c r="D1170" s="8">
        <v>0.52</v>
      </c>
    </row>
    <row r="1171" spans="1:4">
      <c r="A1171" t="str">
        <f t="shared" si="18"/>
        <v>165Profit-Loss Ratio</v>
      </c>
      <c r="B1171">
        <v>165</v>
      </c>
      <c r="C1171" s="9" t="s">
        <v>26</v>
      </c>
      <c r="D1171" s="8">
        <v>1.96</v>
      </c>
    </row>
    <row r="1172" spans="1:4">
      <c r="A1172" t="str">
        <f t="shared" si="18"/>
        <v>165Alpha</v>
      </c>
      <c r="B1172">
        <v>165</v>
      </c>
      <c r="C1172" s="9" t="s">
        <v>23</v>
      </c>
      <c r="D1172" s="8">
        <v>0.89800000000000002</v>
      </c>
    </row>
    <row r="1173" spans="1:4">
      <c r="A1173" t="str">
        <f t="shared" si="18"/>
        <v>165Beta</v>
      </c>
      <c r="B1173">
        <v>165</v>
      </c>
      <c r="C1173" s="9" t="s">
        <v>24</v>
      </c>
      <c r="D1173" s="8">
        <v>-0.70199999999999996</v>
      </c>
    </row>
    <row r="1174" spans="1:4">
      <c r="A1174" t="str">
        <f t="shared" si="18"/>
        <v>165Annual Standard Deviation</v>
      </c>
      <c r="B1174">
        <v>165</v>
      </c>
      <c r="C1174" s="9" t="s">
        <v>35</v>
      </c>
      <c r="D1174" s="8">
        <v>0.39300000000000002</v>
      </c>
    </row>
    <row r="1175" spans="1:4">
      <c r="A1175" t="str">
        <f t="shared" si="18"/>
        <v>165Annual Variance</v>
      </c>
      <c r="B1175">
        <v>165</v>
      </c>
      <c r="C1175" s="9" t="s">
        <v>36</v>
      </c>
      <c r="D1175" s="8">
        <v>0.155</v>
      </c>
    </row>
    <row r="1176" spans="1:4">
      <c r="A1176" t="str">
        <f t="shared" si="18"/>
        <v>165Information Ratio</v>
      </c>
      <c r="B1176">
        <v>165</v>
      </c>
      <c r="C1176" s="9" t="s">
        <v>37</v>
      </c>
      <c r="D1176" s="8">
        <v>1.9419999999999999</v>
      </c>
    </row>
    <row r="1177" spans="1:4">
      <c r="A1177" t="str">
        <f t="shared" si="18"/>
        <v>165Tracking Error</v>
      </c>
      <c r="B1177">
        <v>165</v>
      </c>
      <c r="C1177" s="9" t="s">
        <v>38</v>
      </c>
      <c r="D1177" s="8">
        <v>0.40699999999999997</v>
      </c>
    </row>
    <row r="1178" spans="1:4">
      <c r="A1178" t="str">
        <f t="shared" si="18"/>
        <v>165Treynor Ratio</v>
      </c>
      <c r="B1178">
        <v>165</v>
      </c>
      <c r="C1178" s="9" t="s">
        <v>39</v>
      </c>
      <c r="D1178" s="8">
        <v>-1.2170000000000001</v>
      </c>
    </row>
    <row r="1179" spans="1:4">
      <c r="A1179" t="str">
        <f t="shared" si="18"/>
        <v>165Total Fees</v>
      </c>
      <c r="B1179">
        <v>165</v>
      </c>
      <c r="C1179" s="9" t="s">
        <v>40</v>
      </c>
      <c r="D1179" s="8">
        <v>0</v>
      </c>
    </row>
    <row r="1180" spans="1:4">
      <c r="A1180" t="str">
        <f t="shared" si="18"/>
        <v>165Estimated Strategy Capacity</v>
      </c>
      <c r="B1180">
        <v>165</v>
      </c>
      <c r="C1180" s="9" t="s">
        <v>41</v>
      </c>
      <c r="D1180" s="8">
        <v>2500000</v>
      </c>
    </row>
    <row r="1181" spans="1:4">
      <c r="A1181" t="str">
        <f t="shared" si="18"/>
        <v>166PSR</v>
      </c>
      <c r="B1181">
        <v>166</v>
      </c>
      <c r="C1181" s="9" t="s">
        <v>27</v>
      </c>
      <c r="D1181" s="8">
        <v>0.31459999999999999</v>
      </c>
    </row>
    <row r="1182" spans="1:4">
      <c r="A1182" t="str">
        <f t="shared" si="18"/>
        <v>166Sharpe Ratio</v>
      </c>
      <c r="B1182">
        <v>166</v>
      </c>
      <c r="C1182" s="9" t="s">
        <v>1</v>
      </c>
      <c r="D1182" s="8">
        <v>0.497</v>
      </c>
    </row>
    <row r="1183" spans="1:4">
      <c r="A1183" t="str">
        <f t="shared" si="18"/>
        <v>166Total Trades</v>
      </c>
      <c r="B1183">
        <v>166</v>
      </c>
      <c r="C1183" s="9" t="s">
        <v>28</v>
      </c>
      <c r="D1183" s="8">
        <v>514</v>
      </c>
    </row>
    <row r="1184" spans="1:4">
      <c r="A1184" t="str">
        <f t="shared" si="18"/>
        <v>166Average Win</v>
      </c>
      <c r="B1184">
        <v>166</v>
      </c>
      <c r="C1184" s="9" t="s">
        <v>25</v>
      </c>
      <c r="D1184" s="8">
        <v>1.9E-3</v>
      </c>
    </row>
    <row r="1185" spans="1:4">
      <c r="A1185" t="str">
        <f t="shared" si="18"/>
        <v>166Average Loss</v>
      </c>
      <c r="B1185">
        <v>166</v>
      </c>
      <c r="C1185" s="9" t="s">
        <v>29</v>
      </c>
      <c r="D1185" s="8">
        <v>-2.3E-3</v>
      </c>
    </row>
    <row r="1186" spans="1:4">
      <c r="A1186" t="str">
        <f t="shared" si="18"/>
        <v>166Compounding Annual Return</v>
      </c>
      <c r="B1186">
        <v>166</v>
      </c>
      <c r="C1186" s="9" t="s">
        <v>30</v>
      </c>
      <c r="D1186" s="8">
        <v>1.6400000000000001E-2</v>
      </c>
    </row>
    <row r="1187" spans="1:4">
      <c r="A1187" t="str">
        <f t="shared" si="18"/>
        <v>166Drawdown</v>
      </c>
      <c r="B1187">
        <v>166</v>
      </c>
      <c r="C1187" s="9" t="s">
        <v>8</v>
      </c>
      <c r="D1187" s="8">
        <v>2.9000000000000001E-2</v>
      </c>
    </row>
    <row r="1188" spans="1:4">
      <c r="A1188" t="str">
        <f t="shared" si="18"/>
        <v>166Expectancy</v>
      </c>
      <c r="B1188">
        <v>166</v>
      </c>
      <c r="C1188" s="9" t="s">
        <v>31</v>
      </c>
      <c r="D1188" s="8">
        <v>0.28499999999999998</v>
      </c>
    </row>
    <row r="1189" spans="1:4">
      <c r="A1189" t="str">
        <f t="shared" si="18"/>
        <v>166Net Profit</v>
      </c>
      <c r="B1189">
        <v>166</v>
      </c>
      <c r="C1189" s="9" t="s">
        <v>32</v>
      </c>
      <c r="D1189" s="8">
        <v>1.057E-2</v>
      </c>
    </row>
    <row r="1190" spans="1:4">
      <c r="A1190" t="str">
        <f t="shared" si="18"/>
        <v>166Loss Rate</v>
      </c>
      <c r="B1190">
        <v>166</v>
      </c>
      <c r="C1190" s="9" t="s">
        <v>33</v>
      </c>
      <c r="D1190" s="8">
        <v>0.28999999999999998</v>
      </c>
    </row>
    <row r="1191" spans="1:4">
      <c r="A1191" t="str">
        <f t="shared" si="18"/>
        <v>166Win Rate</v>
      </c>
      <c r="B1191">
        <v>166</v>
      </c>
      <c r="C1191" s="9" t="s">
        <v>34</v>
      </c>
      <c r="D1191" s="8">
        <v>0.71</v>
      </c>
    </row>
    <row r="1192" spans="1:4">
      <c r="A1192" t="str">
        <f t="shared" si="18"/>
        <v>166Profit-Loss Ratio</v>
      </c>
      <c r="B1192">
        <v>166</v>
      </c>
      <c r="C1192" s="9" t="s">
        <v>26</v>
      </c>
      <c r="D1192" s="8">
        <v>0.82</v>
      </c>
    </row>
    <row r="1193" spans="1:4">
      <c r="A1193" t="str">
        <f t="shared" si="18"/>
        <v>166Alpha</v>
      </c>
      <c r="B1193">
        <v>166</v>
      </c>
      <c r="C1193" s="9" t="s">
        <v>23</v>
      </c>
      <c r="D1193" s="8">
        <v>1.7000000000000001E-2</v>
      </c>
    </row>
    <row r="1194" spans="1:4">
      <c r="A1194" t="str">
        <f t="shared" si="18"/>
        <v>166Beta</v>
      </c>
      <c r="B1194">
        <v>166</v>
      </c>
      <c r="C1194" s="9" t="s">
        <v>24</v>
      </c>
      <c r="D1194" s="8">
        <v>-8.5999999999999993E-2</v>
      </c>
    </row>
    <row r="1195" spans="1:4">
      <c r="A1195" t="str">
        <f t="shared" si="18"/>
        <v>166Annual Standard Deviation</v>
      </c>
      <c r="B1195">
        <v>166</v>
      </c>
      <c r="C1195" s="9" t="s">
        <v>35</v>
      </c>
      <c r="D1195" s="8">
        <v>2.3E-2</v>
      </c>
    </row>
    <row r="1196" spans="1:4">
      <c r="A1196" t="str">
        <f t="shared" si="18"/>
        <v>166Annual Variance</v>
      </c>
      <c r="B1196">
        <v>166</v>
      </c>
      <c r="C1196" s="9" t="s">
        <v>36</v>
      </c>
      <c r="D1196" s="8">
        <v>1E-3</v>
      </c>
    </row>
    <row r="1197" spans="1:4">
      <c r="A1197" t="str">
        <f t="shared" si="18"/>
        <v>166Information Ratio</v>
      </c>
      <c r="B1197">
        <v>166</v>
      </c>
      <c r="C1197" s="9" t="s">
        <v>37</v>
      </c>
      <c r="D1197" s="8">
        <v>-0.68600000000000005</v>
      </c>
    </row>
    <row r="1198" spans="1:4">
      <c r="A1198" t="str">
        <f t="shared" si="18"/>
        <v>166Tracking Error</v>
      </c>
      <c r="B1198">
        <v>166</v>
      </c>
      <c r="C1198" s="9" t="s">
        <v>38</v>
      </c>
      <c r="D1198" s="8">
        <v>7.5999999999999998E-2</v>
      </c>
    </row>
    <row r="1199" spans="1:4">
      <c r="A1199" t="str">
        <f t="shared" si="18"/>
        <v>166Treynor Ratio</v>
      </c>
      <c r="B1199">
        <v>166</v>
      </c>
      <c r="C1199" s="9" t="s">
        <v>39</v>
      </c>
      <c r="D1199" s="8">
        <v>-0.13500000000000001</v>
      </c>
    </row>
    <row r="1200" spans="1:4">
      <c r="A1200" t="str">
        <f t="shared" si="18"/>
        <v>166Total Fees</v>
      </c>
      <c r="B1200">
        <v>166</v>
      </c>
      <c r="C1200" s="9" t="s">
        <v>40</v>
      </c>
      <c r="D1200" s="8">
        <v>0</v>
      </c>
    </row>
    <row r="1201" spans="1:4">
      <c r="A1201" t="str">
        <f t="shared" si="18"/>
        <v>166Estimated Strategy Capacity</v>
      </c>
      <c r="B1201">
        <v>166</v>
      </c>
      <c r="C1201" s="9" t="s">
        <v>41</v>
      </c>
      <c r="D1201" s="8">
        <v>3900000000</v>
      </c>
    </row>
    <row r="1202" spans="1:4">
      <c r="A1202" t="str">
        <f t="shared" si="18"/>
        <v>167PSR</v>
      </c>
      <c r="B1202">
        <v>167</v>
      </c>
      <c r="C1202" s="9" t="s">
        <v>27</v>
      </c>
      <c r="D1202" s="8">
        <v>0.34744000000000003</v>
      </c>
    </row>
    <row r="1203" spans="1:4">
      <c r="A1203" t="str">
        <f t="shared" si="18"/>
        <v>167Sharpe Ratio</v>
      </c>
      <c r="B1203">
        <v>167</v>
      </c>
      <c r="C1203" s="9" t="s">
        <v>1</v>
      </c>
      <c r="D1203" s="8">
        <v>0.63200000000000001</v>
      </c>
    </row>
    <row r="1204" spans="1:4">
      <c r="A1204" t="str">
        <f t="shared" si="18"/>
        <v>167Total Trades</v>
      </c>
      <c r="B1204">
        <v>167</v>
      </c>
      <c r="C1204" s="9" t="s">
        <v>28</v>
      </c>
      <c r="D1204" s="8">
        <v>514</v>
      </c>
    </row>
    <row r="1205" spans="1:4">
      <c r="A1205" t="str">
        <f t="shared" si="18"/>
        <v>167Average Win</v>
      </c>
      <c r="B1205">
        <v>167</v>
      </c>
      <c r="C1205" s="9" t="s">
        <v>25</v>
      </c>
      <c r="D1205" s="8">
        <v>1.7999999999999999E-2</v>
      </c>
    </row>
    <row r="1206" spans="1:4">
      <c r="A1206" t="str">
        <f t="shared" si="18"/>
        <v>167Average Loss</v>
      </c>
      <c r="B1206">
        <v>167</v>
      </c>
      <c r="C1206" s="9" t="s">
        <v>29</v>
      </c>
      <c r="D1206" s="8">
        <v>-2.0799999999999999E-2</v>
      </c>
    </row>
    <row r="1207" spans="1:4">
      <c r="A1207" t="str">
        <f t="shared" si="18"/>
        <v>167Compounding Annual Return</v>
      </c>
      <c r="B1207">
        <v>167</v>
      </c>
      <c r="C1207" s="9" t="s">
        <v>30</v>
      </c>
      <c r="D1207" s="8">
        <v>0.16818</v>
      </c>
    </row>
    <row r="1208" spans="1:4">
      <c r="A1208" t="str">
        <f t="shared" si="18"/>
        <v>167Drawdown</v>
      </c>
      <c r="B1208">
        <v>167</v>
      </c>
      <c r="C1208" s="9" t="s">
        <v>8</v>
      </c>
      <c r="D1208" s="8">
        <v>0.246</v>
      </c>
    </row>
    <row r="1209" spans="1:4">
      <c r="A1209" t="str">
        <f t="shared" si="18"/>
        <v>167Expectancy</v>
      </c>
      <c r="B1209">
        <v>167</v>
      </c>
      <c r="C1209" s="9" t="s">
        <v>31</v>
      </c>
      <c r="D1209" s="8">
        <v>0.318</v>
      </c>
    </row>
    <row r="1210" spans="1:4">
      <c r="A1210" t="str">
        <f t="shared" si="18"/>
        <v>167Net Profit</v>
      </c>
      <c r="B1210">
        <v>167</v>
      </c>
      <c r="C1210" s="9" t="s">
        <v>32</v>
      </c>
      <c r="D1210" s="8">
        <v>0.10571</v>
      </c>
    </row>
    <row r="1211" spans="1:4">
      <c r="A1211" t="str">
        <f t="shared" si="18"/>
        <v>167Loss Rate</v>
      </c>
      <c r="B1211">
        <v>167</v>
      </c>
      <c r="C1211" s="9" t="s">
        <v>33</v>
      </c>
      <c r="D1211" s="8">
        <v>0.28999999999999998</v>
      </c>
    </row>
    <row r="1212" spans="1:4">
      <c r="A1212" t="str">
        <f t="shared" si="18"/>
        <v>167Win Rate</v>
      </c>
      <c r="B1212">
        <v>167</v>
      </c>
      <c r="C1212" s="9" t="s">
        <v>34</v>
      </c>
      <c r="D1212" s="8">
        <v>0.71</v>
      </c>
    </row>
    <row r="1213" spans="1:4">
      <c r="A1213" t="str">
        <f t="shared" si="18"/>
        <v>167Profit-Loss Ratio</v>
      </c>
      <c r="B1213">
        <v>167</v>
      </c>
      <c r="C1213" s="9" t="s">
        <v>26</v>
      </c>
      <c r="D1213" s="8">
        <v>0.87</v>
      </c>
    </row>
    <row r="1214" spans="1:4">
      <c r="A1214" t="str">
        <f t="shared" si="18"/>
        <v>167Alpha</v>
      </c>
      <c r="B1214">
        <v>167</v>
      </c>
      <c r="C1214" s="9" t="s">
        <v>23</v>
      </c>
      <c r="D1214" s="8">
        <v>0.19500000000000001</v>
      </c>
    </row>
    <row r="1215" spans="1:4">
      <c r="A1215" t="str">
        <f t="shared" si="18"/>
        <v>167Beta</v>
      </c>
      <c r="B1215">
        <v>167</v>
      </c>
      <c r="C1215" s="9" t="s">
        <v>24</v>
      </c>
      <c r="D1215" s="8">
        <v>-0.82899999999999996</v>
      </c>
    </row>
    <row r="1216" spans="1:4">
      <c r="A1216" t="str">
        <f t="shared" si="18"/>
        <v>167Annual Standard Deviation</v>
      </c>
      <c r="B1216">
        <v>167</v>
      </c>
      <c r="C1216" s="9" t="s">
        <v>35</v>
      </c>
      <c r="D1216" s="8">
        <v>0.22500000000000001</v>
      </c>
    </row>
    <row r="1217" spans="1:4">
      <c r="A1217" t="str">
        <f t="shared" si="18"/>
        <v>167Annual Variance</v>
      </c>
      <c r="B1217">
        <v>167</v>
      </c>
      <c r="C1217" s="9" t="s">
        <v>36</v>
      </c>
      <c r="D1217" s="8">
        <v>5.0999999999999997E-2</v>
      </c>
    </row>
    <row r="1218" spans="1:4">
      <c r="A1218" t="str">
        <f t="shared" si="18"/>
        <v>167Information Ratio</v>
      </c>
      <c r="B1218">
        <v>167</v>
      </c>
      <c r="C1218" s="9" t="s">
        <v>37</v>
      </c>
      <c r="D1218" s="8">
        <v>0.314</v>
      </c>
    </row>
    <row r="1219" spans="1:4">
      <c r="A1219" t="str">
        <f t="shared" ref="A1219:A1282" si="19">B1219&amp;C1219</f>
        <v>167Tracking Error</v>
      </c>
      <c r="B1219">
        <v>167</v>
      </c>
      <c r="C1219" s="9" t="s">
        <v>38</v>
      </c>
      <c r="D1219" s="8">
        <v>0.25</v>
      </c>
    </row>
    <row r="1220" spans="1:4">
      <c r="A1220" t="str">
        <f t="shared" si="19"/>
        <v>167Treynor Ratio</v>
      </c>
      <c r="B1220">
        <v>167</v>
      </c>
      <c r="C1220" s="9" t="s">
        <v>39</v>
      </c>
      <c r="D1220" s="8">
        <v>-0.17199999999999999</v>
      </c>
    </row>
    <row r="1221" spans="1:4">
      <c r="A1221" t="str">
        <f t="shared" si="19"/>
        <v>167Total Fees</v>
      </c>
      <c r="B1221">
        <v>167</v>
      </c>
      <c r="C1221" s="9" t="s">
        <v>40</v>
      </c>
      <c r="D1221" s="8">
        <v>0</v>
      </c>
    </row>
    <row r="1222" spans="1:4">
      <c r="A1222" t="str">
        <f t="shared" si="19"/>
        <v>167Estimated Strategy Capacity</v>
      </c>
      <c r="B1222">
        <v>167</v>
      </c>
      <c r="C1222" s="9" t="s">
        <v>41</v>
      </c>
      <c r="D1222" s="8">
        <v>430000000</v>
      </c>
    </row>
    <row r="1223" spans="1:4">
      <c r="A1223" t="str">
        <f t="shared" si="19"/>
        <v>168PSR</v>
      </c>
      <c r="B1223">
        <v>168</v>
      </c>
      <c r="C1223" s="9" t="s">
        <v>27</v>
      </c>
      <c r="D1223" s="8">
        <v>0.41891</v>
      </c>
    </row>
    <row r="1224" spans="1:4">
      <c r="A1224" t="str">
        <f t="shared" si="19"/>
        <v>168Sharpe Ratio</v>
      </c>
      <c r="B1224">
        <v>168</v>
      </c>
      <c r="C1224" s="9" t="s">
        <v>1</v>
      </c>
      <c r="D1224" s="8">
        <v>1.224</v>
      </c>
    </row>
    <row r="1225" spans="1:4">
      <c r="A1225" t="str">
        <f t="shared" si="19"/>
        <v>168Total Trades</v>
      </c>
      <c r="B1225">
        <v>168</v>
      </c>
      <c r="C1225" s="9" t="s">
        <v>28</v>
      </c>
      <c r="D1225" s="8">
        <v>516</v>
      </c>
    </row>
    <row r="1226" spans="1:4">
      <c r="A1226" t="str">
        <f t="shared" si="19"/>
        <v>168Average Win</v>
      </c>
      <c r="B1226">
        <v>168</v>
      </c>
      <c r="C1226" s="9" t="s">
        <v>25</v>
      </c>
      <c r="D1226" s="8">
        <v>7.4499999999999997E-2</v>
      </c>
    </row>
    <row r="1227" spans="1:4">
      <c r="A1227" t="str">
        <f t="shared" si="19"/>
        <v>168Average Loss</v>
      </c>
      <c r="B1227">
        <v>168</v>
      </c>
      <c r="C1227" s="9" t="s">
        <v>29</v>
      </c>
      <c r="D1227" s="8">
        <v>-7.4700000000000003E-2</v>
      </c>
    </row>
    <row r="1228" spans="1:4">
      <c r="A1228" t="str">
        <f t="shared" si="19"/>
        <v>168Compounding Annual Return</v>
      </c>
      <c r="B1228">
        <v>168</v>
      </c>
      <c r="C1228" s="9" t="s">
        <v>30</v>
      </c>
      <c r="D1228" s="8">
        <v>0.51556999999999997</v>
      </c>
    </row>
    <row r="1229" spans="1:4">
      <c r="A1229" t="str">
        <f t="shared" si="19"/>
        <v>168Drawdown</v>
      </c>
      <c r="B1229">
        <v>168</v>
      </c>
      <c r="C1229" s="9" t="s">
        <v>8</v>
      </c>
      <c r="D1229" s="8">
        <v>0.73799999999999999</v>
      </c>
    </row>
    <row r="1230" spans="1:4">
      <c r="A1230" t="str">
        <f t="shared" si="19"/>
        <v>168Expectancy</v>
      </c>
      <c r="B1230">
        <v>168</v>
      </c>
      <c r="C1230" s="9" t="s">
        <v>31</v>
      </c>
      <c r="D1230" s="8">
        <v>0.26100000000000001</v>
      </c>
    </row>
    <row r="1231" spans="1:4">
      <c r="A1231" t="str">
        <f t="shared" si="19"/>
        <v>168Net Profit</v>
      </c>
      <c r="B1231">
        <v>168</v>
      </c>
      <c r="C1231" s="9" t="s">
        <v>32</v>
      </c>
      <c r="D1231" s="8">
        <v>0.30837999999999999</v>
      </c>
    </row>
    <row r="1232" spans="1:4">
      <c r="A1232" t="str">
        <f t="shared" si="19"/>
        <v>168Loss Rate</v>
      </c>
      <c r="B1232">
        <v>168</v>
      </c>
      <c r="C1232" s="9" t="s">
        <v>33</v>
      </c>
      <c r="D1232" s="8">
        <v>0.37</v>
      </c>
    </row>
    <row r="1233" spans="1:4">
      <c r="A1233" t="str">
        <f t="shared" si="19"/>
        <v>168Win Rate</v>
      </c>
      <c r="B1233">
        <v>168</v>
      </c>
      <c r="C1233" s="9" t="s">
        <v>34</v>
      </c>
      <c r="D1233" s="8">
        <v>0.63</v>
      </c>
    </row>
    <row r="1234" spans="1:4">
      <c r="A1234" t="str">
        <f t="shared" si="19"/>
        <v>168Profit-Loss Ratio</v>
      </c>
      <c r="B1234">
        <v>168</v>
      </c>
      <c r="C1234" s="9" t="s">
        <v>26</v>
      </c>
      <c r="D1234" s="8">
        <v>1</v>
      </c>
    </row>
    <row r="1235" spans="1:4">
      <c r="A1235" t="str">
        <f t="shared" si="19"/>
        <v>168Alpha</v>
      </c>
      <c r="B1235">
        <v>168</v>
      </c>
      <c r="C1235" s="9" t="s">
        <v>23</v>
      </c>
      <c r="D1235" s="8">
        <v>1.5</v>
      </c>
    </row>
    <row r="1236" spans="1:4">
      <c r="A1236" t="str">
        <f t="shared" si="19"/>
        <v>168Beta</v>
      </c>
      <c r="B1236">
        <v>168</v>
      </c>
      <c r="C1236" s="9" t="s">
        <v>24</v>
      </c>
      <c r="D1236" s="8">
        <v>-3.633</v>
      </c>
    </row>
    <row r="1237" spans="1:4">
      <c r="A1237" t="str">
        <f t="shared" si="19"/>
        <v>168Annual Standard Deviation</v>
      </c>
      <c r="B1237">
        <v>168</v>
      </c>
      <c r="C1237" s="9" t="s">
        <v>35</v>
      </c>
      <c r="D1237" s="8">
        <v>1.0369999999999999</v>
      </c>
    </row>
    <row r="1238" spans="1:4">
      <c r="A1238" t="str">
        <f t="shared" si="19"/>
        <v>168Annual Variance</v>
      </c>
      <c r="B1238">
        <v>168</v>
      </c>
      <c r="C1238" s="9" t="s">
        <v>36</v>
      </c>
      <c r="D1238" s="8">
        <v>1.0740000000000001</v>
      </c>
    </row>
    <row r="1239" spans="1:4">
      <c r="A1239" t="str">
        <f t="shared" si="19"/>
        <v>168Information Ratio</v>
      </c>
      <c r="B1239">
        <v>168</v>
      </c>
      <c r="C1239" s="9" t="s">
        <v>37</v>
      </c>
      <c r="D1239" s="8">
        <v>1.143</v>
      </c>
    </row>
    <row r="1240" spans="1:4">
      <c r="A1240" t="str">
        <f t="shared" si="19"/>
        <v>168Tracking Error</v>
      </c>
      <c r="B1240">
        <v>168</v>
      </c>
      <c r="C1240" s="9" t="s">
        <v>38</v>
      </c>
      <c r="D1240" s="8">
        <v>1.054</v>
      </c>
    </row>
    <row r="1241" spans="1:4">
      <c r="A1241" t="str">
        <f t="shared" si="19"/>
        <v>168Treynor Ratio</v>
      </c>
      <c r="B1241">
        <v>168</v>
      </c>
      <c r="C1241" s="9" t="s">
        <v>39</v>
      </c>
      <c r="D1241" s="8">
        <v>-0.34899999999999998</v>
      </c>
    </row>
    <row r="1242" spans="1:4">
      <c r="A1242" t="str">
        <f t="shared" si="19"/>
        <v>168Total Fees</v>
      </c>
      <c r="B1242">
        <v>168</v>
      </c>
      <c r="C1242" s="9" t="s">
        <v>40</v>
      </c>
      <c r="D1242" s="8">
        <v>0</v>
      </c>
    </row>
    <row r="1243" spans="1:4">
      <c r="A1243" t="str">
        <f t="shared" si="19"/>
        <v>168Estimated Strategy Capacity</v>
      </c>
      <c r="B1243">
        <v>168</v>
      </c>
      <c r="C1243" s="9" t="s">
        <v>41</v>
      </c>
      <c r="D1243" s="8">
        <v>100000000</v>
      </c>
    </row>
    <row r="1244" spans="1:4">
      <c r="A1244" t="str">
        <f t="shared" si="19"/>
        <v>169PSR</v>
      </c>
      <c r="B1244">
        <v>169</v>
      </c>
      <c r="C1244" s="9" t="s">
        <v>27</v>
      </c>
      <c r="D1244" s="8">
        <v>0.73838000000000004</v>
      </c>
    </row>
    <row r="1245" spans="1:4">
      <c r="A1245" t="str">
        <f t="shared" si="19"/>
        <v>169Sharpe Ratio</v>
      </c>
      <c r="B1245">
        <v>169</v>
      </c>
      <c r="C1245" s="9" t="s">
        <v>1</v>
      </c>
      <c r="D1245" s="8">
        <v>1.569</v>
      </c>
    </row>
    <row r="1246" spans="1:4">
      <c r="A1246" t="str">
        <f t="shared" si="19"/>
        <v>169Total Trades</v>
      </c>
      <c r="B1246">
        <v>169</v>
      </c>
      <c r="C1246" s="9" t="s">
        <v>28</v>
      </c>
      <c r="D1246" s="8">
        <v>368</v>
      </c>
    </row>
    <row r="1247" spans="1:4">
      <c r="A1247" t="str">
        <f t="shared" si="19"/>
        <v>169Average Win</v>
      </c>
      <c r="B1247">
        <v>169</v>
      </c>
      <c r="C1247" s="9" t="s">
        <v>25</v>
      </c>
      <c r="D1247" s="8">
        <v>4.4000000000000003E-3</v>
      </c>
    </row>
    <row r="1248" spans="1:4">
      <c r="A1248" t="str">
        <f t="shared" si="19"/>
        <v>169Average Loss</v>
      </c>
      <c r="B1248">
        <v>169</v>
      </c>
      <c r="C1248" s="9" t="s">
        <v>29</v>
      </c>
      <c r="D1248" s="8">
        <v>-1.6000000000000001E-3</v>
      </c>
    </row>
    <row r="1249" spans="1:4">
      <c r="A1249" t="str">
        <f t="shared" si="19"/>
        <v>169Compounding Annual Return</v>
      </c>
      <c r="B1249">
        <v>169</v>
      </c>
      <c r="C1249" s="9" t="s">
        <v>30</v>
      </c>
      <c r="D1249" s="8">
        <v>3.4750000000000003E-2</v>
      </c>
    </row>
    <row r="1250" spans="1:4">
      <c r="A1250" t="str">
        <f t="shared" si="19"/>
        <v>169Drawdown</v>
      </c>
      <c r="B1250">
        <v>169</v>
      </c>
      <c r="C1250" s="9" t="s">
        <v>8</v>
      </c>
      <c r="D1250" s="8">
        <v>7.0000000000000001E-3</v>
      </c>
    </row>
    <row r="1251" spans="1:4">
      <c r="A1251" t="str">
        <f t="shared" si="19"/>
        <v>169Expectancy</v>
      </c>
      <c r="B1251">
        <v>169</v>
      </c>
      <c r="C1251" s="9" t="s">
        <v>31</v>
      </c>
      <c r="D1251" s="8">
        <v>1.2190000000000001</v>
      </c>
    </row>
    <row r="1252" spans="1:4">
      <c r="A1252" t="str">
        <f t="shared" si="19"/>
        <v>169Net Profit</v>
      </c>
      <c r="B1252">
        <v>169</v>
      </c>
      <c r="C1252" s="9" t="s">
        <v>32</v>
      </c>
      <c r="D1252" s="8">
        <v>2.2329999999999999E-2</v>
      </c>
    </row>
    <row r="1253" spans="1:4">
      <c r="A1253" t="str">
        <f t="shared" si="19"/>
        <v>169Loss Rate</v>
      </c>
      <c r="B1253">
        <v>169</v>
      </c>
      <c r="C1253" s="9" t="s">
        <v>33</v>
      </c>
      <c r="D1253" s="8">
        <v>0.42</v>
      </c>
    </row>
    <row r="1254" spans="1:4">
      <c r="A1254" t="str">
        <f t="shared" si="19"/>
        <v>169Win Rate</v>
      </c>
      <c r="B1254">
        <v>169</v>
      </c>
      <c r="C1254" s="9" t="s">
        <v>34</v>
      </c>
      <c r="D1254" s="8">
        <v>0.57999999999999996</v>
      </c>
    </row>
    <row r="1255" spans="1:4">
      <c r="A1255" t="str">
        <f t="shared" si="19"/>
        <v>169Profit-Loss Ratio</v>
      </c>
      <c r="B1255">
        <v>169</v>
      </c>
      <c r="C1255" s="9" t="s">
        <v>26</v>
      </c>
      <c r="D1255" s="8">
        <v>2.8</v>
      </c>
    </row>
    <row r="1256" spans="1:4">
      <c r="A1256" t="str">
        <f t="shared" si="19"/>
        <v>169Alpha</v>
      </c>
      <c r="B1256">
        <v>169</v>
      </c>
      <c r="C1256" s="9" t="s">
        <v>23</v>
      </c>
      <c r="D1256" s="8">
        <v>2.8000000000000001E-2</v>
      </c>
    </row>
    <row r="1257" spans="1:4">
      <c r="A1257" t="str">
        <f t="shared" si="19"/>
        <v>169Beta</v>
      </c>
      <c r="B1257">
        <v>169</v>
      </c>
      <c r="C1257" s="9" t="s">
        <v>24</v>
      </c>
      <c r="D1257" s="8">
        <v>-6.3E-2</v>
      </c>
    </row>
    <row r="1258" spans="1:4">
      <c r="A1258" t="str">
        <f t="shared" si="19"/>
        <v>169Annual Standard Deviation</v>
      </c>
      <c r="B1258">
        <v>169</v>
      </c>
      <c r="C1258" s="9" t="s">
        <v>35</v>
      </c>
      <c r="D1258" s="8">
        <v>1.4999999999999999E-2</v>
      </c>
    </row>
    <row r="1259" spans="1:4">
      <c r="A1259" t="str">
        <f t="shared" si="19"/>
        <v>169Annual Variance</v>
      </c>
      <c r="B1259">
        <v>169</v>
      </c>
      <c r="C1259" s="9" t="s">
        <v>36</v>
      </c>
      <c r="D1259" s="8">
        <v>0</v>
      </c>
    </row>
    <row r="1260" spans="1:4">
      <c r="A1260" t="str">
        <f t="shared" si="19"/>
        <v>169Information Ratio</v>
      </c>
      <c r="B1260">
        <v>169</v>
      </c>
      <c r="C1260" s="9" t="s">
        <v>37</v>
      </c>
      <c r="D1260" s="8">
        <v>-0.54600000000000004</v>
      </c>
    </row>
    <row r="1261" spans="1:4">
      <c r="A1261" t="str">
        <f t="shared" si="19"/>
        <v>169Tracking Error</v>
      </c>
      <c r="B1261">
        <v>169</v>
      </c>
      <c r="C1261" s="9" t="s">
        <v>38</v>
      </c>
      <c r="D1261" s="8">
        <v>7.1999999999999995E-2</v>
      </c>
    </row>
    <row r="1262" spans="1:4">
      <c r="A1262" t="str">
        <f t="shared" si="19"/>
        <v>169Treynor Ratio</v>
      </c>
      <c r="B1262">
        <v>169</v>
      </c>
      <c r="C1262" s="9" t="s">
        <v>39</v>
      </c>
      <c r="D1262" s="8">
        <v>-0.38100000000000001</v>
      </c>
    </row>
    <row r="1263" spans="1:4">
      <c r="A1263" t="str">
        <f t="shared" si="19"/>
        <v>169Total Fees</v>
      </c>
      <c r="B1263">
        <v>169</v>
      </c>
      <c r="C1263" s="9" t="s">
        <v>40</v>
      </c>
      <c r="D1263" s="8">
        <v>0</v>
      </c>
    </row>
    <row r="1264" spans="1:4">
      <c r="A1264" t="str">
        <f t="shared" si="19"/>
        <v>169Estimated Strategy Capacity</v>
      </c>
      <c r="B1264">
        <v>169</v>
      </c>
      <c r="C1264" s="9" t="s">
        <v>41</v>
      </c>
      <c r="D1264" s="8">
        <v>2700000000</v>
      </c>
    </row>
    <row r="1265" spans="1:4">
      <c r="A1265" t="str">
        <f t="shared" si="19"/>
        <v>170PSR</v>
      </c>
      <c r="B1265">
        <v>170</v>
      </c>
      <c r="C1265" s="9" t="s">
        <v>27</v>
      </c>
      <c r="D1265" s="8">
        <v>0.74775000000000003</v>
      </c>
    </row>
    <row r="1266" spans="1:4">
      <c r="A1266" t="str">
        <f t="shared" si="19"/>
        <v>170Sharpe Ratio</v>
      </c>
      <c r="B1266">
        <v>170</v>
      </c>
      <c r="C1266" s="9" t="s">
        <v>1</v>
      </c>
      <c r="D1266" s="8">
        <v>1.7569999999999999</v>
      </c>
    </row>
    <row r="1267" spans="1:4">
      <c r="A1267" t="str">
        <f t="shared" si="19"/>
        <v>170Total Trades</v>
      </c>
      <c r="B1267">
        <v>170</v>
      </c>
      <c r="C1267" s="9" t="s">
        <v>28</v>
      </c>
      <c r="D1267" s="8">
        <v>368</v>
      </c>
    </row>
    <row r="1268" spans="1:4">
      <c r="A1268" t="str">
        <f t="shared" si="19"/>
        <v>170Average Win</v>
      </c>
      <c r="B1268">
        <v>170</v>
      </c>
      <c r="C1268" s="9" t="s">
        <v>25</v>
      </c>
      <c r="D1268" s="8">
        <v>4.1000000000000002E-2</v>
      </c>
    </row>
    <row r="1269" spans="1:4">
      <c r="A1269" t="str">
        <f t="shared" si="19"/>
        <v>170Average Loss</v>
      </c>
      <c r="B1269">
        <v>170</v>
      </c>
      <c r="C1269" s="9" t="s">
        <v>29</v>
      </c>
      <c r="D1269" s="8">
        <v>-1.44E-2</v>
      </c>
    </row>
    <row r="1270" spans="1:4">
      <c r="A1270" t="str">
        <f t="shared" si="19"/>
        <v>170Compounding Annual Return</v>
      </c>
      <c r="B1270">
        <v>170</v>
      </c>
      <c r="C1270" s="9" t="s">
        <v>30</v>
      </c>
      <c r="D1270" s="8">
        <v>0.36585000000000001</v>
      </c>
    </row>
    <row r="1271" spans="1:4">
      <c r="A1271" t="str">
        <f t="shared" si="19"/>
        <v>170Drawdown</v>
      </c>
      <c r="B1271">
        <v>170</v>
      </c>
      <c r="C1271" s="9" t="s">
        <v>8</v>
      </c>
      <c r="D1271" s="8">
        <v>5.8999999999999997E-2</v>
      </c>
    </row>
    <row r="1272" spans="1:4">
      <c r="A1272" t="str">
        <f t="shared" si="19"/>
        <v>170Expectancy</v>
      </c>
      <c r="B1272">
        <v>170</v>
      </c>
      <c r="C1272" s="9" t="s">
        <v>31</v>
      </c>
      <c r="D1272" s="8">
        <v>1.2390000000000001</v>
      </c>
    </row>
    <row r="1273" spans="1:4">
      <c r="A1273" t="str">
        <f t="shared" si="19"/>
        <v>170Net Profit</v>
      </c>
      <c r="B1273">
        <v>170</v>
      </c>
      <c r="C1273" s="9" t="s">
        <v>32</v>
      </c>
      <c r="D1273" s="8">
        <v>0.2233</v>
      </c>
    </row>
    <row r="1274" spans="1:4">
      <c r="A1274" t="str">
        <f t="shared" si="19"/>
        <v>170Loss Rate</v>
      </c>
      <c r="B1274">
        <v>170</v>
      </c>
      <c r="C1274" s="9" t="s">
        <v>33</v>
      </c>
      <c r="D1274" s="8">
        <v>0.42</v>
      </c>
    </row>
    <row r="1275" spans="1:4">
      <c r="A1275" t="str">
        <f t="shared" si="19"/>
        <v>170Win Rate</v>
      </c>
      <c r="B1275">
        <v>170</v>
      </c>
      <c r="C1275" s="9" t="s">
        <v>34</v>
      </c>
      <c r="D1275" s="8">
        <v>0.57999999999999996</v>
      </c>
    </row>
    <row r="1276" spans="1:4">
      <c r="A1276" t="str">
        <f t="shared" si="19"/>
        <v>170Profit-Loss Ratio</v>
      </c>
      <c r="B1276">
        <v>170</v>
      </c>
      <c r="C1276" s="9" t="s">
        <v>26</v>
      </c>
      <c r="D1276" s="8">
        <v>2.84</v>
      </c>
    </row>
    <row r="1277" spans="1:4">
      <c r="A1277" t="str">
        <f t="shared" si="19"/>
        <v>170Alpha</v>
      </c>
      <c r="B1277">
        <v>170</v>
      </c>
      <c r="C1277" s="9" t="s">
        <v>23</v>
      </c>
      <c r="D1277" s="8">
        <v>0.29199999999999998</v>
      </c>
    </row>
    <row r="1278" spans="1:4">
      <c r="A1278" t="str">
        <f t="shared" si="19"/>
        <v>170Beta</v>
      </c>
      <c r="B1278">
        <v>170</v>
      </c>
      <c r="C1278" s="9" t="s">
        <v>24</v>
      </c>
      <c r="D1278" s="8">
        <v>-0.59399999999999997</v>
      </c>
    </row>
    <row r="1279" spans="1:4">
      <c r="A1279" t="str">
        <f t="shared" si="19"/>
        <v>170Annual Standard Deviation</v>
      </c>
      <c r="B1279">
        <v>170</v>
      </c>
      <c r="C1279" s="9" t="s">
        <v>35</v>
      </c>
      <c r="D1279" s="8">
        <v>0.14499999999999999</v>
      </c>
    </row>
    <row r="1280" spans="1:4">
      <c r="A1280" t="str">
        <f t="shared" si="19"/>
        <v>170Annual Variance</v>
      </c>
      <c r="B1280">
        <v>170</v>
      </c>
      <c r="C1280" s="9" t="s">
        <v>36</v>
      </c>
      <c r="D1280" s="8">
        <v>2.1000000000000001E-2</v>
      </c>
    </row>
    <row r="1281" spans="1:4">
      <c r="A1281" t="str">
        <f t="shared" si="19"/>
        <v>170Information Ratio</v>
      </c>
      <c r="B1281">
        <v>170</v>
      </c>
      <c r="C1281" s="9" t="s">
        <v>37</v>
      </c>
      <c r="D1281" s="8">
        <v>1.087</v>
      </c>
    </row>
    <row r="1282" spans="1:4">
      <c r="A1282" t="str">
        <f t="shared" si="19"/>
        <v>170Tracking Error</v>
      </c>
      <c r="B1282">
        <v>170</v>
      </c>
      <c r="C1282" s="9" t="s">
        <v>38</v>
      </c>
      <c r="D1282" s="8">
        <v>0.17499999999999999</v>
      </c>
    </row>
    <row r="1283" spans="1:4">
      <c r="A1283" t="str">
        <f t="shared" ref="A1283:A1346" si="20">B1283&amp;C1283</f>
        <v>170Treynor Ratio</v>
      </c>
      <c r="B1283">
        <v>170</v>
      </c>
      <c r="C1283" s="9" t="s">
        <v>39</v>
      </c>
      <c r="D1283" s="8">
        <v>-0.42699999999999999</v>
      </c>
    </row>
    <row r="1284" spans="1:4">
      <c r="A1284" t="str">
        <f t="shared" si="20"/>
        <v>170Total Fees</v>
      </c>
      <c r="B1284">
        <v>170</v>
      </c>
      <c r="C1284" s="9" t="s">
        <v>40</v>
      </c>
      <c r="D1284" s="8">
        <v>0</v>
      </c>
    </row>
    <row r="1285" spans="1:4">
      <c r="A1285" t="str">
        <f t="shared" si="20"/>
        <v>170Estimated Strategy Capacity</v>
      </c>
      <c r="B1285">
        <v>170</v>
      </c>
      <c r="C1285" s="9" t="s">
        <v>41</v>
      </c>
      <c r="D1285" s="8">
        <v>330000000</v>
      </c>
    </row>
    <row r="1286" spans="1:4">
      <c r="A1286" t="str">
        <f t="shared" si="20"/>
        <v>171PSR</v>
      </c>
      <c r="B1286">
        <v>171</v>
      </c>
      <c r="C1286" s="9" t="s">
        <v>27</v>
      </c>
      <c r="D1286" s="8">
        <v>0.77110999999999996</v>
      </c>
    </row>
    <row r="1287" spans="1:4">
      <c r="A1287" t="str">
        <f t="shared" si="20"/>
        <v>171Sharpe Ratio</v>
      </c>
      <c r="B1287">
        <v>171</v>
      </c>
      <c r="C1287" s="9" t="s">
        <v>1</v>
      </c>
      <c r="D1287" s="8">
        <v>2.7010000000000001</v>
      </c>
    </row>
    <row r="1288" spans="1:4">
      <c r="A1288" t="str">
        <f t="shared" si="20"/>
        <v>171Total Trades</v>
      </c>
      <c r="B1288">
        <v>171</v>
      </c>
      <c r="C1288" s="9" t="s">
        <v>28</v>
      </c>
      <c r="D1288" s="8">
        <v>368</v>
      </c>
    </row>
    <row r="1289" spans="1:4">
      <c r="A1289" t="str">
        <f t="shared" si="20"/>
        <v>171Average Win</v>
      </c>
      <c r="B1289">
        <v>171</v>
      </c>
      <c r="C1289" s="9" t="s">
        <v>25</v>
      </c>
      <c r="D1289" s="8">
        <v>0.17030000000000001</v>
      </c>
    </row>
    <row r="1290" spans="1:4">
      <c r="A1290" t="str">
        <f t="shared" si="20"/>
        <v>171Average Loss</v>
      </c>
      <c r="B1290">
        <v>171</v>
      </c>
      <c r="C1290" s="9" t="s">
        <v>29</v>
      </c>
      <c r="D1290" s="8">
        <v>-5.7599999999999998E-2</v>
      </c>
    </row>
    <row r="1291" spans="1:4">
      <c r="A1291" t="str">
        <f t="shared" si="20"/>
        <v>171Compounding Annual Return</v>
      </c>
      <c r="B1291">
        <v>171</v>
      </c>
      <c r="C1291" s="9" t="s">
        <v>30</v>
      </c>
      <c r="D1291" s="8">
        <v>2.1892800000000001</v>
      </c>
    </row>
    <row r="1292" spans="1:4">
      <c r="A1292" t="str">
        <f t="shared" si="20"/>
        <v>171Drawdown</v>
      </c>
      <c r="B1292">
        <v>171</v>
      </c>
      <c r="C1292" s="9" t="s">
        <v>8</v>
      </c>
      <c r="D1292" s="8">
        <v>0.252</v>
      </c>
    </row>
    <row r="1293" spans="1:4">
      <c r="A1293" t="str">
        <f t="shared" si="20"/>
        <v>171Expectancy</v>
      </c>
      <c r="B1293">
        <v>171</v>
      </c>
      <c r="C1293" s="9" t="s">
        <v>31</v>
      </c>
      <c r="D1293" s="8">
        <v>1.3089999999999999</v>
      </c>
    </row>
    <row r="1294" spans="1:4">
      <c r="A1294" t="str">
        <f t="shared" si="20"/>
        <v>171Net Profit</v>
      </c>
      <c r="B1294">
        <v>171</v>
      </c>
      <c r="C1294" s="9" t="s">
        <v>32</v>
      </c>
      <c r="D1294" s="8">
        <v>1.1165</v>
      </c>
    </row>
    <row r="1295" spans="1:4">
      <c r="A1295" t="str">
        <f t="shared" si="20"/>
        <v>171Loss Rate</v>
      </c>
      <c r="B1295">
        <v>171</v>
      </c>
      <c r="C1295" s="9" t="s">
        <v>33</v>
      </c>
      <c r="D1295" s="8">
        <v>0.42</v>
      </c>
    </row>
    <row r="1296" spans="1:4">
      <c r="A1296" t="str">
        <f t="shared" si="20"/>
        <v>171Win Rate</v>
      </c>
      <c r="B1296">
        <v>171</v>
      </c>
      <c r="C1296" s="9" t="s">
        <v>34</v>
      </c>
      <c r="D1296" s="8">
        <v>0.57999999999999996</v>
      </c>
    </row>
    <row r="1297" spans="1:4">
      <c r="A1297" t="str">
        <f t="shared" si="20"/>
        <v>171Profit-Loss Ratio</v>
      </c>
      <c r="B1297">
        <v>171</v>
      </c>
      <c r="C1297" s="9" t="s">
        <v>26</v>
      </c>
      <c r="D1297" s="8">
        <v>2.96</v>
      </c>
    </row>
    <row r="1298" spans="1:4">
      <c r="A1298" t="str">
        <f t="shared" si="20"/>
        <v>171Alpha</v>
      </c>
      <c r="B1298">
        <v>171</v>
      </c>
      <c r="C1298" s="9" t="s">
        <v>23</v>
      </c>
      <c r="D1298" s="8">
        <v>1.7809999999999999</v>
      </c>
    </row>
    <row r="1299" spans="1:4">
      <c r="A1299" t="str">
        <f t="shared" si="20"/>
        <v>171Beta</v>
      </c>
      <c r="B1299">
        <v>171</v>
      </c>
      <c r="C1299" s="9" t="s">
        <v>24</v>
      </c>
      <c r="D1299" s="8">
        <v>-2.403</v>
      </c>
    </row>
    <row r="1300" spans="1:4">
      <c r="A1300" t="str">
        <f t="shared" si="20"/>
        <v>171Annual Standard Deviation</v>
      </c>
      <c r="B1300">
        <v>171</v>
      </c>
      <c r="C1300" s="9" t="s">
        <v>35</v>
      </c>
      <c r="D1300" s="8">
        <v>0.60299999999999998</v>
      </c>
    </row>
    <row r="1301" spans="1:4">
      <c r="A1301" t="str">
        <f t="shared" si="20"/>
        <v>171Annual Variance</v>
      </c>
      <c r="B1301">
        <v>171</v>
      </c>
      <c r="C1301" s="9" t="s">
        <v>36</v>
      </c>
      <c r="D1301" s="8">
        <v>0.36399999999999999</v>
      </c>
    </row>
    <row r="1302" spans="1:4">
      <c r="A1302" t="str">
        <f t="shared" si="20"/>
        <v>171Information Ratio</v>
      </c>
      <c r="B1302">
        <v>171</v>
      </c>
      <c r="C1302" s="9" t="s">
        <v>37</v>
      </c>
      <c r="D1302" s="8">
        <v>2.5070000000000001</v>
      </c>
    </row>
    <row r="1303" spans="1:4">
      <c r="A1303" t="str">
        <f t="shared" si="20"/>
        <v>171Tracking Error</v>
      </c>
      <c r="B1303">
        <v>171</v>
      </c>
      <c r="C1303" s="9" t="s">
        <v>38</v>
      </c>
      <c r="D1303" s="8">
        <v>0.624</v>
      </c>
    </row>
    <row r="1304" spans="1:4">
      <c r="A1304" t="str">
        <f t="shared" si="20"/>
        <v>171Treynor Ratio</v>
      </c>
      <c r="B1304">
        <v>171</v>
      </c>
      <c r="C1304" s="9" t="s">
        <v>39</v>
      </c>
      <c r="D1304" s="8">
        <v>-0.67700000000000005</v>
      </c>
    </row>
    <row r="1305" spans="1:4">
      <c r="A1305" t="str">
        <f t="shared" si="20"/>
        <v>171Total Fees</v>
      </c>
      <c r="B1305">
        <v>171</v>
      </c>
      <c r="C1305" s="9" t="s">
        <v>40</v>
      </c>
      <c r="D1305" s="8">
        <v>0</v>
      </c>
    </row>
    <row r="1306" spans="1:4">
      <c r="A1306" t="str">
        <f t="shared" si="20"/>
        <v>171Estimated Strategy Capacity</v>
      </c>
      <c r="B1306">
        <v>171</v>
      </c>
      <c r="C1306" s="9" t="s">
        <v>41</v>
      </c>
      <c r="D1306" s="8">
        <v>120000000</v>
      </c>
    </row>
    <row r="1307" spans="1:4">
      <c r="A1307" t="str">
        <f t="shared" si="20"/>
        <v>189PSR</v>
      </c>
      <c r="B1307">
        <v>189</v>
      </c>
      <c r="C1307" t="s">
        <v>27</v>
      </c>
      <c r="D1307" s="2">
        <v>0.41333999999999999</v>
      </c>
    </row>
    <row r="1308" spans="1:4">
      <c r="A1308" t="str">
        <f t="shared" si="20"/>
        <v>189Sharpe Ratio</v>
      </c>
      <c r="B1308">
        <v>189</v>
      </c>
      <c r="C1308" t="s">
        <v>1</v>
      </c>
      <c r="D1308" s="2">
        <v>1.1559999999999999</v>
      </c>
    </row>
    <row r="1309" spans="1:4">
      <c r="A1309" t="str">
        <f t="shared" si="20"/>
        <v>189Total Trades</v>
      </c>
      <c r="B1309">
        <v>189</v>
      </c>
      <c r="C1309" t="s">
        <v>28</v>
      </c>
      <c r="D1309" s="2">
        <v>268</v>
      </c>
    </row>
    <row r="1310" spans="1:4">
      <c r="A1310" t="str">
        <f t="shared" si="20"/>
        <v>189Average Win</v>
      </c>
      <c r="B1310">
        <v>189</v>
      </c>
      <c r="C1310" t="s">
        <v>25</v>
      </c>
      <c r="D1310" s="2">
        <v>0.1784</v>
      </c>
    </row>
    <row r="1311" spans="1:4">
      <c r="A1311" t="str">
        <f t="shared" si="20"/>
        <v>189Average Loss</v>
      </c>
      <c r="B1311">
        <v>189</v>
      </c>
      <c r="C1311" t="s">
        <v>29</v>
      </c>
      <c r="D1311" s="2">
        <v>-8.6199999999999999E-2</v>
      </c>
    </row>
    <row r="1312" spans="1:4">
      <c r="A1312" t="str">
        <f t="shared" si="20"/>
        <v>189Compounding Annual Return</v>
      </c>
      <c r="B1312">
        <v>189</v>
      </c>
      <c r="C1312" t="s">
        <v>30</v>
      </c>
      <c r="D1312" s="2">
        <v>0.60363999999999995</v>
      </c>
    </row>
    <row r="1313" spans="1:4">
      <c r="A1313" t="str">
        <f t="shared" si="20"/>
        <v>189Drawdown</v>
      </c>
      <c r="B1313">
        <v>189</v>
      </c>
      <c r="C1313" t="s">
        <v>8</v>
      </c>
      <c r="D1313" s="2">
        <v>0.69099999999999995</v>
      </c>
    </row>
    <row r="1314" spans="1:4">
      <c r="A1314" t="str">
        <f t="shared" si="20"/>
        <v>189Expectancy</v>
      </c>
      <c r="B1314">
        <v>189</v>
      </c>
      <c r="C1314" t="s">
        <v>31</v>
      </c>
      <c r="D1314" s="2">
        <v>0.91900000000000004</v>
      </c>
    </row>
    <row r="1315" spans="1:4">
      <c r="A1315" t="str">
        <f t="shared" si="20"/>
        <v>189Net Profit</v>
      </c>
      <c r="B1315">
        <v>189</v>
      </c>
      <c r="C1315" t="s">
        <v>32</v>
      </c>
      <c r="D1315" s="2">
        <v>0.35528999999999999</v>
      </c>
    </row>
    <row r="1316" spans="1:4">
      <c r="A1316" t="str">
        <f t="shared" si="20"/>
        <v>189Loss Rate</v>
      </c>
      <c r="B1316">
        <v>189</v>
      </c>
      <c r="C1316" t="s">
        <v>33</v>
      </c>
      <c r="D1316" s="2">
        <v>0.38</v>
      </c>
    </row>
    <row r="1317" spans="1:4">
      <c r="A1317" t="str">
        <f t="shared" si="20"/>
        <v>189Win Rate</v>
      </c>
      <c r="B1317">
        <v>189</v>
      </c>
      <c r="C1317" t="s">
        <v>34</v>
      </c>
      <c r="D1317" s="2">
        <v>0.62</v>
      </c>
    </row>
    <row r="1318" spans="1:4">
      <c r="A1318" t="str">
        <f t="shared" si="20"/>
        <v>189Profit-Loss Ratio</v>
      </c>
      <c r="B1318">
        <v>189</v>
      </c>
      <c r="C1318" t="s">
        <v>26</v>
      </c>
      <c r="D1318" s="2">
        <v>2.0699999999999998</v>
      </c>
    </row>
    <row r="1319" spans="1:4">
      <c r="A1319" t="str">
        <f t="shared" si="20"/>
        <v>189Alpha</v>
      </c>
      <c r="B1319">
        <v>189</v>
      </c>
      <c r="C1319" t="s">
        <v>23</v>
      </c>
      <c r="D1319" s="2">
        <v>1.34</v>
      </c>
    </row>
    <row r="1320" spans="1:4">
      <c r="A1320" t="str">
        <f t="shared" si="20"/>
        <v>189Beta</v>
      </c>
      <c r="B1320">
        <v>189</v>
      </c>
      <c r="C1320" t="s">
        <v>24</v>
      </c>
      <c r="D1320" s="2">
        <v>-4.1079999999999997</v>
      </c>
    </row>
    <row r="1321" spans="1:4">
      <c r="A1321" t="str">
        <f t="shared" si="20"/>
        <v>189Annual Standard Deviation</v>
      </c>
      <c r="B1321">
        <v>189</v>
      </c>
      <c r="C1321" t="s">
        <v>35</v>
      </c>
      <c r="D1321" s="2">
        <v>0.93200000000000005</v>
      </c>
    </row>
    <row r="1322" spans="1:4">
      <c r="A1322" t="str">
        <f t="shared" si="20"/>
        <v>189Annual Variance</v>
      </c>
      <c r="B1322">
        <v>189</v>
      </c>
      <c r="C1322" t="s">
        <v>36</v>
      </c>
      <c r="D1322" s="2">
        <v>0.86799999999999999</v>
      </c>
    </row>
    <row r="1323" spans="1:4">
      <c r="A1323" t="str">
        <f t="shared" si="20"/>
        <v>189Information Ratio</v>
      </c>
      <c r="B1323">
        <v>189</v>
      </c>
      <c r="C1323" t="s">
        <v>37</v>
      </c>
      <c r="D1323" s="2">
        <v>1.0629999999999999</v>
      </c>
    </row>
    <row r="1324" spans="1:4">
      <c r="A1324" t="str">
        <f t="shared" si="20"/>
        <v>189Tracking Error</v>
      </c>
      <c r="B1324">
        <v>189</v>
      </c>
      <c r="C1324" t="s">
        <v>38</v>
      </c>
      <c r="D1324" s="2">
        <v>0.95399999999999996</v>
      </c>
    </row>
    <row r="1325" spans="1:4">
      <c r="A1325" t="str">
        <f t="shared" si="20"/>
        <v>189Treynor Ratio</v>
      </c>
      <c r="B1325">
        <v>189</v>
      </c>
      <c r="C1325" t="s">
        <v>39</v>
      </c>
      <c r="D1325" s="2">
        <v>-0.26200000000000001</v>
      </c>
    </row>
    <row r="1326" spans="1:4">
      <c r="A1326" t="str">
        <f t="shared" si="20"/>
        <v>189Total Fees</v>
      </c>
      <c r="B1326">
        <v>189</v>
      </c>
      <c r="C1326" t="s">
        <v>40</v>
      </c>
      <c r="D1326" s="2">
        <v>0</v>
      </c>
    </row>
    <row r="1327" spans="1:4">
      <c r="A1327" t="str">
        <f t="shared" si="20"/>
        <v>189Estimated Strategy Capacity</v>
      </c>
      <c r="B1327">
        <v>189</v>
      </c>
      <c r="C1327" t="s">
        <v>41</v>
      </c>
      <c r="D1327" s="2">
        <v>2800000</v>
      </c>
    </row>
    <row r="1328" spans="1:4">
      <c r="A1328" t="str">
        <f t="shared" si="20"/>
        <v>188PSR</v>
      </c>
      <c r="B1328">
        <v>188</v>
      </c>
      <c r="C1328" s="9" t="s">
        <v>27</v>
      </c>
      <c r="D1328" s="8">
        <v>0.31263000000000002</v>
      </c>
    </row>
    <row r="1329" spans="1:4">
      <c r="A1329" t="str">
        <f t="shared" si="20"/>
        <v>188Sharpe Ratio</v>
      </c>
      <c r="B1329">
        <v>188</v>
      </c>
      <c r="C1329" s="9" t="s">
        <v>1</v>
      </c>
      <c r="D1329" s="8">
        <v>0.52100000000000002</v>
      </c>
    </row>
    <row r="1330" spans="1:4">
      <c r="A1330" t="str">
        <f t="shared" si="20"/>
        <v>188Total Trades</v>
      </c>
      <c r="B1330">
        <v>188</v>
      </c>
      <c r="C1330" s="9" t="s">
        <v>28</v>
      </c>
      <c r="D1330" s="8">
        <v>268</v>
      </c>
    </row>
    <row r="1331" spans="1:4">
      <c r="A1331" t="str">
        <f t="shared" si="20"/>
        <v>188Average Win</v>
      </c>
      <c r="B1331">
        <v>188</v>
      </c>
      <c r="C1331" s="9" t="s">
        <v>25</v>
      </c>
      <c r="D1331" s="8">
        <v>4.0599999999999997E-2</v>
      </c>
    </row>
    <row r="1332" spans="1:4">
      <c r="A1332" t="str">
        <f t="shared" si="20"/>
        <v>188Average Loss</v>
      </c>
      <c r="B1332">
        <v>188</v>
      </c>
      <c r="C1332" s="9" t="s">
        <v>29</v>
      </c>
      <c r="D1332" s="8">
        <v>-2.3400000000000001E-2</v>
      </c>
    </row>
    <row r="1333" spans="1:4">
      <c r="A1333" t="str">
        <f t="shared" si="20"/>
        <v>188Compounding Annual Return</v>
      </c>
      <c r="B1333">
        <v>188</v>
      </c>
      <c r="C1333" s="9" t="s">
        <v>30</v>
      </c>
      <c r="D1333" s="8">
        <v>0.11203</v>
      </c>
    </row>
    <row r="1334" spans="1:4">
      <c r="A1334" t="str">
        <f t="shared" si="20"/>
        <v>188Drawdown</v>
      </c>
      <c r="B1334">
        <v>188</v>
      </c>
      <c r="C1334" s="9" t="s">
        <v>8</v>
      </c>
      <c r="D1334" s="8">
        <v>0.20899999999999999</v>
      </c>
    </row>
    <row r="1335" spans="1:4">
      <c r="A1335" t="str">
        <f t="shared" si="20"/>
        <v>188Expectancy</v>
      </c>
      <c r="B1335">
        <v>188</v>
      </c>
      <c r="C1335" s="9" t="s">
        <v>31</v>
      </c>
      <c r="D1335" s="8">
        <v>0.71</v>
      </c>
    </row>
    <row r="1336" spans="1:4">
      <c r="A1336" t="str">
        <f t="shared" si="20"/>
        <v>188Net Profit</v>
      </c>
      <c r="B1336">
        <v>188</v>
      </c>
      <c r="C1336" s="9" t="s">
        <v>32</v>
      </c>
      <c r="D1336" s="8">
        <v>7.1059999999999998E-2</v>
      </c>
    </row>
    <row r="1337" spans="1:4">
      <c r="A1337" t="str">
        <f t="shared" si="20"/>
        <v>188Loss Rate</v>
      </c>
      <c r="B1337">
        <v>188</v>
      </c>
      <c r="C1337" s="9" t="s">
        <v>33</v>
      </c>
      <c r="D1337" s="8">
        <v>0.38</v>
      </c>
    </row>
    <row r="1338" spans="1:4">
      <c r="A1338" t="str">
        <f t="shared" si="20"/>
        <v>188Win Rate</v>
      </c>
      <c r="B1338">
        <v>188</v>
      </c>
      <c r="C1338" s="9" t="s">
        <v>34</v>
      </c>
      <c r="D1338" s="8">
        <v>0.62</v>
      </c>
    </row>
    <row r="1339" spans="1:4">
      <c r="A1339" t="str">
        <f t="shared" si="20"/>
        <v>188Profit-Loss Ratio</v>
      </c>
      <c r="B1339">
        <v>188</v>
      </c>
      <c r="C1339" s="9" t="s">
        <v>26</v>
      </c>
      <c r="D1339" s="8">
        <v>1.74</v>
      </c>
    </row>
    <row r="1340" spans="1:4">
      <c r="A1340" t="str">
        <f t="shared" si="20"/>
        <v>188Alpha</v>
      </c>
      <c r="B1340">
        <v>188</v>
      </c>
      <c r="C1340" s="9" t="s">
        <v>23</v>
      </c>
      <c r="D1340" s="8">
        <v>0.14799999999999999</v>
      </c>
    </row>
    <row r="1341" spans="1:4">
      <c r="A1341" t="str">
        <f t="shared" si="20"/>
        <v>188Beta</v>
      </c>
      <c r="B1341">
        <v>188</v>
      </c>
      <c r="C1341" s="9" t="s">
        <v>24</v>
      </c>
      <c r="D1341" s="8">
        <v>-0.84599999999999997</v>
      </c>
    </row>
    <row r="1342" spans="1:4">
      <c r="A1342" t="str">
        <f t="shared" si="20"/>
        <v>188Annual Standard Deviation</v>
      </c>
      <c r="B1342">
        <v>188</v>
      </c>
      <c r="C1342" s="9" t="s">
        <v>35</v>
      </c>
      <c r="D1342" s="8">
        <v>0.18</v>
      </c>
    </row>
    <row r="1343" spans="1:4">
      <c r="A1343" t="str">
        <f t="shared" si="20"/>
        <v>188Annual Variance</v>
      </c>
      <c r="B1343">
        <v>188</v>
      </c>
      <c r="C1343" s="9" t="s">
        <v>36</v>
      </c>
      <c r="D1343" s="8">
        <v>3.2000000000000001E-2</v>
      </c>
    </row>
    <row r="1344" spans="1:4">
      <c r="A1344" t="str">
        <f t="shared" si="20"/>
        <v>188Information Ratio</v>
      </c>
      <c r="B1344">
        <v>188</v>
      </c>
      <c r="C1344" s="9" t="s">
        <v>37</v>
      </c>
      <c r="D1344" s="8">
        <v>0.14299999999999999</v>
      </c>
    </row>
    <row r="1345" spans="1:4">
      <c r="A1345" t="str">
        <f t="shared" si="20"/>
        <v>188Tracking Error</v>
      </c>
      <c r="B1345">
        <v>188</v>
      </c>
      <c r="C1345" s="9" t="s">
        <v>38</v>
      </c>
      <c r="D1345" s="8">
        <v>0.21099999999999999</v>
      </c>
    </row>
    <row r="1346" spans="1:4">
      <c r="A1346" t="str">
        <f t="shared" si="20"/>
        <v>188Treynor Ratio</v>
      </c>
      <c r="B1346">
        <v>188</v>
      </c>
      <c r="C1346" s="9" t="s">
        <v>39</v>
      </c>
      <c r="D1346" s="8">
        <v>-0.111</v>
      </c>
    </row>
    <row r="1347" spans="1:4">
      <c r="A1347" t="str">
        <f t="shared" ref="A1347:A1410" si="21">B1347&amp;C1347</f>
        <v>188Total Fees</v>
      </c>
      <c r="B1347">
        <v>188</v>
      </c>
      <c r="C1347" s="9" t="s">
        <v>40</v>
      </c>
      <c r="D1347" s="8">
        <v>0</v>
      </c>
    </row>
    <row r="1348" spans="1:4">
      <c r="A1348" t="str">
        <f t="shared" si="21"/>
        <v>188Estimated Strategy Capacity</v>
      </c>
      <c r="B1348">
        <v>188</v>
      </c>
      <c r="C1348" s="9" t="s">
        <v>41</v>
      </c>
      <c r="D1348" s="8">
        <v>9900000</v>
      </c>
    </row>
    <row r="1349" spans="1:4">
      <c r="A1349" t="str">
        <f t="shared" si="21"/>
        <v>187PSR</v>
      </c>
      <c r="B1349">
        <v>187</v>
      </c>
      <c r="C1349" s="9" t="s">
        <v>27</v>
      </c>
      <c r="D1349" s="8">
        <v>0.28816000000000003</v>
      </c>
    </row>
    <row r="1350" spans="1:4">
      <c r="A1350" t="str">
        <f t="shared" si="21"/>
        <v>187Sharpe Ratio</v>
      </c>
      <c r="B1350">
        <v>187</v>
      </c>
      <c r="C1350" s="9" t="s">
        <v>1</v>
      </c>
      <c r="D1350" s="8">
        <v>0.42299999999999999</v>
      </c>
    </row>
    <row r="1351" spans="1:4">
      <c r="A1351" t="str">
        <f t="shared" si="21"/>
        <v>187Total Trades</v>
      </c>
      <c r="B1351">
        <v>187</v>
      </c>
      <c r="C1351" s="9" t="s">
        <v>28</v>
      </c>
      <c r="D1351" s="8">
        <v>268</v>
      </c>
    </row>
    <row r="1352" spans="1:4">
      <c r="A1352" t="str">
        <f t="shared" si="21"/>
        <v>187Average Win</v>
      </c>
      <c r="B1352">
        <v>187</v>
      </c>
      <c r="C1352" s="9" t="s">
        <v>25</v>
      </c>
      <c r="D1352" s="8">
        <v>4.1999999999999997E-3</v>
      </c>
    </row>
    <row r="1353" spans="1:4">
      <c r="A1353" t="str">
        <f t="shared" si="21"/>
        <v>187Average Loss</v>
      </c>
      <c r="B1353">
        <v>187</v>
      </c>
      <c r="C1353" s="9" t="s">
        <v>29</v>
      </c>
      <c r="D1353" s="8">
        <v>-2.5000000000000001E-3</v>
      </c>
    </row>
    <row r="1354" spans="1:4">
      <c r="A1354" t="str">
        <f t="shared" si="21"/>
        <v>187Compounding Annual Return</v>
      </c>
      <c r="B1354">
        <v>187</v>
      </c>
      <c r="C1354" s="9" t="s">
        <v>30</v>
      </c>
      <c r="D1354" s="8">
        <v>1.1010000000000001E-2</v>
      </c>
    </row>
    <row r="1355" spans="1:4">
      <c r="A1355" t="str">
        <f t="shared" si="21"/>
        <v>187Drawdown</v>
      </c>
      <c r="B1355">
        <v>187</v>
      </c>
      <c r="C1355" s="9" t="s">
        <v>8</v>
      </c>
      <c r="D1355" s="8">
        <v>2.4E-2</v>
      </c>
    </row>
    <row r="1356" spans="1:4">
      <c r="A1356" t="str">
        <f t="shared" si="21"/>
        <v>187Expectancy</v>
      </c>
      <c r="B1356">
        <v>187</v>
      </c>
      <c r="C1356" s="9" t="s">
        <v>31</v>
      </c>
      <c r="D1356" s="8">
        <v>0.65800000000000003</v>
      </c>
    </row>
    <row r="1357" spans="1:4">
      <c r="A1357" t="str">
        <f t="shared" si="21"/>
        <v>187Net Profit</v>
      </c>
      <c r="B1357">
        <v>187</v>
      </c>
      <c r="C1357" s="9" t="s">
        <v>32</v>
      </c>
      <c r="D1357" s="8">
        <v>7.11E-3</v>
      </c>
    </row>
    <row r="1358" spans="1:4">
      <c r="A1358" t="str">
        <f t="shared" si="21"/>
        <v>187Loss Rate</v>
      </c>
      <c r="B1358">
        <v>187</v>
      </c>
      <c r="C1358" s="9" t="s">
        <v>33</v>
      </c>
      <c r="D1358" s="8">
        <v>0.38</v>
      </c>
    </row>
    <row r="1359" spans="1:4">
      <c r="A1359" t="str">
        <f t="shared" si="21"/>
        <v>187Win Rate</v>
      </c>
      <c r="B1359">
        <v>187</v>
      </c>
      <c r="C1359" s="9" t="s">
        <v>34</v>
      </c>
      <c r="D1359" s="8">
        <v>0.62</v>
      </c>
    </row>
    <row r="1360" spans="1:4">
      <c r="A1360" t="str">
        <f t="shared" si="21"/>
        <v>187Profit-Loss Ratio</v>
      </c>
      <c r="B1360">
        <v>187</v>
      </c>
      <c r="C1360" s="9" t="s">
        <v>26</v>
      </c>
      <c r="D1360" s="8">
        <v>1.65</v>
      </c>
    </row>
    <row r="1361" spans="1:4">
      <c r="A1361" t="str">
        <f t="shared" si="21"/>
        <v>187Alpha</v>
      </c>
      <c r="B1361">
        <v>187</v>
      </c>
      <c r="C1361" s="9" t="s">
        <v>23</v>
      </c>
      <c r="D1361" s="8">
        <v>1.2999999999999999E-2</v>
      </c>
    </row>
    <row r="1362" spans="1:4">
      <c r="A1362" t="str">
        <f t="shared" si="21"/>
        <v>187Beta</v>
      </c>
      <c r="B1362">
        <v>187</v>
      </c>
      <c r="C1362" s="9" t="s">
        <v>24</v>
      </c>
      <c r="D1362" s="8">
        <v>-8.5999999999999993E-2</v>
      </c>
    </row>
    <row r="1363" spans="1:4">
      <c r="A1363" t="str">
        <f t="shared" si="21"/>
        <v>187Annual Standard Deviation</v>
      </c>
      <c r="B1363">
        <v>187</v>
      </c>
      <c r="C1363" s="9" t="s">
        <v>35</v>
      </c>
      <c r="D1363" s="8">
        <v>1.7999999999999999E-2</v>
      </c>
    </row>
    <row r="1364" spans="1:4">
      <c r="A1364" t="str">
        <f t="shared" si="21"/>
        <v>187Annual Variance</v>
      </c>
      <c r="B1364">
        <v>187</v>
      </c>
      <c r="C1364" s="9" t="s">
        <v>36</v>
      </c>
      <c r="D1364" s="8">
        <v>0</v>
      </c>
    </row>
    <row r="1365" spans="1:4">
      <c r="A1365" t="str">
        <f t="shared" si="21"/>
        <v>187Information Ratio</v>
      </c>
      <c r="B1365">
        <v>187</v>
      </c>
      <c r="C1365" s="9" t="s">
        <v>37</v>
      </c>
      <c r="D1365" s="8">
        <v>-0.75</v>
      </c>
    </row>
    <row r="1366" spans="1:4">
      <c r="A1366" t="str">
        <f t="shared" si="21"/>
        <v>187Tracking Error</v>
      </c>
      <c r="B1366">
        <v>187</v>
      </c>
      <c r="C1366" s="9" t="s">
        <v>38</v>
      </c>
      <c r="D1366" s="8">
        <v>7.4999999999999997E-2</v>
      </c>
    </row>
    <row r="1367" spans="1:4">
      <c r="A1367" t="str">
        <f t="shared" si="21"/>
        <v>187Treynor Ratio</v>
      </c>
      <c r="B1367">
        <v>187</v>
      </c>
      <c r="C1367" s="9" t="s">
        <v>39</v>
      </c>
      <c r="D1367" s="8">
        <v>-0.09</v>
      </c>
    </row>
    <row r="1368" spans="1:4">
      <c r="A1368" t="str">
        <f t="shared" si="21"/>
        <v>187Total Fees</v>
      </c>
      <c r="B1368">
        <v>187</v>
      </c>
      <c r="C1368" s="9" t="s">
        <v>40</v>
      </c>
      <c r="D1368" s="8">
        <v>0</v>
      </c>
    </row>
    <row r="1369" spans="1:4">
      <c r="A1369" t="str">
        <f t="shared" si="21"/>
        <v>187Estimated Strategy Capacity</v>
      </c>
      <c r="B1369">
        <v>187</v>
      </c>
      <c r="C1369" s="9" t="s">
        <v>41</v>
      </c>
      <c r="D1369" s="8">
        <v>88000000</v>
      </c>
    </row>
    <row r="1370" spans="1:4">
      <c r="A1370" t="str">
        <f t="shared" si="21"/>
        <v>186PSR</v>
      </c>
      <c r="B1370">
        <v>186</v>
      </c>
      <c r="C1370" s="9" t="s">
        <v>27</v>
      </c>
      <c r="D1370" s="8">
        <v>0.77017000000000002</v>
      </c>
    </row>
    <row r="1371" spans="1:4">
      <c r="A1371" t="str">
        <f t="shared" si="21"/>
        <v>186Sharpe Ratio</v>
      </c>
      <c r="B1371">
        <v>186</v>
      </c>
      <c r="C1371" s="9" t="s">
        <v>1</v>
      </c>
      <c r="D1371" s="8">
        <v>2.6789999999999998</v>
      </c>
    </row>
    <row r="1372" spans="1:4">
      <c r="A1372" t="str">
        <f t="shared" si="21"/>
        <v>186Total Trades</v>
      </c>
      <c r="B1372">
        <v>186</v>
      </c>
      <c r="C1372" s="9" t="s">
        <v>28</v>
      </c>
      <c r="D1372" s="8">
        <v>386</v>
      </c>
    </row>
    <row r="1373" spans="1:4">
      <c r="A1373" t="str">
        <f t="shared" si="21"/>
        <v>186Average Win</v>
      </c>
      <c r="B1373">
        <v>186</v>
      </c>
      <c r="C1373" s="9" t="s">
        <v>25</v>
      </c>
      <c r="D1373" s="8">
        <v>0.17280000000000001</v>
      </c>
    </row>
    <row r="1374" spans="1:4">
      <c r="A1374" t="str">
        <f t="shared" si="21"/>
        <v>186Average Loss</v>
      </c>
      <c r="B1374">
        <v>186</v>
      </c>
      <c r="C1374" s="9" t="s">
        <v>29</v>
      </c>
      <c r="D1374" s="8">
        <v>-7.6300000000000007E-2</v>
      </c>
    </row>
    <row r="1375" spans="1:4">
      <c r="A1375" t="str">
        <f t="shared" si="21"/>
        <v>186Compounding Annual Return</v>
      </c>
      <c r="B1375">
        <v>186</v>
      </c>
      <c r="C1375" s="9" t="s">
        <v>30</v>
      </c>
      <c r="D1375" s="8">
        <v>2.3147700000000002</v>
      </c>
    </row>
    <row r="1376" spans="1:4">
      <c r="A1376" t="str">
        <f t="shared" si="21"/>
        <v>186Drawdown</v>
      </c>
      <c r="B1376">
        <v>186</v>
      </c>
      <c r="C1376" s="9" t="s">
        <v>8</v>
      </c>
      <c r="D1376" s="8">
        <v>0.28299999999999997</v>
      </c>
    </row>
    <row r="1377" spans="1:4">
      <c r="A1377" t="str">
        <f t="shared" si="21"/>
        <v>186Expectancy</v>
      </c>
      <c r="B1377">
        <v>186</v>
      </c>
      <c r="C1377" s="9" t="s">
        <v>31</v>
      </c>
      <c r="D1377" s="8">
        <v>1.1759999999999999</v>
      </c>
    </row>
    <row r="1378" spans="1:4">
      <c r="A1378" t="str">
        <f t="shared" si="21"/>
        <v>186Net Profit</v>
      </c>
      <c r="B1378">
        <v>186</v>
      </c>
      <c r="C1378" s="9" t="s">
        <v>32</v>
      </c>
      <c r="D1378" s="8">
        <v>1.16997</v>
      </c>
    </row>
    <row r="1379" spans="1:4">
      <c r="A1379" t="str">
        <f t="shared" si="21"/>
        <v>186Loss Rate</v>
      </c>
      <c r="B1379">
        <v>186</v>
      </c>
      <c r="C1379" s="9" t="s">
        <v>33</v>
      </c>
      <c r="D1379" s="8">
        <v>0.33</v>
      </c>
    </row>
    <row r="1380" spans="1:4">
      <c r="A1380" t="str">
        <f t="shared" si="21"/>
        <v>186Win Rate</v>
      </c>
      <c r="B1380">
        <v>186</v>
      </c>
      <c r="C1380" s="9" t="s">
        <v>34</v>
      </c>
      <c r="D1380" s="8">
        <v>0.67</v>
      </c>
    </row>
    <row r="1381" spans="1:4">
      <c r="A1381" t="str">
        <f t="shared" si="21"/>
        <v>186Profit-Loss Ratio</v>
      </c>
      <c r="B1381">
        <v>186</v>
      </c>
      <c r="C1381" s="10" t="s">
        <v>26</v>
      </c>
      <c r="D1381" s="8">
        <v>2.2599999999999998</v>
      </c>
    </row>
    <row r="1382" spans="1:4">
      <c r="A1382" t="str">
        <f t="shared" si="21"/>
        <v>186Alpha</v>
      </c>
      <c r="B1382">
        <v>186</v>
      </c>
      <c r="C1382" s="10" t="s">
        <v>23</v>
      </c>
      <c r="D1382" s="8">
        <v>1.899</v>
      </c>
    </row>
    <row r="1383" spans="1:4">
      <c r="A1383" t="str">
        <f t="shared" si="21"/>
        <v>186Beta</v>
      </c>
      <c r="B1383">
        <v>186</v>
      </c>
      <c r="C1383" s="10" t="s">
        <v>24</v>
      </c>
      <c r="D1383" s="8">
        <v>-2.2629999999999999</v>
      </c>
    </row>
    <row r="1384" spans="1:4">
      <c r="A1384" t="str">
        <f t="shared" si="21"/>
        <v>186Annual Standard Deviation</v>
      </c>
      <c r="B1384">
        <v>186</v>
      </c>
      <c r="C1384" s="10" t="s">
        <v>35</v>
      </c>
      <c r="D1384" s="8">
        <v>0.65500000000000003</v>
      </c>
    </row>
    <row r="1385" spans="1:4">
      <c r="A1385" t="str">
        <f t="shared" si="21"/>
        <v>186Annual Variance</v>
      </c>
      <c r="B1385">
        <v>186</v>
      </c>
      <c r="C1385" s="10" t="s">
        <v>36</v>
      </c>
      <c r="D1385" s="8">
        <v>0.42899999999999999</v>
      </c>
    </row>
    <row r="1386" spans="1:4">
      <c r="A1386" t="str">
        <f t="shared" si="21"/>
        <v>186Information Ratio</v>
      </c>
      <c r="B1386">
        <v>186</v>
      </c>
      <c r="C1386" s="10" t="s">
        <v>37</v>
      </c>
      <c r="D1386" s="8">
        <v>2.5099999999999998</v>
      </c>
    </row>
    <row r="1387" spans="1:4">
      <c r="A1387" t="str">
        <f t="shared" si="21"/>
        <v>186Tracking Error</v>
      </c>
      <c r="B1387">
        <v>186</v>
      </c>
      <c r="C1387" s="10" t="s">
        <v>38</v>
      </c>
      <c r="D1387" s="8">
        <v>0.67400000000000004</v>
      </c>
    </row>
    <row r="1388" spans="1:4">
      <c r="A1388" t="str">
        <f t="shared" si="21"/>
        <v>186Treynor Ratio</v>
      </c>
      <c r="B1388">
        <v>186</v>
      </c>
      <c r="C1388" s="10" t="s">
        <v>39</v>
      </c>
      <c r="D1388" s="8">
        <v>-0.77600000000000002</v>
      </c>
    </row>
    <row r="1389" spans="1:4">
      <c r="A1389" t="str">
        <f t="shared" si="21"/>
        <v>186Total Fees</v>
      </c>
      <c r="B1389">
        <v>186</v>
      </c>
      <c r="C1389" s="10" t="s">
        <v>40</v>
      </c>
      <c r="D1389" s="8">
        <v>0</v>
      </c>
    </row>
    <row r="1390" spans="1:4">
      <c r="A1390" t="str">
        <f t="shared" si="21"/>
        <v>186Estimated Strategy Capacity</v>
      </c>
      <c r="B1390">
        <v>186</v>
      </c>
      <c r="C1390" s="10" t="s">
        <v>41</v>
      </c>
      <c r="D1390" s="8">
        <v>1700000</v>
      </c>
    </row>
    <row r="1391" spans="1:4">
      <c r="A1391" t="str">
        <f t="shared" si="21"/>
        <v>185PSR</v>
      </c>
      <c r="B1391">
        <v>185</v>
      </c>
      <c r="C1391" s="9" t="s">
        <v>27</v>
      </c>
      <c r="D1391" s="8">
        <v>0.75388999999999995</v>
      </c>
    </row>
    <row r="1392" spans="1:4">
      <c r="A1392" t="str">
        <f t="shared" si="21"/>
        <v>185Sharpe Ratio</v>
      </c>
      <c r="B1392">
        <v>185</v>
      </c>
      <c r="C1392" s="9" t="s">
        <v>1</v>
      </c>
      <c r="D1392" s="8">
        <v>1.7749999999999999</v>
      </c>
    </row>
    <row r="1393" spans="1:4">
      <c r="A1393" t="str">
        <f t="shared" si="21"/>
        <v>185Total Trades</v>
      </c>
      <c r="B1393">
        <v>185</v>
      </c>
      <c r="C1393" s="9" t="s">
        <v>28</v>
      </c>
      <c r="D1393" s="8">
        <v>386</v>
      </c>
    </row>
    <row r="1394" spans="1:4">
      <c r="A1394" t="str">
        <f t="shared" si="21"/>
        <v>185Average Win</v>
      </c>
      <c r="B1394">
        <v>185</v>
      </c>
      <c r="C1394" s="9" t="s">
        <v>25</v>
      </c>
      <c r="D1394" s="8">
        <v>3.9100000000000003E-2</v>
      </c>
    </row>
    <row r="1395" spans="1:4">
      <c r="A1395" t="str">
        <f t="shared" si="21"/>
        <v>185Average Loss</v>
      </c>
      <c r="B1395">
        <v>185</v>
      </c>
      <c r="C1395" s="9" t="s">
        <v>29</v>
      </c>
      <c r="D1395" s="8">
        <v>-1.61E-2</v>
      </c>
    </row>
    <row r="1396" spans="1:4">
      <c r="A1396" t="str">
        <f t="shared" si="21"/>
        <v>185Compounding Annual Return</v>
      </c>
      <c r="B1396">
        <v>185</v>
      </c>
      <c r="C1396" s="9" t="s">
        <v>30</v>
      </c>
      <c r="D1396" s="8">
        <v>0.38435999999999998</v>
      </c>
    </row>
    <row r="1397" spans="1:4">
      <c r="A1397" t="str">
        <f t="shared" si="21"/>
        <v>185Drawdown</v>
      </c>
      <c r="B1397">
        <v>185</v>
      </c>
      <c r="C1397" s="9" t="s">
        <v>8</v>
      </c>
      <c r="D1397" s="8">
        <v>9.9000000000000005E-2</v>
      </c>
    </row>
    <row r="1398" spans="1:4">
      <c r="A1398" t="str">
        <f t="shared" si="21"/>
        <v>185Expectancy</v>
      </c>
      <c r="B1398">
        <v>185</v>
      </c>
      <c r="C1398" s="9" t="s">
        <v>31</v>
      </c>
      <c r="D1398" s="8">
        <v>1.2829999999999999</v>
      </c>
    </row>
    <row r="1399" spans="1:4">
      <c r="A1399" t="str">
        <f t="shared" si="21"/>
        <v>185Net Profit</v>
      </c>
      <c r="B1399">
        <v>185</v>
      </c>
      <c r="C1399" s="9" t="s">
        <v>32</v>
      </c>
      <c r="D1399" s="8">
        <v>0.23399</v>
      </c>
    </row>
    <row r="1400" spans="1:4">
      <c r="A1400" t="str">
        <f t="shared" si="21"/>
        <v>185Loss Rate</v>
      </c>
      <c r="B1400">
        <v>185</v>
      </c>
      <c r="C1400" s="9" t="s">
        <v>33</v>
      </c>
      <c r="D1400" s="8">
        <v>0.33</v>
      </c>
    </row>
    <row r="1401" spans="1:4">
      <c r="A1401" t="str">
        <f t="shared" si="21"/>
        <v>185Win Rate</v>
      </c>
      <c r="B1401">
        <v>185</v>
      </c>
      <c r="C1401" s="9" t="s">
        <v>34</v>
      </c>
      <c r="D1401" s="8">
        <v>0.67</v>
      </c>
    </row>
    <row r="1402" spans="1:4">
      <c r="A1402" t="str">
        <f t="shared" si="21"/>
        <v>185Profit-Loss Ratio</v>
      </c>
      <c r="B1402">
        <v>185</v>
      </c>
      <c r="C1402" s="9" t="s">
        <v>26</v>
      </c>
      <c r="D1402" s="8">
        <v>2.42</v>
      </c>
    </row>
    <row r="1403" spans="1:4">
      <c r="A1403" t="str">
        <f t="shared" si="21"/>
        <v>185Alpha</v>
      </c>
      <c r="B1403">
        <v>185</v>
      </c>
      <c r="C1403" s="9" t="s">
        <v>23</v>
      </c>
      <c r="D1403" s="8">
        <v>0.30299999999999999</v>
      </c>
    </row>
    <row r="1404" spans="1:4">
      <c r="A1404" t="str">
        <f t="shared" si="21"/>
        <v>185Beta</v>
      </c>
      <c r="B1404">
        <v>185</v>
      </c>
      <c r="C1404" s="9" t="s">
        <v>24</v>
      </c>
      <c r="D1404" s="8">
        <v>-0.57299999999999995</v>
      </c>
    </row>
    <row r="1405" spans="1:4">
      <c r="A1405" t="str">
        <f t="shared" si="21"/>
        <v>185Annual Standard Deviation</v>
      </c>
      <c r="B1405">
        <v>185</v>
      </c>
      <c r="C1405" s="9" t="s">
        <v>35</v>
      </c>
      <c r="D1405" s="8">
        <v>0.15</v>
      </c>
    </row>
    <row r="1406" spans="1:4">
      <c r="A1406" t="str">
        <f t="shared" si="21"/>
        <v>185Annual Variance</v>
      </c>
      <c r="B1406">
        <v>185</v>
      </c>
      <c r="C1406" s="9" t="s">
        <v>36</v>
      </c>
      <c r="D1406" s="8">
        <v>2.3E-2</v>
      </c>
    </row>
    <row r="1407" spans="1:4">
      <c r="A1407" t="str">
        <f t="shared" si="21"/>
        <v>185Information Ratio</v>
      </c>
      <c r="B1407">
        <v>185</v>
      </c>
      <c r="C1407" s="9" t="s">
        <v>37</v>
      </c>
      <c r="D1407" s="8">
        <v>1.133</v>
      </c>
    </row>
    <row r="1408" spans="1:4">
      <c r="A1408" t="str">
        <f t="shared" si="21"/>
        <v>185Tracking Error</v>
      </c>
      <c r="B1408">
        <v>185</v>
      </c>
      <c r="C1408" s="9" t="s">
        <v>38</v>
      </c>
      <c r="D1408" s="8">
        <v>0.17899999999999999</v>
      </c>
    </row>
    <row r="1409" spans="1:4">
      <c r="A1409" t="str">
        <f t="shared" si="21"/>
        <v>185Treynor Ratio</v>
      </c>
      <c r="B1409">
        <v>185</v>
      </c>
      <c r="C1409" s="9" t="s">
        <v>39</v>
      </c>
      <c r="D1409" s="8">
        <v>-0.46600000000000003</v>
      </c>
    </row>
    <row r="1410" spans="1:4">
      <c r="A1410" t="str">
        <f t="shared" si="21"/>
        <v>185Total Fees</v>
      </c>
      <c r="B1410">
        <v>185</v>
      </c>
      <c r="C1410" s="9" t="s">
        <v>40</v>
      </c>
      <c r="D1410" s="8">
        <v>0</v>
      </c>
    </row>
    <row r="1411" spans="1:4">
      <c r="A1411" t="str">
        <f t="shared" ref="A1411:A1474" si="22">B1411&amp;C1411</f>
        <v>185Estimated Strategy Capacity</v>
      </c>
      <c r="B1411">
        <v>185</v>
      </c>
      <c r="C1411" s="9" t="s">
        <v>41</v>
      </c>
      <c r="D1411" s="8">
        <v>3300000</v>
      </c>
    </row>
    <row r="1412" spans="1:4">
      <c r="A1412" t="str">
        <f t="shared" si="22"/>
        <v>184PSR</v>
      </c>
      <c r="B1412">
        <v>184</v>
      </c>
      <c r="C1412" s="9" t="s">
        <v>27</v>
      </c>
      <c r="D1412" s="8">
        <v>0.7389</v>
      </c>
    </row>
    <row r="1413" spans="1:4">
      <c r="A1413" t="str">
        <f t="shared" si="22"/>
        <v>184Sharpe Ratio</v>
      </c>
      <c r="B1413">
        <v>184</v>
      </c>
      <c r="C1413" s="9" t="s">
        <v>1</v>
      </c>
      <c r="D1413" s="8">
        <v>1.577</v>
      </c>
    </row>
    <row r="1414" spans="1:4">
      <c r="A1414" t="str">
        <f t="shared" si="22"/>
        <v>184Total Trades</v>
      </c>
      <c r="B1414">
        <v>184</v>
      </c>
      <c r="C1414" s="9" t="s">
        <v>28</v>
      </c>
      <c r="D1414" s="8">
        <v>386</v>
      </c>
    </row>
    <row r="1415" spans="1:4">
      <c r="A1415" t="str">
        <f t="shared" si="22"/>
        <v>184Average Win</v>
      </c>
      <c r="B1415">
        <v>184</v>
      </c>
      <c r="C1415" s="9" t="s">
        <v>25</v>
      </c>
      <c r="D1415" s="8">
        <v>4.1000000000000003E-3</v>
      </c>
    </row>
    <row r="1416" spans="1:4">
      <c r="A1416" t="str">
        <f t="shared" si="22"/>
        <v>184Average Loss</v>
      </c>
      <c r="B1416">
        <v>184</v>
      </c>
      <c r="C1416" s="9" t="s">
        <v>29</v>
      </c>
      <c r="D1416" s="8">
        <v>-1.6000000000000001E-3</v>
      </c>
    </row>
    <row r="1417" spans="1:4">
      <c r="A1417" t="str">
        <f t="shared" si="22"/>
        <v>184Compounding Annual Return</v>
      </c>
      <c r="B1417">
        <v>184</v>
      </c>
      <c r="C1417" s="9" t="s">
        <v>30</v>
      </c>
      <c r="D1417" s="8">
        <v>3.6429999999999997E-2</v>
      </c>
    </row>
    <row r="1418" spans="1:4">
      <c r="A1418" t="str">
        <f t="shared" si="22"/>
        <v>184Drawdown</v>
      </c>
      <c r="B1418">
        <v>184</v>
      </c>
      <c r="C1418" s="9" t="s">
        <v>8</v>
      </c>
      <c r="D1418" s="8">
        <v>1.2E-2</v>
      </c>
    </row>
    <row r="1419" spans="1:4">
      <c r="A1419" t="str">
        <f t="shared" si="22"/>
        <v>184Expectancy</v>
      </c>
      <c r="B1419">
        <v>184</v>
      </c>
      <c r="C1419" s="9" t="s">
        <v>31</v>
      </c>
      <c r="D1419" s="8">
        <v>1.3420000000000001</v>
      </c>
    </row>
    <row r="1420" spans="1:4">
      <c r="A1420" t="str">
        <f t="shared" si="22"/>
        <v>184Net Profit</v>
      </c>
      <c r="B1420">
        <v>184</v>
      </c>
      <c r="C1420" s="9" t="s">
        <v>32</v>
      </c>
      <c r="D1420" s="8">
        <v>2.3400000000000001E-2</v>
      </c>
    </row>
    <row r="1421" spans="1:4">
      <c r="A1421" t="str">
        <f t="shared" si="22"/>
        <v>184Loss Rate</v>
      </c>
      <c r="B1421">
        <v>184</v>
      </c>
      <c r="C1421" s="9" t="s">
        <v>33</v>
      </c>
      <c r="D1421" s="8">
        <v>0.33</v>
      </c>
    </row>
    <row r="1422" spans="1:4">
      <c r="A1422" t="str">
        <f t="shared" si="22"/>
        <v>184Win Rate</v>
      </c>
      <c r="B1422">
        <v>184</v>
      </c>
      <c r="C1422" s="9" t="s">
        <v>34</v>
      </c>
      <c r="D1422" s="8">
        <v>0.67</v>
      </c>
    </row>
    <row r="1423" spans="1:4">
      <c r="A1423" t="str">
        <f t="shared" si="22"/>
        <v>184Profit-Loss Ratio</v>
      </c>
      <c r="B1423">
        <v>184</v>
      </c>
      <c r="C1423" s="9" t="s">
        <v>26</v>
      </c>
      <c r="D1423" s="8">
        <v>2.5099999999999998</v>
      </c>
    </row>
    <row r="1424" spans="1:4">
      <c r="A1424" t="str">
        <f t="shared" si="22"/>
        <v>184Alpha</v>
      </c>
      <c r="B1424">
        <v>184</v>
      </c>
      <c r="C1424" s="9" t="s">
        <v>23</v>
      </c>
      <c r="D1424" s="8">
        <v>2.9000000000000001E-2</v>
      </c>
    </row>
    <row r="1425" spans="1:4">
      <c r="A1425" t="str">
        <f t="shared" si="22"/>
        <v>184Beta</v>
      </c>
      <c r="B1425">
        <v>184</v>
      </c>
      <c r="C1425" s="9" t="s">
        <v>24</v>
      </c>
      <c r="D1425" s="8">
        <v>-6.2E-2</v>
      </c>
    </row>
    <row r="1426" spans="1:4">
      <c r="A1426" t="str">
        <f t="shared" si="22"/>
        <v>184Annual Standard Deviation</v>
      </c>
      <c r="B1426">
        <v>184</v>
      </c>
      <c r="C1426" s="9" t="s">
        <v>35</v>
      </c>
      <c r="D1426" s="8">
        <v>1.6E-2</v>
      </c>
    </row>
    <row r="1427" spans="1:4">
      <c r="A1427" t="str">
        <f t="shared" si="22"/>
        <v>184Annual Variance</v>
      </c>
      <c r="B1427">
        <v>184</v>
      </c>
      <c r="C1427" s="9" t="s">
        <v>36</v>
      </c>
      <c r="D1427" s="8">
        <v>0</v>
      </c>
    </row>
    <row r="1428" spans="1:4">
      <c r="A1428" t="str">
        <f t="shared" si="22"/>
        <v>184Information Ratio</v>
      </c>
      <c r="B1428">
        <v>184</v>
      </c>
      <c r="C1428" s="9" t="s">
        <v>37</v>
      </c>
      <c r="D1428" s="8">
        <v>-0.53</v>
      </c>
    </row>
    <row r="1429" spans="1:4">
      <c r="A1429" t="str">
        <f t="shared" si="22"/>
        <v>184Tracking Error</v>
      </c>
      <c r="B1429">
        <v>184</v>
      </c>
      <c r="C1429" s="9" t="s">
        <v>38</v>
      </c>
      <c r="D1429" s="8">
        <v>7.2999999999999995E-2</v>
      </c>
    </row>
    <row r="1430" spans="1:4">
      <c r="A1430" t="str">
        <f t="shared" si="22"/>
        <v>184Treynor Ratio</v>
      </c>
      <c r="B1430">
        <v>184</v>
      </c>
      <c r="C1430" s="9" t="s">
        <v>39</v>
      </c>
      <c r="D1430" s="8">
        <v>-0.40600000000000003</v>
      </c>
    </row>
    <row r="1431" spans="1:4">
      <c r="A1431" t="str">
        <f t="shared" si="22"/>
        <v>184Total Fees</v>
      </c>
      <c r="B1431">
        <v>184</v>
      </c>
      <c r="C1431" s="9" t="s">
        <v>40</v>
      </c>
      <c r="D1431" s="8">
        <v>0</v>
      </c>
    </row>
    <row r="1432" spans="1:4">
      <c r="A1432" t="str">
        <f t="shared" si="22"/>
        <v>184Estimated Strategy Capacity</v>
      </c>
      <c r="B1432">
        <v>184</v>
      </c>
      <c r="C1432" s="9" t="s">
        <v>41</v>
      </c>
      <c r="D1432" s="8">
        <v>19000000</v>
      </c>
    </row>
    <row r="1433" spans="1:4">
      <c r="A1433" t="str">
        <f t="shared" si="22"/>
        <v>183PSR</v>
      </c>
      <c r="B1433">
        <v>183</v>
      </c>
      <c r="C1433" s="9" t="s">
        <v>27</v>
      </c>
      <c r="D1433" s="8">
        <v>0.65119000000000005</v>
      </c>
    </row>
    <row r="1434" spans="1:4">
      <c r="A1434" t="str">
        <f t="shared" si="22"/>
        <v>183Sharpe Ratio</v>
      </c>
      <c r="B1434">
        <v>183</v>
      </c>
      <c r="C1434" s="9" t="s">
        <v>1</v>
      </c>
      <c r="D1434" s="8">
        <v>2.032</v>
      </c>
    </row>
    <row r="1435" spans="1:4">
      <c r="A1435" t="str">
        <f t="shared" si="22"/>
        <v>183Total Trades</v>
      </c>
      <c r="B1435">
        <v>183</v>
      </c>
      <c r="C1435" s="9" t="s">
        <v>28</v>
      </c>
      <c r="D1435" s="8">
        <v>759</v>
      </c>
    </row>
    <row r="1436" spans="1:4">
      <c r="A1436" t="str">
        <f t="shared" si="22"/>
        <v>183Average Win</v>
      </c>
      <c r="B1436">
        <v>183</v>
      </c>
      <c r="C1436" s="9" t="s">
        <v>25</v>
      </c>
      <c r="D1436" s="8">
        <v>9.2200000000000004E-2</v>
      </c>
    </row>
    <row r="1437" spans="1:4">
      <c r="A1437" t="str">
        <f t="shared" si="22"/>
        <v>183Average Loss</v>
      </c>
      <c r="B1437">
        <v>183</v>
      </c>
      <c r="C1437" s="9" t="s">
        <v>29</v>
      </c>
      <c r="D1437" s="8">
        <v>-5.4899999999999997E-2</v>
      </c>
    </row>
    <row r="1438" spans="1:4">
      <c r="A1438" t="str">
        <f t="shared" si="22"/>
        <v>183Compounding Annual Return</v>
      </c>
      <c r="B1438">
        <v>183</v>
      </c>
      <c r="C1438" s="9" t="s">
        <v>30</v>
      </c>
      <c r="D1438" s="8">
        <v>1.36084</v>
      </c>
    </row>
    <row r="1439" spans="1:4">
      <c r="A1439" t="str">
        <f t="shared" si="22"/>
        <v>183Drawdown</v>
      </c>
      <c r="B1439">
        <v>183</v>
      </c>
      <c r="C1439" s="9" t="s">
        <v>8</v>
      </c>
      <c r="D1439" s="8">
        <v>0.191</v>
      </c>
    </row>
    <row r="1440" spans="1:4">
      <c r="A1440" t="str">
        <f t="shared" si="22"/>
        <v>183Expectancy</v>
      </c>
      <c r="B1440">
        <v>183</v>
      </c>
      <c r="C1440" s="9" t="s">
        <v>31</v>
      </c>
      <c r="D1440" s="8">
        <v>0.5</v>
      </c>
    </row>
    <row r="1441" spans="1:4">
      <c r="A1441" t="str">
        <f t="shared" si="22"/>
        <v>183Net Profit</v>
      </c>
      <c r="B1441">
        <v>183</v>
      </c>
      <c r="C1441" s="9" t="s">
        <v>32</v>
      </c>
      <c r="D1441" s="8">
        <v>0.74250000000000005</v>
      </c>
    </row>
    <row r="1442" spans="1:4">
      <c r="A1442" t="str">
        <f t="shared" si="22"/>
        <v>183Loss Rate</v>
      </c>
      <c r="B1442">
        <v>183</v>
      </c>
      <c r="C1442" s="9" t="s">
        <v>33</v>
      </c>
      <c r="D1442" s="8">
        <v>0.44</v>
      </c>
    </row>
    <row r="1443" spans="1:4">
      <c r="A1443" t="str">
        <f t="shared" si="22"/>
        <v>183Win Rate</v>
      </c>
      <c r="B1443">
        <v>183</v>
      </c>
      <c r="C1443" s="9" t="s">
        <v>34</v>
      </c>
      <c r="D1443" s="8">
        <v>0.56000000000000005</v>
      </c>
    </row>
    <row r="1444" spans="1:4">
      <c r="A1444" t="str">
        <f t="shared" si="22"/>
        <v>183Profit-Loss Ratio</v>
      </c>
      <c r="B1444">
        <v>183</v>
      </c>
      <c r="C1444" s="9" t="s">
        <v>26</v>
      </c>
      <c r="D1444" s="8">
        <v>1.68</v>
      </c>
    </row>
    <row r="1445" spans="1:4">
      <c r="A1445" t="str">
        <f t="shared" si="22"/>
        <v>183Alpha</v>
      </c>
      <c r="B1445">
        <v>183</v>
      </c>
      <c r="C1445" s="9" t="s">
        <v>23</v>
      </c>
      <c r="D1445" s="8">
        <v>1.1619999999999999</v>
      </c>
    </row>
    <row r="1446" spans="1:4">
      <c r="A1446" t="str">
        <f t="shared" si="22"/>
        <v>183Beta</v>
      </c>
      <c r="B1446">
        <v>183</v>
      </c>
      <c r="C1446" s="9" t="s">
        <v>24</v>
      </c>
      <c r="D1446" s="8">
        <v>-1.321</v>
      </c>
    </row>
    <row r="1447" spans="1:4">
      <c r="A1447" t="str">
        <f t="shared" si="22"/>
        <v>183Annual Standard Deviation</v>
      </c>
      <c r="B1447">
        <v>183</v>
      </c>
      <c r="C1447" s="9" t="s">
        <v>35</v>
      </c>
      <c r="D1447" s="8">
        <v>0.53</v>
      </c>
    </row>
    <row r="1448" spans="1:4">
      <c r="A1448" t="str">
        <f t="shared" si="22"/>
        <v>183Annual Variance</v>
      </c>
      <c r="B1448">
        <v>183</v>
      </c>
      <c r="C1448" s="9" t="s">
        <v>36</v>
      </c>
      <c r="D1448" s="8">
        <v>0.28100000000000003</v>
      </c>
    </row>
    <row r="1449" spans="1:4">
      <c r="A1449" t="str">
        <f t="shared" si="22"/>
        <v>183Information Ratio</v>
      </c>
      <c r="B1449">
        <v>183</v>
      </c>
      <c r="C1449" s="9" t="s">
        <v>37</v>
      </c>
      <c r="D1449" s="8">
        <v>1.859</v>
      </c>
    </row>
    <row r="1450" spans="1:4">
      <c r="A1450" t="str">
        <f t="shared" si="22"/>
        <v>183Tracking Error</v>
      </c>
      <c r="B1450">
        <v>183</v>
      </c>
      <c r="C1450" s="9" t="s">
        <v>38</v>
      </c>
      <c r="D1450" s="8">
        <v>0.54600000000000004</v>
      </c>
    </row>
    <row r="1451" spans="1:4">
      <c r="A1451" t="str">
        <f t="shared" si="22"/>
        <v>183Treynor Ratio</v>
      </c>
      <c r="B1451">
        <v>183</v>
      </c>
      <c r="C1451" s="9" t="s">
        <v>39</v>
      </c>
      <c r="D1451" s="8">
        <v>-0.81599999999999995</v>
      </c>
    </row>
    <row r="1452" spans="1:4">
      <c r="A1452" t="str">
        <f t="shared" si="22"/>
        <v>183Total Fees</v>
      </c>
      <c r="B1452">
        <v>183</v>
      </c>
      <c r="C1452" s="9" t="s">
        <v>40</v>
      </c>
      <c r="D1452" s="8">
        <v>0</v>
      </c>
    </row>
    <row r="1453" spans="1:4">
      <c r="A1453" t="str">
        <f t="shared" si="22"/>
        <v>183Estimated Strategy Capacity</v>
      </c>
      <c r="B1453">
        <v>183</v>
      </c>
      <c r="C1453" s="9" t="s">
        <v>41</v>
      </c>
      <c r="D1453" s="8">
        <v>44000000</v>
      </c>
    </row>
    <row r="1454" spans="1:4">
      <c r="A1454" t="str">
        <f t="shared" si="22"/>
        <v>182PSR</v>
      </c>
      <c r="B1454">
        <v>182</v>
      </c>
      <c r="C1454" s="9" t="s">
        <v>27</v>
      </c>
      <c r="D1454" s="8">
        <v>0.59408000000000005</v>
      </c>
    </row>
    <row r="1455" spans="1:4">
      <c r="A1455" t="str">
        <f t="shared" si="22"/>
        <v>182Sharpe Ratio</v>
      </c>
      <c r="B1455">
        <v>182</v>
      </c>
      <c r="C1455" s="9" t="s">
        <v>1</v>
      </c>
      <c r="D1455" s="8">
        <v>1.34</v>
      </c>
    </row>
    <row r="1456" spans="1:4">
      <c r="A1456" t="str">
        <f t="shared" si="22"/>
        <v>182Total Trades</v>
      </c>
      <c r="B1456">
        <v>182</v>
      </c>
      <c r="C1456" s="9" t="s">
        <v>28</v>
      </c>
      <c r="D1456" s="8">
        <v>769</v>
      </c>
    </row>
    <row r="1457" spans="1:4">
      <c r="A1457" t="str">
        <f t="shared" si="22"/>
        <v>182Average Win</v>
      </c>
      <c r="B1457">
        <v>182</v>
      </c>
      <c r="C1457" s="9" t="s">
        <v>25</v>
      </c>
      <c r="D1457" s="8">
        <v>2.12E-2</v>
      </c>
    </row>
    <row r="1458" spans="1:4">
      <c r="A1458" t="str">
        <f t="shared" si="22"/>
        <v>182Average Loss</v>
      </c>
      <c r="B1458">
        <v>182</v>
      </c>
      <c r="C1458" s="9" t="s">
        <v>29</v>
      </c>
      <c r="D1458" s="8">
        <v>-1.34E-2</v>
      </c>
    </row>
    <row r="1459" spans="1:4">
      <c r="A1459" t="str">
        <f t="shared" si="22"/>
        <v>182Compounding Annual Return</v>
      </c>
      <c r="B1459">
        <v>182</v>
      </c>
      <c r="C1459" s="9" t="s">
        <v>30</v>
      </c>
      <c r="D1459" s="8">
        <v>0.24113999999999999</v>
      </c>
    </row>
    <row r="1460" spans="1:4">
      <c r="A1460" t="str">
        <f t="shared" si="22"/>
        <v>182Drawdown</v>
      </c>
      <c r="B1460">
        <v>182</v>
      </c>
      <c r="C1460" s="9" t="s">
        <v>8</v>
      </c>
      <c r="D1460" s="8">
        <v>5.2999999999999999E-2</v>
      </c>
    </row>
    <row r="1461" spans="1:4">
      <c r="A1461" t="str">
        <f t="shared" si="22"/>
        <v>182Expectancy</v>
      </c>
      <c r="B1461">
        <v>182</v>
      </c>
      <c r="C1461" s="9" t="s">
        <v>31</v>
      </c>
      <c r="D1461" s="8">
        <v>0.44700000000000001</v>
      </c>
    </row>
    <row r="1462" spans="1:4">
      <c r="A1462" t="str">
        <f t="shared" si="22"/>
        <v>182Net Profit</v>
      </c>
      <c r="B1462">
        <v>182</v>
      </c>
      <c r="C1462" s="9" t="s">
        <v>32</v>
      </c>
      <c r="D1462" s="8">
        <v>0.14988000000000001</v>
      </c>
    </row>
    <row r="1463" spans="1:4">
      <c r="A1463" t="str">
        <f t="shared" si="22"/>
        <v>182Loss Rate</v>
      </c>
      <c r="B1463">
        <v>182</v>
      </c>
      <c r="C1463" s="9" t="s">
        <v>33</v>
      </c>
      <c r="D1463" s="8">
        <v>0.44</v>
      </c>
    </row>
    <row r="1464" spans="1:4">
      <c r="A1464" t="str">
        <f t="shared" si="22"/>
        <v>182Win Rate</v>
      </c>
      <c r="B1464">
        <v>182</v>
      </c>
      <c r="C1464" s="9" t="s">
        <v>34</v>
      </c>
      <c r="D1464" s="8">
        <v>0.56000000000000005</v>
      </c>
    </row>
    <row r="1465" spans="1:4">
      <c r="A1465" t="str">
        <f t="shared" si="22"/>
        <v>182Profit-Loss Ratio</v>
      </c>
      <c r="B1465">
        <v>182</v>
      </c>
      <c r="C1465" s="9" t="s">
        <v>26</v>
      </c>
      <c r="D1465" s="8">
        <v>1.58</v>
      </c>
    </row>
    <row r="1466" spans="1:4">
      <c r="A1466" t="str">
        <f t="shared" si="22"/>
        <v>182Alpha</v>
      </c>
      <c r="B1466">
        <v>182</v>
      </c>
      <c r="C1466" s="9" t="s">
        <v>23</v>
      </c>
      <c r="D1466" s="8">
        <v>0.192</v>
      </c>
    </row>
    <row r="1467" spans="1:4">
      <c r="A1467" t="str">
        <f t="shared" si="22"/>
        <v>182Beta</v>
      </c>
      <c r="B1467">
        <v>182</v>
      </c>
      <c r="C1467" s="9" t="s">
        <v>24</v>
      </c>
      <c r="D1467" s="8">
        <v>-0.33400000000000002</v>
      </c>
    </row>
    <row r="1468" spans="1:4">
      <c r="A1468" t="str">
        <f t="shared" si="22"/>
        <v>182Annual Standard Deviation</v>
      </c>
      <c r="B1468">
        <v>182</v>
      </c>
      <c r="C1468" s="9" t="s">
        <v>35</v>
      </c>
      <c r="D1468" s="8">
        <v>0.128</v>
      </c>
    </row>
    <row r="1469" spans="1:4">
      <c r="A1469" t="str">
        <f t="shared" si="22"/>
        <v>182Annual Variance</v>
      </c>
      <c r="B1469">
        <v>182</v>
      </c>
      <c r="C1469" s="9" t="s">
        <v>36</v>
      </c>
      <c r="D1469" s="8">
        <v>1.6E-2</v>
      </c>
    </row>
    <row r="1470" spans="1:4">
      <c r="A1470" t="str">
        <f t="shared" si="22"/>
        <v>182Information Ratio</v>
      </c>
      <c r="B1470">
        <v>182</v>
      </c>
      <c r="C1470" s="9" t="s">
        <v>37</v>
      </c>
      <c r="D1470" s="8">
        <v>0.69699999999999995</v>
      </c>
    </row>
    <row r="1471" spans="1:4">
      <c r="A1471" t="str">
        <f t="shared" si="22"/>
        <v>182Tracking Error</v>
      </c>
      <c r="B1471">
        <v>182</v>
      </c>
      <c r="C1471" s="9" t="s">
        <v>38</v>
      </c>
      <c r="D1471" s="8">
        <v>0.154</v>
      </c>
    </row>
    <row r="1472" spans="1:4">
      <c r="A1472" t="str">
        <f t="shared" si="22"/>
        <v>182Treynor Ratio</v>
      </c>
      <c r="B1472">
        <v>182</v>
      </c>
      <c r="C1472" s="9" t="s">
        <v>39</v>
      </c>
      <c r="D1472" s="8">
        <v>-0.51200000000000001</v>
      </c>
    </row>
    <row r="1473" spans="1:4">
      <c r="A1473" t="str">
        <f t="shared" si="22"/>
        <v>182Total Fees</v>
      </c>
      <c r="B1473">
        <v>182</v>
      </c>
      <c r="C1473" s="9" t="s">
        <v>40</v>
      </c>
      <c r="D1473" s="8">
        <v>0</v>
      </c>
    </row>
    <row r="1474" spans="1:4">
      <c r="A1474" t="str">
        <f t="shared" si="22"/>
        <v>182Estimated Strategy Capacity</v>
      </c>
      <c r="B1474">
        <v>182</v>
      </c>
      <c r="C1474" s="9" t="s">
        <v>41</v>
      </c>
      <c r="D1474" s="8">
        <v>50000000</v>
      </c>
    </row>
    <row r="1475" spans="1:4">
      <c r="A1475" t="str">
        <f t="shared" ref="A1475:A1538" si="23">B1475&amp;C1475</f>
        <v>181PSR</v>
      </c>
      <c r="B1475">
        <v>181</v>
      </c>
      <c r="C1475" s="9" t="s">
        <v>27</v>
      </c>
      <c r="D1475" s="8">
        <v>0.56884999999999997</v>
      </c>
    </row>
    <row r="1476" spans="1:4">
      <c r="A1476" t="str">
        <f t="shared" si="23"/>
        <v>181Sharpe Ratio</v>
      </c>
      <c r="B1476">
        <v>181</v>
      </c>
      <c r="C1476" s="9" t="s">
        <v>1</v>
      </c>
      <c r="D1476" s="8">
        <v>1.1830000000000001</v>
      </c>
    </row>
    <row r="1477" spans="1:4">
      <c r="A1477" t="str">
        <f t="shared" si="23"/>
        <v>181Total Trades</v>
      </c>
      <c r="B1477">
        <v>181</v>
      </c>
      <c r="C1477" s="9" t="s">
        <v>28</v>
      </c>
      <c r="D1477" s="8">
        <v>759</v>
      </c>
    </row>
    <row r="1478" spans="1:4">
      <c r="A1478" t="str">
        <f t="shared" si="23"/>
        <v>181Average Win</v>
      </c>
      <c r="B1478">
        <v>181</v>
      </c>
      <c r="C1478" s="9" t="s">
        <v>25</v>
      </c>
      <c r="D1478" s="8">
        <v>2.2000000000000001E-3</v>
      </c>
    </row>
    <row r="1479" spans="1:4">
      <c r="A1479" t="str">
        <f t="shared" si="23"/>
        <v>181Average Loss</v>
      </c>
      <c r="B1479">
        <v>181</v>
      </c>
      <c r="C1479" s="9" t="s">
        <v>29</v>
      </c>
      <c r="D1479" s="8">
        <v>-1.4E-3</v>
      </c>
    </row>
    <row r="1480" spans="1:4">
      <c r="A1480" t="str">
        <f t="shared" si="23"/>
        <v>181Compounding Annual Return</v>
      </c>
      <c r="B1480">
        <v>181</v>
      </c>
      <c r="C1480" s="9" t="s">
        <v>30</v>
      </c>
      <c r="D1480" s="8">
        <v>2.3060000000000001E-2</v>
      </c>
    </row>
    <row r="1481" spans="1:4">
      <c r="A1481" t="str">
        <f t="shared" si="23"/>
        <v>181Drawdown</v>
      </c>
      <c r="B1481">
        <v>181</v>
      </c>
      <c r="C1481" s="9" t="s">
        <v>8</v>
      </c>
      <c r="D1481" s="8">
        <v>6.0000000000000001E-3</v>
      </c>
    </row>
    <row r="1482" spans="1:4">
      <c r="A1482" t="str">
        <f t="shared" si="23"/>
        <v>181Expectancy</v>
      </c>
      <c r="B1482">
        <v>181</v>
      </c>
      <c r="C1482" s="9" t="s">
        <v>31</v>
      </c>
      <c r="D1482" s="8">
        <v>0.43</v>
      </c>
    </row>
    <row r="1483" spans="1:4">
      <c r="A1483" t="str">
        <f t="shared" si="23"/>
        <v>181Net Profit</v>
      </c>
      <c r="B1483">
        <v>181</v>
      </c>
      <c r="C1483" s="9" t="s">
        <v>32</v>
      </c>
      <c r="D1483" s="8">
        <v>1.485E-2</v>
      </c>
    </row>
    <row r="1484" spans="1:4">
      <c r="A1484" t="str">
        <f t="shared" si="23"/>
        <v>181Loss Rate</v>
      </c>
      <c r="B1484">
        <v>181</v>
      </c>
      <c r="C1484" s="9" t="s">
        <v>33</v>
      </c>
      <c r="D1484" s="8">
        <v>0.44</v>
      </c>
    </row>
    <row r="1485" spans="1:4">
      <c r="A1485" t="str">
        <f t="shared" si="23"/>
        <v>181Win Rate</v>
      </c>
      <c r="B1485">
        <v>181</v>
      </c>
      <c r="C1485" s="9" t="s">
        <v>34</v>
      </c>
      <c r="D1485" s="8">
        <v>0.56000000000000005</v>
      </c>
    </row>
    <row r="1486" spans="1:4">
      <c r="A1486" t="str">
        <f t="shared" si="23"/>
        <v>181Profit-Loss Ratio</v>
      </c>
      <c r="B1486">
        <v>181</v>
      </c>
      <c r="C1486" s="9" t="s">
        <v>26</v>
      </c>
      <c r="D1486" s="8">
        <v>1.55</v>
      </c>
    </row>
    <row r="1487" spans="1:4">
      <c r="A1487" t="str">
        <f t="shared" si="23"/>
        <v>181Alpha</v>
      </c>
      <c r="B1487">
        <v>181</v>
      </c>
      <c r="C1487" s="9" t="s">
        <v>23</v>
      </c>
      <c r="D1487" s="8">
        <v>1.7999999999999999E-2</v>
      </c>
    </row>
    <row r="1488" spans="1:4">
      <c r="A1488" t="str">
        <f t="shared" si="23"/>
        <v>181Beta</v>
      </c>
      <c r="B1488">
        <v>181</v>
      </c>
      <c r="C1488" s="9" t="s">
        <v>24</v>
      </c>
      <c r="D1488" s="8">
        <v>-3.5999999999999997E-2</v>
      </c>
    </row>
    <row r="1489" spans="1:4">
      <c r="A1489" t="str">
        <f t="shared" si="23"/>
        <v>181Annual Standard Deviation</v>
      </c>
      <c r="B1489">
        <v>181</v>
      </c>
      <c r="C1489" s="9" t="s">
        <v>35</v>
      </c>
      <c r="D1489" s="8">
        <v>1.4E-2</v>
      </c>
    </row>
    <row r="1490" spans="1:4">
      <c r="A1490" t="str">
        <f t="shared" si="23"/>
        <v>181Annual Variance</v>
      </c>
      <c r="B1490">
        <v>181</v>
      </c>
      <c r="C1490" s="9" t="s">
        <v>36</v>
      </c>
      <c r="D1490" s="8">
        <v>0</v>
      </c>
    </row>
    <row r="1491" spans="1:4">
      <c r="A1491" t="str">
        <f t="shared" si="23"/>
        <v>181Information Ratio</v>
      </c>
      <c r="B1491">
        <v>181</v>
      </c>
      <c r="C1491" s="9" t="s">
        <v>37</v>
      </c>
      <c r="D1491" s="8">
        <v>-0.67700000000000005</v>
      </c>
    </row>
    <row r="1492" spans="1:4">
      <c r="A1492" t="str">
        <f t="shared" si="23"/>
        <v>181Tracking Error</v>
      </c>
      <c r="B1492">
        <v>181</v>
      </c>
      <c r="C1492" s="9" t="s">
        <v>38</v>
      </c>
      <c r="D1492" s="8">
        <v>7.0000000000000007E-2</v>
      </c>
    </row>
    <row r="1493" spans="1:4">
      <c r="A1493" t="str">
        <f t="shared" si="23"/>
        <v>181Treynor Ratio</v>
      </c>
      <c r="B1493">
        <v>181</v>
      </c>
      <c r="C1493" s="9" t="s">
        <v>39</v>
      </c>
      <c r="D1493" s="8">
        <v>-0.44600000000000001</v>
      </c>
    </row>
    <row r="1494" spans="1:4">
      <c r="A1494" t="str">
        <f t="shared" si="23"/>
        <v>181Total Fees</v>
      </c>
      <c r="B1494">
        <v>181</v>
      </c>
      <c r="C1494" s="9" t="s">
        <v>40</v>
      </c>
      <c r="D1494" s="8">
        <v>0</v>
      </c>
    </row>
    <row r="1495" spans="1:4">
      <c r="A1495" t="str">
        <f t="shared" si="23"/>
        <v>181Estimated Strategy Capacity</v>
      </c>
      <c r="B1495">
        <v>181</v>
      </c>
      <c r="C1495" s="9" t="s">
        <v>41</v>
      </c>
      <c r="D1495" s="8">
        <v>1300000000</v>
      </c>
    </row>
    <row r="1496" spans="1:4">
      <c r="A1496" t="str">
        <f t="shared" si="23"/>
        <v>180PSR</v>
      </c>
      <c r="B1496">
        <v>180</v>
      </c>
      <c r="C1496" s="9" t="s">
        <v>27</v>
      </c>
      <c r="D1496" s="8">
        <v>0.39317999999999997</v>
      </c>
    </row>
    <row r="1497" spans="1:4">
      <c r="A1497" t="str">
        <f t="shared" si="23"/>
        <v>180Sharpe Ratio</v>
      </c>
      <c r="B1497">
        <v>180</v>
      </c>
      <c r="C1497" s="9" t="s">
        <v>1</v>
      </c>
      <c r="D1497" s="8">
        <v>0.96499999999999997</v>
      </c>
    </row>
    <row r="1498" spans="1:4">
      <c r="A1498" t="str">
        <f t="shared" si="23"/>
        <v>180Total Trades</v>
      </c>
      <c r="B1498">
        <v>180</v>
      </c>
      <c r="C1498" s="9" t="s">
        <v>28</v>
      </c>
      <c r="D1498" s="8">
        <v>481</v>
      </c>
    </row>
    <row r="1499" spans="1:4">
      <c r="A1499" t="str">
        <f t="shared" si="23"/>
        <v>180Average Win</v>
      </c>
      <c r="B1499">
        <v>180</v>
      </c>
      <c r="C1499" s="9" t="s">
        <v>25</v>
      </c>
      <c r="D1499" s="8">
        <v>0.14130000000000001</v>
      </c>
    </row>
    <row r="1500" spans="1:4">
      <c r="A1500" t="str">
        <f t="shared" si="23"/>
        <v>180Average Loss</v>
      </c>
      <c r="B1500">
        <v>180</v>
      </c>
      <c r="C1500" s="9" t="s">
        <v>29</v>
      </c>
      <c r="D1500" s="8">
        <v>-0.1089</v>
      </c>
    </row>
    <row r="1501" spans="1:4">
      <c r="A1501" t="str">
        <f t="shared" si="23"/>
        <v>180Compounding Annual Return</v>
      </c>
      <c r="B1501">
        <v>180</v>
      </c>
      <c r="C1501" s="9" t="s">
        <v>30</v>
      </c>
      <c r="D1501" s="8">
        <v>0.50692000000000004</v>
      </c>
    </row>
    <row r="1502" spans="1:4">
      <c r="A1502" t="str">
        <f t="shared" si="23"/>
        <v>180Drawdown</v>
      </c>
      <c r="B1502">
        <v>180</v>
      </c>
      <c r="C1502" s="9" t="s">
        <v>8</v>
      </c>
      <c r="D1502" s="8">
        <v>0.45800000000000002</v>
      </c>
    </row>
    <row r="1503" spans="1:4">
      <c r="A1503" t="str">
        <f t="shared" si="23"/>
        <v>180Expectancy</v>
      </c>
      <c r="B1503">
        <v>180</v>
      </c>
      <c r="C1503" s="9" t="s">
        <v>31</v>
      </c>
      <c r="D1503" s="8">
        <v>0.29199999999999998</v>
      </c>
    </row>
    <row r="1504" spans="1:4">
      <c r="A1504" t="str">
        <f t="shared" si="23"/>
        <v>180Net Profit</v>
      </c>
      <c r="B1504">
        <v>180</v>
      </c>
      <c r="C1504" s="9" t="s">
        <v>32</v>
      </c>
      <c r="D1504" s="8">
        <v>0.30354999999999999</v>
      </c>
    </row>
    <row r="1505" spans="1:4">
      <c r="A1505" t="str">
        <f t="shared" si="23"/>
        <v>180Loss Rate</v>
      </c>
      <c r="B1505">
        <v>180</v>
      </c>
      <c r="C1505" s="9" t="s">
        <v>33</v>
      </c>
      <c r="D1505" s="8">
        <v>0.44</v>
      </c>
    </row>
    <row r="1506" spans="1:4">
      <c r="A1506" t="str">
        <f t="shared" si="23"/>
        <v>180Win Rate</v>
      </c>
      <c r="B1506">
        <v>180</v>
      </c>
      <c r="C1506" s="9" t="s">
        <v>34</v>
      </c>
      <c r="D1506" s="8">
        <v>0.56000000000000005</v>
      </c>
    </row>
    <row r="1507" spans="1:4">
      <c r="A1507" t="str">
        <f t="shared" si="23"/>
        <v>180Profit-Loss Ratio</v>
      </c>
      <c r="B1507">
        <v>180</v>
      </c>
      <c r="C1507" s="9" t="s">
        <v>26</v>
      </c>
      <c r="D1507" s="8">
        <v>1.3</v>
      </c>
    </row>
    <row r="1508" spans="1:4">
      <c r="A1508" t="str">
        <f t="shared" si="23"/>
        <v>180Alpha</v>
      </c>
      <c r="B1508">
        <v>180</v>
      </c>
      <c r="C1508" s="9" t="s">
        <v>23</v>
      </c>
      <c r="D1508" s="8">
        <v>0.80700000000000005</v>
      </c>
    </row>
    <row r="1509" spans="1:4">
      <c r="A1509" t="str">
        <f t="shared" si="23"/>
        <v>180Beta</v>
      </c>
      <c r="B1509">
        <v>180</v>
      </c>
      <c r="C1509" s="9" t="s">
        <v>24</v>
      </c>
      <c r="D1509" s="8">
        <v>-1.802</v>
      </c>
    </row>
    <row r="1510" spans="1:4">
      <c r="A1510" t="str">
        <f t="shared" si="23"/>
        <v>180Annual Standard Deviation</v>
      </c>
      <c r="B1510">
        <v>180</v>
      </c>
      <c r="C1510" s="9" t="s">
        <v>35</v>
      </c>
      <c r="D1510" s="8">
        <v>0.71699999999999997</v>
      </c>
    </row>
    <row r="1511" spans="1:4">
      <c r="A1511" t="str">
        <f t="shared" si="23"/>
        <v>180Annual Variance</v>
      </c>
      <c r="B1511">
        <v>180</v>
      </c>
      <c r="C1511" s="9" t="s">
        <v>36</v>
      </c>
      <c r="D1511" s="8">
        <v>0.51400000000000001</v>
      </c>
    </row>
    <row r="1512" spans="1:4">
      <c r="A1512" t="str">
        <f t="shared" si="23"/>
        <v>180Information Ratio</v>
      </c>
      <c r="B1512">
        <v>180</v>
      </c>
      <c r="C1512" s="9" t="s">
        <v>37</v>
      </c>
      <c r="D1512" s="8">
        <v>0.86</v>
      </c>
    </row>
    <row r="1513" spans="1:4">
      <c r="A1513" t="str">
        <f t="shared" si="23"/>
        <v>180Tracking Error</v>
      </c>
      <c r="B1513">
        <v>180</v>
      </c>
      <c r="C1513" s="9" t="s">
        <v>38</v>
      </c>
      <c r="D1513" s="8">
        <v>0.73099999999999998</v>
      </c>
    </row>
    <row r="1514" spans="1:4">
      <c r="A1514" t="str">
        <f t="shared" si="23"/>
        <v>180Treynor Ratio</v>
      </c>
      <c r="B1514">
        <v>180</v>
      </c>
      <c r="C1514" s="9" t="s">
        <v>39</v>
      </c>
      <c r="D1514" s="8">
        <v>-0.38400000000000001</v>
      </c>
    </row>
    <row r="1515" spans="1:4">
      <c r="A1515" t="str">
        <f t="shared" si="23"/>
        <v>180Total Fees</v>
      </c>
      <c r="B1515">
        <v>180</v>
      </c>
      <c r="C1515" s="9" t="s">
        <v>40</v>
      </c>
      <c r="D1515" s="8">
        <v>0</v>
      </c>
    </row>
    <row r="1516" spans="1:4">
      <c r="A1516" t="str">
        <f t="shared" si="23"/>
        <v>180Estimated Strategy Capacity</v>
      </c>
      <c r="B1516">
        <v>180</v>
      </c>
      <c r="C1516" s="9" t="s">
        <v>41</v>
      </c>
      <c r="D1516" s="8">
        <v>380000000</v>
      </c>
    </row>
    <row r="1517" spans="1:4">
      <c r="A1517" t="str">
        <f t="shared" si="23"/>
        <v>179PSR</v>
      </c>
      <c r="B1517">
        <v>179</v>
      </c>
      <c r="C1517" s="9" t="s">
        <v>27</v>
      </c>
      <c r="D1517" s="8">
        <v>0.29929</v>
      </c>
    </row>
    <row r="1518" spans="1:4">
      <c r="A1518" t="str">
        <f t="shared" si="23"/>
        <v>179Sharpe Ratio</v>
      </c>
      <c r="B1518">
        <v>179</v>
      </c>
      <c r="C1518" s="9" t="s">
        <v>1</v>
      </c>
      <c r="D1518" s="8">
        <v>0.45900000000000002</v>
      </c>
    </row>
    <row r="1519" spans="1:4">
      <c r="A1519" t="str">
        <f t="shared" si="23"/>
        <v>179Total Trades</v>
      </c>
      <c r="B1519">
        <v>179</v>
      </c>
      <c r="C1519" s="9" t="s">
        <v>28</v>
      </c>
      <c r="D1519" s="8">
        <v>482</v>
      </c>
    </row>
    <row r="1520" spans="1:4">
      <c r="A1520" t="str">
        <f t="shared" si="23"/>
        <v>179Average Win</v>
      </c>
      <c r="B1520">
        <v>179</v>
      </c>
      <c r="C1520" s="9" t="s">
        <v>25</v>
      </c>
      <c r="D1520" s="8">
        <v>2.5999999999999999E-3</v>
      </c>
    </row>
    <row r="1521" spans="1:4">
      <c r="A1521" t="str">
        <f t="shared" si="23"/>
        <v>179Average Loss</v>
      </c>
      <c r="B1521">
        <v>179</v>
      </c>
      <c r="C1521" s="9" t="s">
        <v>29</v>
      </c>
      <c r="D1521" s="8">
        <v>-2.5000000000000001E-3</v>
      </c>
    </row>
    <row r="1522" spans="1:4">
      <c r="A1522" t="str">
        <f t="shared" si="23"/>
        <v>179Compounding Annual Return</v>
      </c>
      <c r="B1522">
        <v>179</v>
      </c>
      <c r="C1522" s="9" t="s">
        <v>30</v>
      </c>
      <c r="D1522" s="8">
        <v>9.1000000000000004E-3</v>
      </c>
    </row>
    <row r="1523" spans="1:4">
      <c r="A1523" t="str">
        <f t="shared" si="23"/>
        <v>179Drawdown</v>
      </c>
      <c r="B1523">
        <v>179</v>
      </c>
      <c r="C1523" s="9" t="s">
        <v>8</v>
      </c>
      <c r="D1523" s="8">
        <v>0.01</v>
      </c>
    </row>
    <row r="1524" spans="1:4">
      <c r="A1524" t="str">
        <f t="shared" si="23"/>
        <v>179Expectancy</v>
      </c>
      <c r="B1524">
        <v>179</v>
      </c>
      <c r="C1524" s="9" t="s">
        <v>31</v>
      </c>
      <c r="D1524" s="8">
        <v>0.151</v>
      </c>
    </row>
    <row r="1525" spans="1:4">
      <c r="A1525" t="str">
        <f t="shared" si="23"/>
        <v>179Net Profit</v>
      </c>
      <c r="B1525">
        <v>179</v>
      </c>
      <c r="C1525" s="9" t="s">
        <v>32</v>
      </c>
      <c r="D1525" s="8">
        <v>5.8700000000000002E-3</v>
      </c>
    </row>
    <row r="1526" spans="1:4">
      <c r="A1526" t="str">
        <f t="shared" si="23"/>
        <v>179Loss Rate</v>
      </c>
      <c r="B1526">
        <v>179</v>
      </c>
      <c r="C1526" s="9" t="s">
        <v>33</v>
      </c>
      <c r="D1526" s="8">
        <v>0.44</v>
      </c>
    </row>
    <row r="1527" spans="1:4">
      <c r="A1527" t="str">
        <f t="shared" si="23"/>
        <v>179Win Rate</v>
      </c>
      <c r="B1527">
        <v>179</v>
      </c>
      <c r="C1527" s="9" t="s">
        <v>34</v>
      </c>
      <c r="D1527" s="8">
        <v>0.56000000000000005</v>
      </c>
    </row>
    <row r="1528" spans="1:4">
      <c r="A1528" t="str">
        <f t="shared" si="23"/>
        <v>179Profit-Loss Ratio</v>
      </c>
      <c r="B1528">
        <v>179</v>
      </c>
      <c r="C1528" s="9" t="s">
        <v>26</v>
      </c>
      <c r="D1528" s="8">
        <v>1.05</v>
      </c>
    </row>
    <row r="1529" spans="1:4">
      <c r="A1529" t="str">
        <f t="shared" si="23"/>
        <v>179Alpha</v>
      </c>
      <c r="B1529">
        <v>179</v>
      </c>
      <c r="C1529" s="9" t="s">
        <v>23</v>
      </c>
      <c r="D1529" s="8">
        <v>8.9999999999999993E-3</v>
      </c>
    </row>
    <row r="1530" spans="1:4">
      <c r="A1530" t="str">
        <f t="shared" si="23"/>
        <v>179Beta</v>
      </c>
      <c r="B1530">
        <v>179</v>
      </c>
      <c r="C1530" s="9" t="s">
        <v>24</v>
      </c>
      <c r="D1530" s="8">
        <v>-3.9E-2</v>
      </c>
    </row>
    <row r="1531" spans="1:4">
      <c r="A1531" t="str">
        <f t="shared" si="23"/>
        <v>179Annual Standard Deviation</v>
      </c>
      <c r="B1531">
        <v>179</v>
      </c>
      <c r="C1531" s="9" t="s">
        <v>35</v>
      </c>
      <c r="D1531" s="8">
        <v>1.4E-2</v>
      </c>
    </row>
    <row r="1532" spans="1:4">
      <c r="A1532" t="str">
        <f t="shared" si="23"/>
        <v>179Annual Variance</v>
      </c>
      <c r="B1532">
        <v>179</v>
      </c>
      <c r="C1532" s="9" t="s">
        <v>36</v>
      </c>
      <c r="D1532" s="8">
        <v>0</v>
      </c>
    </row>
    <row r="1533" spans="1:4">
      <c r="A1533" t="str">
        <f t="shared" si="23"/>
        <v>179Information Ratio</v>
      </c>
      <c r="B1533">
        <v>179</v>
      </c>
      <c r="C1533" s="9" t="s">
        <v>37</v>
      </c>
      <c r="D1533" s="8">
        <v>-0.81100000000000005</v>
      </c>
    </row>
    <row r="1534" spans="1:4">
      <c r="A1534" t="str">
        <f t="shared" si="23"/>
        <v>179Tracking Error</v>
      </c>
      <c r="B1534">
        <v>179</v>
      </c>
      <c r="C1534" s="9" t="s">
        <v>38</v>
      </c>
      <c r="D1534" s="8">
        <v>7.0999999999999994E-2</v>
      </c>
    </row>
    <row r="1535" spans="1:4">
      <c r="A1535" t="str">
        <f t="shared" si="23"/>
        <v>179Treynor Ratio</v>
      </c>
      <c r="B1535">
        <v>179</v>
      </c>
      <c r="C1535" s="9" t="s">
        <v>39</v>
      </c>
      <c r="D1535" s="8">
        <v>-0.16500000000000001</v>
      </c>
    </row>
    <row r="1536" spans="1:4">
      <c r="A1536" t="str">
        <f t="shared" si="23"/>
        <v>179Total Fees</v>
      </c>
      <c r="B1536">
        <v>179</v>
      </c>
      <c r="C1536" s="9" t="s">
        <v>40</v>
      </c>
      <c r="D1536" s="8">
        <v>0</v>
      </c>
    </row>
    <row r="1537" spans="1:4">
      <c r="A1537" t="str">
        <f t="shared" si="23"/>
        <v>179Estimated Strategy Capacity</v>
      </c>
      <c r="B1537">
        <v>179</v>
      </c>
      <c r="C1537" s="9" t="s">
        <v>41</v>
      </c>
      <c r="D1537" s="8">
        <v>14000000000</v>
      </c>
    </row>
    <row r="1538" spans="1:4">
      <c r="A1538" t="str">
        <f t="shared" si="23"/>
        <v>178PSR</v>
      </c>
      <c r="B1538">
        <v>178</v>
      </c>
      <c r="C1538" s="9" t="s">
        <v>27</v>
      </c>
      <c r="D1538" s="8">
        <v>0.31640000000000001</v>
      </c>
    </row>
    <row r="1539" spans="1:4">
      <c r="A1539" t="str">
        <f t="shared" ref="A1539:A1602" si="24">B1539&amp;C1539</f>
        <v>178Sharpe Ratio</v>
      </c>
      <c r="B1539">
        <v>178</v>
      </c>
      <c r="C1539" s="9" t="s">
        <v>1</v>
      </c>
      <c r="D1539" s="8">
        <v>0.53</v>
      </c>
    </row>
    <row r="1540" spans="1:4">
      <c r="A1540" t="str">
        <f t="shared" si="24"/>
        <v>178Total Trades</v>
      </c>
      <c r="B1540">
        <v>178</v>
      </c>
      <c r="C1540" s="9" t="s">
        <v>28</v>
      </c>
      <c r="D1540" s="8">
        <v>482</v>
      </c>
    </row>
    <row r="1541" spans="1:4">
      <c r="A1541" t="str">
        <f t="shared" si="24"/>
        <v>178Average Win</v>
      </c>
      <c r="B1541">
        <v>178</v>
      </c>
      <c r="C1541" s="9" t="s">
        <v>25</v>
      </c>
      <c r="D1541" s="8">
        <v>2.6499999999999999E-2</v>
      </c>
    </row>
    <row r="1542" spans="1:4">
      <c r="A1542" t="str">
        <f t="shared" si="24"/>
        <v>178Average Loss</v>
      </c>
      <c r="B1542">
        <v>178</v>
      </c>
      <c r="C1542" s="9" t="s">
        <v>29</v>
      </c>
      <c r="D1542" s="8">
        <v>-2.4400000000000002E-2</v>
      </c>
    </row>
    <row r="1543" spans="1:4">
      <c r="A1543" t="str">
        <f t="shared" si="24"/>
        <v>178Compounding Annual Return</v>
      </c>
      <c r="B1543">
        <v>178</v>
      </c>
      <c r="C1543" s="9" t="s">
        <v>30</v>
      </c>
      <c r="D1543" s="8">
        <v>9.2289999999999997E-2</v>
      </c>
    </row>
    <row r="1544" spans="1:4">
      <c r="A1544" t="str">
        <f t="shared" si="24"/>
        <v>178Drawdown</v>
      </c>
      <c r="B1544">
        <v>178</v>
      </c>
      <c r="C1544" s="9" t="s">
        <v>8</v>
      </c>
      <c r="D1544" s="8">
        <v>0.1</v>
      </c>
    </row>
    <row r="1545" spans="1:4">
      <c r="A1545" t="str">
        <f t="shared" si="24"/>
        <v>178Expectancy</v>
      </c>
      <c r="B1545">
        <v>178</v>
      </c>
      <c r="C1545" s="9" t="s">
        <v>31</v>
      </c>
      <c r="D1545" s="8">
        <v>0.17399999999999999</v>
      </c>
    </row>
    <row r="1546" spans="1:4">
      <c r="A1546" t="str">
        <f t="shared" si="24"/>
        <v>178Net Profit</v>
      </c>
      <c r="B1546">
        <v>178</v>
      </c>
      <c r="C1546" s="9" t="s">
        <v>32</v>
      </c>
      <c r="D1546" s="8">
        <v>5.8729999999999997E-2</v>
      </c>
    </row>
    <row r="1547" spans="1:4">
      <c r="A1547" t="str">
        <f t="shared" si="24"/>
        <v>178Loss Rate</v>
      </c>
      <c r="B1547">
        <v>178</v>
      </c>
      <c r="C1547" s="9" t="s">
        <v>33</v>
      </c>
      <c r="D1547" s="8">
        <v>0.44</v>
      </c>
    </row>
    <row r="1548" spans="1:4">
      <c r="A1548" t="str">
        <f t="shared" si="24"/>
        <v>178Win Rate</v>
      </c>
      <c r="B1548">
        <v>178</v>
      </c>
      <c r="C1548" s="9" t="s">
        <v>34</v>
      </c>
      <c r="D1548" s="8">
        <v>0.56000000000000005</v>
      </c>
    </row>
    <row r="1549" spans="1:4">
      <c r="A1549" t="str">
        <f t="shared" si="24"/>
        <v>178Profit-Loss Ratio</v>
      </c>
      <c r="B1549">
        <v>178</v>
      </c>
      <c r="C1549" s="9" t="s">
        <v>26</v>
      </c>
      <c r="D1549" s="8">
        <v>1.0900000000000001</v>
      </c>
    </row>
    <row r="1550" spans="1:4">
      <c r="A1550" t="str">
        <f t="shared" si="24"/>
        <v>178Alpha</v>
      </c>
      <c r="B1550">
        <v>178</v>
      </c>
      <c r="C1550" s="9" t="s">
        <v>23</v>
      </c>
      <c r="D1550" s="8">
        <v>9.7000000000000003E-2</v>
      </c>
    </row>
    <row r="1551" spans="1:4">
      <c r="A1551" t="str">
        <f t="shared" si="24"/>
        <v>178Beta</v>
      </c>
      <c r="B1551">
        <v>178</v>
      </c>
      <c r="C1551" s="9" t="s">
        <v>24</v>
      </c>
      <c r="D1551" s="8">
        <v>-0.38</v>
      </c>
    </row>
    <row r="1552" spans="1:4">
      <c r="A1552" t="str">
        <f t="shared" si="24"/>
        <v>178Annual Standard Deviation</v>
      </c>
      <c r="B1552">
        <v>178</v>
      </c>
      <c r="C1552" s="9" t="s">
        <v>35</v>
      </c>
      <c r="D1552" s="8">
        <v>0.13800000000000001</v>
      </c>
    </row>
    <row r="1553" spans="1:4">
      <c r="A1553" t="str">
        <f t="shared" si="24"/>
        <v>178Annual Variance</v>
      </c>
      <c r="B1553">
        <v>178</v>
      </c>
      <c r="C1553" s="9" t="s">
        <v>36</v>
      </c>
      <c r="D1553" s="8">
        <v>1.9E-2</v>
      </c>
    </row>
    <row r="1554" spans="1:4">
      <c r="A1554" t="str">
        <f t="shared" si="24"/>
        <v>178Information Ratio</v>
      </c>
      <c r="B1554">
        <v>178</v>
      </c>
      <c r="C1554" s="9" t="s">
        <v>37</v>
      </c>
      <c r="D1554" s="8">
        <v>5.8000000000000003E-2</v>
      </c>
    </row>
    <row r="1555" spans="1:4">
      <c r="A1555" t="str">
        <f t="shared" si="24"/>
        <v>178Tracking Error</v>
      </c>
      <c r="B1555">
        <v>178</v>
      </c>
      <c r="C1555" s="9" t="s">
        <v>38</v>
      </c>
      <c r="D1555" s="8">
        <v>0.16400000000000001</v>
      </c>
    </row>
    <row r="1556" spans="1:4">
      <c r="A1556" t="str">
        <f t="shared" si="24"/>
        <v>178Treynor Ratio</v>
      </c>
      <c r="B1556">
        <v>178</v>
      </c>
      <c r="C1556" s="9" t="s">
        <v>39</v>
      </c>
      <c r="D1556" s="8">
        <v>-0.193</v>
      </c>
    </row>
    <row r="1557" spans="1:4">
      <c r="A1557" t="str">
        <f t="shared" si="24"/>
        <v>178Total Fees</v>
      </c>
      <c r="B1557">
        <v>178</v>
      </c>
      <c r="C1557" s="9" t="s">
        <v>40</v>
      </c>
      <c r="D1557" s="8">
        <v>0</v>
      </c>
    </row>
    <row r="1558" spans="1:4">
      <c r="A1558" t="str">
        <f t="shared" si="24"/>
        <v>178Estimated Strategy Capacity</v>
      </c>
      <c r="B1558">
        <v>178</v>
      </c>
      <c r="C1558" s="9" t="s">
        <v>41</v>
      </c>
      <c r="D1558" s="8">
        <v>1500000000</v>
      </c>
    </row>
    <row r="1559" spans="1:4">
      <c r="A1559" t="str">
        <f t="shared" si="24"/>
        <v>177PSR</v>
      </c>
      <c r="B1559">
        <v>177</v>
      </c>
      <c r="C1559" s="9" t="s">
        <v>27</v>
      </c>
      <c r="D1559" s="8">
        <v>0.17058999999999999</v>
      </c>
    </row>
    <row r="1560" spans="1:4">
      <c r="A1560" t="str">
        <f t="shared" si="24"/>
        <v>177Sharpe Ratio</v>
      </c>
      <c r="B1560">
        <v>177</v>
      </c>
      <c r="C1560" s="9" t="s">
        <v>1</v>
      </c>
      <c r="D1560" s="8">
        <v>1.2E-2</v>
      </c>
    </row>
    <row r="1561" spans="1:4">
      <c r="A1561" t="str">
        <f t="shared" si="24"/>
        <v>177Total Trades</v>
      </c>
      <c r="B1561">
        <v>177</v>
      </c>
      <c r="C1561" s="9" t="s">
        <v>28</v>
      </c>
      <c r="D1561" s="8">
        <v>664</v>
      </c>
    </row>
    <row r="1562" spans="1:4">
      <c r="A1562" t="str">
        <f t="shared" si="24"/>
        <v>177Average Win</v>
      </c>
      <c r="B1562">
        <v>177</v>
      </c>
      <c r="C1562" s="9" t="s">
        <v>25</v>
      </c>
      <c r="D1562" s="8">
        <v>0.22009999999999999</v>
      </c>
    </row>
    <row r="1563" spans="1:4">
      <c r="A1563" t="str">
        <f t="shared" si="24"/>
        <v>177Average Loss</v>
      </c>
      <c r="B1563">
        <v>177</v>
      </c>
      <c r="C1563" s="9" t="s">
        <v>29</v>
      </c>
      <c r="D1563" s="8">
        <v>-0.1124</v>
      </c>
    </row>
    <row r="1564" spans="1:4">
      <c r="A1564" t="str">
        <f t="shared" si="24"/>
        <v>177Compounding Annual Return</v>
      </c>
      <c r="B1564">
        <v>177</v>
      </c>
      <c r="C1564" s="9" t="s">
        <v>30</v>
      </c>
      <c r="D1564" s="8">
        <v>-0.63017999999999996</v>
      </c>
    </row>
    <row r="1565" spans="1:4">
      <c r="A1565" t="str">
        <f t="shared" si="24"/>
        <v>177Drawdown</v>
      </c>
      <c r="B1565">
        <v>177</v>
      </c>
      <c r="C1565" s="9" t="s">
        <v>8</v>
      </c>
      <c r="D1565" s="8">
        <v>0.77900000000000003</v>
      </c>
    </row>
    <row r="1566" spans="1:4">
      <c r="A1566" t="str">
        <f t="shared" si="24"/>
        <v>177Expectancy</v>
      </c>
      <c r="B1566">
        <v>177</v>
      </c>
      <c r="C1566" s="9" t="s">
        <v>31</v>
      </c>
      <c r="D1566" s="8">
        <v>-0.09</v>
      </c>
    </row>
    <row r="1567" spans="1:4">
      <c r="A1567" t="str">
        <f t="shared" si="24"/>
        <v>177Net Profit</v>
      </c>
      <c r="B1567">
        <v>177</v>
      </c>
      <c r="C1567" s="9" t="s">
        <v>32</v>
      </c>
      <c r="D1567" s="8">
        <v>-0.47432000000000002</v>
      </c>
    </row>
    <row r="1568" spans="1:4">
      <c r="A1568" t="str">
        <f t="shared" si="24"/>
        <v>177Loss Rate</v>
      </c>
      <c r="B1568">
        <v>177</v>
      </c>
      <c r="C1568" s="9" t="s">
        <v>33</v>
      </c>
      <c r="D1568" s="8">
        <v>0.69</v>
      </c>
    </row>
    <row r="1569" spans="1:4">
      <c r="A1569" t="str">
        <f t="shared" si="24"/>
        <v>177Win Rate</v>
      </c>
      <c r="B1569">
        <v>177</v>
      </c>
      <c r="C1569" s="9" t="s">
        <v>34</v>
      </c>
      <c r="D1569" s="8">
        <v>0.31</v>
      </c>
    </row>
    <row r="1570" spans="1:4">
      <c r="A1570" t="str">
        <f t="shared" si="24"/>
        <v>177Profit-Loss Ratio</v>
      </c>
      <c r="B1570">
        <v>177</v>
      </c>
      <c r="C1570" s="9" t="s">
        <v>26</v>
      </c>
      <c r="D1570" s="8">
        <v>1.96</v>
      </c>
    </row>
    <row r="1571" spans="1:4">
      <c r="A1571" t="str">
        <f t="shared" si="24"/>
        <v>177Alpha</v>
      </c>
      <c r="B1571">
        <v>177</v>
      </c>
      <c r="C1571" s="9" t="s">
        <v>23</v>
      </c>
      <c r="D1571" s="8">
        <v>0.34</v>
      </c>
    </row>
    <row r="1572" spans="1:4">
      <c r="A1572" t="str">
        <f t="shared" si="24"/>
        <v>177Beta</v>
      </c>
      <c r="B1572">
        <v>177</v>
      </c>
      <c r="C1572" s="9" t="s">
        <v>24</v>
      </c>
      <c r="D1572" s="8">
        <v>-5.1150000000000002</v>
      </c>
    </row>
    <row r="1573" spans="1:4">
      <c r="A1573" t="str">
        <f t="shared" si="24"/>
        <v>177Annual Standard Deviation</v>
      </c>
      <c r="B1573">
        <v>177</v>
      </c>
      <c r="C1573" s="9" t="s">
        <v>35</v>
      </c>
      <c r="D1573" s="8">
        <v>1.165</v>
      </c>
    </row>
    <row r="1574" spans="1:4">
      <c r="A1574" t="str">
        <f t="shared" si="24"/>
        <v>177Annual Variance</v>
      </c>
      <c r="B1574">
        <v>177</v>
      </c>
      <c r="C1574" s="9" t="s">
        <v>36</v>
      </c>
      <c r="D1574" s="8">
        <v>1.3580000000000001</v>
      </c>
    </row>
    <row r="1575" spans="1:4">
      <c r="A1575" t="str">
        <f t="shared" si="24"/>
        <v>177Information Ratio</v>
      </c>
      <c r="B1575">
        <v>177</v>
      </c>
      <c r="C1575" s="9" t="s">
        <v>37</v>
      </c>
      <c r="D1575" s="8">
        <v>-4.1000000000000002E-2</v>
      </c>
    </row>
    <row r="1576" spans="1:4">
      <c r="A1576" t="str">
        <f t="shared" si="24"/>
        <v>177Tracking Error</v>
      </c>
      <c r="B1576">
        <v>177</v>
      </c>
      <c r="C1576" s="9" t="s">
        <v>38</v>
      </c>
      <c r="D1576" s="8">
        <v>1.1870000000000001</v>
      </c>
    </row>
    <row r="1577" spans="1:4">
      <c r="A1577" t="str">
        <f t="shared" si="24"/>
        <v>177Treynor Ratio</v>
      </c>
      <c r="B1577">
        <v>177</v>
      </c>
      <c r="C1577" s="9" t="s">
        <v>39</v>
      </c>
      <c r="D1577" s="8">
        <v>-3.0000000000000001E-3</v>
      </c>
    </row>
    <row r="1578" spans="1:4">
      <c r="A1578" t="str">
        <f t="shared" si="24"/>
        <v>177Total Fees</v>
      </c>
      <c r="B1578">
        <v>177</v>
      </c>
      <c r="C1578" s="9" t="s">
        <v>40</v>
      </c>
      <c r="D1578" s="8">
        <v>0</v>
      </c>
    </row>
    <row r="1579" spans="1:4">
      <c r="A1579" t="str">
        <f t="shared" si="24"/>
        <v>177Estimated Strategy Capacity</v>
      </c>
      <c r="B1579">
        <v>177</v>
      </c>
      <c r="C1579" s="9" t="s">
        <v>41</v>
      </c>
      <c r="D1579" s="8">
        <v>3700000</v>
      </c>
    </row>
    <row r="1580" spans="1:4">
      <c r="A1580" t="str">
        <f t="shared" si="24"/>
        <v>176PSR</v>
      </c>
      <c r="B1580">
        <v>176</v>
      </c>
      <c r="C1580" s="9" t="s">
        <v>27</v>
      </c>
      <c r="D1580" s="8">
        <v>4.759E-2</v>
      </c>
    </row>
    <row r="1581" spans="1:4">
      <c r="A1581" t="str">
        <f t="shared" si="24"/>
        <v>176Sharpe Ratio</v>
      </c>
      <c r="B1581">
        <v>176</v>
      </c>
      <c r="C1581" s="9" t="s">
        <v>1</v>
      </c>
      <c r="D1581" s="8">
        <v>-0.63400000000000001</v>
      </c>
    </row>
    <row r="1582" spans="1:4">
      <c r="A1582" t="str">
        <f t="shared" si="24"/>
        <v>176Total Trades</v>
      </c>
      <c r="B1582">
        <v>176</v>
      </c>
      <c r="C1582" s="9" t="s">
        <v>28</v>
      </c>
      <c r="D1582" s="8">
        <v>690</v>
      </c>
    </row>
    <row r="1583" spans="1:4">
      <c r="A1583" t="str">
        <f t="shared" si="24"/>
        <v>176Average Win</v>
      </c>
      <c r="B1583">
        <v>176</v>
      </c>
      <c r="C1583" s="9" t="s">
        <v>25</v>
      </c>
      <c r="D1583" s="8">
        <v>2.23E-2</v>
      </c>
    </row>
    <row r="1584" spans="1:4">
      <c r="A1584" t="str">
        <f t="shared" si="24"/>
        <v>176Average Loss</v>
      </c>
      <c r="B1584">
        <v>176</v>
      </c>
      <c r="C1584" s="9" t="s">
        <v>29</v>
      </c>
      <c r="D1584" s="8">
        <v>-1.8800000000000001E-2</v>
      </c>
    </row>
    <row r="1585" spans="1:4">
      <c r="A1585" t="str">
        <f t="shared" si="24"/>
        <v>176Compounding Annual Return</v>
      </c>
      <c r="B1585">
        <v>176</v>
      </c>
      <c r="C1585" s="9" t="s">
        <v>30</v>
      </c>
      <c r="D1585" s="8">
        <v>-0.14321999999999999</v>
      </c>
    </row>
    <row r="1586" spans="1:4">
      <c r="A1586" t="str">
        <f t="shared" si="24"/>
        <v>176Drawdown</v>
      </c>
      <c r="B1586">
        <v>176</v>
      </c>
      <c r="C1586" s="9" t="s">
        <v>8</v>
      </c>
      <c r="D1586" s="8">
        <v>0.17</v>
      </c>
    </row>
    <row r="1587" spans="1:4">
      <c r="A1587" t="str">
        <f t="shared" si="24"/>
        <v>176Expectancy</v>
      </c>
      <c r="B1587">
        <v>176</v>
      </c>
      <c r="C1587" s="9" t="s">
        <v>31</v>
      </c>
      <c r="D1587" s="8">
        <v>-0.23899999999999999</v>
      </c>
    </row>
    <row r="1588" spans="1:4">
      <c r="A1588" t="str">
        <f t="shared" si="24"/>
        <v>176Net Profit</v>
      </c>
      <c r="B1588">
        <v>176</v>
      </c>
      <c r="C1588" s="9" t="s">
        <v>32</v>
      </c>
      <c r="D1588" s="8">
        <v>-9.5089999999999994E-2</v>
      </c>
    </row>
    <row r="1589" spans="1:4">
      <c r="A1589" t="str">
        <f t="shared" si="24"/>
        <v>176Loss Rate</v>
      </c>
      <c r="B1589">
        <v>176</v>
      </c>
      <c r="C1589" s="9" t="s">
        <v>33</v>
      </c>
      <c r="D1589" s="8">
        <v>0.65</v>
      </c>
    </row>
    <row r="1590" spans="1:4">
      <c r="A1590" t="str">
        <f t="shared" si="24"/>
        <v>176Win Rate</v>
      </c>
      <c r="B1590">
        <v>176</v>
      </c>
      <c r="C1590" s="9" t="s">
        <v>34</v>
      </c>
      <c r="D1590" s="8">
        <v>0.35</v>
      </c>
    </row>
    <row r="1591" spans="1:4">
      <c r="A1591" t="str">
        <f t="shared" si="24"/>
        <v>176Profit-Loss Ratio</v>
      </c>
      <c r="B1591">
        <v>176</v>
      </c>
      <c r="C1591" s="9" t="s">
        <v>26</v>
      </c>
      <c r="D1591" s="8">
        <v>1.19</v>
      </c>
    </row>
    <row r="1592" spans="1:4">
      <c r="A1592" t="str">
        <f t="shared" si="24"/>
        <v>176Alpha</v>
      </c>
      <c r="B1592">
        <v>176</v>
      </c>
      <c r="C1592" s="9" t="s">
        <v>23</v>
      </c>
      <c r="D1592" s="8">
        <v>-5.1999999999999998E-2</v>
      </c>
    </row>
    <row r="1593" spans="1:4">
      <c r="A1593" t="str">
        <f t="shared" si="24"/>
        <v>176Beta</v>
      </c>
      <c r="B1593">
        <v>176</v>
      </c>
      <c r="C1593" s="9" t="s">
        <v>24</v>
      </c>
      <c r="D1593" s="8">
        <v>-0.625</v>
      </c>
    </row>
    <row r="1594" spans="1:4">
      <c r="A1594" t="str">
        <f t="shared" si="24"/>
        <v>176Annual Standard Deviation</v>
      </c>
      <c r="B1594">
        <v>176</v>
      </c>
      <c r="C1594" s="9" t="s">
        <v>35</v>
      </c>
      <c r="D1594" s="8">
        <v>0.14499999999999999</v>
      </c>
    </row>
    <row r="1595" spans="1:4">
      <c r="A1595" t="str">
        <f t="shared" si="24"/>
        <v>176Annual Variance</v>
      </c>
      <c r="B1595">
        <v>176</v>
      </c>
      <c r="C1595" s="9" t="s">
        <v>36</v>
      </c>
      <c r="D1595" s="8">
        <v>2.1000000000000001E-2</v>
      </c>
    </row>
    <row r="1596" spans="1:4">
      <c r="A1596" t="str">
        <f t="shared" si="24"/>
        <v>176Information Ratio</v>
      </c>
      <c r="B1596">
        <v>176</v>
      </c>
      <c r="C1596" s="9" t="s">
        <v>37</v>
      </c>
      <c r="D1596" s="8">
        <v>-0.88300000000000001</v>
      </c>
    </row>
    <row r="1597" spans="1:4">
      <c r="A1597" t="str">
        <f t="shared" si="24"/>
        <v>176Tracking Error</v>
      </c>
      <c r="B1597">
        <v>176</v>
      </c>
      <c r="C1597" s="9" t="s">
        <v>38</v>
      </c>
      <c r="D1597" s="8">
        <v>0.17599999999999999</v>
      </c>
    </row>
    <row r="1598" spans="1:4">
      <c r="A1598" t="str">
        <f t="shared" si="24"/>
        <v>176Treynor Ratio</v>
      </c>
      <c r="B1598">
        <v>176</v>
      </c>
      <c r="C1598" s="9" t="s">
        <v>39</v>
      </c>
      <c r="D1598" s="8">
        <v>0.14699999999999999</v>
      </c>
    </row>
    <row r="1599" spans="1:4">
      <c r="A1599" t="str">
        <f t="shared" si="24"/>
        <v>176Total Fees</v>
      </c>
      <c r="B1599">
        <v>176</v>
      </c>
      <c r="C1599" s="9" t="s">
        <v>40</v>
      </c>
      <c r="D1599" s="8">
        <v>0</v>
      </c>
    </row>
    <row r="1600" spans="1:4">
      <c r="A1600" t="str">
        <f t="shared" si="24"/>
        <v>176Estimated Strategy Capacity</v>
      </c>
      <c r="B1600">
        <v>176</v>
      </c>
      <c r="C1600" s="9" t="s">
        <v>41</v>
      </c>
      <c r="D1600" s="8">
        <v>5100000</v>
      </c>
    </row>
    <row r="1601" spans="1:4">
      <c r="A1601" t="str">
        <f t="shared" si="24"/>
        <v>175PSR</v>
      </c>
      <c r="B1601">
        <v>175</v>
      </c>
      <c r="C1601" s="9" t="s">
        <v>27</v>
      </c>
      <c r="D1601" s="8">
        <v>3.7479999999999999E-2</v>
      </c>
    </row>
    <row r="1602" spans="1:4">
      <c r="A1602" t="str">
        <f t="shared" si="24"/>
        <v>175Sharpe Ratio</v>
      </c>
      <c r="B1602">
        <v>175</v>
      </c>
      <c r="C1602" s="9" t="s">
        <v>1</v>
      </c>
      <c r="D1602" s="8">
        <v>-0.746</v>
      </c>
    </row>
    <row r="1603" spans="1:4">
      <c r="A1603" t="str">
        <f t="shared" ref="A1603:A1666" si="25">B1603&amp;C1603</f>
        <v>175Total Trades</v>
      </c>
      <c r="B1603">
        <v>175</v>
      </c>
      <c r="C1603" s="9" t="s">
        <v>28</v>
      </c>
      <c r="D1603" s="8">
        <v>690</v>
      </c>
    </row>
    <row r="1604" spans="1:4">
      <c r="A1604" t="str">
        <f t="shared" si="25"/>
        <v>175Average Win</v>
      </c>
      <c r="B1604">
        <v>175</v>
      </c>
      <c r="C1604" s="9" t="s">
        <v>25</v>
      </c>
      <c r="D1604" s="8">
        <v>2E-3</v>
      </c>
    </row>
    <row r="1605" spans="1:4">
      <c r="A1605" t="str">
        <f t="shared" si="25"/>
        <v>175Average Loss</v>
      </c>
      <c r="B1605">
        <v>175</v>
      </c>
      <c r="C1605" s="9" t="s">
        <v>29</v>
      </c>
      <c r="D1605" s="8">
        <v>-1.8E-3</v>
      </c>
    </row>
    <row r="1606" spans="1:4">
      <c r="A1606" t="str">
        <f t="shared" si="25"/>
        <v>175Compounding Annual Return</v>
      </c>
      <c r="B1606">
        <v>175</v>
      </c>
      <c r="C1606" s="9" t="s">
        <v>30</v>
      </c>
      <c r="D1606" s="8">
        <v>-1.4670000000000001E-2</v>
      </c>
    </row>
    <row r="1607" spans="1:4">
      <c r="A1607" t="str">
        <f t="shared" si="25"/>
        <v>175Drawdown</v>
      </c>
      <c r="B1607">
        <v>175</v>
      </c>
      <c r="C1607" s="9" t="s">
        <v>8</v>
      </c>
      <c r="D1607" s="8">
        <v>1.7000000000000001E-2</v>
      </c>
    </row>
    <row r="1608" spans="1:4">
      <c r="A1608" t="str">
        <f t="shared" si="25"/>
        <v>175Expectancy</v>
      </c>
      <c r="B1608">
        <v>175</v>
      </c>
      <c r="C1608" s="9" t="s">
        <v>31</v>
      </c>
      <c r="D1608" s="8">
        <v>-0.25800000000000001</v>
      </c>
    </row>
    <row r="1609" spans="1:4">
      <c r="A1609" t="str">
        <f t="shared" si="25"/>
        <v>175Net Profit</v>
      </c>
      <c r="B1609">
        <v>175</v>
      </c>
      <c r="C1609" s="9" t="s">
        <v>32</v>
      </c>
      <c r="D1609" s="8">
        <v>-9.5099999999999994E-3</v>
      </c>
    </row>
    <row r="1610" spans="1:4">
      <c r="A1610" t="str">
        <f t="shared" si="25"/>
        <v>175Loss Rate</v>
      </c>
      <c r="B1610">
        <v>175</v>
      </c>
      <c r="C1610" s="9" t="s">
        <v>33</v>
      </c>
      <c r="D1610" s="8">
        <v>0.65</v>
      </c>
    </row>
    <row r="1611" spans="1:4">
      <c r="A1611" t="str">
        <f t="shared" si="25"/>
        <v>175Win Rate</v>
      </c>
      <c r="B1611">
        <v>175</v>
      </c>
      <c r="C1611" s="9" t="s">
        <v>34</v>
      </c>
      <c r="D1611" s="8">
        <v>0.35</v>
      </c>
    </row>
    <row r="1612" spans="1:4">
      <c r="A1612" t="str">
        <f t="shared" si="25"/>
        <v>175Profit-Loss Ratio</v>
      </c>
      <c r="B1612">
        <v>175</v>
      </c>
      <c r="C1612" s="9" t="s">
        <v>26</v>
      </c>
      <c r="D1612" s="8">
        <v>1.1299999999999999</v>
      </c>
    </row>
    <row r="1613" spans="1:4">
      <c r="A1613" t="str">
        <f t="shared" si="25"/>
        <v>175Alpha</v>
      </c>
      <c r="B1613">
        <v>175</v>
      </c>
      <c r="C1613" s="9" t="s">
        <v>23</v>
      </c>
      <c r="D1613" s="8">
        <v>-6.0000000000000001E-3</v>
      </c>
    </row>
    <row r="1614" spans="1:4">
      <c r="A1614" t="str">
        <f t="shared" si="25"/>
        <v>175Beta</v>
      </c>
      <c r="B1614">
        <v>175</v>
      </c>
      <c r="C1614" s="9" t="s">
        <v>24</v>
      </c>
      <c r="D1614" s="8">
        <v>-5.8000000000000003E-2</v>
      </c>
    </row>
    <row r="1615" spans="1:4">
      <c r="A1615" t="str">
        <f t="shared" si="25"/>
        <v>175Annual Standard Deviation</v>
      </c>
      <c r="B1615">
        <v>175</v>
      </c>
      <c r="C1615" s="9" t="s">
        <v>35</v>
      </c>
      <c r="D1615" s="8">
        <v>1.4E-2</v>
      </c>
    </row>
    <row r="1616" spans="1:4">
      <c r="A1616" t="str">
        <f t="shared" si="25"/>
        <v>175Annual Variance</v>
      </c>
      <c r="B1616">
        <v>175</v>
      </c>
      <c r="C1616" s="9" t="s">
        <v>36</v>
      </c>
      <c r="D1616" s="8">
        <v>0</v>
      </c>
    </row>
    <row r="1617" spans="1:4">
      <c r="A1617" t="str">
        <f t="shared" si="25"/>
        <v>175Information Ratio</v>
      </c>
      <c r="B1617">
        <v>175</v>
      </c>
      <c r="C1617" s="9" t="s">
        <v>37</v>
      </c>
      <c r="D1617" s="8">
        <v>-1.028</v>
      </c>
    </row>
    <row r="1618" spans="1:4">
      <c r="A1618" t="str">
        <f t="shared" si="25"/>
        <v>175Tracking Error</v>
      </c>
      <c r="B1618">
        <v>175</v>
      </c>
      <c r="C1618" s="9" t="s">
        <v>38</v>
      </c>
      <c r="D1618" s="8">
        <v>7.1999999999999995E-2</v>
      </c>
    </row>
    <row r="1619" spans="1:4">
      <c r="A1619" t="str">
        <f t="shared" si="25"/>
        <v>175Treynor Ratio</v>
      </c>
      <c r="B1619">
        <v>175</v>
      </c>
      <c r="C1619" s="9" t="s">
        <v>39</v>
      </c>
      <c r="D1619" s="8">
        <v>0.17399999999999999</v>
      </c>
    </row>
    <row r="1620" spans="1:4">
      <c r="A1620" t="str">
        <f t="shared" si="25"/>
        <v>175Total Fees</v>
      </c>
      <c r="B1620">
        <v>175</v>
      </c>
      <c r="C1620" s="9" t="s">
        <v>40</v>
      </c>
      <c r="D1620" s="8">
        <v>0</v>
      </c>
    </row>
    <row r="1621" spans="1:4">
      <c r="A1621" t="str">
        <f t="shared" si="25"/>
        <v>175Estimated Strategy Capacity</v>
      </c>
      <c r="B1621">
        <v>175</v>
      </c>
      <c r="C1621" s="9" t="s">
        <v>41</v>
      </c>
      <c r="D1621" s="8">
        <v>19000000</v>
      </c>
    </row>
    <row r="1622" spans="1:4">
      <c r="A1622" t="str">
        <f t="shared" si="25"/>
        <v>174PSR</v>
      </c>
      <c r="B1622">
        <v>174</v>
      </c>
      <c r="C1622" s="9" t="s">
        <v>27</v>
      </c>
      <c r="D1622" s="8">
        <v>0.12884999999999999</v>
      </c>
    </row>
    <row r="1623" spans="1:4">
      <c r="A1623" t="str">
        <f t="shared" si="25"/>
        <v>174Sharpe Ratio</v>
      </c>
      <c r="B1623">
        <v>174</v>
      </c>
      <c r="C1623" s="9" t="s">
        <v>1</v>
      </c>
      <c r="D1623" s="8">
        <v>-0.17100000000000001</v>
      </c>
    </row>
    <row r="1624" spans="1:4">
      <c r="A1624" t="str">
        <f t="shared" si="25"/>
        <v>174Total Trades</v>
      </c>
      <c r="B1624">
        <v>174</v>
      </c>
      <c r="C1624" s="9" t="s">
        <v>28</v>
      </c>
      <c r="D1624" s="8">
        <v>1277</v>
      </c>
    </row>
    <row r="1625" spans="1:4">
      <c r="A1625" t="str">
        <f t="shared" si="25"/>
        <v>174Average Win</v>
      </c>
      <c r="B1625">
        <v>174</v>
      </c>
      <c r="C1625" s="9" t="s">
        <v>25</v>
      </c>
      <c r="D1625" s="8">
        <v>5.33E-2</v>
      </c>
    </row>
    <row r="1626" spans="1:4">
      <c r="A1626" t="str">
        <f t="shared" si="25"/>
        <v>174Average Loss</v>
      </c>
      <c r="B1626">
        <v>174</v>
      </c>
      <c r="C1626" s="9" t="s">
        <v>29</v>
      </c>
      <c r="D1626" s="8">
        <v>-5.2200000000000003E-2</v>
      </c>
    </row>
    <row r="1627" spans="1:4">
      <c r="A1627" t="str">
        <f t="shared" si="25"/>
        <v>174Compounding Annual Return</v>
      </c>
      <c r="B1627">
        <v>174</v>
      </c>
      <c r="C1627" s="9" t="s">
        <v>30</v>
      </c>
      <c r="D1627" s="8">
        <v>-0.29631000000000002</v>
      </c>
    </row>
    <row r="1628" spans="1:4">
      <c r="A1628" t="str">
        <f t="shared" si="25"/>
        <v>174Drawdown</v>
      </c>
      <c r="B1628">
        <v>174</v>
      </c>
      <c r="C1628" s="9" t="s">
        <v>8</v>
      </c>
      <c r="D1628" s="8">
        <v>0.497</v>
      </c>
    </row>
    <row r="1629" spans="1:4">
      <c r="A1629" t="str">
        <f t="shared" si="25"/>
        <v>174Expectancy</v>
      </c>
      <c r="B1629">
        <v>174</v>
      </c>
      <c r="C1629" s="9" t="s">
        <v>31</v>
      </c>
      <c r="D1629" s="8">
        <v>-8.5999999999999993E-2</v>
      </c>
    </row>
    <row r="1630" spans="1:4">
      <c r="A1630" t="str">
        <f t="shared" si="25"/>
        <v>174Net Profit</v>
      </c>
      <c r="B1630">
        <v>174</v>
      </c>
      <c r="C1630" s="9" t="s">
        <v>32</v>
      </c>
      <c r="D1630" s="8">
        <v>-0.20322000000000001</v>
      </c>
    </row>
    <row r="1631" spans="1:4">
      <c r="A1631" t="str">
        <f t="shared" si="25"/>
        <v>174Loss Rate</v>
      </c>
      <c r="B1631">
        <v>174</v>
      </c>
      <c r="C1631" s="9" t="s">
        <v>33</v>
      </c>
      <c r="D1631" s="8">
        <v>0.55000000000000004</v>
      </c>
    </row>
    <row r="1632" spans="1:4">
      <c r="A1632" t="str">
        <f t="shared" si="25"/>
        <v>174Win Rate</v>
      </c>
      <c r="B1632">
        <v>174</v>
      </c>
      <c r="C1632" s="9" t="s">
        <v>34</v>
      </c>
      <c r="D1632" s="8">
        <v>0.45</v>
      </c>
    </row>
    <row r="1633" spans="1:4">
      <c r="A1633" t="str">
        <f t="shared" si="25"/>
        <v>174Profit-Loss Ratio</v>
      </c>
      <c r="B1633">
        <v>174</v>
      </c>
      <c r="C1633" s="9" t="s">
        <v>26</v>
      </c>
      <c r="D1633" s="8">
        <v>1.02</v>
      </c>
    </row>
    <row r="1634" spans="1:4">
      <c r="A1634" t="str">
        <f t="shared" si="25"/>
        <v>174Alpha</v>
      </c>
      <c r="B1634">
        <v>174</v>
      </c>
      <c r="C1634" s="9" t="s">
        <v>23</v>
      </c>
      <c r="D1634" s="8">
        <v>6.2E-2</v>
      </c>
    </row>
    <row r="1635" spans="1:4">
      <c r="A1635" t="str">
        <f t="shared" si="25"/>
        <v>174Beta</v>
      </c>
      <c r="B1635">
        <v>174</v>
      </c>
      <c r="C1635" s="9" t="s">
        <v>24</v>
      </c>
      <c r="D1635" s="8">
        <v>-2.4380000000000002</v>
      </c>
    </row>
    <row r="1636" spans="1:4">
      <c r="A1636" t="str">
        <f t="shared" si="25"/>
        <v>174Annual Standard Deviation</v>
      </c>
      <c r="B1636">
        <v>174</v>
      </c>
      <c r="C1636" s="9" t="s">
        <v>35</v>
      </c>
      <c r="D1636" s="8">
        <v>0.54400000000000004</v>
      </c>
    </row>
    <row r="1637" spans="1:4">
      <c r="A1637" t="str">
        <f t="shared" si="25"/>
        <v>174Annual Variance</v>
      </c>
      <c r="B1637">
        <v>174</v>
      </c>
      <c r="C1637" s="9" t="s">
        <v>36</v>
      </c>
      <c r="D1637" s="8">
        <v>0.29599999999999999</v>
      </c>
    </row>
    <row r="1638" spans="1:4">
      <c r="A1638" t="str">
        <f t="shared" si="25"/>
        <v>174Information Ratio</v>
      </c>
      <c r="B1638">
        <v>174</v>
      </c>
      <c r="C1638" s="9" t="s">
        <v>37</v>
      </c>
      <c r="D1638" s="8">
        <v>-0.27600000000000002</v>
      </c>
    </row>
    <row r="1639" spans="1:4">
      <c r="A1639" t="str">
        <f t="shared" si="25"/>
        <v>174Tracking Error</v>
      </c>
      <c r="B1639">
        <v>174</v>
      </c>
      <c r="C1639" s="9" t="s">
        <v>38</v>
      </c>
      <c r="D1639" s="8">
        <v>0.56699999999999995</v>
      </c>
    </row>
    <row r="1640" spans="1:4">
      <c r="A1640" t="str">
        <f t="shared" si="25"/>
        <v>174Treynor Ratio</v>
      </c>
      <c r="B1640">
        <v>174</v>
      </c>
      <c r="C1640" s="9" t="s">
        <v>39</v>
      </c>
      <c r="D1640" s="8">
        <v>3.7999999999999999E-2</v>
      </c>
    </row>
    <row r="1641" spans="1:4">
      <c r="A1641" t="str">
        <f t="shared" si="25"/>
        <v>174Total Fees</v>
      </c>
      <c r="B1641">
        <v>174</v>
      </c>
      <c r="C1641" s="9" t="s">
        <v>40</v>
      </c>
      <c r="D1641" s="8">
        <v>0</v>
      </c>
    </row>
    <row r="1642" spans="1:4">
      <c r="A1642" t="str">
        <f t="shared" si="25"/>
        <v>174Estimated Strategy Capacity</v>
      </c>
      <c r="B1642">
        <v>174</v>
      </c>
      <c r="C1642" s="9" t="s">
        <v>41</v>
      </c>
      <c r="D1642" s="8">
        <v>1700000</v>
      </c>
    </row>
    <row r="1643" spans="1:4">
      <c r="A1643" t="str">
        <f t="shared" si="25"/>
        <v>173PSR</v>
      </c>
      <c r="B1643">
        <v>173</v>
      </c>
      <c r="C1643" s="9" t="s">
        <v>27</v>
      </c>
      <c r="D1643" s="8">
        <v>0.10909000000000001</v>
      </c>
    </row>
    <row r="1644" spans="1:4">
      <c r="A1644" t="str">
        <f t="shared" si="25"/>
        <v>173Sharpe Ratio</v>
      </c>
      <c r="B1644">
        <v>173</v>
      </c>
      <c r="C1644" s="9" t="s">
        <v>1</v>
      </c>
      <c r="D1644" s="8">
        <v>-0.28199999999999997</v>
      </c>
    </row>
    <row r="1645" spans="1:4">
      <c r="A1645" t="str">
        <f t="shared" si="25"/>
        <v>173Total Trades</v>
      </c>
      <c r="B1645">
        <v>173</v>
      </c>
      <c r="C1645" s="9" t="s">
        <v>28</v>
      </c>
      <c r="D1645" s="8">
        <v>1285</v>
      </c>
    </row>
    <row r="1646" spans="1:4">
      <c r="A1646" t="str">
        <f t="shared" si="25"/>
        <v>173Average Win</v>
      </c>
      <c r="B1646">
        <v>173</v>
      </c>
      <c r="C1646" s="9" t="s">
        <v>25</v>
      </c>
      <c r="D1646" s="8">
        <v>8.5000000000000006E-3</v>
      </c>
    </row>
    <row r="1647" spans="1:4">
      <c r="A1647" t="str">
        <f t="shared" si="25"/>
        <v>173Average Loss</v>
      </c>
      <c r="B1647">
        <v>173</v>
      </c>
      <c r="C1647" s="9" t="s">
        <v>29</v>
      </c>
      <c r="D1647" s="8">
        <v>-9.2999999999999992E-3</v>
      </c>
    </row>
    <row r="1648" spans="1:4">
      <c r="A1648" t="str">
        <f t="shared" si="25"/>
        <v>173Compounding Annual Return</v>
      </c>
      <c r="B1648">
        <v>173</v>
      </c>
      <c r="C1648" s="9" t="s">
        <v>30</v>
      </c>
      <c r="D1648" s="8">
        <v>-4.3029999999999999E-2</v>
      </c>
    </row>
    <row r="1649" spans="1:4">
      <c r="A1649" t="str">
        <f t="shared" si="25"/>
        <v>173Drawdown</v>
      </c>
      <c r="B1649">
        <v>173</v>
      </c>
      <c r="C1649" s="9" t="s">
        <v>8</v>
      </c>
      <c r="D1649" s="8">
        <v>0.10299999999999999</v>
      </c>
    </row>
    <row r="1650" spans="1:4">
      <c r="A1650" t="str">
        <f t="shared" si="25"/>
        <v>173Expectancy</v>
      </c>
      <c r="B1650">
        <v>173</v>
      </c>
      <c r="C1650" s="9" t="s">
        <v>31</v>
      </c>
      <c r="D1650" s="8">
        <v>-8.8999999999999996E-2</v>
      </c>
    </row>
    <row r="1651" spans="1:4">
      <c r="A1651" t="str">
        <f t="shared" si="25"/>
        <v>173Net Profit</v>
      </c>
      <c r="B1651">
        <v>173</v>
      </c>
      <c r="C1651" s="9" t="s">
        <v>32</v>
      </c>
      <c r="D1651" s="8">
        <v>-2.8029999999999999E-2</v>
      </c>
    </row>
    <row r="1652" spans="1:4">
      <c r="A1652" t="str">
        <f t="shared" si="25"/>
        <v>173Loss Rate</v>
      </c>
      <c r="B1652">
        <v>173</v>
      </c>
      <c r="C1652" s="9" t="s">
        <v>33</v>
      </c>
      <c r="D1652" s="8">
        <v>0.52</v>
      </c>
    </row>
    <row r="1653" spans="1:4">
      <c r="A1653" t="str">
        <f t="shared" si="25"/>
        <v>173Win Rate</v>
      </c>
      <c r="B1653">
        <v>173</v>
      </c>
      <c r="C1653" s="9" t="s">
        <v>34</v>
      </c>
      <c r="D1653" s="8">
        <v>0.48</v>
      </c>
    </row>
    <row r="1654" spans="1:4">
      <c r="A1654" t="str">
        <f t="shared" si="25"/>
        <v>173Profit-Loss Ratio</v>
      </c>
      <c r="B1654">
        <v>173</v>
      </c>
      <c r="C1654" s="9" t="s">
        <v>26</v>
      </c>
      <c r="D1654" s="8">
        <v>0.91</v>
      </c>
    </row>
    <row r="1655" spans="1:4">
      <c r="A1655" t="str">
        <f t="shared" si="25"/>
        <v>173Alpha</v>
      </c>
      <c r="B1655">
        <v>173</v>
      </c>
      <c r="C1655" s="9" t="s">
        <v>23</v>
      </c>
      <c r="D1655" s="8">
        <v>0</v>
      </c>
    </row>
    <row r="1656" spans="1:4">
      <c r="A1656" t="str">
        <f t="shared" si="25"/>
        <v>173Beta</v>
      </c>
      <c r="B1656">
        <v>173</v>
      </c>
      <c r="C1656" s="9" t="s">
        <v>24</v>
      </c>
      <c r="D1656" s="8">
        <v>-0.41</v>
      </c>
    </row>
    <row r="1657" spans="1:4">
      <c r="A1657" t="str">
        <f t="shared" si="25"/>
        <v>173Annual Standard Deviation</v>
      </c>
      <c r="B1657">
        <v>173</v>
      </c>
      <c r="C1657" s="9" t="s">
        <v>35</v>
      </c>
      <c r="D1657" s="8">
        <v>9.1999999999999998E-2</v>
      </c>
    </row>
    <row r="1658" spans="1:4">
      <c r="A1658" t="str">
        <f t="shared" si="25"/>
        <v>173Annual Variance</v>
      </c>
      <c r="B1658">
        <v>173</v>
      </c>
      <c r="C1658" s="9" t="s">
        <v>36</v>
      </c>
      <c r="D1658" s="8">
        <v>8.0000000000000002E-3</v>
      </c>
    </row>
    <row r="1659" spans="1:4">
      <c r="A1659" t="str">
        <f t="shared" si="25"/>
        <v>173Information Ratio</v>
      </c>
      <c r="B1659">
        <v>173</v>
      </c>
      <c r="C1659" s="9" t="s">
        <v>37</v>
      </c>
      <c r="D1659" s="8">
        <v>-0.69599999999999995</v>
      </c>
    </row>
    <row r="1660" spans="1:4">
      <c r="A1660" t="str">
        <f t="shared" si="25"/>
        <v>173Tracking Error</v>
      </c>
      <c r="B1660">
        <v>173</v>
      </c>
      <c r="C1660" s="9" t="s">
        <v>38</v>
      </c>
      <c r="D1660" s="8">
        <v>0.129</v>
      </c>
    </row>
    <row r="1661" spans="1:4">
      <c r="A1661" t="str">
        <f t="shared" si="25"/>
        <v>173Treynor Ratio</v>
      </c>
      <c r="B1661">
        <v>173</v>
      </c>
      <c r="C1661" s="9" t="s">
        <v>39</v>
      </c>
      <c r="D1661" s="8">
        <v>6.3E-2</v>
      </c>
    </row>
    <row r="1662" spans="1:4">
      <c r="A1662" t="str">
        <f t="shared" si="25"/>
        <v>173Total Fees</v>
      </c>
      <c r="B1662">
        <v>173</v>
      </c>
      <c r="C1662" s="9" t="s">
        <v>40</v>
      </c>
      <c r="D1662" s="8">
        <v>0</v>
      </c>
    </row>
    <row r="1663" spans="1:4">
      <c r="A1663" t="str">
        <f t="shared" si="25"/>
        <v>173Estimated Strategy Capacity</v>
      </c>
      <c r="B1663">
        <v>173</v>
      </c>
      <c r="C1663" s="9" t="s">
        <v>41</v>
      </c>
      <c r="D1663" s="8">
        <v>7900000</v>
      </c>
    </row>
    <row r="1664" spans="1:4">
      <c r="A1664" t="str">
        <f t="shared" si="25"/>
        <v>172PSR</v>
      </c>
      <c r="B1664">
        <v>172</v>
      </c>
      <c r="C1664" s="9" t="s">
        <v>27</v>
      </c>
      <c r="D1664" s="8">
        <v>0.10909000000000001</v>
      </c>
    </row>
    <row r="1665" spans="1:4">
      <c r="A1665" t="str">
        <f t="shared" si="25"/>
        <v>172Sharpe Ratio</v>
      </c>
      <c r="B1665">
        <v>172</v>
      </c>
      <c r="C1665" s="9" t="s">
        <v>1</v>
      </c>
      <c r="D1665" s="8">
        <v>-0.28199999999999997</v>
      </c>
    </row>
    <row r="1666" spans="1:4">
      <c r="A1666" t="str">
        <f t="shared" si="25"/>
        <v>172Total Trades</v>
      </c>
      <c r="B1666">
        <v>172</v>
      </c>
      <c r="C1666" s="9" t="s">
        <v>28</v>
      </c>
      <c r="D1666" s="8">
        <v>1285</v>
      </c>
    </row>
    <row r="1667" spans="1:4">
      <c r="A1667" t="str">
        <f t="shared" ref="A1667:A1730" si="26">B1667&amp;C1667</f>
        <v>172Average Win</v>
      </c>
      <c r="B1667">
        <v>172</v>
      </c>
      <c r="C1667" s="9" t="s">
        <v>25</v>
      </c>
      <c r="D1667" s="8">
        <v>8.5000000000000006E-3</v>
      </c>
    </row>
    <row r="1668" spans="1:4">
      <c r="A1668" t="str">
        <f t="shared" si="26"/>
        <v>172Average Loss</v>
      </c>
      <c r="B1668">
        <v>172</v>
      </c>
      <c r="C1668" s="9" t="s">
        <v>29</v>
      </c>
      <c r="D1668" s="8">
        <v>-9.2999999999999992E-3</v>
      </c>
    </row>
    <row r="1669" spans="1:4">
      <c r="A1669" t="str">
        <f t="shared" si="26"/>
        <v>172Compounding Annual Return</v>
      </c>
      <c r="B1669">
        <v>172</v>
      </c>
      <c r="C1669" s="9" t="s">
        <v>30</v>
      </c>
      <c r="D1669" s="8">
        <v>-4.3029999999999999E-2</v>
      </c>
    </row>
    <row r="1670" spans="1:4">
      <c r="A1670" t="str">
        <f t="shared" si="26"/>
        <v>172Drawdown</v>
      </c>
      <c r="B1670">
        <v>172</v>
      </c>
      <c r="C1670" s="9" t="s">
        <v>8</v>
      </c>
      <c r="D1670" s="8">
        <v>0.10299999999999999</v>
      </c>
    </row>
    <row r="1671" spans="1:4">
      <c r="A1671" t="str">
        <f t="shared" si="26"/>
        <v>172Expectancy</v>
      </c>
      <c r="B1671">
        <v>172</v>
      </c>
      <c r="C1671" s="9" t="s">
        <v>31</v>
      </c>
      <c r="D1671" s="8">
        <v>-8.8999999999999996E-2</v>
      </c>
    </row>
    <row r="1672" spans="1:4">
      <c r="A1672" t="str">
        <f t="shared" si="26"/>
        <v>172Net Profit</v>
      </c>
      <c r="B1672">
        <v>172</v>
      </c>
      <c r="C1672" s="9" t="s">
        <v>32</v>
      </c>
      <c r="D1672" s="8">
        <v>-2.8029999999999999E-2</v>
      </c>
    </row>
    <row r="1673" spans="1:4">
      <c r="A1673" t="str">
        <f t="shared" si="26"/>
        <v>172Loss Rate</v>
      </c>
      <c r="B1673">
        <v>172</v>
      </c>
      <c r="C1673" s="9" t="s">
        <v>33</v>
      </c>
      <c r="D1673" s="8">
        <v>0.52</v>
      </c>
    </row>
    <row r="1674" spans="1:4">
      <c r="A1674" t="str">
        <f t="shared" si="26"/>
        <v>172Win Rate</v>
      </c>
      <c r="B1674">
        <v>172</v>
      </c>
      <c r="C1674" s="9" t="s">
        <v>34</v>
      </c>
      <c r="D1674" s="8">
        <v>0.48</v>
      </c>
    </row>
    <row r="1675" spans="1:4">
      <c r="A1675" t="str">
        <f t="shared" si="26"/>
        <v>172Profit-Loss Ratio</v>
      </c>
      <c r="B1675">
        <v>172</v>
      </c>
      <c r="C1675" s="9" t="s">
        <v>26</v>
      </c>
      <c r="D1675" s="8">
        <v>0.91</v>
      </c>
    </row>
    <row r="1676" spans="1:4">
      <c r="A1676" t="str">
        <f t="shared" si="26"/>
        <v>172Alpha</v>
      </c>
      <c r="B1676">
        <v>172</v>
      </c>
      <c r="C1676" s="9" t="s">
        <v>23</v>
      </c>
      <c r="D1676" s="8">
        <v>0</v>
      </c>
    </row>
    <row r="1677" spans="1:4">
      <c r="A1677" t="str">
        <f t="shared" si="26"/>
        <v>172Beta</v>
      </c>
      <c r="B1677">
        <v>172</v>
      </c>
      <c r="C1677" s="9" t="s">
        <v>24</v>
      </c>
      <c r="D1677" s="8">
        <v>-0.41</v>
      </c>
    </row>
    <row r="1678" spans="1:4">
      <c r="A1678" t="str">
        <f t="shared" si="26"/>
        <v>172Annual Standard Deviation</v>
      </c>
      <c r="B1678">
        <v>172</v>
      </c>
      <c r="C1678" s="9" t="s">
        <v>35</v>
      </c>
      <c r="D1678" s="8">
        <v>9.1999999999999998E-2</v>
      </c>
    </row>
    <row r="1679" spans="1:4">
      <c r="A1679" t="str">
        <f t="shared" si="26"/>
        <v>172Annual Variance</v>
      </c>
      <c r="B1679">
        <v>172</v>
      </c>
      <c r="C1679" s="9" t="s">
        <v>36</v>
      </c>
      <c r="D1679" s="8">
        <v>8.0000000000000002E-3</v>
      </c>
    </row>
    <row r="1680" spans="1:4">
      <c r="A1680" t="str">
        <f t="shared" si="26"/>
        <v>172Information Ratio</v>
      </c>
      <c r="B1680">
        <v>172</v>
      </c>
      <c r="C1680" s="9" t="s">
        <v>37</v>
      </c>
      <c r="D1680" s="8">
        <v>-0.69599999999999995</v>
      </c>
    </row>
    <row r="1681" spans="1:4">
      <c r="A1681" t="str">
        <f t="shared" si="26"/>
        <v>172Tracking Error</v>
      </c>
      <c r="B1681">
        <v>172</v>
      </c>
      <c r="C1681" s="9" t="s">
        <v>38</v>
      </c>
      <c r="D1681" s="8">
        <v>0.129</v>
      </c>
    </row>
    <row r="1682" spans="1:4">
      <c r="A1682" t="str">
        <f t="shared" si="26"/>
        <v>172Treynor Ratio</v>
      </c>
      <c r="B1682">
        <v>172</v>
      </c>
      <c r="C1682" s="9" t="s">
        <v>39</v>
      </c>
      <c r="D1682" s="8">
        <v>6.3E-2</v>
      </c>
    </row>
    <row r="1683" spans="1:4">
      <c r="A1683" t="str">
        <f t="shared" si="26"/>
        <v>172Total Fees</v>
      </c>
      <c r="B1683">
        <v>172</v>
      </c>
      <c r="C1683" s="9" t="s">
        <v>40</v>
      </c>
      <c r="D1683" s="8">
        <v>0</v>
      </c>
    </row>
    <row r="1684" spans="1:4">
      <c r="A1684" t="str">
        <f t="shared" si="26"/>
        <v>172Estimated Strategy Capacity</v>
      </c>
      <c r="B1684">
        <v>172</v>
      </c>
      <c r="C1684" s="9" t="s">
        <v>41</v>
      </c>
      <c r="D1684" s="8">
        <v>7900000</v>
      </c>
    </row>
    <row r="1685" spans="1:4">
      <c r="A1685" t="str">
        <f t="shared" si="26"/>
        <v>162PSR</v>
      </c>
      <c r="B1685">
        <v>162</v>
      </c>
      <c r="C1685" s="9" t="s">
        <v>27</v>
      </c>
      <c r="D1685" s="8">
        <v>0.15939999999999999</v>
      </c>
    </row>
    <row r="1686" spans="1:4">
      <c r="A1686" t="str">
        <f t="shared" si="26"/>
        <v>162Sharpe Ratio</v>
      </c>
      <c r="B1686">
        <v>162</v>
      </c>
      <c r="C1686" s="9" t="s">
        <v>1</v>
      </c>
      <c r="D1686" s="8">
        <v>-3.3000000000000002E-2</v>
      </c>
    </row>
    <row r="1687" spans="1:4">
      <c r="A1687" t="str">
        <f t="shared" si="26"/>
        <v>162Total Trades</v>
      </c>
      <c r="B1687">
        <v>162</v>
      </c>
      <c r="C1687" s="9" t="s">
        <v>28</v>
      </c>
      <c r="D1687" s="8">
        <v>127</v>
      </c>
    </row>
    <row r="1688" spans="1:4">
      <c r="A1688" t="str">
        <f t="shared" si="26"/>
        <v>162Average Win</v>
      </c>
      <c r="B1688">
        <v>162</v>
      </c>
      <c r="C1688" s="9" t="s">
        <v>25</v>
      </c>
      <c r="D1688" s="8">
        <v>3.6499999999999998E-2</v>
      </c>
    </row>
    <row r="1689" spans="1:4">
      <c r="A1689" t="str">
        <f t="shared" si="26"/>
        <v>162Average Loss</v>
      </c>
      <c r="B1689">
        <v>162</v>
      </c>
      <c r="C1689" s="9" t="s">
        <v>29</v>
      </c>
      <c r="D1689" s="8">
        <v>-0.19650000000000001</v>
      </c>
    </row>
    <row r="1690" spans="1:4">
      <c r="A1690" t="str">
        <f t="shared" si="26"/>
        <v>162Compounding Annual Return</v>
      </c>
      <c r="B1690">
        <v>162</v>
      </c>
      <c r="C1690" s="9" t="s">
        <v>30</v>
      </c>
      <c r="D1690" s="8">
        <v>-0.17645</v>
      </c>
    </row>
    <row r="1691" spans="1:4">
      <c r="A1691" t="str">
        <f t="shared" si="26"/>
        <v>162Drawdown</v>
      </c>
      <c r="B1691">
        <v>162</v>
      </c>
      <c r="C1691" s="9" t="s">
        <v>8</v>
      </c>
      <c r="D1691" s="8">
        <v>0.33800000000000002</v>
      </c>
    </row>
    <row r="1692" spans="1:4">
      <c r="A1692" t="str">
        <f t="shared" si="26"/>
        <v>162Expectancy</v>
      </c>
      <c r="B1692">
        <v>162</v>
      </c>
      <c r="C1692" s="9" t="s">
        <v>31</v>
      </c>
      <c r="D1692" s="8">
        <v>-0.111</v>
      </c>
    </row>
    <row r="1693" spans="1:4">
      <c r="A1693" t="str">
        <f t="shared" si="26"/>
        <v>162Net Profit</v>
      </c>
      <c r="B1693">
        <v>162</v>
      </c>
      <c r="C1693" s="9" t="s">
        <v>32</v>
      </c>
      <c r="D1693" s="8">
        <v>-0.11794</v>
      </c>
    </row>
    <row r="1694" spans="1:4">
      <c r="A1694" t="str">
        <f t="shared" si="26"/>
        <v>162Loss Rate</v>
      </c>
      <c r="B1694">
        <v>162</v>
      </c>
      <c r="C1694" s="9" t="s">
        <v>33</v>
      </c>
      <c r="D1694" s="8">
        <v>0.25</v>
      </c>
    </row>
    <row r="1695" spans="1:4">
      <c r="A1695" t="str">
        <f t="shared" si="26"/>
        <v>162Win Rate</v>
      </c>
      <c r="B1695">
        <v>162</v>
      </c>
      <c r="C1695" s="9" t="s">
        <v>34</v>
      </c>
      <c r="D1695" s="8">
        <v>0.75</v>
      </c>
    </row>
    <row r="1696" spans="1:4">
      <c r="A1696" t="str">
        <f t="shared" si="26"/>
        <v>162Profit-Loss Ratio</v>
      </c>
      <c r="B1696">
        <v>162</v>
      </c>
      <c r="C1696" s="9" t="s">
        <v>26</v>
      </c>
      <c r="D1696" s="8">
        <v>0.19</v>
      </c>
    </row>
    <row r="1697" spans="1:4">
      <c r="A1697" t="str">
        <f t="shared" si="26"/>
        <v>162Alpha</v>
      </c>
      <c r="B1697">
        <v>162</v>
      </c>
      <c r="C1697" s="9" t="s">
        <v>23</v>
      </c>
      <c r="D1697" s="8">
        <v>0.15</v>
      </c>
    </row>
    <row r="1698" spans="1:4">
      <c r="A1698" t="str">
        <f t="shared" si="26"/>
        <v>162Beta</v>
      </c>
      <c r="B1698">
        <v>162</v>
      </c>
      <c r="C1698" s="9" t="s">
        <v>24</v>
      </c>
      <c r="D1698" s="8">
        <v>-2.5979999999999999</v>
      </c>
    </row>
    <row r="1699" spans="1:4">
      <c r="A1699" t="str">
        <f t="shared" si="26"/>
        <v>162Annual Standard Deviation</v>
      </c>
      <c r="B1699">
        <v>162</v>
      </c>
      <c r="C1699" s="9" t="s">
        <v>35</v>
      </c>
      <c r="D1699" s="8">
        <v>0.48</v>
      </c>
    </row>
    <row r="1700" spans="1:4">
      <c r="A1700" t="str">
        <f t="shared" si="26"/>
        <v>162Annual Variance</v>
      </c>
      <c r="B1700">
        <v>162</v>
      </c>
      <c r="C1700" s="9" t="s">
        <v>36</v>
      </c>
      <c r="D1700" s="8">
        <v>0.23</v>
      </c>
    </row>
    <row r="1701" spans="1:4">
      <c r="A1701" t="str">
        <f t="shared" si="26"/>
        <v>162Information Ratio</v>
      </c>
      <c r="B1701">
        <v>162</v>
      </c>
      <c r="C1701" s="9" t="s">
        <v>37</v>
      </c>
      <c r="D1701" s="8">
        <v>-0.157</v>
      </c>
    </row>
    <row r="1702" spans="1:4">
      <c r="A1702" t="str">
        <f t="shared" si="26"/>
        <v>162Tracking Error</v>
      </c>
      <c r="B1702">
        <v>162</v>
      </c>
      <c r="C1702" s="9" t="s">
        <v>38</v>
      </c>
      <c r="D1702" s="8">
        <v>0.50700000000000001</v>
      </c>
    </row>
    <row r="1703" spans="1:4">
      <c r="A1703" t="str">
        <f t="shared" si="26"/>
        <v>162Treynor Ratio</v>
      </c>
      <c r="B1703">
        <v>162</v>
      </c>
      <c r="C1703" s="9" t="s">
        <v>39</v>
      </c>
      <c r="D1703" s="8">
        <v>6.0000000000000001E-3</v>
      </c>
    </row>
    <row r="1704" spans="1:4">
      <c r="A1704" t="str">
        <f t="shared" si="26"/>
        <v>162Total Fees</v>
      </c>
      <c r="B1704">
        <v>162</v>
      </c>
      <c r="C1704" s="9" t="s">
        <v>40</v>
      </c>
      <c r="D1704" s="8">
        <v>0</v>
      </c>
    </row>
    <row r="1705" spans="1:4">
      <c r="A1705" t="str">
        <f t="shared" si="26"/>
        <v>162Estimated Strategy Capacity</v>
      </c>
      <c r="B1705">
        <v>162</v>
      </c>
      <c r="C1705" s="9" t="s">
        <v>41</v>
      </c>
      <c r="D1705" s="8">
        <v>67000000</v>
      </c>
    </row>
    <row r="1706" spans="1:4">
      <c r="A1706" t="str">
        <f t="shared" si="26"/>
        <v>161PSR</v>
      </c>
      <c r="B1706">
        <v>161</v>
      </c>
      <c r="C1706" s="9" t="s">
        <v>27</v>
      </c>
      <c r="D1706" s="8">
        <v>0.11582000000000001</v>
      </c>
    </row>
    <row r="1707" spans="1:4">
      <c r="A1707" t="str">
        <f t="shared" si="26"/>
        <v>161Sharpe Ratio</v>
      </c>
      <c r="B1707">
        <v>161</v>
      </c>
      <c r="C1707" s="9" t="s">
        <v>1</v>
      </c>
      <c r="D1707" s="8">
        <v>-0.222</v>
      </c>
    </row>
    <row r="1708" spans="1:4">
      <c r="A1708" t="str">
        <f t="shared" si="26"/>
        <v>161Total Trades</v>
      </c>
      <c r="B1708">
        <v>161</v>
      </c>
      <c r="C1708" s="9" t="s">
        <v>28</v>
      </c>
      <c r="D1708" s="8">
        <v>127</v>
      </c>
    </row>
    <row r="1709" spans="1:4">
      <c r="A1709" t="str">
        <f t="shared" si="26"/>
        <v>161Average Win</v>
      </c>
      <c r="B1709">
        <v>161</v>
      </c>
      <c r="C1709" s="9" t="s">
        <v>25</v>
      </c>
      <c r="D1709" s="8">
        <v>6.7000000000000002E-3</v>
      </c>
    </row>
    <row r="1710" spans="1:4">
      <c r="A1710" t="str">
        <f t="shared" si="26"/>
        <v>161Average Loss</v>
      </c>
      <c r="B1710">
        <v>161</v>
      </c>
      <c r="C1710" s="9" t="s">
        <v>29</v>
      </c>
      <c r="D1710" s="8">
        <v>-4.0599999999999997E-2</v>
      </c>
    </row>
    <row r="1711" spans="1:4">
      <c r="A1711" t="str">
        <f t="shared" si="26"/>
        <v>161Compounding Annual Return</v>
      </c>
      <c r="B1711">
        <v>161</v>
      </c>
      <c r="C1711" s="9" t="s">
        <v>30</v>
      </c>
      <c r="D1711" s="8">
        <v>-3.6249999999999998E-2</v>
      </c>
    </row>
    <row r="1712" spans="1:4">
      <c r="A1712" t="str">
        <f t="shared" si="26"/>
        <v>161Drawdown</v>
      </c>
      <c r="B1712">
        <v>161</v>
      </c>
      <c r="C1712" s="9" t="s">
        <v>8</v>
      </c>
      <c r="D1712" s="8">
        <v>7.8E-2</v>
      </c>
    </row>
    <row r="1713" spans="1:4">
      <c r="A1713" t="str">
        <f t="shared" si="26"/>
        <v>161Expectancy</v>
      </c>
      <c r="B1713">
        <v>161</v>
      </c>
      <c r="C1713" s="9" t="s">
        <v>31</v>
      </c>
      <c r="D1713" s="8">
        <v>-0.126</v>
      </c>
    </row>
    <row r="1714" spans="1:4">
      <c r="A1714" t="str">
        <f t="shared" si="26"/>
        <v>161Net Profit</v>
      </c>
      <c r="B1714">
        <v>161</v>
      </c>
      <c r="C1714" s="9" t="s">
        <v>32</v>
      </c>
      <c r="D1714" s="8">
        <v>-2.359E-2</v>
      </c>
    </row>
    <row r="1715" spans="1:4">
      <c r="A1715" t="str">
        <f t="shared" si="26"/>
        <v>161Loss Rate</v>
      </c>
      <c r="B1715">
        <v>161</v>
      </c>
      <c r="C1715" s="9" t="s">
        <v>33</v>
      </c>
      <c r="D1715" s="8">
        <v>0.25</v>
      </c>
    </row>
    <row r="1716" spans="1:4">
      <c r="A1716" t="str">
        <f t="shared" si="26"/>
        <v>161Win Rate</v>
      </c>
      <c r="B1716">
        <v>161</v>
      </c>
      <c r="C1716" s="9" t="s">
        <v>34</v>
      </c>
      <c r="D1716" s="8">
        <v>0.75</v>
      </c>
    </row>
    <row r="1717" spans="1:4">
      <c r="A1717" t="str">
        <f t="shared" si="26"/>
        <v>161Profit-Loss Ratio</v>
      </c>
      <c r="B1717">
        <v>161</v>
      </c>
      <c r="C1717" s="9" t="s">
        <v>26</v>
      </c>
      <c r="D1717" s="8">
        <v>0.17</v>
      </c>
    </row>
    <row r="1718" spans="1:4">
      <c r="A1718" t="str">
        <f t="shared" si="26"/>
        <v>161Alpha</v>
      </c>
      <c r="B1718">
        <v>161</v>
      </c>
      <c r="C1718" s="9" t="s">
        <v>23</v>
      </c>
      <c r="D1718" s="8">
        <v>1.0999999999999999E-2</v>
      </c>
    </row>
    <row r="1719" spans="1:4">
      <c r="A1719" t="str">
        <f t="shared" si="26"/>
        <v>161Beta</v>
      </c>
      <c r="B1719">
        <v>161</v>
      </c>
      <c r="C1719" s="9" t="s">
        <v>24</v>
      </c>
      <c r="D1719" s="8">
        <v>-0.496</v>
      </c>
    </row>
    <row r="1720" spans="1:4">
      <c r="A1720" t="str">
        <f t="shared" si="26"/>
        <v>161Annual Standard Deviation</v>
      </c>
      <c r="B1720">
        <v>161</v>
      </c>
      <c r="C1720" s="9" t="s">
        <v>35</v>
      </c>
      <c r="D1720" s="8">
        <v>9.4E-2</v>
      </c>
    </row>
    <row r="1721" spans="1:4">
      <c r="A1721" t="str">
        <f t="shared" si="26"/>
        <v>161Annual Variance</v>
      </c>
      <c r="B1721">
        <v>161</v>
      </c>
      <c r="C1721" s="9" t="s">
        <v>36</v>
      </c>
      <c r="D1721" s="8">
        <v>8.9999999999999993E-3</v>
      </c>
    </row>
    <row r="1722" spans="1:4">
      <c r="A1722" t="str">
        <f t="shared" si="26"/>
        <v>161Information Ratio</v>
      </c>
      <c r="B1722">
        <v>161</v>
      </c>
      <c r="C1722" s="9" t="s">
        <v>37</v>
      </c>
      <c r="D1722" s="8">
        <v>-0.63500000000000001</v>
      </c>
    </row>
    <row r="1723" spans="1:4">
      <c r="A1723" t="str">
        <f t="shared" si="26"/>
        <v>161Tracking Error</v>
      </c>
      <c r="B1723">
        <v>161</v>
      </c>
      <c r="C1723" s="9" t="s">
        <v>38</v>
      </c>
      <c r="D1723" s="8">
        <v>0.13300000000000001</v>
      </c>
    </row>
    <row r="1724" spans="1:4">
      <c r="A1724" t="str">
        <f t="shared" si="26"/>
        <v>161Treynor Ratio</v>
      </c>
      <c r="B1724">
        <v>161</v>
      </c>
      <c r="C1724" s="9" t="s">
        <v>39</v>
      </c>
      <c r="D1724" s="8">
        <v>4.2000000000000003E-2</v>
      </c>
    </row>
    <row r="1725" spans="1:4">
      <c r="A1725" t="str">
        <f t="shared" si="26"/>
        <v>161Total Fees</v>
      </c>
      <c r="B1725">
        <v>161</v>
      </c>
      <c r="C1725" s="9" t="s">
        <v>40</v>
      </c>
      <c r="D1725" s="8">
        <v>0</v>
      </c>
    </row>
    <row r="1726" spans="1:4">
      <c r="A1726" t="str">
        <f t="shared" si="26"/>
        <v>161Estimated Strategy Capacity</v>
      </c>
      <c r="B1726">
        <v>161</v>
      </c>
      <c r="C1726" s="9" t="s">
        <v>41</v>
      </c>
      <c r="D1726" s="8">
        <v>370000000</v>
      </c>
    </row>
    <row r="1727" spans="1:4">
      <c r="A1727" t="str">
        <f t="shared" si="26"/>
        <v>160PSR</v>
      </c>
      <c r="B1727">
        <v>160</v>
      </c>
      <c r="C1727" s="9" t="s">
        <v>27</v>
      </c>
      <c r="D1727" s="8">
        <v>0.1074</v>
      </c>
    </row>
    <row r="1728" spans="1:4">
      <c r="A1728" t="str">
        <f t="shared" si="26"/>
        <v>160Sharpe Ratio</v>
      </c>
      <c r="B1728">
        <v>160</v>
      </c>
      <c r="C1728" s="9" t="s">
        <v>1</v>
      </c>
      <c r="D1728" s="8">
        <v>-0.26400000000000001</v>
      </c>
    </row>
    <row r="1729" spans="1:4">
      <c r="A1729" t="str">
        <f t="shared" si="26"/>
        <v>160Total Trades</v>
      </c>
      <c r="B1729">
        <v>160</v>
      </c>
      <c r="C1729" s="9" t="s">
        <v>28</v>
      </c>
      <c r="D1729" s="8">
        <v>127</v>
      </c>
    </row>
    <row r="1730" spans="1:4">
      <c r="A1730" t="str">
        <f t="shared" si="26"/>
        <v>160Average Win</v>
      </c>
      <c r="B1730">
        <v>160</v>
      </c>
      <c r="C1730" s="9" t="s">
        <v>25</v>
      </c>
      <c r="D1730" s="8">
        <v>6.9999999999999999E-4</v>
      </c>
    </row>
    <row r="1731" spans="1:4">
      <c r="A1731" t="str">
        <f t="shared" ref="A1731:A1794" si="27">B1731&amp;C1731</f>
        <v>160Average Loss</v>
      </c>
      <c r="B1731">
        <v>160</v>
      </c>
      <c r="C1731" s="9" t="s">
        <v>29</v>
      </c>
      <c r="D1731" s="8">
        <v>-4.1000000000000003E-3</v>
      </c>
    </row>
    <row r="1732" spans="1:4">
      <c r="A1732" t="str">
        <f t="shared" si="27"/>
        <v>160Compounding Annual Return</v>
      </c>
      <c r="B1732">
        <v>160</v>
      </c>
      <c r="C1732" s="9" t="s">
        <v>30</v>
      </c>
      <c r="D1732" s="8">
        <v>-3.65E-3</v>
      </c>
    </row>
    <row r="1733" spans="1:4">
      <c r="A1733" t="str">
        <f t="shared" si="27"/>
        <v>160Drawdown</v>
      </c>
      <c r="B1733">
        <v>160</v>
      </c>
      <c r="C1733" s="9" t="s">
        <v>8</v>
      </c>
      <c r="D1733" s="8">
        <v>8.0000000000000002E-3</v>
      </c>
    </row>
    <row r="1734" spans="1:4">
      <c r="A1734" t="str">
        <f t="shared" si="27"/>
        <v>160Expectancy</v>
      </c>
      <c r="B1734">
        <v>160</v>
      </c>
      <c r="C1734" s="9" t="s">
        <v>31</v>
      </c>
      <c r="D1734" s="8">
        <v>-0.129</v>
      </c>
    </row>
    <row r="1735" spans="1:4">
      <c r="A1735" t="str">
        <f t="shared" si="27"/>
        <v>160Net Profit</v>
      </c>
      <c r="B1735">
        <v>160</v>
      </c>
      <c r="C1735" s="9" t="s">
        <v>32</v>
      </c>
      <c r="D1735" s="8">
        <v>-2.3600000000000001E-3</v>
      </c>
    </row>
    <row r="1736" spans="1:4">
      <c r="A1736" t="str">
        <f t="shared" si="27"/>
        <v>160Loss Rate</v>
      </c>
      <c r="B1736">
        <v>160</v>
      </c>
      <c r="C1736" s="9" t="s">
        <v>33</v>
      </c>
      <c r="D1736" s="8">
        <v>0.25</v>
      </c>
    </row>
    <row r="1737" spans="1:4">
      <c r="A1737" t="str">
        <f t="shared" si="27"/>
        <v>160Win Rate</v>
      </c>
      <c r="B1737">
        <v>160</v>
      </c>
      <c r="C1737" s="9" t="s">
        <v>34</v>
      </c>
      <c r="D1737" s="8">
        <v>0.75</v>
      </c>
    </row>
    <row r="1738" spans="1:4">
      <c r="A1738" t="str">
        <f t="shared" si="27"/>
        <v>160Profit-Loss Ratio</v>
      </c>
      <c r="B1738">
        <v>160</v>
      </c>
      <c r="C1738" s="9" t="s">
        <v>26</v>
      </c>
      <c r="D1738" s="8">
        <v>0.16</v>
      </c>
    </row>
    <row r="1739" spans="1:4">
      <c r="A1739" t="str">
        <f t="shared" si="27"/>
        <v>160Alpha</v>
      </c>
      <c r="B1739">
        <v>160</v>
      </c>
      <c r="C1739" s="9" t="s">
        <v>23</v>
      </c>
      <c r="D1739" s="8">
        <v>1E-3</v>
      </c>
    </row>
    <row r="1740" spans="1:4">
      <c r="A1740" t="str">
        <f t="shared" si="27"/>
        <v>160Beta</v>
      </c>
      <c r="B1740">
        <v>160</v>
      </c>
      <c r="C1740" s="9" t="s">
        <v>24</v>
      </c>
      <c r="D1740" s="8">
        <v>-4.9000000000000002E-2</v>
      </c>
    </row>
    <row r="1741" spans="1:4">
      <c r="A1741" t="str">
        <f t="shared" si="27"/>
        <v>160Annual Standard Deviation</v>
      </c>
      <c r="B1741">
        <v>160</v>
      </c>
      <c r="C1741" s="9" t="s">
        <v>35</v>
      </c>
      <c r="D1741" s="8">
        <v>8.9999999999999993E-3</v>
      </c>
    </row>
    <row r="1742" spans="1:4">
      <c r="A1742" t="str">
        <f t="shared" si="27"/>
        <v>160Annual Variance</v>
      </c>
      <c r="B1742">
        <v>160</v>
      </c>
      <c r="C1742" s="9" t="s">
        <v>36</v>
      </c>
      <c r="D1742" s="8">
        <v>0</v>
      </c>
    </row>
    <row r="1743" spans="1:4">
      <c r="A1743" t="str">
        <f t="shared" si="27"/>
        <v>160Information Ratio</v>
      </c>
      <c r="B1743">
        <v>160</v>
      </c>
      <c r="C1743" s="9" t="s">
        <v>37</v>
      </c>
      <c r="D1743" s="8">
        <v>-0.93799999999999994</v>
      </c>
    </row>
    <row r="1744" spans="1:4">
      <c r="A1744" t="str">
        <f t="shared" si="27"/>
        <v>160Tracking Error</v>
      </c>
      <c r="B1744">
        <v>160</v>
      </c>
      <c r="C1744" s="9" t="s">
        <v>38</v>
      </c>
      <c r="D1744" s="8">
        <v>7.0999999999999994E-2</v>
      </c>
    </row>
    <row r="1745" spans="1:4">
      <c r="A1745" t="str">
        <f t="shared" si="27"/>
        <v>160Treynor Ratio</v>
      </c>
      <c r="B1745">
        <v>160</v>
      </c>
      <c r="C1745" s="9" t="s">
        <v>39</v>
      </c>
      <c r="D1745" s="8">
        <v>5.0999999999999997E-2</v>
      </c>
    </row>
    <row r="1746" spans="1:4">
      <c r="A1746" t="str">
        <f t="shared" si="27"/>
        <v>160Total Fees</v>
      </c>
      <c r="B1746">
        <v>160</v>
      </c>
      <c r="C1746" s="9" t="s">
        <v>40</v>
      </c>
      <c r="D1746" s="8">
        <v>0</v>
      </c>
    </row>
    <row r="1747" spans="1:4">
      <c r="A1747" t="str">
        <f t="shared" si="27"/>
        <v>160Estimated Strategy Capacity</v>
      </c>
      <c r="B1747">
        <v>160</v>
      </c>
      <c r="C1747" s="9" t="s">
        <v>41</v>
      </c>
      <c r="D1747" s="8">
        <v>3700000000</v>
      </c>
    </row>
    <row r="1748" spans="1:4">
      <c r="A1748" t="str">
        <f t="shared" si="27"/>
        <v>159PSR</v>
      </c>
      <c r="B1748">
        <v>159</v>
      </c>
      <c r="C1748" s="9" t="s">
        <v>27</v>
      </c>
      <c r="D1748" s="8">
        <v>7.3630000000000001E-2</v>
      </c>
    </row>
    <row r="1749" spans="1:4">
      <c r="A1749" t="str">
        <f t="shared" si="27"/>
        <v>159Sharpe Ratio</v>
      </c>
      <c r="B1749">
        <v>159</v>
      </c>
      <c r="C1749" s="9" t="s">
        <v>1</v>
      </c>
      <c r="D1749" s="8">
        <v>-0.41399999999999998</v>
      </c>
    </row>
    <row r="1750" spans="1:4">
      <c r="A1750" t="str">
        <f t="shared" si="27"/>
        <v>159Total Trades</v>
      </c>
      <c r="B1750">
        <v>159</v>
      </c>
      <c r="C1750" s="9" t="s">
        <v>28</v>
      </c>
      <c r="D1750" s="8">
        <v>162</v>
      </c>
    </row>
    <row r="1751" spans="1:4">
      <c r="A1751" t="str">
        <f t="shared" si="27"/>
        <v>159Average Win</v>
      </c>
      <c r="B1751">
        <v>159</v>
      </c>
      <c r="C1751" s="9" t="s">
        <v>25</v>
      </c>
      <c r="D1751" s="8">
        <v>1.47E-2</v>
      </c>
    </row>
    <row r="1752" spans="1:4">
      <c r="A1752" t="str">
        <f t="shared" si="27"/>
        <v>159Average Loss</v>
      </c>
      <c r="B1752">
        <v>159</v>
      </c>
      <c r="C1752" s="9" t="s">
        <v>29</v>
      </c>
      <c r="D1752" s="8">
        <v>-0.14199999999999999</v>
      </c>
    </row>
    <row r="1753" spans="1:4">
      <c r="A1753" t="str">
        <f t="shared" si="27"/>
        <v>159Compounding Annual Return</v>
      </c>
      <c r="B1753">
        <v>159</v>
      </c>
      <c r="C1753" s="9" t="s">
        <v>30</v>
      </c>
      <c r="D1753" s="8">
        <v>-0.64961999999999998</v>
      </c>
    </row>
    <row r="1754" spans="1:4">
      <c r="A1754" t="str">
        <f t="shared" si="27"/>
        <v>159Drawdown</v>
      </c>
      <c r="B1754">
        <v>159</v>
      </c>
      <c r="C1754" s="9" t="s">
        <v>8</v>
      </c>
      <c r="D1754" s="8">
        <v>0.57099999999999995</v>
      </c>
    </row>
    <row r="1755" spans="1:4">
      <c r="A1755" t="str">
        <f t="shared" si="27"/>
        <v>159Expectancy</v>
      </c>
      <c r="B1755">
        <v>159</v>
      </c>
      <c r="C1755" s="9" t="s">
        <v>31</v>
      </c>
      <c r="D1755" s="8">
        <v>-0.77900000000000003</v>
      </c>
    </row>
    <row r="1756" spans="1:4">
      <c r="A1756" t="str">
        <f t="shared" si="27"/>
        <v>159Net Profit</v>
      </c>
      <c r="B1756">
        <v>159</v>
      </c>
      <c r="C1756" s="9" t="s">
        <v>32</v>
      </c>
      <c r="D1756" s="8">
        <v>-0.49235000000000001</v>
      </c>
    </row>
    <row r="1757" spans="1:4">
      <c r="A1757" t="str">
        <f t="shared" si="27"/>
        <v>159Loss Rate</v>
      </c>
      <c r="B1757">
        <v>159</v>
      </c>
      <c r="C1757" s="9" t="s">
        <v>33</v>
      </c>
      <c r="D1757" s="8">
        <v>0.8</v>
      </c>
    </row>
    <row r="1758" spans="1:4">
      <c r="A1758" t="str">
        <f t="shared" si="27"/>
        <v>159Win Rate</v>
      </c>
      <c r="B1758">
        <v>159</v>
      </c>
      <c r="C1758" s="9" t="s">
        <v>34</v>
      </c>
      <c r="D1758" s="8">
        <v>0.2</v>
      </c>
    </row>
    <row r="1759" spans="1:4">
      <c r="A1759" t="str">
        <f t="shared" si="27"/>
        <v>159Profit-Loss Ratio</v>
      </c>
      <c r="B1759">
        <v>159</v>
      </c>
      <c r="C1759" s="9" t="s">
        <v>26</v>
      </c>
      <c r="D1759" s="8">
        <v>0.1</v>
      </c>
    </row>
    <row r="1760" spans="1:4">
      <c r="A1760" t="str">
        <f t="shared" si="27"/>
        <v>159Alpha</v>
      </c>
      <c r="B1760">
        <v>159</v>
      </c>
      <c r="C1760" s="9" t="s">
        <v>23</v>
      </c>
      <c r="D1760" s="8">
        <v>8.5000000000000006E-2</v>
      </c>
    </row>
    <row r="1761" spans="1:4">
      <c r="A1761" t="str">
        <f t="shared" si="27"/>
        <v>159Beta</v>
      </c>
      <c r="B1761">
        <v>159</v>
      </c>
      <c r="C1761" s="9" t="s">
        <v>24</v>
      </c>
      <c r="D1761" s="8">
        <v>-6.5289999999999999</v>
      </c>
    </row>
    <row r="1762" spans="1:4">
      <c r="A1762" t="str">
        <f t="shared" si="27"/>
        <v>159Annual Standard Deviation</v>
      </c>
      <c r="B1762">
        <v>159</v>
      </c>
      <c r="C1762" s="9" t="s">
        <v>35</v>
      </c>
      <c r="D1762" s="8">
        <v>0.79800000000000004</v>
      </c>
    </row>
    <row r="1763" spans="1:4">
      <c r="A1763" t="str">
        <f t="shared" si="27"/>
        <v>159Annual Variance</v>
      </c>
      <c r="B1763">
        <v>159</v>
      </c>
      <c r="C1763" s="9" t="s">
        <v>36</v>
      </c>
      <c r="D1763" s="8">
        <v>0.63700000000000001</v>
      </c>
    </row>
    <row r="1764" spans="1:4">
      <c r="A1764" t="str">
        <f t="shared" si="27"/>
        <v>159Information Ratio</v>
      </c>
      <c r="B1764">
        <v>159</v>
      </c>
      <c r="C1764" s="9" t="s">
        <v>37</v>
      </c>
      <c r="D1764" s="8">
        <v>-0.47099999999999997</v>
      </c>
    </row>
    <row r="1765" spans="1:4">
      <c r="A1765" t="str">
        <f t="shared" si="27"/>
        <v>159Tracking Error</v>
      </c>
      <c r="B1765">
        <v>159</v>
      </c>
      <c r="C1765" s="9" t="s">
        <v>38</v>
      </c>
      <c r="D1765" s="8">
        <v>0.83699999999999997</v>
      </c>
    </row>
    <row r="1766" spans="1:4">
      <c r="A1766" t="str">
        <f t="shared" si="27"/>
        <v>159Treynor Ratio</v>
      </c>
      <c r="B1766">
        <v>159</v>
      </c>
      <c r="C1766" s="9" t="s">
        <v>39</v>
      </c>
      <c r="D1766" s="8">
        <v>5.0999999999999997E-2</v>
      </c>
    </row>
    <row r="1767" spans="1:4">
      <c r="A1767" t="str">
        <f t="shared" si="27"/>
        <v>159Total Fees</v>
      </c>
      <c r="B1767">
        <v>159</v>
      </c>
      <c r="C1767" s="9" t="s">
        <v>40</v>
      </c>
      <c r="D1767" s="8">
        <v>0</v>
      </c>
    </row>
    <row r="1768" spans="1:4">
      <c r="A1768" t="str">
        <f t="shared" si="27"/>
        <v>159Estimated Strategy Capacity</v>
      </c>
      <c r="B1768">
        <v>159</v>
      </c>
      <c r="C1768" s="9" t="s">
        <v>41</v>
      </c>
      <c r="D1768" s="8">
        <v>6900000</v>
      </c>
    </row>
    <row r="1769" spans="1:4">
      <c r="A1769" t="str">
        <f t="shared" si="27"/>
        <v>158PSR</v>
      </c>
      <c r="B1769">
        <v>158</v>
      </c>
      <c r="C1769" s="9" t="s">
        <v>27</v>
      </c>
      <c r="D1769" s="8">
        <v>3.0179999999999998E-2</v>
      </c>
    </row>
    <row r="1770" spans="1:4">
      <c r="A1770" t="str">
        <f t="shared" si="27"/>
        <v>158Sharpe Ratio</v>
      </c>
      <c r="B1770">
        <v>158</v>
      </c>
      <c r="C1770" s="9" t="s">
        <v>1</v>
      </c>
      <c r="D1770" s="8">
        <v>-0.85799999999999998</v>
      </c>
    </row>
    <row r="1771" spans="1:4">
      <c r="A1771" t="str">
        <f t="shared" si="27"/>
        <v>158Total Trades</v>
      </c>
      <c r="B1771">
        <v>158</v>
      </c>
      <c r="C1771" s="9" t="s">
        <v>28</v>
      </c>
      <c r="D1771" s="8">
        <v>164</v>
      </c>
    </row>
    <row r="1772" spans="1:4">
      <c r="A1772" t="str">
        <f t="shared" si="27"/>
        <v>158Average Win</v>
      </c>
      <c r="B1772">
        <v>158</v>
      </c>
      <c r="C1772" s="9" t="s">
        <v>25</v>
      </c>
      <c r="D1772" s="8">
        <v>2.5999999999999999E-3</v>
      </c>
    </row>
    <row r="1773" spans="1:4">
      <c r="A1773" t="str">
        <f t="shared" si="27"/>
        <v>158Average Loss</v>
      </c>
      <c r="B1773">
        <v>158</v>
      </c>
      <c r="C1773" s="9" t="s">
        <v>29</v>
      </c>
      <c r="D1773" s="8">
        <v>-2.46E-2</v>
      </c>
    </row>
    <row r="1774" spans="1:4">
      <c r="A1774" t="str">
        <f t="shared" si="27"/>
        <v>158Compounding Annual Return</v>
      </c>
      <c r="B1774">
        <v>158</v>
      </c>
      <c r="C1774" s="9" t="s">
        <v>30</v>
      </c>
      <c r="D1774" s="8">
        <v>-0.15165999999999999</v>
      </c>
    </row>
    <row r="1775" spans="1:4">
      <c r="A1775" t="str">
        <f t="shared" si="27"/>
        <v>158Drawdown</v>
      </c>
      <c r="B1775">
        <v>158</v>
      </c>
      <c r="C1775" s="9" t="s">
        <v>8</v>
      </c>
      <c r="D1775" s="8">
        <v>0.12</v>
      </c>
    </row>
    <row r="1776" spans="1:4">
      <c r="A1776" t="str">
        <f t="shared" si="27"/>
        <v>158Expectancy</v>
      </c>
      <c r="B1776">
        <v>158</v>
      </c>
      <c r="C1776" s="9" t="s">
        <v>31</v>
      </c>
      <c r="D1776" s="8">
        <v>-0.77900000000000003</v>
      </c>
    </row>
    <row r="1777" spans="1:4">
      <c r="A1777" t="str">
        <f t="shared" si="27"/>
        <v>158Net Profit</v>
      </c>
      <c r="B1777">
        <v>158</v>
      </c>
      <c r="C1777" s="9" t="s">
        <v>32</v>
      </c>
      <c r="D1777" s="8">
        <v>-0.10087</v>
      </c>
    </row>
    <row r="1778" spans="1:4">
      <c r="A1778" t="str">
        <f t="shared" si="27"/>
        <v>158Loss Rate</v>
      </c>
      <c r="B1778">
        <v>158</v>
      </c>
      <c r="C1778" s="9" t="s">
        <v>33</v>
      </c>
      <c r="D1778" s="8">
        <v>0.8</v>
      </c>
    </row>
    <row r="1779" spans="1:4">
      <c r="A1779" t="str">
        <f t="shared" si="27"/>
        <v>158Win Rate</v>
      </c>
      <c r="B1779">
        <v>158</v>
      </c>
      <c r="C1779" s="9" t="s">
        <v>34</v>
      </c>
      <c r="D1779" s="8">
        <v>0.2</v>
      </c>
    </row>
    <row r="1780" spans="1:4">
      <c r="A1780" t="str">
        <f t="shared" si="27"/>
        <v>158Profit-Loss Ratio</v>
      </c>
      <c r="B1780">
        <v>158</v>
      </c>
      <c r="C1780" s="9" t="s">
        <v>26</v>
      </c>
      <c r="D1780" s="8">
        <v>0.11</v>
      </c>
    </row>
    <row r="1781" spans="1:4">
      <c r="A1781" t="str">
        <f t="shared" si="27"/>
        <v>158Alpha</v>
      </c>
      <c r="B1781">
        <v>158</v>
      </c>
      <c r="C1781" s="9" t="s">
        <v>23</v>
      </c>
      <c r="D1781" s="8">
        <v>-4.1000000000000002E-2</v>
      </c>
    </row>
    <row r="1782" spans="1:4">
      <c r="A1782" t="str">
        <f t="shared" si="27"/>
        <v>158Beta</v>
      </c>
      <c r="B1782">
        <v>158</v>
      </c>
      <c r="C1782" s="9" t="s">
        <v>24</v>
      </c>
      <c r="D1782" s="8">
        <v>-0.94399999999999995</v>
      </c>
    </row>
    <row r="1783" spans="1:4">
      <c r="A1783" t="str">
        <f t="shared" si="27"/>
        <v>158Annual Standard Deviation</v>
      </c>
      <c r="B1783">
        <v>158</v>
      </c>
      <c r="C1783" s="9" t="s">
        <v>35</v>
      </c>
      <c r="D1783" s="8">
        <v>0.11799999999999999</v>
      </c>
    </row>
    <row r="1784" spans="1:4">
      <c r="A1784" t="str">
        <f t="shared" si="27"/>
        <v>158Annual Variance</v>
      </c>
      <c r="B1784">
        <v>158</v>
      </c>
      <c r="C1784" s="9" t="s">
        <v>36</v>
      </c>
      <c r="D1784" s="8">
        <v>1.4E-2</v>
      </c>
    </row>
    <row r="1785" spans="1:4">
      <c r="A1785" t="str">
        <f t="shared" si="27"/>
        <v>158Information Ratio</v>
      </c>
      <c r="B1785">
        <v>158</v>
      </c>
      <c r="C1785" s="9" t="s">
        <v>37</v>
      </c>
      <c r="D1785" s="8">
        <v>-1.008</v>
      </c>
    </row>
    <row r="1786" spans="1:4">
      <c r="A1786" t="str">
        <f t="shared" si="27"/>
        <v>158Tracking Error</v>
      </c>
      <c r="B1786">
        <v>158</v>
      </c>
      <c r="C1786" s="9" t="s">
        <v>38</v>
      </c>
      <c r="D1786" s="8">
        <v>0.16400000000000001</v>
      </c>
    </row>
    <row r="1787" spans="1:4">
      <c r="A1787" t="str">
        <f t="shared" si="27"/>
        <v>158Treynor Ratio</v>
      </c>
      <c r="B1787">
        <v>158</v>
      </c>
      <c r="C1787" s="9" t="s">
        <v>39</v>
      </c>
      <c r="D1787" s="8">
        <v>0.107</v>
      </c>
    </row>
    <row r="1788" spans="1:4">
      <c r="A1788" t="str">
        <f t="shared" si="27"/>
        <v>158Total Fees</v>
      </c>
      <c r="B1788">
        <v>158</v>
      </c>
      <c r="C1788" s="9" t="s">
        <v>40</v>
      </c>
      <c r="D1788" s="8">
        <v>0</v>
      </c>
    </row>
    <row r="1789" spans="1:4">
      <c r="A1789" t="str">
        <f t="shared" si="27"/>
        <v>158Estimated Strategy Capacity</v>
      </c>
      <c r="B1789">
        <v>158</v>
      </c>
      <c r="C1789" s="9" t="s">
        <v>41</v>
      </c>
      <c r="D1789" s="8">
        <v>50000000</v>
      </c>
    </row>
    <row r="1790" spans="1:4">
      <c r="A1790" t="str">
        <f t="shared" si="27"/>
        <v>157PSR</v>
      </c>
      <c r="B1790">
        <v>157</v>
      </c>
      <c r="C1790" s="9" t="s">
        <v>27</v>
      </c>
      <c r="D1790" s="8">
        <v>2.5930000000000002E-2</v>
      </c>
    </row>
    <row r="1791" spans="1:4">
      <c r="A1791" t="str">
        <f t="shared" si="27"/>
        <v>157Sharpe Ratio</v>
      </c>
      <c r="B1791">
        <v>157</v>
      </c>
      <c r="C1791" s="9" t="s">
        <v>1</v>
      </c>
      <c r="D1791" s="8">
        <v>-0.95599999999999996</v>
      </c>
    </row>
    <row r="1792" spans="1:4">
      <c r="A1792" t="str">
        <f t="shared" si="27"/>
        <v>157Total Trades</v>
      </c>
      <c r="B1792">
        <v>157</v>
      </c>
      <c r="C1792" s="9" t="s">
        <v>28</v>
      </c>
      <c r="D1792" s="8">
        <v>164</v>
      </c>
    </row>
    <row r="1793" spans="1:4">
      <c r="A1793" t="str">
        <f t="shared" si="27"/>
        <v>157Average Win</v>
      </c>
      <c r="B1793">
        <v>157</v>
      </c>
      <c r="C1793" s="9" t="s">
        <v>25</v>
      </c>
      <c r="D1793" s="8">
        <v>2.9999999999999997E-4</v>
      </c>
    </row>
    <row r="1794" spans="1:4">
      <c r="A1794" t="str">
        <f t="shared" si="27"/>
        <v>157Average Loss</v>
      </c>
      <c r="B1794">
        <v>157</v>
      </c>
      <c r="C1794" s="9" t="s">
        <v>29</v>
      </c>
      <c r="D1794" s="8">
        <v>-2.3999999999999998E-3</v>
      </c>
    </row>
    <row r="1795" spans="1:4">
      <c r="A1795" t="str">
        <f t="shared" ref="A1795:A1858" si="28">B1795&amp;C1795</f>
        <v>157Compounding Annual Return</v>
      </c>
      <c r="B1795">
        <v>157</v>
      </c>
      <c r="C1795" s="9" t="s">
        <v>30</v>
      </c>
      <c r="D1795" s="8">
        <v>-1.5559999999999999E-2</v>
      </c>
    </row>
    <row r="1796" spans="1:4">
      <c r="A1796" t="str">
        <f t="shared" si="28"/>
        <v>157Drawdown</v>
      </c>
      <c r="B1796">
        <v>157</v>
      </c>
      <c r="C1796" s="9" t="s">
        <v>8</v>
      </c>
      <c r="D1796" s="8">
        <v>1.2E-2</v>
      </c>
    </row>
    <row r="1797" spans="1:4">
      <c r="A1797" t="str">
        <f t="shared" si="28"/>
        <v>157Expectancy</v>
      </c>
      <c r="B1797">
        <v>157</v>
      </c>
      <c r="C1797" s="9" t="s">
        <v>31</v>
      </c>
      <c r="D1797" s="8">
        <v>-0.77900000000000003</v>
      </c>
    </row>
    <row r="1798" spans="1:4">
      <c r="A1798" t="str">
        <f t="shared" si="28"/>
        <v>157Net Profit</v>
      </c>
      <c r="B1798">
        <v>157</v>
      </c>
      <c r="C1798" s="9" t="s">
        <v>32</v>
      </c>
      <c r="D1798" s="8">
        <v>-1.009E-2</v>
      </c>
    </row>
    <row r="1799" spans="1:4">
      <c r="A1799" t="str">
        <f t="shared" si="28"/>
        <v>157Loss Rate</v>
      </c>
      <c r="B1799">
        <v>157</v>
      </c>
      <c r="C1799" s="9" t="s">
        <v>33</v>
      </c>
      <c r="D1799" s="8">
        <v>0.8</v>
      </c>
    </row>
    <row r="1800" spans="1:4">
      <c r="A1800" t="str">
        <f t="shared" si="28"/>
        <v>157Win Rate</v>
      </c>
      <c r="B1800">
        <v>157</v>
      </c>
      <c r="C1800" s="9" t="s">
        <v>34</v>
      </c>
      <c r="D1800" s="8">
        <v>0.2</v>
      </c>
    </row>
    <row r="1801" spans="1:4">
      <c r="A1801" t="str">
        <f t="shared" si="28"/>
        <v>157Profit-Loss Ratio</v>
      </c>
      <c r="B1801">
        <v>157</v>
      </c>
      <c r="C1801" s="9" t="s">
        <v>26</v>
      </c>
      <c r="D1801" s="8">
        <v>0.11</v>
      </c>
    </row>
    <row r="1802" spans="1:4">
      <c r="A1802" t="str">
        <f t="shared" si="28"/>
        <v>157Alpha</v>
      </c>
      <c r="B1802">
        <v>157</v>
      </c>
      <c r="C1802" s="9" t="s">
        <v>23</v>
      </c>
      <c r="D1802" s="8">
        <v>-5.0000000000000001E-3</v>
      </c>
    </row>
    <row r="1803" spans="1:4">
      <c r="A1803" t="str">
        <f t="shared" si="28"/>
        <v>157Beta</v>
      </c>
      <c r="B1803">
        <v>157</v>
      </c>
      <c r="C1803" s="9" t="s">
        <v>24</v>
      </c>
      <c r="D1803" s="8">
        <v>-8.8999999999999996E-2</v>
      </c>
    </row>
    <row r="1804" spans="1:4">
      <c r="A1804" t="str">
        <f t="shared" si="28"/>
        <v>157Annual Standard Deviation</v>
      </c>
      <c r="B1804">
        <v>157</v>
      </c>
      <c r="C1804" s="9" t="s">
        <v>35</v>
      </c>
      <c r="D1804" s="8">
        <v>1.0999999999999999E-2</v>
      </c>
    </row>
    <row r="1805" spans="1:4">
      <c r="A1805" t="str">
        <f t="shared" si="28"/>
        <v>157Annual Variance</v>
      </c>
      <c r="B1805">
        <v>157</v>
      </c>
      <c r="C1805" s="9" t="s">
        <v>36</v>
      </c>
      <c r="D1805" s="8">
        <v>0</v>
      </c>
    </row>
    <row r="1806" spans="1:4">
      <c r="A1806" t="str">
        <f t="shared" si="28"/>
        <v>157Information Ratio</v>
      </c>
      <c r="B1806">
        <v>157</v>
      </c>
      <c r="C1806" s="9" t="s">
        <v>37</v>
      </c>
      <c r="D1806" s="8">
        <v>-1.0149999999999999</v>
      </c>
    </row>
    <row r="1807" spans="1:4">
      <c r="A1807" t="str">
        <f t="shared" si="28"/>
        <v>157Tracking Error</v>
      </c>
      <c r="B1807">
        <v>157</v>
      </c>
      <c r="C1807" s="9" t="s">
        <v>38</v>
      </c>
      <c r="D1807" s="8">
        <v>7.2999999999999995E-2</v>
      </c>
    </row>
    <row r="1808" spans="1:4">
      <c r="A1808" t="str">
        <f t="shared" si="28"/>
        <v>157Treynor Ratio</v>
      </c>
      <c r="B1808">
        <v>157</v>
      </c>
      <c r="C1808" s="9" t="s">
        <v>39</v>
      </c>
      <c r="D1808" s="8">
        <v>0.121</v>
      </c>
    </row>
    <row r="1809" spans="1:4">
      <c r="A1809" t="str">
        <f t="shared" si="28"/>
        <v>157Total Fees</v>
      </c>
      <c r="B1809">
        <v>157</v>
      </c>
      <c r="C1809" s="9" t="s">
        <v>40</v>
      </c>
      <c r="D1809" s="8">
        <v>0</v>
      </c>
    </row>
    <row r="1810" spans="1:4">
      <c r="A1810" t="str">
        <f t="shared" si="28"/>
        <v>157Estimated Strategy Capacity</v>
      </c>
      <c r="B1810">
        <v>157</v>
      </c>
      <c r="C1810" s="9" t="s">
        <v>41</v>
      </c>
      <c r="D1810" s="8">
        <v>540000000</v>
      </c>
    </row>
    <row r="1811" spans="1:4">
      <c r="A1811" t="str">
        <f t="shared" si="28"/>
        <v>156PSR</v>
      </c>
      <c r="B1811">
        <v>156</v>
      </c>
      <c r="C1811" s="9" t="s">
        <v>27</v>
      </c>
      <c r="D1811" s="8">
        <v>0.35598999999999997</v>
      </c>
    </row>
    <row r="1812" spans="1:4">
      <c r="A1812" t="str">
        <f t="shared" si="28"/>
        <v>156Sharpe Ratio</v>
      </c>
      <c r="B1812">
        <v>156</v>
      </c>
      <c r="C1812" s="9" t="s">
        <v>1</v>
      </c>
      <c r="D1812" s="8">
        <v>0.68</v>
      </c>
    </row>
    <row r="1813" spans="1:4">
      <c r="A1813" t="str">
        <f t="shared" si="28"/>
        <v>156Total Trades</v>
      </c>
      <c r="B1813">
        <v>156</v>
      </c>
      <c r="C1813" s="9" t="s">
        <v>28</v>
      </c>
      <c r="D1813" s="8">
        <v>285</v>
      </c>
    </row>
    <row r="1814" spans="1:4">
      <c r="A1814" t="str">
        <f t="shared" si="28"/>
        <v>156Average Win</v>
      </c>
      <c r="B1814">
        <v>156</v>
      </c>
      <c r="C1814" s="9" t="s">
        <v>25</v>
      </c>
      <c r="D1814" s="8">
        <v>9.1800000000000007E-2</v>
      </c>
    </row>
    <row r="1815" spans="1:4">
      <c r="A1815" t="str">
        <f t="shared" si="28"/>
        <v>156Average Loss</v>
      </c>
      <c r="B1815">
        <v>156</v>
      </c>
      <c r="C1815" s="9" t="s">
        <v>29</v>
      </c>
      <c r="D1815" s="8">
        <v>-0.1095</v>
      </c>
    </row>
    <row r="1816" spans="1:4">
      <c r="A1816" t="str">
        <f t="shared" si="28"/>
        <v>156Compounding Annual Return</v>
      </c>
      <c r="B1816">
        <v>156</v>
      </c>
      <c r="C1816" s="9" t="s">
        <v>30</v>
      </c>
      <c r="D1816" s="8">
        <v>0.25733</v>
      </c>
    </row>
    <row r="1817" spans="1:4">
      <c r="A1817" t="str">
        <f t="shared" si="28"/>
        <v>156Drawdown</v>
      </c>
      <c r="B1817">
        <v>156</v>
      </c>
      <c r="C1817" s="9" t="s">
        <v>8</v>
      </c>
      <c r="D1817" s="8">
        <v>0.312</v>
      </c>
    </row>
    <row r="1818" spans="1:4">
      <c r="A1818" t="str">
        <f t="shared" si="28"/>
        <v>156Expectancy</v>
      </c>
      <c r="B1818">
        <v>156</v>
      </c>
      <c r="C1818" s="9" t="s">
        <v>31</v>
      </c>
      <c r="D1818" s="8">
        <v>0.22600000000000001</v>
      </c>
    </row>
    <row r="1819" spans="1:4">
      <c r="A1819" t="str">
        <f t="shared" si="28"/>
        <v>156Net Profit</v>
      </c>
      <c r="B1819">
        <v>156</v>
      </c>
      <c r="C1819" s="9" t="s">
        <v>32</v>
      </c>
      <c r="D1819" s="8">
        <v>0.15955</v>
      </c>
    </row>
    <row r="1820" spans="1:4">
      <c r="A1820" t="str">
        <f t="shared" si="28"/>
        <v>156Loss Rate</v>
      </c>
      <c r="B1820">
        <v>156</v>
      </c>
      <c r="C1820" s="9" t="s">
        <v>33</v>
      </c>
      <c r="D1820" s="8">
        <v>0.33</v>
      </c>
    </row>
    <row r="1821" spans="1:4">
      <c r="A1821" t="str">
        <f t="shared" si="28"/>
        <v>156Win Rate</v>
      </c>
      <c r="B1821">
        <v>156</v>
      </c>
      <c r="C1821" s="9" t="s">
        <v>34</v>
      </c>
      <c r="D1821" s="8">
        <v>0.67</v>
      </c>
    </row>
    <row r="1822" spans="1:4">
      <c r="A1822" t="str">
        <f t="shared" si="28"/>
        <v>156Profit-Loss Ratio</v>
      </c>
      <c r="B1822">
        <v>156</v>
      </c>
      <c r="C1822" s="9" t="s">
        <v>26</v>
      </c>
      <c r="D1822" s="8">
        <v>0.84</v>
      </c>
    </row>
    <row r="1823" spans="1:4">
      <c r="A1823" t="str">
        <f t="shared" si="28"/>
        <v>156Alpha</v>
      </c>
      <c r="B1823">
        <v>156</v>
      </c>
      <c r="C1823" s="9" t="s">
        <v>23</v>
      </c>
      <c r="D1823" s="8">
        <v>0.35399999999999998</v>
      </c>
    </row>
    <row r="1824" spans="1:4">
      <c r="A1824" t="str">
        <f t="shared" si="28"/>
        <v>156Beta</v>
      </c>
      <c r="B1824">
        <v>156</v>
      </c>
      <c r="C1824" s="9" t="s">
        <v>24</v>
      </c>
      <c r="D1824" s="8">
        <v>-1.0369999999999999</v>
      </c>
    </row>
    <row r="1825" spans="1:4">
      <c r="A1825" t="str">
        <f t="shared" si="28"/>
        <v>156Annual Standard Deviation</v>
      </c>
      <c r="B1825">
        <v>156</v>
      </c>
      <c r="C1825" s="9" t="s">
        <v>35</v>
      </c>
      <c r="D1825" s="8">
        <v>0.42299999999999999</v>
      </c>
    </row>
    <row r="1826" spans="1:4">
      <c r="A1826" t="str">
        <f t="shared" si="28"/>
        <v>156Annual Variance</v>
      </c>
      <c r="B1826">
        <v>156</v>
      </c>
      <c r="C1826" s="9" t="s">
        <v>36</v>
      </c>
      <c r="D1826" s="8">
        <v>0.17899999999999999</v>
      </c>
    </row>
    <row r="1827" spans="1:4">
      <c r="A1827" t="str">
        <f t="shared" si="28"/>
        <v>156Information Ratio</v>
      </c>
      <c r="B1827">
        <v>156</v>
      </c>
      <c r="C1827" s="9" t="s">
        <v>37</v>
      </c>
      <c r="D1827" s="8">
        <v>0.51</v>
      </c>
    </row>
    <row r="1828" spans="1:4">
      <c r="A1828" t="str">
        <f t="shared" si="28"/>
        <v>156Tracking Error</v>
      </c>
      <c r="B1828">
        <v>156</v>
      </c>
      <c r="C1828" s="9" t="s">
        <v>38</v>
      </c>
      <c r="D1828" s="8">
        <v>0.439</v>
      </c>
    </row>
    <row r="1829" spans="1:4">
      <c r="A1829" t="str">
        <f t="shared" si="28"/>
        <v>156Treynor Ratio</v>
      </c>
      <c r="B1829">
        <v>156</v>
      </c>
      <c r="C1829" s="9" t="s">
        <v>39</v>
      </c>
      <c r="D1829" s="8">
        <v>-0.27700000000000002</v>
      </c>
    </row>
    <row r="1830" spans="1:4">
      <c r="A1830" t="str">
        <f t="shared" si="28"/>
        <v>156Total Fees</v>
      </c>
      <c r="B1830">
        <v>156</v>
      </c>
      <c r="C1830" s="9" t="s">
        <v>40</v>
      </c>
      <c r="D1830" s="8">
        <v>0</v>
      </c>
    </row>
    <row r="1831" spans="1:4">
      <c r="A1831" t="str">
        <f t="shared" si="28"/>
        <v>156Estimated Strategy Capacity</v>
      </c>
      <c r="B1831">
        <v>156</v>
      </c>
      <c r="C1831" s="9" t="s">
        <v>41</v>
      </c>
      <c r="D1831" s="8">
        <v>8600000</v>
      </c>
    </row>
    <row r="1832" spans="1:4">
      <c r="A1832" t="str">
        <f t="shared" si="28"/>
        <v>155PSR</v>
      </c>
      <c r="B1832">
        <v>155</v>
      </c>
      <c r="C1832" s="9" t="s">
        <v>27</v>
      </c>
      <c r="D1832" s="8">
        <v>0.30656</v>
      </c>
    </row>
    <row r="1833" spans="1:4">
      <c r="A1833" t="str">
        <f t="shared" si="28"/>
        <v>155Sharpe Ratio</v>
      </c>
      <c r="B1833">
        <v>155</v>
      </c>
      <c r="C1833" s="9" t="s">
        <v>1</v>
      </c>
      <c r="D1833" s="8">
        <v>0.46</v>
      </c>
    </row>
    <row r="1834" spans="1:4">
      <c r="A1834" t="str">
        <f t="shared" si="28"/>
        <v>155Total Trades</v>
      </c>
      <c r="B1834">
        <v>155</v>
      </c>
      <c r="C1834" s="9" t="s">
        <v>28</v>
      </c>
      <c r="D1834" s="8">
        <v>285</v>
      </c>
    </row>
    <row r="1835" spans="1:4">
      <c r="A1835" t="str">
        <f t="shared" si="28"/>
        <v>155Average Win</v>
      </c>
      <c r="B1835">
        <v>155</v>
      </c>
      <c r="C1835" s="9" t="s">
        <v>25</v>
      </c>
      <c r="D1835" s="8">
        <v>1.66E-2</v>
      </c>
    </row>
    <row r="1836" spans="1:4">
      <c r="A1836" t="str">
        <f t="shared" si="28"/>
        <v>155Average Loss</v>
      </c>
      <c r="B1836">
        <v>155</v>
      </c>
      <c r="C1836" s="9" t="s">
        <v>29</v>
      </c>
      <c r="D1836" s="8">
        <v>-2.1000000000000001E-2</v>
      </c>
    </row>
    <row r="1837" spans="1:4">
      <c r="A1837" t="str">
        <f t="shared" si="28"/>
        <v>155Compounding Annual Return</v>
      </c>
      <c r="B1837">
        <v>155</v>
      </c>
      <c r="C1837" s="9" t="s">
        <v>30</v>
      </c>
      <c r="D1837" s="8">
        <v>4.9790000000000001E-2</v>
      </c>
    </row>
    <row r="1838" spans="1:4">
      <c r="A1838" t="str">
        <f t="shared" si="28"/>
        <v>155Drawdown</v>
      </c>
      <c r="B1838">
        <v>155</v>
      </c>
      <c r="C1838" s="9" t="s">
        <v>8</v>
      </c>
      <c r="D1838" s="8">
        <v>6.5000000000000002E-2</v>
      </c>
    </row>
    <row r="1839" spans="1:4">
      <c r="A1839" t="str">
        <f t="shared" si="28"/>
        <v>155Expectancy</v>
      </c>
      <c r="B1839">
        <v>155</v>
      </c>
      <c r="C1839" s="9" t="s">
        <v>31</v>
      </c>
      <c r="D1839" s="8">
        <v>0.19500000000000001</v>
      </c>
    </row>
    <row r="1840" spans="1:4">
      <c r="A1840" t="str">
        <f t="shared" si="28"/>
        <v>155Net Profit</v>
      </c>
      <c r="B1840">
        <v>155</v>
      </c>
      <c r="C1840" s="9" t="s">
        <v>32</v>
      </c>
      <c r="D1840" s="8">
        <v>3.1910000000000001E-2</v>
      </c>
    </row>
    <row r="1841" spans="1:4">
      <c r="A1841" t="str">
        <f t="shared" si="28"/>
        <v>155Loss Rate</v>
      </c>
      <c r="B1841">
        <v>155</v>
      </c>
      <c r="C1841" s="9" t="s">
        <v>33</v>
      </c>
      <c r="D1841" s="8">
        <v>0.33</v>
      </c>
    </row>
    <row r="1842" spans="1:4">
      <c r="A1842" t="str">
        <f t="shared" si="28"/>
        <v>155Win Rate</v>
      </c>
      <c r="B1842">
        <v>155</v>
      </c>
      <c r="C1842" s="9" t="s">
        <v>34</v>
      </c>
      <c r="D1842" s="8">
        <v>0.67</v>
      </c>
    </row>
    <row r="1843" spans="1:4">
      <c r="A1843" t="str">
        <f t="shared" si="28"/>
        <v>155Profit-Loss Ratio</v>
      </c>
      <c r="B1843">
        <v>155</v>
      </c>
      <c r="C1843" s="9" t="s">
        <v>26</v>
      </c>
      <c r="D1843" s="8">
        <v>0.79</v>
      </c>
    </row>
    <row r="1844" spans="1:4">
      <c r="A1844" t="str">
        <f t="shared" si="28"/>
        <v>155Alpha</v>
      </c>
      <c r="B1844">
        <v>155</v>
      </c>
      <c r="C1844" s="9" t="s">
        <v>23</v>
      </c>
      <c r="D1844" s="8">
        <v>0.05</v>
      </c>
    </row>
    <row r="1845" spans="1:4">
      <c r="A1845" t="str">
        <f t="shared" si="28"/>
        <v>155Beta</v>
      </c>
      <c r="B1845">
        <v>155</v>
      </c>
      <c r="C1845" s="9" t="s">
        <v>24</v>
      </c>
      <c r="D1845" s="8">
        <v>-0.19400000000000001</v>
      </c>
    </row>
    <row r="1846" spans="1:4">
      <c r="A1846" t="str">
        <f t="shared" si="28"/>
        <v>155Annual Standard Deviation</v>
      </c>
      <c r="B1846">
        <v>155</v>
      </c>
      <c r="C1846" s="9" t="s">
        <v>35</v>
      </c>
      <c r="D1846" s="8">
        <v>8.2000000000000003E-2</v>
      </c>
    </row>
    <row r="1847" spans="1:4">
      <c r="A1847" t="str">
        <f t="shared" si="28"/>
        <v>155Annual Variance</v>
      </c>
      <c r="B1847">
        <v>155</v>
      </c>
      <c r="C1847" s="9" t="s">
        <v>36</v>
      </c>
      <c r="D1847" s="8">
        <v>7.0000000000000001E-3</v>
      </c>
    </row>
    <row r="1848" spans="1:4">
      <c r="A1848" t="str">
        <f t="shared" si="28"/>
        <v>155Information Ratio</v>
      </c>
      <c r="B1848">
        <v>155</v>
      </c>
      <c r="C1848" s="9" t="s">
        <v>37</v>
      </c>
      <c r="D1848" s="8">
        <v>-0.22800000000000001</v>
      </c>
    </row>
    <row r="1849" spans="1:4">
      <c r="A1849" t="str">
        <f t="shared" si="28"/>
        <v>155Tracking Error</v>
      </c>
      <c r="B1849">
        <v>155</v>
      </c>
      <c r="C1849" s="9" t="s">
        <v>38</v>
      </c>
      <c r="D1849" s="8">
        <v>0.114</v>
      </c>
    </row>
    <row r="1850" spans="1:4">
      <c r="A1850" t="str">
        <f t="shared" si="28"/>
        <v>155Treynor Ratio</v>
      </c>
      <c r="B1850">
        <v>155</v>
      </c>
      <c r="C1850" s="9" t="s">
        <v>39</v>
      </c>
      <c r="D1850" s="8">
        <v>-0.19500000000000001</v>
      </c>
    </row>
    <row r="1851" spans="1:4">
      <c r="A1851" t="str">
        <f t="shared" si="28"/>
        <v>155Total Fees</v>
      </c>
      <c r="B1851">
        <v>155</v>
      </c>
      <c r="C1851" s="9" t="s">
        <v>40</v>
      </c>
      <c r="D1851" s="8">
        <v>0</v>
      </c>
    </row>
    <row r="1852" spans="1:4">
      <c r="A1852" t="str">
        <f t="shared" si="28"/>
        <v>155Estimated Strategy Capacity</v>
      </c>
      <c r="B1852">
        <v>155</v>
      </c>
      <c r="C1852" s="9" t="s">
        <v>41</v>
      </c>
      <c r="D1852" s="8">
        <v>34000000</v>
      </c>
    </row>
    <row r="1853" spans="1:4">
      <c r="A1853" t="str">
        <f t="shared" si="28"/>
        <v>154PSR</v>
      </c>
      <c r="B1853">
        <v>154</v>
      </c>
      <c r="C1853" s="9" t="s">
        <v>27</v>
      </c>
      <c r="D1853" s="8">
        <v>0.2969</v>
      </c>
    </row>
    <row r="1854" spans="1:4">
      <c r="A1854" t="str">
        <f t="shared" si="28"/>
        <v>154Sharpe Ratio</v>
      </c>
      <c r="B1854">
        <v>154</v>
      </c>
      <c r="C1854" s="9" t="s">
        <v>1</v>
      </c>
      <c r="D1854" s="8">
        <v>0.42399999999999999</v>
      </c>
    </row>
    <row r="1855" spans="1:4">
      <c r="A1855" t="str">
        <f t="shared" si="28"/>
        <v>154Total Trades</v>
      </c>
      <c r="B1855">
        <v>154</v>
      </c>
      <c r="C1855" s="9" t="s">
        <v>28</v>
      </c>
      <c r="D1855" s="8">
        <v>285</v>
      </c>
    </row>
    <row r="1856" spans="1:4">
      <c r="A1856" t="str">
        <f t="shared" si="28"/>
        <v>154Average Win</v>
      </c>
      <c r="B1856">
        <v>154</v>
      </c>
      <c r="C1856" s="9" t="s">
        <v>25</v>
      </c>
      <c r="D1856" s="8">
        <v>1.6000000000000001E-3</v>
      </c>
    </row>
    <row r="1857" spans="1:4">
      <c r="A1857" t="str">
        <f t="shared" si="28"/>
        <v>154Average Loss</v>
      </c>
      <c r="B1857">
        <v>154</v>
      </c>
      <c r="C1857" s="9" t="s">
        <v>29</v>
      </c>
      <c r="D1857" s="8">
        <v>-2.0999999999999999E-3</v>
      </c>
    </row>
    <row r="1858" spans="1:4">
      <c r="A1858" t="str">
        <f t="shared" si="28"/>
        <v>154Compounding Annual Return</v>
      </c>
      <c r="B1858">
        <v>154</v>
      </c>
      <c r="C1858" s="9" t="s">
        <v>30</v>
      </c>
      <c r="D1858" s="8">
        <v>4.9399999999999999E-3</v>
      </c>
    </row>
    <row r="1859" spans="1:4">
      <c r="A1859" t="str">
        <f t="shared" ref="A1859:A1922" si="29">B1859&amp;C1859</f>
        <v>154Drawdown</v>
      </c>
      <c r="B1859">
        <v>154</v>
      </c>
      <c r="C1859" s="9" t="s">
        <v>8</v>
      </c>
      <c r="D1859" s="8">
        <v>7.0000000000000001E-3</v>
      </c>
    </row>
    <row r="1860" spans="1:4">
      <c r="A1860" t="str">
        <f t="shared" si="29"/>
        <v>154Expectancy</v>
      </c>
      <c r="B1860">
        <v>154</v>
      </c>
      <c r="C1860" s="9" t="s">
        <v>31</v>
      </c>
      <c r="D1860" s="8">
        <v>0.19</v>
      </c>
    </row>
    <row r="1861" spans="1:4">
      <c r="A1861" t="str">
        <f t="shared" si="29"/>
        <v>154Net Profit</v>
      </c>
      <c r="B1861">
        <v>154</v>
      </c>
      <c r="C1861" s="9" t="s">
        <v>32</v>
      </c>
      <c r="D1861" s="8">
        <v>3.1900000000000001E-3</v>
      </c>
    </row>
    <row r="1862" spans="1:4">
      <c r="A1862" t="str">
        <f t="shared" si="29"/>
        <v>154Loss Rate</v>
      </c>
      <c r="B1862">
        <v>154</v>
      </c>
      <c r="C1862" s="9" t="s">
        <v>33</v>
      </c>
      <c r="D1862" s="8">
        <v>0.33</v>
      </c>
    </row>
    <row r="1863" spans="1:4">
      <c r="A1863" t="str">
        <f t="shared" si="29"/>
        <v>154Win Rate</v>
      </c>
      <c r="B1863">
        <v>154</v>
      </c>
      <c r="C1863" s="9" t="s">
        <v>34</v>
      </c>
      <c r="D1863" s="8">
        <v>0.67</v>
      </c>
    </row>
    <row r="1864" spans="1:4">
      <c r="A1864" t="str">
        <f t="shared" si="29"/>
        <v>154Profit-Loss Ratio</v>
      </c>
      <c r="B1864">
        <v>154</v>
      </c>
      <c r="C1864" s="9" t="s">
        <v>26</v>
      </c>
      <c r="D1864" s="8">
        <v>0.79</v>
      </c>
    </row>
    <row r="1865" spans="1:4">
      <c r="A1865" t="str">
        <f t="shared" si="29"/>
        <v>154Alpha</v>
      </c>
      <c r="B1865">
        <v>154</v>
      </c>
      <c r="C1865" s="9" t="s">
        <v>23</v>
      </c>
      <c r="D1865" s="8">
        <v>5.0000000000000001E-3</v>
      </c>
    </row>
    <row r="1866" spans="1:4">
      <c r="A1866" t="str">
        <f t="shared" si="29"/>
        <v>154Beta</v>
      </c>
      <c r="B1866">
        <v>154</v>
      </c>
      <c r="C1866" s="9" t="s">
        <v>24</v>
      </c>
      <c r="D1866" s="8">
        <v>-1.9E-2</v>
      </c>
    </row>
    <row r="1867" spans="1:4">
      <c r="A1867" t="str">
        <f t="shared" si="29"/>
        <v>154Annual Standard Deviation</v>
      </c>
      <c r="B1867">
        <v>154</v>
      </c>
      <c r="C1867" s="9" t="s">
        <v>35</v>
      </c>
      <c r="D1867" s="8">
        <v>8.0000000000000002E-3</v>
      </c>
    </row>
    <row r="1868" spans="1:4">
      <c r="A1868" t="str">
        <f t="shared" si="29"/>
        <v>154Annual Variance</v>
      </c>
      <c r="B1868">
        <v>154</v>
      </c>
      <c r="C1868" s="9" t="s">
        <v>36</v>
      </c>
      <c r="D1868" s="8">
        <v>0</v>
      </c>
    </row>
    <row r="1869" spans="1:4">
      <c r="A1869" t="str">
        <f t="shared" si="29"/>
        <v>154Information Ratio</v>
      </c>
      <c r="B1869">
        <v>154</v>
      </c>
      <c r="C1869" s="9" t="s">
        <v>37</v>
      </c>
      <c r="D1869" s="8">
        <v>-0.879</v>
      </c>
    </row>
    <row r="1870" spans="1:4">
      <c r="A1870" t="str">
        <f t="shared" si="29"/>
        <v>154Tracking Error</v>
      </c>
      <c r="B1870">
        <v>154</v>
      </c>
      <c r="C1870" s="9" t="s">
        <v>38</v>
      </c>
      <c r="D1870" s="8">
        <v>6.8000000000000005E-2</v>
      </c>
    </row>
    <row r="1871" spans="1:4">
      <c r="A1871" t="str">
        <f t="shared" si="29"/>
        <v>154Treynor Ratio</v>
      </c>
      <c r="B1871">
        <v>154</v>
      </c>
      <c r="C1871" s="9" t="s">
        <v>39</v>
      </c>
      <c r="D1871" s="8">
        <v>-0.18</v>
      </c>
    </row>
    <row r="1872" spans="1:4">
      <c r="A1872" t="str">
        <f t="shared" si="29"/>
        <v>154Total Fees</v>
      </c>
      <c r="B1872">
        <v>154</v>
      </c>
      <c r="C1872" s="9" t="s">
        <v>40</v>
      </c>
      <c r="D1872" s="8">
        <v>0</v>
      </c>
    </row>
    <row r="1873" spans="1:4">
      <c r="A1873" t="str">
        <f t="shared" si="29"/>
        <v>154Estimated Strategy Capacity</v>
      </c>
      <c r="B1873">
        <v>154</v>
      </c>
      <c r="C1873" s="9" t="s">
        <v>41</v>
      </c>
      <c r="D1873" s="8">
        <v>320000000</v>
      </c>
    </row>
    <row r="1874" spans="1:4">
      <c r="A1874" t="str">
        <f t="shared" si="29"/>
        <v>153PSR</v>
      </c>
      <c r="B1874">
        <v>153</v>
      </c>
      <c r="C1874" s="9" t="s">
        <v>27</v>
      </c>
      <c r="D1874" s="8">
        <v>0.36874000000000001</v>
      </c>
    </row>
    <row r="1875" spans="1:4">
      <c r="A1875" t="str">
        <f t="shared" si="29"/>
        <v>153Sharpe Ratio</v>
      </c>
      <c r="B1875">
        <v>153</v>
      </c>
      <c r="C1875" s="9" t="s">
        <v>1</v>
      </c>
      <c r="D1875" s="8">
        <v>0.76200000000000001</v>
      </c>
    </row>
    <row r="1876" spans="1:4">
      <c r="A1876" t="str">
        <f t="shared" si="29"/>
        <v>153Total Trades</v>
      </c>
      <c r="B1876">
        <v>153</v>
      </c>
      <c r="C1876" s="9" t="s">
        <v>28</v>
      </c>
      <c r="D1876" s="8">
        <v>199</v>
      </c>
    </row>
    <row r="1877" spans="1:4">
      <c r="A1877" t="str">
        <f t="shared" si="29"/>
        <v>153Average Win</v>
      </c>
      <c r="B1877">
        <v>153</v>
      </c>
      <c r="C1877" s="9" t="s">
        <v>25</v>
      </c>
      <c r="D1877" s="8">
        <v>0.12470000000000001</v>
      </c>
    </row>
    <row r="1878" spans="1:4">
      <c r="A1878" t="str">
        <f t="shared" si="29"/>
        <v>153Average Loss</v>
      </c>
      <c r="B1878">
        <v>153</v>
      </c>
      <c r="C1878" s="9" t="s">
        <v>29</v>
      </c>
      <c r="D1878" s="8">
        <v>-4.2500000000000003E-2</v>
      </c>
    </row>
    <row r="1879" spans="1:4">
      <c r="A1879" t="str">
        <f t="shared" si="29"/>
        <v>153Compounding Annual Return</v>
      </c>
      <c r="B1879">
        <v>153</v>
      </c>
      <c r="C1879" s="9" t="s">
        <v>30</v>
      </c>
      <c r="D1879" s="8">
        <v>0.32389000000000001</v>
      </c>
    </row>
    <row r="1880" spans="1:4">
      <c r="A1880" t="str">
        <f t="shared" si="29"/>
        <v>153Drawdown</v>
      </c>
      <c r="B1880">
        <v>153</v>
      </c>
      <c r="C1880" s="9" t="s">
        <v>8</v>
      </c>
      <c r="D1880" s="8">
        <v>0.33300000000000002</v>
      </c>
    </row>
    <row r="1881" spans="1:4">
      <c r="A1881" t="str">
        <f t="shared" si="29"/>
        <v>153Expectancy</v>
      </c>
      <c r="B1881">
        <v>153</v>
      </c>
      <c r="C1881" s="9" t="s">
        <v>31</v>
      </c>
      <c r="D1881" s="8">
        <v>0.96799999999999997</v>
      </c>
    </row>
    <row r="1882" spans="1:4">
      <c r="A1882" t="str">
        <f t="shared" si="29"/>
        <v>153Net Profit</v>
      </c>
      <c r="B1882">
        <v>153</v>
      </c>
      <c r="C1882" s="9" t="s">
        <v>32</v>
      </c>
      <c r="D1882" s="8">
        <v>0.19886999999999999</v>
      </c>
    </row>
    <row r="1883" spans="1:4">
      <c r="A1883" t="str">
        <f t="shared" si="29"/>
        <v>153Loss Rate</v>
      </c>
      <c r="B1883">
        <v>153</v>
      </c>
      <c r="C1883" s="9" t="s">
        <v>33</v>
      </c>
      <c r="D1883" s="8">
        <v>0.5</v>
      </c>
    </row>
    <row r="1884" spans="1:4">
      <c r="A1884" t="str">
        <f t="shared" si="29"/>
        <v>153Win Rate</v>
      </c>
      <c r="B1884">
        <v>153</v>
      </c>
      <c r="C1884" s="9" t="s">
        <v>34</v>
      </c>
      <c r="D1884" s="8">
        <v>0.5</v>
      </c>
    </row>
    <row r="1885" spans="1:4">
      <c r="A1885" t="str">
        <f t="shared" si="29"/>
        <v>153Profit-Loss Ratio</v>
      </c>
      <c r="B1885">
        <v>153</v>
      </c>
      <c r="C1885" s="9" t="s">
        <v>26</v>
      </c>
      <c r="D1885" s="8">
        <v>2.94</v>
      </c>
    </row>
    <row r="1886" spans="1:4">
      <c r="A1886" t="str">
        <f t="shared" si="29"/>
        <v>153Alpha</v>
      </c>
      <c r="B1886">
        <v>153</v>
      </c>
      <c r="C1886" s="9" t="s">
        <v>23</v>
      </c>
      <c r="D1886" s="8">
        <v>0.47399999999999998</v>
      </c>
    </row>
    <row r="1887" spans="1:4">
      <c r="A1887" t="str">
        <f t="shared" si="29"/>
        <v>153Beta</v>
      </c>
      <c r="B1887">
        <v>153</v>
      </c>
      <c r="C1887" s="9" t="s">
        <v>24</v>
      </c>
      <c r="D1887" s="8">
        <v>-2.0539999999999998</v>
      </c>
    </row>
    <row r="1888" spans="1:4">
      <c r="A1888" t="str">
        <f t="shared" si="29"/>
        <v>153Annual Standard Deviation</v>
      </c>
      <c r="B1888">
        <v>153</v>
      </c>
      <c r="C1888" s="9" t="s">
        <v>35</v>
      </c>
      <c r="D1888" s="8">
        <v>0.45100000000000001</v>
      </c>
    </row>
    <row r="1889" spans="1:4">
      <c r="A1889" t="str">
        <f t="shared" si="29"/>
        <v>153Annual Variance</v>
      </c>
      <c r="B1889">
        <v>153</v>
      </c>
      <c r="C1889" s="9" t="s">
        <v>36</v>
      </c>
      <c r="D1889" s="8">
        <v>0.20300000000000001</v>
      </c>
    </row>
    <row r="1890" spans="1:4">
      <c r="A1890" t="str">
        <f t="shared" si="29"/>
        <v>153Information Ratio</v>
      </c>
      <c r="B1890">
        <v>153</v>
      </c>
      <c r="C1890" s="9" t="s">
        <v>37</v>
      </c>
      <c r="D1890" s="8">
        <v>0.58899999999999997</v>
      </c>
    </row>
    <row r="1891" spans="1:4">
      <c r="A1891" t="str">
        <f t="shared" si="29"/>
        <v>153Tracking Error</v>
      </c>
      <c r="B1891">
        <v>153</v>
      </c>
      <c r="C1891" s="9" t="s">
        <v>38</v>
      </c>
      <c r="D1891" s="8">
        <v>0.47499999999999998</v>
      </c>
    </row>
    <row r="1892" spans="1:4">
      <c r="A1892" t="str">
        <f t="shared" si="29"/>
        <v>153Treynor Ratio</v>
      </c>
      <c r="B1892">
        <v>153</v>
      </c>
      <c r="C1892" s="9" t="s">
        <v>39</v>
      </c>
      <c r="D1892" s="8">
        <v>-0.16700000000000001</v>
      </c>
    </row>
    <row r="1893" spans="1:4">
      <c r="A1893" t="str">
        <f t="shared" si="29"/>
        <v>153Total Fees</v>
      </c>
      <c r="B1893">
        <v>153</v>
      </c>
      <c r="C1893" s="9" t="s">
        <v>40</v>
      </c>
      <c r="D1893" s="8">
        <v>0</v>
      </c>
    </row>
    <row r="1894" spans="1:4">
      <c r="A1894" t="str">
        <f t="shared" si="29"/>
        <v>153Estimated Strategy Capacity</v>
      </c>
      <c r="B1894">
        <v>153</v>
      </c>
      <c r="C1894" s="9" t="s">
        <v>41</v>
      </c>
      <c r="D1894" s="8">
        <v>3700000</v>
      </c>
    </row>
    <row r="1895" spans="1:4">
      <c r="A1895" t="str">
        <f t="shared" si="29"/>
        <v>152PSR</v>
      </c>
      <c r="B1895">
        <v>152</v>
      </c>
      <c r="C1895" s="9" t="s">
        <v>27</v>
      </c>
      <c r="D1895" s="8">
        <v>0.30834</v>
      </c>
    </row>
    <row r="1896" spans="1:4">
      <c r="A1896" t="str">
        <f t="shared" si="29"/>
        <v>152Sharpe Ratio</v>
      </c>
      <c r="B1896">
        <v>152</v>
      </c>
      <c r="C1896" s="9" t="s">
        <v>1</v>
      </c>
      <c r="D1896" s="8">
        <v>0.495</v>
      </c>
    </row>
    <row r="1897" spans="1:4">
      <c r="A1897" t="str">
        <f t="shared" si="29"/>
        <v>152Total Trades</v>
      </c>
      <c r="B1897">
        <v>152</v>
      </c>
      <c r="C1897" s="9" t="s">
        <v>28</v>
      </c>
      <c r="D1897" s="8">
        <v>199</v>
      </c>
    </row>
    <row r="1898" spans="1:4">
      <c r="A1898" t="str">
        <f t="shared" si="29"/>
        <v>152Average Win</v>
      </c>
      <c r="B1898">
        <v>152</v>
      </c>
      <c r="C1898" s="9" t="s">
        <v>25</v>
      </c>
      <c r="D1898" s="8">
        <v>2.6599999999999999E-2</v>
      </c>
    </row>
    <row r="1899" spans="1:4">
      <c r="A1899" t="str">
        <f t="shared" si="29"/>
        <v>152Average Loss</v>
      </c>
      <c r="B1899">
        <v>152</v>
      </c>
      <c r="C1899" s="9" t="s">
        <v>29</v>
      </c>
      <c r="D1899" s="8">
        <v>-1.04E-2</v>
      </c>
    </row>
    <row r="1900" spans="1:4">
      <c r="A1900" t="str">
        <f t="shared" si="29"/>
        <v>152Compounding Annual Return</v>
      </c>
      <c r="B1900">
        <v>152</v>
      </c>
      <c r="C1900" s="9" t="s">
        <v>30</v>
      </c>
      <c r="D1900" s="8">
        <v>6.2190000000000002E-2</v>
      </c>
    </row>
    <row r="1901" spans="1:4">
      <c r="A1901" t="str">
        <f t="shared" si="29"/>
        <v>152Drawdown</v>
      </c>
      <c r="B1901">
        <v>152</v>
      </c>
      <c r="C1901" s="9" t="s">
        <v>8</v>
      </c>
      <c r="D1901" s="8">
        <v>6.8000000000000005E-2</v>
      </c>
    </row>
    <row r="1902" spans="1:4">
      <c r="A1902" t="str">
        <f t="shared" si="29"/>
        <v>152Expectancy</v>
      </c>
      <c r="B1902">
        <v>152</v>
      </c>
      <c r="C1902" s="9" t="s">
        <v>31</v>
      </c>
      <c r="D1902" s="8">
        <v>0.78200000000000003</v>
      </c>
    </row>
    <row r="1903" spans="1:4">
      <c r="A1903" t="str">
        <f t="shared" si="29"/>
        <v>152Net Profit</v>
      </c>
      <c r="B1903">
        <v>152</v>
      </c>
      <c r="C1903" s="9" t="s">
        <v>32</v>
      </c>
      <c r="D1903" s="8">
        <v>3.977E-2</v>
      </c>
    </row>
    <row r="1904" spans="1:4">
      <c r="A1904" t="str">
        <f t="shared" si="29"/>
        <v>152Loss Rate</v>
      </c>
      <c r="B1904">
        <v>152</v>
      </c>
      <c r="C1904" s="9" t="s">
        <v>33</v>
      </c>
      <c r="D1904" s="8">
        <v>0.5</v>
      </c>
    </row>
    <row r="1905" spans="1:4">
      <c r="A1905" t="str">
        <f t="shared" si="29"/>
        <v>152Win Rate</v>
      </c>
      <c r="B1905">
        <v>152</v>
      </c>
      <c r="C1905" s="9" t="s">
        <v>34</v>
      </c>
      <c r="D1905" s="8">
        <v>0.5</v>
      </c>
    </row>
    <row r="1906" spans="1:4">
      <c r="A1906" t="str">
        <f t="shared" si="29"/>
        <v>152Profit-Loss Ratio</v>
      </c>
      <c r="B1906">
        <v>152</v>
      </c>
      <c r="C1906" s="9" t="s">
        <v>26</v>
      </c>
      <c r="D1906" s="8">
        <v>2.56</v>
      </c>
    </row>
    <row r="1907" spans="1:4">
      <c r="A1907" t="str">
        <f t="shared" si="29"/>
        <v>152Alpha</v>
      </c>
      <c r="B1907">
        <v>152</v>
      </c>
      <c r="C1907" s="9" t="s">
        <v>23</v>
      </c>
      <c r="D1907" s="8">
        <v>7.6999999999999999E-2</v>
      </c>
    </row>
    <row r="1908" spans="1:4">
      <c r="A1908" t="str">
        <f t="shared" si="29"/>
        <v>152Beta</v>
      </c>
      <c r="B1908">
        <v>152</v>
      </c>
      <c r="C1908" s="9" t="s">
        <v>24</v>
      </c>
      <c r="D1908" s="8">
        <v>-0.46300000000000002</v>
      </c>
    </row>
    <row r="1909" spans="1:4">
      <c r="A1909" t="str">
        <f t="shared" si="29"/>
        <v>152Annual Standard Deviation</v>
      </c>
      <c r="B1909">
        <v>152</v>
      </c>
      <c r="C1909" s="9" t="s">
        <v>35</v>
      </c>
      <c r="D1909" s="8">
        <v>9.6000000000000002E-2</v>
      </c>
    </row>
    <row r="1910" spans="1:4">
      <c r="A1910" t="str">
        <f t="shared" si="29"/>
        <v>152Annual Variance</v>
      </c>
      <c r="B1910">
        <v>152</v>
      </c>
      <c r="C1910" s="9" t="s">
        <v>36</v>
      </c>
      <c r="D1910" s="8">
        <v>8.9999999999999993E-3</v>
      </c>
    </row>
    <row r="1911" spans="1:4">
      <c r="A1911" t="str">
        <f t="shared" si="29"/>
        <v>152Information Ratio</v>
      </c>
      <c r="B1911">
        <v>152</v>
      </c>
      <c r="C1911" s="9" t="s">
        <v>37</v>
      </c>
      <c r="D1911" s="8">
        <v>-0.122</v>
      </c>
    </row>
    <row r="1912" spans="1:4">
      <c r="A1912" t="str">
        <f t="shared" si="29"/>
        <v>152Tracking Error</v>
      </c>
      <c r="B1912">
        <v>152</v>
      </c>
      <c r="C1912" s="9" t="s">
        <v>38</v>
      </c>
      <c r="D1912" s="8">
        <v>0.13300000000000001</v>
      </c>
    </row>
    <row r="1913" spans="1:4">
      <c r="A1913" t="str">
        <f t="shared" si="29"/>
        <v>152Treynor Ratio</v>
      </c>
      <c r="B1913">
        <v>152</v>
      </c>
      <c r="C1913" s="9" t="s">
        <v>39</v>
      </c>
      <c r="D1913" s="8">
        <v>-0.10199999999999999</v>
      </c>
    </row>
    <row r="1914" spans="1:4">
      <c r="A1914" t="str">
        <f t="shared" si="29"/>
        <v>152Total Fees</v>
      </c>
      <c r="B1914">
        <v>152</v>
      </c>
      <c r="C1914" s="9" t="s">
        <v>40</v>
      </c>
      <c r="D1914" s="8">
        <v>0</v>
      </c>
    </row>
    <row r="1915" spans="1:4">
      <c r="A1915" t="str">
        <f t="shared" si="29"/>
        <v>152Estimated Strategy Capacity</v>
      </c>
      <c r="B1915">
        <v>152</v>
      </c>
      <c r="C1915" s="9" t="s">
        <v>41</v>
      </c>
      <c r="D1915" s="8">
        <v>13000000</v>
      </c>
    </row>
    <row r="1916" spans="1:4">
      <c r="A1916" t="str">
        <f t="shared" si="29"/>
        <v>151PSR</v>
      </c>
      <c r="B1916">
        <v>151</v>
      </c>
      <c r="C1916" s="9" t="s">
        <v>27</v>
      </c>
      <c r="D1916" s="8">
        <v>0.29361999999999999</v>
      </c>
    </row>
    <row r="1917" spans="1:4">
      <c r="A1917" t="str">
        <f t="shared" si="29"/>
        <v>151Sharpe Ratio</v>
      </c>
      <c r="B1917">
        <v>151</v>
      </c>
      <c r="C1917" s="9" t="s">
        <v>1</v>
      </c>
      <c r="D1917" s="8">
        <v>0.441</v>
      </c>
    </row>
    <row r="1918" spans="1:4">
      <c r="A1918" t="str">
        <f t="shared" si="29"/>
        <v>151Total Trades</v>
      </c>
      <c r="B1918">
        <v>151</v>
      </c>
      <c r="C1918" s="9" t="s">
        <v>28</v>
      </c>
      <c r="D1918" s="8">
        <v>199</v>
      </c>
    </row>
    <row r="1919" spans="1:4">
      <c r="A1919" t="str">
        <f t="shared" si="29"/>
        <v>151Average Win</v>
      </c>
      <c r="B1919">
        <v>151</v>
      </c>
      <c r="C1919" s="9" t="s">
        <v>25</v>
      </c>
      <c r="D1919" s="8">
        <v>2.7000000000000001E-3</v>
      </c>
    </row>
    <row r="1920" spans="1:4">
      <c r="A1920" t="str">
        <f t="shared" si="29"/>
        <v>151Average Loss</v>
      </c>
      <c r="B1920">
        <v>151</v>
      </c>
      <c r="C1920" s="9" t="s">
        <v>29</v>
      </c>
      <c r="D1920" s="8">
        <v>-1.1000000000000001E-3</v>
      </c>
    </row>
    <row r="1921" spans="1:4">
      <c r="A1921" t="str">
        <f t="shared" si="29"/>
        <v>151Compounding Annual Return</v>
      </c>
      <c r="B1921">
        <v>151</v>
      </c>
      <c r="C1921" s="9" t="s">
        <v>30</v>
      </c>
      <c r="D1921" s="8">
        <v>6.1599999999999997E-3</v>
      </c>
    </row>
    <row r="1922" spans="1:4">
      <c r="A1922" t="str">
        <f t="shared" si="29"/>
        <v>151Drawdown</v>
      </c>
      <c r="B1922">
        <v>151</v>
      </c>
      <c r="C1922" s="9" t="s">
        <v>8</v>
      </c>
      <c r="D1922" s="8">
        <v>7.0000000000000001E-3</v>
      </c>
    </row>
    <row r="1923" spans="1:4">
      <c r="A1923" t="str">
        <f t="shared" ref="A1923:A1986" si="30">B1923&amp;C1923</f>
        <v>151Expectancy</v>
      </c>
      <c r="B1923">
        <v>151</v>
      </c>
      <c r="C1923" s="9" t="s">
        <v>31</v>
      </c>
      <c r="D1923" s="8">
        <v>0.73799999999999999</v>
      </c>
    </row>
    <row r="1924" spans="1:4">
      <c r="A1924" t="str">
        <f t="shared" si="30"/>
        <v>151Net Profit</v>
      </c>
      <c r="B1924">
        <v>151</v>
      </c>
      <c r="C1924" s="9" t="s">
        <v>32</v>
      </c>
      <c r="D1924" s="8">
        <v>3.98E-3</v>
      </c>
    </row>
    <row r="1925" spans="1:4">
      <c r="A1925" t="str">
        <f t="shared" si="30"/>
        <v>151Loss Rate</v>
      </c>
      <c r="B1925">
        <v>151</v>
      </c>
      <c r="C1925" s="9" t="s">
        <v>33</v>
      </c>
      <c r="D1925" s="8">
        <v>0.5</v>
      </c>
    </row>
    <row r="1926" spans="1:4">
      <c r="A1926" t="str">
        <f t="shared" si="30"/>
        <v>151Win Rate</v>
      </c>
      <c r="B1926">
        <v>151</v>
      </c>
      <c r="C1926" s="9" t="s">
        <v>34</v>
      </c>
      <c r="D1926" s="8">
        <v>0.5</v>
      </c>
    </row>
    <row r="1927" spans="1:4">
      <c r="A1927" t="str">
        <f t="shared" si="30"/>
        <v>151Profit-Loss Ratio</v>
      </c>
      <c r="B1927">
        <v>151</v>
      </c>
      <c r="C1927" s="9" t="s">
        <v>26</v>
      </c>
      <c r="D1927" s="8">
        <v>2.48</v>
      </c>
    </row>
    <row r="1928" spans="1:4">
      <c r="A1928" t="str">
        <f t="shared" si="30"/>
        <v>151Alpha</v>
      </c>
      <c r="B1928">
        <v>151</v>
      </c>
      <c r="C1928" s="9" t="s">
        <v>23</v>
      </c>
      <c r="D1928" s="8">
        <v>7.0000000000000001E-3</v>
      </c>
    </row>
    <row r="1929" spans="1:4">
      <c r="A1929" t="str">
        <f t="shared" si="30"/>
        <v>151Beta</v>
      </c>
      <c r="B1929">
        <v>151</v>
      </c>
      <c r="C1929" s="9" t="s">
        <v>24</v>
      </c>
      <c r="D1929" s="8">
        <v>-4.8000000000000001E-2</v>
      </c>
    </row>
    <row r="1930" spans="1:4">
      <c r="A1930" t="str">
        <f t="shared" si="30"/>
        <v>151Annual Standard Deviation</v>
      </c>
      <c r="B1930">
        <v>151</v>
      </c>
      <c r="C1930" s="9" t="s">
        <v>35</v>
      </c>
      <c r="D1930" s="8">
        <v>0.01</v>
      </c>
    </row>
    <row r="1931" spans="1:4">
      <c r="A1931" t="str">
        <f t="shared" si="30"/>
        <v>151Annual Variance</v>
      </c>
      <c r="B1931">
        <v>151</v>
      </c>
      <c r="C1931" s="9" t="s">
        <v>36</v>
      </c>
      <c r="D1931" s="8">
        <v>0</v>
      </c>
    </row>
    <row r="1932" spans="1:4">
      <c r="A1932" t="str">
        <f t="shared" si="30"/>
        <v>151Information Ratio</v>
      </c>
      <c r="B1932">
        <v>151</v>
      </c>
      <c r="C1932" s="9" t="s">
        <v>37</v>
      </c>
      <c r="D1932" s="8">
        <v>-0.84199999999999997</v>
      </c>
    </row>
    <row r="1933" spans="1:4">
      <c r="A1933" t="str">
        <f t="shared" si="30"/>
        <v>151Tracking Error</v>
      </c>
      <c r="B1933">
        <v>151</v>
      </c>
      <c r="C1933" s="9" t="s">
        <v>38</v>
      </c>
      <c r="D1933" s="8">
        <v>7.0999999999999994E-2</v>
      </c>
    </row>
    <row r="1934" spans="1:4">
      <c r="A1934" t="str">
        <f t="shared" si="30"/>
        <v>151Treynor Ratio</v>
      </c>
      <c r="B1934">
        <v>151</v>
      </c>
      <c r="C1934" s="9" t="s">
        <v>39</v>
      </c>
      <c r="D1934" s="8">
        <v>-0.09</v>
      </c>
    </row>
    <row r="1935" spans="1:4">
      <c r="A1935" t="str">
        <f t="shared" si="30"/>
        <v>151Total Fees</v>
      </c>
      <c r="B1935">
        <v>151</v>
      </c>
      <c r="C1935" s="9" t="s">
        <v>40</v>
      </c>
      <c r="D1935" s="8">
        <v>0</v>
      </c>
    </row>
    <row r="1936" spans="1:4">
      <c r="A1936" t="str">
        <f t="shared" si="30"/>
        <v>151Estimated Strategy Capacity</v>
      </c>
      <c r="B1936">
        <v>151</v>
      </c>
      <c r="C1936" s="9" t="s">
        <v>41</v>
      </c>
      <c r="D1936" s="8">
        <v>120000000</v>
      </c>
    </row>
    <row r="1937" spans="1:4">
      <c r="A1937" t="str">
        <f t="shared" si="30"/>
        <v>150PSR</v>
      </c>
      <c r="B1937">
        <v>150</v>
      </c>
      <c r="C1937" s="9" t="s">
        <v>27</v>
      </c>
      <c r="D1937" s="8">
        <v>8.0699999999999994E-2</v>
      </c>
    </row>
    <row r="1938" spans="1:4">
      <c r="A1938" t="str">
        <f t="shared" si="30"/>
        <v>150Sharpe Ratio</v>
      </c>
      <c r="B1938">
        <v>150</v>
      </c>
      <c r="C1938" s="9" t="s">
        <v>1</v>
      </c>
      <c r="D1938" s="8">
        <v>-0.32</v>
      </c>
    </row>
    <row r="1939" spans="1:4">
      <c r="A1939" t="str">
        <f t="shared" si="30"/>
        <v>150Total Trades</v>
      </c>
      <c r="B1939">
        <v>150</v>
      </c>
      <c r="C1939" s="9" t="s">
        <v>28</v>
      </c>
      <c r="D1939" s="8">
        <v>267</v>
      </c>
    </row>
    <row r="1940" spans="1:4">
      <c r="A1940" t="str">
        <f t="shared" si="30"/>
        <v>150Average Win</v>
      </c>
      <c r="B1940">
        <v>150</v>
      </c>
      <c r="C1940" s="9" t="s">
        <v>25</v>
      </c>
      <c r="D1940" s="8">
        <v>0.14990000000000001</v>
      </c>
    </row>
    <row r="1941" spans="1:4">
      <c r="A1941" t="str">
        <f t="shared" si="30"/>
        <v>150Average Loss</v>
      </c>
      <c r="B1941">
        <v>150</v>
      </c>
      <c r="C1941" s="9" t="s">
        <v>29</v>
      </c>
      <c r="D1941" s="8">
        <v>-0.1085</v>
      </c>
    </row>
    <row r="1942" spans="1:4">
      <c r="A1942" t="str">
        <f t="shared" si="30"/>
        <v>150Compounding Annual Return</v>
      </c>
      <c r="B1942">
        <v>150</v>
      </c>
      <c r="C1942" s="9" t="s">
        <v>30</v>
      </c>
      <c r="D1942" s="8">
        <v>-0.96850000000000003</v>
      </c>
    </row>
    <row r="1943" spans="1:4">
      <c r="A1943" t="str">
        <f t="shared" si="30"/>
        <v>150Drawdown</v>
      </c>
      <c r="B1943">
        <v>150</v>
      </c>
      <c r="C1943" s="9" t="s">
        <v>8</v>
      </c>
      <c r="D1943" s="8">
        <v>0.94299999999999995</v>
      </c>
    </row>
    <row r="1944" spans="1:4">
      <c r="A1944" t="str">
        <f t="shared" si="30"/>
        <v>150Expectancy</v>
      </c>
      <c r="B1944">
        <v>150</v>
      </c>
      <c r="C1944" s="9" t="s">
        <v>31</v>
      </c>
      <c r="D1944" s="8">
        <v>-0.60299999999999998</v>
      </c>
    </row>
    <row r="1945" spans="1:4">
      <c r="A1945" t="str">
        <f t="shared" si="30"/>
        <v>150Net Profit</v>
      </c>
      <c r="B1945">
        <v>150</v>
      </c>
      <c r="C1945" s="9" t="s">
        <v>32</v>
      </c>
      <c r="D1945" s="8">
        <v>-0.89305000000000001</v>
      </c>
    </row>
    <row r="1946" spans="1:4">
      <c r="A1946" t="str">
        <f t="shared" si="30"/>
        <v>150Loss Rate</v>
      </c>
      <c r="B1946">
        <v>150</v>
      </c>
      <c r="C1946" s="9" t="s">
        <v>33</v>
      </c>
      <c r="D1946" s="8">
        <v>0.83</v>
      </c>
    </row>
    <row r="1947" spans="1:4">
      <c r="A1947" t="str">
        <f t="shared" si="30"/>
        <v>150Win Rate</v>
      </c>
      <c r="B1947">
        <v>150</v>
      </c>
      <c r="C1947" s="9" t="s">
        <v>34</v>
      </c>
      <c r="D1947" s="8">
        <v>0.17</v>
      </c>
    </row>
    <row r="1948" spans="1:4">
      <c r="A1948" t="str">
        <f t="shared" si="30"/>
        <v>150Profit-Loss Ratio</v>
      </c>
      <c r="B1948">
        <v>150</v>
      </c>
      <c r="C1948" s="9" t="s">
        <v>26</v>
      </c>
      <c r="D1948" s="8">
        <v>1.38</v>
      </c>
    </row>
    <row r="1949" spans="1:4">
      <c r="A1949" t="str">
        <f t="shared" si="30"/>
        <v>150Alpha</v>
      </c>
      <c r="B1949">
        <v>150</v>
      </c>
      <c r="C1949" s="9" t="s">
        <v>23</v>
      </c>
      <c r="D1949" s="8">
        <v>0.39200000000000002</v>
      </c>
    </row>
    <row r="1950" spans="1:4">
      <c r="A1950" t="str">
        <f t="shared" si="30"/>
        <v>150Beta</v>
      </c>
      <c r="B1950">
        <v>150</v>
      </c>
      <c r="C1950" s="9" t="s">
        <v>24</v>
      </c>
      <c r="D1950" s="8">
        <v>-14.928000000000001</v>
      </c>
    </row>
    <row r="1951" spans="1:4">
      <c r="A1951" t="str">
        <f t="shared" si="30"/>
        <v>150Annual Standard Deviation</v>
      </c>
      <c r="B1951">
        <v>150</v>
      </c>
      <c r="C1951" s="9" t="s">
        <v>35</v>
      </c>
      <c r="D1951" s="8">
        <v>1.746</v>
      </c>
    </row>
    <row r="1952" spans="1:4">
      <c r="A1952" t="str">
        <f t="shared" si="30"/>
        <v>150Annual Variance</v>
      </c>
      <c r="B1952">
        <v>150</v>
      </c>
      <c r="C1952" s="9" t="s">
        <v>36</v>
      </c>
      <c r="D1952" s="8">
        <v>3.048</v>
      </c>
    </row>
    <row r="1953" spans="1:4">
      <c r="A1953" t="str">
        <f t="shared" si="30"/>
        <v>150Information Ratio</v>
      </c>
      <c r="B1953">
        <v>150</v>
      </c>
      <c r="C1953" s="9" t="s">
        <v>37</v>
      </c>
      <c r="D1953" s="8">
        <v>-0.34899999999999998</v>
      </c>
    </row>
    <row r="1954" spans="1:4">
      <c r="A1954" t="str">
        <f t="shared" si="30"/>
        <v>150Tracking Error</v>
      </c>
      <c r="B1954">
        <v>150</v>
      </c>
      <c r="C1954" s="9" t="s">
        <v>38</v>
      </c>
      <c r="D1954" s="8">
        <v>1.7849999999999999</v>
      </c>
    </row>
    <row r="1955" spans="1:4">
      <c r="A1955" t="str">
        <f t="shared" si="30"/>
        <v>150Treynor Ratio</v>
      </c>
      <c r="B1955">
        <v>150</v>
      </c>
      <c r="C1955" s="9" t="s">
        <v>39</v>
      </c>
      <c r="D1955" s="8">
        <v>3.6999999999999998E-2</v>
      </c>
    </row>
    <row r="1956" spans="1:4">
      <c r="A1956" t="str">
        <f t="shared" si="30"/>
        <v>150Total Fees</v>
      </c>
      <c r="B1956">
        <v>150</v>
      </c>
      <c r="C1956" s="9" t="s">
        <v>40</v>
      </c>
      <c r="D1956" s="8">
        <v>0</v>
      </c>
    </row>
    <row r="1957" spans="1:4">
      <c r="A1957" t="str">
        <f t="shared" si="30"/>
        <v>150Estimated Strategy Capacity</v>
      </c>
      <c r="B1957">
        <v>150</v>
      </c>
      <c r="C1957" s="9" t="s">
        <v>41</v>
      </c>
      <c r="D1957" s="8">
        <v>2900000</v>
      </c>
    </row>
    <row r="1958" spans="1:4">
      <c r="A1958" t="str">
        <f t="shared" si="30"/>
        <v>149PSR</v>
      </c>
      <c r="B1958">
        <v>149</v>
      </c>
      <c r="C1958" s="9" t="s">
        <v>27</v>
      </c>
      <c r="D1958" s="8">
        <v>2.6950000000000002E-2</v>
      </c>
    </row>
    <row r="1959" spans="1:4">
      <c r="A1959" t="str">
        <f t="shared" si="30"/>
        <v>149Sharpe Ratio</v>
      </c>
      <c r="B1959">
        <v>149</v>
      </c>
      <c r="C1959" s="9" t="s">
        <v>1</v>
      </c>
      <c r="D1959" s="8">
        <v>-0.94199999999999995</v>
      </c>
    </row>
    <row r="1960" spans="1:4">
      <c r="A1960" t="str">
        <f t="shared" si="30"/>
        <v>149Total Trades</v>
      </c>
      <c r="B1960">
        <v>149</v>
      </c>
      <c r="C1960" s="9" t="s">
        <v>28</v>
      </c>
      <c r="D1960" s="8">
        <v>281</v>
      </c>
    </row>
    <row r="1961" spans="1:4">
      <c r="A1961" t="str">
        <f t="shared" si="30"/>
        <v>149Average Win</v>
      </c>
      <c r="B1961">
        <v>149</v>
      </c>
      <c r="C1961" s="9" t="s">
        <v>25</v>
      </c>
      <c r="D1961" s="8">
        <v>0.02</v>
      </c>
    </row>
    <row r="1962" spans="1:4">
      <c r="A1962" t="str">
        <f t="shared" si="30"/>
        <v>149Average Loss</v>
      </c>
      <c r="B1962">
        <v>149</v>
      </c>
      <c r="C1962" s="9" t="s">
        <v>29</v>
      </c>
      <c r="D1962" s="8">
        <v>-3.5000000000000003E-2</v>
      </c>
    </row>
    <row r="1963" spans="1:4">
      <c r="A1963" t="str">
        <f t="shared" si="30"/>
        <v>149Compounding Annual Return</v>
      </c>
      <c r="B1963">
        <v>149</v>
      </c>
      <c r="C1963" s="9" t="s">
        <v>30</v>
      </c>
      <c r="D1963" s="8">
        <v>-0.23028999999999999</v>
      </c>
    </row>
    <row r="1964" spans="1:4">
      <c r="A1964" t="str">
        <f t="shared" si="30"/>
        <v>149Drawdown</v>
      </c>
      <c r="B1964">
        <v>149</v>
      </c>
      <c r="C1964" s="9" t="s">
        <v>8</v>
      </c>
      <c r="D1964" s="8">
        <v>0.22800000000000001</v>
      </c>
    </row>
    <row r="1965" spans="1:4">
      <c r="A1965" t="str">
        <f t="shared" si="30"/>
        <v>149Expectancy</v>
      </c>
      <c r="B1965">
        <v>149</v>
      </c>
      <c r="C1965" s="9" t="s">
        <v>31</v>
      </c>
      <c r="D1965" s="8">
        <v>-0.47599999999999998</v>
      </c>
    </row>
    <row r="1966" spans="1:4">
      <c r="A1966" t="str">
        <f t="shared" si="30"/>
        <v>149Net Profit</v>
      </c>
      <c r="B1966">
        <v>149</v>
      </c>
      <c r="C1966" s="9" t="s">
        <v>32</v>
      </c>
      <c r="D1966" s="8">
        <v>-0.15565999999999999</v>
      </c>
    </row>
    <row r="1967" spans="1:4">
      <c r="A1967" t="str">
        <f t="shared" si="30"/>
        <v>149Loss Rate</v>
      </c>
      <c r="B1967">
        <v>149</v>
      </c>
      <c r="C1967" s="9" t="s">
        <v>33</v>
      </c>
      <c r="D1967" s="8">
        <v>0.67</v>
      </c>
    </row>
    <row r="1968" spans="1:4">
      <c r="A1968" t="str">
        <f t="shared" si="30"/>
        <v>149Win Rate</v>
      </c>
      <c r="B1968">
        <v>149</v>
      </c>
      <c r="C1968" s="9" t="s">
        <v>34</v>
      </c>
      <c r="D1968" s="8">
        <v>0.33</v>
      </c>
    </row>
    <row r="1969" spans="1:4">
      <c r="A1969" t="str">
        <f t="shared" si="30"/>
        <v>149Profit-Loss Ratio</v>
      </c>
      <c r="B1969">
        <v>149</v>
      </c>
      <c r="C1969" s="9" t="s">
        <v>26</v>
      </c>
      <c r="D1969" s="8">
        <v>0.56999999999999995</v>
      </c>
    </row>
    <row r="1970" spans="1:4">
      <c r="A1970" t="str">
        <f t="shared" si="30"/>
        <v>149Alpha</v>
      </c>
      <c r="B1970">
        <v>149</v>
      </c>
      <c r="C1970" s="9" t="s">
        <v>23</v>
      </c>
      <c r="D1970" s="8">
        <v>-6.8000000000000005E-2</v>
      </c>
    </row>
    <row r="1971" spans="1:4">
      <c r="A1971" t="str">
        <f t="shared" si="30"/>
        <v>149Beta</v>
      </c>
      <c r="B1971">
        <v>149</v>
      </c>
      <c r="C1971" s="9" t="s">
        <v>24</v>
      </c>
      <c r="D1971" s="8">
        <v>-1.3620000000000001</v>
      </c>
    </row>
    <row r="1972" spans="1:4">
      <c r="A1972" t="str">
        <f t="shared" si="30"/>
        <v>149Annual Standard Deviation</v>
      </c>
      <c r="B1972">
        <v>149</v>
      </c>
      <c r="C1972" s="9" t="s">
        <v>35</v>
      </c>
      <c r="D1972" s="8">
        <v>0.16400000000000001</v>
      </c>
    </row>
    <row r="1973" spans="1:4">
      <c r="A1973" t="str">
        <f t="shared" si="30"/>
        <v>149Annual Variance</v>
      </c>
      <c r="B1973">
        <v>149</v>
      </c>
      <c r="C1973" s="9" t="s">
        <v>36</v>
      </c>
      <c r="D1973" s="8">
        <v>2.7E-2</v>
      </c>
    </row>
    <row r="1974" spans="1:4">
      <c r="A1974" t="str">
        <f t="shared" si="30"/>
        <v>149Information Ratio</v>
      </c>
      <c r="B1974">
        <v>149</v>
      </c>
      <c r="C1974" s="9" t="s">
        <v>37</v>
      </c>
      <c r="D1974" s="8">
        <v>-1.046</v>
      </c>
    </row>
    <row r="1975" spans="1:4">
      <c r="A1975" t="str">
        <f t="shared" si="30"/>
        <v>149Tracking Error</v>
      </c>
      <c r="B1975">
        <v>149</v>
      </c>
      <c r="C1975" s="9" t="s">
        <v>38</v>
      </c>
      <c r="D1975" s="8">
        <v>0.20899999999999999</v>
      </c>
    </row>
    <row r="1976" spans="1:4">
      <c r="A1976" t="str">
        <f t="shared" si="30"/>
        <v>149Treynor Ratio</v>
      </c>
      <c r="B1976">
        <v>149</v>
      </c>
      <c r="C1976" s="9" t="s">
        <v>39</v>
      </c>
      <c r="D1976" s="8">
        <v>0.114</v>
      </c>
    </row>
    <row r="1977" spans="1:4">
      <c r="A1977" t="str">
        <f t="shared" si="30"/>
        <v>149Total Fees</v>
      </c>
      <c r="B1977">
        <v>149</v>
      </c>
      <c r="C1977" s="9" t="s">
        <v>40</v>
      </c>
      <c r="D1977" s="8">
        <v>0</v>
      </c>
    </row>
    <row r="1978" spans="1:4">
      <c r="A1978" t="str">
        <f t="shared" si="30"/>
        <v>149Estimated Strategy Capacity</v>
      </c>
      <c r="B1978">
        <v>149</v>
      </c>
      <c r="C1978" s="9" t="s">
        <v>41</v>
      </c>
      <c r="D1978" s="8">
        <v>82000000</v>
      </c>
    </row>
    <row r="1979" spans="1:4">
      <c r="A1979" t="str">
        <f t="shared" si="30"/>
        <v>148PSR</v>
      </c>
      <c r="B1979">
        <v>148</v>
      </c>
      <c r="C1979" s="9" t="s">
        <v>27</v>
      </c>
      <c r="D1979" s="8">
        <v>2.0029999999999999E-2</v>
      </c>
    </row>
    <row r="1980" spans="1:4">
      <c r="A1980" t="str">
        <f t="shared" si="30"/>
        <v>148Sharpe Ratio</v>
      </c>
      <c r="B1980">
        <v>148</v>
      </c>
      <c r="C1980" s="9" t="s">
        <v>1</v>
      </c>
      <c r="D1980" s="8">
        <v>-1.1379999999999999</v>
      </c>
    </row>
    <row r="1981" spans="1:4">
      <c r="A1981" t="str">
        <f t="shared" si="30"/>
        <v>148Total Trades</v>
      </c>
      <c r="B1981">
        <v>148</v>
      </c>
      <c r="C1981" s="9" t="s">
        <v>28</v>
      </c>
      <c r="D1981" s="8">
        <v>281</v>
      </c>
    </row>
    <row r="1982" spans="1:4">
      <c r="A1982" t="str">
        <f t="shared" si="30"/>
        <v>148Average Win</v>
      </c>
      <c r="B1982">
        <v>148</v>
      </c>
      <c r="C1982" s="9" t="s">
        <v>25</v>
      </c>
      <c r="D1982" s="8">
        <v>1.8E-3</v>
      </c>
    </row>
    <row r="1983" spans="1:4">
      <c r="A1983" t="str">
        <f t="shared" si="30"/>
        <v>148Average Loss</v>
      </c>
      <c r="B1983">
        <v>148</v>
      </c>
      <c r="C1983" s="9" t="s">
        <v>29</v>
      </c>
      <c r="D1983" s="8">
        <v>-3.3999999999999998E-3</v>
      </c>
    </row>
    <row r="1984" spans="1:4">
      <c r="A1984" t="str">
        <f t="shared" si="30"/>
        <v>148Compounding Annual Return</v>
      </c>
      <c r="B1984">
        <v>148</v>
      </c>
      <c r="C1984" s="9" t="s">
        <v>30</v>
      </c>
      <c r="D1984" s="8">
        <v>-2.3980000000000001E-2</v>
      </c>
    </row>
    <row r="1985" spans="1:4">
      <c r="A1985" t="str">
        <f t="shared" si="30"/>
        <v>148Drawdown</v>
      </c>
      <c r="B1985">
        <v>148</v>
      </c>
      <c r="C1985" s="9" t="s">
        <v>8</v>
      </c>
      <c r="D1985" s="8">
        <v>2.3E-2</v>
      </c>
    </row>
    <row r="1986" spans="1:4">
      <c r="A1986" t="str">
        <f t="shared" si="30"/>
        <v>148Expectancy</v>
      </c>
      <c r="B1986">
        <v>148</v>
      </c>
      <c r="C1986" s="9" t="s">
        <v>31</v>
      </c>
      <c r="D1986" s="8">
        <v>-0.49199999999999999</v>
      </c>
    </row>
    <row r="1987" spans="1:4">
      <c r="A1987" t="str">
        <f t="shared" ref="A1987:A2050" si="31">B1987&amp;C1987</f>
        <v>148Net Profit</v>
      </c>
      <c r="B1987">
        <v>148</v>
      </c>
      <c r="C1987" s="9" t="s">
        <v>32</v>
      </c>
      <c r="D1987" s="8">
        <v>-1.5570000000000001E-2</v>
      </c>
    </row>
    <row r="1988" spans="1:4">
      <c r="A1988" t="str">
        <f t="shared" si="31"/>
        <v>148Loss Rate</v>
      </c>
      <c r="B1988">
        <v>148</v>
      </c>
      <c r="C1988" s="9" t="s">
        <v>33</v>
      </c>
      <c r="D1988" s="8">
        <v>0.67</v>
      </c>
    </row>
    <row r="1989" spans="1:4">
      <c r="A1989" t="str">
        <f t="shared" si="31"/>
        <v>148Win Rate</v>
      </c>
      <c r="B1989">
        <v>148</v>
      </c>
      <c r="C1989" s="9" t="s">
        <v>34</v>
      </c>
      <c r="D1989" s="8">
        <v>0.33</v>
      </c>
    </row>
    <row r="1990" spans="1:4">
      <c r="A1990" t="str">
        <f t="shared" si="31"/>
        <v>148Profit-Loss Ratio</v>
      </c>
      <c r="B1990">
        <v>148</v>
      </c>
      <c r="C1990" s="9" t="s">
        <v>26</v>
      </c>
      <c r="D1990" s="8">
        <v>0.52</v>
      </c>
    </row>
    <row r="1991" spans="1:4">
      <c r="A1991" t="str">
        <f t="shared" si="31"/>
        <v>148Alpha</v>
      </c>
      <c r="B1991">
        <v>148</v>
      </c>
      <c r="C1991" s="9" t="s">
        <v>23</v>
      </c>
      <c r="D1991" s="8">
        <v>-8.9999999999999993E-3</v>
      </c>
    </row>
    <row r="1992" spans="1:4">
      <c r="A1992" t="str">
        <f t="shared" si="31"/>
        <v>148Beta</v>
      </c>
      <c r="B1992">
        <v>148</v>
      </c>
      <c r="C1992" s="9" t="s">
        <v>24</v>
      </c>
      <c r="D1992" s="8">
        <v>-0.121</v>
      </c>
    </row>
    <row r="1993" spans="1:4">
      <c r="A1993" t="str">
        <f t="shared" si="31"/>
        <v>148Annual Standard Deviation</v>
      </c>
      <c r="B1993">
        <v>148</v>
      </c>
      <c r="C1993" s="9" t="s">
        <v>35</v>
      </c>
      <c r="D1993" s="8">
        <v>1.4999999999999999E-2</v>
      </c>
    </row>
    <row r="1994" spans="1:4">
      <c r="A1994" t="str">
        <f t="shared" si="31"/>
        <v>148Annual Variance</v>
      </c>
      <c r="B1994">
        <v>148</v>
      </c>
      <c r="C1994" s="9" t="s">
        <v>36</v>
      </c>
      <c r="D1994" s="8">
        <v>0</v>
      </c>
    </row>
    <row r="1995" spans="1:4">
      <c r="A1995" t="str">
        <f t="shared" si="31"/>
        <v>148Information Ratio</v>
      </c>
      <c r="B1995">
        <v>148</v>
      </c>
      <c r="C1995" s="9" t="s">
        <v>37</v>
      </c>
      <c r="D1995" s="8">
        <v>-1.0589999999999999</v>
      </c>
    </row>
    <row r="1996" spans="1:4">
      <c r="A1996" t="str">
        <f t="shared" si="31"/>
        <v>148Tracking Error</v>
      </c>
      <c r="B1996">
        <v>148</v>
      </c>
      <c r="C1996" s="9" t="s">
        <v>38</v>
      </c>
      <c r="D1996" s="8">
        <v>7.5999999999999998E-2</v>
      </c>
    </row>
    <row r="1997" spans="1:4">
      <c r="A1997" t="str">
        <f t="shared" si="31"/>
        <v>148Treynor Ratio</v>
      </c>
      <c r="B1997">
        <v>148</v>
      </c>
      <c r="C1997" s="9" t="s">
        <v>39</v>
      </c>
      <c r="D1997" s="8">
        <v>0.13700000000000001</v>
      </c>
    </row>
    <row r="1998" spans="1:4">
      <c r="A1998" t="str">
        <f t="shared" si="31"/>
        <v>148Total Fees</v>
      </c>
      <c r="B1998">
        <v>148</v>
      </c>
      <c r="C1998" s="9" t="s">
        <v>40</v>
      </c>
      <c r="D1998" s="8">
        <v>0</v>
      </c>
    </row>
    <row r="1999" spans="1:4">
      <c r="A1999" t="str">
        <f t="shared" si="31"/>
        <v>148Estimated Strategy Capacity</v>
      </c>
      <c r="B1999">
        <v>148</v>
      </c>
      <c r="C1999" s="9" t="s">
        <v>41</v>
      </c>
      <c r="D1999" s="8">
        <v>940000000</v>
      </c>
    </row>
    <row r="2000" spans="1:4">
      <c r="A2000" t="str">
        <f t="shared" si="31"/>
        <v>147PSR</v>
      </c>
      <c r="B2000">
        <v>147</v>
      </c>
      <c r="C2000" s="9" t="s">
        <v>27</v>
      </c>
      <c r="D2000" s="8">
        <v>4.5839999999999999E-2</v>
      </c>
    </row>
    <row r="2001" spans="1:4">
      <c r="A2001" t="str">
        <f t="shared" si="31"/>
        <v>147Sharpe Ratio</v>
      </c>
      <c r="B2001">
        <v>147</v>
      </c>
      <c r="C2001" s="9" t="s">
        <v>1</v>
      </c>
      <c r="D2001" s="8">
        <v>-0.55400000000000005</v>
      </c>
    </row>
    <row r="2002" spans="1:4">
      <c r="A2002" t="str">
        <f t="shared" si="31"/>
        <v>147Total Trades</v>
      </c>
      <c r="B2002">
        <v>147</v>
      </c>
      <c r="C2002" s="9" t="s">
        <v>28</v>
      </c>
      <c r="D2002" s="8">
        <v>474</v>
      </c>
    </row>
    <row r="2003" spans="1:4">
      <c r="A2003" t="str">
        <f t="shared" si="31"/>
        <v>147Average Win</v>
      </c>
      <c r="B2003">
        <v>147</v>
      </c>
      <c r="C2003" s="9" t="s">
        <v>25</v>
      </c>
      <c r="D2003" s="8">
        <v>0.11650000000000001</v>
      </c>
    </row>
    <row r="2004" spans="1:4">
      <c r="A2004" t="str">
        <f t="shared" si="31"/>
        <v>147Average Loss</v>
      </c>
      <c r="B2004">
        <v>147</v>
      </c>
      <c r="C2004" s="9" t="s">
        <v>29</v>
      </c>
      <c r="D2004" s="8">
        <v>-0.1164</v>
      </c>
    </row>
    <row r="2005" spans="1:4">
      <c r="A2005" t="str">
        <f t="shared" si="31"/>
        <v>147Compounding Annual Return</v>
      </c>
      <c r="B2005">
        <v>147</v>
      </c>
      <c r="C2005" s="9" t="s">
        <v>30</v>
      </c>
      <c r="D2005" s="8">
        <v>-0.77100000000000002</v>
      </c>
    </row>
    <row r="2006" spans="1:4">
      <c r="A2006" t="str">
        <f t="shared" si="31"/>
        <v>147Drawdown</v>
      </c>
      <c r="B2006">
        <v>147</v>
      </c>
      <c r="C2006" s="9" t="s">
        <v>8</v>
      </c>
      <c r="D2006" s="8">
        <v>0.66800000000000004</v>
      </c>
    </row>
    <row r="2007" spans="1:4">
      <c r="A2007" t="str">
        <f t="shared" si="31"/>
        <v>147Expectancy</v>
      </c>
      <c r="B2007">
        <v>147</v>
      </c>
      <c r="C2007" s="9" t="s">
        <v>31</v>
      </c>
      <c r="D2007" s="8">
        <v>-0.33300000000000002</v>
      </c>
    </row>
    <row r="2008" spans="1:4">
      <c r="A2008" t="str">
        <f t="shared" si="31"/>
        <v>147Net Profit</v>
      </c>
      <c r="B2008">
        <v>147</v>
      </c>
      <c r="C2008" s="9" t="s">
        <v>32</v>
      </c>
      <c r="D2008" s="8">
        <v>-0.61438999999999999</v>
      </c>
    </row>
    <row r="2009" spans="1:4">
      <c r="A2009" t="str">
        <f t="shared" si="31"/>
        <v>147Loss Rate</v>
      </c>
      <c r="B2009">
        <v>147</v>
      </c>
      <c r="C2009" s="9" t="s">
        <v>33</v>
      </c>
      <c r="D2009" s="8">
        <v>0.67</v>
      </c>
    </row>
    <row r="2010" spans="1:4">
      <c r="A2010" t="str">
        <f t="shared" si="31"/>
        <v>147Win Rate</v>
      </c>
      <c r="B2010">
        <v>147</v>
      </c>
      <c r="C2010" s="9" t="s">
        <v>34</v>
      </c>
      <c r="D2010" s="8">
        <v>0.33</v>
      </c>
    </row>
    <row r="2011" spans="1:4">
      <c r="A2011" t="str">
        <f t="shared" si="31"/>
        <v>147Profit-Loss Ratio</v>
      </c>
      <c r="B2011">
        <v>147</v>
      </c>
      <c r="C2011" s="9" t="s">
        <v>26</v>
      </c>
      <c r="D2011" s="8">
        <v>1</v>
      </c>
    </row>
    <row r="2012" spans="1:4">
      <c r="A2012" t="str">
        <f t="shared" si="31"/>
        <v>147Alpha</v>
      </c>
      <c r="B2012">
        <v>147</v>
      </c>
      <c r="C2012" s="9" t="s">
        <v>23</v>
      </c>
      <c r="D2012" s="8">
        <v>-0.20699999999999999</v>
      </c>
    </row>
    <row r="2013" spans="1:4">
      <c r="A2013" t="str">
        <f t="shared" si="31"/>
        <v>147Beta</v>
      </c>
      <c r="B2013">
        <v>147</v>
      </c>
      <c r="C2013" s="9" t="s">
        <v>24</v>
      </c>
      <c r="D2013" s="8">
        <v>-4.2039999999999997</v>
      </c>
    </row>
    <row r="2014" spans="1:4">
      <c r="A2014" t="str">
        <f t="shared" si="31"/>
        <v>147Annual Standard Deviation</v>
      </c>
      <c r="B2014">
        <v>147</v>
      </c>
      <c r="C2014" s="9" t="s">
        <v>35</v>
      </c>
      <c r="D2014" s="8">
        <v>0.85699999999999998</v>
      </c>
    </row>
    <row r="2015" spans="1:4">
      <c r="A2015" t="str">
        <f t="shared" si="31"/>
        <v>147Annual Variance</v>
      </c>
      <c r="B2015">
        <v>147</v>
      </c>
      <c r="C2015" s="9" t="s">
        <v>36</v>
      </c>
      <c r="D2015" s="8">
        <v>0.73399999999999999</v>
      </c>
    </row>
    <row r="2016" spans="1:4">
      <c r="A2016" t="str">
        <f t="shared" si="31"/>
        <v>147Information Ratio</v>
      </c>
      <c r="B2016">
        <v>147</v>
      </c>
      <c r="C2016" s="9" t="s">
        <v>37</v>
      </c>
      <c r="D2016" s="8">
        <v>-0.61099999999999999</v>
      </c>
    </row>
    <row r="2017" spans="1:4">
      <c r="A2017" t="str">
        <f t="shared" si="31"/>
        <v>147Tracking Error</v>
      </c>
      <c r="B2017">
        <v>147</v>
      </c>
      <c r="C2017" s="9" t="s">
        <v>38</v>
      </c>
      <c r="D2017" s="8">
        <v>0.88100000000000001</v>
      </c>
    </row>
    <row r="2018" spans="1:4">
      <c r="A2018" t="str">
        <f t="shared" si="31"/>
        <v>147Treynor Ratio</v>
      </c>
      <c r="B2018">
        <v>147</v>
      </c>
      <c r="C2018" s="9" t="s">
        <v>39</v>
      </c>
      <c r="D2018" s="8">
        <v>0.113</v>
      </c>
    </row>
    <row r="2019" spans="1:4">
      <c r="A2019" t="str">
        <f t="shared" si="31"/>
        <v>147Total Fees</v>
      </c>
      <c r="B2019">
        <v>147</v>
      </c>
      <c r="C2019" s="9" t="s">
        <v>40</v>
      </c>
      <c r="D2019" s="8">
        <v>0</v>
      </c>
    </row>
    <row r="2020" spans="1:4">
      <c r="A2020" t="str">
        <f t="shared" si="31"/>
        <v>147Estimated Strategy Capacity</v>
      </c>
      <c r="B2020">
        <v>147</v>
      </c>
      <c r="C2020" s="9" t="s">
        <v>41</v>
      </c>
      <c r="D2020" s="8">
        <v>75000000</v>
      </c>
    </row>
    <row r="2021" spans="1:4">
      <c r="A2021" t="str">
        <f t="shared" si="31"/>
        <v>146PSR</v>
      </c>
      <c r="B2021">
        <v>146</v>
      </c>
      <c r="C2021" s="9" t="s">
        <v>27</v>
      </c>
      <c r="D2021" s="8">
        <v>3.916E-2</v>
      </c>
    </row>
    <row r="2022" spans="1:4">
      <c r="A2022" t="str">
        <f t="shared" si="31"/>
        <v>146Sharpe Ratio</v>
      </c>
      <c r="B2022">
        <v>146</v>
      </c>
      <c r="C2022" s="9" t="s">
        <v>1</v>
      </c>
      <c r="D2022" s="8">
        <v>-0.76300000000000001</v>
      </c>
    </row>
    <row r="2023" spans="1:4">
      <c r="A2023" t="str">
        <f t="shared" si="31"/>
        <v>146Total Trades</v>
      </c>
      <c r="B2023">
        <v>146</v>
      </c>
      <c r="C2023" s="9" t="s">
        <v>28</v>
      </c>
      <c r="D2023" s="8">
        <v>483</v>
      </c>
    </row>
    <row r="2024" spans="1:4">
      <c r="A2024" t="str">
        <f t="shared" si="31"/>
        <v>146Average Win</v>
      </c>
      <c r="B2024">
        <v>146</v>
      </c>
      <c r="C2024" s="9" t="s">
        <v>25</v>
      </c>
      <c r="D2024" s="8">
        <v>1.7500000000000002E-2</v>
      </c>
    </row>
    <row r="2025" spans="1:4">
      <c r="A2025" t="str">
        <f t="shared" si="31"/>
        <v>146Average Loss</v>
      </c>
      <c r="B2025">
        <v>146</v>
      </c>
      <c r="C2025" s="9" t="s">
        <v>29</v>
      </c>
      <c r="D2025" s="8">
        <v>-2.1499999999999998E-2</v>
      </c>
    </row>
    <row r="2026" spans="1:4">
      <c r="A2026" t="str">
        <f t="shared" si="31"/>
        <v>146Compounding Annual Return</v>
      </c>
      <c r="B2026">
        <v>146</v>
      </c>
      <c r="C2026" s="9" t="s">
        <v>30</v>
      </c>
      <c r="D2026" s="8">
        <v>-0.16803999999999999</v>
      </c>
    </row>
    <row r="2027" spans="1:4">
      <c r="A2027" t="str">
        <f t="shared" si="31"/>
        <v>146Drawdown</v>
      </c>
      <c r="B2027">
        <v>146</v>
      </c>
      <c r="C2027" s="9" t="s">
        <v>8</v>
      </c>
      <c r="D2027" s="8">
        <v>0.13700000000000001</v>
      </c>
    </row>
    <row r="2028" spans="1:4">
      <c r="A2028" t="str">
        <f t="shared" si="31"/>
        <v>146Expectancy</v>
      </c>
      <c r="B2028">
        <v>146</v>
      </c>
      <c r="C2028" s="9" t="s">
        <v>31</v>
      </c>
      <c r="D2028" s="8">
        <v>-0.31900000000000001</v>
      </c>
    </row>
    <row r="2029" spans="1:4">
      <c r="A2029" t="str">
        <f t="shared" si="31"/>
        <v>146Net Profit</v>
      </c>
      <c r="B2029">
        <v>146</v>
      </c>
      <c r="C2029" s="9" t="s">
        <v>32</v>
      </c>
      <c r="D2029" s="8">
        <v>-0.11212999999999999</v>
      </c>
    </row>
    <row r="2030" spans="1:4">
      <c r="A2030" t="str">
        <f t="shared" si="31"/>
        <v>146Loss Rate</v>
      </c>
      <c r="B2030">
        <v>146</v>
      </c>
      <c r="C2030" s="9" t="s">
        <v>33</v>
      </c>
      <c r="D2030" s="8">
        <v>0.62</v>
      </c>
    </row>
    <row r="2031" spans="1:4">
      <c r="A2031" t="str">
        <f t="shared" si="31"/>
        <v>146Win Rate</v>
      </c>
      <c r="B2031">
        <v>146</v>
      </c>
      <c r="C2031" s="9" t="s">
        <v>34</v>
      </c>
      <c r="D2031" s="8">
        <v>0.38</v>
      </c>
    </row>
    <row r="2032" spans="1:4">
      <c r="A2032" t="str">
        <f t="shared" si="31"/>
        <v>146Profit-Loss Ratio</v>
      </c>
      <c r="B2032">
        <v>146</v>
      </c>
      <c r="C2032" s="9" t="s">
        <v>26</v>
      </c>
      <c r="D2032" s="8">
        <v>0.82</v>
      </c>
    </row>
    <row r="2033" spans="1:4">
      <c r="A2033" t="str">
        <f t="shared" si="31"/>
        <v>146Alpha</v>
      </c>
      <c r="B2033">
        <v>146</v>
      </c>
      <c r="C2033" s="9" t="s">
        <v>23</v>
      </c>
      <c r="D2033" s="8">
        <v>-6.7000000000000004E-2</v>
      </c>
    </row>
    <row r="2034" spans="1:4">
      <c r="A2034" t="str">
        <f t="shared" si="31"/>
        <v>146Beta</v>
      </c>
      <c r="B2034">
        <v>146</v>
      </c>
      <c r="C2034" s="9" t="s">
        <v>24</v>
      </c>
      <c r="D2034" s="8">
        <v>-0.67600000000000005</v>
      </c>
    </row>
    <row r="2035" spans="1:4">
      <c r="A2035" t="str">
        <f t="shared" si="31"/>
        <v>146Annual Standard Deviation</v>
      </c>
      <c r="B2035">
        <v>146</v>
      </c>
      <c r="C2035" s="9" t="s">
        <v>35</v>
      </c>
      <c r="D2035" s="8">
        <v>0.14499999999999999</v>
      </c>
    </row>
    <row r="2036" spans="1:4">
      <c r="A2036" t="str">
        <f t="shared" si="31"/>
        <v>146Annual Variance</v>
      </c>
      <c r="B2036">
        <v>146</v>
      </c>
      <c r="C2036" s="9" t="s">
        <v>36</v>
      </c>
      <c r="D2036" s="8">
        <v>2.1000000000000001E-2</v>
      </c>
    </row>
    <row r="2037" spans="1:4">
      <c r="A2037" t="str">
        <f t="shared" si="31"/>
        <v>146Information Ratio</v>
      </c>
      <c r="B2037">
        <v>146</v>
      </c>
      <c r="C2037" s="9" t="s">
        <v>37</v>
      </c>
      <c r="D2037" s="8">
        <v>-0.98199999999999998</v>
      </c>
    </row>
    <row r="2038" spans="1:4">
      <c r="A2038" t="str">
        <f t="shared" si="31"/>
        <v>146Tracking Error</v>
      </c>
      <c r="B2038">
        <v>146</v>
      </c>
      <c r="C2038" s="9" t="s">
        <v>38</v>
      </c>
      <c r="D2038" s="8">
        <v>0.17699999999999999</v>
      </c>
    </row>
    <row r="2039" spans="1:4">
      <c r="A2039" t="str">
        <f t="shared" si="31"/>
        <v>146Treynor Ratio</v>
      </c>
      <c r="B2039">
        <v>146</v>
      </c>
      <c r="C2039" s="9" t="s">
        <v>39</v>
      </c>
      <c r="D2039" s="8">
        <v>0.16300000000000001</v>
      </c>
    </row>
    <row r="2040" spans="1:4">
      <c r="A2040" t="str">
        <f t="shared" si="31"/>
        <v>146Total Fees</v>
      </c>
      <c r="B2040">
        <v>146</v>
      </c>
      <c r="C2040" s="9" t="s">
        <v>40</v>
      </c>
      <c r="D2040" s="8">
        <v>0</v>
      </c>
    </row>
    <row r="2041" spans="1:4">
      <c r="A2041" t="str">
        <f t="shared" si="31"/>
        <v>146Estimated Strategy Capacity</v>
      </c>
      <c r="B2041">
        <v>146</v>
      </c>
      <c r="C2041" s="9" t="s">
        <v>41</v>
      </c>
      <c r="D2041" s="8">
        <v>800000000</v>
      </c>
    </row>
    <row r="2042" spans="1:4">
      <c r="A2042" t="str">
        <f t="shared" si="31"/>
        <v>145PSR</v>
      </c>
      <c r="B2042">
        <v>145</v>
      </c>
      <c r="C2042" s="9" t="s">
        <v>27</v>
      </c>
      <c r="D2042" s="8">
        <v>3.3939999999999998E-2</v>
      </c>
    </row>
    <row r="2043" spans="1:4">
      <c r="A2043" t="str">
        <f t="shared" si="31"/>
        <v>145Sharpe Ratio</v>
      </c>
      <c r="B2043">
        <v>145</v>
      </c>
      <c r="C2043" s="9" t="s">
        <v>1</v>
      </c>
      <c r="D2043" s="8">
        <v>-0.86</v>
      </c>
    </row>
    <row r="2044" spans="1:4">
      <c r="A2044" t="str">
        <f t="shared" si="31"/>
        <v>145Total Trades</v>
      </c>
      <c r="B2044">
        <v>145</v>
      </c>
      <c r="C2044" s="9" t="s">
        <v>28</v>
      </c>
      <c r="D2044" s="8">
        <v>483</v>
      </c>
    </row>
    <row r="2045" spans="1:4">
      <c r="A2045" t="str">
        <f t="shared" si="31"/>
        <v>145Average Win</v>
      </c>
      <c r="B2045">
        <v>145</v>
      </c>
      <c r="C2045" s="9" t="s">
        <v>25</v>
      </c>
      <c r="D2045" s="8">
        <v>1.6000000000000001E-3</v>
      </c>
    </row>
    <row r="2046" spans="1:4">
      <c r="A2046" t="str">
        <f t="shared" si="31"/>
        <v>145Average Loss</v>
      </c>
      <c r="B2046">
        <v>145</v>
      </c>
      <c r="C2046" s="9" t="s">
        <v>29</v>
      </c>
      <c r="D2046" s="8">
        <v>-2.0999999999999999E-3</v>
      </c>
    </row>
    <row r="2047" spans="1:4">
      <c r="A2047" t="str">
        <f t="shared" si="31"/>
        <v>145Compounding Annual Return</v>
      </c>
      <c r="B2047">
        <v>145</v>
      </c>
      <c r="C2047" s="9" t="s">
        <v>30</v>
      </c>
      <c r="D2047" s="8">
        <v>-1.729E-2</v>
      </c>
    </row>
    <row r="2048" spans="1:4">
      <c r="A2048" t="str">
        <f t="shared" si="31"/>
        <v>145Drawdown</v>
      </c>
      <c r="B2048">
        <v>145</v>
      </c>
      <c r="C2048" s="9" t="s">
        <v>8</v>
      </c>
      <c r="D2048" s="8">
        <v>1.4E-2</v>
      </c>
    </row>
    <row r="2049" spans="1:4">
      <c r="A2049" t="str">
        <f t="shared" si="31"/>
        <v>145Expectancy</v>
      </c>
      <c r="B2049">
        <v>145</v>
      </c>
      <c r="C2049" s="9" t="s">
        <v>31</v>
      </c>
      <c r="D2049" s="8">
        <v>-0.32700000000000001</v>
      </c>
    </row>
    <row r="2050" spans="1:4">
      <c r="A2050" t="str">
        <f t="shared" si="31"/>
        <v>145Net Profit</v>
      </c>
      <c r="B2050">
        <v>145</v>
      </c>
      <c r="C2050" s="9" t="s">
        <v>32</v>
      </c>
      <c r="D2050" s="8">
        <v>-1.1209999999999999E-2</v>
      </c>
    </row>
    <row r="2051" spans="1:4">
      <c r="A2051" t="str">
        <f t="shared" ref="A2051:A2114" si="32">B2051&amp;C2051</f>
        <v>145Loss Rate</v>
      </c>
      <c r="B2051">
        <v>145</v>
      </c>
      <c r="C2051" s="9" t="s">
        <v>33</v>
      </c>
      <c r="D2051" s="8">
        <v>0.62</v>
      </c>
    </row>
    <row r="2052" spans="1:4">
      <c r="A2052" t="str">
        <f t="shared" si="32"/>
        <v>145Win Rate</v>
      </c>
      <c r="B2052">
        <v>145</v>
      </c>
      <c r="C2052" s="9" t="s">
        <v>34</v>
      </c>
      <c r="D2052" s="8">
        <v>0.38</v>
      </c>
    </row>
    <row r="2053" spans="1:4">
      <c r="A2053" t="str">
        <f t="shared" si="32"/>
        <v>145Profit-Loss Ratio</v>
      </c>
      <c r="B2053">
        <v>145</v>
      </c>
      <c r="C2053" s="9" t="s">
        <v>26</v>
      </c>
      <c r="D2053" s="8">
        <v>0.79</v>
      </c>
    </row>
    <row r="2054" spans="1:4">
      <c r="A2054" t="str">
        <f t="shared" si="32"/>
        <v>145Alpha</v>
      </c>
      <c r="B2054">
        <v>145</v>
      </c>
      <c r="C2054" s="9" t="s">
        <v>23</v>
      </c>
      <c r="D2054" s="8">
        <v>-8.0000000000000002E-3</v>
      </c>
    </row>
    <row r="2055" spans="1:4">
      <c r="A2055" t="str">
        <f t="shared" si="32"/>
        <v>145Beta</v>
      </c>
      <c r="B2055">
        <v>145</v>
      </c>
      <c r="C2055" s="9" t="s">
        <v>24</v>
      </c>
      <c r="D2055" s="8">
        <v>-6.5000000000000002E-2</v>
      </c>
    </row>
    <row r="2056" spans="1:4">
      <c r="A2056" t="str">
        <f t="shared" si="32"/>
        <v>145Annual Standard Deviation</v>
      </c>
      <c r="B2056">
        <v>145</v>
      </c>
      <c r="C2056" s="9" t="s">
        <v>35</v>
      </c>
      <c r="D2056" s="8">
        <v>1.4E-2</v>
      </c>
    </row>
    <row r="2057" spans="1:4">
      <c r="A2057" t="str">
        <f t="shared" si="32"/>
        <v>145Annual Variance</v>
      </c>
      <c r="B2057">
        <v>145</v>
      </c>
      <c r="C2057" s="9" t="s">
        <v>36</v>
      </c>
      <c r="D2057" s="8">
        <v>0</v>
      </c>
    </row>
    <row r="2058" spans="1:4">
      <c r="A2058" t="str">
        <f t="shared" si="32"/>
        <v>145Information Ratio</v>
      </c>
      <c r="B2058">
        <v>145</v>
      </c>
      <c r="C2058" s="9" t="s">
        <v>37</v>
      </c>
      <c r="D2058" s="8">
        <v>-1.046</v>
      </c>
    </row>
    <row r="2059" spans="1:4">
      <c r="A2059" t="str">
        <f t="shared" si="32"/>
        <v>145Tracking Error</v>
      </c>
      <c r="B2059">
        <v>145</v>
      </c>
      <c r="C2059" s="9" t="s">
        <v>38</v>
      </c>
      <c r="D2059" s="8">
        <v>7.1999999999999995E-2</v>
      </c>
    </row>
    <row r="2060" spans="1:4">
      <c r="A2060" t="str">
        <f t="shared" si="32"/>
        <v>145Treynor Ratio</v>
      </c>
      <c r="B2060">
        <v>145</v>
      </c>
      <c r="C2060" s="9" t="s">
        <v>39</v>
      </c>
      <c r="D2060" s="8">
        <v>0.184</v>
      </c>
    </row>
    <row r="2061" spans="1:4">
      <c r="A2061" t="str">
        <f t="shared" si="32"/>
        <v>145Total Fees</v>
      </c>
      <c r="B2061">
        <v>145</v>
      </c>
      <c r="C2061" s="9" t="s">
        <v>40</v>
      </c>
      <c r="D2061" s="8">
        <v>0</v>
      </c>
    </row>
    <row r="2062" spans="1:4">
      <c r="A2062" t="str">
        <f t="shared" si="32"/>
        <v>145Estimated Strategy Capacity</v>
      </c>
      <c r="B2062">
        <v>145</v>
      </c>
      <c r="C2062" s="9" t="s">
        <v>41</v>
      </c>
      <c r="D2062" s="8">
        <v>8900000000</v>
      </c>
    </row>
    <row r="2063" spans="1:4">
      <c r="A2063" t="str">
        <f t="shared" si="32"/>
        <v>135PSR</v>
      </c>
      <c r="B2063">
        <v>135</v>
      </c>
      <c r="C2063" s="9" t="s">
        <v>27</v>
      </c>
      <c r="D2063" s="8">
        <v>0.51597999999999999</v>
      </c>
    </row>
    <row r="2064" spans="1:4">
      <c r="A2064" t="str">
        <f t="shared" si="32"/>
        <v>135Sharpe Ratio</v>
      </c>
      <c r="B2064">
        <v>135</v>
      </c>
      <c r="C2064" s="9" t="s">
        <v>1</v>
      </c>
      <c r="D2064" s="8">
        <v>1.236</v>
      </c>
    </row>
    <row r="2065" spans="1:4">
      <c r="A2065" t="str">
        <f t="shared" si="32"/>
        <v>135Total Trades</v>
      </c>
      <c r="B2065">
        <v>135</v>
      </c>
      <c r="C2065" s="9" t="s">
        <v>28</v>
      </c>
      <c r="D2065" s="8">
        <v>194</v>
      </c>
    </row>
    <row r="2066" spans="1:4">
      <c r="A2066" t="str">
        <f t="shared" si="32"/>
        <v>135Average Win</v>
      </c>
      <c r="B2066">
        <v>135</v>
      </c>
      <c r="C2066" s="9" t="s">
        <v>25</v>
      </c>
      <c r="D2066" s="8">
        <v>0.16889999999999999</v>
      </c>
    </row>
    <row r="2067" spans="1:4">
      <c r="A2067" t="str">
        <f t="shared" si="32"/>
        <v>135Average Loss</v>
      </c>
      <c r="B2067">
        <v>135</v>
      </c>
      <c r="C2067" s="9" t="s">
        <v>29</v>
      </c>
      <c r="D2067" s="8">
        <v>-5.79E-2</v>
      </c>
    </row>
    <row r="2068" spans="1:4">
      <c r="A2068" t="str">
        <f t="shared" si="32"/>
        <v>135Compounding Annual Return</v>
      </c>
      <c r="B2068">
        <v>135</v>
      </c>
      <c r="C2068" s="9" t="s">
        <v>30</v>
      </c>
      <c r="D2068" s="8">
        <v>0.53927000000000003</v>
      </c>
    </row>
    <row r="2069" spans="1:4">
      <c r="A2069" t="str">
        <f t="shared" si="32"/>
        <v>135Drawdown</v>
      </c>
      <c r="B2069">
        <v>135</v>
      </c>
      <c r="C2069" s="9" t="s">
        <v>8</v>
      </c>
      <c r="D2069" s="8">
        <v>0.182</v>
      </c>
    </row>
    <row r="2070" spans="1:4">
      <c r="A2070" t="str">
        <f t="shared" si="32"/>
        <v>135Expectancy</v>
      </c>
      <c r="B2070">
        <v>135</v>
      </c>
      <c r="C2070" s="9" t="s">
        <v>31</v>
      </c>
      <c r="D2070" s="8">
        <v>0.96</v>
      </c>
    </row>
    <row r="2071" spans="1:4">
      <c r="A2071" t="str">
        <f t="shared" si="32"/>
        <v>135Net Profit</v>
      </c>
      <c r="B2071">
        <v>135</v>
      </c>
      <c r="C2071" s="9" t="s">
        <v>32</v>
      </c>
      <c r="D2071" s="8">
        <v>0.32157999999999998</v>
      </c>
    </row>
    <row r="2072" spans="1:4">
      <c r="A2072" t="str">
        <f t="shared" si="32"/>
        <v>135Loss Rate</v>
      </c>
      <c r="B2072">
        <v>135</v>
      </c>
      <c r="C2072" s="9" t="s">
        <v>33</v>
      </c>
      <c r="D2072" s="8">
        <v>0.5</v>
      </c>
    </row>
    <row r="2073" spans="1:4">
      <c r="A2073" t="str">
        <f t="shared" si="32"/>
        <v>135Win Rate</v>
      </c>
      <c r="B2073">
        <v>135</v>
      </c>
      <c r="C2073" s="9" t="s">
        <v>34</v>
      </c>
      <c r="D2073" s="8">
        <v>0.5</v>
      </c>
    </row>
    <row r="2074" spans="1:4">
      <c r="A2074" t="str">
        <f t="shared" si="32"/>
        <v>135Profit-Loss Ratio</v>
      </c>
      <c r="B2074">
        <v>135</v>
      </c>
      <c r="C2074" s="9" t="s">
        <v>26</v>
      </c>
      <c r="D2074" s="8">
        <v>2.92</v>
      </c>
    </row>
    <row r="2075" spans="1:4">
      <c r="A2075" t="str">
        <f t="shared" si="32"/>
        <v>135Alpha</v>
      </c>
      <c r="B2075">
        <v>135</v>
      </c>
      <c r="C2075" s="9" t="s">
        <v>23</v>
      </c>
      <c r="D2075" s="8">
        <v>0.499</v>
      </c>
    </row>
    <row r="2076" spans="1:4">
      <c r="A2076" t="str">
        <f t="shared" si="32"/>
        <v>135Beta</v>
      </c>
      <c r="B2076">
        <v>135</v>
      </c>
      <c r="C2076" s="9" t="s">
        <v>24</v>
      </c>
      <c r="D2076" s="8">
        <v>-1.222</v>
      </c>
    </row>
    <row r="2077" spans="1:4">
      <c r="A2077" t="str">
        <f t="shared" si="32"/>
        <v>135Annual Standard Deviation</v>
      </c>
      <c r="B2077">
        <v>135</v>
      </c>
      <c r="C2077" s="9" t="s">
        <v>35</v>
      </c>
      <c r="D2077" s="8">
        <v>0.34100000000000003</v>
      </c>
    </row>
    <row r="2078" spans="1:4">
      <c r="A2078" t="str">
        <f t="shared" si="32"/>
        <v>135Annual Variance</v>
      </c>
      <c r="B2078">
        <v>135</v>
      </c>
      <c r="C2078" s="9" t="s">
        <v>36</v>
      </c>
      <c r="D2078" s="8">
        <v>0.11600000000000001</v>
      </c>
    </row>
    <row r="2079" spans="1:4">
      <c r="A2079" t="str">
        <f t="shared" si="32"/>
        <v>135Information Ratio</v>
      </c>
      <c r="B2079">
        <v>135</v>
      </c>
      <c r="C2079" s="9" t="s">
        <v>37</v>
      </c>
      <c r="D2079" s="8">
        <v>0.98599999999999999</v>
      </c>
    </row>
    <row r="2080" spans="1:4">
      <c r="A2080" t="str">
        <f t="shared" si="32"/>
        <v>135Tracking Error</v>
      </c>
      <c r="B2080">
        <v>135</v>
      </c>
      <c r="C2080" s="9" t="s">
        <v>38</v>
      </c>
      <c r="D2080" s="8">
        <v>0.36299999999999999</v>
      </c>
    </row>
    <row r="2081" spans="1:4">
      <c r="A2081" t="str">
        <f t="shared" si="32"/>
        <v>135Treynor Ratio</v>
      </c>
      <c r="B2081">
        <v>135</v>
      </c>
      <c r="C2081" s="9" t="s">
        <v>39</v>
      </c>
      <c r="D2081" s="8">
        <v>-0.34399999999999997</v>
      </c>
    </row>
    <row r="2082" spans="1:4">
      <c r="A2082" t="str">
        <f t="shared" si="32"/>
        <v>135Total Fees</v>
      </c>
      <c r="B2082">
        <v>135</v>
      </c>
      <c r="C2082" s="9" t="s">
        <v>40</v>
      </c>
      <c r="D2082" s="8">
        <v>0</v>
      </c>
    </row>
    <row r="2083" spans="1:4">
      <c r="A2083" t="str">
        <f t="shared" si="32"/>
        <v>135Estimated Strategy Capacity</v>
      </c>
      <c r="B2083">
        <v>135</v>
      </c>
      <c r="C2083" s="9" t="s">
        <v>41</v>
      </c>
      <c r="D2083" s="8">
        <v>30000000</v>
      </c>
    </row>
    <row r="2084" spans="1:4">
      <c r="A2084" t="str">
        <f t="shared" si="32"/>
        <v>134PSR</v>
      </c>
      <c r="B2084">
        <v>134</v>
      </c>
      <c r="C2084" s="9" t="s">
        <v>27</v>
      </c>
      <c r="D2084" s="8">
        <v>0.46274999999999999</v>
      </c>
    </row>
    <row r="2085" spans="1:4">
      <c r="A2085" t="str">
        <f t="shared" si="32"/>
        <v>134Sharpe Ratio</v>
      </c>
      <c r="B2085">
        <v>134</v>
      </c>
      <c r="C2085" s="9" t="s">
        <v>1</v>
      </c>
      <c r="D2085" s="8">
        <v>0.95399999999999996</v>
      </c>
    </row>
    <row r="2086" spans="1:4">
      <c r="A2086" t="str">
        <f t="shared" si="32"/>
        <v>134Total Trades</v>
      </c>
      <c r="B2086">
        <v>134</v>
      </c>
      <c r="C2086" s="9" t="s">
        <v>28</v>
      </c>
      <c r="D2086" s="8">
        <v>194</v>
      </c>
    </row>
    <row r="2087" spans="1:4">
      <c r="A2087" t="str">
        <f t="shared" si="32"/>
        <v>134Average Win</v>
      </c>
      <c r="B2087">
        <v>134</v>
      </c>
      <c r="C2087" s="9" t="s">
        <v>25</v>
      </c>
      <c r="D2087" s="8">
        <v>3.5999999999999997E-2</v>
      </c>
    </row>
    <row r="2088" spans="1:4">
      <c r="A2088" t="str">
        <f t="shared" si="32"/>
        <v>134Average Loss</v>
      </c>
      <c r="B2088">
        <v>134</v>
      </c>
      <c r="C2088" s="9" t="s">
        <v>29</v>
      </c>
      <c r="D2088" s="8">
        <v>-1.47E-2</v>
      </c>
    </row>
    <row r="2089" spans="1:4">
      <c r="A2089" t="str">
        <f t="shared" si="32"/>
        <v>134Compounding Annual Return</v>
      </c>
      <c r="B2089">
        <v>134</v>
      </c>
      <c r="C2089" s="9" t="s">
        <v>30</v>
      </c>
      <c r="D2089" s="8">
        <v>0.10122</v>
      </c>
    </row>
    <row r="2090" spans="1:4">
      <c r="A2090" t="str">
        <f t="shared" si="32"/>
        <v>134Drawdown</v>
      </c>
      <c r="B2090">
        <v>134</v>
      </c>
      <c r="C2090" s="9" t="s">
        <v>8</v>
      </c>
      <c r="D2090" s="8">
        <v>5.0999999999999997E-2</v>
      </c>
    </row>
    <row r="2091" spans="1:4">
      <c r="A2091" t="str">
        <f t="shared" si="32"/>
        <v>134Expectancy</v>
      </c>
      <c r="B2091">
        <v>134</v>
      </c>
      <c r="C2091" s="9" t="s">
        <v>31</v>
      </c>
      <c r="D2091" s="8">
        <v>0.72599999999999998</v>
      </c>
    </row>
    <row r="2092" spans="1:4">
      <c r="A2092" t="str">
        <f t="shared" si="32"/>
        <v>134Net Profit</v>
      </c>
      <c r="B2092">
        <v>134</v>
      </c>
      <c r="C2092" s="9" t="s">
        <v>32</v>
      </c>
      <c r="D2092" s="8">
        <v>6.4320000000000002E-2</v>
      </c>
    </row>
    <row r="2093" spans="1:4">
      <c r="A2093" t="str">
        <f t="shared" si="32"/>
        <v>134Loss Rate</v>
      </c>
      <c r="B2093">
        <v>134</v>
      </c>
      <c r="C2093" s="9" t="s">
        <v>33</v>
      </c>
      <c r="D2093" s="8">
        <v>0.5</v>
      </c>
    </row>
    <row r="2094" spans="1:4">
      <c r="A2094" t="str">
        <f t="shared" si="32"/>
        <v>134Win Rate</v>
      </c>
      <c r="B2094">
        <v>134</v>
      </c>
      <c r="C2094" s="9" t="s">
        <v>34</v>
      </c>
      <c r="D2094" s="8">
        <v>0.5</v>
      </c>
    </row>
    <row r="2095" spans="1:4">
      <c r="A2095" t="str">
        <f t="shared" si="32"/>
        <v>134Profit-Loss Ratio</v>
      </c>
      <c r="B2095">
        <v>134</v>
      </c>
      <c r="C2095" s="9" t="s">
        <v>26</v>
      </c>
      <c r="D2095" s="8">
        <v>2.4500000000000002</v>
      </c>
    </row>
    <row r="2096" spans="1:4">
      <c r="A2096" t="str">
        <f t="shared" si="32"/>
        <v>134Alpha</v>
      </c>
      <c r="B2096">
        <v>134</v>
      </c>
      <c r="C2096" s="9" t="s">
        <v>23</v>
      </c>
      <c r="D2096" s="8">
        <v>8.8999999999999996E-2</v>
      </c>
    </row>
    <row r="2097" spans="1:4">
      <c r="A2097" t="str">
        <f t="shared" si="32"/>
        <v>134Beta</v>
      </c>
      <c r="B2097">
        <v>134</v>
      </c>
      <c r="C2097" s="9" t="s">
        <v>24</v>
      </c>
      <c r="D2097" s="8">
        <v>-0.27</v>
      </c>
    </row>
    <row r="2098" spans="1:4">
      <c r="A2098" t="str">
        <f t="shared" si="32"/>
        <v>134Annual Standard Deviation</v>
      </c>
      <c r="B2098">
        <v>134</v>
      </c>
      <c r="C2098" s="9" t="s">
        <v>35</v>
      </c>
      <c r="D2098" s="8">
        <v>7.5999999999999998E-2</v>
      </c>
    </row>
    <row r="2099" spans="1:4">
      <c r="A2099" t="str">
        <f t="shared" si="32"/>
        <v>134Annual Variance</v>
      </c>
      <c r="B2099">
        <v>134</v>
      </c>
      <c r="C2099" s="9" t="s">
        <v>36</v>
      </c>
      <c r="D2099" s="8">
        <v>6.0000000000000001E-3</v>
      </c>
    </row>
    <row r="2100" spans="1:4">
      <c r="A2100" t="str">
        <f t="shared" si="32"/>
        <v>134Information Ratio</v>
      </c>
      <c r="B2100">
        <v>134</v>
      </c>
      <c r="C2100" s="9" t="s">
        <v>37</v>
      </c>
      <c r="D2100" s="8">
        <v>7.4999999999999997E-2</v>
      </c>
    </row>
    <row r="2101" spans="1:4">
      <c r="A2101" t="str">
        <f t="shared" si="32"/>
        <v>134Tracking Error</v>
      </c>
      <c r="B2101">
        <v>134</v>
      </c>
      <c r="C2101" s="9" t="s">
        <v>38</v>
      </c>
      <c r="D2101" s="8">
        <v>0.112</v>
      </c>
    </row>
    <row r="2102" spans="1:4">
      <c r="A2102" t="str">
        <f t="shared" si="32"/>
        <v>134Treynor Ratio</v>
      </c>
      <c r="B2102">
        <v>134</v>
      </c>
      <c r="C2102" s="9" t="s">
        <v>39</v>
      </c>
      <c r="D2102" s="8">
        <v>-0.26700000000000002</v>
      </c>
    </row>
    <row r="2103" spans="1:4">
      <c r="A2103" t="str">
        <f t="shared" si="32"/>
        <v>134Total Fees</v>
      </c>
      <c r="B2103">
        <v>134</v>
      </c>
      <c r="C2103" s="9" t="s">
        <v>40</v>
      </c>
      <c r="D2103" s="8">
        <v>0</v>
      </c>
    </row>
    <row r="2104" spans="1:4">
      <c r="A2104" t="str">
        <f t="shared" si="32"/>
        <v>134Estimated Strategy Capacity</v>
      </c>
      <c r="B2104">
        <v>134</v>
      </c>
      <c r="C2104" s="9" t="s">
        <v>41</v>
      </c>
      <c r="D2104" s="8">
        <v>120000000</v>
      </c>
    </row>
    <row r="2105" spans="1:4">
      <c r="A2105" t="str">
        <f t="shared" si="32"/>
        <v>133PSR</v>
      </c>
      <c r="B2105">
        <v>133</v>
      </c>
      <c r="C2105" s="9" t="s">
        <v>27</v>
      </c>
      <c r="D2105" s="8">
        <v>0.44779999999999998</v>
      </c>
    </row>
    <row r="2106" spans="1:4">
      <c r="A2106" t="str">
        <f t="shared" si="32"/>
        <v>133Sharpe Ratio</v>
      </c>
      <c r="B2106">
        <v>133</v>
      </c>
      <c r="C2106" s="9" t="s">
        <v>1</v>
      </c>
      <c r="D2106" s="8">
        <v>0.89100000000000001</v>
      </c>
    </row>
    <row r="2107" spans="1:4">
      <c r="A2107" t="str">
        <f t="shared" si="32"/>
        <v>133Total Trades</v>
      </c>
      <c r="B2107">
        <v>133</v>
      </c>
      <c r="C2107" s="9" t="s">
        <v>28</v>
      </c>
      <c r="D2107" s="8">
        <v>194</v>
      </c>
    </row>
    <row r="2108" spans="1:4">
      <c r="A2108" t="str">
        <f t="shared" si="32"/>
        <v>133Average Win</v>
      </c>
      <c r="B2108">
        <v>133</v>
      </c>
      <c r="C2108" s="9" t="s">
        <v>25</v>
      </c>
      <c r="D2108" s="8">
        <v>3.7000000000000002E-3</v>
      </c>
    </row>
    <row r="2109" spans="1:4">
      <c r="A2109" t="str">
        <f t="shared" si="32"/>
        <v>133Average Loss</v>
      </c>
      <c r="B2109">
        <v>133</v>
      </c>
      <c r="C2109" s="9" t="s">
        <v>29</v>
      </c>
      <c r="D2109" s="8">
        <v>-1.6000000000000001E-3</v>
      </c>
    </row>
    <row r="2110" spans="1:4">
      <c r="A2110" t="str">
        <f t="shared" si="32"/>
        <v>133Compounding Annual Return</v>
      </c>
      <c r="B2110">
        <v>133</v>
      </c>
      <c r="C2110" s="9" t="s">
        <v>30</v>
      </c>
      <c r="D2110" s="8">
        <v>9.9699999999999997E-3</v>
      </c>
    </row>
    <row r="2111" spans="1:4">
      <c r="A2111" t="str">
        <f t="shared" si="32"/>
        <v>133Drawdown</v>
      </c>
      <c r="B2111">
        <v>133</v>
      </c>
      <c r="C2111" s="9" t="s">
        <v>8</v>
      </c>
      <c r="D2111" s="8">
        <v>6.0000000000000001E-3</v>
      </c>
    </row>
    <row r="2112" spans="1:4">
      <c r="A2112" t="str">
        <f t="shared" si="32"/>
        <v>133Expectancy</v>
      </c>
      <c r="B2112">
        <v>133</v>
      </c>
      <c r="C2112" s="9" t="s">
        <v>31</v>
      </c>
      <c r="D2112" s="8">
        <v>0.66700000000000004</v>
      </c>
    </row>
    <row r="2113" spans="1:4">
      <c r="A2113" t="str">
        <f t="shared" si="32"/>
        <v>133Net Profit</v>
      </c>
      <c r="B2113">
        <v>133</v>
      </c>
      <c r="C2113" s="9" t="s">
        <v>32</v>
      </c>
      <c r="D2113" s="8">
        <v>6.43E-3</v>
      </c>
    </row>
    <row r="2114" spans="1:4">
      <c r="A2114" t="str">
        <f t="shared" si="32"/>
        <v>133Loss Rate</v>
      </c>
      <c r="B2114">
        <v>133</v>
      </c>
      <c r="C2114" s="9" t="s">
        <v>33</v>
      </c>
      <c r="D2114" s="8">
        <v>0.5</v>
      </c>
    </row>
    <row r="2115" spans="1:4">
      <c r="A2115" t="str">
        <f t="shared" ref="A2115:A2178" si="33">B2115&amp;C2115</f>
        <v>133Win Rate</v>
      </c>
      <c r="B2115">
        <v>133</v>
      </c>
      <c r="C2115" s="9" t="s">
        <v>34</v>
      </c>
      <c r="D2115" s="8">
        <v>0.5</v>
      </c>
    </row>
    <row r="2116" spans="1:4">
      <c r="A2116" t="str">
        <f t="shared" si="33"/>
        <v>133Profit-Loss Ratio</v>
      </c>
      <c r="B2116">
        <v>133</v>
      </c>
      <c r="C2116" s="9" t="s">
        <v>26</v>
      </c>
      <c r="D2116" s="8">
        <v>2.33</v>
      </c>
    </row>
    <row r="2117" spans="1:4">
      <c r="A2117" t="str">
        <f t="shared" si="33"/>
        <v>133Alpha</v>
      </c>
      <c r="B2117">
        <v>133</v>
      </c>
      <c r="C2117" s="9" t="s">
        <v>23</v>
      </c>
      <c r="D2117" s="8">
        <v>8.9999999999999993E-3</v>
      </c>
    </row>
    <row r="2118" spans="1:4">
      <c r="A2118" t="str">
        <f t="shared" si="33"/>
        <v>133Beta</v>
      </c>
      <c r="B2118">
        <v>133</v>
      </c>
      <c r="C2118" s="9" t="s">
        <v>24</v>
      </c>
      <c r="D2118" s="8">
        <v>-2.8000000000000001E-2</v>
      </c>
    </row>
    <row r="2119" spans="1:4">
      <c r="A2119" t="str">
        <f t="shared" si="33"/>
        <v>133Annual Standard Deviation</v>
      </c>
      <c r="B2119">
        <v>133</v>
      </c>
      <c r="C2119" s="9" t="s">
        <v>35</v>
      </c>
      <c r="D2119" s="8">
        <v>8.0000000000000002E-3</v>
      </c>
    </row>
    <row r="2120" spans="1:4">
      <c r="A2120" t="str">
        <f t="shared" si="33"/>
        <v>133Annual Variance</v>
      </c>
      <c r="B2120">
        <v>133</v>
      </c>
      <c r="C2120" s="9" t="s">
        <v>36</v>
      </c>
      <c r="D2120" s="8">
        <v>0</v>
      </c>
    </row>
    <row r="2121" spans="1:4">
      <c r="A2121" t="str">
        <f t="shared" si="33"/>
        <v>133Information Ratio</v>
      </c>
      <c r="B2121">
        <v>133</v>
      </c>
      <c r="C2121" s="9" t="s">
        <v>37</v>
      </c>
      <c r="D2121" s="8">
        <v>-0.82299999999999995</v>
      </c>
    </row>
    <row r="2122" spans="1:4">
      <c r="A2122" t="str">
        <f t="shared" si="33"/>
        <v>133Tracking Error</v>
      </c>
      <c r="B2122">
        <v>133</v>
      </c>
      <c r="C2122" s="9" t="s">
        <v>38</v>
      </c>
      <c r="D2122" s="8">
        <v>6.9000000000000006E-2</v>
      </c>
    </row>
    <row r="2123" spans="1:4">
      <c r="A2123" t="str">
        <f t="shared" si="33"/>
        <v>133Treynor Ratio</v>
      </c>
      <c r="B2123">
        <v>133</v>
      </c>
      <c r="C2123" s="9" t="s">
        <v>39</v>
      </c>
      <c r="D2123" s="8">
        <v>-0.25</v>
      </c>
    </row>
    <row r="2124" spans="1:4">
      <c r="A2124" t="str">
        <f t="shared" si="33"/>
        <v>133Total Fees</v>
      </c>
      <c r="B2124">
        <v>133</v>
      </c>
      <c r="C2124" s="9" t="s">
        <v>40</v>
      </c>
      <c r="D2124" s="8">
        <v>0</v>
      </c>
    </row>
    <row r="2125" spans="1:4">
      <c r="A2125" t="str">
        <f t="shared" si="33"/>
        <v>133Estimated Strategy Capacity</v>
      </c>
      <c r="B2125">
        <v>133</v>
      </c>
      <c r="C2125" s="9" t="s">
        <v>41</v>
      </c>
      <c r="D2125" s="8">
        <v>1100000000</v>
      </c>
    </row>
    <row r="2126" spans="1:4">
      <c r="A2126" t="str">
        <f t="shared" si="33"/>
        <v>132PSR</v>
      </c>
      <c r="B2126">
        <v>132</v>
      </c>
      <c r="C2126" s="9" t="s">
        <v>27</v>
      </c>
      <c r="D2126" s="8">
        <v>9.3999999999999997E-4</v>
      </c>
    </row>
    <row r="2127" spans="1:4">
      <c r="A2127" t="str">
        <f t="shared" si="33"/>
        <v>132Sharpe Ratio</v>
      </c>
      <c r="B2127">
        <v>132</v>
      </c>
      <c r="C2127" s="9" t="s">
        <v>1</v>
      </c>
      <c r="D2127" s="8">
        <v>-1.08</v>
      </c>
    </row>
    <row r="2128" spans="1:4">
      <c r="A2128" t="str">
        <f t="shared" si="33"/>
        <v>132Total Trades</v>
      </c>
      <c r="B2128">
        <v>132</v>
      </c>
      <c r="C2128" s="9" t="s">
        <v>28</v>
      </c>
      <c r="D2128" s="8">
        <v>277</v>
      </c>
    </row>
    <row r="2129" spans="1:4">
      <c r="A2129" t="str">
        <f t="shared" si="33"/>
        <v>132Average Win</v>
      </c>
      <c r="B2129">
        <v>132</v>
      </c>
      <c r="C2129" s="9" t="s">
        <v>25</v>
      </c>
      <c r="D2129" s="8">
        <v>0.1123</v>
      </c>
    </row>
    <row r="2130" spans="1:4">
      <c r="A2130" t="str">
        <f t="shared" si="33"/>
        <v>132Average Loss</v>
      </c>
      <c r="B2130">
        <v>132</v>
      </c>
      <c r="C2130" s="9" t="s">
        <v>29</v>
      </c>
      <c r="D2130" s="8">
        <v>-0.11940000000000001</v>
      </c>
    </row>
    <row r="2131" spans="1:4">
      <c r="A2131" t="str">
        <f t="shared" si="33"/>
        <v>132Compounding Annual Return</v>
      </c>
      <c r="B2131">
        <v>132</v>
      </c>
      <c r="C2131" s="9" t="s">
        <v>30</v>
      </c>
      <c r="D2131" s="8">
        <v>-0.68932000000000004</v>
      </c>
    </row>
    <row r="2132" spans="1:4">
      <c r="A2132" t="str">
        <f t="shared" si="33"/>
        <v>132Drawdown</v>
      </c>
      <c r="B2132">
        <v>132</v>
      </c>
      <c r="C2132" s="9" t="s">
        <v>8</v>
      </c>
      <c r="D2132" s="8">
        <v>0.54800000000000004</v>
      </c>
    </row>
    <row r="2133" spans="1:4">
      <c r="A2133" t="str">
        <f t="shared" si="33"/>
        <v>132Expectancy</v>
      </c>
      <c r="B2133">
        <v>132</v>
      </c>
      <c r="C2133" s="9" t="s">
        <v>31</v>
      </c>
      <c r="D2133" s="8">
        <v>-0.56899999999999995</v>
      </c>
    </row>
    <row r="2134" spans="1:4">
      <c r="A2134" t="str">
        <f t="shared" si="33"/>
        <v>132Net Profit</v>
      </c>
      <c r="B2134">
        <v>132</v>
      </c>
      <c r="C2134" s="9" t="s">
        <v>32</v>
      </c>
      <c r="D2134" s="8">
        <v>-0.53032999999999997</v>
      </c>
    </row>
    <row r="2135" spans="1:4">
      <c r="A2135" t="str">
        <f t="shared" si="33"/>
        <v>132Loss Rate</v>
      </c>
      <c r="B2135">
        <v>132</v>
      </c>
      <c r="C2135" s="9" t="s">
        <v>33</v>
      </c>
      <c r="D2135" s="8">
        <v>0.78</v>
      </c>
    </row>
    <row r="2136" spans="1:4">
      <c r="A2136" t="str">
        <f t="shared" si="33"/>
        <v>132Win Rate</v>
      </c>
      <c r="B2136">
        <v>132</v>
      </c>
      <c r="C2136" s="9" t="s">
        <v>34</v>
      </c>
      <c r="D2136" s="8">
        <v>0.22</v>
      </c>
    </row>
    <row r="2137" spans="1:4">
      <c r="A2137" t="str">
        <f t="shared" si="33"/>
        <v>132Profit-Loss Ratio</v>
      </c>
      <c r="B2137">
        <v>132</v>
      </c>
      <c r="C2137" s="9" t="s">
        <v>26</v>
      </c>
      <c r="D2137" s="8">
        <v>0.94</v>
      </c>
    </row>
    <row r="2138" spans="1:4">
      <c r="A2138" t="str">
        <f t="shared" si="33"/>
        <v>132Alpha</v>
      </c>
      <c r="B2138">
        <v>132</v>
      </c>
      <c r="C2138" s="9" t="s">
        <v>23</v>
      </c>
      <c r="D2138" s="8">
        <v>-0.36299999999999999</v>
      </c>
    </row>
    <row r="2139" spans="1:4">
      <c r="A2139" t="str">
        <f t="shared" si="33"/>
        <v>132Beta</v>
      </c>
      <c r="B2139">
        <v>132</v>
      </c>
      <c r="C2139" s="9" t="s">
        <v>24</v>
      </c>
      <c r="D2139" s="8">
        <v>-2.1120000000000001</v>
      </c>
    </row>
    <row r="2140" spans="1:4">
      <c r="A2140" t="str">
        <f t="shared" si="33"/>
        <v>132Annual Standard Deviation</v>
      </c>
      <c r="B2140">
        <v>132</v>
      </c>
      <c r="C2140" s="9" t="s">
        <v>35</v>
      </c>
      <c r="D2140" s="8">
        <v>0.46100000000000002</v>
      </c>
    </row>
    <row r="2141" spans="1:4">
      <c r="A2141" t="str">
        <f t="shared" si="33"/>
        <v>132Annual Variance</v>
      </c>
      <c r="B2141">
        <v>132</v>
      </c>
      <c r="C2141" s="9" t="s">
        <v>36</v>
      </c>
      <c r="D2141" s="8">
        <v>0.21199999999999999</v>
      </c>
    </row>
    <row r="2142" spans="1:4">
      <c r="A2142" t="str">
        <f t="shared" si="33"/>
        <v>132Information Ratio</v>
      </c>
      <c r="B2142">
        <v>132</v>
      </c>
      <c r="C2142" s="9" t="s">
        <v>37</v>
      </c>
      <c r="D2142" s="8">
        <v>-1.157</v>
      </c>
    </row>
    <row r="2143" spans="1:4">
      <c r="A2143" t="str">
        <f t="shared" si="33"/>
        <v>132Tracking Error</v>
      </c>
      <c r="B2143">
        <v>132</v>
      </c>
      <c r="C2143" s="9" t="s">
        <v>38</v>
      </c>
      <c r="D2143" s="8">
        <v>0.48499999999999999</v>
      </c>
    </row>
    <row r="2144" spans="1:4">
      <c r="A2144" t="str">
        <f t="shared" si="33"/>
        <v>132Treynor Ratio</v>
      </c>
      <c r="B2144">
        <v>132</v>
      </c>
      <c r="C2144" s="9" t="s">
        <v>39</v>
      </c>
      <c r="D2144" s="8">
        <v>0.23599999999999999</v>
      </c>
    </row>
    <row r="2145" spans="1:4">
      <c r="A2145" t="str">
        <f t="shared" si="33"/>
        <v>132Total Fees</v>
      </c>
      <c r="B2145">
        <v>132</v>
      </c>
      <c r="C2145" s="9" t="s">
        <v>40</v>
      </c>
      <c r="D2145" s="8">
        <v>0</v>
      </c>
    </row>
    <row r="2146" spans="1:4">
      <c r="A2146" t="str">
        <f t="shared" si="33"/>
        <v>132Estimated Strategy Capacity</v>
      </c>
      <c r="B2146">
        <v>132</v>
      </c>
      <c r="C2146" s="9" t="s">
        <v>41</v>
      </c>
      <c r="D2146" s="8">
        <v>28000000</v>
      </c>
    </row>
    <row r="2147" spans="1:4">
      <c r="A2147" t="str">
        <f t="shared" si="33"/>
        <v>131PSR</v>
      </c>
      <c r="B2147">
        <v>131</v>
      </c>
      <c r="C2147" s="9" t="s">
        <v>27</v>
      </c>
      <c r="D2147" s="8">
        <v>5.9000000000000003E-4</v>
      </c>
    </row>
    <row r="2148" spans="1:4">
      <c r="A2148" t="str">
        <f t="shared" si="33"/>
        <v>131Sharpe Ratio</v>
      </c>
      <c r="B2148">
        <v>131</v>
      </c>
      <c r="C2148" s="9" t="s">
        <v>1</v>
      </c>
      <c r="D2148" s="8">
        <v>-1.47</v>
      </c>
    </row>
    <row r="2149" spans="1:4">
      <c r="A2149" t="str">
        <f t="shared" si="33"/>
        <v>131Total Trades</v>
      </c>
      <c r="B2149">
        <v>131</v>
      </c>
      <c r="C2149" s="9" t="s">
        <v>28</v>
      </c>
      <c r="D2149" s="8">
        <v>278</v>
      </c>
    </row>
    <row r="2150" spans="1:4">
      <c r="A2150" t="str">
        <f t="shared" si="33"/>
        <v>131Average Win</v>
      </c>
      <c r="B2150">
        <v>131</v>
      </c>
      <c r="C2150" s="9" t="s">
        <v>25</v>
      </c>
      <c r="D2150" s="8">
        <v>1.8499999999999999E-2</v>
      </c>
    </row>
    <row r="2151" spans="1:4">
      <c r="A2151" t="str">
        <f t="shared" si="33"/>
        <v>131Average Loss</v>
      </c>
      <c r="B2151">
        <v>131</v>
      </c>
      <c r="C2151" s="9" t="s">
        <v>29</v>
      </c>
      <c r="D2151" s="8">
        <v>-2.1299999999999999E-2</v>
      </c>
    </row>
    <row r="2152" spans="1:4">
      <c r="A2152" t="str">
        <f t="shared" si="33"/>
        <v>131Compounding Annual Return</v>
      </c>
      <c r="B2152">
        <v>131</v>
      </c>
      <c r="C2152" s="9" t="s">
        <v>30</v>
      </c>
      <c r="D2152" s="8">
        <v>-0.16638</v>
      </c>
    </row>
    <row r="2153" spans="1:4">
      <c r="A2153" t="str">
        <f t="shared" si="33"/>
        <v>131Drawdown</v>
      </c>
      <c r="B2153">
        <v>131</v>
      </c>
      <c r="C2153" s="9" t="s">
        <v>8</v>
      </c>
      <c r="D2153" s="8">
        <v>0.11700000000000001</v>
      </c>
    </row>
    <row r="2154" spans="1:4">
      <c r="A2154" t="str">
        <f t="shared" si="33"/>
        <v>131Expectancy</v>
      </c>
      <c r="B2154">
        <v>131</v>
      </c>
      <c r="C2154" s="9" t="s">
        <v>31</v>
      </c>
      <c r="D2154" s="8">
        <v>-0.58499999999999996</v>
      </c>
    </row>
    <row r="2155" spans="1:4">
      <c r="A2155" t="str">
        <f t="shared" si="33"/>
        <v>131Net Profit</v>
      </c>
      <c r="B2155">
        <v>131</v>
      </c>
      <c r="C2155" s="9" t="s">
        <v>32</v>
      </c>
      <c r="D2155" s="8">
        <v>-0.11099000000000001</v>
      </c>
    </row>
    <row r="2156" spans="1:4">
      <c r="A2156" t="str">
        <f t="shared" si="33"/>
        <v>131Loss Rate</v>
      </c>
      <c r="B2156">
        <v>131</v>
      </c>
      <c r="C2156" s="9" t="s">
        <v>33</v>
      </c>
      <c r="D2156" s="8">
        <v>0.78</v>
      </c>
    </row>
    <row r="2157" spans="1:4">
      <c r="A2157" t="str">
        <f t="shared" si="33"/>
        <v>131Win Rate</v>
      </c>
      <c r="B2157">
        <v>131</v>
      </c>
      <c r="C2157" s="9" t="s">
        <v>34</v>
      </c>
      <c r="D2157" s="8">
        <v>0.22</v>
      </c>
    </row>
    <row r="2158" spans="1:4">
      <c r="A2158" t="str">
        <f t="shared" si="33"/>
        <v>131Profit-Loss Ratio</v>
      </c>
      <c r="B2158">
        <v>131</v>
      </c>
      <c r="C2158" s="9" t="s">
        <v>26</v>
      </c>
      <c r="D2158" s="8">
        <v>0.87</v>
      </c>
    </row>
    <row r="2159" spans="1:4">
      <c r="A2159" t="str">
        <f t="shared" si="33"/>
        <v>131Alpha</v>
      </c>
      <c r="B2159">
        <v>131</v>
      </c>
      <c r="C2159" s="9" t="s">
        <v>23</v>
      </c>
      <c r="D2159" s="8">
        <v>-9.2999999999999999E-2</v>
      </c>
    </row>
    <row r="2160" spans="1:4">
      <c r="A2160" t="str">
        <f t="shared" si="33"/>
        <v>131Beta</v>
      </c>
      <c r="B2160">
        <v>131</v>
      </c>
      <c r="C2160" s="9" t="s">
        <v>24</v>
      </c>
      <c r="D2160" s="8">
        <v>-0.35299999999999998</v>
      </c>
    </row>
    <row r="2161" spans="1:4">
      <c r="A2161" t="str">
        <f t="shared" si="33"/>
        <v>131Annual Standard Deviation</v>
      </c>
      <c r="B2161">
        <v>131</v>
      </c>
      <c r="C2161" s="9" t="s">
        <v>35</v>
      </c>
      <c r="D2161" s="8">
        <v>7.9000000000000001E-2</v>
      </c>
    </row>
    <row r="2162" spans="1:4">
      <c r="A2162" t="str">
        <f t="shared" si="33"/>
        <v>131Annual Variance</v>
      </c>
      <c r="B2162">
        <v>131</v>
      </c>
      <c r="C2162" s="9" t="s">
        <v>36</v>
      </c>
      <c r="D2162" s="8">
        <v>6.0000000000000001E-3</v>
      </c>
    </row>
    <row r="2163" spans="1:4">
      <c r="A2163" t="str">
        <f t="shared" si="33"/>
        <v>131Information Ratio</v>
      </c>
      <c r="B2163">
        <v>131</v>
      </c>
      <c r="C2163" s="9" t="s">
        <v>37</v>
      </c>
      <c r="D2163" s="8">
        <v>-1.528</v>
      </c>
    </row>
    <row r="2164" spans="1:4">
      <c r="A2164" t="str">
        <f t="shared" si="33"/>
        <v>131Tracking Error</v>
      </c>
      <c r="B2164">
        <v>131</v>
      </c>
      <c r="C2164" s="9" t="s">
        <v>38</v>
      </c>
      <c r="D2164" s="8">
        <v>0.11700000000000001</v>
      </c>
    </row>
    <row r="2165" spans="1:4">
      <c r="A2165" t="str">
        <f t="shared" si="33"/>
        <v>131Treynor Ratio</v>
      </c>
      <c r="B2165">
        <v>131</v>
      </c>
      <c r="C2165" s="9" t="s">
        <v>39</v>
      </c>
      <c r="D2165" s="8">
        <v>0.32800000000000001</v>
      </c>
    </row>
    <row r="2166" spans="1:4">
      <c r="A2166" t="str">
        <f t="shared" si="33"/>
        <v>131Total Fees</v>
      </c>
      <c r="B2166">
        <v>131</v>
      </c>
      <c r="C2166" s="9" t="s">
        <v>40</v>
      </c>
      <c r="D2166" s="8">
        <v>0</v>
      </c>
    </row>
    <row r="2167" spans="1:4">
      <c r="A2167" t="str">
        <f t="shared" si="33"/>
        <v>131Estimated Strategy Capacity</v>
      </c>
      <c r="B2167">
        <v>131</v>
      </c>
      <c r="C2167" s="9" t="s">
        <v>41</v>
      </c>
      <c r="D2167" s="8">
        <v>250000000</v>
      </c>
    </row>
    <row r="2168" spans="1:4">
      <c r="A2168" t="str">
        <f t="shared" si="33"/>
        <v>130PSR</v>
      </c>
      <c r="B2168">
        <v>130</v>
      </c>
      <c r="C2168" s="9" t="s">
        <v>27</v>
      </c>
      <c r="D2168" s="8">
        <v>5.8E-4</v>
      </c>
    </row>
    <row r="2169" spans="1:4">
      <c r="A2169" t="str">
        <f t="shared" si="33"/>
        <v>130Sharpe Ratio</v>
      </c>
      <c r="B2169">
        <v>130</v>
      </c>
      <c r="C2169" s="9" t="s">
        <v>1</v>
      </c>
      <c r="D2169" s="8">
        <v>-1.5660000000000001</v>
      </c>
    </row>
    <row r="2170" spans="1:4">
      <c r="A2170" t="str">
        <f t="shared" si="33"/>
        <v>130Total Trades</v>
      </c>
      <c r="B2170">
        <v>130</v>
      </c>
      <c r="C2170" s="9" t="s">
        <v>28</v>
      </c>
      <c r="D2170" s="8">
        <v>278</v>
      </c>
    </row>
    <row r="2171" spans="1:4">
      <c r="A2171" t="str">
        <f t="shared" si="33"/>
        <v>130Average Win</v>
      </c>
      <c r="B2171">
        <v>130</v>
      </c>
      <c r="C2171" s="9" t="s">
        <v>25</v>
      </c>
      <c r="D2171" s="8">
        <v>1.8E-3</v>
      </c>
    </row>
    <row r="2172" spans="1:4">
      <c r="A2172" t="str">
        <f t="shared" si="33"/>
        <v>130Average Loss</v>
      </c>
      <c r="B2172">
        <v>130</v>
      </c>
      <c r="C2172" s="9" t="s">
        <v>29</v>
      </c>
      <c r="D2172" s="8">
        <v>-2.0999999999999999E-3</v>
      </c>
    </row>
    <row r="2173" spans="1:4">
      <c r="A2173" t="str">
        <f t="shared" si="33"/>
        <v>130Compounding Annual Return</v>
      </c>
      <c r="B2173">
        <v>130</v>
      </c>
      <c r="C2173" s="9" t="s">
        <v>30</v>
      </c>
      <c r="D2173" s="8">
        <v>-1.712E-2</v>
      </c>
    </row>
    <row r="2174" spans="1:4">
      <c r="A2174" t="str">
        <f t="shared" si="33"/>
        <v>130Drawdown</v>
      </c>
      <c r="B2174">
        <v>130</v>
      </c>
      <c r="C2174" s="9" t="s">
        <v>8</v>
      </c>
      <c r="D2174" s="8">
        <v>1.2E-2</v>
      </c>
    </row>
    <row r="2175" spans="1:4">
      <c r="A2175" t="str">
        <f t="shared" si="33"/>
        <v>130Expectancy</v>
      </c>
      <c r="B2175">
        <v>130</v>
      </c>
      <c r="C2175" s="9" t="s">
        <v>31</v>
      </c>
      <c r="D2175" s="8">
        <v>-0.58599999999999997</v>
      </c>
    </row>
    <row r="2176" spans="1:4">
      <c r="A2176" t="str">
        <f t="shared" si="33"/>
        <v>130Net Profit</v>
      </c>
      <c r="B2176">
        <v>130</v>
      </c>
      <c r="C2176" s="9" t="s">
        <v>32</v>
      </c>
      <c r="D2176" s="8">
        <v>-1.11E-2</v>
      </c>
    </row>
    <row r="2177" spans="1:4">
      <c r="A2177" t="str">
        <f t="shared" si="33"/>
        <v>130Loss Rate</v>
      </c>
      <c r="B2177">
        <v>130</v>
      </c>
      <c r="C2177" s="9" t="s">
        <v>33</v>
      </c>
      <c r="D2177" s="8">
        <v>0.78</v>
      </c>
    </row>
    <row r="2178" spans="1:4">
      <c r="A2178" t="str">
        <f t="shared" si="33"/>
        <v>130Win Rate</v>
      </c>
      <c r="B2178">
        <v>130</v>
      </c>
      <c r="C2178" s="9" t="s">
        <v>34</v>
      </c>
      <c r="D2178" s="8">
        <v>0.22</v>
      </c>
    </row>
    <row r="2179" spans="1:4">
      <c r="A2179" t="str">
        <f t="shared" ref="A2179:A2242" si="34">B2179&amp;C2179</f>
        <v>130Profit-Loss Ratio</v>
      </c>
      <c r="B2179">
        <v>130</v>
      </c>
      <c r="C2179" s="9" t="s">
        <v>26</v>
      </c>
      <c r="D2179" s="8">
        <v>0.86</v>
      </c>
    </row>
    <row r="2180" spans="1:4">
      <c r="A2180" t="str">
        <f t="shared" si="34"/>
        <v>130Alpha</v>
      </c>
      <c r="B2180">
        <v>130</v>
      </c>
      <c r="C2180" s="9" t="s">
        <v>23</v>
      </c>
      <c r="D2180" s="8">
        <v>-0.01</v>
      </c>
    </row>
    <row r="2181" spans="1:4">
      <c r="A2181" t="str">
        <f t="shared" si="34"/>
        <v>130Beta</v>
      </c>
      <c r="B2181">
        <v>130</v>
      </c>
      <c r="C2181" s="9" t="s">
        <v>24</v>
      </c>
      <c r="D2181" s="8">
        <v>-3.4000000000000002E-2</v>
      </c>
    </row>
    <row r="2182" spans="1:4">
      <c r="A2182" t="str">
        <f t="shared" si="34"/>
        <v>130Annual Standard Deviation</v>
      </c>
      <c r="B2182">
        <v>130</v>
      </c>
      <c r="C2182" s="9" t="s">
        <v>35</v>
      </c>
      <c r="D2182" s="8">
        <v>8.0000000000000002E-3</v>
      </c>
    </row>
    <row r="2183" spans="1:4">
      <c r="A2183" t="str">
        <f t="shared" si="34"/>
        <v>130Annual Variance</v>
      </c>
      <c r="B2183">
        <v>130</v>
      </c>
      <c r="C2183" s="9" t="s">
        <v>36</v>
      </c>
      <c r="D2183" s="8">
        <v>0</v>
      </c>
    </row>
    <row r="2184" spans="1:4">
      <c r="A2184" t="str">
        <f t="shared" si="34"/>
        <v>130Information Ratio</v>
      </c>
      <c r="B2184">
        <v>130</v>
      </c>
      <c r="C2184" s="9" t="s">
        <v>37</v>
      </c>
      <c r="D2184" s="8">
        <v>-1.089</v>
      </c>
    </row>
    <row r="2185" spans="1:4">
      <c r="A2185" t="str">
        <f t="shared" si="34"/>
        <v>130Tracking Error</v>
      </c>
      <c r="B2185">
        <v>130</v>
      </c>
      <c r="C2185" s="9" t="s">
        <v>38</v>
      </c>
      <c r="D2185" s="8">
        <v>6.9000000000000006E-2</v>
      </c>
    </row>
    <row r="2186" spans="1:4">
      <c r="A2186" t="str">
        <f t="shared" si="34"/>
        <v>130Treynor Ratio</v>
      </c>
      <c r="B2186">
        <v>130</v>
      </c>
      <c r="C2186" s="9" t="s">
        <v>39</v>
      </c>
      <c r="D2186" s="8">
        <v>0.35</v>
      </c>
    </row>
    <row r="2187" spans="1:4">
      <c r="A2187" t="str">
        <f t="shared" si="34"/>
        <v>130Total Fees</v>
      </c>
      <c r="B2187">
        <v>130</v>
      </c>
      <c r="C2187" s="9" t="s">
        <v>40</v>
      </c>
      <c r="D2187" s="8">
        <v>0</v>
      </c>
    </row>
    <row r="2188" spans="1:4">
      <c r="A2188" t="str">
        <f t="shared" si="34"/>
        <v>130Estimated Strategy Capacity</v>
      </c>
      <c r="B2188">
        <v>130</v>
      </c>
      <c r="C2188" s="9" t="s">
        <v>41</v>
      </c>
      <c r="D2188" s="8">
        <v>2700000000</v>
      </c>
    </row>
    <row r="2189" spans="1:4">
      <c r="A2189" t="str">
        <f t="shared" si="34"/>
        <v>129PSR</v>
      </c>
      <c r="B2189">
        <v>129</v>
      </c>
      <c r="C2189" s="9" t="s">
        <v>27</v>
      </c>
      <c r="D2189" s="8">
        <v>5.3260000000000002E-2</v>
      </c>
    </row>
    <row r="2190" spans="1:4">
      <c r="A2190" t="str">
        <f t="shared" si="34"/>
        <v>129Sharpe Ratio</v>
      </c>
      <c r="B2190">
        <v>129</v>
      </c>
      <c r="C2190" s="9" t="s">
        <v>1</v>
      </c>
      <c r="D2190" s="8">
        <v>-0.61799999999999999</v>
      </c>
    </row>
    <row r="2191" spans="1:4">
      <c r="A2191" t="str">
        <f t="shared" si="34"/>
        <v>129Total Trades</v>
      </c>
      <c r="B2191">
        <v>129</v>
      </c>
      <c r="C2191" s="9" t="s">
        <v>28</v>
      </c>
      <c r="D2191" s="8">
        <v>467</v>
      </c>
    </row>
    <row r="2192" spans="1:4">
      <c r="A2192" t="str">
        <f t="shared" si="34"/>
        <v>129Average Win</v>
      </c>
      <c r="B2192">
        <v>129</v>
      </c>
      <c r="C2192" s="9" t="s">
        <v>25</v>
      </c>
      <c r="D2192" s="8">
        <v>5.2999999999999999E-2</v>
      </c>
    </row>
    <row r="2193" spans="1:4">
      <c r="A2193" t="str">
        <f t="shared" si="34"/>
        <v>129Average Loss</v>
      </c>
      <c r="B2193">
        <v>129</v>
      </c>
      <c r="C2193" s="9" t="s">
        <v>29</v>
      </c>
      <c r="D2193" s="8">
        <v>-4.4299999999999999E-2</v>
      </c>
    </row>
    <row r="2194" spans="1:4">
      <c r="A2194" t="str">
        <f t="shared" si="34"/>
        <v>129Compounding Annual Return</v>
      </c>
      <c r="B2194">
        <v>129</v>
      </c>
      <c r="C2194" s="9" t="s">
        <v>30</v>
      </c>
      <c r="D2194" s="8">
        <v>-0.28738000000000002</v>
      </c>
    </row>
    <row r="2195" spans="1:4">
      <c r="A2195" t="str">
        <f t="shared" si="34"/>
        <v>129Drawdown</v>
      </c>
      <c r="B2195">
        <v>129</v>
      </c>
      <c r="C2195" s="9" t="s">
        <v>8</v>
      </c>
      <c r="D2195" s="8">
        <v>0.27700000000000002</v>
      </c>
    </row>
    <row r="2196" spans="1:4">
      <c r="A2196" t="str">
        <f t="shared" si="34"/>
        <v>129Expectancy</v>
      </c>
      <c r="B2196">
        <v>129</v>
      </c>
      <c r="C2196" s="9" t="s">
        <v>31</v>
      </c>
      <c r="D2196" s="8">
        <v>-0.26800000000000002</v>
      </c>
    </row>
    <row r="2197" spans="1:4">
      <c r="A2197" t="str">
        <f t="shared" si="34"/>
        <v>129Net Profit</v>
      </c>
      <c r="B2197">
        <v>129</v>
      </c>
      <c r="C2197" s="9" t="s">
        <v>32</v>
      </c>
      <c r="D2197" s="8">
        <v>-0.19670000000000001</v>
      </c>
    </row>
    <row r="2198" spans="1:4">
      <c r="A2198" t="str">
        <f t="shared" si="34"/>
        <v>129Loss Rate</v>
      </c>
      <c r="B2198">
        <v>129</v>
      </c>
      <c r="C2198" s="9" t="s">
        <v>33</v>
      </c>
      <c r="D2198" s="8">
        <v>0.67</v>
      </c>
    </row>
    <row r="2199" spans="1:4">
      <c r="A2199" t="str">
        <f t="shared" si="34"/>
        <v>129Win Rate</v>
      </c>
      <c r="B2199">
        <v>129</v>
      </c>
      <c r="C2199" s="9" t="s">
        <v>34</v>
      </c>
      <c r="D2199" s="8">
        <v>0.33</v>
      </c>
    </row>
    <row r="2200" spans="1:4">
      <c r="A2200" t="str">
        <f t="shared" si="34"/>
        <v>129Profit-Loss Ratio</v>
      </c>
      <c r="B2200">
        <v>129</v>
      </c>
      <c r="C2200" s="9" t="s">
        <v>26</v>
      </c>
      <c r="D2200" s="8">
        <v>1.2</v>
      </c>
    </row>
    <row r="2201" spans="1:4">
      <c r="A2201" t="str">
        <f t="shared" si="34"/>
        <v>129Alpha</v>
      </c>
      <c r="B2201">
        <v>129</v>
      </c>
      <c r="C2201" s="9" t="s">
        <v>23</v>
      </c>
      <c r="D2201" s="8">
        <v>-0.10299999999999999</v>
      </c>
    </row>
    <row r="2202" spans="1:4">
      <c r="A2202" t="str">
        <f t="shared" si="34"/>
        <v>129Beta</v>
      </c>
      <c r="B2202">
        <v>129</v>
      </c>
      <c r="C2202" s="9" t="s">
        <v>24</v>
      </c>
      <c r="D2202" s="8">
        <v>-1.1559999999999999</v>
      </c>
    </row>
    <row r="2203" spans="1:4">
      <c r="A2203" t="str">
        <f t="shared" si="34"/>
        <v>129Annual Standard Deviation</v>
      </c>
      <c r="B2203">
        <v>129</v>
      </c>
      <c r="C2203" s="9" t="s">
        <v>35</v>
      </c>
      <c r="D2203" s="8">
        <v>0.28599999999999998</v>
      </c>
    </row>
    <row r="2204" spans="1:4">
      <c r="A2204" t="str">
        <f t="shared" si="34"/>
        <v>129Annual Variance</v>
      </c>
      <c r="B2204">
        <v>129</v>
      </c>
      <c r="C2204" s="9" t="s">
        <v>36</v>
      </c>
      <c r="D2204" s="8">
        <v>8.2000000000000003E-2</v>
      </c>
    </row>
    <row r="2205" spans="1:4">
      <c r="A2205" t="str">
        <f t="shared" si="34"/>
        <v>129Information Ratio</v>
      </c>
      <c r="B2205">
        <v>129</v>
      </c>
      <c r="C2205" s="9" t="s">
        <v>37</v>
      </c>
      <c r="D2205" s="8">
        <v>-0.77400000000000002</v>
      </c>
    </row>
    <row r="2206" spans="1:4">
      <c r="A2206" t="str">
        <f t="shared" si="34"/>
        <v>129Tracking Error</v>
      </c>
      <c r="B2206">
        <v>129</v>
      </c>
      <c r="C2206" s="9" t="s">
        <v>38</v>
      </c>
      <c r="D2206" s="8">
        <v>0.31</v>
      </c>
    </row>
    <row r="2207" spans="1:4">
      <c r="A2207" t="str">
        <f t="shared" si="34"/>
        <v>129Treynor Ratio</v>
      </c>
      <c r="B2207">
        <v>129</v>
      </c>
      <c r="C2207" s="9" t="s">
        <v>39</v>
      </c>
      <c r="D2207" s="8">
        <v>0.153</v>
      </c>
    </row>
    <row r="2208" spans="1:4">
      <c r="A2208" t="str">
        <f t="shared" si="34"/>
        <v>129Total Fees</v>
      </c>
      <c r="B2208">
        <v>129</v>
      </c>
      <c r="C2208" s="9" t="s">
        <v>40</v>
      </c>
      <c r="D2208" s="8">
        <v>0</v>
      </c>
    </row>
    <row r="2209" spans="1:4">
      <c r="A2209" t="str">
        <f t="shared" si="34"/>
        <v>129Estimated Strategy Capacity</v>
      </c>
      <c r="B2209">
        <v>129</v>
      </c>
      <c r="C2209" s="9" t="s">
        <v>41</v>
      </c>
      <c r="D2209" s="8">
        <v>18000000</v>
      </c>
    </row>
    <row r="2210" spans="1:4">
      <c r="A2210" t="str">
        <f t="shared" si="34"/>
        <v>128PSR</v>
      </c>
      <c r="B2210">
        <v>128</v>
      </c>
      <c r="C2210" s="9" t="s">
        <v>27</v>
      </c>
      <c r="D2210" s="8">
        <v>4.3709999999999999E-2</v>
      </c>
    </row>
    <row r="2211" spans="1:4">
      <c r="A2211" t="str">
        <f t="shared" si="34"/>
        <v>128Sharpe Ratio</v>
      </c>
      <c r="B2211">
        <v>128</v>
      </c>
      <c r="C2211" s="9" t="s">
        <v>1</v>
      </c>
      <c r="D2211" s="8">
        <v>-0.753</v>
      </c>
    </row>
    <row r="2212" spans="1:4">
      <c r="A2212" t="str">
        <f t="shared" si="34"/>
        <v>128Total Trades</v>
      </c>
      <c r="B2212">
        <v>128</v>
      </c>
      <c r="C2212" s="9" t="s">
        <v>28</v>
      </c>
      <c r="D2212" s="8">
        <v>467</v>
      </c>
    </row>
    <row r="2213" spans="1:4">
      <c r="A2213" t="str">
        <f t="shared" si="34"/>
        <v>128Average Win</v>
      </c>
      <c r="B2213">
        <v>128</v>
      </c>
      <c r="C2213" s="9" t="s">
        <v>25</v>
      </c>
      <c r="D2213" s="8">
        <v>9.5999999999999992E-3</v>
      </c>
    </row>
    <row r="2214" spans="1:4">
      <c r="A2214" t="str">
        <f t="shared" si="34"/>
        <v>128Average Loss</v>
      </c>
      <c r="B2214">
        <v>128</v>
      </c>
      <c r="C2214" s="9" t="s">
        <v>29</v>
      </c>
      <c r="D2214" s="8">
        <v>-8.6E-3</v>
      </c>
    </row>
    <row r="2215" spans="1:4">
      <c r="A2215" t="str">
        <f t="shared" si="34"/>
        <v>128Compounding Annual Return</v>
      </c>
      <c r="B2215">
        <v>128</v>
      </c>
      <c r="C2215" s="9" t="s">
        <v>30</v>
      </c>
      <c r="D2215" s="8">
        <v>-6.0199999999999997E-2</v>
      </c>
    </row>
    <row r="2216" spans="1:4">
      <c r="A2216" t="str">
        <f t="shared" si="34"/>
        <v>128Drawdown</v>
      </c>
      <c r="B2216">
        <v>128</v>
      </c>
      <c r="C2216" s="9" t="s">
        <v>8</v>
      </c>
      <c r="D2216" s="8">
        <v>5.8999999999999997E-2</v>
      </c>
    </row>
    <row r="2217" spans="1:4">
      <c r="A2217" t="str">
        <f t="shared" si="34"/>
        <v>128Expectancy</v>
      </c>
      <c r="B2217">
        <v>128</v>
      </c>
      <c r="C2217" s="9" t="s">
        <v>31</v>
      </c>
      <c r="D2217" s="8">
        <v>-0.29399999999999998</v>
      </c>
    </row>
    <row r="2218" spans="1:4">
      <c r="A2218" t="str">
        <f t="shared" si="34"/>
        <v>128Net Profit</v>
      </c>
      <c r="B2218">
        <v>128</v>
      </c>
      <c r="C2218" s="9" t="s">
        <v>32</v>
      </c>
      <c r="D2218" s="8">
        <v>-3.934E-2</v>
      </c>
    </row>
    <row r="2219" spans="1:4">
      <c r="A2219" t="str">
        <f t="shared" si="34"/>
        <v>128Loss Rate</v>
      </c>
      <c r="B2219">
        <v>128</v>
      </c>
      <c r="C2219" s="9" t="s">
        <v>33</v>
      </c>
      <c r="D2219" s="8">
        <v>0.67</v>
      </c>
    </row>
    <row r="2220" spans="1:4">
      <c r="A2220" t="str">
        <f t="shared" si="34"/>
        <v>128Win Rate</v>
      </c>
      <c r="B2220">
        <v>128</v>
      </c>
      <c r="C2220" s="9" t="s">
        <v>34</v>
      </c>
      <c r="D2220" s="8">
        <v>0.33</v>
      </c>
    </row>
    <row r="2221" spans="1:4">
      <c r="A2221" t="str">
        <f t="shared" si="34"/>
        <v>128Profit-Loss Ratio</v>
      </c>
      <c r="B2221">
        <v>128</v>
      </c>
      <c r="C2221" s="9" t="s">
        <v>26</v>
      </c>
      <c r="D2221" s="8">
        <v>1.1200000000000001</v>
      </c>
    </row>
    <row r="2222" spans="1:4">
      <c r="A2222" t="str">
        <f t="shared" si="34"/>
        <v>128Alpha</v>
      </c>
      <c r="B2222">
        <v>128</v>
      </c>
      <c r="C2222" s="9" t="s">
        <v>23</v>
      </c>
      <c r="D2222" s="8">
        <v>-2.7E-2</v>
      </c>
    </row>
    <row r="2223" spans="1:4">
      <c r="A2223" t="str">
        <f t="shared" si="34"/>
        <v>128Beta</v>
      </c>
      <c r="B2223">
        <v>128</v>
      </c>
      <c r="C2223" s="9" t="s">
        <v>24</v>
      </c>
      <c r="D2223" s="8">
        <v>-0.218</v>
      </c>
    </row>
    <row r="2224" spans="1:4">
      <c r="A2224" t="str">
        <f t="shared" si="34"/>
        <v>128Annual Standard Deviation</v>
      </c>
      <c r="B2224">
        <v>128</v>
      </c>
      <c r="C2224" s="9" t="s">
        <v>35</v>
      </c>
      <c r="D2224" s="8">
        <v>5.3999999999999999E-2</v>
      </c>
    </row>
    <row r="2225" spans="1:4">
      <c r="A2225" t="str">
        <f t="shared" si="34"/>
        <v>128Annual Variance</v>
      </c>
      <c r="B2225">
        <v>128</v>
      </c>
      <c r="C2225" s="9" t="s">
        <v>36</v>
      </c>
      <c r="D2225" s="8">
        <v>3.0000000000000001E-3</v>
      </c>
    </row>
    <row r="2226" spans="1:4">
      <c r="A2226" t="str">
        <f t="shared" si="34"/>
        <v>128Information Ratio</v>
      </c>
      <c r="B2226">
        <v>128</v>
      </c>
      <c r="C2226" s="9" t="s">
        <v>37</v>
      </c>
      <c r="D2226" s="8">
        <v>-1.0820000000000001</v>
      </c>
    </row>
    <row r="2227" spans="1:4">
      <c r="A2227" t="str">
        <f t="shared" si="34"/>
        <v>128Tracking Error</v>
      </c>
      <c r="B2227">
        <v>128</v>
      </c>
      <c r="C2227" s="9" t="s">
        <v>38</v>
      </c>
      <c r="D2227" s="8">
        <v>9.7000000000000003E-2</v>
      </c>
    </row>
    <row r="2228" spans="1:4">
      <c r="A2228" t="str">
        <f t="shared" si="34"/>
        <v>128Treynor Ratio</v>
      </c>
      <c r="B2228">
        <v>128</v>
      </c>
      <c r="C2228" s="9" t="s">
        <v>39</v>
      </c>
      <c r="D2228" s="8">
        <v>0.187</v>
      </c>
    </row>
    <row r="2229" spans="1:4">
      <c r="A2229" t="str">
        <f t="shared" si="34"/>
        <v>128Total Fees</v>
      </c>
      <c r="B2229">
        <v>128</v>
      </c>
      <c r="C2229" s="9" t="s">
        <v>40</v>
      </c>
      <c r="D2229" s="8">
        <v>0</v>
      </c>
    </row>
    <row r="2230" spans="1:4">
      <c r="A2230" t="str">
        <f t="shared" si="34"/>
        <v>128Estimated Strategy Capacity</v>
      </c>
      <c r="B2230">
        <v>128</v>
      </c>
      <c r="C2230" s="9" t="s">
        <v>41</v>
      </c>
      <c r="D2230" s="8">
        <v>100000000</v>
      </c>
    </row>
    <row r="2231" spans="1:4">
      <c r="A2231" t="str">
        <f t="shared" si="34"/>
        <v>127PSR</v>
      </c>
      <c r="B2231">
        <v>127</v>
      </c>
      <c r="C2231" s="9" t="s">
        <v>27</v>
      </c>
      <c r="D2231" s="8">
        <v>4.1869999999999997E-2</v>
      </c>
    </row>
    <row r="2232" spans="1:4">
      <c r="A2232" t="str">
        <f t="shared" si="34"/>
        <v>127Sharpe Ratio</v>
      </c>
      <c r="B2232">
        <v>127</v>
      </c>
      <c r="C2232" s="9" t="s">
        <v>1</v>
      </c>
      <c r="D2232" s="8">
        <v>-0.78600000000000003</v>
      </c>
    </row>
    <row r="2233" spans="1:4">
      <c r="A2233" t="str">
        <f t="shared" si="34"/>
        <v>127Total Trades</v>
      </c>
      <c r="B2233">
        <v>127</v>
      </c>
      <c r="C2233" s="9" t="s">
        <v>28</v>
      </c>
      <c r="D2233" s="8">
        <v>467</v>
      </c>
    </row>
    <row r="2234" spans="1:4">
      <c r="A2234" t="str">
        <f t="shared" si="34"/>
        <v>127Average Win</v>
      </c>
      <c r="B2234">
        <v>127</v>
      </c>
      <c r="C2234" s="9" t="s">
        <v>25</v>
      </c>
      <c r="D2234" s="8">
        <v>8.9999999999999998E-4</v>
      </c>
    </row>
    <row r="2235" spans="1:4">
      <c r="A2235" t="str">
        <f t="shared" si="34"/>
        <v>127Average Loss</v>
      </c>
      <c r="B2235">
        <v>127</v>
      </c>
      <c r="C2235" s="9" t="s">
        <v>29</v>
      </c>
      <c r="D2235" s="8">
        <v>-8.0000000000000004E-4</v>
      </c>
    </row>
    <row r="2236" spans="1:4">
      <c r="A2236" t="str">
        <f t="shared" si="34"/>
        <v>127Compounding Annual Return</v>
      </c>
      <c r="B2236">
        <v>127</v>
      </c>
      <c r="C2236" s="9" t="s">
        <v>30</v>
      </c>
      <c r="D2236" s="8">
        <v>-6.0800000000000003E-3</v>
      </c>
    </row>
    <row r="2237" spans="1:4">
      <c r="A2237" t="str">
        <f t="shared" si="34"/>
        <v>127Drawdown</v>
      </c>
      <c r="B2237">
        <v>127</v>
      </c>
      <c r="C2237" s="9" t="s">
        <v>8</v>
      </c>
      <c r="D2237" s="8">
        <v>6.0000000000000001E-3</v>
      </c>
    </row>
    <row r="2238" spans="1:4">
      <c r="A2238" t="str">
        <f t="shared" si="34"/>
        <v>127Expectancy</v>
      </c>
      <c r="B2238">
        <v>127</v>
      </c>
      <c r="C2238" s="9" t="s">
        <v>31</v>
      </c>
      <c r="D2238" s="8">
        <v>-0.29899999999999999</v>
      </c>
    </row>
    <row r="2239" spans="1:4">
      <c r="A2239" t="str">
        <f t="shared" si="34"/>
        <v>127Net Profit</v>
      </c>
      <c r="B2239">
        <v>127</v>
      </c>
      <c r="C2239" s="9" t="s">
        <v>32</v>
      </c>
      <c r="D2239" s="8">
        <v>-3.9300000000000003E-3</v>
      </c>
    </row>
    <row r="2240" spans="1:4">
      <c r="A2240" t="str">
        <f t="shared" si="34"/>
        <v>127Loss Rate</v>
      </c>
      <c r="B2240">
        <v>127</v>
      </c>
      <c r="C2240" s="9" t="s">
        <v>33</v>
      </c>
      <c r="D2240" s="8">
        <v>0.67</v>
      </c>
    </row>
    <row r="2241" spans="1:4">
      <c r="A2241" t="str">
        <f t="shared" si="34"/>
        <v>127Win Rate</v>
      </c>
      <c r="B2241">
        <v>127</v>
      </c>
      <c r="C2241" s="9" t="s">
        <v>34</v>
      </c>
      <c r="D2241" s="8">
        <v>0.33</v>
      </c>
    </row>
    <row r="2242" spans="1:4">
      <c r="A2242" t="str">
        <f t="shared" si="34"/>
        <v>127Profit-Loss Ratio</v>
      </c>
      <c r="B2242">
        <v>127</v>
      </c>
      <c r="C2242" s="9" t="s">
        <v>26</v>
      </c>
      <c r="D2242" s="8">
        <v>1.1000000000000001</v>
      </c>
    </row>
    <row r="2243" spans="1:4">
      <c r="A2243" t="str">
        <f t="shared" ref="A2243:A2306" si="35">B2243&amp;C2243</f>
        <v>127Alpha</v>
      </c>
      <c r="B2243">
        <v>127</v>
      </c>
      <c r="C2243" s="9" t="s">
        <v>23</v>
      </c>
      <c r="D2243" s="8">
        <v>-3.0000000000000001E-3</v>
      </c>
    </row>
    <row r="2244" spans="1:4">
      <c r="A2244" t="str">
        <f t="shared" si="35"/>
        <v>127Beta</v>
      </c>
      <c r="B2244">
        <v>127</v>
      </c>
      <c r="C2244" s="9" t="s">
        <v>24</v>
      </c>
      <c r="D2244" s="8">
        <v>-2.1999999999999999E-2</v>
      </c>
    </row>
    <row r="2245" spans="1:4">
      <c r="A2245" t="str">
        <f t="shared" si="35"/>
        <v>127Annual Standard Deviation</v>
      </c>
      <c r="B2245">
        <v>127</v>
      </c>
      <c r="C2245" s="9" t="s">
        <v>35</v>
      </c>
      <c r="D2245" s="8">
        <v>5.0000000000000001E-3</v>
      </c>
    </row>
    <row r="2246" spans="1:4">
      <c r="A2246" t="str">
        <f t="shared" si="35"/>
        <v>127Annual Variance</v>
      </c>
      <c r="B2246">
        <v>127</v>
      </c>
      <c r="C2246" s="9" t="s">
        <v>36</v>
      </c>
      <c r="D2246" s="8">
        <v>0</v>
      </c>
    </row>
    <row r="2247" spans="1:4">
      <c r="A2247" t="str">
        <f t="shared" si="35"/>
        <v>127Information Ratio</v>
      </c>
      <c r="B2247">
        <v>127</v>
      </c>
      <c r="C2247" s="9" t="s">
        <v>37</v>
      </c>
      <c r="D2247" s="8">
        <v>-0.99299999999999999</v>
      </c>
    </row>
    <row r="2248" spans="1:4">
      <c r="A2248" t="str">
        <f t="shared" si="35"/>
        <v>127Tracking Error</v>
      </c>
      <c r="B2248">
        <v>127</v>
      </c>
      <c r="C2248" s="9" t="s">
        <v>38</v>
      </c>
      <c r="D2248" s="8">
        <v>6.8000000000000005E-2</v>
      </c>
    </row>
    <row r="2249" spans="1:4">
      <c r="A2249" t="str">
        <f t="shared" si="35"/>
        <v>127Treynor Ratio</v>
      </c>
      <c r="B2249">
        <v>127</v>
      </c>
      <c r="C2249" s="9" t="s">
        <v>39</v>
      </c>
      <c r="D2249" s="8">
        <v>0.19500000000000001</v>
      </c>
    </row>
    <row r="2250" spans="1:4">
      <c r="A2250" t="str">
        <f t="shared" si="35"/>
        <v>127Total Fees</v>
      </c>
      <c r="B2250">
        <v>127</v>
      </c>
      <c r="C2250" s="9" t="s">
        <v>40</v>
      </c>
      <c r="D2250" s="8">
        <v>0</v>
      </c>
    </row>
    <row r="2251" spans="1:4">
      <c r="A2251" t="str">
        <f t="shared" si="35"/>
        <v>127Estimated Strategy Capacity</v>
      </c>
      <c r="B2251">
        <v>127</v>
      </c>
      <c r="C2251" s="9" t="s">
        <v>41</v>
      </c>
      <c r="D2251" s="8">
        <v>1100000000</v>
      </c>
    </row>
    <row r="2252" spans="1:4">
      <c r="A2252" t="str">
        <f t="shared" si="35"/>
        <v>126PSR</v>
      </c>
      <c r="B2252">
        <v>126</v>
      </c>
      <c r="C2252" s="9" t="s">
        <v>27</v>
      </c>
      <c r="D2252" s="8">
        <v>1.6219999999999998E-2</v>
      </c>
    </row>
    <row r="2253" spans="1:4">
      <c r="A2253" t="str">
        <f t="shared" si="35"/>
        <v>126Sharpe Ratio</v>
      </c>
      <c r="B2253">
        <v>126</v>
      </c>
      <c r="C2253" s="9" t="s">
        <v>1</v>
      </c>
      <c r="D2253" s="8">
        <v>-0.71599999999999997</v>
      </c>
    </row>
    <row r="2254" spans="1:4">
      <c r="A2254" t="str">
        <f t="shared" si="35"/>
        <v>126Total Trades</v>
      </c>
      <c r="B2254">
        <v>126</v>
      </c>
      <c r="C2254" s="9" t="s">
        <v>28</v>
      </c>
      <c r="D2254" s="8">
        <v>327</v>
      </c>
    </row>
    <row r="2255" spans="1:4">
      <c r="A2255" t="str">
        <f t="shared" si="35"/>
        <v>126Average Win</v>
      </c>
      <c r="B2255">
        <v>126</v>
      </c>
      <c r="C2255" s="9" t="s">
        <v>25</v>
      </c>
      <c r="D2255" s="8">
        <v>8.2900000000000001E-2</v>
      </c>
    </row>
    <row r="2256" spans="1:4">
      <c r="A2256" t="str">
        <f t="shared" si="35"/>
        <v>126Average Loss</v>
      </c>
      <c r="B2256">
        <v>126</v>
      </c>
      <c r="C2256" s="9" t="s">
        <v>29</v>
      </c>
      <c r="D2256" s="8">
        <v>-9.4500000000000001E-2</v>
      </c>
    </row>
    <row r="2257" spans="1:4">
      <c r="A2257" t="str">
        <f t="shared" si="35"/>
        <v>126Compounding Annual Return</v>
      </c>
      <c r="B2257">
        <v>126</v>
      </c>
      <c r="C2257" s="9" t="s">
        <v>30</v>
      </c>
      <c r="D2257" s="8">
        <v>-0.88102000000000003</v>
      </c>
    </row>
    <row r="2258" spans="1:4">
      <c r="A2258" t="str">
        <f t="shared" si="35"/>
        <v>126Drawdown</v>
      </c>
      <c r="B2258">
        <v>126</v>
      </c>
      <c r="C2258" s="9" t="s">
        <v>8</v>
      </c>
      <c r="D2258" s="8">
        <v>0.78400000000000003</v>
      </c>
    </row>
    <row r="2259" spans="1:4">
      <c r="A2259" t="str">
        <f t="shared" si="35"/>
        <v>126Expectancy</v>
      </c>
      <c r="B2259">
        <v>126</v>
      </c>
      <c r="C2259" s="9" t="s">
        <v>31</v>
      </c>
      <c r="D2259" s="8">
        <v>-0.68700000000000006</v>
      </c>
    </row>
    <row r="2260" spans="1:4">
      <c r="A2260" t="str">
        <f t="shared" si="35"/>
        <v>126Net Profit</v>
      </c>
      <c r="B2260">
        <v>126</v>
      </c>
      <c r="C2260" s="9" t="s">
        <v>32</v>
      </c>
      <c r="D2260" s="8">
        <v>-0.74746000000000001</v>
      </c>
    </row>
    <row r="2261" spans="1:4">
      <c r="A2261" t="str">
        <f t="shared" si="35"/>
        <v>126Loss Rate</v>
      </c>
      <c r="B2261">
        <v>126</v>
      </c>
      <c r="C2261" s="9" t="s">
        <v>33</v>
      </c>
      <c r="D2261" s="8">
        <v>0.83</v>
      </c>
    </row>
    <row r="2262" spans="1:4">
      <c r="A2262" t="str">
        <f t="shared" si="35"/>
        <v>126Win Rate</v>
      </c>
      <c r="B2262">
        <v>126</v>
      </c>
      <c r="C2262" s="9" t="s">
        <v>34</v>
      </c>
      <c r="D2262" s="8">
        <v>0.17</v>
      </c>
    </row>
    <row r="2263" spans="1:4">
      <c r="A2263" t="str">
        <f t="shared" si="35"/>
        <v>126Profit-Loss Ratio</v>
      </c>
      <c r="B2263">
        <v>126</v>
      </c>
      <c r="C2263" s="9" t="s">
        <v>26</v>
      </c>
      <c r="D2263" s="8">
        <v>0.88</v>
      </c>
    </row>
    <row r="2264" spans="1:4">
      <c r="A2264" t="str">
        <f t="shared" si="35"/>
        <v>126Alpha</v>
      </c>
      <c r="B2264">
        <v>126</v>
      </c>
      <c r="C2264" s="9" t="s">
        <v>23</v>
      </c>
      <c r="D2264" s="8">
        <v>-0.42899999999999999</v>
      </c>
    </row>
    <row r="2265" spans="1:4">
      <c r="A2265" t="str">
        <f t="shared" si="35"/>
        <v>126Beta</v>
      </c>
      <c r="B2265">
        <v>126</v>
      </c>
      <c r="C2265" s="9" t="s">
        <v>24</v>
      </c>
      <c r="D2265" s="8">
        <v>-3.3980000000000001</v>
      </c>
    </row>
    <row r="2266" spans="1:4">
      <c r="A2266" t="str">
        <f t="shared" si="35"/>
        <v>126Annual Standard Deviation</v>
      </c>
      <c r="B2266">
        <v>126</v>
      </c>
      <c r="C2266" s="9" t="s">
        <v>35</v>
      </c>
      <c r="D2266" s="8">
        <v>0.90200000000000002</v>
      </c>
    </row>
    <row r="2267" spans="1:4">
      <c r="A2267" t="str">
        <f t="shared" si="35"/>
        <v>126Annual Variance</v>
      </c>
      <c r="B2267">
        <v>126</v>
      </c>
      <c r="C2267" s="9" t="s">
        <v>36</v>
      </c>
      <c r="D2267" s="8">
        <v>0.81399999999999995</v>
      </c>
    </row>
    <row r="2268" spans="1:4">
      <c r="A2268" t="str">
        <f t="shared" si="35"/>
        <v>126Information Ratio</v>
      </c>
      <c r="B2268">
        <v>126</v>
      </c>
      <c r="C2268" s="9" t="s">
        <v>37</v>
      </c>
      <c r="D2268" s="8">
        <v>-0.77</v>
      </c>
    </row>
    <row r="2269" spans="1:4">
      <c r="A2269" t="str">
        <f t="shared" si="35"/>
        <v>126Tracking Error</v>
      </c>
      <c r="B2269">
        <v>126</v>
      </c>
      <c r="C2269" s="9" t="s">
        <v>38</v>
      </c>
      <c r="D2269" s="8">
        <v>0.92100000000000004</v>
      </c>
    </row>
    <row r="2270" spans="1:4">
      <c r="A2270" t="str">
        <f t="shared" si="35"/>
        <v>126Treynor Ratio</v>
      </c>
      <c r="B2270">
        <v>126</v>
      </c>
      <c r="C2270" s="9" t="s">
        <v>39</v>
      </c>
      <c r="D2270" s="8">
        <v>0.19</v>
      </c>
    </row>
    <row r="2271" spans="1:4">
      <c r="A2271" t="str">
        <f t="shared" si="35"/>
        <v>126Total Fees</v>
      </c>
      <c r="B2271">
        <v>126</v>
      </c>
      <c r="C2271" s="9" t="s">
        <v>40</v>
      </c>
      <c r="D2271" s="8">
        <v>0</v>
      </c>
    </row>
    <row r="2272" spans="1:4">
      <c r="A2272" t="str">
        <f t="shared" si="35"/>
        <v>126Estimated Strategy Capacity</v>
      </c>
      <c r="B2272">
        <v>126</v>
      </c>
      <c r="C2272" s="9" t="s">
        <v>41</v>
      </c>
      <c r="D2272" s="8">
        <v>3100000</v>
      </c>
    </row>
    <row r="2273" spans="1:4">
      <c r="A2273" t="str">
        <f t="shared" si="35"/>
        <v>125PSR</v>
      </c>
      <c r="B2273">
        <v>125</v>
      </c>
      <c r="C2273" s="9" t="s">
        <v>27</v>
      </c>
      <c r="D2273" s="8">
        <v>4.1000000000000003E-3</v>
      </c>
    </row>
    <row r="2274" spans="1:4">
      <c r="A2274" t="str">
        <f t="shared" si="35"/>
        <v>125Sharpe Ratio</v>
      </c>
      <c r="B2274">
        <v>125</v>
      </c>
      <c r="C2274" s="9" t="s">
        <v>1</v>
      </c>
      <c r="D2274" s="8">
        <v>-1.3759999999999999</v>
      </c>
    </row>
    <row r="2275" spans="1:4">
      <c r="A2275" t="str">
        <f t="shared" si="35"/>
        <v>125Total Trades</v>
      </c>
      <c r="B2275">
        <v>125</v>
      </c>
      <c r="C2275" s="9" t="s">
        <v>28</v>
      </c>
      <c r="D2275" s="8">
        <v>330</v>
      </c>
    </row>
    <row r="2276" spans="1:4">
      <c r="A2276" t="str">
        <f t="shared" si="35"/>
        <v>125Average Win</v>
      </c>
      <c r="B2276">
        <v>125</v>
      </c>
      <c r="C2276" s="9" t="s">
        <v>25</v>
      </c>
      <c r="D2276" s="8">
        <v>1.12E-2</v>
      </c>
    </row>
    <row r="2277" spans="1:4">
      <c r="A2277" t="str">
        <f t="shared" si="35"/>
        <v>125Average Loss</v>
      </c>
      <c r="B2277">
        <v>125</v>
      </c>
      <c r="C2277" s="9" t="s">
        <v>29</v>
      </c>
      <c r="D2277" s="8">
        <v>-2.35E-2</v>
      </c>
    </row>
    <row r="2278" spans="1:4">
      <c r="A2278" t="str">
        <f t="shared" si="35"/>
        <v>125Compounding Annual Return</v>
      </c>
      <c r="B2278">
        <v>125</v>
      </c>
      <c r="C2278" s="9" t="s">
        <v>30</v>
      </c>
      <c r="D2278" s="8">
        <v>-0.21981000000000001</v>
      </c>
    </row>
    <row r="2279" spans="1:4">
      <c r="A2279" t="str">
        <f t="shared" si="35"/>
        <v>125Drawdown</v>
      </c>
      <c r="B2279">
        <v>125</v>
      </c>
      <c r="C2279" s="9" t="s">
        <v>8</v>
      </c>
      <c r="D2279" s="8">
        <v>0.16600000000000001</v>
      </c>
    </row>
    <row r="2280" spans="1:4">
      <c r="A2280" t="str">
        <f t="shared" si="35"/>
        <v>125Expectancy</v>
      </c>
      <c r="B2280">
        <v>125</v>
      </c>
      <c r="C2280" s="9" t="s">
        <v>31</v>
      </c>
      <c r="D2280" s="8">
        <v>-0.59799999999999998</v>
      </c>
    </row>
    <row r="2281" spans="1:4">
      <c r="A2281" t="str">
        <f t="shared" si="35"/>
        <v>125Net Profit</v>
      </c>
      <c r="B2281">
        <v>125</v>
      </c>
      <c r="C2281" s="9" t="s">
        <v>32</v>
      </c>
      <c r="D2281" s="8">
        <v>-0.14824999999999999</v>
      </c>
    </row>
    <row r="2282" spans="1:4">
      <c r="A2282" t="str">
        <f t="shared" si="35"/>
        <v>125Loss Rate</v>
      </c>
      <c r="B2282">
        <v>125</v>
      </c>
      <c r="C2282" s="9" t="s">
        <v>33</v>
      </c>
      <c r="D2282" s="8">
        <v>0.73</v>
      </c>
    </row>
    <row r="2283" spans="1:4">
      <c r="A2283" t="str">
        <f t="shared" si="35"/>
        <v>125Win Rate</v>
      </c>
      <c r="B2283">
        <v>125</v>
      </c>
      <c r="C2283" s="9" t="s">
        <v>34</v>
      </c>
      <c r="D2283" s="8">
        <v>0.27</v>
      </c>
    </row>
    <row r="2284" spans="1:4">
      <c r="A2284" t="str">
        <f t="shared" si="35"/>
        <v>125Profit-Loss Ratio</v>
      </c>
      <c r="B2284">
        <v>125</v>
      </c>
      <c r="C2284" s="9" t="s">
        <v>26</v>
      </c>
      <c r="D2284" s="8">
        <v>0.47</v>
      </c>
    </row>
    <row r="2285" spans="1:4">
      <c r="A2285" t="str">
        <f t="shared" si="35"/>
        <v>125Alpha</v>
      </c>
      <c r="B2285">
        <v>125</v>
      </c>
      <c r="C2285" s="9" t="s">
        <v>23</v>
      </c>
      <c r="D2285" s="8">
        <v>-0.13300000000000001</v>
      </c>
    </row>
    <row r="2286" spans="1:4">
      <c r="A2286" t="str">
        <f t="shared" si="35"/>
        <v>125Beta</v>
      </c>
      <c r="B2286">
        <v>125</v>
      </c>
      <c r="C2286" s="9" t="s">
        <v>24</v>
      </c>
      <c r="D2286" s="8">
        <v>-0.313</v>
      </c>
    </row>
    <row r="2287" spans="1:4">
      <c r="A2287" t="str">
        <f t="shared" si="35"/>
        <v>125Annual Standard Deviation</v>
      </c>
      <c r="B2287">
        <v>125</v>
      </c>
      <c r="C2287" s="9" t="s">
        <v>35</v>
      </c>
      <c r="D2287" s="8">
        <v>0.111</v>
      </c>
    </row>
    <row r="2288" spans="1:4">
      <c r="A2288" t="str">
        <f t="shared" si="35"/>
        <v>125Annual Variance</v>
      </c>
      <c r="B2288">
        <v>125</v>
      </c>
      <c r="C2288" s="9" t="s">
        <v>36</v>
      </c>
      <c r="D2288" s="8">
        <v>1.2E-2</v>
      </c>
    </row>
    <row r="2289" spans="1:4">
      <c r="A2289" t="str">
        <f t="shared" si="35"/>
        <v>125Information Ratio</v>
      </c>
      <c r="B2289">
        <v>125</v>
      </c>
      <c r="C2289" s="9" t="s">
        <v>37</v>
      </c>
      <c r="D2289" s="8">
        <v>-1.548</v>
      </c>
    </row>
    <row r="2290" spans="1:4">
      <c r="A2290" t="str">
        <f t="shared" si="35"/>
        <v>125Tracking Error</v>
      </c>
      <c r="B2290">
        <v>125</v>
      </c>
      <c r="C2290" s="9" t="s">
        <v>38</v>
      </c>
      <c r="D2290" s="8">
        <v>0.14000000000000001</v>
      </c>
    </row>
    <row r="2291" spans="1:4">
      <c r="A2291" t="str">
        <f t="shared" si="35"/>
        <v>125Treynor Ratio</v>
      </c>
      <c r="B2291">
        <v>125</v>
      </c>
      <c r="C2291" s="9" t="s">
        <v>39</v>
      </c>
      <c r="D2291" s="8">
        <v>0.48899999999999999</v>
      </c>
    </row>
    <row r="2292" spans="1:4">
      <c r="A2292" t="str">
        <f t="shared" si="35"/>
        <v>125Total Fees</v>
      </c>
      <c r="B2292">
        <v>125</v>
      </c>
      <c r="C2292" s="9" t="s">
        <v>40</v>
      </c>
      <c r="D2292" s="8">
        <v>0</v>
      </c>
    </row>
    <row r="2293" spans="1:4">
      <c r="A2293" t="str">
        <f t="shared" si="35"/>
        <v>125Estimated Strategy Capacity</v>
      </c>
      <c r="B2293">
        <v>125</v>
      </c>
      <c r="C2293" s="9" t="s">
        <v>41</v>
      </c>
      <c r="D2293" s="8">
        <v>7900000</v>
      </c>
    </row>
    <row r="2294" spans="1:4">
      <c r="A2294" t="str">
        <f t="shared" si="35"/>
        <v>124PSR</v>
      </c>
      <c r="B2294">
        <v>124</v>
      </c>
      <c r="C2294" s="9" t="s">
        <v>27</v>
      </c>
      <c r="D2294" s="8">
        <v>3.0300000000000001E-3</v>
      </c>
    </row>
    <row r="2295" spans="1:4">
      <c r="A2295" t="str">
        <f t="shared" si="35"/>
        <v>124Sharpe Ratio</v>
      </c>
      <c r="B2295">
        <v>124</v>
      </c>
      <c r="C2295" s="9" t="s">
        <v>1</v>
      </c>
      <c r="D2295" s="8">
        <v>-1.524</v>
      </c>
    </row>
    <row r="2296" spans="1:4">
      <c r="A2296" t="str">
        <f t="shared" si="35"/>
        <v>124Total Trades</v>
      </c>
      <c r="B2296">
        <v>124</v>
      </c>
      <c r="C2296" s="9" t="s">
        <v>28</v>
      </c>
      <c r="D2296" s="8">
        <v>330</v>
      </c>
    </row>
    <row r="2297" spans="1:4">
      <c r="A2297" t="str">
        <f t="shared" si="35"/>
        <v>124Average Win</v>
      </c>
      <c r="B2297">
        <v>124</v>
      </c>
      <c r="C2297" s="9" t="s">
        <v>25</v>
      </c>
      <c r="D2297" s="8">
        <v>1E-3</v>
      </c>
    </row>
    <row r="2298" spans="1:4">
      <c r="A2298" t="str">
        <f t="shared" si="35"/>
        <v>124Average Loss</v>
      </c>
      <c r="B2298">
        <v>124</v>
      </c>
      <c r="C2298" s="9" t="s">
        <v>29</v>
      </c>
      <c r="D2298" s="8">
        <v>-2.2000000000000001E-3</v>
      </c>
    </row>
    <row r="2299" spans="1:4">
      <c r="A2299" t="str">
        <f t="shared" si="35"/>
        <v>124Compounding Annual Return</v>
      </c>
      <c r="B2299">
        <v>124</v>
      </c>
      <c r="C2299" s="9" t="s">
        <v>30</v>
      </c>
      <c r="D2299" s="8">
        <v>-2.2839999999999999E-2</v>
      </c>
    </row>
    <row r="2300" spans="1:4">
      <c r="A2300" t="str">
        <f t="shared" si="35"/>
        <v>124Drawdown</v>
      </c>
      <c r="B2300">
        <v>124</v>
      </c>
      <c r="C2300" s="9" t="s">
        <v>8</v>
      </c>
      <c r="D2300" s="8">
        <v>1.7000000000000001E-2</v>
      </c>
    </row>
    <row r="2301" spans="1:4">
      <c r="A2301" t="str">
        <f t="shared" si="35"/>
        <v>124Expectancy</v>
      </c>
      <c r="B2301">
        <v>124</v>
      </c>
      <c r="C2301" s="9" t="s">
        <v>31</v>
      </c>
      <c r="D2301" s="8">
        <v>-0.60299999999999998</v>
      </c>
    </row>
    <row r="2302" spans="1:4">
      <c r="A2302" t="str">
        <f t="shared" si="35"/>
        <v>124Net Profit</v>
      </c>
      <c r="B2302">
        <v>124</v>
      </c>
      <c r="C2302" s="9" t="s">
        <v>32</v>
      </c>
      <c r="D2302" s="8">
        <v>-1.4829999999999999E-2</v>
      </c>
    </row>
    <row r="2303" spans="1:4">
      <c r="A2303" t="str">
        <f t="shared" si="35"/>
        <v>124Loss Rate</v>
      </c>
      <c r="B2303">
        <v>124</v>
      </c>
      <c r="C2303" s="9" t="s">
        <v>33</v>
      </c>
      <c r="D2303" s="8">
        <v>0.73</v>
      </c>
    </row>
    <row r="2304" spans="1:4">
      <c r="A2304" t="str">
        <f t="shared" si="35"/>
        <v>124Win Rate</v>
      </c>
      <c r="B2304">
        <v>124</v>
      </c>
      <c r="C2304" s="9" t="s">
        <v>34</v>
      </c>
      <c r="D2304" s="8">
        <v>0.27</v>
      </c>
    </row>
    <row r="2305" spans="1:4">
      <c r="A2305" t="str">
        <f t="shared" si="35"/>
        <v>124Profit-Loss Ratio</v>
      </c>
      <c r="B2305">
        <v>124</v>
      </c>
      <c r="C2305" s="9" t="s">
        <v>26</v>
      </c>
      <c r="D2305" s="8">
        <v>0.46</v>
      </c>
    </row>
    <row r="2306" spans="1:4">
      <c r="A2306" t="str">
        <f t="shared" si="35"/>
        <v>124Alpha</v>
      </c>
      <c r="B2306">
        <v>124</v>
      </c>
      <c r="C2306" s="9" t="s">
        <v>23</v>
      </c>
      <c r="D2306" s="8">
        <v>-1.4E-2</v>
      </c>
    </row>
    <row r="2307" spans="1:4">
      <c r="A2307" t="str">
        <f t="shared" ref="A2307:A2370" si="36">B2307&amp;C2307</f>
        <v>124Beta</v>
      </c>
      <c r="B2307">
        <v>124</v>
      </c>
      <c r="C2307" s="9" t="s">
        <v>24</v>
      </c>
      <c r="D2307" s="8">
        <v>-2.8000000000000001E-2</v>
      </c>
    </row>
    <row r="2308" spans="1:4">
      <c r="A2308" t="str">
        <f t="shared" si="36"/>
        <v>124Annual Standard Deviation</v>
      </c>
      <c r="B2308">
        <v>124</v>
      </c>
      <c r="C2308" s="9" t="s">
        <v>35</v>
      </c>
      <c r="D2308" s="8">
        <v>0.01</v>
      </c>
    </row>
    <row r="2309" spans="1:4">
      <c r="A2309" t="str">
        <f t="shared" si="36"/>
        <v>124Annual Variance</v>
      </c>
      <c r="B2309">
        <v>124</v>
      </c>
      <c r="C2309" s="9" t="s">
        <v>36</v>
      </c>
      <c r="D2309" s="8">
        <v>0</v>
      </c>
    </row>
    <row r="2310" spans="1:4">
      <c r="A2310" t="str">
        <f t="shared" si="36"/>
        <v>124Information Ratio</v>
      </c>
      <c r="B2310">
        <v>124</v>
      </c>
      <c r="C2310" s="9" t="s">
        <v>37</v>
      </c>
      <c r="D2310" s="8">
        <v>-1.147</v>
      </c>
    </row>
    <row r="2311" spans="1:4">
      <c r="A2311" t="str">
        <f t="shared" si="36"/>
        <v>124Tracking Error</v>
      </c>
      <c r="B2311">
        <v>124</v>
      </c>
      <c r="C2311" s="9" t="s">
        <v>38</v>
      </c>
      <c r="D2311" s="8">
        <v>6.9000000000000006E-2</v>
      </c>
    </row>
    <row r="2312" spans="1:4">
      <c r="A2312" t="str">
        <f t="shared" si="36"/>
        <v>124Treynor Ratio</v>
      </c>
      <c r="B2312">
        <v>124</v>
      </c>
      <c r="C2312" s="9" t="s">
        <v>39</v>
      </c>
      <c r="D2312" s="8">
        <v>0.56499999999999995</v>
      </c>
    </row>
    <row r="2313" spans="1:4">
      <c r="A2313" t="str">
        <f t="shared" si="36"/>
        <v>124Total Fees</v>
      </c>
      <c r="B2313">
        <v>124</v>
      </c>
      <c r="C2313" s="9" t="s">
        <v>40</v>
      </c>
      <c r="D2313" s="8">
        <v>0</v>
      </c>
    </row>
    <row r="2314" spans="1:4">
      <c r="A2314" t="str">
        <f t="shared" si="36"/>
        <v>124Estimated Strategy Capacity</v>
      </c>
      <c r="B2314">
        <v>124</v>
      </c>
      <c r="C2314" s="9" t="s">
        <v>41</v>
      </c>
      <c r="D2314" s="8">
        <v>57000000</v>
      </c>
    </row>
    <row r="2315" spans="1:4">
      <c r="A2315" t="str">
        <f t="shared" si="36"/>
        <v>123PSR</v>
      </c>
      <c r="B2315">
        <v>123</v>
      </c>
      <c r="C2315" s="9" t="s">
        <v>27</v>
      </c>
      <c r="D2315" s="8">
        <v>8.7029999999999996E-2</v>
      </c>
    </row>
    <row r="2316" spans="1:4">
      <c r="A2316" t="str">
        <f t="shared" si="36"/>
        <v>123Sharpe Ratio</v>
      </c>
      <c r="B2316">
        <v>123</v>
      </c>
      <c r="C2316" s="9" t="s">
        <v>1</v>
      </c>
      <c r="D2316" s="8">
        <v>-0.34</v>
      </c>
    </row>
    <row r="2317" spans="1:4">
      <c r="A2317" t="str">
        <f t="shared" si="36"/>
        <v>123Total Trades</v>
      </c>
      <c r="B2317">
        <v>123</v>
      </c>
      <c r="C2317" s="9" t="s">
        <v>28</v>
      </c>
      <c r="D2317" s="8">
        <v>456</v>
      </c>
    </row>
    <row r="2318" spans="1:4">
      <c r="A2318" t="str">
        <f t="shared" si="36"/>
        <v>123Average Win</v>
      </c>
      <c r="B2318">
        <v>123</v>
      </c>
      <c r="C2318" s="9" t="s">
        <v>25</v>
      </c>
      <c r="D2318" s="8">
        <v>0.122</v>
      </c>
    </row>
    <row r="2319" spans="1:4">
      <c r="A2319" t="str">
        <f t="shared" si="36"/>
        <v>123Average Loss</v>
      </c>
      <c r="B2319">
        <v>123</v>
      </c>
      <c r="C2319" s="9" t="s">
        <v>29</v>
      </c>
      <c r="D2319" s="8">
        <v>-7.3400000000000007E-2</v>
      </c>
    </row>
    <row r="2320" spans="1:4">
      <c r="A2320" t="str">
        <f t="shared" si="36"/>
        <v>123Compounding Annual Return</v>
      </c>
      <c r="B2320">
        <v>123</v>
      </c>
      <c r="C2320" s="9" t="s">
        <v>30</v>
      </c>
      <c r="D2320" s="8">
        <v>-0.60485</v>
      </c>
    </row>
    <row r="2321" spans="1:4">
      <c r="A2321" t="str">
        <f t="shared" si="36"/>
        <v>123Drawdown</v>
      </c>
      <c r="B2321">
        <v>123</v>
      </c>
      <c r="C2321" s="9" t="s">
        <v>8</v>
      </c>
      <c r="D2321" s="8">
        <v>0.72599999999999998</v>
      </c>
    </row>
    <row r="2322" spans="1:4">
      <c r="A2322" t="str">
        <f t="shared" si="36"/>
        <v>123Expectancy</v>
      </c>
      <c r="B2322">
        <v>123</v>
      </c>
      <c r="C2322" s="9" t="s">
        <v>31</v>
      </c>
      <c r="D2322" s="8">
        <v>-0.27400000000000002</v>
      </c>
    </row>
    <row r="2323" spans="1:4">
      <c r="A2323" t="str">
        <f t="shared" si="36"/>
        <v>123Net Profit</v>
      </c>
      <c r="B2323">
        <v>123</v>
      </c>
      <c r="C2323" s="9" t="s">
        <v>32</v>
      </c>
      <c r="D2323" s="8">
        <v>-0.45130999999999999</v>
      </c>
    </row>
    <row r="2324" spans="1:4">
      <c r="A2324" t="str">
        <f t="shared" si="36"/>
        <v>123Loss Rate</v>
      </c>
      <c r="B2324">
        <v>123</v>
      </c>
      <c r="C2324" s="9" t="s">
        <v>33</v>
      </c>
      <c r="D2324" s="8">
        <v>0.73</v>
      </c>
    </row>
    <row r="2325" spans="1:4">
      <c r="A2325" t="str">
        <f t="shared" si="36"/>
        <v>123Win Rate</v>
      </c>
      <c r="B2325">
        <v>123</v>
      </c>
      <c r="C2325" s="9" t="s">
        <v>34</v>
      </c>
      <c r="D2325" s="8">
        <v>0.27</v>
      </c>
    </row>
    <row r="2326" spans="1:4">
      <c r="A2326" t="str">
        <f t="shared" si="36"/>
        <v>123Profit-Loss Ratio</v>
      </c>
      <c r="B2326">
        <v>123</v>
      </c>
      <c r="C2326" s="9" t="s">
        <v>26</v>
      </c>
      <c r="D2326" s="8">
        <v>1.66</v>
      </c>
    </row>
    <row r="2327" spans="1:4">
      <c r="A2327" t="str">
        <f t="shared" si="36"/>
        <v>123Alpha</v>
      </c>
      <c r="B2327">
        <v>123</v>
      </c>
      <c r="C2327" s="9" t="s">
        <v>23</v>
      </c>
      <c r="D2327" s="8">
        <v>-2.3E-2</v>
      </c>
    </row>
    <row r="2328" spans="1:4">
      <c r="A2328" t="str">
        <f t="shared" si="36"/>
        <v>123Beta</v>
      </c>
      <c r="B2328">
        <v>123</v>
      </c>
      <c r="C2328" s="9" t="s">
        <v>24</v>
      </c>
      <c r="D2328" s="8">
        <v>-3.8479999999999999</v>
      </c>
    </row>
    <row r="2329" spans="1:4">
      <c r="A2329" t="str">
        <f t="shared" si="36"/>
        <v>123Annual Standard Deviation</v>
      </c>
      <c r="B2329">
        <v>123</v>
      </c>
      <c r="C2329" s="9" t="s">
        <v>35</v>
      </c>
      <c r="D2329" s="8">
        <v>0.78800000000000003</v>
      </c>
    </row>
    <row r="2330" spans="1:4">
      <c r="A2330" t="str">
        <f t="shared" si="36"/>
        <v>123Annual Variance</v>
      </c>
      <c r="B2330">
        <v>123</v>
      </c>
      <c r="C2330" s="9" t="s">
        <v>36</v>
      </c>
      <c r="D2330" s="8">
        <v>0.621</v>
      </c>
    </row>
    <row r="2331" spans="1:4">
      <c r="A2331" t="str">
        <f t="shared" si="36"/>
        <v>123Information Ratio</v>
      </c>
      <c r="B2331">
        <v>123</v>
      </c>
      <c r="C2331" s="9" t="s">
        <v>37</v>
      </c>
      <c r="D2331" s="8">
        <v>-0.40899999999999997</v>
      </c>
    </row>
    <row r="2332" spans="1:4">
      <c r="A2332" t="str">
        <f t="shared" si="36"/>
        <v>123Tracking Error</v>
      </c>
      <c r="B2332">
        <v>123</v>
      </c>
      <c r="C2332" s="9" t="s">
        <v>38</v>
      </c>
      <c r="D2332" s="8">
        <v>0.81200000000000006</v>
      </c>
    </row>
    <row r="2333" spans="1:4">
      <c r="A2333" t="str">
        <f t="shared" si="36"/>
        <v>123Treynor Ratio</v>
      </c>
      <c r="B2333">
        <v>123</v>
      </c>
      <c r="C2333" s="9" t="s">
        <v>39</v>
      </c>
      <c r="D2333" s="8">
        <v>7.0000000000000007E-2</v>
      </c>
    </row>
    <row r="2334" spans="1:4">
      <c r="A2334" t="str">
        <f t="shared" si="36"/>
        <v>123Total Fees</v>
      </c>
      <c r="B2334">
        <v>123</v>
      </c>
      <c r="C2334" s="9" t="s">
        <v>40</v>
      </c>
      <c r="D2334" s="8">
        <v>0</v>
      </c>
    </row>
    <row r="2335" spans="1:4">
      <c r="A2335" t="str">
        <f t="shared" si="36"/>
        <v>123Estimated Strategy Capacity</v>
      </c>
      <c r="B2335">
        <v>123</v>
      </c>
      <c r="C2335" s="9" t="s">
        <v>41</v>
      </c>
      <c r="D2335" s="8">
        <v>140000000</v>
      </c>
    </row>
    <row r="2336" spans="1:4">
      <c r="A2336" t="str">
        <f t="shared" si="36"/>
        <v>122PSR</v>
      </c>
      <c r="B2336">
        <v>122</v>
      </c>
      <c r="C2336" s="9" t="s">
        <v>27</v>
      </c>
      <c r="D2336" s="8">
        <v>7.9750000000000001E-2</v>
      </c>
    </row>
    <row r="2337" spans="1:4">
      <c r="A2337" t="str">
        <f t="shared" si="36"/>
        <v>122Sharpe Ratio</v>
      </c>
      <c r="B2337">
        <v>122</v>
      </c>
      <c r="C2337" s="9" t="s">
        <v>1</v>
      </c>
      <c r="D2337" s="8">
        <v>-0.42899999999999999</v>
      </c>
    </row>
    <row r="2338" spans="1:4">
      <c r="A2338" t="str">
        <f t="shared" si="36"/>
        <v>122Total Trades</v>
      </c>
      <c r="B2338">
        <v>122</v>
      </c>
      <c r="C2338" s="9" t="s">
        <v>28</v>
      </c>
      <c r="D2338" s="8">
        <v>453</v>
      </c>
    </row>
    <row r="2339" spans="1:4">
      <c r="A2339" t="str">
        <f t="shared" si="36"/>
        <v>122Average Win</v>
      </c>
      <c r="B2339">
        <v>122</v>
      </c>
      <c r="C2339" s="9" t="s">
        <v>25</v>
      </c>
      <c r="D2339" s="8">
        <v>1.7899999999999999E-2</v>
      </c>
    </row>
    <row r="2340" spans="1:4">
      <c r="A2340" t="str">
        <f t="shared" si="36"/>
        <v>122Average Loss</v>
      </c>
      <c r="B2340">
        <v>122</v>
      </c>
      <c r="C2340" s="9" t="s">
        <v>29</v>
      </c>
      <c r="D2340" s="8">
        <v>-1.84E-2</v>
      </c>
    </row>
    <row r="2341" spans="1:4">
      <c r="A2341" t="str">
        <f t="shared" si="36"/>
        <v>122Compounding Annual Return</v>
      </c>
      <c r="B2341">
        <v>122</v>
      </c>
      <c r="C2341" s="9" t="s">
        <v>30</v>
      </c>
      <c r="D2341" s="8">
        <v>-9.3659999999999993E-2</v>
      </c>
    </row>
    <row r="2342" spans="1:4">
      <c r="A2342" t="str">
        <f t="shared" si="36"/>
        <v>122Drawdown</v>
      </c>
      <c r="B2342">
        <v>122</v>
      </c>
      <c r="C2342" s="9" t="s">
        <v>8</v>
      </c>
      <c r="D2342" s="8">
        <v>0.188</v>
      </c>
    </row>
    <row r="2343" spans="1:4">
      <c r="A2343" t="str">
        <f t="shared" si="36"/>
        <v>122Expectancy</v>
      </c>
      <c r="B2343">
        <v>122</v>
      </c>
      <c r="C2343" s="9" t="s">
        <v>31</v>
      </c>
      <c r="D2343" s="8">
        <v>-0.21199999999999999</v>
      </c>
    </row>
    <row r="2344" spans="1:4">
      <c r="A2344" t="str">
        <f t="shared" si="36"/>
        <v>122Net Profit</v>
      </c>
      <c r="B2344">
        <v>122</v>
      </c>
      <c r="C2344" s="9" t="s">
        <v>32</v>
      </c>
      <c r="D2344" s="8">
        <v>-6.1589999999999999E-2</v>
      </c>
    </row>
    <row r="2345" spans="1:4">
      <c r="A2345" t="str">
        <f t="shared" si="36"/>
        <v>122Loss Rate</v>
      </c>
      <c r="B2345">
        <v>122</v>
      </c>
      <c r="C2345" s="9" t="s">
        <v>33</v>
      </c>
      <c r="D2345" s="8">
        <v>0.6</v>
      </c>
    </row>
    <row r="2346" spans="1:4">
      <c r="A2346" t="str">
        <f t="shared" si="36"/>
        <v>122Win Rate</v>
      </c>
      <c r="B2346">
        <v>122</v>
      </c>
      <c r="C2346" s="9" t="s">
        <v>34</v>
      </c>
      <c r="D2346" s="8">
        <v>0.4</v>
      </c>
    </row>
    <row r="2347" spans="1:4">
      <c r="A2347" t="str">
        <f t="shared" si="36"/>
        <v>122Profit-Loss Ratio</v>
      </c>
      <c r="B2347">
        <v>122</v>
      </c>
      <c r="C2347" s="9" t="s">
        <v>26</v>
      </c>
      <c r="D2347" s="8">
        <v>0.97</v>
      </c>
    </row>
    <row r="2348" spans="1:4">
      <c r="A2348" t="str">
        <f t="shared" si="36"/>
        <v>122Alpha</v>
      </c>
      <c r="B2348">
        <v>122</v>
      </c>
      <c r="C2348" s="9" t="s">
        <v>23</v>
      </c>
      <c r="D2348" s="8">
        <v>-1.9E-2</v>
      </c>
    </row>
    <row r="2349" spans="1:4">
      <c r="A2349" t="str">
        <f t="shared" si="36"/>
        <v>122Beta</v>
      </c>
      <c r="B2349">
        <v>122</v>
      </c>
      <c r="C2349" s="9" t="s">
        <v>24</v>
      </c>
      <c r="D2349" s="8">
        <v>-0.61</v>
      </c>
    </row>
    <row r="2350" spans="1:4">
      <c r="A2350" t="str">
        <f t="shared" si="36"/>
        <v>122Annual Standard Deviation</v>
      </c>
      <c r="B2350">
        <v>122</v>
      </c>
      <c r="C2350" s="9" t="s">
        <v>35</v>
      </c>
      <c r="D2350" s="8">
        <v>0.13400000000000001</v>
      </c>
    </row>
    <row r="2351" spans="1:4">
      <c r="A2351" t="str">
        <f t="shared" si="36"/>
        <v>122Annual Variance</v>
      </c>
      <c r="B2351">
        <v>122</v>
      </c>
      <c r="C2351" s="9" t="s">
        <v>36</v>
      </c>
      <c r="D2351" s="8">
        <v>1.7999999999999999E-2</v>
      </c>
    </row>
    <row r="2352" spans="1:4">
      <c r="A2352" t="str">
        <f t="shared" si="36"/>
        <v>122Information Ratio</v>
      </c>
      <c r="B2352">
        <v>122</v>
      </c>
      <c r="C2352" s="9" t="s">
        <v>37</v>
      </c>
      <c r="D2352" s="8">
        <v>-0.72599999999999998</v>
      </c>
    </row>
    <row r="2353" spans="1:4">
      <c r="A2353" t="str">
        <f t="shared" si="36"/>
        <v>122Tracking Error</v>
      </c>
      <c r="B2353">
        <v>122</v>
      </c>
      <c r="C2353" s="9" t="s">
        <v>38</v>
      </c>
      <c r="D2353" s="8">
        <v>0.16700000000000001</v>
      </c>
    </row>
    <row r="2354" spans="1:4">
      <c r="A2354" t="str">
        <f t="shared" si="36"/>
        <v>122Treynor Ratio</v>
      </c>
      <c r="B2354">
        <v>122</v>
      </c>
      <c r="C2354" s="9" t="s">
        <v>39</v>
      </c>
      <c r="D2354" s="8">
        <v>9.4E-2</v>
      </c>
    </row>
    <row r="2355" spans="1:4">
      <c r="A2355" t="str">
        <f t="shared" si="36"/>
        <v>122Total Fees</v>
      </c>
      <c r="B2355">
        <v>122</v>
      </c>
      <c r="C2355" s="9" t="s">
        <v>40</v>
      </c>
      <c r="D2355" s="8">
        <v>0</v>
      </c>
    </row>
    <row r="2356" spans="1:4">
      <c r="A2356" t="str">
        <f t="shared" si="36"/>
        <v>122Estimated Strategy Capacity</v>
      </c>
      <c r="B2356">
        <v>122</v>
      </c>
      <c r="C2356" s="9" t="s">
        <v>41</v>
      </c>
      <c r="D2356" s="8">
        <v>1300000000</v>
      </c>
    </row>
    <row r="2357" spans="1:4">
      <c r="A2357" t="str">
        <f t="shared" si="36"/>
        <v>121PSR</v>
      </c>
      <c r="B2357">
        <v>121</v>
      </c>
      <c r="C2357" s="9" t="s">
        <v>27</v>
      </c>
      <c r="D2357" s="8">
        <v>6.8339999999999998E-2</v>
      </c>
    </row>
    <row r="2358" spans="1:4">
      <c r="A2358" t="str">
        <f t="shared" si="36"/>
        <v>121Sharpe Ratio</v>
      </c>
      <c r="B2358">
        <v>121</v>
      </c>
      <c r="C2358" s="9" t="s">
        <v>1</v>
      </c>
      <c r="D2358" s="8">
        <v>-0.52</v>
      </c>
    </row>
    <row r="2359" spans="1:4">
      <c r="A2359" t="str">
        <f t="shared" si="36"/>
        <v>121Total Trades</v>
      </c>
      <c r="B2359">
        <v>121</v>
      </c>
      <c r="C2359" s="9" t="s">
        <v>28</v>
      </c>
      <c r="D2359" s="8">
        <v>453</v>
      </c>
    </row>
    <row r="2360" spans="1:4">
      <c r="A2360" t="str">
        <f t="shared" si="36"/>
        <v>121Average Win</v>
      </c>
      <c r="B2360">
        <v>121</v>
      </c>
      <c r="C2360" s="9" t="s">
        <v>25</v>
      </c>
      <c r="D2360" s="8">
        <v>1.6999999999999999E-3</v>
      </c>
    </row>
    <row r="2361" spans="1:4">
      <c r="A2361" t="str">
        <f t="shared" si="36"/>
        <v>121Average Loss</v>
      </c>
      <c r="B2361">
        <v>121</v>
      </c>
      <c r="C2361" s="9" t="s">
        <v>29</v>
      </c>
      <c r="D2361" s="8">
        <v>-1.8E-3</v>
      </c>
    </row>
    <row r="2362" spans="1:4">
      <c r="A2362" t="str">
        <f t="shared" si="36"/>
        <v>121Compounding Annual Return</v>
      </c>
      <c r="B2362">
        <v>121</v>
      </c>
      <c r="C2362" s="9" t="s">
        <v>30</v>
      </c>
      <c r="D2362" s="8">
        <v>-9.5099999999999994E-3</v>
      </c>
    </row>
    <row r="2363" spans="1:4">
      <c r="A2363" t="str">
        <f t="shared" si="36"/>
        <v>121Drawdown</v>
      </c>
      <c r="B2363">
        <v>121</v>
      </c>
      <c r="C2363" s="9" t="s">
        <v>8</v>
      </c>
      <c r="D2363" s="8">
        <v>1.9E-2</v>
      </c>
    </row>
    <row r="2364" spans="1:4">
      <c r="A2364" t="str">
        <f t="shared" si="36"/>
        <v>121Expectancy</v>
      </c>
      <c r="B2364">
        <v>121</v>
      </c>
      <c r="C2364" s="9" t="s">
        <v>31</v>
      </c>
      <c r="D2364" s="8">
        <v>-0.224</v>
      </c>
    </row>
    <row r="2365" spans="1:4">
      <c r="A2365" t="str">
        <f t="shared" si="36"/>
        <v>121Net Profit</v>
      </c>
      <c r="B2365">
        <v>121</v>
      </c>
      <c r="C2365" s="9" t="s">
        <v>32</v>
      </c>
      <c r="D2365" s="8">
        <v>-6.1599999999999997E-3</v>
      </c>
    </row>
    <row r="2366" spans="1:4">
      <c r="A2366" t="str">
        <f t="shared" si="36"/>
        <v>121Loss Rate</v>
      </c>
      <c r="B2366">
        <v>121</v>
      </c>
      <c r="C2366" s="9" t="s">
        <v>33</v>
      </c>
      <c r="D2366" s="8">
        <v>0.6</v>
      </c>
    </row>
    <row r="2367" spans="1:4">
      <c r="A2367" t="str">
        <f t="shared" si="36"/>
        <v>121Win Rate</v>
      </c>
      <c r="B2367">
        <v>121</v>
      </c>
      <c r="C2367" s="9" t="s">
        <v>34</v>
      </c>
      <c r="D2367" s="8">
        <v>0.4</v>
      </c>
    </row>
    <row r="2368" spans="1:4">
      <c r="A2368" t="str">
        <f t="shared" si="36"/>
        <v>121Profit-Loss Ratio</v>
      </c>
      <c r="B2368">
        <v>121</v>
      </c>
      <c r="C2368" s="9" t="s">
        <v>26</v>
      </c>
      <c r="D2368" s="8">
        <v>0.94</v>
      </c>
    </row>
    <row r="2369" spans="1:4">
      <c r="A2369" t="str">
        <f t="shared" si="36"/>
        <v>121Alpha</v>
      </c>
      <c r="B2369">
        <v>121</v>
      </c>
      <c r="C2369" s="9" t="s">
        <v>23</v>
      </c>
      <c r="D2369" s="8">
        <v>-3.0000000000000001E-3</v>
      </c>
    </row>
    <row r="2370" spans="1:4">
      <c r="A2370" t="str">
        <f t="shared" si="36"/>
        <v>121Beta</v>
      </c>
      <c r="B2370">
        <v>121</v>
      </c>
      <c r="C2370" s="9" t="s">
        <v>24</v>
      </c>
      <c r="D2370" s="8">
        <v>-5.7000000000000002E-2</v>
      </c>
    </row>
    <row r="2371" spans="1:4">
      <c r="A2371" t="str">
        <f t="shared" ref="A2371:A2434" si="37">B2371&amp;C2371</f>
        <v>121Annual Standard Deviation</v>
      </c>
      <c r="B2371">
        <v>121</v>
      </c>
      <c r="C2371" s="9" t="s">
        <v>35</v>
      </c>
      <c r="D2371" s="8">
        <v>1.2999999999999999E-2</v>
      </c>
    </row>
    <row r="2372" spans="1:4">
      <c r="A2372" t="str">
        <f t="shared" si="37"/>
        <v>121Annual Variance</v>
      </c>
      <c r="B2372">
        <v>121</v>
      </c>
      <c r="C2372" s="9" t="s">
        <v>36</v>
      </c>
      <c r="D2372" s="8">
        <v>0</v>
      </c>
    </row>
    <row r="2373" spans="1:4">
      <c r="A2373" t="str">
        <f t="shared" si="37"/>
        <v>121Information Ratio</v>
      </c>
      <c r="B2373">
        <v>121</v>
      </c>
      <c r="C2373" s="9" t="s">
        <v>37</v>
      </c>
      <c r="D2373" s="8">
        <v>-0.98099999999999998</v>
      </c>
    </row>
    <row r="2374" spans="1:4">
      <c r="A2374" t="str">
        <f t="shared" si="37"/>
        <v>121Tracking Error</v>
      </c>
      <c r="B2374">
        <v>121</v>
      </c>
      <c r="C2374" s="9" t="s">
        <v>38</v>
      </c>
      <c r="D2374" s="8">
        <v>7.1999999999999995E-2</v>
      </c>
    </row>
    <row r="2375" spans="1:4">
      <c r="A2375" t="str">
        <f t="shared" si="37"/>
        <v>121Treynor Ratio</v>
      </c>
      <c r="B2375">
        <v>121</v>
      </c>
      <c r="C2375" s="9" t="s">
        <v>39</v>
      </c>
      <c r="D2375" s="8">
        <v>0.114</v>
      </c>
    </row>
    <row r="2376" spans="1:4">
      <c r="A2376" t="str">
        <f t="shared" si="37"/>
        <v>121Total Fees</v>
      </c>
      <c r="B2376">
        <v>121</v>
      </c>
      <c r="C2376" s="9" t="s">
        <v>40</v>
      </c>
      <c r="D2376" s="8">
        <v>0</v>
      </c>
    </row>
    <row r="2377" spans="1:4">
      <c r="A2377" t="str">
        <f t="shared" si="37"/>
        <v>121Estimated Strategy Capacity</v>
      </c>
      <c r="B2377">
        <v>121</v>
      </c>
      <c r="C2377" s="9" t="s">
        <v>41</v>
      </c>
      <c r="D2377" s="8">
        <v>13000000000</v>
      </c>
    </row>
    <row r="2378" spans="1:4">
      <c r="A2378" t="str">
        <f t="shared" si="37"/>
        <v>120PSR</v>
      </c>
      <c r="B2378">
        <v>120</v>
      </c>
      <c r="C2378" s="9" t="s">
        <v>27</v>
      </c>
      <c r="D2378" s="8">
        <v>1.243E-2</v>
      </c>
    </row>
    <row r="2379" spans="1:4">
      <c r="A2379" t="str">
        <f t="shared" si="37"/>
        <v>120Sharpe Ratio</v>
      </c>
      <c r="B2379">
        <v>120</v>
      </c>
      <c r="C2379" s="9" t="s">
        <v>1</v>
      </c>
      <c r="D2379" s="8">
        <v>-0.83599999999999997</v>
      </c>
    </row>
    <row r="2380" spans="1:4">
      <c r="A2380" t="str">
        <f t="shared" si="37"/>
        <v>120Total Trades</v>
      </c>
      <c r="B2380">
        <v>120</v>
      </c>
      <c r="C2380" s="9" t="s">
        <v>28</v>
      </c>
      <c r="D2380" s="8">
        <v>777</v>
      </c>
    </row>
    <row r="2381" spans="1:4">
      <c r="A2381" t="str">
        <f t="shared" si="37"/>
        <v>120Average Win</v>
      </c>
      <c r="B2381">
        <v>120</v>
      </c>
      <c r="C2381" s="9" t="s">
        <v>25</v>
      </c>
      <c r="D2381" s="8">
        <v>0.05</v>
      </c>
    </row>
    <row r="2382" spans="1:4">
      <c r="A2382" t="str">
        <f t="shared" si="37"/>
        <v>120Average Loss</v>
      </c>
      <c r="B2382">
        <v>120</v>
      </c>
      <c r="C2382" s="9" t="s">
        <v>29</v>
      </c>
      <c r="D2382" s="8">
        <v>-6.4100000000000004E-2</v>
      </c>
    </row>
    <row r="2383" spans="1:4">
      <c r="A2383" t="str">
        <f t="shared" si="37"/>
        <v>120Compounding Annual Return</v>
      </c>
      <c r="B2383">
        <v>120</v>
      </c>
      <c r="C2383" s="9" t="s">
        <v>30</v>
      </c>
      <c r="D2383" s="8">
        <v>-0.76720999999999995</v>
      </c>
    </row>
    <row r="2384" spans="1:4">
      <c r="A2384" t="str">
        <f t="shared" si="37"/>
        <v>120Drawdown</v>
      </c>
      <c r="B2384">
        <v>120</v>
      </c>
      <c r="C2384" s="9" t="s">
        <v>8</v>
      </c>
      <c r="D2384" s="8">
        <v>0.65100000000000002</v>
      </c>
    </row>
    <row r="2385" spans="1:4">
      <c r="A2385" t="str">
        <f t="shared" si="37"/>
        <v>120Expectancy</v>
      </c>
      <c r="B2385">
        <v>120</v>
      </c>
      <c r="C2385" s="9" t="s">
        <v>31</v>
      </c>
      <c r="D2385" s="8">
        <v>-0.47199999999999998</v>
      </c>
    </row>
    <row r="2386" spans="1:4">
      <c r="A2386" t="str">
        <f t="shared" si="37"/>
        <v>120Net Profit</v>
      </c>
      <c r="B2386">
        <v>120</v>
      </c>
      <c r="C2386" s="9" t="s">
        <v>32</v>
      </c>
      <c r="D2386" s="8">
        <v>-0.61026999999999998</v>
      </c>
    </row>
    <row r="2387" spans="1:4">
      <c r="A2387" t="str">
        <f t="shared" si="37"/>
        <v>120Loss Rate</v>
      </c>
      <c r="B2387">
        <v>120</v>
      </c>
      <c r="C2387" s="9" t="s">
        <v>33</v>
      </c>
      <c r="D2387" s="8">
        <v>0.7</v>
      </c>
    </row>
    <row r="2388" spans="1:4">
      <c r="A2388" t="str">
        <f t="shared" si="37"/>
        <v>120Win Rate</v>
      </c>
      <c r="B2388">
        <v>120</v>
      </c>
      <c r="C2388" s="9" t="s">
        <v>34</v>
      </c>
      <c r="D2388" s="8">
        <v>0.3</v>
      </c>
    </row>
    <row r="2389" spans="1:4">
      <c r="A2389" t="str">
        <f t="shared" si="37"/>
        <v>120Profit-Loss Ratio</v>
      </c>
      <c r="B2389">
        <v>120</v>
      </c>
      <c r="C2389" s="9" t="s">
        <v>26</v>
      </c>
      <c r="D2389" s="8">
        <v>0.78</v>
      </c>
    </row>
    <row r="2390" spans="1:4">
      <c r="A2390" t="str">
        <f t="shared" si="37"/>
        <v>120Alpha</v>
      </c>
      <c r="B2390">
        <v>120</v>
      </c>
      <c r="C2390" s="9" t="s">
        <v>23</v>
      </c>
      <c r="D2390" s="8">
        <v>-0.36599999999999999</v>
      </c>
    </row>
    <row r="2391" spans="1:4">
      <c r="A2391" t="str">
        <f t="shared" si="37"/>
        <v>120Beta</v>
      </c>
      <c r="B2391">
        <v>120</v>
      </c>
      <c r="C2391" s="9" t="s">
        <v>24</v>
      </c>
      <c r="D2391" s="8">
        <v>-2.7879999999999998</v>
      </c>
    </row>
    <row r="2392" spans="1:4">
      <c r="A2392" t="str">
        <f t="shared" si="37"/>
        <v>120Annual Standard Deviation</v>
      </c>
      <c r="B2392">
        <v>120</v>
      </c>
      <c r="C2392" s="9" t="s">
        <v>35</v>
      </c>
      <c r="D2392" s="8">
        <v>0.65100000000000002</v>
      </c>
    </row>
    <row r="2393" spans="1:4">
      <c r="A2393" t="str">
        <f t="shared" si="37"/>
        <v>120Annual Variance</v>
      </c>
      <c r="B2393">
        <v>120</v>
      </c>
      <c r="C2393" s="9" t="s">
        <v>36</v>
      </c>
      <c r="D2393" s="8">
        <v>0.42299999999999999</v>
      </c>
    </row>
    <row r="2394" spans="1:4">
      <c r="A2394" t="str">
        <f t="shared" si="37"/>
        <v>120Information Ratio</v>
      </c>
      <c r="B2394">
        <v>120</v>
      </c>
      <c r="C2394" s="9" t="s">
        <v>37</v>
      </c>
      <c r="D2394" s="8">
        <v>-0.90300000000000002</v>
      </c>
    </row>
    <row r="2395" spans="1:4">
      <c r="A2395" t="str">
        <f t="shared" si="37"/>
        <v>120Tracking Error</v>
      </c>
      <c r="B2395">
        <v>120</v>
      </c>
      <c r="C2395" s="9" t="s">
        <v>38</v>
      </c>
      <c r="D2395" s="8">
        <v>0.67300000000000004</v>
      </c>
    </row>
    <row r="2396" spans="1:4">
      <c r="A2396" t="str">
        <f t="shared" si="37"/>
        <v>120Treynor Ratio</v>
      </c>
      <c r="B2396">
        <v>120</v>
      </c>
      <c r="C2396" s="9" t="s">
        <v>39</v>
      </c>
      <c r="D2396" s="8">
        <v>0.19500000000000001</v>
      </c>
    </row>
    <row r="2397" spans="1:4">
      <c r="A2397" t="str">
        <f t="shared" si="37"/>
        <v>120Total Fees</v>
      </c>
      <c r="B2397">
        <v>120</v>
      </c>
      <c r="C2397" s="9" t="s">
        <v>40</v>
      </c>
      <c r="D2397" s="8">
        <v>0</v>
      </c>
    </row>
    <row r="2398" spans="1:4">
      <c r="A2398" t="str">
        <f t="shared" si="37"/>
        <v>120Estimated Strategy Capacity</v>
      </c>
      <c r="B2398">
        <v>120</v>
      </c>
      <c r="C2398" s="9" t="s">
        <v>41</v>
      </c>
      <c r="D2398" s="8">
        <v>370000000</v>
      </c>
    </row>
    <row r="2399" spans="1:4">
      <c r="A2399" t="str">
        <f t="shared" si="37"/>
        <v>119PSR</v>
      </c>
      <c r="B2399">
        <v>119</v>
      </c>
      <c r="C2399" s="9" t="s">
        <v>27</v>
      </c>
      <c r="D2399" s="8">
        <v>5.5199999999999997E-3</v>
      </c>
    </row>
    <row r="2400" spans="1:4">
      <c r="A2400" t="str">
        <f t="shared" si="37"/>
        <v>119Sharpe Ratio</v>
      </c>
      <c r="B2400">
        <v>119</v>
      </c>
      <c r="C2400" s="9" t="s">
        <v>1</v>
      </c>
      <c r="D2400" s="8">
        <v>-1.37</v>
      </c>
    </row>
    <row r="2401" spans="1:4">
      <c r="A2401" t="str">
        <f t="shared" si="37"/>
        <v>119Total Trades</v>
      </c>
      <c r="B2401">
        <v>119</v>
      </c>
      <c r="C2401" s="9" t="s">
        <v>28</v>
      </c>
      <c r="D2401" s="8">
        <v>781</v>
      </c>
    </row>
    <row r="2402" spans="1:4">
      <c r="A2402" t="str">
        <f t="shared" si="37"/>
        <v>119Average Win</v>
      </c>
      <c r="B2402">
        <v>119</v>
      </c>
      <c r="C2402" s="9" t="s">
        <v>25</v>
      </c>
      <c r="D2402" s="8">
        <v>8.8999999999999999E-3</v>
      </c>
    </row>
    <row r="2403" spans="1:4">
      <c r="A2403" t="str">
        <f t="shared" si="37"/>
        <v>119Average Loss</v>
      </c>
      <c r="B2403">
        <v>119</v>
      </c>
      <c r="C2403" s="9" t="s">
        <v>29</v>
      </c>
      <c r="D2403" s="8">
        <v>-1.12E-2</v>
      </c>
    </row>
    <row r="2404" spans="1:4">
      <c r="A2404" t="str">
        <f t="shared" si="37"/>
        <v>119Compounding Annual Return</v>
      </c>
      <c r="B2404">
        <v>119</v>
      </c>
      <c r="C2404" s="9" t="s">
        <v>30</v>
      </c>
      <c r="D2404" s="8">
        <v>-0.19083</v>
      </c>
    </row>
    <row r="2405" spans="1:4">
      <c r="A2405" t="str">
        <f t="shared" si="37"/>
        <v>119Drawdown</v>
      </c>
      <c r="B2405">
        <v>119</v>
      </c>
      <c r="C2405" s="9" t="s">
        <v>8</v>
      </c>
      <c r="D2405" s="8">
        <v>0.14699999999999999</v>
      </c>
    </row>
    <row r="2406" spans="1:4">
      <c r="A2406" t="str">
        <f t="shared" si="37"/>
        <v>119Expectancy</v>
      </c>
      <c r="B2406">
        <v>119</v>
      </c>
      <c r="C2406" s="9" t="s">
        <v>31</v>
      </c>
      <c r="D2406" s="8">
        <v>-0.44900000000000001</v>
      </c>
    </row>
    <row r="2407" spans="1:4">
      <c r="A2407" t="str">
        <f t="shared" si="37"/>
        <v>119Net Profit</v>
      </c>
      <c r="B2407">
        <v>119</v>
      </c>
      <c r="C2407" s="9" t="s">
        <v>32</v>
      </c>
      <c r="D2407" s="8">
        <v>-0.12792999999999999</v>
      </c>
    </row>
    <row r="2408" spans="1:4">
      <c r="A2408" t="str">
        <f t="shared" si="37"/>
        <v>119Loss Rate</v>
      </c>
      <c r="B2408">
        <v>119</v>
      </c>
      <c r="C2408" s="9" t="s">
        <v>33</v>
      </c>
      <c r="D2408" s="8">
        <v>0.69</v>
      </c>
    </row>
    <row r="2409" spans="1:4">
      <c r="A2409" t="str">
        <f t="shared" si="37"/>
        <v>119Win Rate</v>
      </c>
      <c r="B2409">
        <v>119</v>
      </c>
      <c r="C2409" s="9" t="s">
        <v>34</v>
      </c>
      <c r="D2409" s="8">
        <v>0.31</v>
      </c>
    </row>
    <row r="2410" spans="1:4">
      <c r="A2410" t="str">
        <f t="shared" si="37"/>
        <v>119Profit-Loss Ratio</v>
      </c>
      <c r="B2410">
        <v>119</v>
      </c>
      <c r="C2410" s="9" t="s">
        <v>26</v>
      </c>
      <c r="D2410" s="8">
        <v>0.79</v>
      </c>
    </row>
    <row r="2411" spans="1:4">
      <c r="A2411" t="str">
        <f t="shared" si="37"/>
        <v>119Alpha</v>
      </c>
      <c r="B2411">
        <v>119</v>
      </c>
      <c r="C2411" s="9" t="s">
        <v>23</v>
      </c>
      <c r="D2411" s="8">
        <v>-0.107</v>
      </c>
    </row>
    <row r="2412" spans="1:4">
      <c r="A2412" t="str">
        <f t="shared" si="37"/>
        <v>119Beta</v>
      </c>
      <c r="B2412">
        <v>119</v>
      </c>
      <c r="C2412" s="9" t="s">
        <v>24</v>
      </c>
      <c r="D2412" s="8">
        <v>-0.40699999999999997</v>
      </c>
    </row>
    <row r="2413" spans="1:4">
      <c r="A2413" t="str">
        <f t="shared" si="37"/>
        <v>119Annual Standard Deviation</v>
      </c>
      <c r="B2413">
        <v>119</v>
      </c>
      <c r="C2413" s="9" t="s">
        <v>35</v>
      </c>
      <c r="D2413" s="8">
        <v>9.7000000000000003E-2</v>
      </c>
    </row>
    <row r="2414" spans="1:4">
      <c r="A2414" t="str">
        <f t="shared" si="37"/>
        <v>119Annual Variance</v>
      </c>
      <c r="B2414">
        <v>119</v>
      </c>
      <c r="C2414" s="9" t="s">
        <v>36</v>
      </c>
      <c r="D2414" s="8">
        <v>8.9999999999999993E-3</v>
      </c>
    </row>
    <row r="2415" spans="1:4">
      <c r="A2415" t="str">
        <f t="shared" si="37"/>
        <v>119Information Ratio</v>
      </c>
      <c r="B2415">
        <v>119</v>
      </c>
      <c r="C2415" s="9" t="s">
        <v>37</v>
      </c>
      <c r="D2415" s="8">
        <v>-1.4850000000000001</v>
      </c>
    </row>
    <row r="2416" spans="1:4">
      <c r="A2416" t="str">
        <f t="shared" si="37"/>
        <v>119Tracking Error</v>
      </c>
      <c r="B2416">
        <v>119</v>
      </c>
      <c r="C2416" s="9" t="s">
        <v>38</v>
      </c>
      <c r="D2416" s="8">
        <v>0.13200000000000001</v>
      </c>
    </row>
    <row r="2417" spans="1:4">
      <c r="A2417" t="str">
        <f t="shared" si="37"/>
        <v>119Treynor Ratio</v>
      </c>
      <c r="B2417">
        <v>119</v>
      </c>
      <c r="C2417" s="9" t="s">
        <v>39</v>
      </c>
      <c r="D2417" s="8">
        <v>0.32500000000000001</v>
      </c>
    </row>
    <row r="2418" spans="1:4">
      <c r="A2418" t="str">
        <f t="shared" si="37"/>
        <v>119Total Fees</v>
      </c>
      <c r="B2418">
        <v>119</v>
      </c>
      <c r="C2418" s="9" t="s">
        <v>40</v>
      </c>
      <c r="D2418" s="8">
        <v>0</v>
      </c>
    </row>
    <row r="2419" spans="1:4">
      <c r="A2419" t="str">
        <f t="shared" si="37"/>
        <v>119Estimated Strategy Capacity</v>
      </c>
      <c r="B2419">
        <v>119</v>
      </c>
      <c r="C2419" s="9" t="s">
        <v>41</v>
      </c>
      <c r="D2419" s="8">
        <v>3800000000</v>
      </c>
    </row>
    <row r="2420" spans="1:4">
      <c r="A2420" t="str">
        <f t="shared" si="37"/>
        <v>118PSR</v>
      </c>
      <c r="B2420">
        <v>118</v>
      </c>
      <c r="C2420" s="9" t="s">
        <v>27</v>
      </c>
      <c r="D2420" s="8">
        <v>5.1599999999999997E-3</v>
      </c>
    </row>
    <row r="2421" spans="1:4">
      <c r="A2421" t="str">
        <f t="shared" si="37"/>
        <v>118Sharpe Ratio</v>
      </c>
      <c r="B2421">
        <v>118</v>
      </c>
      <c r="C2421" s="9" t="s">
        <v>1</v>
      </c>
      <c r="D2421" s="8">
        <v>-1.4870000000000001</v>
      </c>
    </row>
    <row r="2422" spans="1:4">
      <c r="A2422" t="str">
        <f t="shared" si="37"/>
        <v>118Total Trades</v>
      </c>
      <c r="B2422">
        <v>118</v>
      </c>
      <c r="C2422" s="9" t="s">
        <v>28</v>
      </c>
      <c r="D2422" s="8">
        <v>781</v>
      </c>
    </row>
    <row r="2423" spans="1:4">
      <c r="A2423" t="str">
        <f t="shared" si="37"/>
        <v>118Average Win</v>
      </c>
      <c r="B2423">
        <v>118</v>
      </c>
      <c r="C2423" s="9" t="s">
        <v>25</v>
      </c>
      <c r="D2423" s="8">
        <v>8.9999999999999998E-4</v>
      </c>
    </row>
    <row r="2424" spans="1:4">
      <c r="A2424" t="str">
        <f t="shared" si="37"/>
        <v>118Average Loss</v>
      </c>
      <c r="B2424">
        <v>118</v>
      </c>
      <c r="C2424" s="9" t="s">
        <v>29</v>
      </c>
      <c r="D2424" s="8">
        <v>-1.1000000000000001E-3</v>
      </c>
    </row>
    <row r="2425" spans="1:4">
      <c r="A2425" t="str">
        <f t="shared" si="37"/>
        <v>118Compounding Annual Return</v>
      </c>
      <c r="B2425">
        <v>118</v>
      </c>
      <c r="C2425" s="9" t="s">
        <v>30</v>
      </c>
      <c r="D2425" s="8">
        <v>-1.9720000000000001E-2</v>
      </c>
    </row>
    <row r="2426" spans="1:4">
      <c r="A2426" t="str">
        <f t="shared" si="37"/>
        <v>118Drawdown</v>
      </c>
      <c r="B2426">
        <v>118</v>
      </c>
      <c r="C2426" s="9" t="s">
        <v>8</v>
      </c>
      <c r="D2426" s="8">
        <v>1.4999999999999999E-2</v>
      </c>
    </row>
    <row r="2427" spans="1:4">
      <c r="A2427" t="str">
        <f t="shared" si="37"/>
        <v>118Expectancy</v>
      </c>
      <c r="B2427">
        <v>118</v>
      </c>
      <c r="C2427" s="9" t="s">
        <v>31</v>
      </c>
      <c r="D2427" s="8">
        <v>-0.44500000000000001</v>
      </c>
    </row>
    <row r="2428" spans="1:4">
      <c r="A2428" t="str">
        <f t="shared" si="37"/>
        <v>118Net Profit</v>
      </c>
      <c r="B2428">
        <v>118</v>
      </c>
      <c r="C2428" s="9" t="s">
        <v>32</v>
      </c>
      <c r="D2428" s="8">
        <v>-1.2789999999999999E-2</v>
      </c>
    </row>
    <row r="2429" spans="1:4">
      <c r="A2429" t="str">
        <f t="shared" si="37"/>
        <v>118Loss Rate</v>
      </c>
      <c r="B2429">
        <v>118</v>
      </c>
      <c r="C2429" s="9" t="s">
        <v>33</v>
      </c>
      <c r="D2429" s="8">
        <v>0.69</v>
      </c>
    </row>
    <row r="2430" spans="1:4">
      <c r="A2430" t="str">
        <f t="shared" si="37"/>
        <v>118Win Rate</v>
      </c>
      <c r="B2430">
        <v>118</v>
      </c>
      <c r="C2430" s="9" t="s">
        <v>34</v>
      </c>
      <c r="D2430" s="8">
        <v>0.31</v>
      </c>
    </row>
    <row r="2431" spans="1:4">
      <c r="A2431" t="str">
        <f t="shared" si="37"/>
        <v>118Profit-Loss Ratio</v>
      </c>
      <c r="B2431">
        <v>118</v>
      </c>
      <c r="C2431" s="9" t="s">
        <v>26</v>
      </c>
      <c r="D2431" s="8">
        <v>0.8</v>
      </c>
    </row>
    <row r="2432" spans="1:4">
      <c r="A2432" t="str">
        <f t="shared" si="37"/>
        <v>118Alpha</v>
      </c>
      <c r="B2432">
        <v>118</v>
      </c>
      <c r="C2432" s="9" t="s">
        <v>23</v>
      </c>
      <c r="D2432" s="8">
        <v>-1.0999999999999999E-2</v>
      </c>
    </row>
    <row r="2433" spans="1:4">
      <c r="A2433" t="str">
        <f t="shared" si="37"/>
        <v>118Beta</v>
      </c>
      <c r="B2433">
        <v>118</v>
      </c>
      <c r="C2433" s="9" t="s">
        <v>24</v>
      </c>
      <c r="D2433" s="8">
        <v>-3.7999999999999999E-2</v>
      </c>
    </row>
    <row r="2434" spans="1:4">
      <c r="A2434" t="str">
        <f t="shared" si="37"/>
        <v>118Annual Standard Deviation</v>
      </c>
      <c r="B2434">
        <v>118</v>
      </c>
      <c r="C2434" s="9" t="s">
        <v>35</v>
      </c>
      <c r="D2434" s="8">
        <v>8.9999999999999993E-3</v>
      </c>
    </row>
    <row r="2435" spans="1:4">
      <c r="A2435" t="str">
        <f t="shared" ref="A2435:A2498" si="38">B2435&amp;C2435</f>
        <v>118Annual Variance</v>
      </c>
      <c r="B2435">
        <v>118</v>
      </c>
      <c r="C2435" s="9" t="s">
        <v>36</v>
      </c>
      <c r="D2435" s="8">
        <v>0</v>
      </c>
    </row>
    <row r="2436" spans="1:4">
      <c r="A2436" t="str">
        <f t="shared" si="38"/>
        <v>118Information Ratio</v>
      </c>
      <c r="B2436">
        <v>118</v>
      </c>
      <c r="C2436" s="9" t="s">
        <v>37</v>
      </c>
      <c r="D2436" s="8">
        <v>-1.107</v>
      </c>
    </row>
    <row r="2437" spans="1:4">
      <c r="A2437" t="str">
        <f t="shared" si="38"/>
        <v>118Tracking Error</v>
      </c>
      <c r="B2437">
        <v>118</v>
      </c>
      <c r="C2437" s="9" t="s">
        <v>38</v>
      </c>
      <c r="D2437" s="8">
        <v>7.0000000000000007E-2</v>
      </c>
    </row>
    <row r="2438" spans="1:4">
      <c r="A2438" t="str">
        <f t="shared" si="38"/>
        <v>118Treynor Ratio</v>
      </c>
      <c r="B2438">
        <v>118</v>
      </c>
      <c r="C2438" s="9" t="s">
        <v>39</v>
      </c>
      <c r="D2438" s="8">
        <v>0.35499999999999998</v>
      </c>
    </row>
    <row r="2439" spans="1:4">
      <c r="A2439" t="str">
        <f t="shared" si="38"/>
        <v>118Total Fees</v>
      </c>
      <c r="B2439">
        <v>118</v>
      </c>
      <c r="C2439" s="9" t="s">
        <v>40</v>
      </c>
      <c r="D2439" s="8">
        <v>0</v>
      </c>
    </row>
    <row r="2440" spans="1:4">
      <c r="A2440" t="str">
        <f t="shared" si="38"/>
        <v>118Estimated Strategy Capacity</v>
      </c>
      <c r="B2440">
        <v>118</v>
      </c>
      <c r="C2440" s="9" t="s">
        <v>41</v>
      </c>
      <c r="D2440" s="8">
        <v>43000000000</v>
      </c>
    </row>
    <row r="2441" spans="1:4">
      <c r="A2441" t="str">
        <f t="shared" si="38"/>
        <v>108PSR</v>
      </c>
      <c r="B2441">
        <v>108</v>
      </c>
      <c r="C2441" s="2" t="s">
        <v>27</v>
      </c>
      <c r="D2441" s="6">
        <v>0.47092000000000001</v>
      </c>
    </row>
    <row r="2442" spans="1:4">
      <c r="A2442" t="str">
        <f t="shared" si="38"/>
        <v>108Sharpe Ratio</v>
      </c>
      <c r="B2442">
        <v>108</v>
      </c>
      <c r="C2442" t="s">
        <v>1</v>
      </c>
      <c r="D2442" s="6">
        <v>1.4159999999999999</v>
      </c>
    </row>
    <row r="2443" spans="1:4">
      <c r="A2443" t="str">
        <f t="shared" si="38"/>
        <v>108Total Trades</v>
      </c>
      <c r="B2443">
        <v>108</v>
      </c>
      <c r="C2443" t="s">
        <v>28</v>
      </c>
      <c r="D2443" s="6">
        <v>283</v>
      </c>
    </row>
    <row r="2444" spans="1:4">
      <c r="A2444" t="str">
        <f t="shared" si="38"/>
        <v>108Average Win</v>
      </c>
      <c r="B2444">
        <v>108</v>
      </c>
      <c r="C2444" s="2" t="s">
        <v>25</v>
      </c>
      <c r="D2444" s="6">
        <v>0.1166</v>
      </c>
    </row>
    <row r="2445" spans="1:4">
      <c r="A2445" t="str">
        <f t="shared" si="38"/>
        <v>108Average Loss</v>
      </c>
      <c r="B2445">
        <v>108</v>
      </c>
      <c r="C2445" s="2" t="s">
        <v>29</v>
      </c>
      <c r="D2445" s="6">
        <v>-7.51E-2</v>
      </c>
    </row>
    <row r="2446" spans="1:4">
      <c r="A2446" t="str">
        <f t="shared" si="38"/>
        <v>108Compounding Annual Return</v>
      </c>
      <c r="B2446">
        <v>108</v>
      </c>
      <c r="C2446" s="2" t="s">
        <v>30</v>
      </c>
      <c r="D2446" s="6">
        <v>0.86343000000000003</v>
      </c>
    </row>
    <row r="2447" spans="1:4">
      <c r="A2447" t="str">
        <f t="shared" si="38"/>
        <v>108Drawdown</v>
      </c>
      <c r="B2447">
        <v>108</v>
      </c>
      <c r="C2447" s="2" t="s">
        <v>8</v>
      </c>
      <c r="D2447" s="6">
        <v>0.49099999999999999</v>
      </c>
    </row>
    <row r="2448" spans="1:4">
      <c r="A2448" t="str">
        <f t="shared" si="38"/>
        <v>108Expectancy</v>
      </c>
      <c r="B2448">
        <v>108</v>
      </c>
      <c r="C2448" t="s">
        <v>31</v>
      </c>
      <c r="D2448" s="6">
        <v>0.70099999999999996</v>
      </c>
    </row>
    <row r="2449" spans="1:4">
      <c r="A2449" t="str">
        <f t="shared" si="38"/>
        <v>108Net Profit</v>
      </c>
      <c r="B2449">
        <v>108</v>
      </c>
      <c r="C2449" s="2" t="s">
        <v>32</v>
      </c>
      <c r="D2449" s="6">
        <v>0.49281000000000003</v>
      </c>
    </row>
    <row r="2450" spans="1:4">
      <c r="A2450" t="str">
        <f t="shared" si="38"/>
        <v>108Loss Rate</v>
      </c>
      <c r="B2450">
        <v>108</v>
      </c>
      <c r="C2450" s="3" t="s">
        <v>33</v>
      </c>
      <c r="D2450" s="6">
        <v>0.33</v>
      </c>
    </row>
    <row r="2451" spans="1:4">
      <c r="A2451" t="str">
        <f t="shared" si="38"/>
        <v>108Win Rate</v>
      </c>
      <c r="B2451">
        <v>108</v>
      </c>
      <c r="C2451" s="3" t="s">
        <v>34</v>
      </c>
      <c r="D2451" s="6">
        <v>0.67</v>
      </c>
    </row>
    <row r="2452" spans="1:4">
      <c r="A2452" t="str">
        <f t="shared" si="38"/>
        <v>108Profit-Loss Ratio</v>
      </c>
      <c r="B2452">
        <v>108</v>
      </c>
      <c r="C2452" t="s">
        <v>26</v>
      </c>
      <c r="D2452" s="6">
        <v>1.55</v>
      </c>
    </row>
    <row r="2453" spans="1:4">
      <c r="A2453" t="str">
        <f t="shared" si="38"/>
        <v>108Alpha</v>
      </c>
      <c r="B2453">
        <v>108</v>
      </c>
      <c r="C2453" t="s">
        <v>23</v>
      </c>
      <c r="D2453" s="6">
        <v>0.92400000000000004</v>
      </c>
    </row>
    <row r="2454" spans="1:4">
      <c r="A2454" t="str">
        <f t="shared" si="38"/>
        <v>108Beta</v>
      </c>
      <c r="B2454">
        <v>108</v>
      </c>
      <c r="C2454" t="s">
        <v>24</v>
      </c>
      <c r="D2454" s="6">
        <v>4.7430000000000003</v>
      </c>
    </row>
    <row r="2455" spans="1:4">
      <c r="A2455" t="str">
        <f t="shared" si="38"/>
        <v>108Annual Standard Deviation</v>
      </c>
      <c r="B2455">
        <v>108</v>
      </c>
      <c r="C2455" t="s">
        <v>35</v>
      </c>
      <c r="D2455" s="6">
        <v>0.86699999999999999</v>
      </c>
    </row>
    <row r="2456" spans="1:4">
      <c r="A2456" t="str">
        <f t="shared" si="38"/>
        <v>108Annual Variance</v>
      </c>
      <c r="B2456">
        <v>108</v>
      </c>
      <c r="C2456" t="s">
        <v>36</v>
      </c>
      <c r="D2456" s="6">
        <v>0.751</v>
      </c>
    </row>
    <row r="2457" spans="1:4">
      <c r="A2457" t="str">
        <f t="shared" si="38"/>
        <v>108Information Ratio</v>
      </c>
      <c r="B2457">
        <v>108</v>
      </c>
      <c r="C2457" t="s">
        <v>37</v>
      </c>
      <c r="D2457" s="6">
        <v>1.3779999999999999</v>
      </c>
    </row>
    <row r="2458" spans="1:4">
      <c r="A2458" t="str">
        <f t="shared" si="38"/>
        <v>108Tracking Error</v>
      </c>
      <c r="B2458">
        <v>108</v>
      </c>
      <c r="C2458" t="s">
        <v>38</v>
      </c>
      <c r="D2458" s="6">
        <v>0.84499999999999997</v>
      </c>
    </row>
    <row r="2459" spans="1:4">
      <c r="A2459" t="str">
        <f t="shared" si="38"/>
        <v>108Treynor Ratio</v>
      </c>
      <c r="B2459">
        <v>108</v>
      </c>
      <c r="C2459" t="s">
        <v>39</v>
      </c>
      <c r="D2459" s="6">
        <v>0.25900000000000001</v>
      </c>
    </row>
    <row r="2460" spans="1:4">
      <c r="A2460" t="str">
        <f t="shared" si="38"/>
        <v>108Total Fees</v>
      </c>
      <c r="B2460">
        <v>108</v>
      </c>
      <c r="C2460" s="4" t="s">
        <v>40</v>
      </c>
      <c r="D2460" s="6">
        <v>0</v>
      </c>
    </row>
    <row r="2461" spans="1:4">
      <c r="A2461" t="str">
        <f t="shared" si="38"/>
        <v>108Estimated Strategy Capacity</v>
      </c>
      <c r="B2461">
        <v>108</v>
      </c>
      <c r="C2461" s="4" t="s">
        <v>41</v>
      </c>
      <c r="D2461" s="6">
        <v>12000000</v>
      </c>
    </row>
    <row r="2462" spans="1:4">
      <c r="A2462" t="str">
        <f t="shared" si="38"/>
        <v>107PSR</v>
      </c>
      <c r="B2462">
        <v>107</v>
      </c>
      <c r="C2462" s="9" t="s">
        <v>27</v>
      </c>
      <c r="D2462" s="8">
        <v>0.36147000000000001</v>
      </c>
    </row>
    <row r="2463" spans="1:4">
      <c r="A2463" t="str">
        <f t="shared" si="38"/>
        <v>107Sharpe Ratio</v>
      </c>
      <c r="B2463">
        <v>107</v>
      </c>
      <c r="C2463" s="9" t="s">
        <v>1</v>
      </c>
      <c r="D2463" s="8">
        <v>0.67</v>
      </c>
    </row>
    <row r="2464" spans="1:4">
      <c r="A2464" t="str">
        <f t="shared" si="38"/>
        <v>107Total Trades</v>
      </c>
      <c r="B2464">
        <v>107</v>
      </c>
      <c r="C2464" s="9" t="s">
        <v>28</v>
      </c>
      <c r="D2464" s="8">
        <v>283</v>
      </c>
    </row>
    <row r="2465" spans="1:4">
      <c r="A2465" t="str">
        <f t="shared" si="38"/>
        <v>107Average Win</v>
      </c>
      <c r="B2465">
        <v>107</v>
      </c>
      <c r="C2465" s="9" t="s">
        <v>25</v>
      </c>
      <c r="D2465" s="8">
        <v>2.46E-2</v>
      </c>
    </row>
    <row r="2466" spans="1:4">
      <c r="A2466" t="str">
        <f t="shared" si="38"/>
        <v>107Average Loss</v>
      </c>
      <c r="B2466">
        <v>107</v>
      </c>
      <c r="C2466" s="9" t="s">
        <v>29</v>
      </c>
      <c r="D2466" s="8">
        <v>-1.66E-2</v>
      </c>
    </row>
    <row r="2467" spans="1:4">
      <c r="A2467" t="str">
        <f t="shared" si="38"/>
        <v>107Compounding Annual Return</v>
      </c>
      <c r="B2467">
        <v>107</v>
      </c>
      <c r="C2467" s="9" t="s">
        <v>30</v>
      </c>
      <c r="D2467" s="8">
        <v>0.15651999999999999</v>
      </c>
    </row>
    <row r="2468" spans="1:4">
      <c r="A2468" t="str">
        <f t="shared" si="38"/>
        <v>107Drawdown</v>
      </c>
      <c r="B2468">
        <v>107</v>
      </c>
      <c r="C2468" s="9" t="s">
        <v>8</v>
      </c>
      <c r="D2468" s="8">
        <v>0.13100000000000001</v>
      </c>
    </row>
    <row r="2469" spans="1:4">
      <c r="A2469" t="str">
        <f t="shared" si="38"/>
        <v>107Expectancy</v>
      </c>
      <c r="B2469">
        <v>107</v>
      </c>
      <c r="C2469" s="9" t="s">
        <v>31</v>
      </c>
      <c r="D2469" s="8">
        <v>0.65600000000000003</v>
      </c>
    </row>
    <row r="2470" spans="1:4">
      <c r="A2470" t="str">
        <f t="shared" si="38"/>
        <v>107Net Profit</v>
      </c>
      <c r="B2470">
        <v>107</v>
      </c>
      <c r="C2470" s="9" t="s">
        <v>32</v>
      </c>
      <c r="D2470" s="8">
        <v>9.8559999999999995E-2</v>
      </c>
    </row>
    <row r="2471" spans="1:4">
      <c r="A2471" t="str">
        <f t="shared" si="38"/>
        <v>107Loss Rate</v>
      </c>
      <c r="B2471">
        <v>107</v>
      </c>
      <c r="C2471" s="9" t="s">
        <v>33</v>
      </c>
      <c r="D2471" s="8">
        <v>0.33</v>
      </c>
    </row>
    <row r="2472" spans="1:4">
      <c r="A2472" t="str">
        <f t="shared" si="38"/>
        <v>107Win Rate</v>
      </c>
      <c r="B2472">
        <v>107</v>
      </c>
      <c r="C2472" s="9" t="s">
        <v>34</v>
      </c>
      <c r="D2472" s="8">
        <v>0.67</v>
      </c>
    </row>
    <row r="2473" spans="1:4">
      <c r="A2473" t="str">
        <f t="shared" si="38"/>
        <v>107Profit-Loss Ratio</v>
      </c>
      <c r="B2473">
        <v>107</v>
      </c>
      <c r="C2473" s="9" t="s">
        <v>26</v>
      </c>
      <c r="D2473" s="8">
        <v>1.48</v>
      </c>
    </row>
    <row r="2474" spans="1:4">
      <c r="A2474" t="str">
        <f t="shared" si="38"/>
        <v>107Alpha</v>
      </c>
      <c r="B2474">
        <v>107</v>
      </c>
      <c r="C2474" s="9" t="s">
        <v>23</v>
      </c>
      <c r="D2474" s="8">
        <v>5.8000000000000003E-2</v>
      </c>
    </row>
    <row r="2475" spans="1:4">
      <c r="A2475" t="str">
        <f t="shared" si="38"/>
        <v>107Beta</v>
      </c>
      <c r="B2475">
        <v>107</v>
      </c>
      <c r="C2475" s="9" t="s">
        <v>24</v>
      </c>
      <c r="D2475" s="8">
        <v>1.0669999999999999</v>
      </c>
    </row>
    <row r="2476" spans="1:4">
      <c r="A2476" t="str">
        <f t="shared" si="38"/>
        <v>107Annual Standard Deviation</v>
      </c>
      <c r="B2476">
        <v>107</v>
      </c>
      <c r="C2476" s="9" t="s">
        <v>35</v>
      </c>
      <c r="D2476" s="8">
        <v>0.188</v>
      </c>
    </row>
    <row r="2477" spans="1:4">
      <c r="A2477" t="str">
        <f t="shared" si="38"/>
        <v>107Annual Variance</v>
      </c>
      <c r="B2477">
        <v>107</v>
      </c>
      <c r="C2477" s="9" t="s">
        <v>36</v>
      </c>
      <c r="D2477" s="8">
        <v>3.5000000000000003E-2</v>
      </c>
    </row>
    <row r="2478" spans="1:4">
      <c r="A2478" t="str">
        <f t="shared" si="38"/>
        <v>107Information Ratio</v>
      </c>
      <c r="B2478">
        <v>107</v>
      </c>
      <c r="C2478" s="9" t="s">
        <v>37</v>
      </c>
      <c r="D2478" s="8">
        <v>0.35699999999999998</v>
      </c>
    </row>
    <row r="2479" spans="1:4">
      <c r="A2479" t="str">
        <f t="shared" si="38"/>
        <v>107Tracking Error</v>
      </c>
      <c r="B2479">
        <v>107</v>
      </c>
      <c r="C2479" s="9" t="s">
        <v>38</v>
      </c>
      <c r="D2479" s="8">
        <v>0.17399999999999999</v>
      </c>
    </row>
    <row r="2480" spans="1:4">
      <c r="A2480" t="str">
        <f t="shared" si="38"/>
        <v>107Treynor Ratio</v>
      </c>
      <c r="B2480">
        <v>107</v>
      </c>
      <c r="C2480" s="9" t="s">
        <v>39</v>
      </c>
      <c r="D2480" s="8">
        <v>0.11799999999999999</v>
      </c>
    </row>
    <row r="2481" spans="1:4">
      <c r="A2481" t="str">
        <f t="shared" si="38"/>
        <v>107Total Fees</v>
      </c>
      <c r="B2481">
        <v>107</v>
      </c>
      <c r="C2481" s="9" t="s">
        <v>40</v>
      </c>
      <c r="D2481" s="8">
        <v>0</v>
      </c>
    </row>
    <row r="2482" spans="1:4">
      <c r="A2482" t="str">
        <f t="shared" si="38"/>
        <v>107Estimated Strategy Capacity</v>
      </c>
      <c r="B2482">
        <v>107</v>
      </c>
      <c r="C2482" s="9" t="s">
        <v>41</v>
      </c>
      <c r="D2482" s="8">
        <v>43000000</v>
      </c>
    </row>
    <row r="2483" spans="1:4">
      <c r="A2483" t="str">
        <f t="shared" si="38"/>
        <v>106PSR</v>
      </c>
      <c r="B2483">
        <v>106</v>
      </c>
      <c r="C2483" s="9" t="s">
        <v>27</v>
      </c>
      <c r="D2483" s="8">
        <v>0.33343</v>
      </c>
    </row>
    <row r="2484" spans="1:4">
      <c r="A2484" t="str">
        <f t="shared" si="38"/>
        <v>106Sharpe Ratio</v>
      </c>
      <c r="B2484">
        <v>106</v>
      </c>
      <c r="C2484" s="9" t="s">
        <v>1</v>
      </c>
      <c r="D2484" s="8">
        <v>0.55400000000000005</v>
      </c>
    </row>
    <row r="2485" spans="1:4">
      <c r="A2485" t="str">
        <f t="shared" si="38"/>
        <v>106Total Trades</v>
      </c>
      <c r="B2485">
        <v>106</v>
      </c>
      <c r="C2485" s="9" t="s">
        <v>28</v>
      </c>
      <c r="D2485" s="8">
        <v>283</v>
      </c>
    </row>
    <row r="2486" spans="1:4">
      <c r="A2486" t="str">
        <f t="shared" si="38"/>
        <v>106Average Win</v>
      </c>
      <c r="B2486">
        <v>106</v>
      </c>
      <c r="C2486" s="9" t="s">
        <v>25</v>
      </c>
      <c r="D2486" s="8">
        <v>2.5000000000000001E-3</v>
      </c>
    </row>
    <row r="2487" spans="1:4">
      <c r="A2487" t="str">
        <f t="shared" si="38"/>
        <v>106Average Loss</v>
      </c>
      <c r="B2487">
        <v>106</v>
      </c>
      <c r="C2487" s="9" t="s">
        <v>29</v>
      </c>
      <c r="D2487" s="8">
        <v>-1.6999999999999999E-3</v>
      </c>
    </row>
    <row r="2488" spans="1:4">
      <c r="A2488" t="str">
        <f t="shared" si="38"/>
        <v>106Compounding Annual Return</v>
      </c>
      <c r="B2488">
        <v>106</v>
      </c>
      <c r="C2488" s="9" t="s">
        <v>30</v>
      </c>
      <c r="D2488" s="8">
        <v>1.529E-2</v>
      </c>
    </row>
    <row r="2489" spans="1:4">
      <c r="A2489" t="str">
        <f t="shared" si="38"/>
        <v>106Drawdown</v>
      </c>
      <c r="B2489">
        <v>106</v>
      </c>
      <c r="C2489" s="9" t="s">
        <v>8</v>
      </c>
      <c r="D2489" s="8">
        <v>1.4E-2</v>
      </c>
    </row>
    <row r="2490" spans="1:4">
      <c r="A2490" t="str">
        <f t="shared" si="38"/>
        <v>106Expectancy</v>
      </c>
      <c r="B2490">
        <v>106</v>
      </c>
      <c r="C2490" s="9" t="s">
        <v>31</v>
      </c>
      <c r="D2490" s="8">
        <v>0.64700000000000002</v>
      </c>
    </row>
    <row r="2491" spans="1:4">
      <c r="A2491" t="str">
        <f t="shared" si="38"/>
        <v>106Net Profit</v>
      </c>
      <c r="B2491">
        <v>106</v>
      </c>
      <c r="C2491" s="9" t="s">
        <v>32</v>
      </c>
      <c r="D2491" s="8">
        <v>9.8600000000000007E-3</v>
      </c>
    </row>
    <row r="2492" spans="1:4">
      <c r="A2492" t="str">
        <f t="shared" si="38"/>
        <v>106Loss Rate</v>
      </c>
      <c r="B2492">
        <v>106</v>
      </c>
      <c r="C2492" s="9" t="s">
        <v>33</v>
      </c>
      <c r="D2492" s="8">
        <v>0.33</v>
      </c>
    </row>
    <row r="2493" spans="1:4">
      <c r="A2493" t="str">
        <f t="shared" si="38"/>
        <v>106Win Rate</v>
      </c>
      <c r="B2493">
        <v>106</v>
      </c>
      <c r="C2493" s="9" t="s">
        <v>34</v>
      </c>
      <c r="D2493" s="8">
        <v>0.67</v>
      </c>
    </row>
    <row r="2494" spans="1:4">
      <c r="A2494" t="str">
        <f t="shared" si="38"/>
        <v>106Profit-Loss Ratio</v>
      </c>
      <c r="B2494">
        <v>106</v>
      </c>
      <c r="C2494" s="9" t="s">
        <v>26</v>
      </c>
      <c r="D2494" s="8">
        <v>1.47</v>
      </c>
    </row>
    <row r="2495" spans="1:4">
      <c r="A2495" t="str">
        <f t="shared" si="38"/>
        <v>106Alpha</v>
      </c>
      <c r="B2495">
        <v>106</v>
      </c>
      <c r="C2495" s="9" t="s">
        <v>23</v>
      </c>
      <c r="D2495" s="8">
        <v>4.0000000000000001E-3</v>
      </c>
    </row>
    <row r="2496" spans="1:4">
      <c r="A2496" t="str">
        <f t="shared" si="38"/>
        <v>106Beta</v>
      </c>
      <c r="B2496">
        <v>106</v>
      </c>
      <c r="C2496" s="9" t="s">
        <v>24</v>
      </c>
      <c r="D2496" s="8">
        <v>0.111</v>
      </c>
    </row>
    <row r="2497" spans="1:4">
      <c r="A2497" t="str">
        <f t="shared" si="38"/>
        <v>106Annual Standard Deviation</v>
      </c>
      <c r="B2497">
        <v>106</v>
      </c>
      <c r="C2497" s="9" t="s">
        <v>35</v>
      </c>
      <c r="D2497" s="8">
        <v>1.9E-2</v>
      </c>
    </row>
    <row r="2498" spans="1:4">
      <c r="A2498" t="str">
        <f t="shared" si="38"/>
        <v>106Annual Variance</v>
      </c>
      <c r="B2498">
        <v>106</v>
      </c>
      <c r="C2498" s="9" t="s">
        <v>36</v>
      </c>
      <c r="D2498" s="8">
        <v>0</v>
      </c>
    </row>
    <row r="2499" spans="1:4">
      <c r="A2499" t="str">
        <f t="shared" ref="A2499:A2562" si="39">B2499&amp;C2499</f>
        <v>106Information Ratio</v>
      </c>
      <c r="B2499">
        <v>106</v>
      </c>
      <c r="C2499" s="9" t="s">
        <v>37</v>
      </c>
      <c r="D2499" s="8">
        <v>-0.85399999999999998</v>
      </c>
    </row>
    <row r="2500" spans="1:4">
      <c r="A2500" t="str">
        <f t="shared" si="39"/>
        <v>106Tracking Error</v>
      </c>
      <c r="B2500">
        <v>106</v>
      </c>
      <c r="C2500" s="9" t="s">
        <v>38</v>
      </c>
      <c r="D2500" s="8">
        <v>6.2E-2</v>
      </c>
    </row>
    <row r="2501" spans="1:4">
      <c r="A2501" t="str">
        <f t="shared" si="39"/>
        <v>106Treynor Ratio</v>
      </c>
      <c r="B2501">
        <v>106</v>
      </c>
      <c r="C2501" s="9" t="s">
        <v>39</v>
      </c>
      <c r="D2501" s="8">
        <v>9.7000000000000003E-2</v>
      </c>
    </row>
    <row r="2502" spans="1:4">
      <c r="A2502" t="str">
        <f t="shared" si="39"/>
        <v>106Total Fees</v>
      </c>
      <c r="B2502">
        <v>106</v>
      </c>
      <c r="C2502" s="9" t="s">
        <v>40</v>
      </c>
      <c r="D2502" s="8">
        <v>0</v>
      </c>
    </row>
    <row r="2503" spans="1:4">
      <c r="A2503" t="str">
        <f t="shared" si="39"/>
        <v>106Estimated Strategy Capacity</v>
      </c>
      <c r="B2503">
        <v>106</v>
      </c>
      <c r="C2503" s="9" t="s">
        <v>41</v>
      </c>
      <c r="D2503" s="8">
        <v>360000000</v>
      </c>
    </row>
    <row r="2504" spans="1:4">
      <c r="A2504" t="str">
        <f t="shared" si="39"/>
        <v>105PSR</v>
      </c>
      <c r="B2504">
        <v>105</v>
      </c>
      <c r="C2504" t="s">
        <v>27</v>
      </c>
      <c r="D2504" s="6">
        <v>0.47092000000000001</v>
      </c>
    </row>
    <row r="2505" spans="1:4">
      <c r="A2505" t="str">
        <f t="shared" si="39"/>
        <v>105Sharpe Ratio</v>
      </c>
      <c r="B2505">
        <v>105</v>
      </c>
      <c r="C2505" t="s">
        <v>1</v>
      </c>
      <c r="D2505" s="6">
        <v>1.4159999999999999</v>
      </c>
    </row>
    <row r="2506" spans="1:4">
      <c r="A2506" t="str">
        <f t="shared" si="39"/>
        <v>105Total Trades</v>
      </c>
      <c r="B2506">
        <v>105</v>
      </c>
      <c r="C2506" t="s">
        <v>28</v>
      </c>
      <c r="D2506" s="6">
        <v>283</v>
      </c>
    </row>
    <row r="2507" spans="1:4">
      <c r="A2507" t="str">
        <f t="shared" si="39"/>
        <v>105Average Win</v>
      </c>
      <c r="B2507">
        <v>105</v>
      </c>
      <c r="C2507" t="s">
        <v>25</v>
      </c>
      <c r="D2507" s="6">
        <v>0.1166</v>
      </c>
    </row>
    <row r="2508" spans="1:4">
      <c r="A2508" t="str">
        <f t="shared" si="39"/>
        <v>105Average Loss</v>
      </c>
      <c r="B2508">
        <v>105</v>
      </c>
      <c r="C2508" t="s">
        <v>29</v>
      </c>
      <c r="D2508" s="6">
        <v>-7.51E-2</v>
      </c>
    </row>
    <row r="2509" spans="1:4">
      <c r="A2509" t="str">
        <f t="shared" si="39"/>
        <v>105Compounding Annual Return</v>
      </c>
      <c r="B2509">
        <v>105</v>
      </c>
      <c r="C2509" t="s">
        <v>30</v>
      </c>
      <c r="D2509" s="6">
        <v>0.86343000000000003</v>
      </c>
    </row>
    <row r="2510" spans="1:4">
      <c r="A2510" t="str">
        <f t="shared" si="39"/>
        <v>105Drawdown</v>
      </c>
      <c r="B2510">
        <v>105</v>
      </c>
      <c r="C2510" t="s">
        <v>8</v>
      </c>
      <c r="D2510" s="6">
        <v>0.49099999999999999</v>
      </c>
    </row>
    <row r="2511" spans="1:4">
      <c r="A2511" t="str">
        <f t="shared" si="39"/>
        <v>105Expectancy</v>
      </c>
      <c r="B2511">
        <v>105</v>
      </c>
      <c r="C2511" t="s">
        <v>31</v>
      </c>
      <c r="D2511" s="6">
        <v>0.70099999999999996</v>
      </c>
    </row>
    <row r="2512" spans="1:4">
      <c r="A2512" t="str">
        <f t="shared" si="39"/>
        <v>105Net Profit</v>
      </c>
      <c r="B2512">
        <v>105</v>
      </c>
      <c r="C2512" t="s">
        <v>32</v>
      </c>
      <c r="D2512" s="6">
        <v>0.49281000000000003</v>
      </c>
    </row>
    <row r="2513" spans="1:4">
      <c r="A2513" t="str">
        <f t="shared" si="39"/>
        <v>105Loss Rate</v>
      </c>
      <c r="B2513">
        <v>105</v>
      </c>
      <c r="C2513" t="s">
        <v>33</v>
      </c>
      <c r="D2513" s="6">
        <v>0.33</v>
      </c>
    </row>
    <row r="2514" spans="1:4">
      <c r="A2514" t="str">
        <f t="shared" si="39"/>
        <v>105Win Rate</v>
      </c>
      <c r="B2514">
        <v>105</v>
      </c>
      <c r="C2514" t="s">
        <v>34</v>
      </c>
      <c r="D2514" s="6">
        <v>0.67</v>
      </c>
    </row>
    <row r="2515" spans="1:4">
      <c r="A2515" t="str">
        <f t="shared" si="39"/>
        <v>105Profit-Loss Ratio</v>
      </c>
      <c r="B2515">
        <v>105</v>
      </c>
      <c r="C2515" t="s">
        <v>26</v>
      </c>
      <c r="D2515" s="6">
        <v>1.55</v>
      </c>
    </row>
    <row r="2516" spans="1:4">
      <c r="A2516" t="str">
        <f t="shared" si="39"/>
        <v>105Alpha</v>
      </c>
      <c r="B2516">
        <v>105</v>
      </c>
      <c r="C2516" t="s">
        <v>23</v>
      </c>
      <c r="D2516" s="6">
        <v>0.92400000000000004</v>
      </c>
    </row>
    <row r="2517" spans="1:4">
      <c r="A2517" t="str">
        <f t="shared" si="39"/>
        <v>105Beta</v>
      </c>
      <c r="B2517">
        <v>105</v>
      </c>
      <c r="C2517" t="s">
        <v>24</v>
      </c>
      <c r="D2517" s="6">
        <v>4.7430000000000003</v>
      </c>
    </row>
    <row r="2518" spans="1:4">
      <c r="A2518" t="str">
        <f t="shared" si="39"/>
        <v>105Annual Standard Deviation</v>
      </c>
      <c r="B2518">
        <v>105</v>
      </c>
      <c r="C2518" t="s">
        <v>35</v>
      </c>
      <c r="D2518" s="6">
        <v>0.86699999999999999</v>
      </c>
    </row>
    <row r="2519" spans="1:4">
      <c r="A2519" t="str">
        <f t="shared" si="39"/>
        <v>105Annual Variance</v>
      </c>
      <c r="B2519">
        <v>105</v>
      </c>
      <c r="C2519" t="s">
        <v>36</v>
      </c>
      <c r="D2519" s="6">
        <v>0.751</v>
      </c>
    </row>
    <row r="2520" spans="1:4">
      <c r="A2520" t="str">
        <f t="shared" si="39"/>
        <v>105Information Ratio</v>
      </c>
      <c r="B2520">
        <v>105</v>
      </c>
      <c r="C2520" t="s">
        <v>37</v>
      </c>
      <c r="D2520" s="6">
        <v>1.3779999999999999</v>
      </c>
    </row>
    <row r="2521" spans="1:4">
      <c r="A2521" t="str">
        <f t="shared" si="39"/>
        <v>105Tracking Error</v>
      </c>
      <c r="B2521">
        <v>105</v>
      </c>
      <c r="C2521" t="s">
        <v>38</v>
      </c>
      <c r="D2521" s="6">
        <v>0.84499999999999997</v>
      </c>
    </row>
    <row r="2522" spans="1:4">
      <c r="A2522" t="str">
        <f t="shared" si="39"/>
        <v>105Treynor Ratio</v>
      </c>
      <c r="B2522">
        <v>105</v>
      </c>
      <c r="C2522" t="s">
        <v>39</v>
      </c>
      <c r="D2522" s="6">
        <v>0.25900000000000001</v>
      </c>
    </row>
    <row r="2523" spans="1:4">
      <c r="A2523" t="str">
        <f t="shared" si="39"/>
        <v>105Total Fees</v>
      </c>
      <c r="B2523">
        <v>105</v>
      </c>
      <c r="C2523" t="s">
        <v>40</v>
      </c>
      <c r="D2523" s="6">
        <v>0</v>
      </c>
    </row>
    <row r="2524" spans="1:4">
      <c r="A2524" t="str">
        <f t="shared" si="39"/>
        <v>105Estimated Strategy Capacity</v>
      </c>
      <c r="B2524">
        <v>105</v>
      </c>
      <c r="C2524" t="s">
        <v>41</v>
      </c>
      <c r="D2524" s="6">
        <v>12000000</v>
      </c>
    </row>
    <row r="2525" spans="1:4">
      <c r="A2525" t="str">
        <f t="shared" si="39"/>
        <v>104PSR</v>
      </c>
      <c r="B2525">
        <v>104</v>
      </c>
      <c r="C2525" s="9" t="s">
        <v>27</v>
      </c>
      <c r="D2525" s="8">
        <v>0.50126000000000004</v>
      </c>
    </row>
    <row r="2526" spans="1:4">
      <c r="A2526" t="str">
        <f t="shared" si="39"/>
        <v>104Sharpe Ratio</v>
      </c>
      <c r="B2526">
        <v>104</v>
      </c>
      <c r="C2526" s="9" t="s">
        <v>1</v>
      </c>
      <c r="D2526" s="8">
        <v>1.0880000000000001</v>
      </c>
    </row>
    <row r="2527" spans="1:4">
      <c r="A2527" t="str">
        <f t="shared" si="39"/>
        <v>104Total Trades</v>
      </c>
      <c r="B2527">
        <v>104</v>
      </c>
      <c r="C2527" s="9" t="s">
        <v>28</v>
      </c>
      <c r="D2527" s="8">
        <v>413</v>
      </c>
    </row>
    <row r="2528" spans="1:4">
      <c r="A2528" t="str">
        <f t="shared" si="39"/>
        <v>104Average Win</v>
      </c>
      <c r="B2528">
        <v>104</v>
      </c>
      <c r="C2528" s="9" t="s">
        <v>25</v>
      </c>
      <c r="D2528" s="8">
        <v>4.5999999999999999E-2</v>
      </c>
    </row>
    <row r="2529" spans="1:4">
      <c r="A2529" t="str">
        <f t="shared" si="39"/>
        <v>104Average Loss</v>
      </c>
      <c r="B2529">
        <v>104</v>
      </c>
      <c r="C2529" s="9" t="s">
        <v>29</v>
      </c>
      <c r="D2529" s="8">
        <v>-2.69E-2</v>
      </c>
    </row>
    <row r="2530" spans="1:4">
      <c r="A2530" t="str">
        <f t="shared" si="39"/>
        <v>104Compounding Annual Return</v>
      </c>
      <c r="B2530">
        <v>104</v>
      </c>
      <c r="C2530" s="9" t="s">
        <v>30</v>
      </c>
      <c r="D2530" s="8">
        <v>0.23613000000000001</v>
      </c>
    </row>
    <row r="2531" spans="1:4">
      <c r="A2531" t="str">
        <f t="shared" si="39"/>
        <v>104Drawdown</v>
      </c>
      <c r="B2531">
        <v>104</v>
      </c>
      <c r="C2531" s="9" t="s">
        <v>8</v>
      </c>
      <c r="D2531" s="8">
        <v>0.12</v>
      </c>
    </row>
    <row r="2532" spans="1:4">
      <c r="A2532" t="str">
        <f t="shared" si="39"/>
        <v>104Expectancy</v>
      </c>
      <c r="B2532">
        <v>104</v>
      </c>
      <c r="C2532" s="9" t="s">
        <v>31</v>
      </c>
      <c r="D2532" s="8">
        <v>0.46</v>
      </c>
    </row>
    <row r="2533" spans="1:4">
      <c r="A2533" t="str">
        <f t="shared" si="39"/>
        <v>104Net Profit</v>
      </c>
      <c r="B2533">
        <v>104</v>
      </c>
      <c r="C2533" s="9" t="s">
        <v>32</v>
      </c>
      <c r="D2533" s="8">
        <v>0.14687</v>
      </c>
    </row>
    <row r="2534" spans="1:4">
      <c r="A2534" t="str">
        <f t="shared" si="39"/>
        <v>104Loss Rate</v>
      </c>
      <c r="B2534">
        <v>104</v>
      </c>
      <c r="C2534" s="9" t="s">
        <v>33</v>
      </c>
      <c r="D2534" s="8">
        <v>0.46</v>
      </c>
    </row>
    <row r="2535" spans="1:4">
      <c r="A2535" t="str">
        <f t="shared" si="39"/>
        <v>104Win Rate</v>
      </c>
      <c r="B2535">
        <v>104</v>
      </c>
      <c r="C2535" s="9" t="s">
        <v>34</v>
      </c>
      <c r="D2535" s="8">
        <v>0.54</v>
      </c>
    </row>
    <row r="2536" spans="1:4">
      <c r="A2536" t="str">
        <f t="shared" si="39"/>
        <v>104Profit-Loss Ratio</v>
      </c>
      <c r="B2536">
        <v>104</v>
      </c>
      <c r="C2536" s="9" t="s">
        <v>26</v>
      </c>
      <c r="D2536" s="8">
        <v>1.71</v>
      </c>
    </row>
    <row r="2537" spans="1:4">
      <c r="A2537" t="str">
        <f t="shared" si="39"/>
        <v>104Alpha</v>
      </c>
      <c r="B2537">
        <v>104</v>
      </c>
      <c r="C2537" s="9" t="s">
        <v>23</v>
      </c>
      <c r="D2537" s="8">
        <v>0.122</v>
      </c>
    </row>
    <row r="2538" spans="1:4">
      <c r="A2538" t="str">
        <f t="shared" si="39"/>
        <v>104Beta</v>
      </c>
      <c r="B2538">
        <v>104</v>
      </c>
      <c r="C2538" s="9" t="s">
        <v>24</v>
      </c>
      <c r="D2538" s="8">
        <v>0.80100000000000005</v>
      </c>
    </row>
    <row r="2539" spans="1:4">
      <c r="A2539" t="str">
        <f t="shared" si="39"/>
        <v>104Annual Standard Deviation</v>
      </c>
      <c r="B2539">
        <v>104</v>
      </c>
      <c r="C2539" s="9" t="s">
        <v>35</v>
      </c>
      <c r="D2539" s="8">
        <v>0.159</v>
      </c>
    </row>
    <row r="2540" spans="1:4">
      <c r="A2540" t="str">
        <f t="shared" si="39"/>
        <v>104Annual Variance</v>
      </c>
      <c r="B2540">
        <v>104</v>
      </c>
      <c r="C2540" s="9" t="s">
        <v>36</v>
      </c>
      <c r="D2540" s="8">
        <v>2.5000000000000001E-2</v>
      </c>
    </row>
    <row r="2541" spans="1:4">
      <c r="A2541" t="str">
        <f t="shared" si="39"/>
        <v>104Information Ratio</v>
      </c>
      <c r="B2541">
        <v>104</v>
      </c>
      <c r="C2541" s="9" t="s">
        <v>37</v>
      </c>
      <c r="D2541" s="8">
        <v>0.72699999999999998</v>
      </c>
    </row>
    <row r="2542" spans="1:4">
      <c r="A2542" t="str">
        <f t="shared" si="39"/>
        <v>104Tracking Error</v>
      </c>
      <c r="B2542">
        <v>104</v>
      </c>
      <c r="C2542" s="9" t="s">
        <v>38</v>
      </c>
      <c r="D2542" s="8">
        <v>0.151</v>
      </c>
    </row>
    <row r="2543" spans="1:4">
      <c r="A2543" t="str">
        <f t="shared" si="39"/>
        <v>104Treynor Ratio</v>
      </c>
      <c r="B2543">
        <v>104</v>
      </c>
      <c r="C2543" s="9" t="s">
        <v>39</v>
      </c>
      <c r="D2543" s="8">
        <v>0.216</v>
      </c>
    </row>
    <row r="2544" spans="1:4">
      <c r="A2544" t="str">
        <f t="shared" si="39"/>
        <v>104Total Fees</v>
      </c>
      <c r="B2544">
        <v>104</v>
      </c>
      <c r="C2544" s="9" t="s">
        <v>40</v>
      </c>
      <c r="D2544" s="8">
        <v>0</v>
      </c>
    </row>
    <row r="2545" spans="1:4">
      <c r="A2545" t="str">
        <f t="shared" si="39"/>
        <v>104Estimated Strategy Capacity</v>
      </c>
      <c r="B2545">
        <v>104</v>
      </c>
      <c r="C2545" s="9" t="s">
        <v>41</v>
      </c>
      <c r="D2545" s="8">
        <v>6300000</v>
      </c>
    </row>
    <row r="2546" spans="1:4">
      <c r="A2546" t="str">
        <f t="shared" si="39"/>
        <v>103PSR</v>
      </c>
      <c r="B2546">
        <v>103</v>
      </c>
      <c r="C2546" s="9" t="s">
        <v>27</v>
      </c>
      <c r="D2546" s="8">
        <v>0.47492000000000001</v>
      </c>
    </row>
    <row r="2547" spans="1:4">
      <c r="A2547" t="str">
        <f t="shared" si="39"/>
        <v>103Sharpe Ratio</v>
      </c>
      <c r="B2547">
        <v>103</v>
      </c>
      <c r="C2547" s="9" t="s">
        <v>1</v>
      </c>
      <c r="D2547" s="8">
        <v>0.93899999999999995</v>
      </c>
    </row>
    <row r="2548" spans="1:4">
      <c r="A2548" t="str">
        <f t="shared" si="39"/>
        <v>103Total Trades</v>
      </c>
      <c r="B2548">
        <v>103</v>
      </c>
      <c r="C2548" s="9" t="s">
        <v>28</v>
      </c>
      <c r="D2548" s="8">
        <v>413</v>
      </c>
    </row>
    <row r="2549" spans="1:4">
      <c r="A2549" t="str">
        <f t="shared" si="39"/>
        <v>103Average Win</v>
      </c>
      <c r="B2549">
        <v>103</v>
      </c>
      <c r="C2549" s="9" t="s">
        <v>25</v>
      </c>
      <c r="D2549" s="8">
        <v>4.7000000000000002E-3</v>
      </c>
    </row>
    <row r="2550" spans="1:4">
      <c r="A2550" t="str">
        <f t="shared" si="39"/>
        <v>103Average Loss</v>
      </c>
      <c r="B2550">
        <v>103</v>
      </c>
      <c r="C2550" s="9" t="s">
        <v>29</v>
      </c>
      <c r="D2550" s="8">
        <v>-2.8999999999999998E-3</v>
      </c>
    </row>
    <row r="2551" spans="1:4">
      <c r="A2551" t="str">
        <f t="shared" si="39"/>
        <v>103Compounding Annual Return</v>
      </c>
      <c r="B2551">
        <v>103</v>
      </c>
      <c r="C2551" s="9" t="s">
        <v>30</v>
      </c>
      <c r="D2551" s="8">
        <v>2.281E-2</v>
      </c>
    </row>
    <row r="2552" spans="1:4">
      <c r="A2552" t="str">
        <f t="shared" si="39"/>
        <v>103Drawdown</v>
      </c>
      <c r="B2552">
        <v>103</v>
      </c>
      <c r="C2552" s="9" t="s">
        <v>8</v>
      </c>
      <c r="D2552" s="8">
        <v>1.2999999999999999E-2</v>
      </c>
    </row>
    <row r="2553" spans="1:4">
      <c r="A2553" t="str">
        <f t="shared" si="39"/>
        <v>103Expectancy</v>
      </c>
      <c r="B2553">
        <v>103</v>
      </c>
      <c r="C2553" s="9" t="s">
        <v>31</v>
      </c>
      <c r="D2553" s="8">
        <v>0.41899999999999998</v>
      </c>
    </row>
    <row r="2554" spans="1:4">
      <c r="A2554" t="str">
        <f t="shared" si="39"/>
        <v>103Net Profit</v>
      </c>
      <c r="B2554">
        <v>103</v>
      </c>
      <c r="C2554" s="9" t="s">
        <v>32</v>
      </c>
      <c r="D2554" s="8">
        <v>1.469E-2</v>
      </c>
    </row>
    <row r="2555" spans="1:4">
      <c r="A2555" t="str">
        <f t="shared" si="39"/>
        <v>103Loss Rate</v>
      </c>
      <c r="B2555">
        <v>103</v>
      </c>
      <c r="C2555" s="9" t="s">
        <v>33</v>
      </c>
      <c r="D2555" s="8">
        <v>0.46</v>
      </c>
    </row>
    <row r="2556" spans="1:4">
      <c r="A2556" t="str">
        <f t="shared" si="39"/>
        <v>103Win Rate</v>
      </c>
      <c r="B2556">
        <v>103</v>
      </c>
      <c r="C2556" s="9" t="s">
        <v>34</v>
      </c>
      <c r="D2556" s="8">
        <v>0.54</v>
      </c>
    </row>
    <row r="2557" spans="1:4">
      <c r="A2557" t="str">
        <f t="shared" si="39"/>
        <v>103Profit-Loss Ratio</v>
      </c>
      <c r="B2557">
        <v>103</v>
      </c>
      <c r="C2557" s="9" t="s">
        <v>26</v>
      </c>
      <c r="D2557" s="8">
        <v>1.63</v>
      </c>
    </row>
    <row r="2558" spans="1:4">
      <c r="A2558" t="str">
        <f t="shared" si="39"/>
        <v>103Alpha</v>
      </c>
      <c r="B2558">
        <v>103</v>
      </c>
      <c r="C2558" s="9" t="s">
        <v>23</v>
      </c>
      <c r="D2558" s="8">
        <v>0.01</v>
      </c>
    </row>
    <row r="2559" spans="1:4">
      <c r="A2559" t="str">
        <f t="shared" si="39"/>
        <v>103Beta</v>
      </c>
      <c r="B2559">
        <v>103</v>
      </c>
      <c r="C2559" s="9" t="s">
        <v>24</v>
      </c>
      <c r="D2559" s="8">
        <v>8.6999999999999994E-2</v>
      </c>
    </row>
    <row r="2560" spans="1:4">
      <c r="A2560" t="str">
        <f t="shared" si="39"/>
        <v>103Annual Standard Deviation</v>
      </c>
      <c r="B2560">
        <v>103</v>
      </c>
      <c r="C2560" s="9" t="s">
        <v>35</v>
      </c>
      <c r="D2560" s="8">
        <v>1.7000000000000001E-2</v>
      </c>
    </row>
    <row r="2561" spans="1:4">
      <c r="A2561" t="str">
        <f t="shared" si="39"/>
        <v>103Annual Variance</v>
      </c>
      <c r="B2561">
        <v>103</v>
      </c>
      <c r="C2561" s="9" t="s">
        <v>36</v>
      </c>
      <c r="D2561" s="8">
        <v>0</v>
      </c>
    </row>
    <row r="2562" spans="1:4">
      <c r="A2562" t="str">
        <f t="shared" si="39"/>
        <v>103Information Ratio</v>
      </c>
      <c r="B2562">
        <v>103</v>
      </c>
      <c r="C2562" s="9" t="s">
        <v>37</v>
      </c>
      <c r="D2562" s="8">
        <v>-0.75800000000000001</v>
      </c>
    </row>
    <row r="2563" spans="1:4">
      <c r="A2563" t="str">
        <f t="shared" ref="A2563:A2626" si="40">B2563&amp;C2563</f>
        <v>103Tracking Error</v>
      </c>
      <c r="B2563">
        <v>103</v>
      </c>
      <c r="C2563" s="9" t="s">
        <v>38</v>
      </c>
      <c r="D2563" s="8">
        <v>6.3E-2</v>
      </c>
    </row>
    <row r="2564" spans="1:4">
      <c r="A2564" t="str">
        <f t="shared" si="40"/>
        <v>103Treynor Ratio</v>
      </c>
      <c r="B2564">
        <v>103</v>
      </c>
      <c r="C2564" s="9" t="s">
        <v>39</v>
      </c>
      <c r="D2564" s="8">
        <v>0.184</v>
      </c>
    </row>
    <row r="2565" spans="1:4">
      <c r="A2565" t="str">
        <f t="shared" si="40"/>
        <v>103Total Fees</v>
      </c>
      <c r="B2565">
        <v>103</v>
      </c>
      <c r="C2565" s="9" t="s">
        <v>40</v>
      </c>
      <c r="D2565" s="8">
        <v>0</v>
      </c>
    </row>
    <row r="2566" spans="1:4">
      <c r="A2566" t="str">
        <f t="shared" si="40"/>
        <v>103Estimated Strategy Capacity</v>
      </c>
      <c r="B2566">
        <v>103</v>
      </c>
      <c r="C2566" s="9" t="s">
        <v>41</v>
      </c>
      <c r="D2566" s="8">
        <v>31000000</v>
      </c>
    </row>
    <row r="2567" spans="1:4">
      <c r="A2567" t="str">
        <f t="shared" si="40"/>
        <v>102PSR</v>
      </c>
      <c r="B2567">
        <v>102</v>
      </c>
      <c r="C2567" s="9" t="s">
        <v>27</v>
      </c>
      <c r="D2567" s="8">
        <v>0.48737999999999998</v>
      </c>
    </row>
    <row r="2568" spans="1:4">
      <c r="A2568" t="str">
        <f t="shared" si="40"/>
        <v>102Sharpe Ratio</v>
      </c>
      <c r="B2568">
        <v>102</v>
      </c>
      <c r="C2568" s="9" t="s">
        <v>1</v>
      </c>
      <c r="D2568" s="8">
        <v>1.23</v>
      </c>
    </row>
    <row r="2569" spans="1:4">
      <c r="A2569" t="str">
        <f t="shared" si="40"/>
        <v>102Total Trades</v>
      </c>
      <c r="B2569">
        <v>102</v>
      </c>
      <c r="C2569" s="9" t="s">
        <v>28</v>
      </c>
      <c r="D2569" s="8">
        <v>687</v>
      </c>
    </row>
    <row r="2570" spans="1:4">
      <c r="A2570" t="str">
        <f t="shared" si="40"/>
        <v>102Average Win</v>
      </c>
      <c r="B2570">
        <v>102</v>
      </c>
      <c r="C2570" s="9" t="s">
        <v>25</v>
      </c>
      <c r="D2570" s="8">
        <v>0.1163</v>
      </c>
    </row>
    <row r="2571" spans="1:4">
      <c r="A2571" t="str">
        <f t="shared" si="40"/>
        <v>102Average Loss</v>
      </c>
      <c r="B2571">
        <v>102</v>
      </c>
      <c r="C2571" s="9" t="s">
        <v>29</v>
      </c>
      <c r="D2571" s="8">
        <v>-6.5799999999999997E-2</v>
      </c>
    </row>
    <row r="2572" spans="1:4">
      <c r="A2572" t="str">
        <f t="shared" si="40"/>
        <v>102Compounding Annual Return</v>
      </c>
      <c r="B2572">
        <v>102</v>
      </c>
      <c r="C2572" s="9" t="s">
        <v>30</v>
      </c>
      <c r="D2572" s="8">
        <v>0.66122999999999998</v>
      </c>
    </row>
    <row r="2573" spans="1:4">
      <c r="A2573" t="str">
        <f t="shared" si="40"/>
        <v>102Drawdown</v>
      </c>
      <c r="B2573">
        <v>102</v>
      </c>
      <c r="C2573" s="9" t="s">
        <v>8</v>
      </c>
      <c r="D2573" s="8">
        <v>0.27700000000000002</v>
      </c>
    </row>
    <row r="2574" spans="1:4">
      <c r="A2574" t="str">
        <f t="shared" si="40"/>
        <v>102Expectancy</v>
      </c>
      <c r="B2574">
        <v>102</v>
      </c>
      <c r="C2574" s="9" t="s">
        <v>31</v>
      </c>
      <c r="D2574" s="8">
        <v>0.38300000000000001</v>
      </c>
    </row>
    <row r="2575" spans="1:4">
      <c r="A2575" t="str">
        <f t="shared" si="40"/>
        <v>102Net Profit</v>
      </c>
      <c r="B2575">
        <v>102</v>
      </c>
      <c r="C2575" s="9" t="s">
        <v>32</v>
      </c>
      <c r="D2575" s="8">
        <v>0.38834999999999997</v>
      </c>
    </row>
    <row r="2576" spans="1:4">
      <c r="A2576" t="str">
        <f t="shared" si="40"/>
        <v>102Loss Rate</v>
      </c>
      <c r="B2576">
        <v>102</v>
      </c>
      <c r="C2576" s="9" t="s">
        <v>33</v>
      </c>
      <c r="D2576" s="8">
        <v>0.5</v>
      </c>
    </row>
    <row r="2577" spans="1:4">
      <c r="A2577" t="str">
        <f t="shared" si="40"/>
        <v>102Win Rate</v>
      </c>
      <c r="B2577">
        <v>102</v>
      </c>
      <c r="C2577" s="9" t="s">
        <v>34</v>
      </c>
      <c r="D2577" s="8">
        <v>0.5</v>
      </c>
    </row>
    <row r="2578" spans="1:4">
      <c r="A2578" t="str">
        <f t="shared" si="40"/>
        <v>102Profit-Loss Ratio</v>
      </c>
      <c r="B2578">
        <v>102</v>
      </c>
      <c r="C2578" s="9" t="s">
        <v>26</v>
      </c>
      <c r="D2578" s="8">
        <v>1.77</v>
      </c>
    </row>
    <row r="2579" spans="1:4">
      <c r="A2579" t="str">
        <f t="shared" si="40"/>
        <v>102Alpha</v>
      </c>
      <c r="B2579">
        <v>102</v>
      </c>
      <c r="C2579" s="9" t="s">
        <v>23</v>
      </c>
      <c r="D2579" s="8">
        <v>0.40400000000000003</v>
      </c>
    </row>
    <row r="2580" spans="1:4">
      <c r="A2580" t="str">
        <f t="shared" si="40"/>
        <v>102Beta</v>
      </c>
      <c r="B2580">
        <v>102</v>
      </c>
      <c r="C2580" s="9" t="s">
        <v>24</v>
      </c>
      <c r="D2580" s="8">
        <v>2.8980000000000001</v>
      </c>
    </row>
    <row r="2581" spans="1:4">
      <c r="A2581" t="str">
        <f t="shared" si="40"/>
        <v>102Annual Standard Deviation</v>
      </c>
      <c r="B2581">
        <v>102</v>
      </c>
      <c r="C2581" s="9" t="s">
        <v>35</v>
      </c>
      <c r="D2581" s="8">
        <v>0.47799999999999998</v>
      </c>
    </row>
    <row r="2582" spans="1:4">
      <c r="A2582" t="str">
        <f t="shared" si="40"/>
        <v>102Annual Variance</v>
      </c>
      <c r="B2582">
        <v>102</v>
      </c>
      <c r="C2582" s="9" t="s">
        <v>36</v>
      </c>
      <c r="D2582" s="8">
        <v>0.22900000000000001</v>
      </c>
    </row>
    <row r="2583" spans="1:4">
      <c r="A2583" t="str">
        <f t="shared" si="40"/>
        <v>102Information Ratio</v>
      </c>
      <c r="B2583">
        <v>102</v>
      </c>
      <c r="C2583" s="9" t="s">
        <v>37</v>
      </c>
      <c r="D2583" s="8">
        <v>1.1519999999999999</v>
      </c>
    </row>
    <row r="2584" spans="1:4">
      <c r="A2584" t="str">
        <f t="shared" si="40"/>
        <v>102Tracking Error</v>
      </c>
      <c r="B2584">
        <v>102</v>
      </c>
      <c r="C2584" s="9" t="s">
        <v>38</v>
      </c>
      <c r="D2584" s="8">
        <v>0.45500000000000002</v>
      </c>
    </row>
    <row r="2585" spans="1:4">
      <c r="A2585" t="str">
        <f t="shared" si="40"/>
        <v>102Treynor Ratio</v>
      </c>
      <c r="B2585">
        <v>102</v>
      </c>
      <c r="C2585" s="9" t="s">
        <v>39</v>
      </c>
      <c r="D2585" s="8">
        <v>0.20300000000000001</v>
      </c>
    </row>
    <row r="2586" spans="1:4">
      <c r="A2586" t="str">
        <f t="shared" si="40"/>
        <v>102Total Fees</v>
      </c>
      <c r="B2586">
        <v>102</v>
      </c>
      <c r="C2586" s="9" t="s">
        <v>40</v>
      </c>
      <c r="D2586" s="8">
        <v>0</v>
      </c>
    </row>
    <row r="2587" spans="1:4">
      <c r="A2587" t="str">
        <f t="shared" si="40"/>
        <v>102Estimated Strategy Capacity</v>
      </c>
      <c r="B2587">
        <v>102</v>
      </c>
      <c r="C2587" s="9" t="s">
        <v>41</v>
      </c>
      <c r="D2587" s="8">
        <v>5100000</v>
      </c>
    </row>
    <row r="2588" spans="1:4">
      <c r="A2588" t="str">
        <f t="shared" si="40"/>
        <v>101PSR</v>
      </c>
      <c r="B2588">
        <v>101</v>
      </c>
      <c r="C2588" s="9" t="s">
        <v>27</v>
      </c>
      <c r="D2588" s="8">
        <v>0.41305999999999998</v>
      </c>
    </row>
    <row r="2589" spans="1:4">
      <c r="A2589" t="str">
        <f t="shared" si="40"/>
        <v>101Sharpe Ratio</v>
      </c>
      <c r="B2589">
        <v>101</v>
      </c>
      <c r="C2589" s="9" t="s">
        <v>1</v>
      </c>
      <c r="D2589" s="8">
        <v>0.81299999999999994</v>
      </c>
    </row>
    <row r="2590" spans="1:4">
      <c r="A2590" t="str">
        <f t="shared" si="40"/>
        <v>101Total Trades</v>
      </c>
      <c r="B2590">
        <v>101</v>
      </c>
      <c r="C2590" s="9" t="s">
        <v>28</v>
      </c>
      <c r="D2590" s="8">
        <v>687</v>
      </c>
    </row>
    <row r="2591" spans="1:4">
      <c r="A2591" t="str">
        <f t="shared" si="40"/>
        <v>101Average Win</v>
      </c>
      <c r="B2591">
        <v>101</v>
      </c>
      <c r="C2591" s="9" t="s">
        <v>25</v>
      </c>
      <c r="D2591" s="8">
        <v>2.5000000000000001E-2</v>
      </c>
    </row>
    <row r="2592" spans="1:4">
      <c r="A2592" t="str">
        <f t="shared" si="40"/>
        <v>101Average Loss</v>
      </c>
      <c r="B2592">
        <v>101</v>
      </c>
      <c r="C2592" s="9" t="s">
        <v>29</v>
      </c>
      <c r="D2592" s="8">
        <v>-1.5299999999999999E-2</v>
      </c>
    </row>
    <row r="2593" spans="1:4">
      <c r="A2593" t="str">
        <f t="shared" si="40"/>
        <v>101Compounding Annual Return</v>
      </c>
      <c r="B2593">
        <v>101</v>
      </c>
      <c r="C2593" s="9" t="s">
        <v>30</v>
      </c>
      <c r="D2593" s="8">
        <v>0.12267</v>
      </c>
    </row>
    <row r="2594" spans="1:4">
      <c r="A2594" t="str">
        <f t="shared" si="40"/>
        <v>101Drawdown</v>
      </c>
      <c r="B2594">
        <v>101</v>
      </c>
      <c r="C2594" s="9" t="s">
        <v>8</v>
      </c>
      <c r="D2594" s="8">
        <v>6.9000000000000006E-2</v>
      </c>
    </row>
    <row r="2595" spans="1:4">
      <c r="A2595" t="str">
        <f t="shared" si="40"/>
        <v>101Expectancy</v>
      </c>
      <c r="B2595">
        <v>101</v>
      </c>
      <c r="C2595" s="9" t="s">
        <v>31</v>
      </c>
      <c r="D2595" s="8">
        <v>0.31900000000000001</v>
      </c>
    </row>
    <row r="2596" spans="1:4">
      <c r="A2596" t="str">
        <f t="shared" si="40"/>
        <v>101Net Profit</v>
      </c>
      <c r="B2596">
        <v>101</v>
      </c>
      <c r="C2596" s="9" t="s">
        <v>32</v>
      </c>
      <c r="D2596" s="8">
        <v>7.7670000000000003E-2</v>
      </c>
    </row>
    <row r="2597" spans="1:4">
      <c r="A2597" t="str">
        <f t="shared" si="40"/>
        <v>101Loss Rate</v>
      </c>
      <c r="B2597">
        <v>101</v>
      </c>
      <c r="C2597" s="9" t="s">
        <v>33</v>
      </c>
      <c r="D2597" s="8">
        <v>0.5</v>
      </c>
    </row>
    <row r="2598" spans="1:4">
      <c r="A2598" t="str">
        <f t="shared" si="40"/>
        <v>101Win Rate</v>
      </c>
      <c r="B2598">
        <v>101</v>
      </c>
      <c r="C2598" s="9" t="s">
        <v>34</v>
      </c>
      <c r="D2598" s="8">
        <v>0.5</v>
      </c>
    </row>
    <row r="2599" spans="1:4">
      <c r="A2599" t="str">
        <f t="shared" si="40"/>
        <v>101Profit-Loss Ratio</v>
      </c>
      <c r="B2599">
        <v>101</v>
      </c>
      <c r="C2599" s="9" t="s">
        <v>26</v>
      </c>
      <c r="D2599" s="8">
        <v>1.64</v>
      </c>
    </row>
    <row r="2600" spans="1:4">
      <c r="A2600" t="str">
        <f t="shared" si="40"/>
        <v>101Alpha</v>
      </c>
      <c r="B2600">
        <v>101</v>
      </c>
      <c r="C2600" s="9" t="s">
        <v>23</v>
      </c>
      <c r="D2600" s="8">
        <v>4.7E-2</v>
      </c>
    </row>
    <row r="2601" spans="1:4">
      <c r="A2601" t="str">
        <f t="shared" si="40"/>
        <v>101Beta</v>
      </c>
      <c r="B2601">
        <v>101</v>
      </c>
      <c r="C2601" s="9" t="s">
        <v>24</v>
      </c>
      <c r="D2601" s="8">
        <v>0.67300000000000004</v>
      </c>
    </row>
    <row r="2602" spans="1:4">
      <c r="A2602" t="str">
        <f t="shared" si="40"/>
        <v>101Annual Standard Deviation</v>
      </c>
      <c r="B2602">
        <v>101</v>
      </c>
      <c r="C2602" s="9" t="s">
        <v>35</v>
      </c>
      <c r="D2602" s="8">
        <v>0.111</v>
      </c>
    </row>
    <row r="2603" spans="1:4">
      <c r="A2603" t="str">
        <f t="shared" si="40"/>
        <v>101Annual Variance</v>
      </c>
      <c r="B2603">
        <v>101</v>
      </c>
      <c r="C2603" s="9" t="s">
        <v>36</v>
      </c>
      <c r="D2603" s="8">
        <v>1.2E-2</v>
      </c>
    </row>
    <row r="2604" spans="1:4">
      <c r="A2604" t="str">
        <f t="shared" si="40"/>
        <v>101Information Ratio</v>
      </c>
      <c r="B2604">
        <v>101</v>
      </c>
      <c r="C2604" s="9" t="s">
        <v>37</v>
      </c>
      <c r="D2604" s="8">
        <v>0.255</v>
      </c>
    </row>
    <row r="2605" spans="1:4">
      <c r="A2605" t="str">
        <f t="shared" si="40"/>
        <v>101Tracking Error</v>
      </c>
      <c r="B2605">
        <v>101</v>
      </c>
      <c r="C2605" s="9" t="s">
        <v>38</v>
      </c>
      <c r="D2605" s="8">
        <v>0.104</v>
      </c>
    </row>
    <row r="2606" spans="1:4">
      <c r="A2606" t="str">
        <f t="shared" si="40"/>
        <v>101Treynor Ratio</v>
      </c>
      <c r="B2606">
        <v>101</v>
      </c>
      <c r="C2606" s="9" t="s">
        <v>39</v>
      </c>
      <c r="D2606" s="8">
        <v>0.13400000000000001</v>
      </c>
    </row>
    <row r="2607" spans="1:4">
      <c r="A2607" t="str">
        <f t="shared" si="40"/>
        <v>101Total Fees</v>
      </c>
      <c r="B2607">
        <v>101</v>
      </c>
      <c r="C2607" s="9" t="s">
        <v>40</v>
      </c>
      <c r="D2607" s="8">
        <v>0</v>
      </c>
    </row>
    <row r="2608" spans="1:4">
      <c r="A2608" t="str">
        <f t="shared" si="40"/>
        <v>101Estimated Strategy Capacity</v>
      </c>
      <c r="B2608">
        <v>101</v>
      </c>
      <c r="C2608" s="9" t="s">
        <v>41</v>
      </c>
      <c r="D2608" s="8">
        <v>17000000</v>
      </c>
    </row>
    <row r="2609" spans="1:4">
      <c r="A2609" t="str">
        <f t="shared" si="40"/>
        <v>100PSR</v>
      </c>
      <c r="B2609">
        <v>100</v>
      </c>
      <c r="C2609" s="9" t="s">
        <v>27</v>
      </c>
      <c r="D2609" s="8">
        <v>0.33544000000000002</v>
      </c>
    </row>
    <row r="2610" spans="1:4">
      <c r="A2610" t="str">
        <f t="shared" si="40"/>
        <v>100Sharpe Ratio</v>
      </c>
      <c r="B2610">
        <v>100</v>
      </c>
      <c r="C2610" s="9" t="s">
        <v>1</v>
      </c>
      <c r="D2610" s="8">
        <v>0.56899999999999995</v>
      </c>
    </row>
    <row r="2611" spans="1:4">
      <c r="A2611" t="str">
        <f t="shared" si="40"/>
        <v>100Total Trades</v>
      </c>
      <c r="B2611">
        <v>100</v>
      </c>
      <c r="C2611" s="9" t="s">
        <v>28</v>
      </c>
      <c r="D2611" s="8">
        <v>687</v>
      </c>
    </row>
    <row r="2612" spans="1:4">
      <c r="A2612" t="str">
        <f t="shared" si="40"/>
        <v>100Average Win</v>
      </c>
      <c r="B2612">
        <v>100</v>
      </c>
      <c r="C2612" s="9" t="s">
        <v>25</v>
      </c>
      <c r="D2612" s="8">
        <v>2.5000000000000001E-3</v>
      </c>
    </row>
    <row r="2613" spans="1:4">
      <c r="A2613" t="str">
        <f t="shared" si="40"/>
        <v>100Average Loss</v>
      </c>
      <c r="B2613">
        <v>100</v>
      </c>
      <c r="C2613" s="9" t="s">
        <v>29</v>
      </c>
      <c r="D2613" s="8">
        <v>-1.6000000000000001E-3</v>
      </c>
    </row>
    <row r="2614" spans="1:4">
      <c r="A2614" t="str">
        <f t="shared" si="40"/>
        <v>100Compounding Annual Return</v>
      </c>
      <c r="B2614">
        <v>100</v>
      </c>
      <c r="C2614" s="9" t="s">
        <v>30</v>
      </c>
      <c r="D2614" s="8">
        <v>9.5399999999999999E-3</v>
      </c>
    </row>
    <row r="2615" spans="1:4">
      <c r="A2615" t="str">
        <f t="shared" si="40"/>
        <v>100Drawdown</v>
      </c>
      <c r="B2615">
        <v>100</v>
      </c>
      <c r="C2615" s="9" t="s">
        <v>8</v>
      </c>
      <c r="D2615" s="8">
        <v>7.0000000000000001E-3</v>
      </c>
    </row>
    <row r="2616" spans="1:4">
      <c r="A2616" t="str">
        <f t="shared" si="40"/>
        <v>100Expectancy</v>
      </c>
      <c r="B2616">
        <v>100</v>
      </c>
      <c r="C2616" s="9" t="s">
        <v>31</v>
      </c>
      <c r="D2616" s="8">
        <v>0.30399999999999999</v>
      </c>
    </row>
    <row r="2617" spans="1:4">
      <c r="A2617" t="str">
        <f t="shared" si="40"/>
        <v>100Net Profit</v>
      </c>
      <c r="B2617">
        <v>100</v>
      </c>
      <c r="C2617" s="9" t="s">
        <v>32</v>
      </c>
      <c r="D2617" s="8">
        <v>6.1599999999999997E-3</v>
      </c>
    </row>
    <row r="2618" spans="1:4">
      <c r="A2618" t="str">
        <f t="shared" si="40"/>
        <v>100Loss Rate</v>
      </c>
      <c r="B2618">
        <v>100</v>
      </c>
      <c r="C2618" s="9" t="s">
        <v>33</v>
      </c>
      <c r="D2618" s="8">
        <v>0.5</v>
      </c>
    </row>
    <row r="2619" spans="1:4">
      <c r="A2619" t="str">
        <f t="shared" si="40"/>
        <v>100Win Rate</v>
      </c>
      <c r="B2619">
        <v>100</v>
      </c>
      <c r="C2619" s="9" t="s">
        <v>34</v>
      </c>
      <c r="D2619" s="8">
        <v>0.5</v>
      </c>
    </row>
    <row r="2620" spans="1:4">
      <c r="A2620" t="str">
        <f t="shared" si="40"/>
        <v>100Profit-Loss Ratio</v>
      </c>
      <c r="B2620">
        <v>100</v>
      </c>
      <c r="C2620" s="9" t="s">
        <v>26</v>
      </c>
      <c r="D2620" s="8">
        <v>1.61</v>
      </c>
    </row>
    <row r="2621" spans="1:4">
      <c r="A2621" t="str">
        <f t="shared" si="40"/>
        <v>100Alpha</v>
      </c>
      <c r="B2621">
        <v>100</v>
      </c>
      <c r="C2621" s="9" t="s">
        <v>23</v>
      </c>
      <c r="D2621" s="8">
        <v>2E-3</v>
      </c>
    </row>
    <row r="2622" spans="1:4">
      <c r="A2622" t="str">
        <f t="shared" si="40"/>
        <v>100Beta</v>
      </c>
      <c r="B2622">
        <v>100</v>
      </c>
      <c r="C2622" s="9" t="s">
        <v>24</v>
      </c>
      <c r="D2622" s="8">
        <v>7.0000000000000007E-2</v>
      </c>
    </row>
    <row r="2623" spans="1:4">
      <c r="A2623" t="str">
        <f t="shared" si="40"/>
        <v>100Annual Standard Deviation</v>
      </c>
      <c r="B2623">
        <v>100</v>
      </c>
      <c r="C2623" s="9" t="s">
        <v>35</v>
      </c>
      <c r="D2623" s="8">
        <v>1.2E-2</v>
      </c>
    </row>
    <row r="2624" spans="1:4">
      <c r="A2624" t="str">
        <f t="shared" si="40"/>
        <v>100Annual Variance</v>
      </c>
      <c r="B2624">
        <v>100</v>
      </c>
      <c r="C2624" s="9" t="s">
        <v>36</v>
      </c>
      <c r="D2624" s="8">
        <v>0</v>
      </c>
    </row>
    <row r="2625" spans="1:4">
      <c r="A2625" t="str">
        <f t="shared" si="40"/>
        <v>100Information Ratio</v>
      </c>
      <c r="B2625">
        <v>100</v>
      </c>
      <c r="C2625" s="9" t="s">
        <v>37</v>
      </c>
      <c r="D2625" s="8">
        <v>-0.90500000000000003</v>
      </c>
    </row>
    <row r="2626" spans="1:4">
      <c r="A2626" t="str">
        <f t="shared" si="40"/>
        <v>100Tracking Error</v>
      </c>
      <c r="B2626">
        <v>100</v>
      </c>
      <c r="C2626" s="9" t="s">
        <v>38</v>
      </c>
      <c r="D2626" s="8">
        <v>6.3E-2</v>
      </c>
    </row>
    <row r="2627" spans="1:4">
      <c r="A2627" t="str">
        <f t="shared" ref="A2627:A2690" si="41">B2627&amp;C2627</f>
        <v>100Treynor Ratio</v>
      </c>
      <c r="B2627">
        <v>100</v>
      </c>
      <c r="C2627" s="9" t="s">
        <v>39</v>
      </c>
      <c r="D2627" s="8">
        <v>9.5000000000000001E-2</v>
      </c>
    </row>
    <row r="2628" spans="1:4">
      <c r="A2628" t="str">
        <f t="shared" si="41"/>
        <v>100Total Fees</v>
      </c>
      <c r="B2628">
        <v>100</v>
      </c>
      <c r="C2628" s="9" t="s">
        <v>40</v>
      </c>
      <c r="D2628" s="8">
        <v>0</v>
      </c>
    </row>
    <row r="2629" spans="1:4">
      <c r="A2629" t="str">
        <f t="shared" si="41"/>
        <v>100Estimated Strategy Capacity</v>
      </c>
      <c r="B2629">
        <v>100</v>
      </c>
      <c r="C2629" s="9" t="s">
        <v>41</v>
      </c>
      <c r="D2629" s="8">
        <v>150000000</v>
      </c>
    </row>
    <row r="2630" spans="1:4">
      <c r="A2630" t="str">
        <f t="shared" si="41"/>
        <v>99PSR</v>
      </c>
      <c r="B2630">
        <v>99</v>
      </c>
      <c r="C2630" s="9" t="s">
        <v>27</v>
      </c>
      <c r="D2630" s="8">
        <v>0.12551999999999999</v>
      </c>
    </row>
    <row r="2631" spans="1:4">
      <c r="A2631" t="str">
        <f t="shared" si="41"/>
        <v>99Sharpe Ratio</v>
      </c>
      <c r="B2631">
        <v>99</v>
      </c>
      <c r="C2631" s="9" t="s">
        <v>1</v>
      </c>
      <c r="D2631" s="8">
        <v>-0.17499999999999999</v>
      </c>
    </row>
    <row r="2632" spans="1:4">
      <c r="A2632" t="str">
        <f t="shared" si="41"/>
        <v>99Total Trades</v>
      </c>
      <c r="B2632">
        <v>99</v>
      </c>
      <c r="C2632" s="9" t="s">
        <v>28</v>
      </c>
      <c r="D2632" s="8">
        <v>439</v>
      </c>
    </row>
    <row r="2633" spans="1:4">
      <c r="A2633" t="str">
        <f t="shared" si="41"/>
        <v>99Average Win</v>
      </c>
      <c r="B2633">
        <v>99</v>
      </c>
      <c r="C2633" s="9" t="s">
        <v>25</v>
      </c>
      <c r="D2633" s="8">
        <v>0.29949999999999999</v>
      </c>
    </row>
    <row r="2634" spans="1:4">
      <c r="A2634" t="str">
        <f t="shared" si="41"/>
        <v>99Average Loss</v>
      </c>
      <c r="B2634">
        <v>99</v>
      </c>
      <c r="C2634" s="9" t="s">
        <v>29</v>
      </c>
      <c r="D2634" s="8">
        <v>-9.1200000000000003E-2</v>
      </c>
    </row>
    <row r="2635" spans="1:4">
      <c r="A2635" t="str">
        <f t="shared" si="41"/>
        <v>99Compounding Annual Return</v>
      </c>
      <c r="B2635">
        <v>99</v>
      </c>
      <c r="C2635" s="9" t="s">
        <v>30</v>
      </c>
      <c r="D2635" s="8">
        <v>-0.67689999999999995</v>
      </c>
    </row>
    <row r="2636" spans="1:4">
      <c r="A2636" t="str">
        <f t="shared" si="41"/>
        <v>99Drawdown</v>
      </c>
      <c r="B2636">
        <v>99</v>
      </c>
      <c r="C2636" s="9" t="s">
        <v>8</v>
      </c>
      <c r="D2636" s="8">
        <v>0.78700000000000003</v>
      </c>
    </row>
    <row r="2637" spans="1:4">
      <c r="A2637" t="str">
        <f t="shared" si="41"/>
        <v>99Expectancy</v>
      </c>
      <c r="B2637">
        <v>99</v>
      </c>
      <c r="C2637" s="9" t="s">
        <v>31</v>
      </c>
      <c r="D2637" s="8">
        <v>-6.9000000000000006E-2</v>
      </c>
    </row>
    <row r="2638" spans="1:4">
      <c r="A2638" t="str">
        <f t="shared" si="41"/>
        <v>99Net Profit</v>
      </c>
      <c r="B2638">
        <v>99</v>
      </c>
      <c r="C2638" s="9" t="s">
        <v>32</v>
      </c>
      <c r="D2638" s="8">
        <v>-0.51827000000000001</v>
      </c>
    </row>
    <row r="2639" spans="1:4">
      <c r="A2639" t="str">
        <f t="shared" si="41"/>
        <v>99Loss Rate</v>
      </c>
      <c r="B2639">
        <v>99</v>
      </c>
      <c r="C2639" s="9" t="s">
        <v>33</v>
      </c>
      <c r="D2639" s="8">
        <v>0.78</v>
      </c>
    </row>
    <row r="2640" spans="1:4">
      <c r="A2640" t="str">
        <f t="shared" si="41"/>
        <v>99Win Rate</v>
      </c>
      <c r="B2640">
        <v>99</v>
      </c>
      <c r="C2640" s="9" t="s">
        <v>34</v>
      </c>
      <c r="D2640" s="8">
        <v>0.22</v>
      </c>
    </row>
    <row r="2641" spans="1:4">
      <c r="A2641" t="str">
        <f t="shared" si="41"/>
        <v>99Profit-Loss Ratio</v>
      </c>
      <c r="B2641">
        <v>99</v>
      </c>
      <c r="C2641" s="9" t="s">
        <v>26</v>
      </c>
      <c r="D2641" s="8">
        <v>3.28</v>
      </c>
    </row>
    <row r="2642" spans="1:4">
      <c r="A2642" t="str">
        <f t="shared" si="41"/>
        <v>99Alpha</v>
      </c>
      <c r="B2642">
        <v>99</v>
      </c>
      <c r="C2642" s="9" t="s">
        <v>23</v>
      </c>
      <c r="D2642" s="8">
        <v>-0.59099999999999997</v>
      </c>
    </row>
    <row r="2643" spans="1:4">
      <c r="A2643" t="str">
        <f t="shared" si="41"/>
        <v>99Beta</v>
      </c>
      <c r="B2643">
        <v>99</v>
      </c>
      <c r="C2643" s="9" t="s">
        <v>24</v>
      </c>
      <c r="D2643" s="8">
        <v>6.4169999999999998</v>
      </c>
    </row>
    <row r="2644" spans="1:4">
      <c r="A2644" t="str">
        <f t="shared" si="41"/>
        <v>99Annual Standard Deviation</v>
      </c>
      <c r="B2644">
        <v>99</v>
      </c>
      <c r="C2644" s="9" t="s">
        <v>35</v>
      </c>
      <c r="D2644" s="8">
        <v>1.0449999999999999</v>
      </c>
    </row>
    <row r="2645" spans="1:4">
      <c r="A2645" t="str">
        <f t="shared" si="41"/>
        <v>99Annual Variance</v>
      </c>
      <c r="B2645">
        <v>99</v>
      </c>
      <c r="C2645" s="9" t="s">
        <v>36</v>
      </c>
      <c r="D2645" s="8">
        <v>1.0920000000000001</v>
      </c>
    </row>
    <row r="2646" spans="1:4">
      <c r="A2646" t="str">
        <f t="shared" si="41"/>
        <v>99Information Ratio</v>
      </c>
      <c r="B2646">
        <v>99</v>
      </c>
      <c r="C2646" s="9" t="s">
        <v>37</v>
      </c>
      <c r="D2646" s="8">
        <v>-0.24099999999999999</v>
      </c>
    </row>
    <row r="2647" spans="1:4">
      <c r="A2647" t="str">
        <f t="shared" si="41"/>
        <v>99Tracking Error</v>
      </c>
      <c r="B2647">
        <v>99</v>
      </c>
      <c r="C2647" s="9" t="s">
        <v>38</v>
      </c>
      <c r="D2647" s="8">
        <v>1.02</v>
      </c>
    </row>
    <row r="2648" spans="1:4">
      <c r="A2648" t="str">
        <f t="shared" si="41"/>
        <v>99Treynor Ratio</v>
      </c>
      <c r="B2648">
        <v>99</v>
      </c>
      <c r="C2648" s="9" t="s">
        <v>39</v>
      </c>
      <c r="D2648" s="8">
        <v>-2.8000000000000001E-2</v>
      </c>
    </row>
    <row r="2649" spans="1:4">
      <c r="A2649" t="str">
        <f t="shared" si="41"/>
        <v>99Total Fees</v>
      </c>
      <c r="B2649">
        <v>99</v>
      </c>
      <c r="C2649" s="9" t="s">
        <v>40</v>
      </c>
      <c r="D2649" s="8">
        <v>0</v>
      </c>
    </row>
    <row r="2650" spans="1:4">
      <c r="A2650" t="str">
        <f t="shared" si="41"/>
        <v>99Estimated Strategy Capacity</v>
      </c>
      <c r="B2650">
        <v>99</v>
      </c>
      <c r="C2650" s="9" t="s">
        <v>41</v>
      </c>
      <c r="D2650" s="8">
        <v>2100000</v>
      </c>
    </row>
    <row r="2651" spans="1:4">
      <c r="A2651" t="str">
        <f t="shared" si="41"/>
        <v>98PSR</v>
      </c>
      <c r="B2651">
        <v>98</v>
      </c>
      <c r="C2651" s="9" t="s">
        <v>27</v>
      </c>
      <c r="D2651" s="8">
        <v>6.9080000000000003E-2</v>
      </c>
    </row>
    <row r="2652" spans="1:4">
      <c r="A2652" t="str">
        <f t="shared" si="41"/>
        <v>98Sharpe Ratio</v>
      </c>
      <c r="B2652">
        <v>98</v>
      </c>
      <c r="C2652" s="9" t="s">
        <v>1</v>
      </c>
      <c r="D2652" s="8">
        <v>-0.48899999999999999</v>
      </c>
    </row>
    <row r="2653" spans="1:4">
      <c r="A2653" t="str">
        <f t="shared" si="41"/>
        <v>98Total Trades</v>
      </c>
      <c r="B2653">
        <v>98</v>
      </c>
      <c r="C2653" s="9" t="s">
        <v>28</v>
      </c>
      <c r="D2653" s="8">
        <v>472</v>
      </c>
    </row>
    <row r="2654" spans="1:4">
      <c r="A2654" t="str">
        <f t="shared" si="41"/>
        <v>98Average Win</v>
      </c>
      <c r="B2654">
        <v>98</v>
      </c>
      <c r="C2654" s="9" t="s">
        <v>25</v>
      </c>
      <c r="D2654" s="8">
        <v>2.7300000000000001E-2</v>
      </c>
    </row>
    <row r="2655" spans="1:4">
      <c r="A2655" t="str">
        <f t="shared" si="41"/>
        <v>98Average Loss</v>
      </c>
      <c r="B2655">
        <v>98</v>
      </c>
      <c r="C2655" s="9" t="s">
        <v>29</v>
      </c>
      <c r="D2655" s="8">
        <v>-2.7799999999999998E-2</v>
      </c>
    </row>
    <row r="2656" spans="1:4">
      <c r="A2656" t="str">
        <f t="shared" si="41"/>
        <v>98Compounding Annual Return</v>
      </c>
      <c r="B2656">
        <v>98</v>
      </c>
      <c r="C2656" s="9" t="s">
        <v>30</v>
      </c>
      <c r="D2656" s="8">
        <v>-0.15773000000000001</v>
      </c>
    </row>
    <row r="2657" spans="1:4">
      <c r="A2657" t="str">
        <f t="shared" si="41"/>
        <v>98Drawdown</v>
      </c>
      <c r="B2657">
        <v>98</v>
      </c>
      <c r="C2657" s="9" t="s">
        <v>8</v>
      </c>
      <c r="D2657" s="8">
        <v>0.223</v>
      </c>
    </row>
    <row r="2658" spans="1:4">
      <c r="A2658" t="str">
        <f t="shared" si="41"/>
        <v>98Expectancy</v>
      </c>
      <c r="B2658">
        <v>98</v>
      </c>
      <c r="C2658" s="9" t="s">
        <v>31</v>
      </c>
      <c r="D2658" s="8">
        <v>-0.20799999999999999</v>
      </c>
    </row>
    <row r="2659" spans="1:4">
      <c r="A2659" t="str">
        <f t="shared" si="41"/>
        <v>98Net Profit</v>
      </c>
      <c r="B2659">
        <v>98</v>
      </c>
      <c r="C2659" s="9" t="s">
        <v>32</v>
      </c>
      <c r="D2659" s="8">
        <v>-0.10503</v>
      </c>
    </row>
    <row r="2660" spans="1:4">
      <c r="A2660" t="str">
        <f t="shared" si="41"/>
        <v>98Loss Rate</v>
      </c>
      <c r="B2660">
        <v>98</v>
      </c>
      <c r="C2660" s="9" t="s">
        <v>33</v>
      </c>
      <c r="D2660" s="8">
        <v>0.6</v>
      </c>
    </row>
    <row r="2661" spans="1:4">
      <c r="A2661" t="str">
        <f t="shared" si="41"/>
        <v>98Win Rate</v>
      </c>
      <c r="B2661">
        <v>98</v>
      </c>
      <c r="C2661" s="9" t="s">
        <v>34</v>
      </c>
      <c r="D2661" s="8">
        <v>0.4</v>
      </c>
    </row>
    <row r="2662" spans="1:4">
      <c r="A2662" t="str">
        <f t="shared" si="41"/>
        <v>98Profit-Loss Ratio</v>
      </c>
      <c r="B2662">
        <v>98</v>
      </c>
      <c r="C2662" s="9" t="s">
        <v>26</v>
      </c>
      <c r="D2662" s="8">
        <v>0.98</v>
      </c>
    </row>
    <row r="2663" spans="1:4">
      <c r="A2663" t="str">
        <f t="shared" si="41"/>
        <v>98Alpha</v>
      </c>
      <c r="B2663">
        <v>98</v>
      </c>
      <c r="C2663" s="9" t="s">
        <v>23</v>
      </c>
      <c r="D2663" s="8">
        <v>-0.161</v>
      </c>
    </row>
    <row r="2664" spans="1:4">
      <c r="A2664" t="str">
        <f t="shared" si="41"/>
        <v>98Beta</v>
      </c>
      <c r="B2664">
        <v>98</v>
      </c>
      <c r="C2664" s="9" t="s">
        <v>24</v>
      </c>
      <c r="D2664" s="8">
        <v>1.03</v>
      </c>
    </row>
    <row r="2665" spans="1:4">
      <c r="A2665" t="str">
        <f t="shared" si="41"/>
        <v>98Annual Standard Deviation</v>
      </c>
      <c r="B2665">
        <v>98</v>
      </c>
      <c r="C2665" s="9" t="s">
        <v>35</v>
      </c>
      <c r="D2665" s="8">
        <v>0.19400000000000001</v>
      </c>
    </row>
    <row r="2666" spans="1:4">
      <c r="A2666" t="str">
        <f t="shared" si="41"/>
        <v>98Annual Variance</v>
      </c>
      <c r="B2666">
        <v>98</v>
      </c>
      <c r="C2666" s="9" t="s">
        <v>36</v>
      </c>
      <c r="D2666" s="8">
        <v>3.7999999999999999E-2</v>
      </c>
    </row>
    <row r="2667" spans="1:4">
      <c r="A2667" t="str">
        <f t="shared" si="41"/>
        <v>98Information Ratio</v>
      </c>
      <c r="B2667">
        <v>98</v>
      </c>
      <c r="C2667" s="9" t="s">
        <v>37</v>
      </c>
      <c r="D2667" s="8">
        <v>-0.872</v>
      </c>
    </row>
    <row r="2668" spans="1:4">
      <c r="A2668" t="str">
        <f t="shared" si="41"/>
        <v>98Tracking Error</v>
      </c>
      <c r="B2668">
        <v>98</v>
      </c>
      <c r="C2668" s="9" t="s">
        <v>38</v>
      </c>
      <c r="D2668" s="8">
        <v>0.182</v>
      </c>
    </row>
    <row r="2669" spans="1:4">
      <c r="A2669" t="str">
        <f t="shared" si="41"/>
        <v>98Treynor Ratio</v>
      </c>
      <c r="B2669">
        <v>98</v>
      </c>
      <c r="C2669" s="9" t="s">
        <v>39</v>
      </c>
      <c r="D2669" s="8">
        <v>-9.1999999999999998E-2</v>
      </c>
    </row>
    <row r="2670" spans="1:4">
      <c r="A2670" t="str">
        <f t="shared" si="41"/>
        <v>98Total Fees</v>
      </c>
      <c r="B2670">
        <v>98</v>
      </c>
      <c r="C2670" s="9" t="s">
        <v>40</v>
      </c>
      <c r="D2670" s="8">
        <v>0</v>
      </c>
    </row>
    <row r="2671" spans="1:4">
      <c r="A2671" t="str">
        <f t="shared" si="41"/>
        <v>98Estimated Strategy Capacity</v>
      </c>
      <c r="B2671">
        <v>98</v>
      </c>
      <c r="C2671" s="9" t="s">
        <v>41</v>
      </c>
      <c r="D2671" s="8">
        <v>7500000</v>
      </c>
    </row>
    <row r="2672" spans="1:4">
      <c r="A2672" t="str">
        <f t="shared" si="41"/>
        <v>97PSR</v>
      </c>
      <c r="B2672">
        <v>97</v>
      </c>
      <c r="C2672" s="9" t="s">
        <v>27</v>
      </c>
      <c r="D2672" s="8">
        <v>5.1400000000000001E-2</v>
      </c>
    </row>
    <row r="2673" spans="1:4">
      <c r="A2673" t="str">
        <f t="shared" si="41"/>
        <v>97Sharpe Ratio</v>
      </c>
      <c r="B2673">
        <v>97</v>
      </c>
      <c r="C2673" s="9" t="s">
        <v>1</v>
      </c>
      <c r="D2673" s="8">
        <v>-0.629</v>
      </c>
    </row>
    <row r="2674" spans="1:4">
      <c r="A2674" t="str">
        <f t="shared" si="41"/>
        <v>97Total Trades</v>
      </c>
      <c r="B2674">
        <v>97</v>
      </c>
      <c r="C2674" s="9" t="s">
        <v>28</v>
      </c>
      <c r="D2674" s="8">
        <v>472</v>
      </c>
    </row>
    <row r="2675" spans="1:4">
      <c r="A2675" t="str">
        <f t="shared" si="41"/>
        <v>97Average Win</v>
      </c>
      <c r="B2675">
        <v>97</v>
      </c>
      <c r="C2675" s="9" t="s">
        <v>25</v>
      </c>
      <c r="D2675" s="8">
        <v>2.3E-3</v>
      </c>
    </row>
    <row r="2676" spans="1:4">
      <c r="A2676" t="str">
        <f t="shared" si="41"/>
        <v>97Average Loss</v>
      </c>
      <c r="B2676">
        <v>97</v>
      </c>
      <c r="C2676" s="9" t="s">
        <v>29</v>
      </c>
      <c r="D2676" s="8">
        <v>-2.5999999999999999E-3</v>
      </c>
    </row>
    <row r="2677" spans="1:4">
      <c r="A2677" t="str">
        <f t="shared" si="41"/>
        <v>97Compounding Annual Return</v>
      </c>
      <c r="B2677">
        <v>97</v>
      </c>
      <c r="C2677" s="9" t="s">
        <v>30</v>
      </c>
      <c r="D2677" s="8">
        <v>-1.6199999999999999E-2</v>
      </c>
    </row>
    <row r="2678" spans="1:4">
      <c r="A2678" t="str">
        <f t="shared" si="41"/>
        <v>97Drawdown</v>
      </c>
      <c r="B2678">
        <v>97</v>
      </c>
      <c r="C2678" s="9" t="s">
        <v>8</v>
      </c>
      <c r="D2678" s="8">
        <v>2.3E-2</v>
      </c>
    </row>
    <row r="2679" spans="1:4">
      <c r="A2679" t="str">
        <f t="shared" si="41"/>
        <v>97Expectancy</v>
      </c>
      <c r="B2679">
        <v>97</v>
      </c>
      <c r="C2679" s="9" t="s">
        <v>31</v>
      </c>
      <c r="D2679" s="8">
        <v>-0.23599999999999999</v>
      </c>
    </row>
    <row r="2680" spans="1:4">
      <c r="A2680" t="str">
        <f t="shared" si="41"/>
        <v>97Net Profit</v>
      </c>
      <c r="B2680">
        <v>97</v>
      </c>
      <c r="C2680" s="9" t="s">
        <v>32</v>
      </c>
      <c r="D2680" s="8">
        <v>-1.0500000000000001E-2</v>
      </c>
    </row>
    <row r="2681" spans="1:4">
      <c r="A2681" t="str">
        <f t="shared" si="41"/>
        <v>97Loss Rate</v>
      </c>
      <c r="B2681">
        <v>97</v>
      </c>
      <c r="C2681" s="9" t="s">
        <v>33</v>
      </c>
      <c r="D2681" s="8">
        <v>0.6</v>
      </c>
    </row>
    <row r="2682" spans="1:4">
      <c r="A2682" t="str">
        <f t="shared" si="41"/>
        <v>97Win Rate</v>
      </c>
      <c r="B2682">
        <v>97</v>
      </c>
      <c r="C2682" s="9" t="s">
        <v>34</v>
      </c>
      <c r="D2682" s="8">
        <v>0.4</v>
      </c>
    </row>
    <row r="2683" spans="1:4">
      <c r="A2683" t="str">
        <f t="shared" si="41"/>
        <v>97Profit-Loss Ratio</v>
      </c>
      <c r="B2683">
        <v>97</v>
      </c>
      <c r="C2683" s="9" t="s">
        <v>26</v>
      </c>
      <c r="D2683" s="8">
        <v>0.91</v>
      </c>
    </row>
    <row r="2684" spans="1:4">
      <c r="A2684" t="str">
        <f t="shared" si="41"/>
        <v>97Alpha</v>
      </c>
      <c r="B2684">
        <v>97</v>
      </c>
      <c r="C2684" s="9" t="s">
        <v>23</v>
      </c>
      <c r="D2684" s="8">
        <v>-1.7000000000000001E-2</v>
      </c>
    </row>
    <row r="2685" spans="1:4">
      <c r="A2685" t="str">
        <f t="shared" si="41"/>
        <v>97Beta</v>
      </c>
      <c r="B2685">
        <v>97</v>
      </c>
      <c r="C2685" s="9" t="s">
        <v>24</v>
      </c>
      <c r="D2685" s="8">
        <v>9.4E-2</v>
      </c>
    </row>
    <row r="2686" spans="1:4">
      <c r="A2686" t="str">
        <f t="shared" si="41"/>
        <v>97Annual Standard Deviation</v>
      </c>
      <c r="B2686">
        <v>97</v>
      </c>
      <c r="C2686" s="9" t="s">
        <v>35</v>
      </c>
      <c r="D2686" s="8">
        <v>1.7999999999999999E-2</v>
      </c>
    </row>
    <row r="2687" spans="1:4">
      <c r="A2687" t="str">
        <f t="shared" si="41"/>
        <v>97Annual Variance</v>
      </c>
      <c r="B2687">
        <v>97</v>
      </c>
      <c r="C2687" s="9" t="s">
        <v>36</v>
      </c>
      <c r="D2687" s="8">
        <v>0</v>
      </c>
    </row>
    <row r="2688" spans="1:4">
      <c r="A2688" t="str">
        <f t="shared" si="41"/>
        <v>97Information Ratio</v>
      </c>
      <c r="B2688">
        <v>97</v>
      </c>
      <c r="C2688" s="9" t="s">
        <v>37</v>
      </c>
      <c r="D2688" s="8">
        <v>-1.1930000000000001</v>
      </c>
    </row>
    <row r="2689" spans="1:4">
      <c r="A2689" t="str">
        <f t="shared" si="41"/>
        <v>97Tracking Error</v>
      </c>
      <c r="B2689">
        <v>97</v>
      </c>
      <c r="C2689" s="9" t="s">
        <v>38</v>
      </c>
      <c r="D2689" s="8">
        <v>6.3E-2</v>
      </c>
    </row>
    <row r="2690" spans="1:4">
      <c r="A2690" t="str">
        <f t="shared" si="41"/>
        <v>97Treynor Ratio</v>
      </c>
      <c r="B2690">
        <v>97</v>
      </c>
      <c r="C2690" s="9" t="s">
        <v>39</v>
      </c>
      <c r="D2690" s="8">
        <v>-0.11899999999999999</v>
      </c>
    </row>
    <row r="2691" spans="1:4">
      <c r="A2691" t="str">
        <f t="shared" ref="A2691:A2754" si="42">B2691&amp;C2691</f>
        <v>97Total Fees</v>
      </c>
      <c r="B2691">
        <v>97</v>
      </c>
      <c r="C2691" s="9" t="s">
        <v>40</v>
      </c>
      <c r="D2691" s="8">
        <v>0</v>
      </c>
    </row>
    <row r="2692" spans="1:4">
      <c r="A2692" t="str">
        <f t="shared" si="42"/>
        <v>97Estimated Strategy Capacity</v>
      </c>
      <c r="B2692">
        <v>97</v>
      </c>
      <c r="C2692" s="9" t="s">
        <v>41</v>
      </c>
      <c r="D2692" s="8">
        <v>49000000</v>
      </c>
    </row>
    <row r="2693" spans="1:4">
      <c r="A2693" t="str">
        <f t="shared" si="42"/>
        <v>96PSR</v>
      </c>
      <c r="B2693">
        <v>96</v>
      </c>
      <c r="C2693" s="9" t="s">
        <v>27</v>
      </c>
      <c r="D2693" s="8">
        <v>0.31552000000000002</v>
      </c>
    </row>
    <row r="2694" spans="1:4">
      <c r="A2694" t="str">
        <f t="shared" si="42"/>
        <v>96Sharpe Ratio</v>
      </c>
      <c r="B2694">
        <v>96</v>
      </c>
      <c r="C2694" s="9" t="s">
        <v>1</v>
      </c>
      <c r="D2694" s="8">
        <v>0.59899999999999998</v>
      </c>
    </row>
    <row r="2695" spans="1:4">
      <c r="A2695" t="str">
        <f t="shared" si="42"/>
        <v>96Total Trades</v>
      </c>
      <c r="B2695">
        <v>96</v>
      </c>
      <c r="C2695" s="9" t="s">
        <v>28</v>
      </c>
      <c r="D2695" s="8">
        <v>697</v>
      </c>
    </row>
    <row r="2696" spans="1:4">
      <c r="A2696" t="str">
        <f t="shared" si="42"/>
        <v>96Average Win</v>
      </c>
      <c r="B2696">
        <v>96</v>
      </c>
      <c r="C2696" s="9" t="s">
        <v>25</v>
      </c>
      <c r="D2696" s="8">
        <v>0.1084</v>
      </c>
    </row>
    <row r="2697" spans="1:4">
      <c r="A2697" t="str">
        <f t="shared" si="42"/>
        <v>96Average Loss</v>
      </c>
      <c r="B2697">
        <v>96</v>
      </c>
      <c r="C2697" s="9" t="s">
        <v>29</v>
      </c>
      <c r="D2697" s="8">
        <v>-7.6399999999999996E-2</v>
      </c>
    </row>
    <row r="2698" spans="1:4">
      <c r="A2698" t="str">
        <f t="shared" si="42"/>
        <v>96Compounding Annual Return</v>
      </c>
      <c r="B2698">
        <v>96</v>
      </c>
      <c r="C2698" s="9" t="s">
        <v>30</v>
      </c>
      <c r="D2698" s="8">
        <v>0.21239</v>
      </c>
    </row>
    <row r="2699" spans="1:4">
      <c r="A2699" t="str">
        <f t="shared" si="42"/>
        <v>96Drawdown</v>
      </c>
      <c r="B2699">
        <v>96</v>
      </c>
      <c r="C2699" s="9" t="s">
        <v>8</v>
      </c>
      <c r="D2699" s="8">
        <v>0.40899999999999997</v>
      </c>
    </row>
    <row r="2700" spans="1:4">
      <c r="A2700" t="str">
        <f t="shared" si="42"/>
        <v>96Expectancy</v>
      </c>
      <c r="B2700">
        <v>96</v>
      </c>
      <c r="C2700" s="9" t="s">
        <v>31</v>
      </c>
      <c r="D2700" s="8">
        <v>0.157</v>
      </c>
    </row>
    <row r="2701" spans="1:4">
      <c r="A2701" t="str">
        <f t="shared" si="42"/>
        <v>96Net Profit</v>
      </c>
      <c r="B2701">
        <v>96</v>
      </c>
      <c r="C2701" s="9" t="s">
        <v>32</v>
      </c>
      <c r="D2701" s="8">
        <v>0.13259000000000001</v>
      </c>
    </row>
    <row r="2702" spans="1:4">
      <c r="A2702" t="str">
        <f t="shared" si="42"/>
        <v>96Loss Rate</v>
      </c>
      <c r="B2702">
        <v>96</v>
      </c>
      <c r="C2702" s="9" t="s">
        <v>33</v>
      </c>
      <c r="D2702" s="8">
        <v>0.52</v>
      </c>
    </row>
    <row r="2703" spans="1:4">
      <c r="A2703" t="str">
        <f t="shared" si="42"/>
        <v>96Win Rate</v>
      </c>
      <c r="B2703">
        <v>96</v>
      </c>
      <c r="C2703" s="9" t="s">
        <v>34</v>
      </c>
      <c r="D2703" s="8">
        <v>0.48</v>
      </c>
    </row>
    <row r="2704" spans="1:4">
      <c r="A2704" t="str">
        <f t="shared" si="42"/>
        <v>96Profit-Loss Ratio</v>
      </c>
      <c r="B2704">
        <v>96</v>
      </c>
      <c r="C2704" s="9" t="s">
        <v>26</v>
      </c>
      <c r="D2704" s="8">
        <v>1.42</v>
      </c>
    </row>
    <row r="2705" spans="1:4">
      <c r="A2705" t="str">
        <f t="shared" si="42"/>
        <v>96Alpha</v>
      </c>
      <c r="B2705">
        <v>96</v>
      </c>
      <c r="C2705" s="9" t="s">
        <v>23</v>
      </c>
      <c r="D2705" s="8">
        <v>0.13700000000000001</v>
      </c>
    </row>
    <row r="2706" spans="1:4">
      <c r="A2706" t="str">
        <f t="shared" si="42"/>
        <v>96Beta</v>
      </c>
      <c r="B2706">
        <v>96</v>
      </c>
      <c r="C2706" s="9" t="s">
        <v>24</v>
      </c>
      <c r="D2706" s="8">
        <v>3.4239999999999999</v>
      </c>
    </row>
    <row r="2707" spans="1:4">
      <c r="A2707" t="str">
        <f t="shared" si="42"/>
        <v>96Annual Standard Deviation</v>
      </c>
      <c r="B2707">
        <v>96</v>
      </c>
      <c r="C2707" s="9" t="s">
        <v>35</v>
      </c>
      <c r="D2707" s="8">
        <v>0.59299999999999997</v>
      </c>
    </row>
    <row r="2708" spans="1:4">
      <c r="A2708" t="str">
        <f t="shared" si="42"/>
        <v>96Annual Variance</v>
      </c>
      <c r="B2708">
        <v>96</v>
      </c>
      <c r="C2708" s="9" t="s">
        <v>36</v>
      </c>
      <c r="D2708" s="8">
        <v>0.35199999999999998</v>
      </c>
    </row>
    <row r="2709" spans="1:4">
      <c r="A2709" t="str">
        <f t="shared" si="42"/>
        <v>96Information Ratio</v>
      </c>
      <c r="B2709">
        <v>96</v>
      </c>
      <c r="C2709" s="9" t="s">
        <v>37</v>
      </c>
      <c r="D2709" s="8">
        <v>0.51</v>
      </c>
    </row>
    <row r="2710" spans="1:4">
      <c r="A2710" t="str">
        <f t="shared" si="42"/>
        <v>96Tracking Error</v>
      </c>
      <c r="B2710">
        <v>96</v>
      </c>
      <c r="C2710" s="9" t="s">
        <v>38</v>
      </c>
      <c r="D2710" s="8">
        <v>0.57099999999999995</v>
      </c>
    </row>
    <row r="2711" spans="1:4">
      <c r="A2711" t="str">
        <f t="shared" si="42"/>
        <v>96Treynor Ratio</v>
      </c>
      <c r="B2711">
        <v>96</v>
      </c>
      <c r="C2711" s="9" t="s">
        <v>39</v>
      </c>
      <c r="D2711" s="8">
        <v>0.104</v>
      </c>
    </row>
    <row r="2712" spans="1:4">
      <c r="A2712" t="str">
        <f t="shared" si="42"/>
        <v>96Total Fees</v>
      </c>
      <c r="B2712">
        <v>96</v>
      </c>
      <c r="C2712" s="9" t="s">
        <v>40</v>
      </c>
      <c r="D2712" s="8">
        <v>0</v>
      </c>
    </row>
    <row r="2713" spans="1:4">
      <c r="A2713" t="str">
        <f t="shared" si="42"/>
        <v>96Estimated Strategy Capacity</v>
      </c>
      <c r="B2713">
        <v>96</v>
      </c>
      <c r="C2713" s="9" t="s">
        <v>41</v>
      </c>
      <c r="D2713" s="8">
        <v>41000000</v>
      </c>
    </row>
    <row r="2714" spans="1:4">
      <c r="A2714" t="str">
        <f t="shared" si="42"/>
        <v>95PSR</v>
      </c>
      <c r="B2714">
        <v>95</v>
      </c>
      <c r="C2714" s="9" t="s">
        <v>27</v>
      </c>
      <c r="D2714" s="8">
        <v>0.24454000000000001</v>
      </c>
    </row>
    <row r="2715" spans="1:4">
      <c r="A2715" t="str">
        <f t="shared" si="42"/>
        <v>95Sharpe Ratio</v>
      </c>
      <c r="B2715">
        <v>95</v>
      </c>
      <c r="C2715" s="9" t="s">
        <v>1</v>
      </c>
      <c r="D2715" s="8">
        <v>0.29399999999999998</v>
      </c>
    </row>
    <row r="2716" spans="1:4">
      <c r="A2716" t="str">
        <f t="shared" si="42"/>
        <v>95Total Trades</v>
      </c>
      <c r="B2716">
        <v>95</v>
      </c>
      <c r="C2716" s="9" t="s">
        <v>28</v>
      </c>
      <c r="D2716" s="8">
        <v>697</v>
      </c>
    </row>
    <row r="2717" spans="1:4">
      <c r="A2717" t="str">
        <f t="shared" si="42"/>
        <v>95Average Win</v>
      </c>
      <c r="B2717">
        <v>95</v>
      </c>
      <c r="C2717" s="9" t="s">
        <v>25</v>
      </c>
      <c r="D2717" s="8">
        <v>2.0899999999999998E-2</v>
      </c>
    </row>
    <row r="2718" spans="1:4">
      <c r="A2718" t="str">
        <f t="shared" si="42"/>
        <v>95Average Loss</v>
      </c>
      <c r="B2718">
        <v>95</v>
      </c>
      <c r="C2718" s="9" t="s">
        <v>29</v>
      </c>
      <c r="D2718" s="8">
        <v>-1.6500000000000001E-2</v>
      </c>
    </row>
    <row r="2719" spans="1:4">
      <c r="A2719" t="str">
        <f t="shared" si="42"/>
        <v>95Compounding Annual Return</v>
      </c>
      <c r="B2719">
        <v>95</v>
      </c>
      <c r="C2719" s="9" t="s">
        <v>30</v>
      </c>
      <c r="D2719" s="8">
        <v>4.1320000000000003E-2</v>
      </c>
    </row>
    <row r="2720" spans="1:4">
      <c r="A2720" t="str">
        <f t="shared" si="42"/>
        <v>95Drawdown</v>
      </c>
      <c r="B2720">
        <v>95</v>
      </c>
      <c r="C2720" s="9" t="s">
        <v>8</v>
      </c>
      <c r="D2720" s="8">
        <v>0.104</v>
      </c>
    </row>
    <row r="2721" spans="1:4">
      <c r="A2721" t="str">
        <f t="shared" si="42"/>
        <v>95Expectancy</v>
      </c>
      <c r="B2721">
        <v>95</v>
      </c>
      <c r="C2721" s="9" t="s">
        <v>31</v>
      </c>
      <c r="D2721" s="8">
        <v>8.5999999999999993E-2</v>
      </c>
    </row>
    <row r="2722" spans="1:4">
      <c r="A2722" t="str">
        <f t="shared" si="42"/>
        <v>95Net Profit</v>
      </c>
      <c r="B2722">
        <v>95</v>
      </c>
      <c r="C2722" s="9" t="s">
        <v>32</v>
      </c>
      <c r="D2722" s="8">
        <v>2.6519999999999998E-2</v>
      </c>
    </row>
    <row r="2723" spans="1:4">
      <c r="A2723" t="str">
        <f t="shared" si="42"/>
        <v>95Loss Rate</v>
      </c>
      <c r="B2723">
        <v>95</v>
      </c>
      <c r="C2723" s="9" t="s">
        <v>33</v>
      </c>
      <c r="D2723" s="8">
        <v>0.52</v>
      </c>
    </row>
    <row r="2724" spans="1:4">
      <c r="A2724" t="str">
        <f t="shared" si="42"/>
        <v>95Win Rate</v>
      </c>
      <c r="B2724">
        <v>95</v>
      </c>
      <c r="C2724" s="9" t="s">
        <v>34</v>
      </c>
      <c r="D2724" s="8">
        <v>0.48</v>
      </c>
    </row>
    <row r="2725" spans="1:4">
      <c r="A2725" t="str">
        <f t="shared" si="42"/>
        <v>95Profit-Loss Ratio</v>
      </c>
      <c r="B2725">
        <v>95</v>
      </c>
      <c r="C2725" s="9" t="s">
        <v>26</v>
      </c>
      <c r="D2725" s="8">
        <v>1.27</v>
      </c>
    </row>
    <row r="2726" spans="1:4">
      <c r="A2726" t="str">
        <f t="shared" si="42"/>
        <v>95Alpha</v>
      </c>
      <c r="B2726">
        <v>95</v>
      </c>
      <c r="C2726" s="9" t="s">
        <v>23</v>
      </c>
      <c r="D2726" s="8">
        <v>-0.01</v>
      </c>
    </row>
    <row r="2727" spans="1:4">
      <c r="A2727" t="str">
        <f t="shared" si="42"/>
        <v>95Beta</v>
      </c>
      <c r="B2727">
        <v>95</v>
      </c>
      <c r="C2727" s="9" t="s">
        <v>24</v>
      </c>
      <c r="D2727" s="8">
        <v>0.72499999999999998</v>
      </c>
    </row>
    <row r="2728" spans="1:4">
      <c r="A2728" t="str">
        <f t="shared" si="42"/>
        <v>95Annual Standard Deviation</v>
      </c>
      <c r="B2728">
        <v>95</v>
      </c>
      <c r="C2728" s="9" t="s">
        <v>35</v>
      </c>
      <c r="D2728" s="8">
        <v>0.123</v>
      </c>
    </row>
    <row r="2729" spans="1:4">
      <c r="A2729" t="str">
        <f t="shared" si="42"/>
        <v>95Annual Variance</v>
      </c>
      <c r="B2729">
        <v>95</v>
      </c>
      <c r="C2729" s="9" t="s">
        <v>36</v>
      </c>
      <c r="D2729" s="8">
        <v>1.4999999999999999E-2</v>
      </c>
    </row>
    <row r="2730" spans="1:4">
      <c r="A2730" t="str">
        <f t="shared" si="42"/>
        <v>95Information Ratio</v>
      </c>
      <c r="B2730">
        <v>95</v>
      </c>
      <c r="C2730" s="9" t="s">
        <v>37</v>
      </c>
      <c r="D2730" s="8">
        <v>-0.23899999999999999</v>
      </c>
    </row>
    <row r="2731" spans="1:4">
      <c r="A2731" t="str">
        <f t="shared" si="42"/>
        <v>95Tracking Error</v>
      </c>
      <c r="B2731">
        <v>95</v>
      </c>
      <c r="C2731" s="9" t="s">
        <v>38</v>
      </c>
      <c r="D2731" s="8">
        <v>0.115</v>
      </c>
    </row>
    <row r="2732" spans="1:4">
      <c r="A2732" t="str">
        <f t="shared" si="42"/>
        <v>95Treynor Ratio</v>
      </c>
      <c r="B2732">
        <v>95</v>
      </c>
      <c r="C2732" s="9" t="s">
        <v>39</v>
      </c>
      <c r="D2732" s="8">
        <v>0.05</v>
      </c>
    </row>
    <row r="2733" spans="1:4">
      <c r="A2733" t="str">
        <f t="shared" si="42"/>
        <v>95Total Fees</v>
      </c>
      <c r="B2733">
        <v>95</v>
      </c>
      <c r="C2733" s="9" t="s">
        <v>40</v>
      </c>
      <c r="D2733" s="8">
        <v>0</v>
      </c>
    </row>
    <row r="2734" spans="1:4">
      <c r="A2734" t="str">
        <f t="shared" si="42"/>
        <v>95Estimated Strategy Capacity</v>
      </c>
      <c r="B2734">
        <v>95</v>
      </c>
      <c r="C2734" s="9" t="s">
        <v>41</v>
      </c>
      <c r="D2734" s="8">
        <v>180000000</v>
      </c>
    </row>
    <row r="2735" spans="1:4">
      <c r="A2735" t="str">
        <f t="shared" si="42"/>
        <v>94PSR</v>
      </c>
      <c r="B2735">
        <v>94</v>
      </c>
      <c r="C2735" s="9" t="s">
        <v>27</v>
      </c>
      <c r="D2735" s="8">
        <v>0.22853999999999999</v>
      </c>
    </row>
    <row r="2736" spans="1:4">
      <c r="A2736" t="str">
        <f t="shared" si="42"/>
        <v>94Sharpe Ratio</v>
      </c>
      <c r="B2736">
        <v>94</v>
      </c>
      <c r="C2736" s="9" t="s">
        <v>1</v>
      </c>
      <c r="D2736" s="8">
        <v>0.23400000000000001</v>
      </c>
    </row>
    <row r="2737" spans="1:4">
      <c r="A2737" t="str">
        <f t="shared" si="42"/>
        <v>94Total Trades</v>
      </c>
      <c r="B2737">
        <v>94</v>
      </c>
      <c r="C2737" s="9" t="s">
        <v>28</v>
      </c>
      <c r="D2737" s="8">
        <v>697</v>
      </c>
    </row>
    <row r="2738" spans="1:4">
      <c r="A2738" t="str">
        <f t="shared" si="42"/>
        <v>94Average Win</v>
      </c>
      <c r="B2738">
        <v>94</v>
      </c>
      <c r="C2738" s="9" t="s">
        <v>25</v>
      </c>
      <c r="D2738" s="8">
        <v>2.0999999999999999E-3</v>
      </c>
    </row>
    <row r="2739" spans="1:4">
      <c r="A2739" t="str">
        <f t="shared" si="42"/>
        <v>94Average Loss</v>
      </c>
      <c r="B2739">
        <v>94</v>
      </c>
      <c r="C2739" s="9" t="s">
        <v>29</v>
      </c>
      <c r="D2739" s="8">
        <v>-1.6999999999999999E-3</v>
      </c>
    </row>
    <row r="2740" spans="1:4">
      <c r="A2740" t="str">
        <f t="shared" si="42"/>
        <v>94Compounding Annual Return</v>
      </c>
      <c r="B2740">
        <v>94</v>
      </c>
      <c r="C2740" s="9" t="s">
        <v>30</v>
      </c>
      <c r="D2740" s="8">
        <v>4.1000000000000003E-3</v>
      </c>
    </row>
    <row r="2741" spans="1:4">
      <c r="A2741" t="str">
        <f t="shared" si="42"/>
        <v>94Drawdown</v>
      </c>
      <c r="B2741">
        <v>94</v>
      </c>
      <c r="C2741" s="9" t="s">
        <v>8</v>
      </c>
      <c r="D2741" s="8">
        <v>1.0999999999999999E-2</v>
      </c>
    </row>
    <row r="2742" spans="1:4">
      <c r="A2742" t="str">
        <f t="shared" si="42"/>
        <v>94Expectancy</v>
      </c>
      <c r="B2742">
        <v>94</v>
      </c>
      <c r="C2742" s="9" t="s">
        <v>31</v>
      </c>
      <c r="D2742" s="8">
        <v>7.0999999999999994E-2</v>
      </c>
    </row>
    <row r="2743" spans="1:4">
      <c r="A2743" t="str">
        <f t="shared" si="42"/>
        <v>94Net Profit</v>
      </c>
      <c r="B2743">
        <v>94</v>
      </c>
      <c r="C2743" s="9" t="s">
        <v>32</v>
      </c>
      <c r="D2743" s="8">
        <v>2.65E-3</v>
      </c>
    </row>
    <row r="2744" spans="1:4">
      <c r="A2744" t="str">
        <f t="shared" si="42"/>
        <v>94Loss Rate</v>
      </c>
      <c r="B2744">
        <v>94</v>
      </c>
      <c r="C2744" s="9" t="s">
        <v>33</v>
      </c>
      <c r="D2744" s="8">
        <v>0.52</v>
      </c>
    </row>
    <row r="2745" spans="1:4">
      <c r="A2745" t="str">
        <f t="shared" si="42"/>
        <v>94Win Rate</v>
      </c>
      <c r="B2745">
        <v>94</v>
      </c>
      <c r="C2745" s="9" t="s">
        <v>34</v>
      </c>
      <c r="D2745" s="8">
        <v>0.48</v>
      </c>
    </row>
    <row r="2746" spans="1:4">
      <c r="A2746" t="str">
        <f t="shared" si="42"/>
        <v>94Profit-Loss Ratio</v>
      </c>
      <c r="B2746">
        <v>94</v>
      </c>
      <c r="C2746" s="9" t="s">
        <v>26</v>
      </c>
      <c r="D2746" s="8">
        <v>1.24</v>
      </c>
    </row>
    <row r="2747" spans="1:4">
      <c r="A2747" t="str">
        <f t="shared" si="42"/>
        <v>94Alpha</v>
      </c>
      <c r="B2747">
        <v>94</v>
      </c>
      <c r="C2747" s="9" t="s">
        <v>23</v>
      </c>
      <c r="D2747" s="8">
        <v>-2E-3</v>
      </c>
    </row>
    <row r="2748" spans="1:4">
      <c r="A2748" t="str">
        <f t="shared" si="42"/>
        <v>94Beta</v>
      </c>
      <c r="B2748">
        <v>94</v>
      </c>
      <c r="C2748" s="9" t="s">
        <v>24</v>
      </c>
      <c r="D2748" s="8">
        <v>7.3999999999999996E-2</v>
      </c>
    </row>
    <row r="2749" spans="1:4">
      <c r="A2749" t="str">
        <f t="shared" si="42"/>
        <v>94Annual Standard Deviation</v>
      </c>
      <c r="B2749">
        <v>94</v>
      </c>
      <c r="C2749" s="9" t="s">
        <v>35</v>
      </c>
      <c r="D2749" s="8">
        <v>1.2E-2</v>
      </c>
    </row>
    <row r="2750" spans="1:4">
      <c r="A2750" t="str">
        <f t="shared" si="42"/>
        <v>94Annual Variance</v>
      </c>
      <c r="B2750">
        <v>94</v>
      </c>
      <c r="C2750" s="9" t="s">
        <v>36</v>
      </c>
      <c r="D2750" s="8">
        <v>0</v>
      </c>
    </row>
    <row r="2751" spans="1:4">
      <c r="A2751" t="str">
        <f t="shared" si="42"/>
        <v>94Information Ratio</v>
      </c>
      <c r="B2751">
        <v>94</v>
      </c>
      <c r="C2751" s="9" t="s">
        <v>37</v>
      </c>
      <c r="D2751" s="8">
        <v>-0.96599999999999997</v>
      </c>
    </row>
    <row r="2752" spans="1:4">
      <c r="A2752" t="str">
        <f t="shared" si="42"/>
        <v>94Tracking Error</v>
      </c>
      <c r="B2752">
        <v>94</v>
      </c>
      <c r="C2752" s="9" t="s">
        <v>38</v>
      </c>
      <c r="D2752" s="8">
        <v>6.3E-2</v>
      </c>
    </row>
    <row r="2753" spans="1:4">
      <c r="A2753" t="str">
        <f t="shared" si="42"/>
        <v>94Treynor Ratio</v>
      </c>
      <c r="B2753">
        <v>94</v>
      </c>
      <c r="C2753" s="9" t="s">
        <v>39</v>
      </c>
      <c r="D2753" s="8">
        <v>0.04</v>
      </c>
    </row>
    <row r="2754" spans="1:4">
      <c r="A2754" t="str">
        <f t="shared" si="42"/>
        <v>94Total Fees</v>
      </c>
      <c r="B2754">
        <v>94</v>
      </c>
      <c r="C2754" s="9" t="s">
        <v>40</v>
      </c>
      <c r="D2754" s="8">
        <v>0</v>
      </c>
    </row>
    <row r="2755" spans="1:4">
      <c r="A2755" t="str">
        <f t="shared" ref="A2755:A2818" si="43">B2755&amp;C2755</f>
        <v>94Estimated Strategy Capacity</v>
      </c>
      <c r="B2755">
        <v>94</v>
      </c>
      <c r="C2755" s="9" t="s">
        <v>41</v>
      </c>
      <c r="D2755" s="8">
        <v>1700000000</v>
      </c>
    </row>
    <row r="2756" spans="1:4">
      <c r="A2756" t="str">
        <f t="shared" si="43"/>
        <v>93PSR</v>
      </c>
      <c r="B2756">
        <v>93</v>
      </c>
      <c r="C2756" s="9" t="s">
        <v>27</v>
      </c>
      <c r="D2756" s="8">
        <v>0.27012000000000003</v>
      </c>
    </row>
    <row r="2757" spans="1:4">
      <c r="A2757" t="str">
        <f t="shared" si="43"/>
        <v>93Sharpe Ratio</v>
      </c>
      <c r="B2757">
        <v>93</v>
      </c>
      <c r="C2757" s="9" t="s">
        <v>1</v>
      </c>
      <c r="D2757" s="8">
        <v>0.434</v>
      </c>
    </row>
    <row r="2758" spans="1:4">
      <c r="A2758" t="str">
        <f t="shared" si="43"/>
        <v>93Total Trades</v>
      </c>
      <c r="B2758">
        <v>93</v>
      </c>
      <c r="C2758" s="9" t="s">
        <v>28</v>
      </c>
      <c r="D2758" s="8">
        <v>1114</v>
      </c>
    </row>
    <row r="2759" spans="1:4">
      <c r="A2759" t="str">
        <f t="shared" si="43"/>
        <v>93Average Win</v>
      </c>
      <c r="B2759">
        <v>93</v>
      </c>
      <c r="C2759" s="9" t="s">
        <v>25</v>
      </c>
      <c r="D2759" s="8">
        <v>0.11459999999999999</v>
      </c>
    </row>
    <row r="2760" spans="1:4">
      <c r="A2760" t="str">
        <f t="shared" si="43"/>
        <v>93Average Loss</v>
      </c>
      <c r="B2760">
        <v>93</v>
      </c>
      <c r="C2760" s="9" t="s">
        <v>29</v>
      </c>
      <c r="D2760" s="8">
        <v>-7.5200000000000003E-2</v>
      </c>
    </row>
    <row r="2761" spans="1:4">
      <c r="A2761" t="str">
        <f t="shared" si="43"/>
        <v>93Compounding Annual Return</v>
      </c>
      <c r="B2761">
        <v>93</v>
      </c>
      <c r="C2761" s="9" t="s">
        <v>30</v>
      </c>
      <c r="D2761" s="8">
        <v>-0.24571000000000001</v>
      </c>
    </row>
    <row r="2762" spans="1:4">
      <c r="A2762" t="str">
        <f t="shared" si="43"/>
        <v>93Drawdown</v>
      </c>
      <c r="B2762">
        <v>93</v>
      </c>
      <c r="C2762" s="9" t="s">
        <v>8</v>
      </c>
      <c r="D2762" s="8">
        <v>0.70199999999999996</v>
      </c>
    </row>
    <row r="2763" spans="1:4">
      <c r="A2763" t="str">
        <f t="shared" si="43"/>
        <v>93Expectancy</v>
      </c>
      <c r="B2763">
        <v>93</v>
      </c>
      <c r="C2763" s="9" t="s">
        <v>31</v>
      </c>
      <c r="D2763" s="8">
        <v>0.09</v>
      </c>
    </row>
    <row r="2764" spans="1:4">
      <c r="A2764" t="str">
        <f t="shared" si="43"/>
        <v>93Net Profit</v>
      </c>
      <c r="B2764">
        <v>93</v>
      </c>
      <c r="C2764" s="9" t="s">
        <v>32</v>
      </c>
      <c r="D2764" s="8">
        <v>-0.16664000000000001</v>
      </c>
    </row>
    <row r="2765" spans="1:4">
      <c r="A2765" t="str">
        <f t="shared" si="43"/>
        <v>93Loss Rate</v>
      </c>
      <c r="B2765">
        <v>93</v>
      </c>
      <c r="C2765" s="9" t="s">
        <v>33</v>
      </c>
      <c r="D2765" s="8">
        <v>0.56999999999999995</v>
      </c>
    </row>
    <row r="2766" spans="1:4">
      <c r="A2766" t="str">
        <f t="shared" si="43"/>
        <v>93Win Rate</v>
      </c>
      <c r="B2766">
        <v>93</v>
      </c>
      <c r="C2766" s="9" t="s">
        <v>34</v>
      </c>
      <c r="D2766" s="8">
        <v>0.43</v>
      </c>
    </row>
    <row r="2767" spans="1:4">
      <c r="A2767" t="str">
        <f t="shared" si="43"/>
        <v>93Profit-Loss Ratio</v>
      </c>
      <c r="B2767">
        <v>93</v>
      </c>
      <c r="C2767" s="9" t="s">
        <v>26</v>
      </c>
      <c r="D2767" s="8">
        <v>1.52</v>
      </c>
    </row>
    <row r="2768" spans="1:4">
      <c r="A2768" t="str">
        <f t="shared" si="43"/>
        <v>93Alpha</v>
      </c>
      <c r="B2768">
        <v>93</v>
      </c>
      <c r="C2768" s="9" t="s">
        <v>23</v>
      </c>
      <c r="D2768" s="8">
        <v>1.4E-2</v>
      </c>
    </row>
    <row r="2769" spans="1:4">
      <c r="A2769" t="str">
        <f t="shared" si="43"/>
        <v>93Beta</v>
      </c>
      <c r="B2769">
        <v>93</v>
      </c>
      <c r="C2769" s="9" t="s">
        <v>24</v>
      </c>
      <c r="D2769" s="8">
        <v>6.742</v>
      </c>
    </row>
    <row r="2770" spans="1:4">
      <c r="A2770" t="str">
        <f t="shared" si="43"/>
        <v>93Annual Standard Deviation</v>
      </c>
      <c r="B2770">
        <v>93</v>
      </c>
      <c r="C2770" s="9" t="s">
        <v>35</v>
      </c>
      <c r="D2770" s="8">
        <v>1.0209999999999999</v>
      </c>
    </row>
    <row r="2771" spans="1:4">
      <c r="A2771" t="str">
        <f t="shared" si="43"/>
        <v>93Annual Variance</v>
      </c>
      <c r="B2771">
        <v>93</v>
      </c>
      <c r="C2771" s="9" t="s">
        <v>36</v>
      </c>
      <c r="D2771" s="8">
        <v>1.0429999999999999</v>
      </c>
    </row>
    <row r="2772" spans="1:4">
      <c r="A2772" t="str">
        <f t="shared" si="43"/>
        <v>93Information Ratio</v>
      </c>
      <c r="B2772">
        <v>93</v>
      </c>
      <c r="C2772" s="9" t="s">
        <v>37</v>
      </c>
      <c r="D2772" s="8">
        <v>0.38200000000000001</v>
      </c>
    </row>
    <row r="2773" spans="1:4">
      <c r="A2773" t="str">
        <f t="shared" si="43"/>
        <v>93Tracking Error</v>
      </c>
      <c r="B2773">
        <v>93</v>
      </c>
      <c r="C2773" s="9" t="s">
        <v>38</v>
      </c>
      <c r="D2773" s="8">
        <v>0.99299999999999999</v>
      </c>
    </row>
    <row r="2774" spans="1:4">
      <c r="A2774" t="str">
        <f t="shared" si="43"/>
        <v>93Treynor Ratio</v>
      </c>
      <c r="B2774">
        <v>93</v>
      </c>
      <c r="C2774" s="9" t="s">
        <v>39</v>
      </c>
      <c r="D2774" s="8">
        <v>6.6000000000000003E-2</v>
      </c>
    </row>
    <row r="2775" spans="1:4">
      <c r="A2775" t="str">
        <f t="shared" si="43"/>
        <v>93Total Fees</v>
      </c>
      <c r="B2775">
        <v>93</v>
      </c>
      <c r="C2775" s="9" t="s">
        <v>40</v>
      </c>
      <c r="D2775" s="8">
        <v>0</v>
      </c>
    </row>
    <row r="2776" spans="1:4">
      <c r="A2776" t="str">
        <f t="shared" si="43"/>
        <v>93Estimated Strategy Capacity</v>
      </c>
      <c r="B2776">
        <v>93</v>
      </c>
      <c r="C2776" s="9" t="s">
        <v>41</v>
      </c>
      <c r="D2776" s="8">
        <v>1400000</v>
      </c>
    </row>
    <row r="2777" spans="1:4">
      <c r="A2777" t="str">
        <f t="shared" si="43"/>
        <v>92PSR</v>
      </c>
      <c r="B2777">
        <v>92</v>
      </c>
      <c r="C2777" s="9" t="s">
        <v>27</v>
      </c>
      <c r="D2777" s="8">
        <v>0.22938</v>
      </c>
    </row>
    <row r="2778" spans="1:4">
      <c r="A2778" t="str">
        <f t="shared" si="43"/>
        <v>92Sharpe Ratio</v>
      </c>
      <c r="B2778">
        <v>92</v>
      </c>
      <c r="C2778" s="9" t="s">
        <v>1</v>
      </c>
      <c r="D2778" s="8">
        <v>0.22700000000000001</v>
      </c>
    </row>
    <row r="2779" spans="1:4">
      <c r="A2779" t="str">
        <f t="shared" si="43"/>
        <v>92Total Trades</v>
      </c>
      <c r="B2779">
        <v>92</v>
      </c>
      <c r="C2779" s="9" t="s">
        <v>28</v>
      </c>
      <c r="D2779" s="8">
        <v>1133</v>
      </c>
    </row>
    <row r="2780" spans="1:4">
      <c r="A2780" t="str">
        <f t="shared" si="43"/>
        <v>92Average Win</v>
      </c>
      <c r="B2780">
        <v>92</v>
      </c>
      <c r="C2780" s="9" t="s">
        <v>25</v>
      </c>
      <c r="D2780" s="8">
        <v>1.7899999999999999E-2</v>
      </c>
    </row>
    <row r="2781" spans="1:4">
      <c r="A2781" t="str">
        <f t="shared" si="43"/>
        <v>92Average Loss</v>
      </c>
      <c r="B2781">
        <v>92</v>
      </c>
      <c r="C2781" s="9" t="s">
        <v>29</v>
      </c>
      <c r="D2781" s="8">
        <v>-1.6199999999999999E-2</v>
      </c>
    </row>
    <row r="2782" spans="1:4">
      <c r="A2782" t="str">
        <f t="shared" si="43"/>
        <v>92Compounding Annual Return</v>
      </c>
      <c r="B2782">
        <v>92</v>
      </c>
      <c r="C2782" s="9" t="s">
        <v>30</v>
      </c>
      <c r="D2782" s="8">
        <v>3.5279999999999999E-2</v>
      </c>
    </row>
    <row r="2783" spans="1:4">
      <c r="A2783" t="str">
        <f t="shared" si="43"/>
        <v>92Drawdown</v>
      </c>
      <c r="B2783">
        <v>92</v>
      </c>
      <c r="C2783" s="9" t="s">
        <v>8</v>
      </c>
      <c r="D2783" s="8">
        <v>0.193</v>
      </c>
    </row>
    <row r="2784" spans="1:4">
      <c r="A2784" t="str">
        <f t="shared" si="43"/>
        <v>92Expectancy</v>
      </c>
      <c r="B2784">
        <v>92</v>
      </c>
      <c r="C2784" s="9" t="s">
        <v>31</v>
      </c>
      <c r="D2784" s="8">
        <v>0.08</v>
      </c>
    </row>
    <row r="2785" spans="1:4">
      <c r="A2785" t="str">
        <f t="shared" si="43"/>
        <v>92Net Profit</v>
      </c>
      <c r="B2785">
        <v>92</v>
      </c>
      <c r="C2785" s="9" t="s">
        <v>32</v>
      </c>
      <c r="D2785" s="8">
        <v>2.2669999999999999E-2</v>
      </c>
    </row>
    <row r="2786" spans="1:4">
      <c r="A2786" t="str">
        <f t="shared" si="43"/>
        <v>92Loss Rate</v>
      </c>
      <c r="B2786">
        <v>92</v>
      </c>
      <c r="C2786" s="9" t="s">
        <v>33</v>
      </c>
      <c r="D2786" s="8">
        <v>0.49</v>
      </c>
    </row>
    <row r="2787" spans="1:4">
      <c r="A2787" t="str">
        <f t="shared" si="43"/>
        <v>92Win Rate</v>
      </c>
      <c r="B2787">
        <v>92</v>
      </c>
      <c r="C2787" s="9" t="s">
        <v>34</v>
      </c>
      <c r="D2787" s="8">
        <v>0.51</v>
      </c>
    </row>
    <row r="2788" spans="1:4">
      <c r="A2788" t="str">
        <f t="shared" si="43"/>
        <v>92Profit-Loss Ratio</v>
      </c>
      <c r="B2788">
        <v>92</v>
      </c>
      <c r="C2788" s="9" t="s">
        <v>26</v>
      </c>
      <c r="D2788" s="8">
        <v>1.1000000000000001</v>
      </c>
    </row>
    <row r="2789" spans="1:4">
      <c r="A2789" t="str">
        <f t="shared" si="43"/>
        <v>92Alpha</v>
      </c>
      <c r="B2789">
        <v>92</v>
      </c>
      <c r="C2789" s="9" t="s">
        <v>23</v>
      </c>
      <c r="D2789" s="8">
        <v>-3.3000000000000002E-2</v>
      </c>
    </row>
    <row r="2790" spans="1:4">
      <c r="A2790" t="str">
        <f t="shared" si="43"/>
        <v>92Beta</v>
      </c>
      <c r="B2790">
        <v>92</v>
      </c>
      <c r="C2790" s="9" t="s">
        <v>24</v>
      </c>
      <c r="D2790" s="8">
        <v>1.2</v>
      </c>
    </row>
    <row r="2791" spans="1:4">
      <c r="A2791" t="str">
        <f t="shared" si="43"/>
        <v>92Annual Standard Deviation</v>
      </c>
      <c r="B2791">
        <v>92</v>
      </c>
      <c r="C2791" s="9" t="s">
        <v>35</v>
      </c>
      <c r="D2791" s="8">
        <v>0.191</v>
      </c>
    </row>
    <row r="2792" spans="1:4">
      <c r="A2792" t="str">
        <f t="shared" si="43"/>
        <v>92Annual Variance</v>
      </c>
      <c r="B2792">
        <v>92</v>
      </c>
      <c r="C2792" s="9" t="s">
        <v>36</v>
      </c>
      <c r="D2792" s="8">
        <v>3.6999999999999998E-2</v>
      </c>
    </row>
    <row r="2793" spans="1:4">
      <c r="A2793" t="str">
        <f t="shared" si="43"/>
        <v>92Information Ratio</v>
      </c>
      <c r="B2793">
        <v>92</v>
      </c>
      <c r="C2793" s="9" t="s">
        <v>37</v>
      </c>
      <c r="D2793" s="8">
        <v>-0.11600000000000001</v>
      </c>
    </row>
    <row r="2794" spans="1:4">
      <c r="A2794" t="str">
        <f t="shared" si="43"/>
        <v>92Tracking Error</v>
      </c>
      <c r="B2794">
        <v>92</v>
      </c>
      <c r="C2794" s="9" t="s">
        <v>38</v>
      </c>
      <c r="D2794" s="8">
        <v>0.17399999999999999</v>
      </c>
    </row>
    <row r="2795" spans="1:4">
      <c r="A2795" t="str">
        <f t="shared" si="43"/>
        <v>92Treynor Ratio</v>
      </c>
      <c r="B2795">
        <v>92</v>
      </c>
      <c r="C2795" s="9" t="s">
        <v>39</v>
      </c>
      <c r="D2795" s="8">
        <v>3.5999999999999997E-2</v>
      </c>
    </row>
    <row r="2796" spans="1:4">
      <c r="A2796" t="str">
        <f t="shared" si="43"/>
        <v>92Total Fees</v>
      </c>
      <c r="B2796">
        <v>92</v>
      </c>
      <c r="C2796" s="9" t="s">
        <v>40</v>
      </c>
      <c r="D2796" s="8">
        <v>0</v>
      </c>
    </row>
    <row r="2797" spans="1:4">
      <c r="A2797" t="str">
        <f t="shared" si="43"/>
        <v>92Estimated Strategy Capacity</v>
      </c>
      <c r="B2797">
        <v>92</v>
      </c>
      <c r="C2797" s="9" t="s">
        <v>41</v>
      </c>
      <c r="D2797" s="8">
        <v>4100000</v>
      </c>
    </row>
    <row r="2798" spans="1:4">
      <c r="A2798" t="str">
        <f t="shared" si="43"/>
        <v>91PSR</v>
      </c>
      <c r="B2798">
        <v>91</v>
      </c>
      <c r="C2798" s="9" t="s">
        <v>27</v>
      </c>
      <c r="D2798" s="8">
        <v>0.20558000000000001</v>
      </c>
    </row>
    <row r="2799" spans="1:4">
      <c r="A2799" t="str">
        <f t="shared" si="43"/>
        <v>91Sharpe Ratio</v>
      </c>
      <c r="B2799">
        <v>91</v>
      </c>
      <c r="C2799" s="9" t="s">
        <v>1</v>
      </c>
      <c r="D2799" s="8">
        <v>0.13900000000000001</v>
      </c>
    </row>
    <row r="2800" spans="1:4">
      <c r="A2800" t="str">
        <f t="shared" si="43"/>
        <v>91Total Trades</v>
      </c>
      <c r="B2800">
        <v>91</v>
      </c>
      <c r="C2800" s="9" t="s">
        <v>28</v>
      </c>
      <c r="D2800" s="8">
        <v>1133</v>
      </c>
    </row>
    <row r="2801" spans="1:4">
      <c r="A2801" t="str">
        <f t="shared" si="43"/>
        <v>91Average Win</v>
      </c>
      <c r="B2801">
        <v>91</v>
      </c>
      <c r="C2801" s="9" t="s">
        <v>25</v>
      </c>
      <c r="D2801" s="8">
        <v>1.8E-3</v>
      </c>
    </row>
    <row r="2802" spans="1:4">
      <c r="A2802" t="str">
        <f t="shared" si="43"/>
        <v>91Average Loss</v>
      </c>
      <c r="B2802">
        <v>91</v>
      </c>
      <c r="C2802" s="9" t="s">
        <v>29</v>
      </c>
      <c r="D2802" s="8">
        <v>-1.6000000000000001E-3</v>
      </c>
    </row>
    <row r="2803" spans="1:4">
      <c r="A2803" t="str">
        <f t="shared" si="43"/>
        <v>91Compounding Annual Return</v>
      </c>
      <c r="B2803">
        <v>91</v>
      </c>
      <c r="C2803" s="9" t="s">
        <v>30</v>
      </c>
      <c r="D2803" s="8">
        <v>3.5100000000000001E-3</v>
      </c>
    </row>
    <row r="2804" spans="1:4">
      <c r="A2804" t="str">
        <f t="shared" si="43"/>
        <v>91Drawdown</v>
      </c>
      <c r="B2804">
        <v>91</v>
      </c>
      <c r="C2804" s="9" t="s">
        <v>8</v>
      </c>
      <c r="D2804" s="8">
        <v>0.02</v>
      </c>
    </row>
    <row r="2805" spans="1:4">
      <c r="A2805" t="str">
        <f t="shared" si="43"/>
        <v>91Expectancy</v>
      </c>
      <c r="B2805">
        <v>91</v>
      </c>
      <c r="C2805" s="9" t="s">
        <v>31</v>
      </c>
      <c r="D2805" s="8">
        <v>6.5000000000000002E-2</v>
      </c>
    </row>
    <row r="2806" spans="1:4">
      <c r="A2806" t="str">
        <f t="shared" si="43"/>
        <v>91Net Profit</v>
      </c>
      <c r="B2806">
        <v>91</v>
      </c>
      <c r="C2806" s="9" t="s">
        <v>32</v>
      </c>
      <c r="D2806" s="8">
        <v>2.2699999999999999E-3</v>
      </c>
    </row>
    <row r="2807" spans="1:4">
      <c r="A2807" t="str">
        <f t="shared" si="43"/>
        <v>91Loss Rate</v>
      </c>
      <c r="B2807">
        <v>91</v>
      </c>
      <c r="C2807" s="9" t="s">
        <v>33</v>
      </c>
      <c r="D2807" s="8">
        <v>0.49</v>
      </c>
    </row>
    <row r="2808" spans="1:4">
      <c r="A2808" t="str">
        <f t="shared" si="43"/>
        <v>91Win Rate</v>
      </c>
      <c r="B2808">
        <v>91</v>
      </c>
      <c r="C2808" s="9" t="s">
        <v>34</v>
      </c>
      <c r="D2808" s="8">
        <v>0.51</v>
      </c>
    </row>
    <row r="2809" spans="1:4">
      <c r="A2809" t="str">
        <f t="shared" si="43"/>
        <v>91Profit-Loss Ratio</v>
      </c>
      <c r="B2809">
        <v>91</v>
      </c>
      <c r="C2809" s="9" t="s">
        <v>26</v>
      </c>
      <c r="D2809" s="8">
        <v>1.07</v>
      </c>
    </row>
    <row r="2810" spans="1:4">
      <c r="A2810" t="str">
        <f t="shared" si="43"/>
        <v>91Alpha</v>
      </c>
      <c r="B2810">
        <v>91</v>
      </c>
      <c r="C2810" s="9" t="s">
        <v>23</v>
      </c>
      <c r="D2810" s="8">
        <v>-5.0000000000000001E-3</v>
      </c>
    </row>
    <row r="2811" spans="1:4">
      <c r="A2811" t="str">
        <f t="shared" si="43"/>
        <v>91Beta</v>
      </c>
      <c r="B2811">
        <v>91</v>
      </c>
      <c r="C2811" s="9" t="s">
        <v>24</v>
      </c>
      <c r="D2811" s="8">
        <v>0.11899999999999999</v>
      </c>
    </row>
    <row r="2812" spans="1:4">
      <c r="A2812" t="str">
        <f t="shared" si="43"/>
        <v>91Annual Standard Deviation</v>
      </c>
      <c r="B2812">
        <v>91</v>
      </c>
      <c r="C2812" s="9" t="s">
        <v>35</v>
      </c>
      <c r="D2812" s="8">
        <v>1.9E-2</v>
      </c>
    </row>
    <row r="2813" spans="1:4">
      <c r="A2813" t="str">
        <f t="shared" si="43"/>
        <v>91Annual Variance</v>
      </c>
      <c r="B2813">
        <v>91</v>
      </c>
      <c r="C2813" s="9" t="s">
        <v>36</v>
      </c>
      <c r="D2813" s="8">
        <v>0</v>
      </c>
    </row>
    <row r="2814" spans="1:4">
      <c r="A2814" t="str">
        <f t="shared" si="43"/>
        <v>91Information Ratio</v>
      </c>
      <c r="B2814">
        <v>91</v>
      </c>
      <c r="C2814" s="9" t="s">
        <v>37</v>
      </c>
      <c r="D2814" s="8">
        <v>-0.998</v>
      </c>
    </row>
    <row r="2815" spans="1:4">
      <c r="A2815" t="str">
        <f t="shared" si="43"/>
        <v>91Tracking Error</v>
      </c>
      <c r="B2815">
        <v>91</v>
      </c>
      <c r="C2815" s="9" t="s">
        <v>38</v>
      </c>
      <c r="D2815" s="8">
        <v>6.0999999999999999E-2</v>
      </c>
    </row>
    <row r="2816" spans="1:4">
      <c r="A2816" t="str">
        <f t="shared" si="43"/>
        <v>91Treynor Ratio</v>
      </c>
      <c r="B2816">
        <v>91</v>
      </c>
      <c r="C2816" s="9" t="s">
        <v>39</v>
      </c>
      <c r="D2816" s="8">
        <v>2.1999999999999999E-2</v>
      </c>
    </row>
    <row r="2817" spans="1:4">
      <c r="A2817" t="str">
        <f t="shared" si="43"/>
        <v>91Total Fees</v>
      </c>
      <c r="B2817">
        <v>91</v>
      </c>
      <c r="C2817" s="9" t="s">
        <v>40</v>
      </c>
      <c r="D2817" s="8">
        <v>0</v>
      </c>
    </row>
    <row r="2818" spans="1:4">
      <c r="A2818" t="str">
        <f t="shared" si="43"/>
        <v>91Estimated Strategy Capacity</v>
      </c>
      <c r="B2818">
        <v>91</v>
      </c>
      <c r="C2818" s="9" t="s">
        <v>41</v>
      </c>
      <c r="D2818" s="8">
        <v>20000000</v>
      </c>
    </row>
    <row r="2819" spans="1:4">
      <c r="A2819" t="str">
        <f t="shared" ref="A2819:A2882" si="44">B2819&amp;C2819</f>
        <v>81PSR</v>
      </c>
      <c r="B2819">
        <v>81</v>
      </c>
      <c r="C2819" s="9" t="s">
        <v>27</v>
      </c>
      <c r="D2819" s="8">
        <v>0.21754999999999999</v>
      </c>
    </row>
    <row r="2820" spans="1:4">
      <c r="A2820" t="str">
        <f t="shared" si="44"/>
        <v>81Sharpe Ratio</v>
      </c>
      <c r="B2820">
        <v>81</v>
      </c>
      <c r="C2820" s="9" t="s">
        <v>1</v>
      </c>
      <c r="D2820" s="8">
        <v>0.21199999999999999</v>
      </c>
    </row>
    <row r="2821" spans="1:4">
      <c r="A2821" t="str">
        <f t="shared" si="44"/>
        <v>81Total Trades</v>
      </c>
      <c r="B2821">
        <v>81</v>
      </c>
      <c r="C2821" s="9" t="s">
        <v>28</v>
      </c>
      <c r="D2821" s="8">
        <v>284</v>
      </c>
    </row>
    <row r="2822" spans="1:4">
      <c r="A2822" t="str">
        <f t="shared" si="44"/>
        <v>81Average Win</v>
      </c>
      <c r="B2822">
        <v>81</v>
      </c>
      <c r="C2822" s="9" t="s">
        <v>25</v>
      </c>
      <c r="D2822" s="8">
        <v>0.1086</v>
      </c>
    </row>
    <row r="2823" spans="1:4">
      <c r="A2823" t="str">
        <f t="shared" si="44"/>
        <v>81Average Loss</v>
      </c>
      <c r="B2823">
        <v>81</v>
      </c>
      <c r="C2823" s="9" t="s">
        <v>29</v>
      </c>
      <c r="D2823" s="8">
        <v>-6.9599999999999995E-2</v>
      </c>
    </row>
    <row r="2824" spans="1:4">
      <c r="A2824" t="str">
        <f t="shared" si="44"/>
        <v>81Compounding Annual Return</v>
      </c>
      <c r="B2824">
        <v>81</v>
      </c>
      <c r="C2824" s="9" t="s">
        <v>30</v>
      </c>
      <c r="D2824" s="8">
        <v>-0.11747</v>
      </c>
    </row>
    <row r="2825" spans="1:4">
      <c r="A2825" t="str">
        <f t="shared" si="44"/>
        <v>81Drawdown</v>
      </c>
      <c r="B2825">
        <v>81</v>
      </c>
      <c r="C2825" s="9" t="s">
        <v>8</v>
      </c>
      <c r="D2825" s="8">
        <v>0.49199999999999999</v>
      </c>
    </row>
    <row r="2826" spans="1:4">
      <c r="A2826" t="str">
        <f t="shared" si="44"/>
        <v>81Expectancy</v>
      </c>
      <c r="B2826">
        <v>81</v>
      </c>
      <c r="C2826" s="9" t="s">
        <v>31</v>
      </c>
      <c r="D2826" s="8">
        <v>-1.4999999999999999E-2</v>
      </c>
    </row>
    <row r="2827" spans="1:4">
      <c r="A2827" t="str">
        <f t="shared" si="44"/>
        <v>81Net Profit</v>
      </c>
      <c r="B2827">
        <v>81</v>
      </c>
      <c r="C2827" s="9" t="s">
        <v>32</v>
      </c>
      <c r="D2827" s="8">
        <v>-7.7609999999999998E-2</v>
      </c>
    </row>
    <row r="2828" spans="1:4">
      <c r="A2828" t="str">
        <f t="shared" si="44"/>
        <v>81Loss Rate</v>
      </c>
      <c r="B2828">
        <v>81</v>
      </c>
      <c r="C2828" s="9" t="s">
        <v>33</v>
      </c>
      <c r="D2828" s="8">
        <v>0.62</v>
      </c>
    </row>
    <row r="2829" spans="1:4">
      <c r="A2829" t="str">
        <f t="shared" si="44"/>
        <v>81Win Rate</v>
      </c>
      <c r="B2829">
        <v>81</v>
      </c>
      <c r="C2829" s="9" t="s">
        <v>34</v>
      </c>
      <c r="D2829" s="8">
        <v>0.38</v>
      </c>
    </row>
    <row r="2830" spans="1:4">
      <c r="A2830" t="str">
        <f t="shared" si="44"/>
        <v>81Profit-Loss Ratio</v>
      </c>
      <c r="B2830">
        <v>81</v>
      </c>
      <c r="C2830" s="9" t="s">
        <v>26</v>
      </c>
      <c r="D2830" s="8">
        <v>1.56</v>
      </c>
    </row>
    <row r="2831" spans="1:4">
      <c r="A2831" t="str">
        <f t="shared" si="44"/>
        <v>81Alpha</v>
      </c>
      <c r="B2831">
        <v>81</v>
      </c>
      <c r="C2831" s="9" t="s">
        <v>23</v>
      </c>
      <c r="D2831" s="8">
        <v>0.104</v>
      </c>
    </row>
    <row r="2832" spans="1:4">
      <c r="A2832" t="str">
        <f t="shared" si="44"/>
        <v>81Beta</v>
      </c>
      <c r="B2832">
        <v>81</v>
      </c>
      <c r="C2832" s="9" t="s">
        <v>24</v>
      </c>
      <c r="D2832" s="8">
        <v>0.621</v>
      </c>
    </row>
    <row r="2833" spans="1:4">
      <c r="A2833" t="str">
        <f t="shared" si="44"/>
        <v>81Annual Standard Deviation</v>
      </c>
      <c r="B2833">
        <v>81</v>
      </c>
      <c r="C2833" s="9" t="s">
        <v>35</v>
      </c>
      <c r="D2833" s="8">
        <v>0.67600000000000005</v>
      </c>
    </row>
    <row r="2834" spans="1:4">
      <c r="A2834" t="str">
        <f t="shared" si="44"/>
        <v>81Annual Variance</v>
      </c>
      <c r="B2834">
        <v>81</v>
      </c>
      <c r="C2834" s="9" t="s">
        <v>36</v>
      </c>
      <c r="D2834" s="8">
        <v>0.45600000000000002</v>
      </c>
    </row>
    <row r="2835" spans="1:4">
      <c r="A2835" t="str">
        <f t="shared" si="44"/>
        <v>81Information Ratio</v>
      </c>
      <c r="B2835">
        <v>81</v>
      </c>
      <c r="C2835" s="9" t="s">
        <v>37</v>
      </c>
      <c r="D2835" s="8">
        <v>0.11799999999999999</v>
      </c>
    </row>
    <row r="2836" spans="1:4">
      <c r="A2836" t="str">
        <f t="shared" si="44"/>
        <v>81Tracking Error</v>
      </c>
      <c r="B2836">
        <v>81</v>
      </c>
      <c r="C2836" s="9" t="s">
        <v>38</v>
      </c>
      <c r="D2836" s="8">
        <v>0.67500000000000004</v>
      </c>
    </row>
    <row r="2837" spans="1:4">
      <c r="A2837" t="str">
        <f t="shared" si="44"/>
        <v>81Treynor Ratio</v>
      </c>
      <c r="B2837">
        <v>81</v>
      </c>
      <c r="C2837" s="9" t="s">
        <v>39</v>
      </c>
      <c r="D2837" s="8">
        <v>0.23100000000000001</v>
      </c>
    </row>
    <row r="2838" spans="1:4">
      <c r="A2838" t="str">
        <f t="shared" si="44"/>
        <v>81Total Fees</v>
      </c>
      <c r="B2838">
        <v>81</v>
      </c>
      <c r="C2838" s="9" t="s">
        <v>40</v>
      </c>
      <c r="D2838" s="8">
        <v>0</v>
      </c>
    </row>
    <row r="2839" spans="1:4">
      <c r="A2839" t="str">
        <f t="shared" si="44"/>
        <v>81Estimated Strategy Capacity</v>
      </c>
      <c r="B2839">
        <v>81</v>
      </c>
      <c r="C2839" s="9" t="s">
        <v>41</v>
      </c>
      <c r="D2839" s="8">
        <v>6600000</v>
      </c>
    </row>
    <row r="2840" spans="1:4">
      <c r="A2840" t="str">
        <f t="shared" si="44"/>
        <v>80PSR</v>
      </c>
      <c r="B2840">
        <v>80</v>
      </c>
      <c r="C2840" s="9" t="s">
        <v>27</v>
      </c>
      <c r="D2840" s="8">
        <v>0.22600000000000001</v>
      </c>
    </row>
    <row r="2841" spans="1:4">
      <c r="A2841" t="str">
        <f t="shared" si="44"/>
        <v>80Sharpe Ratio</v>
      </c>
      <c r="B2841">
        <v>80</v>
      </c>
      <c r="C2841" s="9" t="s">
        <v>1</v>
      </c>
      <c r="D2841" s="8">
        <v>0.23599999999999999</v>
      </c>
    </row>
    <row r="2842" spans="1:4">
      <c r="A2842" t="str">
        <f t="shared" si="44"/>
        <v>80Total Trades</v>
      </c>
      <c r="B2842">
        <v>80</v>
      </c>
      <c r="C2842" s="9" t="s">
        <v>28</v>
      </c>
      <c r="D2842" s="8">
        <v>285</v>
      </c>
    </row>
    <row r="2843" spans="1:4">
      <c r="A2843" t="str">
        <f t="shared" si="44"/>
        <v>80Average Win</v>
      </c>
      <c r="B2843">
        <v>80</v>
      </c>
      <c r="C2843" s="9" t="s">
        <v>25</v>
      </c>
      <c r="D2843" s="8">
        <v>2.2100000000000002E-2</v>
      </c>
    </row>
    <row r="2844" spans="1:4">
      <c r="A2844" t="str">
        <f t="shared" si="44"/>
        <v>80Average Loss</v>
      </c>
      <c r="B2844">
        <v>80</v>
      </c>
      <c r="C2844" s="9" t="s">
        <v>29</v>
      </c>
      <c r="D2844" s="8">
        <v>-2.1600000000000001E-2</v>
      </c>
    </row>
    <row r="2845" spans="1:4">
      <c r="A2845" t="str">
        <f t="shared" si="44"/>
        <v>80Compounding Annual Return</v>
      </c>
      <c r="B2845">
        <v>80</v>
      </c>
      <c r="C2845" s="9" t="s">
        <v>30</v>
      </c>
      <c r="D2845" s="8">
        <v>3.15E-2</v>
      </c>
    </row>
    <row r="2846" spans="1:4">
      <c r="A2846" t="str">
        <f t="shared" si="44"/>
        <v>80Drawdown</v>
      </c>
      <c r="B2846">
        <v>80</v>
      </c>
      <c r="C2846" s="9" t="s">
        <v>8</v>
      </c>
      <c r="D2846" s="8">
        <v>0.109</v>
      </c>
    </row>
    <row r="2847" spans="1:4">
      <c r="A2847" t="str">
        <f t="shared" si="44"/>
        <v>80Expectancy</v>
      </c>
      <c r="B2847">
        <v>80</v>
      </c>
      <c r="C2847" s="9" t="s">
        <v>31</v>
      </c>
      <c r="D2847" s="8">
        <v>0.123</v>
      </c>
    </row>
    <row r="2848" spans="1:4">
      <c r="A2848" t="str">
        <f t="shared" si="44"/>
        <v>80Net Profit</v>
      </c>
      <c r="B2848">
        <v>80</v>
      </c>
      <c r="C2848" s="9" t="s">
        <v>32</v>
      </c>
      <c r="D2848" s="8">
        <v>2.0250000000000001E-2</v>
      </c>
    </row>
    <row r="2849" spans="1:4">
      <c r="A2849" t="str">
        <f t="shared" si="44"/>
        <v>80Loss Rate</v>
      </c>
      <c r="B2849">
        <v>80</v>
      </c>
      <c r="C2849" s="9" t="s">
        <v>33</v>
      </c>
      <c r="D2849" s="8">
        <v>0.44</v>
      </c>
    </row>
    <row r="2850" spans="1:4">
      <c r="A2850" t="str">
        <f t="shared" si="44"/>
        <v>80Win Rate</v>
      </c>
      <c r="B2850">
        <v>80</v>
      </c>
      <c r="C2850" s="9" t="s">
        <v>34</v>
      </c>
      <c r="D2850" s="8">
        <v>0.56000000000000005</v>
      </c>
    </row>
    <row r="2851" spans="1:4">
      <c r="A2851" t="str">
        <f t="shared" si="44"/>
        <v>80Profit-Loss Ratio</v>
      </c>
      <c r="B2851">
        <v>80</v>
      </c>
      <c r="C2851" s="9" t="s">
        <v>26</v>
      </c>
      <c r="D2851" s="8">
        <v>1.02</v>
      </c>
    </row>
    <row r="2852" spans="1:4">
      <c r="A2852" t="str">
        <f t="shared" si="44"/>
        <v>80Alpha</v>
      </c>
      <c r="B2852">
        <v>80</v>
      </c>
      <c r="C2852" s="9" t="s">
        <v>23</v>
      </c>
      <c r="D2852" s="8">
        <v>2.4E-2</v>
      </c>
    </row>
    <row r="2853" spans="1:4">
      <c r="A2853" t="str">
        <f t="shared" si="44"/>
        <v>80Beta</v>
      </c>
      <c r="B2853">
        <v>80</v>
      </c>
      <c r="C2853" s="9" t="s">
        <v>24</v>
      </c>
      <c r="D2853" s="8">
        <v>9.5000000000000001E-2</v>
      </c>
    </row>
    <row r="2854" spans="1:4">
      <c r="A2854" t="str">
        <f t="shared" si="44"/>
        <v>80Annual Standard Deviation</v>
      </c>
      <c r="B2854">
        <v>80</v>
      </c>
      <c r="C2854" s="9" t="s">
        <v>35</v>
      </c>
      <c r="D2854" s="8">
        <v>0.126</v>
      </c>
    </row>
    <row r="2855" spans="1:4">
      <c r="A2855" t="str">
        <f t="shared" si="44"/>
        <v>80Annual Variance</v>
      </c>
      <c r="B2855">
        <v>80</v>
      </c>
      <c r="C2855" s="9" t="s">
        <v>36</v>
      </c>
      <c r="D2855" s="8">
        <v>1.6E-2</v>
      </c>
    </row>
    <row r="2856" spans="1:4">
      <c r="A2856" t="str">
        <f t="shared" si="44"/>
        <v>80Information Ratio</v>
      </c>
      <c r="B2856">
        <v>80</v>
      </c>
      <c r="C2856" s="9" t="s">
        <v>37</v>
      </c>
      <c r="D2856" s="8">
        <v>-0.24199999999999999</v>
      </c>
    </row>
    <row r="2857" spans="1:4">
      <c r="A2857" t="str">
        <f t="shared" si="44"/>
        <v>80Tracking Error</v>
      </c>
      <c r="B2857">
        <v>80</v>
      </c>
      <c r="C2857" s="9" t="s">
        <v>38</v>
      </c>
      <c r="D2857" s="8">
        <v>0.14000000000000001</v>
      </c>
    </row>
    <row r="2858" spans="1:4">
      <c r="A2858" t="str">
        <f t="shared" si="44"/>
        <v>80Treynor Ratio</v>
      </c>
      <c r="B2858">
        <v>80</v>
      </c>
      <c r="C2858" s="9" t="s">
        <v>39</v>
      </c>
      <c r="D2858" s="8">
        <v>0.314</v>
      </c>
    </row>
    <row r="2859" spans="1:4">
      <c r="A2859" t="str">
        <f t="shared" si="44"/>
        <v>80Total Fees</v>
      </c>
      <c r="B2859">
        <v>80</v>
      </c>
      <c r="C2859" s="9" t="s">
        <v>40</v>
      </c>
      <c r="D2859" s="8">
        <v>0</v>
      </c>
    </row>
    <row r="2860" spans="1:4">
      <c r="A2860" t="str">
        <f t="shared" si="44"/>
        <v>80Estimated Strategy Capacity</v>
      </c>
      <c r="B2860">
        <v>80</v>
      </c>
      <c r="C2860" s="9" t="s">
        <v>41</v>
      </c>
      <c r="D2860" s="8">
        <v>30000000</v>
      </c>
    </row>
    <row r="2861" spans="1:4">
      <c r="A2861" t="str">
        <f t="shared" si="44"/>
        <v>79PSR</v>
      </c>
      <c r="B2861">
        <v>79</v>
      </c>
      <c r="C2861" s="9" t="s">
        <v>27</v>
      </c>
      <c r="D2861" s="8">
        <v>0.21287</v>
      </c>
    </row>
    <row r="2862" spans="1:4">
      <c r="A2862" t="str">
        <f t="shared" si="44"/>
        <v>79Sharpe Ratio</v>
      </c>
      <c r="B2862">
        <v>79</v>
      </c>
      <c r="C2862" s="9" t="s">
        <v>1</v>
      </c>
      <c r="D2862" s="8">
        <v>0.183</v>
      </c>
    </row>
    <row r="2863" spans="1:4">
      <c r="A2863" t="str">
        <f t="shared" si="44"/>
        <v>79Total Trades</v>
      </c>
      <c r="B2863">
        <v>79</v>
      </c>
      <c r="C2863" s="9" t="s">
        <v>28</v>
      </c>
      <c r="D2863" s="8">
        <v>285</v>
      </c>
    </row>
    <row r="2864" spans="1:4">
      <c r="A2864" t="str">
        <f t="shared" si="44"/>
        <v>79Average Win</v>
      </c>
      <c r="B2864">
        <v>79</v>
      </c>
      <c r="C2864" s="9" t="s">
        <v>25</v>
      </c>
      <c r="D2864" s="8">
        <v>2.0999999999999999E-3</v>
      </c>
    </row>
    <row r="2865" spans="1:4">
      <c r="A2865" t="str">
        <f t="shared" si="44"/>
        <v>79Average Loss</v>
      </c>
      <c r="B2865">
        <v>79</v>
      </c>
      <c r="C2865" s="9" t="s">
        <v>29</v>
      </c>
      <c r="D2865" s="8">
        <v>-2.0999999999999999E-3</v>
      </c>
    </row>
    <row r="2866" spans="1:4">
      <c r="A2866" t="str">
        <f t="shared" si="44"/>
        <v>79Compounding Annual Return</v>
      </c>
      <c r="B2866">
        <v>79</v>
      </c>
      <c r="C2866" s="9" t="s">
        <v>30</v>
      </c>
      <c r="D2866" s="8">
        <v>3.13E-3</v>
      </c>
    </row>
    <row r="2867" spans="1:4">
      <c r="A2867" t="str">
        <f t="shared" si="44"/>
        <v>79Drawdown</v>
      </c>
      <c r="B2867">
        <v>79</v>
      </c>
      <c r="C2867" s="9" t="s">
        <v>8</v>
      </c>
      <c r="D2867" s="8">
        <v>1.0999999999999999E-2</v>
      </c>
    </row>
    <row r="2868" spans="1:4">
      <c r="A2868" t="str">
        <f t="shared" si="44"/>
        <v>79Expectancy</v>
      </c>
      <c r="B2868">
        <v>79</v>
      </c>
      <c r="C2868" s="9" t="s">
        <v>31</v>
      </c>
      <c r="D2868" s="8">
        <v>0.111</v>
      </c>
    </row>
    <row r="2869" spans="1:4">
      <c r="A2869" t="str">
        <f t="shared" si="44"/>
        <v>79Net Profit</v>
      </c>
      <c r="B2869">
        <v>79</v>
      </c>
      <c r="C2869" s="9" t="s">
        <v>32</v>
      </c>
      <c r="D2869" s="8">
        <v>2.0300000000000001E-3</v>
      </c>
    </row>
    <row r="2870" spans="1:4">
      <c r="A2870" t="str">
        <f t="shared" si="44"/>
        <v>79Loss Rate</v>
      </c>
      <c r="B2870">
        <v>79</v>
      </c>
      <c r="C2870" s="9" t="s">
        <v>33</v>
      </c>
      <c r="D2870" s="8">
        <v>0.44</v>
      </c>
    </row>
    <row r="2871" spans="1:4">
      <c r="A2871" t="str">
        <f t="shared" si="44"/>
        <v>79Win Rate</v>
      </c>
      <c r="B2871">
        <v>79</v>
      </c>
      <c r="C2871" s="9" t="s">
        <v>34</v>
      </c>
      <c r="D2871" s="8">
        <v>0.56000000000000005</v>
      </c>
    </row>
    <row r="2872" spans="1:4">
      <c r="A2872" t="str">
        <f t="shared" si="44"/>
        <v>79Profit-Loss Ratio</v>
      </c>
      <c r="B2872">
        <v>79</v>
      </c>
      <c r="C2872" s="9" t="s">
        <v>26</v>
      </c>
      <c r="D2872" s="8">
        <v>1</v>
      </c>
    </row>
    <row r="2873" spans="1:4">
      <c r="A2873" t="str">
        <f t="shared" si="44"/>
        <v>79Alpha</v>
      </c>
      <c r="B2873">
        <v>79</v>
      </c>
      <c r="C2873" s="9" t="s">
        <v>23</v>
      </c>
      <c r="D2873" s="8">
        <v>2E-3</v>
      </c>
    </row>
    <row r="2874" spans="1:4">
      <c r="A2874" t="str">
        <f t="shared" si="44"/>
        <v>79Beta</v>
      </c>
      <c r="B2874">
        <v>79</v>
      </c>
      <c r="C2874" s="9" t="s">
        <v>24</v>
      </c>
      <c r="D2874" s="8">
        <v>0.01</v>
      </c>
    </row>
    <row r="2875" spans="1:4">
      <c r="A2875" t="str">
        <f t="shared" si="44"/>
        <v>79Annual Standard Deviation</v>
      </c>
      <c r="B2875">
        <v>79</v>
      </c>
      <c r="C2875" s="9" t="s">
        <v>35</v>
      </c>
      <c r="D2875" s="8">
        <v>1.2E-2</v>
      </c>
    </row>
    <row r="2876" spans="1:4">
      <c r="A2876" t="str">
        <f t="shared" si="44"/>
        <v>79Annual Variance</v>
      </c>
      <c r="B2876">
        <v>79</v>
      </c>
      <c r="C2876" s="9" t="s">
        <v>36</v>
      </c>
      <c r="D2876" s="8">
        <v>0</v>
      </c>
    </row>
    <row r="2877" spans="1:4">
      <c r="A2877" t="str">
        <f t="shared" si="44"/>
        <v>79Information Ratio</v>
      </c>
      <c r="B2877">
        <v>79</v>
      </c>
      <c r="C2877" s="9" t="s">
        <v>37</v>
      </c>
      <c r="D2877" s="8">
        <v>-0.91400000000000003</v>
      </c>
    </row>
    <row r="2878" spans="1:4">
      <c r="A2878" t="str">
        <f t="shared" si="44"/>
        <v>79Tracking Error</v>
      </c>
      <c r="B2878">
        <v>79</v>
      </c>
      <c r="C2878" s="9" t="s">
        <v>38</v>
      </c>
      <c r="D2878" s="8">
        <v>6.7000000000000004E-2</v>
      </c>
    </row>
    <row r="2879" spans="1:4">
      <c r="A2879" t="str">
        <f t="shared" si="44"/>
        <v>79Treynor Ratio</v>
      </c>
      <c r="B2879">
        <v>79</v>
      </c>
      <c r="C2879" s="9" t="s">
        <v>39</v>
      </c>
      <c r="D2879" s="8">
        <v>0.23599999999999999</v>
      </c>
    </row>
    <row r="2880" spans="1:4">
      <c r="A2880" t="str">
        <f t="shared" si="44"/>
        <v>79Total Fees</v>
      </c>
      <c r="B2880">
        <v>79</v>
      </c>
      <c r="C2880" s="9" t="s">
        <v>40</v>
      </c>
      <c r="D2880" s="8">
        <v>0</v>
      </c>
    </row>
    <row r="2881" spans="1:4">
      <c r="A2881" t="str">
        <f t="shared" si="44"/>
        <v>79Estimated Strategy Capacity</v>
      </c>
      <c r="B2881">
        <v>79</v>
      </c>
      <c r="C2881" s="9" t="s">
        <v>41</v>
      </c>
      <c r="D2881" s="8">
        <v>280000000</v>
      </c>
    </row>
    <row r="2882" spans="1:4">
      <c r="A2882" t="str">
        <f t="shared" si="44"/>
        <v>78PSR</v>
      </c>
      <c r="B2882">
        <v>78</v>
      </c>
      <c r="C2882" s="9" t="s">
        <v>27</v>
      </c>
      <c r="D2882" s="8">
        <v>0.42503999999999997</v>
      </c>
    </row>
    <row r="2883" spans="1:4">
      <c r="A2883" t="str">
        <f t="shared" ref="A2883:A2946" si="45">B2883&amp;C2883</f>
        <v>78Sharpe Ratio</v>
      </c>
      <c r="B2883">
        <v>78</v>
      </c>
      <c r="C2883" s="9" t="s">
        <v>1</v>
      </c>
      <c r="D2883" s="8">
        <v>1.208</v>
      </c>
    </row>
    <row r="2884" spans="1:4">
      <c r="A2884" t="str">
        <f t="shared" si="45"/>
        <v>78Total Trades</v>
      </c>
      <c r="B2884">
        <v>78</v>
      </c>
      <c r="C2884" s="9" t="s">
        <v>28</v>
      </c>
      <c r="D2884" s="8">
        <v>388</v>
      </c>
    </row>
    <row r="2885" spans="1:4">
      <c r="A2885" t="str">
        <f t="shared" si="45"/>
        <v>78Average Win</v>
      </c>
      <c r="B2885">
        <v>78</v>
      </c>
      <c r="C2885" s="9" t="s">
        <v>25</v>
      </c>
      <c r="D2885" s="8">
        <v>0.21609999999999999</v>
      </c>
    </row>
    <row r="2886" spans="1:4">
      <c r="A2886" t="str">
        <f t="shared" si="45"/>
        <v>78Average Loss</v>
      </c>
      <c r="B2886">
        <v>78</v>
      </c>
      <c r="C2886" s="9" t="s">
        <v>29</v>
      </c>
      <c r="D2886" s="8">
        <v>-0.1457</v>
      </c>
    </row>
    <row r="2887" spans="1:4">
      <c r="A2887" t="str">
        <f t="shared" si="45"/>
        <v>78Compounding Annual Return</v>
      </c>
      <c r="B2887">
        <v>78</v>
      </c>
      <c r="C2887" s="9" t="s">
        <v>30</v>
      </c>
      <c r="D2887" s="8">
        <v>0.60277999999999998</v>
      </c>
    </row>
    <row r="2888" spans="1:4">
      <c r="A2888" t="str">
        <f t="shared" si="45"/>
        <v>78Drawdown</v>
      </c>
      <c r="B2888">
        <v>78</v>
      </c>
      <c r="C2888" s="9" t="s">
        <v>8</v>
      </c>
      <c r="D2888" s="8">
        <v>0.72299999999999998</v>
      </c>
    </row>
    <row r="2889" spans="1:4">
      <c r="A2889" t="str">
        <f t="shared" si="45"/>
        <v>78Expectancy</v>
      </c>
      <c r="B2889">
        <v>78</v>
      </c>
      <c r="C2889" s="9" t="s">
        <v>31</v>
      </c>
      <c r="D2889" s="8">
        <v>0.32400000000000001</v>
      </c>
    </row>
    <row r="2890" spans="1:4">
      <c r="A2890" t="str">
        <f t="shared" si="45"/>
        <v>78Net Profit</v>
      </c>
      <c r="B2890">
        <v>78</v>
      </c>
      <c r="C2890" s="9" t="s">
        <v>32</v>
      </c>
      <c r="D2890" s="8">
        <v>0.35657</v>
      </c>
    </row>
    <row r="2891" spans="1:4">
      <c r="A2891" t="str">
        <f t="shared" si="45"/>
        <v>78Loss Rate</v>
      </c>
      <c r="B2891">
        <v>78</v>
      </c>
      <c r="C2891" s="9" t="s">
        <v>33</v>
      </c>
      <c r="D2891" s="8">
        <v>0.47</v>
      </c>
    </row>
    <row r="2892" spans="1:4">
      <c r="A2892" t="str">
        <f t="shared" si="45"/>
        <v>78Win Rate</v>
      </c>
      <c r="B2892">
        <v>78</v>
      </c>
      <c r="C2892" s="9" t="s">
        <v>34</v>
      </c>
      <c r="D2892" s="8">
        <v>0.53</v>
      </c>
    </row>
    <row r="2893" spans="1:4">
      <c r="A2893" t="str">
        <f t="shared" si="45"/>
        <v>78Profit-Loss Ratio</v>
      </c>
      <c r="B2893">
        <v>78</v>
      </c>
      <c r="C2893" s="9" t="s">
        <v>26</v>
      </c>
      <c r="D2893" s="8">
        <v>1.48</v>
      </c>
    </row>
    <row r="2894" spans="1:4">
      <c r="A2894" t="str">
        <f t="shared" si="45"/>
        <v>78Alpha</v>
      </c>
      <c r="B2894">
        <v>78</v>
      </c>
      <c r="C2894" s="9" t="s">
        <v>23</v>
      </c>
      <c r="D2894" s="8">
        <v>1.1319999999999999</v>
      </c>
    </row>
    <row r="2895" spans="1:4">
      <c r="A2895" t="str">
        <f t="shared" si="45"/>
        <v>78Beta</v>
      </c>
      <c r="B2895">
        <v>78</v>
      </c>
      <c r="C2895" s="9" t="s">
        <v>24</v>
      </c>
      <c r="D2895" s="8">
        <v>-8.9999999999999993E-3</v>
      </c>
    </row>
    <row r="2896" spans="1:4">
      <c r="A2896" t="str">
        <f t="shared" si="45"/>
        <v>78Annual Standard Deviation</v>
      </c>
      <c r="B2896">
        <v>78</v>
      </c>
      <c r="C2896" s="9" t="s">
        <v>35</v>
      </c>
      <c r="D2896" s="8">
        <v>0.93600000000000005</v>
      </c>
    </row>
    <row r="2897" spans="1:4">
      <c r="A2897" t="str">
        <f t="shared" si="45"/>
        <v>78Annual Variance</v>
      </c>
      <c r="B2897">
        <v>78</v>
      </c>
      <c r="C2897" s="9" t="s">
        <v>36</v>
      </c>
      <c r="D2897" s="8">
        <v>0.877</v>
      </c>
    </row>
    <row r="2898" spans="1:4">
      <c r="A2898" t="str">
        <f t="shared" si="45"/>
        <v>78Information Ratio</v>
      </c>
      <c r="B2898">
        <v>78</v>
      </c>
      <c r="C2898" s="9" t="s">
        <v>37</v>
      </c>
      <c r="D2898" s="8">
        <v>1.137</v>
      </c>
    </row>
    <row r="2899" spans="1:4">
      <c r="A2899" t="str">
        <f t="shared" si="45"/>
        <v>78Tracking Error</v>
      </c>
      <c r="B2899">
        <v>78</v>
      </c>
      <c r="C2899" s="9" t="s">
        <v>38</v>
      </c>
      <c r="D2899" s="8">
        <v>0.93899999999999995</v>
      </c>
    </row>
    <row r="2900" spans="1:4">
      <c r="A2900" t="str">
        <f t="shared" si="45"/>
        <v>78Treynor Ratio</v>
      </c>
      <c r="B2900">
        <v>78</v>
      </c>
      <c r="C2900" s="9" t="s">
        <v>39</v>
      </c>
      <c r="D2900" s="8">
        <v>-123.89700000000001</v>
      </c>
    </row>
    <row r="2901" spans="1:4">
      <c r="A2901" t="str">
        <f t="shared" si="45"/>
        <v>78Total Fees</v>
      </c>
      <c r="B2901">
        <v>78</v>
      </c>
      <c r="C2901" s="9" t="s">
        <v>40</v>
      </c>
      <c r="D2901" s="8">
        <v>0</v>
      </c>
    </row>
    <row r="2902" spans="1:4">
      <c r="A2902" t="str">
        <f t="shared" si="45"/>
        <v>78Estimated Strategy Capacity</v>
      </c>
      <c r="B2902">
        <v>78</v>
      </c>
      <c r="C2902" s="9" t="s">
        <v>41</v>
      </c>
      <c r="D2902" s="8">
        <v>110000000</v>
      </c>
    </row>
    <row r="2903" spans="1:4">
      <c r="A2903" t="str">
        <f t="shared" si="45"/>
        <v>77PSR</v>
      </c>
      <c r="B2903">
        <v>77</v>
      </c>
      <c r="C2903" t="s">
        <v>27</v>
      </c>
      <c r="D2903" s="6">
        <v>0.42574000000000001</v>
      </c>
    </row>
    <row r="2904" spans="1:4">
      <c r="A2904" t="str">
        <f t="shared" si="45"/>
        <v>77Sharpe Ratio</v>
      </c>
      <c r="B2904">
        <v>77</v>
      </c>
      <c r="C2904" t="s">
        <v>1</v>
      </c>
      <c r="D2904" s="6">
        <v>1.212</v>
      </c>
    </row>
    <row r="2905" spans="1:4">
      <c r="A2905" t="str">
        <f t="shared" si="45"/>
        <v>77Total Trades</v>
      </c>
      <c r="B2905">
        <v>77</v>
      </c>
      <c r="C2905" t="s">
        <v>28</v>
      </c>
      <c r="D2905" s="6">
        <v>383</v>
      </c>
    </row>
    <row r="2906" spans="1:4">
      <c r="A2906" t="str">
        <f t="shared" si="45"/>
        <v>77Average Win</v>
      </c>
      <c r="B2906">
        <v>77</v>
      </c>
      <c r="C2906" t="s">
        <v>25</v>
      </c>
      <c r="D2906" s="6">
        <v>0.21609999999999999</v>
      </c>
    </row>
    <row r="2907" spans="1:4">
      <c r="A2907" t="str">
        <f t="shared" si="45"/>
        <v>77Average Loss</v>
      </c>
      <c r="B2907">
        <v>77</v>
      </c>
      <c r="C2907" t="s">
        <v>29</v>
      </c>
      <c r="D2907" s="6">
        <v>-0.1457</v>
      </c>
    </row>
    <row r="2908" spans="1:4">
      <c r="A2908" t="str">
        <f t="shared" si="45"/>
        <v>77Compounding Annual Return</v>
      </c>
      <c r="B2908">
        <v>77</v>
      </c>
      <c r="C2908" t="s">
        <v>30</v>
      </c>
      <c r="D2908" s="6">
        <v>0.60529999999999995</v>
      </c>
    </row>
    <row r="2909" spans="1:4">
      <c r="A2909" t="str">
        <f t="shared" si="45"/>
        <v>77Drawdown</v>
      </c>
      <c r="B2909">
        <v>77</v>
      </c>
      <c r="C2909" t="s">
        <v>8</v>
      </c>
      <c r="D2909" s="6">
        <v>0.72299999999999998</v>
      </c>
    </row>
    <row r="2910" spans="1:4">
      <c r="A2910" t="str">
        <f t="shared" si="45"/>
        <v>77Expectancy</v>
      </c>
      <c r="B2910">
        <v>77</v>
      </c>
      <c r="C2910" t="s">
        <v>31</v>
      </c>
      <c r="D2910" s="6">
        <v>0.32400000000000001</v>
      </c>
    </row>
    <row r="2911" spans="1:4">
      <c r="A2911" t="str">
        <f t="shared" si="45"/>
        <v>77Net Profit</v>
      </c>
      <c r="B2911">
        <v>77</v>
      </c>
      <c r="C2911" t="s">
        <v>32</v>
      </c>
      <c r="D2911" s="6">
        <v>0.35619000000000001</v>
      </c>
    </row>
    <row r="2912" spans="1:4">
      <c r="A2912" t="str">
        <f t="shared" si="45"/>
        <v>77Loss Rate</v>
      </c>
      <c r="B2912">
        <v>77</v>
      </c>
      <c r="C2912" t="s">
        <v>33</v>
      </c>
      <c r="D2912" s="6">
        <v>0.47</v>
      </c>
    </row>
    <row r="2913" spans="1:4">
      <c r="A2913" t="str">
        <f t="shared" si="45"/>
        <v>77Win Rate</v>
      </c>
      <c r="B2913">
        <v>77</v>
      </c>
      <c r="C2913" t="s">
        <v>34</v>
      </c>
      <c r="D2913" s="6">
        <v>0.53</v>
      </c>
    </row>
    <row r="2914" spans="1:4">
      <c r="A2914" t="str">
        <f t="shared" si="45"/>
        <v>77Profit-Loss Ratio</v>
      </c>
      <c r="B2914">
        <v>77</v>
      </c>
      <c r="C2914" t="s">
        <v>26</v>
      </c>
      <c r="D2914" s="6">
        <v>1.48</v>
      </c>
    </row>
    <row r="2915" spans="1:4">
      <c r="A2915" t="str">
        <f t="shared" si="45"/>
        <v>77Alpha</v>
      </c>
      <c r="B2915">
        <v>77</v>
      </c>
      <c r="C2915" t="s">
        <v>23</v>
      </c>
      <c r="D2915" s="6">
        <v>1.139</v>
      </c>
    </row>
    <row r="2916" spans="1:4">
      <c r="A2916" t="str">
        <f t="shared" si="45"/>
        <v>77Beta</v>
      </c>
      <c r="B2916">
        <v>77</v>
      </c>
      <c r="C2916" t="s">
        <v>24</v>
      </c>
      <c r="D2916" s="6">
        <v>-8.9999999999999993E-3</v>
      </c>
    </row>
    <row r="2917" spans="1:4">
      <c r="A2917" t="str">
        <f t="shared" si="45"/>
        <v>77Annual Standard Deviation</v>
      </c>
      <c r="B2917">
        <v>77</v>
      </c>
      <c r="C2917" t="s">
        <v>35</v>
      </c>
      <c r="D2917" s="6">
        <v>0.93799999999999994</v>
      </c>
    </row>
    <row r="2918" spans="1:4">
      <c r="A2918" t="str">
        <f t="shared" si="45"/>
        <v>77Annual Variance</v>
      </c>
      <c r="B2918">
        <v>77</v>
      </c>
      <c r="C2918" t="s">
        <v>36</v>
      </c>
      <c r="D2918" s="6">
        <v>0.88100000000000001</v>
      </c>
    </row>
    <row r="2919" spans="1:4">
      <c r="A2919" t="str">
        <f t="shared" si="45"/>
        <v>77Information Ratio</v>
      </c>
      <c r="B2919">
        <v>77</v>
      </c>
      <c r="C2919" t="s">
        <v>37</v>
      </c>
      <c r="D2919" s="6">
        <v>1.141</v>
      </c>
    </row>
    <row r="2920" spans="1:4">
      <c r="A2920" t="str">
        <f t="shared" si="45"/>
        <v>77Tracking Error</v>
      </c>
      <c r="B2920">
        <v>77</v>
      </c>
      <c r="C2920" t="s">
        <v>38</v>
      </c>
      <c r="D2920" s="6">
        <v>0.94099999999999995</v>
      </c>
    </row>
    <row r="2921" spans="1:4">
      <c r="A2921" t="str">
        <f t="shared" si="45"/>
        <v>77Treynor Ratio</v>
      </c>
      <c r="B2921">
        <v>77</v>
      </c>
      <c r="C2921" t="s">
        <v>39</v>
      </c>
      <c r="D2921" s="6">
        <v>-121.6</v>
      </c>
    </row>
    <row r="2922" spans="1:4">
      <c r="A2922" t="str">
        <f t="shared" si="45"/>
        <v>77Total Fees</v>
      </c>
      <c r="B2922">
        <v>77</v>
      </c>
      <c r="C2922" t="s">
        <v>40</v>
      </c>
      <c r="D2922" s="6">
        <v>0</v>
      </c>
    </row>
    <row r="2923" spans="1:4">
      <c r="A2923" t="str">
        <f t="shared" si="45"/>
        <v>77Estimated Strategy Capacity</v>
      </c>
      <c r="B2923">
        <v>77</v>
      </c>
      <c r="C2923" t="s">
        <v>41</v>
      </c>
      <c r="D2923" s="6">
        <v>320000000</v>
      </c>
    </row>
    <row r="2924" spans="1:4">
      <c r="A2924" t="str">
        <f t="shared" si="45"/>
        <v>76PSR</v>
      </c>
      <c r="B2924">
        <v>76</v>
      </c>
      <c r="C2924" s="9" t="s">
        <v>27</v>
      </c>
      <c r="D2924" s="8">
        <v>0.27840999999999999</v>
      </c>
    </row>
    <row r="2925" spans="1:4">
      <c r="A2925" t="str">
        <f t="shared" si="45"/>
        <v>76Sharpe Ratio</v>
      </c>
      <c r="B2925">
        <v>76</v>
      </c>
      <c r="C2925" s="9" t="s">
        <v>1</v>
      </c>
      <c r="D2925" s="8">
        <v>0.38200000000000001</v>
      </c>
    </row>
    <row r="2926" spans="1:4">
      <c r="A2926" t="str">
        <f t="shared" si="45"/>
        <v>76Total Trades</v>
      </c>
      <c r="B2926">
        <v>76</v>
      </c>
      <c r="C2926" s="9" t="s">
        <v>28</v>
      </c>
      <c r="D2926" s="8">
        <v>398</v>
      </c>
    </row>
    <row r="2927" spans="1:4">
      <c r="A2927" t="str">
        <f t="shared" si="45"/>
        <v>76Average Win</v>
      </c>
      <c r="B2927">
        <v>76</v>
      </c>
      <c r="C2927" s="9" t="s">
        <v>25</v>
      </c>
      <c r="D2927" s="8">
        <v>3.3999999999999998E-3</v>
      </c>
    </row>
    <row r="2928" spans="1:4">
      <c r="A2928" t="str">
        <f t="shared" si="45"/>
        <v>76Average Loss</v>
      </c>
      <c r="B2928">
        <v>76</v>
      </c>
      <c r="C2928" s="9" t="s">
        <v>29</v>
      </c>
      <c r="D2928" s="8">
        <v>-3.3E-3</v>
      </c>
    </row>
    <row r="2929" spans="1:4">
      <c r="A2929" t="str">
        <f t="shared" si="45"/>
        <v>76Compounding Annual Return</v>
      </c>
      <c r="B2929">
        <v>76</v>
      </c>
      <c r="C2929" s="9" t="s">
        <v>30</v>
      </c>
      <c r="D2929" s="8">
        <v>8.1799999999999998E-3</v>
      </c>
    </row>
    <row r="2930" spans="1:4">
      <c r="A2930" t="str">
        <f t="shared" si="45"/>
        <v>76Drawdown</v>
      </c>
      <c r="B2930">
        <v>76</v>
      </c>
      <c r="C2930" s="9" t="s">
        <v>8</v>
      </c>
      <c r="D2930" s="8">
        <v>0.02</v>
      </c>
    </row>
    <row r="2931" spans="1:4">
      <c r="A2931" t="str">
        <f t="shared" si="45"/>
        <v>76Expectancy</v>
      </c>
      <c r="B2931">
        <v>76</v>
      </c>
      <c r="C2931" s="9" t="s">
        <v>31</v>
      </c>
      <c r="D2931" s="8">
        <v>0.108</v>
      </c>
    </row>
    <row r="2932" spans="1:4">
      <c r="A2932" t="str">
        <f t="shared" si="45"/>
        <v>76Net Profit</v>
      </c>
      <c r="B2932">
        <v>76</v>
      </c>
      <c r="C2932" s="9" t="s">
        <v>32</v>
      </c>
      <c r="D2932" s="8">
        <v>5.28E-3</v>
      </c>
    </row>
    <row r="2933" spans="1:4">
      <c r="A2933" t="str">
        <f t="shared" si="45"/>
        <v>76Loss Rate</v>
      </c>
      <c r="B2933">
        <v>76</v>
      </c>
      <c r="C2933" s="9" t="s">
        <v>33</v>
      </c>
      <c r="D2933" s="8">
        <v>0.46</v>
      </c>
    </row>
    <row r="2934" spans="1:4">
      <c r="A2934" t="str">
        <f t="shared" si="45"/>
        <v>76Win Rate</v>
      </c>
      <c r="B2934">
        <v>76</v>
      </c>
      <c r="C2934" s="9" t="s">
        <v>34</v>
      </c>
      <c r="D2934" s="8">
        <v>0.54</v>
      </c>
    </row>
    <row r="2935" spans="1:4">
      <c r="A2935" t="str">
        <f t="shared" si="45"/>
        <v>76Profit-Loss Ratio</v>
      </c>
      <c r="B2935">
        <v>76</v>
      </c>
      <c r="C2935" s="9" t="s">
        <v>26</v>
      </c>
      <c r="D2935" s="8">
        <v>1.06</v>
      </c>
    </row>
    <row r="2936" spans="1:4">
      <c r="A2936" t="str">
        <f t="shared" si="45"/>
        <v>76Alpha</v>
      </c>
      <c r="B2936">
        <v>76</v>
      </c>
      <c r="C2936" s="9" t="s">
        <v>23</v>
      </c>
      <c r="D2936" s="8">
        <v>6.0000000000000001E-3</v>
      </c>
    </row>
    <row r="2937" spans="1:4">
      <c r="A2937" t="str">
        <f t="shared" si="45"/>
        <v>76Beta</v>
      </c>
      <c r="B2937">
        <v>76</v>
      </c>
      <c r="C2937" s="9" t="s">
        <v>24</v>
      </c>
      <c r="D2937" s="8">
        <v>-1E-3</v>
      </c>
    </row>
    <row r="2938" spans="1:4">
      <c r="A2938" t="str">
        <f t="shared" si="45"/>
        <v>76Annual Standard Deviation</v>
      </c>
      <c r="B2938">
        <v>76</v>
      </c>
      <c r="C2938" s="9" t="s">
        <v>35</v>
      </c>
      <c r="D2938" s="8">
        <v>1.4999999999999999E-2</v>
      </c>
    </row>
    <row r="2939" spans="1:4">
      <c r="A2939" t="str">
        <f t="shared" si="45"/>
        <v>76Annual Variance</v>
      </c>
      <c r="B2939">
        <v>76</v>
      </c>
      <c r="C2939" s="9" t="s">
        <v>36</v>
      </c>
      <c r="D2939" s="8">
        <v>0</v>
      </c>
    </row>
    <row r="2940" spans="1:4">
      <c r="A2940" t="str">
        <f t="shared" si="45"/>
        <v>76Information Ratio</v>
      </c>
      <c r="B2940">
        <v>76</v>
      </c>
      <c r="C2940" s="9" t="s">
        <v>37</v>
      </c>
      <c r="D2940" s="8">
        <v>-0.84499999999999997</v>
      </c>
    </row>
    <row r="2941" spans="1:4">
      <c r="A2941" t="str">
        <f t="shared" si="45"/>
        <v>76Tracking Error</v>
      </c>
      <c r="B2941">
        <v>76</v>
      </c>
      <c r="C2941" s="9" t="s">
        <v>38</v>
      </c>
      <c r="D2941" s="8">
        <v>6.9000000000000006E-2</v>
      </c>
    </row>
    <row r="2942" spans="1:4">
      <c r="A2942" t="str">
        <f t="shared" si="45"/>
        <v>76Treynor Ratio</v>
      </c>
      <c r="B2942">
        <v>76</v>
      </c>
      <c r="C2942" s="9" t="s">
        <v>39</v>
      </c>
      <c r="D2942" s="8">
        <v>-5.5830000000000002</v>
      </c>
    </row>
    <row r="2943" spans="1:4">
      <c r="A2943" t="str">
        <f t="shared" si="45"/>
        <v>76Total Fees</v>
      </c>
      <c r="B2943">
        <v>76</v>
      </c>
      <c r="C2943" s="9" t="s">
        <v>40</v>
      </c>
      <c r="D2943" s="8">
        <v>0</v>
      </c>
    </row>
    <row r="2944" spans="1:4">
      <c r="A2944" t="str">
        <f t="shared" si="45"/>
        <v>76Estimated Strategy Capacity</v>
      </c>
      <c r="B2944">
        <v>76</v>
      </c>
      <c r="C2944" s="9" t="s">
        <v>41</v>
      </c>
      <c r="D2944" s="8">
        <v>4100000000</v>
      </c>
    </row>
    <row r="2945" spans="1:4">
      <c r="A2945" t="str">
        <f t="shared" si="45"/>
        <v>75PSR</v>
      </c>
      <c r="B2945">
        <v>75</v>
      </c>
      <c r="C2945" s="9" t="s">
        <v>27</v>
      </c>
      <c r="D2945" s="8">
        <v>0.47072000000000003</v>
      </c>
    </row>
    <row r="2946" spans="1:4">
      <c r="A2946" t="str">
        <f t="shared" si="45"/>
        <v>75Sharpe Ratio</v>
      </c>
      <c r="B2946">
        <v>75</v>
      </c>
      <c r="C2946" s="9" t="s">
        <v>1</v>
      </c>
      <c r="D2946" s="8">
        <v>1.329</v>
      </c>
    </row>
    <row r="2947" spans="1:4">
      <c r="A2947" t="str">
        <f t="shared" ref="A2947:A3010" si="46">B2947&amp;C2947</f>
        <v>75Total Trades</v>
      </c>
      <c r="B2947">
        <v>75</v>
      </c>
      <c r="C2947" s="9" t="s">
        <v>28</v>
      </c>
      <c r="D2947" s="8">
        <v>688</v>
      </c>
    </row>
    <row r="2948" spans="1:4">
      <c r="A2948" t="str">
        <f t="shared" si="46"/>
        <v>75Average Win</v>
      </c>
      <c r="B2948">
        <v>75</v>
      </c>
      <c r="C2948" s="9" t="s">
        <v>25</v>
      </c>
      <c r="D2948" s="8">
        <v>0.1079</v>
      </c>
    </row>
    <row r="2949" spans="1:4">
      <c r="A2949" t="str">
        <f t="shared" si="46"/>
        <v>75Average Loss</v>
      </c>
      <c r="B2949">
        <v>75</v>
      </c>
      <c r="C2949" s="9" t="s">
        <v>29</v>
      </c>
      <c r="D2949" s="8">
        <v>-5.9400000000000001E-2</v>
      </c>
    </row>
    <row r="2950" spans="1:4">
      <c r="A2950" t="str">
        <f t="shared" si="46"/>
        <v>75Compounding Annual Return</v>
      </c>
      <c r="B2950">
        <v>75</v>
      </c>
      <c r="C2950" s="9" t="s">
        <v>30</v>
      </c>
      <c r="D2950" s="8">
        <v>0.81308999999999998</v>
      </c>
    </row>
    <row r="2951" spans="1:4">
      <c r="A2951" t="str">
        <f t="shared" si="46"/>
        <v>75Drawdown</v>
      </c>
      <c r="B2951">
        <v>75</v>
      </c>
      <c r="C2951" s="9" t="s">
        <v>8</v>
      </c>
      <c r="D2951" s="8">
        <v>0.44</v>
      </c>
    </row>
    <row r="2952" spans="1:4">
      <c r="A2952" t="str">
        <f t="shared" si="46"/>
        <v>75Expectancy</v>
      </c>
      <c r="B2952">
        <v>75</v>
      </c>
      <c r="C2952" s="9" t="s">
        <v>31</v>
      </c>
      <c r="D2952" s="8">
        <v>0.40799999999999997</v>
      </c>
    </row>
    <row r="2953" spans="1:4">
      <c r="A2953" t="str">
        <f t="shared" si="46"/>
        <v>75Net Profit</v>
      </c>
      <c r="B2953">
        <v>75</v>
      </c>
      <c r="C2953" s="9" t="s">
        <v>32</v>
      </c>
      <c r="D2953" s="8">
        <v>0.46911999999999998</v>
      </c>
    </row>
    <row r="2954" spans="1:4">
      <c r="A2954" t="str">
        <f t="shared" si="46"/>
        <v>75Loss Rate</v>
      </c>
      <c r="B2954">
        <v>75</v>
      </c>
      <c r="C2954" s="9" t="s">
        <v>33</v>
      </c>
      <c r="D2954" s="8">
        <v>0.5</v>
      </c>
    </row>
    <row r="2955" spans="1:4">
      <c r="A2955" t="str">
        <f t="shared" si="46"/>
        <v>75Win Rate</v>
      </c>
      <c r="B2955">
        <v>75</v>
      </c>
      <c r="C2955" s="9" t="s">
        <v>34</v>
      </c>
      <c r="D2955" s="8">
        <v>0.5</v>
      </c>
    </row>
    <row r="2956" spans="1:4">
      <c r="A2956" t="str">
        <f t="shared" si="46"/>
        <v>75Profit-Loss Ratio</v>
      </c>
      <c r="B2956">
        <v>75</v>
      </c>
      <c r="C2956" s="9" t="s">
        <v>26</v>
      </c>
      <c r="D2956" s="8">
        <v>1.82</v>
      </c>
    </row>
    <row r="2957" spans="1:4">
      <c r="A2957" t="str">
        <f t="shared" si="46"/>
        <v>75Alpha</v>
      </c>
      <c r="B2957">
        <v>75</v>
      </c>
      <c r="C2957" s="9" t="s">
        <v>23</v>
      </c>
      <c r="D2957" s="8">
        <v>0.93600000000000005</v>
      </c>
    </row>
    <row r="2958" spans="1:4">
      <c r="A2958" t="str">
        <f t="shared" si="46"/>
        <v>75Beta</v>
      </c>
      <c r="B2958">
        <v>75</v>
      </c>
      <c r="C2958" s="9" t="s">
        <v>24</v>
      </c>
      <c r="D2958" s="8">
        <v>0.86799999999999999</v>
      </c>
    </row>
    <row r="2959" spans="1:4">
      <c r="A2959" t="str">
        <f t="shared" si="46"/>
        <v>75Annual Standard Deviation</v>
      </c>
      <c r="B2959">
        <v>75</v>
      </c>
      <c r="C2959" s="9" t="s">
        <v>35</v>
      </c>
      <c r="D2959" s="8">
        <v>0.746</v>
      </c>
    </row>
    <row r="2960" spans="1:4">
      <c r="A2960" t="str">
        <f t="shared" si="46"/>
        <v>75Annual Variance</v>
      </c>
      <c r="B2960">
        <v>75</v>
      </c>
      <c r="C2960" s="9" t="s">
        <v>36</v>
      </c>
      <c r="D2960" s="8">
        <v>0.55600000000000005</v>
      </c>
    </row>
    <row r="2961" spans="1:4">
      <c r="A2961" t="str">
        <f t="shared" si="46"/>
        <v>75Information Ratio</v>
      </c>
      <c r="B2961">
        <v>75</v>
      </c>
      <c r="C2961" s="9" t="s">
        <v>37</v>
      </c>
      <c r="D2961" s="8">
        <v>1.2470000000000001</v>
      </c>
    </row>
    <row r="2962" spans="1:4">
      <c r="A2962" t="str">
        <f t="shared" si="46"/>
        <v>75Tracking Error</v>
      </c>
      <c r="B2962">
        <v>75</v>
      </c>
      <c r="C2962" s="9" t="s">
        <v>38</v>
      </c>
      <c r="D2962" s="8">
        <v>0.74399999999999999</v>
      </c>
    </row>
    <row r="2963" spans="1:4">
      <c r="A2963" t="str">
        <f t="shared" si="46"/>
        <v>75Treynor Ratio</v>
      </c>
      <c r="B2963">
        <v>75</v>
      </c>
      <c r="C2963" s="9" t="s">
        <v>39</v>
      </c>
      <c r="D2963" s="8">
        <v>1.1419999999999999</v>
      </c>
    </row>
    <row r="2964" spans="1:4">
      <c r="A2964" t="str">
        <f t="shared" si="46"/>
        <v>75Total Fees</v>
      </c>
      <c r="B2964">
        <v>75</v>
      </c>
      <c r="C2964" s="9" t="s">
        <v>40</v>
      </c>
      <c r="D2964" s="8">
        <v>0</v>
      </c>
    </row>
    <row r="2965" spans="1:4">
      <c r="A2965" t="str">
        <f t="shared" si="46"/>
        <v>75Estimated Strategy Capacity</v>
      </c>
      <c r="B2965">
        <v>75</v>
      </c>
      <c r="C2965" s="9" t="s">
        <v>41</v>
      </c>
      <c r="D2965" s="8">
        <v>2000000</v>
      </c>
    </row>
    <row r="2966" spans="1:4">
      <c r="A2966" t="str">
        <f t="shared" si="46"/>
        <v>74PSR</v>
      </c>
      <c r="B2966">
        <v>74</v>
      </c>
      <c r="C2966" s="9" t="s">
        <v>27</v>
      </c>
      <c r="D2966" s="8">
        <v>0.38724999999999998</v>
      </c>
    </row>
    <row r="2967" spans="1:4">
      <c r="A2967" t="str">
        <f t="shared" si="46"/>
        <v>74Sharpe Ratio</v>
      </c>
      <c r="B2967">
        <v>74</v>
      </c>
      <c r="C2967" s="9" t="s">
        <v>1</v>
      </c>
      <c r="D2967" s="8">
        <v>0.74</v>
      </c>
    </row>
    <row r="2968" spans="1:4">
      <c r="A2968" t="str">
        <f t="shared" si="46"/>
        <v>74Total Trades</v>
      </c>
      <c r="B2968">
        <v>74</v>
      </c>
      <c r="C2968" s="9" t="s">
        <v>28</v>
      </c>
      <c r="D2968" s="8">
        <v>688</v>
      </c>
    </row>
    <row r="2969" spans="1:4">
      <c r="A2969" t="str">
        <f t="shared" si="46"/>
        <v>74Average Win</v>
      </c>
      <c r="B2969">
        <v>74</v>
      </c>
      <c r="C2969" s="9" t="s">
        <v>25</v>
      </c>
      <c r="D2969" s="8">
        <v>2.24E-2</v>
      </c>
    </row>
    <row r="2970" spans="1:4">
      <c r="A2970" t="str">
        <f t="shared" si="46"/>
        <v>74Average Loss</v>
      </c>
      <c r="B2970">
        <v>74</v>
      </c>
      <c r="C2970" s="9" t="s">
        <v>29</v>
      </c>
      <c r="D2970" s="8">
        <v>-1.3599999999999999E-2</v>
      </c>
    </row>
    <row r="2971" spans="1:4">
      <c r="A2971" t="str">
        <f t="shared" si="46"/>
        <v>74Compounding Annual Return</v>
      </c>
      <c r="B2971">
        <v>74</v>
      </c>
      <c r="C2971" s="9" t="s">
        <v>30</v>
      </c>
      <c r="D2971" s="8">
        <v>0.14881</v>
      </c>
    </row>
    <row r="2972" spans="1:4">
      <c r="A2972" t="str">
        <f t="shared" si="46"/>
        <v>74Drawdown</v>
      </c>
      <c r="B2972">
        <v>74</v>
      </c>
      <c r="C2972" s="9" t="s">
        <v>8</v>
      </c>
      <c r="D2972" s="8">
        <v>0.11600000000000001</v>
      </c>
    </row>
    <row r="2973" spans="1:4">
      <c r="A2973" t="str">
        <f t="shared" si="46"/>
        <v>74Expectancy</v>
      </c>
      <c r="B2973">
        <v>74</v>
      </c>
      <c r="C2973" s="9" t="s">
        <v>31</v>
      </c>
      <c r="D2973" s="8">
        <v>0.32200000000000001</v>
      </c>
    </row>
    <row r="2974" spans="1:4">
      <c r="A2974" t="str">
        <f t="shared" si="46"/>
        <v>74Net Profit</v>
      </c>
      <c r="B2974">
        <v>74</v>
      </c>
      <c r="C2974" s="9" t="s">
        <v>32</v>
      </c>
      <c r="D2974" s="8">
        <v>9.3820000000000001E-2</v>
      </c>
    </row>
    <row r="2975" spans="1:4">
      <c r="A2975" t="str">
        <f t="shared" si="46"/>
        <v>74Loss Rate</v>
      </c>
      <c r="B2975">
        <v>74</v>
      </c>
      <c r="C2975" s="9" t="s">
        <v>33</v>
      </c>
      <c r="D2975" s="8">
        <v>0.5</v>
      </c>
    </row>
    <row r="2976" spans="1:4">
      <c r="A2976" t="str">
        <f t="shared" si="46"/>
        <v>74Win Rate</v>
      </c>
      <c r="B2976">
        <v>74</v>
      </c>
      <c r="C2976" s="9" t="s">
        <v>34</v>
      </c>
      <c r="D2976" s="8">
        <v>0.5</v>
      </c>
    </row>
    <row r="2977" spans="1:4">
      <c r="A2977" t="str">
        <f t="shared" si="46"/>
        <v>74Profit-Loss Ratio</v>
      </c>
      <c r="B2977">
        <v>74</v>
      </c>
      <c r="C2977" s="9" t="s">
        <v>26</v>
      </c>
      <c r="D2977" s="8">
        <v>1.64</v>
      </c>
    </row>
    <row r="2978" spans="1:4">
      <c r="A2978" t="str">
        <f t="shared" si="46"/>
        <v>74Alpha</v>
      </c>
      <c r="B2978">
        <v>74</v>
      </c>
      <c r="C2978" s="9" t="s">
        <v>23</v>
      </c>
      <c r="D2978" s="8">
        <v>9.9000000000000005E-2</v>
      </c>
    </row>
    <row r="2979" spans="1:4">
      <c r="A2979" t="str">
        <f t="shared" si="46"/>
        <v>74Beta</v>
      </c>
      <c r="B2979">
        <v>74</v>
      </c>
      <c r="C2979" s="9" t="s">
        <v>24</v>
      </c>
      <c r="D2979" s="8">
        <v>0.23599999999999999</v>
      </c>
    </row>
    <row r="2980" spans="1:4">
      <c r="A2980" t="str">
        <f t="shared" si="46"/>
        <v>74Annual Standard Deviation</v>
      </c>
      <c r="B2980">
        <v>74</v>
      </c>
      <c r="C2980" s="9" t="s">
        <v>35</v>
      </c>
      <c r="D2980" s="8">
        <v>0.154</v>
      </c>
    </row>
    <row r="2981" spans="1:4">
      <c r="A2981" t="str">
        <f t="shared" si="46"/>
        <v>74Annual Variance</v>
      </c>
      <c r="B2981">
        <v>74</v>
      </c>
      <c r="C2981" s="9" t="s">
        <v>36</v>
      </c>
      <c r="D2981" s="8">
        <v>2.4E-2</v>
      </c>
    </row>
    <row r="2982" spans="1:4">
      <c r="A2982" t="str">
        <f t="shared" si="46"/>
        <v>74Information Ratio</v>
      </c>
      <c r="B2982">
        <v>74</v>
      </c>
      <c r="C2982" s="9" t="s">
        <v>37</v>
      </c>
      <c r="D2982" s="8">
        <v>0.312</v>
      </c>
    </row>
    <row r="2983" spans="1:4">
      <c r="A2983" t="str">
        <f t="shared" si="46"/>
        <v>74Tracking Error</v>
      </c>
      <c r="B2983">
        <v>74</v>
      </c>
      <c r="C2983" s="9" t="s">
        <v>38</v>
      </c>
      <c r="D2983" s="8">
        <v>0.16200000000000001</v>
      </c>
    </row>
    <row r="2984" spans="1:4">
      <c r="A2984" t="str">
        <f t="shared" si="46"/>
        <v>74Treynor Ratio</v>
      </c>
      <c r="B2984">
        <v>74</v>
      </c>
      <c r="C2984" s="9" t="s">
        <v>39</v>
      </c>
      <c r="D2984" s="8">
        <v>0.48199999999999998</v>
      </c>
    </row>
    <row r="2985" spans="1:4">
      <c r="A2985" t="str">
        <f t="shared" si="46"/>
        <v>74Total Fees</v>
      </c>
      <c r="B2985">
        <v>74</v>
      </c>
      <c r="C2985" s="9" t="s">
        <v>40</v>
      </c>
      <c r="D2985" s="8">
        <v>0</v>
      </c>
    </row>
    <row r="2986" spans="1:4">
      <c r="A2986" t="str">
        <f t="shared" si="46"/>
        <v>74Estimated Strategy Capacity</v>
      </c>
      <c r="B2986">
        <v>74</v>
      </c>
      <c r="C2986" s="9" t="s">
        <v>41</v>
      </c>
      <c r="D2986" s="8">
        <v>3600000</v>
      </c>
    </row>
    <row r="2987" spans="1:4">
      <c r="A2987" t="str">
        <f t="shared" si="46"/>
        <v>73PSR</v>
      </c>
      <c r="B2987">
        <v>73</v>
      </c>
      <c r="C2987" s="9" t="s">
        <v>27</v>
      </c>
      <c r="D2987" s="8">
        <v>0.36726999999999999</v>
      </c>
    </row>
    <row r="2988" spans="1:4">
      <c r="A2988" t="str">
        <f t="shared" si="46"/>
        <v>73Sharpe Ratio</v>
      </c>
      <c r="B2988">
        <v>73</v>
      </c>
      <c r="C2988" s="9" t="s">
        <v>1</v>
      </c>
      <c r="D2988" s="8">
        <v>0.64800000000000002</v>
      </c>
    </row>
    <row r="2989" spans="1:4">
      <c r="A2989" t="str">
        <f t="shared" si="46"/>
        <v>73Total Trades</v>
      </c>
      <c r="B2989">
        <v>73</v>
      </c>
      <c r="C2989" s="9" t="s">
        <v>28</v>
      </c>
      <c r="D2989" s="8">
        <v>688</v>
      </c>
    </row>
    <row r="2990" spans="1:4">
      <c r="A2990" t="str">
        <f t="shared" si="46"/>
        <v>73Average Win</v>
      </c>
      <c r="B2990">
        <v>73</v>
      </c>
      <c r="C2990" s="9" t="s">
        <v>25</v>
      </c>
      <c r="D2990" s="8">
        <v>2.3E-3</v>
      </c>
    </row>
    <row r="2991" spans="1:4">
      <c r="A2991" t="str">
        <f t="shared" si="46"/>
        <v>73Average Loss</v>
      </c>
      <c r="B2991">
        <v>73</v>
      </c>
      <c r="C2991" s="9" t="s">
        <v>29</v>
      </c>
      <c r="D2991" s="8">
        <v>-1.4E-3</v>
      </c>
    </row>
    <row r="2992" spans="1:4">
      <c r="A2992" t="str">
        <f t="shared" si="46"/>
        <v>73Compounding Annual Return</v>
      </c>
      <c r="B2992">
        <v>73</v>
      </c>
      <c r="C2992" s="9" t="s">
        <v>30</v>
      </c>
      <c r="D2992" s="8">
        <v>1.455E-2</v>
      </c>
    </row>
    <row r="2993" spans="1:4">
      <c r="A2993" t="str">
        <f t="shared" si="46"/>
        <v>73Drawdown</v>
      </c>
      <c r="B2993">
        <v>73</v>
      </c>
      <c r="C2993" s="9" t="s">
        <v>8</v>
      </c>
      <c r="D2993" s="8">
        <v>1.2999999999999999E-2</v>
      </c>
    </row>
    <row r="2994" spans="1:4">
      <c r="A2994" t="str">
        <f t="shared" si="46"/>
        <v>73Expectancy</v>
      </c>
      <c r="B2994">
        <v>73</v>
      </c>
      <c r="C2994" s="9" t="s">
        <v>31</v>
      </c>
      <c r="D2994" s="8">
        <v>0.30099999999999999</v>
      </c>
    </row>
    <row r="2995" spans="1:4">
      <c r="A2995" t="str">
        <f t="shared" si="46"/>
        <v>73Net Profit</v>
      </c>
      <c r="B2995">
        <v>73</v>
      </c>
      <c r="C2995" s="9" t="s">
        <v>32</v>
      </c>
      <c r="D2995" s="8">
        <v>9.3799999999999994E-3</v>
      </c>
    </row>
    <row r="2996" spans="1:4">
      <c r="A2996" t="str">
        <f t="shared" si="46"/>
        <v>73Loss Rate</v>
      </c>
      <c r="B2996">
        <v>73</v>
      </c>
      <c r="C2996" s="9" t="s">
        <v>33</v>
      </c>
      <c r="D2996" s="8">
        <v>0.5</v>
      </c>
    </row>
    <row r="2997" spans="1:4">
      <c r="A2997" t="str">
        <f t="shared" si="46"/>
        <v>73Win Rate</v>
      </c>
      <c r="B2997">
        <v>73</v>
      </c>
      <c r="C2997" s="9" t="s">
        <v>34</v>
      </c>
      <c r="D2997" s="8">
        <v>0.5</v>
      </c>
    </row>
    <row r="2998" spans="1:4">
      <c r="A2998" t="str">
        <f t="shared" si="46"/>
        <v>73Profit-Loss Ratio</v>
      </c>
      <c r="B2998">
        <v>73</v>
      </c>
      <c r="C2998" s="9" t="s">
        <v>26</v>
      </c>
      <c r="D2998" s="8">
        <v>1.6</v>
      </c>
    </row>
    <row r="2999" spans="1:4">
      <c r="A2999" t="str">
        <f t="shared" si="46"/>
        <v>73Alpha</v>
      </c>
      <c r="B2999">
        <v>73</v>
      </c>
      <c r="C2999" s="9" t="s">
        <v>23</v>
      </c>
      <c r="D2999" s="8">
        <v>8.9999999999999993E-3</v>
      </c>
    </row>
    <row r="3000" spans="1:4">
      <c r="A3000" t="str">
        <f t="shared" si="46"/>
        <v>73Beta</v>
      </c>
      <c r="B3000">
        <v>73</v>
      </c>
      <c r="C3000" s="9" t="s">
        <v>24</v>
      </c>
      <c r="D3000" s="8">
        <v>2.5000000000000001E-2</v>
      </c>
    </row>
    <row r="3001" spans="1:4">
      <c r="A3001" t="str">
        <f t="shared" si="46"/>
        <v>73Annual Standard Deviation</v>
      </c>
      <c r="B3001">
        <v>73</v>
      </c>
      <c r="C3001" s="9" t="s">
        <v>35</v>
      </c>
      <c r="D3001" s="8">
        <v>1.6E-2</v>
      </c>
    </row>
    <row r="3002" spans="1:4">
      <c r="A3002" t="str">
        <f t="shared" si="46"/>
        <v>73Annual Variance</v>
      </c>
      <c r="B3002">
        <v>73</v>
      </c>
      <c r="C3002" s="9" t="s">
        <v>36</v>
      </c>
      <c r="D3002" s="8">
        <v>0</v>
      </c>
    </row>
    <row r="3003" spans="1:4">
      <c r="A3003" t="str">
        <f t="shared" si="46"/>
        <v>73Information Ratio</v>
      </c>
      <c r="B3003">
        <v>73</v>
      </c>
      <c r="C3003" s="9" t="s">
        <v>37</v>
      </c>
      <c r="D3003" s="8">
        <v>-0.8</v>
      </c>
    </row>
    <row r="3004" spans="1:4">
      <c r="A3004" t="str">
        <f t="shared" si="46"/>
        <v>73Tracking Error</v>
      </c>
      <c r="B3004">
        <v>73</v>
      </c>
      <c r="C3004" s="9" t="s">
        <v>38</v>
      </c>
      <c r="D3004" s="8">
        <v>6.7000000000000004E-2</v>
      </c>
    </row>
    <row r="3005" spans="1:4">
      <c r="A3005" t="str">
        <f t="shared" si="46"/>
        <v>73Treynor Ratio</v>
      </c>
      <c r="B3005">
        <v>73</v>
      </c>
      <c r="C3005" s="9" t="s">
        <v>39</v>
      </c>
      <c r="D3005" s="8">
        <v>0.40600000000000003</v>
      </c>
    </row>
    <row r="3006" spans="1:4">
      <c r="A3006" t="str">
        <f t="shared" si="46"/>
        <v>73Total Fees</v>
      </c>
      <c r="B3006">
        <v>73</v>
      </c>
      <c r="C3006" s="9" t="s">
        <v>40</v>
      </c>
      <c r="D3006" s="8">
        <v>0</v>
      </c>
    </row>
    <row r="3007" spans="1:4">
      <c r="A3007" t="str">
        <f t="shared" si="46"/>
        <v>73Estimated Strategy Capacity</v>
      </c>
      <c r="B3007">
        <v>73</v>
      </c>
      <c r="C3007" s="9" t="s">
        <v>41</v>
      </c>
      <c r="D3007" s="8">
        <v>16000000</v>
      </c>
    </row>
    <row r="3008" spans="1:4">
      <c r="A3008" t="str">
        <f t="shared" si="46"/>
        <v>72PSR</v>
      </c>
      <c r="B3008">
        <v>72</v>
      </c>
      <c r="C3008" s="9" t="s">
        <v>27</v>
      </c>
      <c r="D3008" s="8">
        <v>0.83565999999999996</v>
      </c>
    </row>
    <row r="3009" spans="1:4">
      <c r="A3009" t="str">
        <f t="shared" si="46"/>
        <v>72Sharpe Ratio</v>
      </c>
      <c r="B3009">
        <v>72</v>
      </c>
      <c r="C3009" s="9" t="s">
        <v>1</v>
      </c>
      <c r="D3009" s="8">
        <v>3.069</v>
      </c>
    </row>
    <row r="3010" spans="1:4">
      <c r="A3010" t="str">
        <f t="shared" si="46"/>
        <v>72Total Trades</v>
      </c>
      <c r="B3010">
        <v>72</v>
      </c>
      <c r="C3010" s="9" t="s">
        <v>28</v>
      </c>
      <c r="D3010" s="8">
        <v>492</v>
      </c>
    </row>
    <row r="3011" spans="1:4">
      <c r="A3011" t="str">
        <f t="shared" ref="A3011:A3074" si="47">B3011&amp;C3011</f>
        <v>72Average Win</v>
      </c>
      <c r="B3011">
        <v>72</v>
      </c>
      <c r="C3011" s="9" t="s">
        <v>25</v>
      </c>
      <c r="D3011" s="8">
        <v>0.1603</v>
      </c>
    </row>
    <row r="3012" spans="1:4">
      <c r="A3012" t="str">
        <f t="shared" si="47"/>
        <v>72Average Loss</v>
      </c>
      <c r="B3012">
        <v>72</v>
      </c>
      <c r="C3012" s="9" t="s">
        <v>29</v>
      </c>
      <c r="D3012" s="8">
        <v>-6.0400000000000002E-2</v>
      </c>
    </row>
    <row r="3013" spans="1:4">
      <c r="A3013" t="str">
        <f t="shared" si="47"/>
        <v>72Compounding Annual Return</v>
      </c>
      <c r="B3013">
        <v>72</v>
      </c>
      <c r="C3013" s="9" t="s">
        <v>30</v>
      </c>
      <c r="D3013" s="8">
        <v>2.5657299999999998</v>
      </c>
    </row>
    <row r="3014" spans="1:4">
      <c r="A3014" t="str">
        <f t="shared" si="47"/>
        <v>72Drawdown</v>
      </c>
      <c r="B3014">
        <v>72</v>
      </c>
      <c r="C3014" s="9" t="s">
        <v>8</v>
      </c>
      <c r="D3014" s="8">
        <v>0.314</v>
      </c>
    </row>
    <row r="3015" spans="1:4">
      <c r="A3015" t="str">
        <f t="shared" si="47"/>
        <v>72Expectancy</v>
      </c>
      <c r="B3015">
        <v>72</v>
      </c>
      <c r="C3015" s="9" t="s">
        <v>31</v>
      </c>
      <c r="D3015" s="8">
        <v>1.0549999999999999</v>
      </c>
    </row>
    <row r="3016" spans="1:4">
      <c r="A3016" t="str">
        <f t="shared" si="47"/>
        <v>72Net Profit</v>
      </c>
      <c r="B3016">
        <v>72</v>
      </c>
      <c r="C3016" s="9" t="s">
        <v>32</v>
      </c>
      <c r="D3016" s="8">
        <v>1.2747999999999999</v>
      </c>
    </row>
    <row r="3017" spans="1:4">
      <c r="A3017" t="str">
        <f t="shared" si="47"/>
        <v>72Loss Rate</v>
      </c>
      <c r="B3017">
        <v>72</v>
      </c>
      <c r="C3017" s="9" t="s">
        <v>33</v>
      </c>
      <c r="D3017" s="8">
        <v>0.44</v>
      </c>
    </row>
    <row r="3018" spans="1:4">
      <c r="A3018" t="str">
        <f t="shared" si="47"/>
        <v>72Win Rate</v>
      </c>
      <c r="B3018">
        <v>72</v>
      </c>
      <c r="C3018" s="9" t="s">
        <v>34</v>
      </c>
      <c r="D3018" s="8">
        <v>0.56000000000000005</v>
      </c>
    </row>
    <row r="3019" spans="1:4">
      <c r="A3019" t="str">
        <f t="shared" si="47"/>
        <v>72Profit-Loss Ratio</v>
      </c>
      <c r="B3019">
        <v>72</v>
      </c>
      <c r="C3019" s="9" t="s">
        <v>26</v>
      </c>
      <c r="D3019" s="8">
        <v>2.65</v>
      </c>
    </row>
    <row r="3020" spans="1:4">
      <c r="A3020" t="str">
        <f t="shared" si="47"/>
        <v>72Alpha</v>
      </c>
      <c r="B3020">
        <v>72</v>
      </c>
      <c r="C3020" s="9" t="s">
        <v>23</v>
      </c>
      <c r="D3020" s="8">
        <v>1.8280000000000001</v>
      </c>
    </row>
    <row r="3021" spans="1:4">
      <c r="A3021" t="str">
        <f t="shared" si="47"/>
        <v>72Beta</v>
      </c>
      <c r="B3021">
        <v>72</v>
      </c>
      <c r="C3021" s="9" t="s">
        <v>24</v>
      </c>
      <c r="D3021" s="8">
        <v>-0.126</v>
      </c>
    </row>
    <row r="3022" spans="1:4">
      <c r="A3022" t="str">
        <f t="shared" si="47"/>
        <v>72Annual Standard Deviation</v>
      </c>
      <c r="B3022">
        <v>72</v>
      </c>
      <c r="C3022" s="9" t="s">
        <v>35</v>
      </c>
      <c r="D3022" s="8">
        <v>0.59299999999999997</v>
      </c>
    </row>
    <row r="3023" spans="1:4">
      <c r="A3023" t="str">
        <f t="shared" si="47"/>
        <v>72Annual Variance</v>
      </c>
      <c r="B3023">
        <v>72</v>
      </c>
      <c r="C3023" s="9" t="s">
        <v>36</v>
      </c>
      <c r="D3023" s="8">
        <v>0.35199999999999998</v>
      </c>
    </row>
    <row r="3024" spans="1:4">
      <c r="A3024" t="str">
        <f t="shared" si="47"/>
        <v>72Information Ratio</v>
      </c>
      <c r="B3024">
        <v>72</v>
      </c>
      <c r="C3024" s="9" t="s">
        <v>37</v>
      </c>
      <c r="D3024" s="8">
        <v>2.9380000000000002</v>
      </c>
    </row>
    <row r="3025" spans="1:4">
      <c r="A3025" t="str">
        <f t="shared" si="47"/>
        <v>72Tracking Error</v>
      </c>
      <c r="B3025">
        <v>72</v>
      </c>
      <c r="C3025" s="9" t="s">
        <v>38</v>
      </c>
      <c r="D3025" s="8">
        <v>0.59799999999999998</v>
      </c>
    </row>
    <row r="3026" spans="1:4">
      <c r="A3026" t="str">
        <f t="shared" si="47"/>
        <v>72Treynor Ratio</v>
      </c>
      <c r="B3026">
        <v>72</v>
      </c>
      <c r="C3026" s="9" t="s">
        <v>39</v>
      </c>
      <c r="D3026" s="8">
        <v>-14.420999999999999</v>
      </c>
    </row>
    <row r="3027" spans="1:4">
      <c r="A3027" t="str">
        <f t="shared" si="47"/>
        <v>72Total Fees</v>
      </c>
      <c r="B3027">
        <v>72</v>
      </c>
      <c r="C3027" s="9" t="s">
        <v>40</v>
      </c>
      <c r="D3027" s="8">
        <v>0</v>
      </c>
    </row>
    <row r="3028" spans="1:4">
      <c r="A3028" t="str">
        <f t="shared" si="47"/>
        <v>72Estimated Strategy Capacity</v>
      </c>
      <c r="B3028">
        <v>72</v>
      </c>
      <c r="C3028" s="9" t="s">
        <v>41</v>
      </c>
      <c r="D3028" s="8">
        <v>34000000</v>
      </c>
    </row>
    <row r="3029" spans="1:4">
      <c r="A3029" t="str">
        <f t="shared" si="47"/>
        <v>71PSR</v>
      </c>
      <c r="B3029">
        <v>71</v>
      </c>
      <c r="C3029" s="9" t="s">
        <v>27</v>
      </c>
      <c r="D3029" s="8">
        <v>0.83750999999999998</v>
      </c>
    </row>
    <row r="3030" spans="1:4">
      <c r="A3030" t="str">
        <f t="shared" si="47"/>
        <v>71Sharpe Ratio</v>
      </c>
      <c r="B3030">
        <v>71</v>
      </c>
      <c r="C3030" s="9" t="s">
        <v>1</v>
      </c>
      <c r="D3030" s="8">
        <v>2.0539999999999998</v>
      </c>
    </row>
    <row r="3031" spans="1:4">
      <c r="A3031" t="str">
        <f t="shared" si="47"/>
        <v>71Total Trades</v>
      </c>
      <c r="B3031">
        <v>71</v>
      </c>
      <c r="C3031" s="9" t="s">
        <v>28</v>
      </c>
      <c r="D3031" s="8">
        <v>492</v>
      </c>
    </row>
    <row r="3032" spans="1:4">
      <c r="A3032" t="str">
        <f t="shared" si="47"/>
        <v>71Average Win</v>
      </c>
      <c r="B3032">
        <v>71</v>
      </c>
      <c r="C3032" s="9" t="s">
        <v>25</v>
      </c>
      <c r="D3032" s="8">
        <v>3.8300000000000001E-2</v>
      </c>
    </row>
    <row r="3033" spans="1:4">
      <c r="A3033" t="str">
        <f t="shared" si="47"/>
        <v>71Average Loss</v>
      </c>
      <c r="B3033">
        <v>71</v>
      </c>
      <c r="C3033" s="9" t="s">
        <v>29</v>
      </c>
      <c r="D3033" s="8">
        <v>-1.5100000000000001E-2</v>
      </c>
    </row>
    <row r="3034" spans="1:4">
      <c r="A3034" t="str">
        <f t="shared" si="47"/>
        <v>71Compounding Annual Return</v>
      </c>
      <c r="B3034">
        <v>71</v>
      </c>
      <c r="C3034" s="9" t="s">
        <v>30</v>
      </c>
      <c r="D3034" s="8">
        <v>0.42092000000000002</v>
      </c>
    </row>
    <row r="3035" spans="1:4">
      <c r="A3035" t="str">
        <f t="shared" si="47"/>
        <v>71Drawdown</v>
      </c>
      <c r="B3035">
        <v>71</v>
      </c>
      <c r="C3035" s="9" t="s">
        <v>8</v>
      </c>
      <c r="D3035" s="8">
        <v>8.6999999999999994E-2</v>
      </c>
    </row>
    <row r="3036" spans="1:4">
      <c r="A3036" t="str">
        <f t="shared" si="47"/>
        <v>71Expectancy</v>
      </c>
      <c r="B3036">
        <v>71</v>
      </c>
      <c r="C3036" s="9" t="s">
        <v>31</v>
      </c>
      <c r="D3036" s="8">
        <v>0.99099999999999999</v>
      </c>
    </row>
    <row r="3037" spans="1:4">
      <c r="A3037" t="str">
        <f t="shared" si="47"/>
        <v>71Net Profit</v>
      </c>
      <c r="B3037">
        <v>71</v>
      </c>
      <c r="C3037" s="9" t="s">
        <v>32</v>
      </c>
      <c r="D3037" s="8">
        <v>0.25496000000000002</v>
      </c>
    </row>
    <row r="3038" spans="1:4">
      <c r="A3038" t="str">
        <f t="shared" si="47"/>
        <v>71Loss Rate</v>
      </c>
      <c r="B3038">
        <v>71</v>
      </c>
      <c r="C3038" s="9" t="s">
        <v>33</v>
      </c>
      <c r="D3038" s="8">
        <v>0.44</v>
      </c>
    </row>
    <row r="3039" spans="1:4">
      <c r="A3039" t="str">
        <f t="shared" si="47"/>
        <v>71Win Rate</v>
      </c>
      <c r="B3039">
        <v>71</v>
      </c>
      <c r="C3039" s="9" t="s">
        <v>34</v>
      </c>
      <c r="D3039" s="8">
        <v>0.56000000000000005</v>
      </c>
    </row>
    <row r="3040" spans="1:4">
      <c r="A3040" t="str">
        <f t="shared" si="47"/>
        <v>71Profit-Loss Ratio</v>
      </c>
      <c r="B3040">
        <v>71</v>
      </c>
      <c r="C3040" s="9" t="s">
        <v>26</v>
      </c>
      <c r="D3040" s="8">
        <v>2.54</v>
      </c>
    </row>
    <row r="3041" spans="1:4">
      <c r="A3041" t="str">
        <f t="shared" si="47"/>
        <v>71Alpha</v>
      </c>
      <c r="B3041">
        <v>71</v>
      </c>
      <c r="C3041" s="9" t="s">
        <v>23</v>
      </c>
      <c r="D3041" s="8">
        <v>0.28899999999999998</v>
      </c>
    </row>
    <row r="3042" spans="1:4">
      <c r="A3042" t="str">
        <f t="shared" si="47"/>
        <v>71Beta</v>
      </c>
      <c r="B3042">
        <v>71</v>
      </c>
      <c r="C3042" s="9" t="s">
        <v>24</v>
      </c>
      <c r="D3042" s="8">
        <v>-1.6E-2</v>
      </c>
    </row>
    <row r="3043" spans="1:4">
      <c r="A3043" t="str">
        <f t="shared" si="47"/>
        <v>71Annual Standard Deviation</v>
      </c>
      <c r="B3043">
        <v>71</v>
      </c>
      <c r="C3043" s="9" t="s">
        <v>35</v>
      </c>
      <c r="D3043" s="8">
        <v>0.14000000000000001</v>
      </c>
    </row>
    <row r="3044" spans="1:4">
      <c r="A3044" t="str">
        <f t="shared" si="47"/>
        <v>71Annual Variance</v>
      </c>
      <c r="B3044">
        <v>71</v>
      </c>
      <c r="C3044" s="9" t="s">
        <v>36</v>
      </c>
      <c r="D3044" s="8">
        <v>0.02</v>
      </c>
    </row>
    <row r="3045" spans="1:4">
      <c r="A3045" t="str">
        <f t="shared" si="47"/>
        <v>71Information Ratio</v>
      </c>
      <c r="B3045">
        <v>71</v>
      </c>
      <c r="C3045" s="9" t="s">
        <v>37</v>
      </c>
      <c r="D3045" s="8">
        <v>1.44</v>
      </c>
    </row>
    <row r="3046" spans="1:4">
      <c r="A3046" t="str">
        <f t="shared" si="47"/>
        <v>71Tracking Error</v>
      </c>
      <c r="B3046">
        <v>71</v>
      </c>
      <c r="C3046" s="9" t="s">
        <v>38</v>
      </c>
      <c r="D3046" s="8">
        <v>0.156</v>
      </c>
    </row>
    <row r="3047" spans="1:4">
      <c r="A3047" t="str">
        <f t="shared" si="47"/>
        <v>71Treynor Ratio</v>
      </c>
      <c r="B3047">
        <v>71</v>
      </c>
      <c r="C3047" s="9" t="s">
        <v>39</v>
      </c>
      <c r="D3047" s="8">
        <v>-17.841999999999999</v>
      </c>
    </row>
    <row r="3048" spans="1:4">
      <c r="A3048" t="str">
        <f t="shared" si="47"/>
        <v>71Total Fees</v>
      </c>
      <c r="B3048">
        <v>71</v>
      </c>
      <c r="C3048" s="9" t="s">
        <v>40</v>
      </c>
      <c r="D3048" s="8">
        <v>0</v>
      </c>
    </row>
    <row r="3049" spans="1:4">
      <c r="A3049" t="str">
        <f t="shared" si="47"/>
        <v>71Estimated Strategy Capacity</v>
      </c>
      <c r="B3049">
        <v>71</v>
      </c>
      <c r="C3049" s="9" t="s">
        <v>41</v>
      </c>
      <c r="D3049" s="8">
        <v>85000000</v>
      </c>
    </row>
    <row r="3050" spans="1:4">
      <c r="A3050" t="str">
        <f t="shared" si="47"/>
        <v>70PSR</v>
      </c>
      <c r="B3050">
        <v>70</v>
      </c>
      <c r="C3050" s="9" t="s">
        <v>27</v>
      </c>
      <c r="D3050" s="8">
        <v>0.84189999999999998</v>
      </c>
    </row>
    <row r="3051" spans="1:4">
      <c r="A3051" t="str">
        <f t="shared" si="47"/>
        <v>70Sharpe Ratio</v>
      </c>
      <c r="B3051">
        <v>70</v>
      </c>
      <c r="C3051" s="9" t="s">
        <v>1</v>
      </c>
      <c r="D3051" s="8">
        <v>1.857</v>
      </c>
    </row>
    <row r="3052" spans="1:4">
      <c r="A3052" t="str">
        <f t="shared" si="47"/>
        <v>70Total Trades</v>
      </c>
      <c r="B3052">
        <v>70</v>
      </c>
      <c r="C3052" s="9" t="s">
        <v>28</v>
      </c>
      <c r="D3052" s="8">
        <v>492</v>
      </c>
    </row>
    <row r="3053" spans="1:4">
      <c r="A3053" t="str">
        <f t="shared" si="47"/>
        <v>70Average Win</v>
      </c>
      <c r="B3053">
        <v>70</v>
      </c>
      <c r="C3053" s="9" t="s">
        <v>25</v>
      </c>
      <c r="D3053" s="8">
        <v>4.1000000000000003E-3</v>
      </c>
    </row>
    <row r="3054" spans="1:4">
      <c r="A3054" t="str">
        <f t="shared" si="47"/>
        <v>70Average Loss</v>
      </c>
      <c r="B3054">
        <v>70</v>
      </c>
      <c r="C3054" s="9" t="s">
        <v>29</v>
      </c>
      <c r="D3054" s="8">
        <v>-1.6000000000000001E-3</v>
      </c>
    </row>
    <row r="3055" spans="1:4">
      <c r="A3055" t="str">
        <f t="shared" si="47"/>
        <v>70Compounding Annual Return</v>
      </c>
      <c r="B3055">
        <v>70</v>
      </c>
      <c r="C3055" s="9" t="s">
        <v>30</v>
      </c>
      <c r="D3055" s="8">
        <v>3.9710000000000002E-2</v>
      </c>
    </row>
    <row r="3056" spans="1:4">
      <c r="A3056" t="str">
        <f t="shared" si="47"/>
        <v>70Drawdown</v>
      </c>
      <c r="B3056">
        <v>70</v>
      </c>
      <c r="C3056" s="9" t="s">
        <v>8</v>
      </c>
      <c r="D3056" s="8">
        <v>0.01</v>
      </c>
    </row>
    <row r="3057" spans="1:4">
      <c r="A3057" t="str">
        <f t="shared" si="47"/>
        <v>70Expectancy</v>
      </c>
      <c r="B3057">
        <v>70</v>
      </c>
      <c r="C3057" s="9" t="s">
        <v>31</v>
      </c>
      <c r="D3057" s="8">
        <v>0.99099999999999999</v>
      </c>
    </row>
    <row r="3058" spans="1:4">
      <c r="A3058" t="str">
        <f t="shared" si="47"/>
        <v>70Net Profit</v>
      </c>
      <c r="B3058">
        <v>70</v>
      </c>
      <c r="C3058" s="9" t="s">
        <v>32</v>
      </c>
      <c r="D3058" s="8">
        <v>2.5499999999999998E-2</v>
      </c>
    </row>
    <row r="3059" spans="1:4">
      <c r="A3059" t="str">
        <f t="shared" si="47"/>
        <v>70Loss Rate</v>
      </c>
      <c r="B3059">
        <v>70</v>
      </c>
      <c r="C3059" s="9" t="s">
        <v>33</v>
      </c>
      <c r="D3059" s="8">
        <v>0.44</v>
      </c>
    </row>
    <row r="3060" spans="1:4">
      <c r="A3060" t="str">
        <f t="shared" si="47"/>
        <v>70Win Rate</v>
      </c>
      <c r="B3060">
        <v>70</v>
      </c>
      <c r="C3060" s="9" t="s">
        <v>34</v>
      </c>
      <c r="D3060" s="8">
        <v>0.56000000000000005</v>
      </c>
    </row>
    <row r="3061" spans="1:4">
      <c r="A3061" t="str">
        <f t="shared" si="47"/>
        <v>70Profit-Loss Ratio</v>
      </c>
      <c r="B3061">
        <v>70</v>
      </c>
      <c r="C3061" s="9" t="s">
        <v>26</v>
      </c>
      <c r="D3061" s="8">
        <v>2.54</v>
      </c>
    </row>
    <row r="3062" spans="1:4">
      <c r="A3062" t="str">
        <f t="shared" si="47"/>
        <v>70Alpha</v>
      </c>
      <c r="B3062">
        <v>70</v>
      </c>
      <c r="C3062" s="9" t="s">
        <v>23</v>
      </c>
      <c r="D3062" s="8">
        <v>2.8000000000000001E-2</v>
      </c>
    </row>
    <row r="3063" spans="1:4">
      <c r="A3063" t="str">
        <f t="shared" si="47"/>
        <v>70Beta</v>
      </c>
      <c r="B3063">
        <v>70</v>
      </c>
      <c r="C3063" s="9" t="s">
        <v>24</v>
      </c>
      <c r="D3063" s="8">
        <v>-1E-3</v>
      </c>
    </row>
    <row r="3064" spans="1:4">
      <c r="A3064" t="str">
        <f t="shared" si="47"/>
        <v>70Annual Standard Deviation</v>
      </c>
      <c r="B3064">
        <v>70</v>
      </c>
      <c r="C3064" s="9" t="s">
        <v>35</v>
      </c>
      <c r="D3064" s="8">
        <v>1.4999999999999999E-2</v>
      </c>
    </row>
    <row r="3065" spans="1:4">
      <c r="A3065" t="str">
        <f t="shared" si="47"/>
        <v>70Annual Variance</v>
      </c>
      <c r="B3065">
        <v>70</v>
      </c>
      <c r="C3065" s="9" t="s">
        <v>36</v>
      </c>
      <c r="D3065" s="8">
        <v>0</v>
      </c>
    </row>
    <row r="3066" spans="1:4">
      <c r="A3066" t="str">
        <f t="shared" si="47"/>
        <v>70Information Ratio</v>
      </c>
      <c r="B3066">
        <v>70</v>
      </c>
      <c r="C3066" s="9" t="s">
        <v>37</v>
      </c>
      <c r="D3066" s="8">
        <v>-0.52900000000000003</v>
      </c>
    </row>
    <row r="3067" spans="1:4">
      <c r="A3067" t="str">
        <f t="shared" si="47"/>
        <v>70Tracking Error</v>
      </c>
      <c r="B3067">
        <v>70</v>
      </c>
      <c r="C3067" s="9" t="s">
        <v>38</v>
      </c>
      <c r="D3067" s="8">
        <v>6.8000000000000005E-2</v>
      </c>
    </row>
    <row r="3068" spans="1:4">
      <c r="A3068" t="str">
        <f t="shared" si="47"/>
        <v>70Treynor Ratio</v>
      </c>
      <c r="B3068">
        <v>70</v>
      </c>
      <c r="C3068" s="9" t="s">
        <v>39</v>
      </c>
      <c r="D3068" s="8">
        <v>-23.795000000000002</v>
      </c>
    </row>
    <row r="3069" spans="1:4">
      <c r="A3069" t="str">
        <f t="shared" si="47"/>
        <v>70Total Fees</v>
      </c>
      <c r="B3069">
        <v>70</v>
      </c>
      <c r="C3069" s="9" t="s">
        <v>40</v>
      </c>
      <c r="D3069" s="8">
        <v>0</v>
      </c>
    </row>
    <row r="3070" spans="1:4">
      <c r="A3070" t="str">
        <f t="shared" si="47"/>
        <v>70Estimated Strategy Capacity</v>
      </c>
      <c r="B3070">
        <v>70</v>
      </c>
      <c r="C3070" s="9" t="s">
        <v>41</v>
      </c>
      <c r="D3070" s="8">
        <v>660000000</v>
      </c>
    </row>
    <row r="3071" spans="1:4">
      <c r="A3071" t="str">
        <f t="shared" si="47"/>
        <v>69PSR</v>
      </c>
      <c r="B3071">
        <v>69</v>
      </c>
      <c r="C3071" s="9" t="s">
        <v>27</v>
      </c>
      <c r="D3071" s="8">
        <v>0.19796</v>
      </c>
    </row>
    <row r="3072" spans="1:4">
      <c r="A3072" t="str">
        <f t="shared" si="47"/>
        <v>69Sharpe Ratio</v>
      </c>
      <c r="B3072">
        <v>69</v>
      </c>
      <c r="C3072" s="9" t="s">
        <v>1</v>
      </c>
      <c r="D3072" s="8">
        <v>0.12</v>
      </c>
    </row>
    <row r="3073" spans="1:4">
      <c r="A3073" t="str">
        <f t="shared" si="47"/>
        <v>69Total Trades</v>
      </c>
      <c r="B3073">
        <v>69</v>
      </c>
      <c r="C3073" s="9" t="s">
        <v>28</v>
      </c>
      <c r="D3073" s="8">
        <v>635</v>
      </c>
    </row>
    <row r="3074" spans="1:4">
      <c r="A3074" t="str">
        <f t="shared" si="47"/>
        <v>69Average Win</v>
      </c>
      <c r="B3074">
        <v>69</v>
      </c>
      <c r="C3074" s="9" t="s">
        <v>25</v>
      </c>
      <c r="D3074" s="8">
        <v>0.1142</v>
      </c>
    </row>
    <row r="3075" spans="1:4">
      <c r="A3075" t="str">
        <f t="shared" ref="A3075:A3138" si="48">B3075&amp;C3075</f>
        <v>69Average Loss</v>
      </c>
      <c r="B3075">
        <v>69</v>
      </c>
      <c r="C3075" s="9" t="s">
        <v>29</v>
      </c>
      <c r="D3075" s="8">
        <v>-8.0299999999999996E-2</v>
      </c>
    </row>
    <row r="3076" spans="1:4">
      <c r="A3076" t="str">
        <f t="shared" si="48"/>
        <v>69Compounding Annual Return</v>
      </c>
      <c r="B3076">
        <v>69</v>
      </c>
      <c r="C3076" s="9" t="s">
        <v>30</v>
      </c>
      <c r="D3076" s="8">
        <v>-0.51705000000000001</v>
      </c>
    </row>
    <row r="3077" spans="1:4">
      <c r="A3077" t="str">
        <f t="shared" si="48"/>
        <v>69Drawdown</v>
      </c>
      <c r="B3077">
        <v>69</v>
      </c>
      <c r="C3077" s="9" t="s">
        <v>8</v>
      </c>
      <c r="D3077" s="8">
        <v>0.621</v>
      </c>
    </row>
    <row r="3078" spans="1:4">
      <c r="A3078" t="str">
        <f t="shared" si="48"/>
        <v>69Expectancy</v>
      </c>
      <c r="B3078">
        <v>69</v>
      </c>
      <c r="C3078" s="9" t="s">
        <v>31</v>
      </c>
      <c r="D3078" s="8">
        <v>-0.13500000000000001</v>
      </c>
    </row>
    <row r="3079" spans="1:4">
      <c r="A3079" t="str">
        <f t="shared" si="48"/>
        <v>69Net Profit</v>
      </c>
      <c r="B3079">
        <v>69</v>
      </c>
      <c r="C3079" s="9" t="s">
        <v>32</v>
      </c>
      <c r="D3079" s="8">
        <v>-0.37531999999999999</v>
      </c>
    </row>
    <row r="3080" spans="1:4">
      <c r="A3080" t="str">
        <f t="shared" si="48"/>
        <v>69Loss Rate</v>
      </c>
      <c r="B3080">
        <v>69</v>
      </c>
      <c r="C3080" s="9" t="s">
        <v>33</v>
      </c>
      <c r="D3080" s="8">
        <v>0.64</v>
      </c>
    </row>
    <row r="3081" spans="1:4">
      <c r="A3081" t="str">
        <f t="shared" si="48"/>
        <v>69Win Rate</v>
      </c>
      <c r="B3081">
        <v>69</v>
      </c>
      <c r="C3081" s="9" t="s">
        <v>34</v>
      </c>
      <c r="D3081" s="8">
        <v>0.36</v>
      </c>
    </row>
    <row r="3082" spans="1:4">
      <c r="A3082" t="str">
        <f t="shared" si="48"/>
        <v>69Profit-Loss Ratio</v>
      </c>
      <c r="B3082">
        <v>69</v>
      </c>
      <c r="C3082" s="9" t="s">
        <v>26</v>
      </c>
      <c r="D3082" s="8">
        <v>1.42</v>
      </c>
    </row>
    <row r="3083" spans="1:4">
      <c r="A3083" t="str">
        <f t="shared" si="48"/>
        <v>69Alpha</v>
      </c>
      <c r="B3083">
        <v>69</v>
      </c>
      <c r="C3083" s="9" t="s">
        <v>23</v>
      </c>
      <c r="D3083" s="8">
        <v>8.6999999999999994E-2</v>
      </c>
    </row>
    <row r="3084" spans="1:4">
      <c r="A3084" t="str">
        <f t="shared" si="48"/>
        <v>69Beta</v>
      </c>
      <c r="B3084">
        <v>69</v>
      </c>
      <c r="C3084" s="9" t="s">
        <v>24</v>
      </c>
      <c r="D3084" s="8">
        <v>0.57599999999999996</v>
      </c>
    </row>
    <row r="3085" spans="1:4">
      <c r="A3085" t="str">
        <f t="shared" si="48"/>
        <v>69Annual Standard Deviation</v>
      </c>
      <c r="B3085">
        <v>69</v>
      </c>
      <c r="C3085" s="9" t="s">
        <v>35</v>
      </c>
      <c r="D3085" s="8">
        <v>1.0349999999999999</v>
      </c>
    </row>
    <row r="3086" spans="1:4">
      <c r="A3086" t="str">
        <f t="shared" si="48"/>
        <v>69Annual Variance</v>
      </c>
      <c r="B3086">
        <v>69</v>
      </c>
      <c r="C3086" s="9" t="s">
        <v>36</v>
      </c>
      <c r="D3086" s="8">
        <v>1.071</v>
      </c>
    </row>
    <row r="3087" spans="1:4">
      <c r="A3087" t="str">
        <f t="shared" si="48"/>
        <v>69Information Ratio</v>
      </c>
      <c r="B3087">
        <v>69</v>
      </c>
      <c r="C3087" s="9" t="s">
        <v>37</v>
      </c>
      <c r="D3087" s="8">
        <v>5.8000000000000003E-2</v>
      </c>
    </row>
    <row r="3088" spans="1:4">
      <c r="A3088" t="str">
        <f t="shared" si="48"/>
        <v>69Tracking Error</v>
      </c>
      <c r="B3088">
        <v>69</v>
      </c>
      <c r="C3088" s="9" t="s">
        <v>38</v>
      </c>
      <c r="D3088" s="8">
        <v>1.034</v>
      </c>
    </row>
    <row r="3089" spans="1:4">
      <c r="A3089" t="str">
        <f t="shared" si="48"/>
        <v>69Treynor Ratio</v>
      </c>
      <c r="B3089">
        <v>69</v>
      </c>
      <c r="C3089" s="9" t="s">
        <v>39</v>
      </c>
      <c r="D3089" s="8">
        <v>0.215</v>
      </c>
    </row>
    <row r="3090" spans="1:4">
      <c r="A3090" t="str">
        <f t="shared" si="48"/>
        <v>69Total Fees</v>
      </c>
      <c r="B3090">
        <v>69</v>
      </c>
      <c r="C3090" s="9" t="s">
        <v>40</v>
      </c>
      <c r="D3090" s="8">
        <v>0</v>
      </c>
    </row>
    <row r="3091" spans="1:4">
      <c r="A3091" t="str">
        <f t="shared" si="48"/>
        <v>69Estimated Strategy Capacity</v>
      </c>
      <c r="B3091">
        <v>69</v>
      </c>
      <c r="C3091" s="9" t="s">
        <v>41</v>
      </c>
      <c r="D3091" s="8">
        <v>11000000</v>
      </c>
    </row>
    <row r="3092" spans="1:4">
      <c r="A3092" t="str">
        <f t="shared" si="48"/>
        <v>68PSR</v>
      </c>
      <c r="B3092">
        <v>68</v>
      </c>
      <c r="C3092" t="s">
        <v>27</v>
      </c>
      <c r="D3092" s="6">
        <v>0.29354999999999998</v>
      </c>
    </row>
    <row r="3093" spans="1:4">
      <c r="A3093" t="str">
        <f t="shared" si="48"/>
        <v>68Sharpe Ratio</v>
      </c>
      <c r="B3093">
        <v>68</v>
      </c>
      <c r="C3093" t="s">
        <v>1</v>
      </c>
      <c r="D3093" s="6">
        <v>0.442</v>
      </c>
    </row>
    <row r="3094" spans="1:4">
      <c r="A3094" t="str">
        <f t="shared" si="48"/>
        <v>68Total Trades</v>
      </c>
      <c r="B3094">
        <v>68</v>
      </c>
      <c r="C3094" t="s">
        <v>28</v>
      </c>
      <c r="D3094" s="6">
        <v>393</v>
      </c>
    </row>
    <row r="3095" spans="1:4">
      <c r="A3095" t="str">
        <f t="shared" si="48"/>
        <v>68Average Win</v>
      </c>
      <c r="B3095">
        <v>68</v>
      </c>
      <c r="C3095" t="s">
        <v>25</v>
      </c>
      <c r="D3095" s="6">
        <v>3.7199999999999997E-2</v>
      </c>
    </row>
    <row r="3096" spans="1:4">
      <c r="A3096" t="str">
        <f t="shared" si="48"/>
        <v>68Average Loss</v>
      </c>
      <c r="B3096">
        <v>68</v>
      </c>
      <c r="C3096" t="s">
        <v>29</v>
      </c>
      <c r="D3096" s="6">
        <v>-3.39E-2</v>
      </c>
    </row>
    <row r="3097" spans="1:4">
      <c r="A3097" t="str">
        <f t="shared" si="48"/>
        <v>68Compounding Annual Return</v>
      </c>
      <c r="B3097">
        <v>68</v>
      </c>
      <c r="C3097" t="s">
        <v>30</v>
      </c>
      <c r="D3097" s="6">
        <v>8.3169999999999994E-2</v>
      </c>
    </row>
    <row r="3098" spans="1:4">
      <c r="A3098" t="str">
        <f t="shared" si="48"/>
        <v>68Drawdown</v>
      </c>
      <c r="B3098">
        <v>68</v>
      </c>
      <c r="C3098" t="s">
        <v>8</v>
      </c>
      <c r="D3098" s="6">
        <v>0.191</v>
      </c>
    </row>
    <row r="3099" spans="1:4">
      <c r="A3099" t="str">
        <f t="shared" si="48"/>
        <v>68Expectancy</v>
      </c>
      <c r="B3099">
        <v>68</v>
      </c>
      <c r="C3099" t="s">
        <v>31</v>
      </c>
      <c r="D3099" s="6">
        <v>0.128</v>
      </c>
    </row>
    <row r="3100" spans="1:4">
      <c r="A3100" t="str">
        <f t="shared" si="48"/>
        <v>68Net Profit</v>
      </c>
      <c r="B3100">
        <v>68</v>
      </c>
      <c r="C3100" t="s">
        <v>32</v>
      </c>
      <c r="D3100" s="6">
        <v>5.2769999999999997E-2</v>
      </c>
    </row>
    <row r="3101" spans="1:4">
      <c r="A3101" t="str">
        <f t="shared" si="48"/>
        <v>68Loss Rate</v>
      </c>
      <c r="B3101">
        <v>68</v>
      </c>
      <c r="C3101" t="s">
        <v>33</v>
      </c>
      <c r="D3101" s="6">
        <v>0.46</v>
      </c>
    </row>
    <row r="3102" spans="1:4">
      <c r="A3102" t="str">
        <f t="shared" si="48"/>
        <v>68Win Rate</v>
      </c>
      <c r="B3102">
        <v>68</v>
      </c>
      <c r="C3102" t="s">
        <v>34</v>
      </c>
      <c r="D3102" s="6">
        <v>0.54</v>
      </c>
    </row>
    <row r="3103" spans="1:4">
      <c r="A3103" t="str">
        <f t="shared" si="48"/>
        <v>68Profit-Loss Ratio</v>
      </c>
      <c r="B3103">
        <v>68</v>
      </c>
      <c r="C3103" t="s">
        <v>26</v>
      </c>
      <c r="D3103" s="6">
        <v>1.0900000000000001</v>
      </c>
    </row>
    <row r="3104" spans="1:4">
      <c r="A3104" t="str">
        <f t="shared" si="48"/>
        <v>68Alpha</v>
      </c>
      <c r="B3104">
        <v>68</v>
      </c>
      <c r="C3104" t="s">
        <v>23</v>
      </c>
      <c r="D3104" s="6">
        <v>7.0999999999999994E-2</v>
      </c>
    </row>
    <row r="3105" spans="1:4">
      <c r="A3105" t="str">
        <f t="shared" si="48"/>
        <v>68Beta</v>
      </c>
      <c r="B3105">
        <v>68</v>
      </c>
      <c r="C3105" t="s">
        <v>24</v>
      </c>
      <c r="D3105" s="6">
        <v>-8.9999999999999993E-3</v>
      </c>
    </row>
    <row r="3106" spans="1:4">
      <c r="A3106" t="str">
        <f t="shared" si="48"/>
        <v>68Annual Standard Deviation</v>
      </c>
      <c r="B3106">
        <v>68</v>
      </c>
      <c r="C3106" t="s">
        <v>35</v>
      </c>
      <c r="D3106" s="6">
        <v>0.159</v>
      </c>
    </row>
    <row r="3107" spans="1:4">
      <c r="A3107" t="str">
        <f t="shared" si="48"/>
        <v>68Annual Variance</v>
      </c>
      <c r="B3107">
        <v>68</v>
      </c>
      <c r="C3107" t="s">
        <v>36</v>
      </c>
      <c r="D3107" s="6">
        <v>2.5000000000000001E-2</v>
      </c>
    </row>
    <row r="3108" spans="1:4">
      <c r="A3108" t="str">
        <f t="shared" si="48"/>
        <v>68Information Ratio</v>
      </c>
      <c r="B3108">
        <v>68</v>
      </c>
      <c r="C3108" t="s">
        <v>37</v>
      </c>
      <c r="D3108" s="6">
        <v>3.7999999999999999E-2</v>
      </c>
    </row>
    <row r="3109" spans="1:4">
      <c r="A3109" t="str">
        <f t="shared" si="48"/>
        <v>68Tracking Error</v>
      </c>
      <c r="B3109">
        <v>68</v>
      </c>
      <c r="C3109" t="s">
        <v>38</v>
      </c>
      <c r="D3109" s="6">
        <v>0.17299999999999999</v>
      </c>
    </row>
    <row r="3110" spans="1:4">
      <c r="A3110" t="str">
        <f t="shared" si="48"/>
        <v>68Treynor Ratio</v>
      </c>
      <c r="B3110">
        <v>68</v>
      </c>
      <c r="C3110" t="s">
        <v>39</v>
      </c>
      <c r="D3110" s="6">
        <v>-7.6760000000000002</v>
      </c>
    </row>
    <row r="3111" spans="1:4">
      <c r="A3111" t="str">
        <f t="shared" si="48"/>
        <v>68Total Fees</v>
      </c>
      <c r="B3111">
        <v>68</v>
      </c>
      <c r="C3111" t="s">
        <v>40</v>
      </c>
      <c r="D3111" s="6">
        <v>0</v>
      </c>
    </row>
    <row r="3112" spans="1:4">
      <c r="A3112" t="str">
        <f t="shared" si="48"/>
        <v>68Estimated Strategy Capacity</v>
      </c>
      <c r="B3112">
        <v>68</v>
      </c>
      <c r="C3112" t="s">
        <v>41</v>
      </c>
      <c r="D3112" s="6">
        <v>1200000000</v>
      </c>
    </row>
    <row r="3113" spans="1:4">
      <c r="A3113" t="str">
        <f t="shared" si="48"/>
        <v>67PSR</v>
      </c>
      <c r="B3113">
        <v>67</v>
      </c>
      <c r="C3113" t="s">
        <v>27</v>
      </c>
      <c r="D3113" s="6">
        <v>0.27898000000000001</v>
      </c>
    </row>
    <row r="3114" spans="1:4">
      <c r="A3114" t="str">
        <f t="shared" si="48"/>
        <v>67Sharpe Ratio</v>
      </c>
      <c r="B3114">
        <v>67</v>
      </c>
      <c r="C3114" t="s">
        <v>1</v>
      </c>
      <c r="D3114" s="6">
        <v>0.38200000000000001</v>
      </c>
    </row>
    <row r="3115" spans="1:4">
      <c r="A3115" t="str">
        <f t="shared" si="48"/>
        <v>67Total Trades</v>
      </c>
      <c r="B3115">
        <v>67</v>
      </c>
      <c r="C3115" t="s">
        <v>28</v>
      </c>
      <c r="D3115" s="6">
        <v>393</v>
      </c>
    </row>
    <row r="3116" spans="1:4">
      <c r="A3116" t="str">
        <f t="shared" si="48"/>
        <v>67Average Win</v>
      </c>
      <c r="B3116">
        <v>67</v>
      </c>
      <c r="C3116" t="s">
        <v>25</v>
      </c>
      <c r="D3116" s="6">
        <v>3.3999999999999998E-3</v>
      </c>
    </row>
    <row r="3117" spans="1:4">
      <c r="A3117" t="str">
        <f t="shared" si="48"/>
        <v>67Average Loss</v>
      </c>
      <c r="B3117">
        <v>67</v>
      </c>
      <c r="C3117" t="s">
        <v>29</v>
      </c>
      <c r="D3117" s="6">
        <v>-3.3E-3</v>
      </c>
    </row>
    <row r="3118" spans="1:4">
      <c r="A3118" t="str">
        <f t="shared" si="48"/>
        <v>67Compounding Annual Return</v>
      </c>
      <c r="B3118">
        <v>67</v>
      </c>
      <c r="C3118" t="s">
        <v>30</v>
      </c>
      <c r="D3118" s="6">
        <v>8.2100000000000003E-3</v>
      </c>
    </row>
    <row r="3119" spans="1:4">
      <c r="A3119" t="str">
        <f t="shared" si="48"/>
        <v>67Drawdown</v>
      </c>
      <c r="B3119">
        <v>67</v>
      </c>
      <c r="C3119" t="s">
        <v>8</v>
      </c>
      <c r="D3119" s="6">
        <v>0.02</v>
      </c>
    </row>
    <row r="3120" spans="1:4">
      <c r="A3120" t="str">
        <f t="shared" si="48"/>
        <v>67Expectancy</v>
      </c>
      <c r="B3120">
        <v>67</v>
      </c>
      <c r="C3120" t="s">
        <v>31</v>
      </c>
      <c r="D3120" s="6">
        <v>0.108</v>
      </c>
    </row>
    <row r="3121" spans="1:4">
      <c r="A3121" t="str">
        <f t="shared" si="48"/>
        <v>67Net Profit</v>
      </c>
      <c r="B3121">
        <v>67</v>
      </c>
      <c r="C3121" t="s">
        <v>32</v>
      </c>
      <c r="D3121" s="6">
        <v>5.28E-3</v>
      </c>
    </row>
    <row r="3122" spans="1:4">
      <c r="A3122" t="str">
        <f t="shared" si="48"/>
        <v>67Loss Rate</v>
      </c>
      <c r="B3122">
        <v>67</v>
      </c>
      <c r="C3122" t="s">
        <v>33</v>
      </c>
      <c r="D3122" s="6">
        <v>0.46</v>
      </c>
    </row>
    <row r="3123" spans="1:4">
      <c r="A3123" t="str">
        <f t="shared" si="48"/>
        <v>67Win Rate</v>
      </c>
      <c r="B3123">
        <v>67</v>
      </c>
      <c r="C3123" t="s">
        <v>34</v>
      </c>
      <c r="D3123" s="6">
        <v>0.54</v>
      </c>
    </row>
    <row r="3124" spans="1:4">
      <c r="A3124" t="str">
        <f t="shared" si="48"/>
        <v>67Profit-Loss Ratio</v>
      </c>
      <c r="B3124">
        <v>67</v>
      </c>
      <c r="C3124" t="s">
        <v>26</v>
      </c>
      <c r="D3124" s="6">
        <v>1.06</v>
      </c>
    </row>
    <row r="3125" spans="1:4">
      <c r="A3125" t="str">
        <f t="shared" si="48"/>
        <v>67Alpha</v>
      </c>
      <c r="B3125">
        <v>67</v>
      </c>
      <c r="C3125" t="s">
        <v>23</v>
      </c>
      <c r="D3125" s="6">
        <v>6.0000000000000001E-3</v>
      </c>
    </row>
    <row r="3126" spans="1:4">
      <c r="A3126" t="str">
        <f t="shared" si="48"/>
        <v>67Beta</v>
      </c>
      <c r="B3126">
        <v>67</v>
      </c>
      <c r="C3126" t="s">
        <v>24</v>
      </c>
      <c r="D3126" s="6">
        <v>-1E-3</v>
      </c>
    </row>
    <row r="3127" spans="1:4">
      <c r="A3127" t="str">
        <f t="shared" si="48"/>
        <v>67Annual Standard Deviation</v>
      </c>
      <c r="B3127">
        <v>67</v>
      </c>
      <c r="C3127" t="s">
        <v>35</v>
      </c>
      <c r="D3127" s="6">
        <v>1.4999999999999999E-2</v>
      </c>
    </row>
    <row r="3128" spans="1:4">
      <c r="A3128" t="str">
        <f t="shared" si="48"/>
        <v>67Annual Variance</v>
      </c>
      <c r="B3128">
        <v>67</v>
      </c>
      <c r="C3128" t="s">
        <v>36</v>
      </c>
      <c r="D3128" s="6">
        <v>0</v>
      </c>
    </row>
    <row r="3129" spans="1:4">
      <c r="A3129" t="str">
        <f t="shared" si="48"/>
        <v>67Information Ratio</v>
      </c>
      <c r="B3129">
        <v>67</v>
      </c>
      <c r="C3129" t="s">
        <v>37</v>
      </c>
      <c r="D3129" s="6">
        <v>-0.84699999999999998</v>
      </c>
    </row>
    <row r="3130" spans="1:4">
      <c r="A3130" t="str">
        <f t="shared" si="48"/>
        <v>67Tracking Error</v>
      </c>
      <c r="B3130">
        <v>67</v>
      </c>
      <c r="C3130" t="s">
        <v>38</v>
      </c>
      <c r="D3130" s="6">
        <v>6.9000000000000006E-2</v>
      </c>
    </row>
    <row r="3131" spans="1:4">
      <c r="A3131" t="str">
        <f t="shared" si="48"/>
        <v>67Treynor Ratio</v>
      </c>
      <c r="B3131">
        <v>67</v>
      </c>
      <c r="C3131" t="s">
        <v>39</v>
      </c>
      <c r="D3131" s="6">
        <v>-5.5970000000000004</v>
      </c>
    </row>
    <row r="3132" spans="1:4">
      <c r="A3132" t="str">
        <f t="shared" si="48"/>
        <v>67Total Fees</v>
      </c>
      <c r="B3132">
        <v>67</v>
      </c>
      <c r="C3132" t="s">
        <v>40</v>
      </c>
      <c r="D3132" s="6">
        <v>0</v>
      </c>
    </row>
    <row r="3133" spans="1:4">
      <c r="A3133" t="str">
        <f t="shared" si="48"/>
        <v>67Estimated Strategy Capacity</v>
      </c>
      <c r="B3133">
        <v>67</v>
      </c>
      <c r="C3133" t="s">
        <v>41</v>
      </c>
      <c r="D3133" s="6">
        <v>12000000000</v>
      </c>
    </row>
    <row r="3134" spans="1:4">
      <c r="A3134" t="str">
        <f t="shared" si="48"/>
        <v>66PSR</v>
      </c>
      <c r="B3134">
        <v>66</v>
      </c>
      <c r="C3134" t="s">
        <v>27</v>
      </c>
      <c r="D3134" s="6">
        <v>0.47305000000000003</v>
      </c>
    </row>
    <row r="3135" spans="1:4">
      <c r="A3135" t="str">
        <f t="shared" si="48"/>
        <v>66Sharpe Ratio</v>
      </c>
      <c r="B3135">
        <v>66</v>
      </c>
      <c r="C3135" t="s">
        <v>1</v>
      </c>
      <c r="D3135" s="6">
        <v>1.341</v>
      </c>
    </row>
    <row r="3136" spans="1:4">
      <c r="A3136" t="str">
        <f t="shared" si="48"/>
        <v>66Total Trades</v>
      </c>
      <c r="B3136">
        <v>66</v>
      </c>
      <c r="C3136" t="s">
        <v>28</v>
      </c>
      <c r="D3136" s="6">
        <v>680</v>
      </c>
    </row>
    <row r="3137" spans="1:4">
      <c r="A3137" t="str">
        <f t="shared" si="48"/>
        <v>66Average Win</v>
      </c>
      <c r="B3137">
        <v>66</v>
      </c>
      <c r="C3137" t="s">
        <v>25</v>
      </c>
      <c r="D3137" s="6">
        <v>0.1079</v>
      </c>
    </row>
    <row r="3138" spans="1:4">
      <c r="A3138" t="str">
        <f t="shared" si="48"/>
        <v>66Average Loss</v>
      </c>
      <c r="B3138">
        <v>66</v>
      </c>
      <c r="C3138" t="s">
        <v>29</v>
      </c>
      <c r="D3138" s="6">
        <v>-5.9400000000000001E-2</v>
      </c>
    </row>
    <row r="3139" spans="1:4">
      <c r="A3139" t="str">
        <f t="shared" ref="A3139:A3202" si="49">B3139&amp;C3139</f>
        <v>66Compounding Annual Return</v>
      </c>
      <c r="B3139">
        <v>66</v>
      </c>
      <c r="C3139" t="s">
        <v>30</v>
      </c>
      <c r="D3139" s="6">
        <v>0.82528999999999997</v>
      </c>
    </row>
    <row r="3140" spans="1:4">
      <c r="A3140" t="str">
        <f t="shared" si="49"/>
        <v>66Drawdown</v>
      </c>
      <c r="B3140">
        <v>66</v>
      </c>
      <c r="C3140" t="s">
        <v>8</v>
      </c>
      <c r="D3140" s="6">
        <v>0.44</v>
      </c>
    </row>
    <row r="3141" spans="1:4">
      <c r="A3141" t="str">
        <f t="shared" si="49"/>
        <v>66Expectancy</v>
      </c>
      <c r="B3141">
        <v>66</v>
      </c>
      <c r="C3141" t="s">
        <v>31</v>
      </c>
      <c r="D3141" s="6">
        <v>0.40799999999999997</v>
      </c>
    </row>
    <row r="3142" spans="1:4">
      <c r="A3142" t="str">
        <f t="shared" si="49"/>
        <v>66Net Profit</v>
      </c>
      <c r="B3142">
        <v>66</v>
      </c>
      <c r="C3142" t="s">
        <v>32</v>
      </c>
      <c r="D3142" s="6">
        <v>0.47308</v>
      </c>
    </row>
    <row r="3143" spans="1:4">
      <c r="A3143" t="str">
        <f t="shared" si="49"/>
        <v>66Loss Rate</v>
      </c>
      <c r="B3143">
        <v>66</v>
      </c>
      <c r="C3143" t="s">
        <v>33</v>
      </c>
      <c r="D3143" s="6">
        <v>0.5</v>
      </c>
    </row>
    <row r="3144" spans="1:4">
      <c r="A3144" t="str">
        <f t="shared" si="49"/>
        <v>66Win Rate</v>
      </c>
      <c r="B3144">
        <v>66</v>
      </c>
      <c r="C3144" t="s">
        <v>34</v>
      </c>
      <c r="D3144" s="6">
        <v>0.5</v>
      </c>
    </row>
    <row r="3145" spans="1:4">
      <c r="A3145" t="str">
        <f t="shared" si="49"/>
        <v>66Profit-Loss Ratio</v>
      </c>
      <c r="B3145">
        <v>66</v>
      </c>
      <c r="C3145" t="s">
        <v>26</v>
      </c>
      <c r="D3145" s="6">
        <v>1.82</v>
      </c>
    </row>
    <row r="3146" spans="1:4">
      <c r="A3146" t="str">
        <f t="shared" si="49"/>
        <v>66Alpha</v>
      </c>
      <c r="B3146">
        <v>66</v>
      </c>
      <c r="C3146" t="s">
        <v>23</v>
      </c>
      <c r="D3146" s="6">
        <v>0.94699999999999995</v>
      </c>
    </row>
    <row r="3147" spans="1:4">
      <c r="A3147" t="str">
        <f t="shared" si="49"/>
        <v>66Beta</v>
      </c>
      <c r="B3147">
        <v>66</v>
      </c>
      <c r="C3147" t="s">
        <v>24</v>
      </c>
      <c r="D3147" s="6">
        <v>0.86699999999999999</v>
      </c>
    </row>
    <row r="3148" spans="1:4">
      <c r="A3148" t="str">
        <f t="shared" si="49"/>
        <v>66Annual Standard Deviation</v>
      </c>
      <c r="B3148">
        <v>66</v>
      </c>
      <c r="C3148" t="s">
        <v>35</v>
      </c>
      <c r="D3148" s="6">
        <v>0.747</v>
      </c>
    </row>
    <row r="3149" spans="1:4">
      <c r="A3149" t="str">
        <f t="shared" si="49"/>
        <v>66Annual Variance</v>
      </c>
      <c r="B3149">
        <v>66</v>
      </c>
      <c r="C3149" t="s">
        <v>36</v>
      </c>
      <c r="D3149" s="6">
        <v>0.55800000000000005</v>
      </c>
    </row>
    <row r="3150" spans="1:4">
      <c r="A3150" t="str">
        <f t="shared" si="49"/>
        <v>66Information Ratio</v>
      </c>
      <c r="B3150">
        <v>66</v>
      </c>
      <c r="C3150" t="s">
        <v>37</v>
      </c>
      <c r="D3150" s="6">
        <v>1.26</v>
      </c>
    </row>
    <row r="3151" spans="1:4">
      <c r="A3151" t="str">
        <f t="shared" si="49"/>
        <v>66Tracking Error</v>
      </c>
      <c r="B3151">
        <v>66</v>
      </c>
      <c r="C3151" t="s">
        <v>38</v>
      </c>
      <c r="D3151" s="6">
        <v>0.745</v>
      </c>
    </row>
    <row r="3152" spans="1:4">
      <c r="A3152" t="str">
        <f t="shared" si="49"/>
        <v>66Treynor Ratio</v>
      </c>
      <c r="B3152">
        <v>66</v>
      </c>
      <c r="C3152" t="s">
        <v>39</v>
      </c>
      <c r="D3152" s="6">
        <v>1.1559999999999999</v>
      </c>
    </row>
    <row r="3153" spans="1:4">
      <c r="A3153" t="str">
        <f t="shared" si="49"/>
        <v>66Total Fees</v>
      </c>
      <c r="B3153">
        <v>66</v>
      </c>
      <c r="C3153" t="s">
        <v>40</v>
      </c>
      <c r="D3153" s="6">
        <v>0</v>
      </c>
    </row>
    <row r="3154" spans="1:4">
      <c r="A3154" t="str">
        <f t="shared" si="49"/>
        <v>66Estimated Strategy Capacity</v>
      </c>
      <c r="B3154">
        <v>66</v>
      </c>
      <c r="C3154" t="s">
        <v>41</v>
      </c>
      <c r="D3154" s="6">
        <v>2900000</v>
      </c>
    </row>
    <row r="3155" spans="1:4">
      <c r="A3155" t="str">
        <f t="shared" si="49"/>
        <v>65PSR</v>
      </c>
      <c r="B3155">
        <v>65</v>
      </c>
      <c r="C3155" t="s">
        <v>27</v>
      </c>
      <c r="D3155" s="6">
        <v>0.38990999999999998</v>
      </c>
    </row>
    <row r="3156" spans="1:4">
      <c r="A3156" t="str">
        <f t="shared" si="49"/>
        <v>65Sharpe Ratio</v>
      </c>
      <c r="B3156">
        <v>65</v>
      </c>
      <c r="C3156" t="s">
        <v>1</v>
      </c>
      <c r="D3156" s="6">
        <v>0.747</v>
      </c>
    </row>
    <row r="3157" spans="1:4">
      <c r="A3157" t="str">
        <f t="shared" si="49"/>
        <v>65Total Trades</v>
      </c>
      <c r="B3157">
        <v>65</v>
      </c>
      <c r="C3157" t="s">
        <v>28</v>
      </c>
      <c r="D3157" s="6">
        <v>680</v>
      </c>
    </row>
    <row r="3158" spans="1:4">
      <c r="A3158" t="str">
        <f t="shared" si="49"/>
        <v>65Average Win</v>
      </c>
      <c r="B3158">
        <v>65</v>
      </c>
      <c r="C3158" t="s">
        <v>25</v>
      </c>
      <c r="D3158" s="6">
        <v>2.24E-2</v>
      </c>
    </row>
    <row r="3159" spans="1:4">
      <c r="A3159" t="str">
        <f t="shared" si="49"/>
        <v>65Average Loss</v>
      </c>
      <c r="B3159">
        <v>65</v>
      </c>
      <c r="C3159" t="s">
        <v>29</v>
      </c>
      <c r="D3159" s="6">
        <v>-1.3599999999999999E-2</v>
      </c>
    </row>
    <row r="3160" spans="1:4">
      <c r="A3160" t="str">
        <f t="shared" si="49"/>
        <v>65Compounding Annual Return</v>
      </c>
      <c r="B3160">
        <v>65</v>
      </c>
      <c r="C3160" t="s">
        <v>30</v>
      </c>
      <c r="D3160" s="6">
        <v>0.15078</v>
      </c>
    </row>
    <row r="3161" spans="1:4">
      <c r="A3161" t="str">
        <f t="shared" si="49"/>
        <v>65Drawdown</v>
      </c>
      <c r="B3161">
        <v>65</v>
      </c>
      <c r="C3161" t="s">
        <v>8</v>
      </c>
      <c r="D3161" s="6">
        <v>0.11600000000000001</v>
      </c>
    </row>
    <row r="3162" spans="1:4">
      <c r="A3162" t="str">
        <f t="shared" si="49"/>
        <v>65Expectancy</v>
      </c>
      <c r="B3162">
        <v>65</v>
      </c>
      <c r="C3162" t="s">
        <v>31</v>
      </c>
      <c r="D3162" s="6">
        <v>0.32200000000000001</v>
      </c>
    </row>
    <row r="3163" spans="1:4">
      <c r="A3163" t="str">
        <f t="shared" si="49"/>
        <v>65Net Profit</v>
      </c>
      <c r="B3163">
        <v>65</v>
      </c>
      <c r="C3163" t="s">
        <v>32</v>
      </c>
      <c r="D3163" s="6">
        <v>9.4619999999999996E-2</v>
      </c>
    </row>
    <row r="3164" spans="1:4">
      <c r="A3164" t="str">
        <f t="shared" si="49"/>
        <v>65Loss Rate</v>
      </c>
      <c r="B3164">
        <v>65</v>
      </c>
      <c r="C3164" t="s">
        <v>33</v>
      </c>
      <c r="D3164" s="6">
        <v>0.5</v>
      </c>
    </row>
    <row r="3165" spans="1:4">
      <c r="A3165" t="str">
        <f t="shared" si="49"/>
        <v>65Win Rate</v>
      </c>
      <c r="B3165">
        <v>65</v>
      </c>
      <c r="C3165" t="s">
        <v>34</v>
      </c>
      <c r="D3165" s="6">
        <v>0.5</v>
      </c>
    </row>
    <row r="3166" spans="1:4">
      <c r="A3166" t="str">
        <f t="shared" si="49"/>
        <v>65Profit-Loss Ratio</v>
      </c>
      <c r="B3166">
        <v>65</v>
      </c>
      <c r="C3166" t="s">
        <v>26</v>
      </c>
      <c r="D3166" s="6">
        <v>1.64</v>
      </c>
    </row>
    <row r="3167" spans="1:4">
      <c r="A3167" t="str">
        <f t="shared" si="49"/>
        <v>65Alpha</v>
      </c>
      <c r="B3167">
        <v>65</v>
      </c>
      <c r="C3167" t="s">
        <v>23</v>
      </c>
      <c r="D3167" s="6">
        <v>0.1</v>
      </c>
    </row>
    <row r="3168" spans="1:4">
      <c r="A3168" t="str">
        <f t="shared" si="49"/>
        <v>65Beta</v>
      </c>
      <c r="B3168">
        <v>65</v>
      </c>
      <c r="C3168" t="s">
        <v>24</v>
      </c>
      <c r="D3168" s="6">
        <v>0.23599999999999999</v>
      </c>
    </row>
    <row r="3169" spans="1:4">
      <c r="A3169" t="str">
        <f t="shared" si="49"/>
        <v>65Annual Standard Deviation</v>
      </c>
      <c r="B3169">
        <v>65</v>
      </c>
      <c r="C3169" t="s">
        <v>35</v>
      </c>
      <c r="D3169" s="6">
        <v>0.155</v>
      </c>
    </row>
    <row r="3170" spans="1:4">
      <c r="A3170" t="str">
        <f t="shared" si="49"/>
        <v>65Annual Variance</v>
      </c>
      <c r="B3170">
        <v>65</v>
      </c>
      <c r="C3170" t="s">
        <v>36</v>
      </c>
      <c r="D3170" s="6">
        <v>2.4E-2</v>
      </c>
    </row>
    <row r="3171" spans="1:4">
      <c r="A3171" t="str">
        <f t="shared" si="49"/>
        <v>65Information Ratio</v>
      </c>
      <c r="B3171">
        <v>65</v>
      </c>
      <c r="C3171" t="s">
        <v>37</v>
      </c>
      <c r="D3171" s="6">
        <v>0.318</v>
      </c>
    </row>
    <row r="3172" spans="1:4">
      <c r="A3172" t="str">
        <f t="shared" si="49"/>
        <v>65Tracking Error</v>
      </c>
      <c r="B3172">
        <v>65</v>
      </c>
      <c r="C3172" t="s">
        <v>38</v>
      </c>
      <c r="D3172" s="6">
        <v>0.16200000000000001</v>
      </c>
    </row>
    <row r="3173" spans="1:4">
      <c r="A3173" t="str">
        <f t="shared" si="49"/>
        <v>65Treynor Ratio</v>
      </c>
      <c r="B3173">
        <v>65</v>
      </c>
      <c r="C3173" t="s">
        <v>39</v>
      </c>
      <c r="D3173" s="6">
        <v>0.48899999999999999</v>
      </c>
    </row>
    <row r="3174" spans="1:4">
      <c r="A3174" t="str">
        <f t="shared" si="49"/>
        <v>65Total Fees</v>
      </c>
      <c r="B3174">
        <v>65</v>
      </c>
      <c r="C3174" t="s">
        <v>40</v>
      </c>
      <c r="D3174" s="6">
        <v>0</v>
      </c>
    </row>
    <row r="3175" spans="1:4">
      <c r="A3175" t="str">
        <f t="shared" si="49"/>
        <v>65Estimated Strategy Capacity</v>
      </c>
      <c r="B3175">
        <v>65</v>
      </c>
      <c r="C3175" t="s">
        <v>41</v>
      </c>
      <c r="D3175" s="6">
        <v>6900000</v>
      </c>
    </row>
    <row r="3176" spans="1:4">
      <c r="A3176" t="str">
        <f t="shared" si="49"/>
        <v>64PSR</v>
      </c>
      <c r="B3176">
        <v>64</v>
      </c>
      <c r="C3176" s="9" t="s">
        <v>27</v>
      </c>
      <c r="D3176" s="8">
        <v>0.86055999999999999</v>
      </c>
    </row>
    <row r="3177" spans="1:4">
      <c r="A3177" t="str">
        <f t="shared" si="49"/>
        <v>64Sharpe Ratio</v>
      </c>
      <c r="B3177">
        <v>64</v>
      </c>
      <c r="C3177" s="9" t="s">
        <v>1</v>
      </c>
      <c r="D3177" s="8">
        <v>1.8939999999999999</v>
      </c>
    </row>
    <row r="3178" spans="1:4">
      <c r="A3178" t="str">
        <f t="shared" si="49"/>
        <v>64Total Trades</v>
      </c>
      <c r="B3178">
        <v>64</v>
      </c>
      <c r="C3178" s="9" t="s">
        <v>28</v>
      </c>
      <c r="D3178" s="8">
        <v>1104</v>
      </c>
    </row>
    <row r="3179" spans="1:4">
      <c r="A3179" t="str">
        <f t="shared" si="49"/>
        <v>64Average Win</v>
      </c>
      <c r="B3179">
        <v>64</v>
      </c>
      <c r="C3179" s="9" t="s">
        <v>25</v>
      </c>
      <c r="D3179" s="8">
        <v>3.0000000000000001E-3</v>
      </c>
    </row>
    <row r="3180" spans="1:4">
      <c r="A3180" t="str">
        <f t="shared" si="49"/>
        <v>64Average Loss</v>
      </c>
      <c r="B3180">
        <v>64</v>
      </c>
      <c r="C3180" s="9" t="s">
        <v>29</v>
      </c>
      <c r="D3180" s="8">
        <v>-1.1000000000000001E-3</v>
      </c>
    </row>
    <row r="3181" spans="1:4">
      <c r="A3181" t="str">
        <f t="shared" si="49"/>
        <v>64Compounding Annual Return</v>
      </c>
      <c r="B3181">
        <v>64</v>
      </c>
      <c r="C3181" s="9" t="s">
        <v>30</v>
      </c>
      <c r="D3181" s="8">
        <v>4.3619999999999999E-2</v>
      </c>
    </row>
    <row r="3182" spans="1:4">
      <c r="A3182" t="str">
        <f t="shared" si="49"/>
        <v>64Drawdown</v>
      </c>
      <c r="B3182">
        <v>64</v>
      </c>
      <c r="C3182" s="9" t="s">
        <v>8</v>
      </c>
      <c r="D3182" s="8">
        <v>0.01</v>
      </c>
    </row>
    <row r="3183" spans="1:4">
      <c r="A3183" t="str">
        <f t="shared" si="49"/>
        <v>64Expectancy</v>
      </c>
      <c r="B3183">
        <v>64</v>
      </c>
      <c r="C3183" s="9" t="s">
        <v>31</v>
      </c>
      <c r="D3183" s="8">
        <v>0.72899999999999998</v>
      </c>
    </row>
    <row r="3184" spans="1:4">
      <c r="A3184" t="str">
        <f t="shared" si="49"/>
        <v>64Net Profit</v>
      </c>
      <c r="B3184">
        <v>64</v>
      </c>
      <c r="C3184" s="9" t="s">
        <v>32</v>
      </c>
      <c r="D3184" s="8">
        <v>2.7990000000000001E-2</v>
      </c>
    </row>
    <row r="3185" spans="1:4">
      <c r="A3185" t="str">
        <f t="shared" si="49"/>
        <v>64Loss Rate</v>
      </c>
      <c r="B3185">
        <v>64</v>
      </c>
      <c r="C3185" s="9" t="s">
        <v>33</v>
      </c>
      <c r="D3185" s="8">
        <v>0.53</v>
      </c>
    </row>
    <row r="3186" spans="1:4">
      <c r="A3186" t="str">
        <f t="shared" si="49"/>
        <v>64Win Rate</v>
      </c>
      <c r="B3186">
        <v>64</v>
      </c>
      <c r="C3186" s="9" t="s">
        <v>34</v>
      </c>
      <c r="D3186" s="8">
        <v>0.47</v>
      </c>
    </row>
    <row r="3187" spans="1:4">
      <c r="A3187" t="str">
        <f t="shared" si="49"/>
        <v>64Profit-Loss Ratio</v>
      </c>
      <c r="B3187">
        <v>64</v>
      </c>
      <c r="C3187" s="9" t="s">
        <v>26</v>
      </c>
      <c r="D3187" s="8">
        <v>2.66</v>
      </c>
    </row>
    <row r="3188" spans="1:4">
      <c r="A3188" t="str">
        <f t="shared" si="49"/>
        <v>64Alpha</v>
      </c>
      <c r="B3188">
        <v>64</v>
      </c>
      <c r="C3188" s="9" t="s">
        <v>23</v>
      </c>
      <c r="D3188" s="8">
        <v>2.8000000000000001E-2</v>
      </c>
    </row>
    <row r="3189" spans="1:4">
      <c r="A3189" t="str">
        <f t="shared" si="49"/>
        <v>64Beta</v>
      </c>
      <c r="B3189">
        <v>64</v>
      </c>
      <c r="C3189" s="9" t="s">
        <v>24</v>
      </c>
      <c r="D3189" s="8">
        <v>3.3000000000000002E-2</v>
      </c>
    </row>
    <row r="3190" spans="1:4">
      <c r="A3190" t="str">
        <f t="shared" si="49"/>
        <v>64Annual Standard Deviation</v>
      </c>
      <c r="B3190">
        <v>64</v>
      </c>
      <c r="C3190" s="9" t="s">
        <v>35</v>
      </c>
      <c r="D3190" s="8">
        <v>1.6E-2</v>
      </c>
    </row>
    <row r="3191" spans="1:4">
      <c r="A3191" t="str">
        <f t="shared" si="49"/>
        <v>64Annual Variance</v>
      </c>
      <c r="B3191">
        <v>64</v>
      </c>
      <c r="C3191" s="9" t="s">
        <v>36</v>
      </c>
      <c r="D3191" s="8">
        <v>0</v>
      </c>
    </row>
    <row r="3192" spans="1:4">
      <c r="A3192" t="str">
        <f t="shared" si="49"/>
        <v>64Information Ratio</v>
      </c>
      <c r="B3192">
        <v>64</v>
      </c>
      <c r="C3192" s="9" t="s">
        <v>37</v>
      </c>
      <c r="D3192" s="8">
        <v>-0.505</v>
      </c>
    </row>
    <row r="3193" spans="1:4">
      <c r="A3193" t="str">
        <f t="shared" si="49"/>
        <v>64Tracking Error</v>
      </c>
      <c r="B3193">
        <v>64</v>
      </c>
      <c r="C3193" s="9" t="s">
        <v>38</v>
      </c>
      <c r="D3193" s="8">
        <v>6.6000000000000003E-2</v>
      </c>
    </row>
    <row r="3194" spans="1:4">
      <c r="A3194" t="str">
        <f t="shared" si="49"/>
        <v>64Treynor Ratio</v>
      </c>
      <c r="B3194">
        <v>64</v>
      </c>
      <c r="C3194" s="9" t="s">
        <v>39</v>
      </c>
      <c r="D3194" s="8">
        <v>0.90800000000000003</v>
      </c>
    </row>
    <row r="3195" spans="1:4">
      <c r="A3195" t="str">
        <f t="shared" si="49"/>
        <v>64Total Fees</v>
      </c>
      <c r="B3195">
        <v>64</v>
      </c>
      <c r="C3195" s="9" t="s">
        <v>40</v>
      </c>
      <c r="D3195" s="8">
        <v>0</v>
      </c>
    </row>
    <row r="3196" spans="1:4">
      <c r="A3196" t="str">
        <f t="shared" si="49"/>
        <v>64Estimated Strategy Capacity</v>
      </c>
      <c r="B3196">
        <v>64</v>
      </c>
      <c r="C3196" s="9" t="s">
        <v>41</v>
      </c>
      <c r="D3196" s="8">
        <v>120000000</v>
      </c>
    </row>
    <row r="3197" spans="1:4">
      <c r="A3197" t="str">
        <f t="shared" si="49"/>
        <v>48PSR</v>
      </c>
      <c r="B3197">
        <v>48</v>
      </c>
      <c r="C3197" t="s">
        <v>27</v>
      </c>
      <c r="D3197" s="6">
        <v>7.4310000000000001E-2</v>
      </c>
    </row>
    <row r="3198" spans="1:4">
      <c r="A3198" t="str">
        <f t="shared" si="49"/>
        <v>48Sharpe Ratio</v>
      </c>
      <c r="B3198">
        <v>48</v>
      </c>
      <c r="C3198" t="s">
        <v>1</v>
      </c>
      <c r="D3198" s="6">
        <v>-0.45100000000000001</v>
      </c>
    </row>
    <row r="3199" spans="1:4">
      <c r="A3199" t="str">
        <f t="shared" si="49"/>
        <v>48Total Trades</v>
      </c>
      <c r="B3199">
        <v>48</v>
      </c>
      <c r="C3199" t="s">
        <v>28</v>
      </c>
      <c r="D3199" s="6">
        <v>603</v>
      </c>
    </row>
    <row r="3200" spans="1:4">
      <c r="A3200" t="str">
        <f t="shared" si="49"/>
        <v>48Average Win</v>
      </c>
      <c r="B3200">
        <v>48</v>
      </c>
      <c r="C3200" t="s">
        <v>25</v>
      </c>
      <c r="D3200" s="6">
        <v>6.9500000000000006E-2</v>
      </c>
    </row>
    <row r="3201" spans="1:4">
      <c r="A3201" t="str">
        <f t="shared" si="49"/>
        <v>48Average Loss</v>
      </c>
      <c r="B3201">
        <v>48</v>
      </c>
      <c r="C3201" t="s">
        <v>29</v>
      </c>
      <c r="D3201" s="6">
        <v>-9.1600000000000001E-2</v>
      </c>
    </row>
    <row r="3202" spans="1:4">
      <c r="A3202" t="str">
        <f t="shared" si="49"/>
        <v>48Compounding Annual Return</v>
      </c>
      <c r="B3202">
        <v>48</v>
      </c>
      <c r="C3202" t="s">
        <v>30</v>
      </c>
      <c r="D3202" s="6">
        <v>-0.38225999999999999</v>
      </c>
    </row>
    <row r="3203" spans="1:4">
      <c r="A3203" t="str">
        <f t="shared" ref="A3203:A3266" si="50">B3203&amp;C3203</f>
        <v>48Drawdown</v>
      </c>
      <c r="B3203">
        <v>48</v>
      </c>
      <c r="C3203" t="s">
        <v>8</v>
      </c>
      <c r="D3203" s="6">
        <v>0.498</v>
      </c>
    </row>
    <row r="3204" spans="1:4">
      <c r="A3204" t="str">
        <f t="shared" si="50"/>
        <v>48Expectancy</v>
      </c>
      <c r="B3204">
        <v>48</v>
      </c>
      <c r="C3204" t="s">
        <v>31</v>
      </c>
      <c r="D3204" s="6">
        <v>-0.121</v>
      </c>
    </row>
    <row r="3205" spans="1:4">
      <c r="A3205" t="str">
        <f t="shared" si="50"/>
        <v>48Net Profit</v>
      </c>
      <c r="B3205">
        <v>48</v>
      </c>
      <c r="C3205" t="s">
        <v>32</v>
      </c>
      <c r="D3205" s="6">
        <v>-0.26661000000000001</v>
      </c>
    </row>
    <row r="3206" spans="1:4">
      <c r="A3206" t="str">
        <f t="shared" si="50"/>
        <v>48Loss Rate</v>
      </c>
      <c r="B3206">
        <v>48</v>
      </c>
      <c r="C3206" t="s">
        <v>33</v>
      </c>
      <c r="D3206" s="6">
        <v>0.5</v>
      </c>
    </row>
    <row r="3207" spans="1:4">
      <c r="A3207" t="str">
        <f t="shared" si="50"/>
        <v>48Win Rate</v>
      </c>
      <c r="B3207">
        <v>48</v>
      </c>
      <c r="C3207" t="s">
        <v>34</v>
      </c>
      <c r="D3207" s="6">
        <v>0.5</v>
      </c>
    </row>
    <row r="3208" spans="1:4">
      <c r="A3208" t="str">
        <f t="shared" si="50"/>
        <v>48Profit-Loss Ratio</v>
      </c>
      <c r="B3208">
        <v>48</v>
      </c>
      <c r="C3208" t="s">
        <v>26</v>
      </c>
      <c r="D3208" s="6">
        <v>0.76</v>
      </c>
    </row>
    <row r="3209" spans="1:4">
      <c r="A3209" t="str">
        <f t="shared" si="50"/>
        <v>48Alpha</v>
      </c>
      <c r="B3209">
        <v>48</v>
      </c>
      <c r="C3209" t="s">
        <v>23</v>
      </c>
      <c r="D3209" s="6">
        <v>-0.315</v>
      </c>
    </row>
    <row r="3210" spans="1:4">
      <c r="A3210" t="str">
        <f t="shared" si="50"/>
        <v>48Beta</v>
      </c>
      <c r="B3210">
        <v>48</v>
      </c>
      <c r="C3210" t="s">
        <v>24</v>
      </c>
      <c r="D3210" s="6">
        <v>1.7090000000000001</v>
      </c>
    </row>
    <row r="3211" spans="1:4">
      <c r="A3211" t="str">
        <f t="shared" si="50"/>
        <v>48Annual Standard Deviation</v>
      </c>
      <c r="B3211">
        <v>48</v>
      </c>
      <c r="C3211" t="s">
        <v>35</v>
      </c>
      <c r="D3211" s="6">
        <v>0.45500000000000002</v>
      </c>
    </row>
    <row r="3212" spans="1:4">
      <c r="A3212" t="str">
        <f t="shared" si="50"/>
        <v>48Annual Variance</v>
      </c>
      <c r="B3212">
        <v>48</v>
      </c>
      <c r="C3212" t="s">
        <v>36</v>
      </c>
      <c r="D3212" s="6">
        <v>0.20699999999999999</v>
      </c>
    </row>
    <row r="3213" spans="1:4">
      <c r="A3213" t="str">
        <f t="shared" si="50"/>
        <v>48Information Ratio</v>
      </c>
      <c r="B3213">
        <v>48</v>
      </c>
      <c r="C3213" t="s">
        <v>37</v>
      </c>
      <c r="D3213" s="6">
        <v>-0.60799999999999998</v>
      </c>
    </row>
    <row r="3214" spans="1:4">
      <c r="A3214" t="str">
        <f t="shared" si="50"/>
        <v>48Tracking Error</v>
      </c>
      <c r="B3214">
        <v>48</v>
      </c>
      <c r="C3214" t="s">
        <v>38</v>
      </c>
      <c r="D3214" s="6">
        <v>0.443</v>
      </c>
    </row>
    <row r="3215" spans="1:4">
      <c r="A3215" t="str">
        <f t="shared" si="50"/>
        <v>48Treynor Ratio</v>
      </c>
      <c r="B3215">
        <v>48</v>
      </c>
      <c r="C3215" t="s">
        <v>39</v>
      </c>
      <c r="D3215" s="6">
        <v>-0.12</v>
      </c>
    </row>
    <row r="3216" spans="1:4">
      <c r="A3216" t="str">
        <f t="shared" si="50"/>
        <v>48Total Fees</v>
      </c>
      <c r="B3216">
        <v>48</v>
      </c>
      <c r="C3216" t="s">
        <v>40</v>
      </c>
      <c r="D3216" s="6">
        <v>0</v>
      </c>
    </row>
    <row r="3217" spans="1:4">
      <c r="A3217" t="str">
        <f t="shared" si="50"/>
        <v>48Estimated Strategy Capacity</v>
      </c>
      <c r="B3217">
        <v>48</v>
      </c>
      <c r="C3217" t="s">
        <v>41</v>
      </c>
      <c r="D3217" s="6">
        <v>110000000</v>
      </c>
    </row>
    <row r="3218" spans="1:4">
      <c r="A3218" t="str">
        <f t="shared" si="50"/>
        <v>47PSR</v>
      </c>
      <c r="B3218">
        <v>47</v>
      </c>
      <c r="C3218" t="s">
        <v>27</v>
      </c>
      <c r="D3218" s="6">
        <v>4.675E-2</v>
      </c>
    </row>
    <row r="3219" spans="1:4">
      <c r="A3219" t="str">
        <f t="shared" si="50"/>
        <v>47Sharpe Ratio</v>
      </c>
      <c r="B3219">
        <v>47</v>
      </c>
      <c r="C3219" t="s">
        <v>1</v>
      </c>
      <c r="D3219" s="6">
        <v>-0.71599999999999997</v>
      </c>
    </row>
    <row r="3220" spans="1:4">
      <c r="A3220" t="str">
        <f t="shared" si="50"/>
        <v>47Total Trades</v>
      </c>
      <c r="B3220">
        <v>47</v>
      </c>
      <c r="C3220" t="s">
        <v>28</v>
      </c>
      <c r="D3220" s="6">
        <v>603</v>
      </c>
    </row>
    <row r="3221" spans="1:4">
      <c r="A3221" t="str">
        <f t="shared" si="50"/>
        <v>47Average Win</v>
      </c>
      <c r="B3221">
        <v>47</v>
      </c>
      <c r="C3221" t="s">
        <v>25</v>
      </c>
      <c r="D3221" s="6">
        <v>1.06E-2</v>
      </c>
    </row>
    <row r="3222" spans="1:4">
      <c r="A3222" t="str">
        <f t="shared" si="50"/>
        <v>47Average Loss</v>
      </c>
      <c r="B3222">
        <v>47</v>
      </c>
      <c r="C3222" t="s">
        <v>29</v>
      </c>
      <c r="D3222" s="6">
        <v>-1.5800000000000002E-2</v>
      </c>
    </row>
    <row r="3223" spans="1:4">
      <c r="A3223" t="str">
        <f t="shared" si="50"/>
        <v>47Compounding Annual Return</v>
      </c>
      <c r="B3223">
        <v>47</v>
      </c>
      <c r="C3223" t="s">
        <v>30</v>
      </c>
      <c r="D3223" s="6">
        <v>-8.1600000000000006E-2</v>
      </c>
    </row>
    <row r="3224" spans="1:4">
      <c r="A3224" t="str">
        <f t="shared" si="50"/>
        <v>47Drawdown</v>
      </c>
      <c r="B3224">
        <v>47</v>
      </c>
      <c r="C3224" t="s">
        <v>8</v>
      </c>
      <c r="D3224" s="6">
        <v>0.108</v>
      </c>
    </row>
    <row r="3225" spans="1:4">
      <c r="A3225" t="str">
        <f t="shared" si="50"/>
        <v>47Expectancy</v>
      </c>
      <c r="B3225">
        <v>47</v>
      </c>
      <c r="C3225" t="s">
        <v>31</v>
      </c>
      <c r="D3225" s="6">
        <v>-0.16500000000000001</v>
      </c>
    </row>
    <row r="3226" spans="1:4">
      <c r="A3226" t="str">
        <f t="shared" si="50"/>
        <v>47Net Profit</v>
      </c>
      <c r="B3226">
        <v>47</v>
      </c>
      <c r="C3226" t="s">
        <v>32</v>
      </c>
      <c r="D3226" s="6">
        <v>-5.3319999999999999E-2</v>
      </c>
    </row>
    <row r="3227" spans="1:4">
      <c r="A3227" t="str">
        <f t="shared" si="50"/>
        <v>47Loss Rate</v>
      </c>
      <c r="B3227">
        <v>47</v>
      </c>
      <c r="C3227" t="s">
        <v>33</v>
      </c>
      <c r="D3227" s="6">
        <v>0.5</v>
      </c>
    </row>
    <row r="3228" spans="1:4">
      <c r="A3228" t="str">
        <f t="shared" si="50"/>
        <v>47Win Rate</v>
      </c>
      <c r="B3228">
        <v>47</v>
      </c>
      <c r="C3228" t="s">
        <v>34</v>
      </c>
      <c r="D3228" s="6">
        <v>0.5</v>
      </c>
    </row>
    <row r="3229" spans="1:4">
      <c r="A3229" t="str">
        <f t="shared" si="50"/>
        <v>47Profit-Loss Ratio</v>
      </c>
      <c r="B3229">
        <v>47</v>
      </c>
      <c r="C3229" t="s">
        <v>26</v>
      </c>
      <c r="D3229" s="6">
        <v>0.67</v>
      </c>
    </row>
    <row r="3230" spans="1:4">
      <c r="A3230" t="str">
        <f t="shared" si="50"/>
        <v>47Alpha</v>
      </c>
      <c r="B3230">
        <v>47</v>
      </c>
      <c r="C3230" t="s">
        <v>23</v>
      </c>
      <c r="D3230" s="6">
        <v>-7.1999999999999995E-2</v>
      </c>
    </row>
    <row r="3231" spans="1:4">
      <c r="A3231" t="str">
        <f t="shared" si="50"/>
        <v>47Beta</v>
      </c>
      <c r="B3231">
        <v>47</v>
      </c>
      <c r="C3231" t="s">
        <v>24</v>
      </c>
      <c r="D3231" s="6">
        <v>0.27900000000000003</v>
      </c>
    </row>
    <row r="3232" spans="1:4">
      <c r="A3232" t="str">
        <f t="shared" si="50"/>
        <v>47Annual Standard Deviation</v>
      </c>
      <c r="B3232">
        <v>47</v>
      </c>
      <c r="C3232" t="s">
        <v>35</v>
      </c>
      <c r="D3232" s="6">
        <v>7.5999999999999998E-2</v>
      </c>
    </row>
    <row r="3233" spans="1:4">
      <c r="A3233" t="str">
        <f t="shared" si="50"/>
        <v>47Annual Variance</v>
      </c>
      <c r="B3233">
        <v>47</v>
      </c>
      <c r="C3233" t="s">
        <v>36</v>
      </c>
      <c r="D3233" s="6">
        <v>6.0000000000000001E-3</v>
      </c>
    </row>
    <row r="3234" spans="1:4">
      <c r="A3234" t="str">
        <f t="shared" si="50"/>
        <v>47Information Ratio</v>
      </c>
      <c r="B3234">
        <v>47</v>
      </c>
      <c r="C3234" t="s">
        <v>37</v>
      </c>
      <c r="D3234" s="6">
        <v>-1.343</v>
      </c>
    </row>
    <row r="3235" spans="1:4">
      <c r="A3235" t="str">
        <f t="shared" si="50"/>
        <v>47Tracking Error</v>
      </c>
      <c r="B3235">
        <v>47</v>
      </c>
      <c r="C3235" t="s">
        <v>38</v>
      </c>
      <c r="D3235" s="6">
        <v>8.7999999999999995E-2</v>
      </c>
    </row>
    <row r="3236" spans="1:4">
      <c r="A3236" t="str">
        <f t="shared" si="50"/>
        <v>47Treynor Ratio</v>
      </c>
      <c r="B3236">
        <v>47</v>
      </c>
      <c r="C3236" t="s">
        <v>39</v>
      </c>
      <c r="D3236" s="6">
        <v>-0.19600000000000001</v>
      </c>
    </row>
    <row r="3237" spans="1:4">
      <c r="A3237" t="str">
        <f t="shared" si="50"/>
        <v>47Total Fees</v>
      </c>
      <c r="B3237">
        <v>47</v>
      </c>
      <c r="C3237" t="s">
        <v>40</v>
      </c>
      <c r="D3237" s="6">
        <v>0</v>
      </c>
    </row>
    <row r="3238" spans="1:4">
      <c r="A3238" t="str">
        <f t="shared" si="50"/>
        <v>47Estimated Strategy Capacity</v>
      </c>
      <c r="B3238">
        <v>47</v>
      </c>
      <c r="C3238" t="s">
        <v>41</v>
      </c>
      <c r="D3238" s="6">
        <v>730000000</v>
      </c>
    </row>
    <row r="3239" spans="1:4">
      <c r="A3239" t="str">
        <f t="shared" si="50"/>
        <v>46PSR</v>
      </c>
      <c r="B3239">
        <v>46</v>
      </c>
      <c r="C3239" t="s">
        <v>27</v>
      </c>
      <c r="D3239" s="6">
        <v>4.299E-2</v>
      </c>
    </row>
    <row r="3240" spans="1:4">
      <c r="A3240" t="str">
        <f t="shared" si="50"/>
        <v>46Sharpe Ratio</v>
      </c>
      <c r="B3240">
        <v>46</v>
      </c>
      <c r="C3240" t="s">
        <v>1</v>
      </c>
      <c r="D3240" s="6">
        <v>-0.77200000000000002</v>
      </c>
    </row>
    <row r="3241" spans="1:4">
      <c r="A3241" t="str">
        <f t="shared" si="50"/>
        <v>46Total Trades</v>
      </c>
      <c r="B3241">
        <v>46</v>
      </c>
      <c r="C3241" t="s">
        <v>28</v>
      </c>
      <c r="D3241" s="6">
        <v>603</v>
      </c>
    </row>
    <row r="3242" spans="1:4">
      <c r="A3242" t="str">
        <f t="shared" si="50"/>
        <v>46Average Win</v>
      </c>
      <c r="B3242">
        <v>46</v>
      </c>
      <c r="C3242" t="s">
        <v>25</v>
      </c>
      <c r="D3242" s="6">
        <v>1E-3</v>
      </c>
    </row>
    <row r="3243" spans="1:4">
      <c r="A3243" t="str">
        <f t="shared" si="50"/>
        <v>46Average Loss</v>
      </c>
      <c r="B3243">
        <v>46</v>
      </c>
      <c r="C3243" t="s">
        <v>29</v>
      </c>
      <c r="D3243" s="6">
        <v>-1.5E-3</v>
      </c>
    </row>
    <row r="3244" spans="1:4">
      <c r="A3244" t="str">
        <f t="shared" si="50"/>
        <v>46Compounding Annual Return</v>
      </c>
      <c r="B3244">
        <v>46</v>
      </c>
      <c r="C3244" t="s">
        <v>30</v>
      </c>
      <c r="D3244" s="6">
        <v>-8.2699999999999996E-3</v>
      </c>
    </row>
    <row r="3245" spans="1:4">
      <c r="A3245" t="str">
        <f t="shared" si="50"/>
        <v>46Drawdown</v>
      </c>
      <c r="B3245">
        <v>46</v>
      </c>
      <c r="C3245" t="s">
        <v>8</v>
      </c>
      <c r="D3245" s="6">
        <v>1.0999999999999999E-2</v>
      </c>
    </row>
    <row r="3246" spans="1:4">
      <c r="A3246" t="str">
        <f t="shared" si="50"/>
        <v>46Expectancy</v>
      </c>
      <c r="B3246">
        <v>46</v>
      </c>
      <c r="C3246" t="s">
        <v>31</v>
      </c>
      <c r="D3246" s="6">
        <v>-0.17199999999999999</v>
      </c>
    </row>
    <row r="3247" spans="1:4">
      <c r="A3247" t="str">
        <f t="shared" si="50"/>
        <v>46Net Profit</v>
      </c>
      <c r="B3247">
        <v>46</v>
      </c>
      <c r="C3247" t="s">
        <v>32</v>
      </c>
      <c r="D3247" s="6">
        <v>-5.3299999999999997E-3</v>
      </c>
    </row>
    <row r="3248" spans="1:4">
      <c r="A3248" t="str">
        <f t="shared" si="50"/>
        <v>46Loss Rate</v>
      </c>
      <c r="B3248">
        <v>46</v>
      </c>
      <c r="C3248" t="s">
        <v>33</v>
      </c>
      <c r="D3248" s="6">
        <v>0.5</v>
      </c>
    </row>
    <row r="3249" spans="1:4">
      <c r="A3249" t="str">
        <f t="shared" si="50"/>
        <v>46Win Rate</v>
      </c>
      <c r="B3249">
        <v>46</v>
      </c>
      <c r="C3249" t="s">
        <v>34</v>
      </c>
      <c r="D3249" s="6">
        <v>0.5</v>
      </c>
    </row>
    <row r="3250" spans="1:4">
      <c r="A3250" t="str">
        <f t="shared" si="50"/>
        <v>46Profit-Loss Ratio</v>
      </c>
      <c r="B3250">
        <v>46</v>
      </c>
      <c r="C3250" t="s">
        <v>26</v>
      </c>
      <c r="D3250" s="6">
        <v>0.66</v>
      </c>
    </row>
    <row r="3251" spans="1:4">
      <c r="A3251" t="str">
        <f t="shared" si="50"/>
        <v>46Alpha</v>
      </c>
      <c r="B3251">
        <v>46</v>
      </c>
      <c r="C3251" t="s">
        <v>23</v>
      </c>
      <c r="D3251" s="6">
        <v>-7.0000000000000001E-3</v>
      </c>
    </row>
    <row r="3252" spans="1:4">
      <c r="A3252" t="str">
        <f t="shared" si="50"/>
        <v>46Beta</v>
      </c>
      <c r="B3252">
        <v>46</v>
      </c>
      <c r="C3252" t="s">
        <v>24</v>
      </c>
      <c r="D3252" s="6">
        <v>2.7E-2</v>
      </c>
    </row>
    <row r="3253" spans="1:4">
      <c r="A3253" t="str">
        <f t="shared" si="50"/>
        <v>46Annual Standard Deviation</v>
      </c>
      <c r="B3253">
        <v>46</v>
      </c>
      <c r="C3253" t="s">
        <v>35</v>
      </c>
      <c r="D3253" s="6">
        <v>7.0000000000000001E-3</v>
      </c>
    </row>
    <row r="3254" spans="1:4">
      <c r="A3254" t="str">
        <f t="shared" si="50"/>
        <v>46Annual Variance</v>
      </c>
      <c r="B3254">
        <v>46</v>
      </c>
      <c r="C3254" t="s">
        <v>36</v>
      </c>
      <c r="D3254" s="6">
        <v>0</v>
      </c>
    </row>
    <row r="3255" spans="1:4">
      <c r="A3255" t="str">
        <f t="shared" si="50"/>
        <v>46Information Ratio</v>
      </c>
      <c r="B3255">
        <v>46</v>
      </c>
      <c r="C3255" t="s">
        <v>37</v>
      </c>
      <c r="D3255" s="6">
        <v>-1.0660000000000001</v>
      </c>
    </row>
    <row r="3256" spans="1:4">
      <c r="A3256" t="str">
        <f t="shared" si="50"/>
        <v>46Tracking Error</v>
      </c>
      <c r="B3256">
        <v>46</v>
      </c>
      <c r="C3256" t="s">
        <v>38</v>
      </c>
      <c r="D3256" s="6">
        <v>6.5000000000000002E-2</v>
      </c>
    </row>
    <row r="3257" spans="1:4">
      <c r="A3257" t="str">
        <f t="shared" si="50"/>
        <v>46Treynor Ratio</v>
      </c>
      <c r="B3257">
        <v>46</v>
      </c>
      <c r="C3257" t="s">
        <v>39</v>
      </c>
      <c r="D3257" s="6">
        <v>-0.21299999999999999</v>
      </c>
    </row>
    <row r="3258" spans="1:4">
      <c r="A3258" t="str">
        <f t="shared" si="50"/>
        <v>46Total Fees</v>
      </c>
      <c r="B3258">
        <v>46</v>
      </c>
      <c r="C3258" t="s">
        <v>40</v>
      </c>
      <c r="D3258" s="6">
        <v>0</v>
      </c>
    </row>
    <row r="3259" spans="1:4">
      <c r="A3259" t="str">
        <f t="shared" si="50"/>
        <v>46Estimated Strategy Capacity</v>
      </c>
      <c r="B3259">
        <v>46</v>
      </c>
      <c r="C3259" t="s">
        <v>41</v>
      </c>
      <c r="D3259" s="6">
        <v>7700000000</v>
      </c>
    </row>
    <row r="3260" spans="1:4">
      <c r="A3260" t="str">
        <f t="shared" si="50"/>
        <v>54PSR</v>
      </c>
      <c r="B3260">
        <v>54</v>
      </c>
      <c r="C3260" s="9" t="s">
        <v>27</v>
      </c>
      <c r="D3260" s="8">
        <v>6.241E-2</v>
      </c>
    </row>
    <row r="3261" spans="1:4">
      <c r="A3261" t="str">
        <f t="shared" si="50"/>
        <v>54Sharpe Ratio</v>
      </c>
      <c r="B3261">
        <v>54</v>
      </c>
      <c r="C3261" s="9" t="s">
        <v>1</v>
      </c>
      <c r="D3261" s="8">
        <v>-0.433</v>
      </c>
    </row>
    <row r="3262" spans="1:4">
      <c r="A3262" t="str">
        <f t="shared" si="50"/>
        <v>54Total Trades</v>
      </c>
      <c r="B3262">
        <v>54</v>
      </c>
      <c r="C3262" s="9" t="s">
        <v>28</v>
      </c>
      <c r="D3262" s="8">
        <v>238</v>
      </c>
    </row>
    <row r="3263" spans="1:4">
      <c r="A3263" t="str">
        <f t="shared" si="50"/>
        <v>54Average Win</v>
      </c>
      <c r="B3263">
        <v>54</v>
      </c>
      <c r="C3263" s="9" t="s">
        <v>25</v>
      </c>
      <c r="D3263" s="8">
        <v>0.29680000000000001</v>
      </c>
    </row>
    <row r="3264" spans="1:4">
      <c r="A3264" t="str">
        <f t="shared" si="50"/>
        <v>54Average Loss</v>
      </c>
      <c r="B3264">
        <v>54</v>
      </c>
      <c r="C3264" s="9" t="s">
        <v>29</v>
      </c>
      <c r="D3264" s="8">
        <v>-0.1416</v>
      </c>
    </row>
    <row r="3265" spans="1:4">
      <c r="A3265" t="str">
        <f t="shared" si="50"/>
        <v>54Compounding Annual Return</v>
      </c>
      <c r="B3265">
        <v>54</v>
      </c>
      <c r="C3265" s="9" t="s">
        <v>30</v>
      </c>
      <c r="D3265" s="8">
        <v>-0.84867999999999999</v>
      </c>
    </row>
    <row r="3266" spans="1:4">
      <c r="A3266" t="str">
        <f t="shared" si="50"/>
        <v>54Drawdown</v>
      </c>
      <c r="B3266">
        <v>54</v>
      </c>
      <c r="C3266" s="9" t="s">
        <v>8</v>
      </c>
      <c r="D3266" s="8">
        <v>0.75</v>
      </c>
    </row>
    <row r="3267" spans="1:4">
      <c r="A3267" t="str">
        <f t="shared" ref="A3267:A3330" si="51">B3267&amp;C3267</f>
        <v>54Expectancy</v>
      </c>
      <c r="B3267">
        <v>54</v>
      </c>
      <c r="C3267" s="9" t="s">
        <v>31</v>
      </c>
      <c r="D3267" s="8">
        <v>-0.69</v>
      </c>
    </row>
    <row r="3268" spans="1:4">
      <c r="A3268" t="str">
        <f t="shared" si="51"/>
        <v>54Net Profit</v>
      </c>
      <c r="B3268">
        <v>54</v>
      </c>
      <c r="C3268" s="9" t="s">
        <v>32</v>
      </c>
      <c r="D3268" s="8">
        <v>-0.70499000000000001</v>
      </c>
    </row>
    <row r="3269" spans="1:4">
      <c r="A3269" t="str">
        <f t="shared" si="51"/>
        <v>54Loss Rate</v>
      </c>
      <c r="B3269">
        <v>54</v>
      </c>
      <c r="C3269" s="9" t="s">
        <v>33</v>
      </c>
      <c r="D3269" s="8">
        <v>0.9</v>
      </c>
    </row>
    <row r="3270" spans="1:4">
      <c r="A3270" t="str">
        <f t="shared" si="51"/>
        <v>54Win Rate</v>
      </c>
      <c r="B3270">
        <v>54</v>
      </c>
      <c r="C3270" s="9" t="s">
        <v>34</v>
      </c>
      <c r="D3270" s="8">
        <v>0.1</v>
      </c>
    </row>
    <row r="3271" spans="1:4">
      <c r="A3271" t="str">
        <f t="shared" si="51"/>
        <v>54Profit-Loss Ratio</v>
      </c>
      <c r="B3271">
        <v>54</v>
      </c>
      <c r="C3271" s="9" t="s">
        <v>26</v>
      </c>
      <c r="D3271" s="8">
        <v>2.1</v>
      </c>
    </row>
    <row r="3272" spans="1:4">
      <c r="A3272" t="str">
        <f t="shared" si="51"/>
        <v>54Alpha</v>
      </c>
      <c r="B3272">
        <v>54</v>
      </c>
      <c r="C3272" s="9" t="s">
        <v>23</v>
      </c>
      <c r="D3272" s="8">
        <v>-0.94299999999999995</v>
      </c>
    </row>
    <row r="3273" spans="1:4">
      <c r="A3273" t="str">
        <f t="shared" si="51"/>
        <v>54Beta</v>
      </c>
      <c r="B3273">
        <v>54</v>
      </c>
      <c r="C3273" s="9" t="s">
        <v>24</v>
      </c>
      <c r="D3273" s="8">
        <v>7.2210000000000001</v>
      </c>
    </row>
    <row r="3274" spans="1:4">
      <c r="A3274" t="str">
        <f t="shared" si="51"/>
        <v>54Annual Standard Deviation</v>
      </c>
      <c r="B3274">
        <v>54</v>
      </c>
      <c r="C3274" s="9" t="s">
        <v>35</v>
      </c>
      <c r="D3274" s="8">
        <v>1.115</v>
      </c>
    </row>
    <row r="3275" spans="1:4">
      <c r="A3275" t="str">
        <f t="shared" si="51"/>
        <v>54Annual Variance</v>
      </c>
      <c r="B3275">
        <v>54</v>
      </c>
      <c r="C3275" s="9" t="s">
        <v>36</v>
      </c>
      <c r="D3275" s="8">
        <v>1.2430000000000001</v>
      </c>
    </row>
    <row r="3276" spans="1:4">
      <c r="A3276" t="str">
        <f t="shared" si="51"/>
        <v>54Information Ratio</v>
      </c>
      <c r="B3276">
        <v>54</v>
      </c>
      <c r="C3276" s="9" t="s">
        <v>37</v>
      </c>
      <c r="D3276" s="8">
        <v>-0.503</v>
      </c>
    </row>
    <row r="3277" spans="1:4">
      <c r="A3277" t="str">
        <f t="shared" si="51"/>
        <v>54Tracking Error</v>
      </c>
      <c r="B3277">
        <v>54</v>
      </c>
      <c r="C3277" s="9" t="s">
        <v>38</v>
      </c>
      <c r="D3277" s="8">
        <v>1.0880000000000001</v>
      </c>
    </row>
    <row r="3278" spans="1:4">
      <c r="A3278" t="str">
        <f t="shared" si="51"/>
        <v>54Treynor Ratio</v>
      </c>
      <c r="B3278">
        <v>54</v>
      </c>
      <c r="C3278" s="9" t="s">
        <v>39</v>
      </c>
      <c r="D3278" s="8">
        <v>-6.7000000000000004E-2</v>
      </c>
    </row>
    <row r="3279" spans="1:4">
      <c r="A3279" t="str">
        <f t="shared" si="51"/>
        <v>54Total Fees</v>
      </c>
      <c r="B3279">
        <v>54</v>
      </c>
      <c r="C3279" s="9" t="s">
        <v>40</v>
      </c>
      <c r="D3279" s="8">
        <v>0</v>
      </c>
    </row>
    <row r="3280" spans="1:4">
      <c r="A3280" t="str">
        <f t="shared" si="51"/>
        <v>54Estimated Strategy Capacity</v>
      </c>
      <c r="B3280">
        <v>54</v>
      </c>
      <c r="C3280" s="9" t="s">
        <v>41</v>
      </c>
      <c r="D3280" s="8">
        <v>250000000</v>
      </c>
    </row>
    <row r="3281" spans="1:4">
      <c r="A3281" t="str">
        <f t="shared" si="51"/>
        <v>53PSR</v>
      </c>
      <c r="B3281">
        <v>53</v>
      </c>
      <c r="C3281" t="s">
        <v>27</v>
      </c>
      <c r="D3281" s="6">
        <v>9.8899999999999995E-3</v>
      </c>
    </row>
    <row r="3282" spans="1:4">
      <c r="A3282" t="str">
        <f t="shared" si="51"/>
        <v>53Sharpe Ratio</v>
      </c>
      <c r="B3282">
        <v>53</v>
      </c>
      <c r="C3282" t="s">
        <v>1</v>
      </c>
      <c r="D3282" s="6">
        <v>-1.157</v>
      </c>
    </row>
    <row r="3283" spans="1:4">
      <c r="A3283" t="str">
        <f t="shared" si="51"/>
        <v>53Total Trades</v>
      </c>
      <c r="B3283">
        <v>53</v>
      </c>
      <c r="C3283" t="s">
        <v>28</v>
      </c>
      <c r="D3283" s="6">
        <v>241</v>
      </c>
    </row>
    <row r="3284" spans="1:4">
      <c r="A3284" t="str">
        <f t="shared" si="51"/>
        <v>53Average Win</v>
      </c>
      <c r="B3284">
        <v>53</v>
      </c>
      <c r="C3284" t="s">
        <v>25</v>
      </c>
      <c r="D3284" s="6">
        <v>2.5700000000000001E-2</v>
      </c>
    </row>
    <row r="3285" spans="1:4">
      <c r="A3285" t="str">
        <f t="shared" si="51"/>
        <v>53Average Loss</v>
      </c>
      <c r="B3285">
        <v>53</v>
      </c>
      <c r="C3285" t="s">
        <v>29</v>
      </c>
      <c r="D3285" s="6">
        <v>-2.7099999999999999E-2</v>
      </c>
    </row>
    <row r="3286" spans="1:4">
      <c r="A3286" t="str">
        <f t="shared" si="51"/>
        <v>53Compounding Annual Return</v>
      </c>
      <c r="B3286">
        <v>53</v>
      </c>
      <c r="C3286" t="s">
        <v>30</v>
      </c>
      <c r="D3286" s="6">
        <v>-0.23042000000000001</v>
      </c>
    </row>
    <row r="3287" spans="1:4">
      <c r="A3287" t="str">
        <f t="shared" si="51"/>
        <v>53Drawdown</v>
      </c>
      <c r="B3287">
        <v>53</v>
      </c>
      <c r="C3287" t="s">
        <v>8</v>
      </c>
      <c r="D3287" s="6">
        <v>0.18099999999999999</v>
      </c>
    </row>
    <row r="3288" spans="1:4">
      <c r="A3288" t="str">
        <f t="shared" si="51"/>
        <v>53Expectancy</v>
      </c>
      <c r="B3288">
        <v>53</v>
      </c>
      <c r="C3288" t="s">
        <v>31</v>
      </c>
      <c r="D3288" s="6">
        <v>-0.75700000000000001</v>
      </c>
    </row>
    <row r="3289" spans="1:4">
      <c r="A3289" t="str">
        <f t="shared" si="51"/>
        <v>53Net Profit</v>
      </c>
      <c r="B3289">
        <v>53</v>
      </c>
      <c r="C3289" t="s">
        <v>32</v>
      </c>
      <c r="D3289" s="6">
        <v>-0.15515000000000001</v>
      </c>
    </row>
    <row r="3290" spans="1:4">
      <c r="A3290" t="str">
        <f t="shared" si="51"/>
        <v>53Loss Rate</v>
      </c>
      <c r="B3290">
        <v>53</v>
      </c>
      <c r="C3290" t="s">
        <v>33</v>
      </c>
      <c r="D3290" s="6">
        <v>0.88</v>
      </c>
    </row>
    <row r="3291" spans="1:4">
      <c r="A3291" t="str">
        <f t="shared" si="51"/>
        <v>53Win Rate</v>
      </c>
      <c r="B3291">
        <v>53</v>
      </c>
      <c r="C3291" t="s">
        <v>34</v>
      </c>
      <c r="D3291" s="6">
        <v>0.12</v>
      </c>
    </row>
    <row r="3292" spans="1:4">
      <c r="A3292" t="str">
        <f t="shared" si="51"/>
        <v>53Profit-Loss Ratio</v>
      </c>
      <c r="B3292">
        <v>53</v>
      </c>
      <c r="C3292" t="s">
        <v>26</v>
      </c>
      <c r="D3292" s="6">
        <v>0.95</v>
      </c>
    </row>
    <row r="3293" spans="1:4">
      <c r="A3293" t="str">
        <f t="shared" si="51"/>
        <v>53Alpha</v>
      </c>
      <c r="B3293">
        <v>53</v>
      </c>
      <c r="C3293" t="s">
        <v>23</v>
      </c>
      <c r="D3293" s="6">
        <v>-0.215</v>
      </c>
    </row>
    <row r="3294" spans="1:4">
      <c r="A3294" t="str">
        <f t="shared" si="51"/>
        <v>53Beta</v>
      </c>
      <c r="B3294">
        <v>53</v>
      </c>
      <c r="C3294" t="s">
        <v>24</v>
      </c>
      <c r="D3294" s="6">
        <v>0.88500000000000001</v>
      </c>
    </row>
    <row r="3295" spans="1:4">
      <c r="A3295" t="str">
        <f t="shared" si="51"/>
        <v>53Annual Standard Deviation</v>
      </c>
      <c r="B3295">
        <v>53</v>
      </c>
      <c r="C3295" t="s">
        <v>35</v>
      </c>
      <c r="D3295" s="6">
        <v>0.13700000000000001</v>
      </c>
    </row>
    <row r="3296" spans="1:4">
      <c r="A3296" t="str">
        <f t="shared" si="51"/>
        <v>53Annual Variance</v>
      </c>
      <c r="B3296">
        <v>53</v>
      </c>
      <c r="C3296" t="s">
        <v>36</v>
      </c>
      <c r="D3296" s="6">
        <v>1.9E-2</v>
      </c>
    </row>
    <row r="3297" spans="1:4">
      <c r="A3297" t="str">
        <f t="shared" si="51"/>
        <v>53Information Ratio</v>
      </c>
      <c r="B3297">
        <v>53</v>
      </c>
      <c r="C3297" t="s">
        <v>37</v>
      </c>
      <c r="D3297" s="6">
        <v>-1.8</v>
      </c>
    </row>
    <row r="3298" spans="1:4">
      <c r="A3298" t="str">
        <f t="shared" si="51"/>
        <v>53Tracking Error</v>
      </c>
      <c r="B3298">
        <v>53</v>
      </c>
      <c r="C3298" t="s">
        <v>38</v>
      </c>
      <c r="D3298" s="6">
        <v>0.123</v>
      </c>
    </row>
    <row r="3299" spans="1:4">
      <c r="A3299" t="str">
        <f t="shared" si="51"/>
        <v>53Treynor Ratio</v>
      </c>
      <c r="B3299">
        <v>53</v>
      </c>
      <c r="C3299" t="s">
        <v>39</v>
      </c>
      <c r="D3299" s="6">
        <v>-0.17899999999999999</v>
      </c>
    </row>
    <row r="3300" spans="1:4">
      <c r="A3300" t="str">
        <f t="shared" si="51"/>
        <v>53Total Fees</v>
      </c>
      <c r="B3300">
        <v>53</v>
      </c>
      <c r="C3300" t="s">
        <v>40</v>
      </c>
      <c r="D3300" s="6">
        <v>0</v>
      </c>
    </row>
    <row r="3301" spans="1:4">
      <c r="A3301" t="str">
        <f t="shared" si="51"/>
        <v>53Estimated Strategy Capacity</v>
      </c>
      <c r="B3301">
        <v>53</v>
      </c>
      <c r="C3301" t="s">
        <v>41</v>
      </c>
      <c r="D3301" s="6">
        <v>3800000000</v>
      </c>
    </row>
    <row r="3302" spans="1:4">
      <c r="A3302" t="str">
        <f t="shared" si="51"/>
        <v>52PSR</v>
      </c>
      <c r="B3302">
        <v>52</v>
      </c>
      <c r="C3302" t="s">
        <v>27</v>
      </c>
      <c r="D3302" s="6">
        <v>7.9399999999999991E-3</v>
      </c>
    </row>
    <row r="3303" spans="1:4">
      <c r="A3303" t="str">
        <f t="shared" si="51"/>
        <v>52Sharpe Ratio</v>
      </c>
      <c r="B3303">
        <v>52</v>
      </c>
      <c r="C3303" t="s">
        <v>1</v>
      </c>
      <c r="D3303" s="6">
        <v>-1.3</v>
      </c>
    </row>
    <row r="3304" spans="1:4">
      <c r="A3304" t="str">
        <f t="shared" si="51"/>
        <v>52Total Trades</v>
      </c>
      <c r="B3304">
        <v>52</v>
      </c>
      <c r="C3304" t="s">
        <v>28</v>
      </c>
      <c r="D3304" s="6">
        <v>241</v>
      </c>
    </row>
    <row r="3305" spans="1:4">
      <c r="A3305" t="str">
        <f t="shared" si="51"/>
        <v>52Average Win</v>
      </c>
      <c r="B3305">
        <v>52</v>
      </c>
      <c r="C3305" t="s">
        <v>25</v>
      </c>
      <c r="D3305" s="6">
        <v>2.2000000000000001E-3</v>
      </c>
    </row>
    <row r="3306" spans="1:4">
      <c r="A3306" t="str">
        <f t="shared" si="51"/>
        <v>52Average Loss</v>
      </c>
      <c r="B3306">
        <v>52</v>
      </c>
      <c r="C3306" t="s">
        <v>29</v>
      </c>
      <c r="D3306" s="6">
        <v>-2.5000000000000001E-3</v>
      </c>
    </row>
    <row r="3307" spans="1:4">
      <c r="A3307" t="str">
        <f t="shared" si="51"/>
        <v>52Compounding Annual Return</v>
      </c>
      <c r="B3307">
        <v>52</v>
      </c>
      <c r="C3307" t="s">
        <v>30</v>
      </c>
      <c r="D3307" s="6">
        <v>-2.4E-2</v>
      </c>
    </row>
    <row r="3308" spans="1:4">
      <c r="A3308" t="str">
        <f t="shared" si="51"/>
        <v>52Drawdown</v>
      </c>
      <c r="B3308">
        <v>52</v>
      </c>
      <c r="C3308" t="s">
        <v>8</v>
      </c>
      <c r="D3308" s="6">
        <v>1.9E-2</v>
      </c>
    </row>
    <row r="3309" spans="1:4">
      <c r="A3309" t="str">
        <f t="shared" si="51"/>
        <v>52Expectancy</v>
      </c>
      <c r="B3309">
        <v>52</v>
      </c>
      <c r="C3309" t="s">
        <v>31</v>
      </c>
      <c r="D3309" s="6">
        <v>-0.76500000000000001</v>
      </c>
    </row>
    <row r="3310" spans="1:4">
      <c r="A3310" t="str">
        <f t="shared" si="51"/>
        <v>52Net Profit</v>
      </c>
      <c r="B3310">
        <v>52</v>
      </c>
      <c r="C3310" t="s">
        <v>32</v>
      </c>
      <c r="D3310" s="6">
        <v>-1.5509999999999999E-2</v>
      </c>
    </row>
    <row r="3311" spans="1:4">
      <c r="A3311" t="str">
        <f t="shared" si="51"/>
        <v>52Loss Rate</v>
      </c>
      <c r="B3311">
        <v>52</v>
      </c>
      <c r="C3311" t="s">
        <v>33</v>
      </c>
      <c r="D3311" s="6">
        <v>0.88</v>
      </c>
    </row>
    <row r="3312" spans="1:4">
      <c r="A3312" t="str">
        <f t="shared" si="51"/>
        <v>52Win Rate</v>
      </c>
      <c r="B3312">
        <v>52</v>
      </c>
      <c r="C3312" t="s">
        <v>34</v>
      </c>
      <c r="D3312" s="6">
        <v>0.12</v>
      </c>
    </row>
    <row r="3313" spans="1:4">
      <c r="A3313" t="str">
        <f t="shared" si="51"/>
        <v>52Profit-Loss Ratio</v>
      </c>
      <c r="B3313">
        <v>52</v>
      </c>
      <c r="C3313" t="s">
        <v>26</v>
      </c>
      <c r="D3313" s="6">
        <v>0.88</v>
      </c>
    </row>
    <row r="3314" spans="1:4">
      <c r="A3314" t="str">
        <f t="shared" si="51"/>
        <v>52Alpha</v>
      </c>
      <c r="B3314">
        <v>52</v>
      </c>
      <c r="C3314" t="s">
        <v>23</v>
      </c>
      <c r="D3314" s="6">
        <v>-2.1999999999999999E-2</v>
      </c>
    </row>
    <row r="3315" spans="1:4">
      <c r="A3315" t="str">
        <f t="shared" si="51"/>
        <v>52Beta</v>
      </c>
      <c r="B3315">
        <v>52</v>
      </c>
      <c r="C3315" t="s">
        <v>24</v>
      </c>
      <c r="D3315" s="6">
        <v>8.2000000000000003E-2</v>
      </c>
    </row>
    <row r="3316" spans="1:4">
      <c r="A3316" t="str">
        <f t="shared" si="51"/>
        <v>52Annual Standard Deviation</v>
      </c>
      <c r="B3316">
        <v>52</v>
      </c>
      <c r="C3316" t="s">
        <v>35</v>
      </c>
      <c r="D3316" s="6">
        <v>1.2999999999999999E-2</v>
      </c>
    </row>
    <row r="3317" spans="1:4">
      <c r="A3317" t="str">
        <f t="shared" si="51"/>
        <v>52Annual Variance</v>
      </c>
      <c r="B3317">
        <v>52</v>
      </c>
      <c r="C3317" t="s">
        <v>36</v>
      </c>
      <c r="D3317" s="6">
        <v>0</v>
      </c>
    </row>
    <row r="3318" spans="1:4">
      <c r="A3318" t="str">
        <f t="shared" si="51"/>
        <v>52Information Ratio</v>
      </c>
      <c r="B3318">
        <v>52</v>
      </c>
      <c r="C3318" t="s">
        <v>37</v>
      </c>
      <c r="D3318" s="6">
        <v>-1.29</v>
      </c>
    </row>
    <row r="3319" spans="1:4">
      <c r="A3319" t="str">
        <f t="shared" si="51"/>
        <v>52Tracking Error</v>
      </c>
      <c r="B3319">
        <v>52</v>
      </c>
      <c r="C3319" t="s">
        <v>38</v>
      </c>
      <c r="D3319" s="6">
        <v>6.2E-2</v>
      </c>
    </row>
    <row r="3320" spans="1:4">
      <c r="A3320" t="str">
        <f t="shared" si="51"/>
        <v>52Treynor Ratio</v>
      </c>
      <c r="B3320">
        <v>52</v>
      </c>
      <c r="C3320" t="s">
        <v>39</v>
      </c>
      <c r="D3320" s="6">
        <v>-0.20300000000000001</v>
      </c>
    </row>
    <row r="3321" spans="1:4">
      <c r="A3321" t="str">
        <f t="shared" si="51"/>
        <v>52Total Fees</v>
      </c>
      <c r="B3321">
        <v>52</v>
      </c>
      <c r="C3321" t="s">
        <v>40</v>
      </c>
      <c r="D3321" s="6">
        <v>0</v>
      </c>
    </row>
    <row r="3322" spans="1:4">
      <c r="A3322" t="str">
        <f t="shared" si="51"/>
        <v>52Estimated Strategy Capacity</v>
      </c>
      <c r="B3322">
        <v>52</v>
      </c>
      <c r="C3322" t="s">
        <v>41</v>
      </c>
      <c r="D3322" s="6">
        <v>45000000000</v>
      </c>
    </row>
    <row r="3323" spans="1:4">
      <c r="A3323" t="str">
        <f t="shared" si="51"/>
        <v>51PSR</v>
      </c>
      <c r="B3323">
        <v>51</v>
      </c>
      <c r="C3323" t="s">
        <v>27</v>
      </c>
      <c r="D3323" s="6">
        <v>0.38490999999999997</v>
      </c>
    </row>
    <row r="3324" spans="1:4">
      <c r="A3324" t="str">
        <f t="shared" si="51"/>
        <v>51Sharpe Ratio</v>
      </c>
      <c r="B3324">
        <v>51</v>
      </c>
      <c r="C3324" t="s">
        <v>1</v>
      </c>
      <c r="D3324" s="6">
        <v>0.8</v>
      </c>
    </row>
    <row r="3325" spans="1:4">
      <c r="A3325" t="str">
        <f t="shared" si="51"/>
        <v>51Total Trades</v>
      </c>
      <c r="B3325">
        <v>51</v>
      </c>
      <c r="C3325" t="s">
        <v>28</v>
      </c>
      <c r="D3325" s="6">
        <v>354</v>
      </c>
    </row>
    <row r="3326" spans="1:4">
      <c r="A3326" t="str">
        <f t="shared" si="51"/>
        <v>51Average Win</v>
      </c>
      <c r="B3326">
        <v>51</v>
      </c>
      <c r="C3326" t="s">
        <v>25</v>
      </c>
      <c r="D3326" s="6">
        <v>0.16220000000000001</v>
      </c>
    </row>
    <row r="3327" spans="1:4">
      <c r="A3327" t="str">
        <f t="shared" si="51"/>
        <v>51Average Loss</v>
      </c>
      <c r="B3327">
        <v>51</v>
      </c>
      <c r="C3327" t="s">
        <v>29</v>
      </c>
      <c r="D3327" s="6">
        <v>-5.1900000000000002E-2</v>
      </c>
    </row>
    <row r="3328" spans="1:4">
      <c r="A3328" t="str">
        <f t="shared" si="51"/>
        <v>51Compounding Annual Return</v>
      </c>
      <c r="B3328">
        <v>51</v>
      </c>
      <c r="C3328" t="s">
        <v>30</v>
      </c>
      <c r="D3328" s="6">
        <v>0.32729999999999998</v>
      </c>
    </row>
    <row r="3329" spans="1:4">
      <c r="A3329" t="str">
        <f t="shared" si="51"/>
        <v>51Drawdown</v>
      </c>
      <c r="B3329">
        <v>51</v>
      </c>
      <c r="C3329" t="s">
        <v>8</v>
      </c>
      <c r="D3329" s="6">
        <v>0.33200000000000002</v>
      </c>
    </row>
    <row r="3330" spans="1:4">
      <c r="A3330" t="str">
        <f t="shared" si="51"/>
        <v>51Expectancy</v>
      </c>
      <c r="B3330">
        <v>51</v>
      </c>
      <c r="C3330" t="s">
        <v>31</v>
      </c>
      <c r="D3330" s="6">
        <v>0.5</v>
      </c>
    </row>
    <row r="3331" spans="1:4">
      <c r="A3331" t="str">
        <f t="shared" ref="A3331:A3394" si="52">B3331&amp;C3331</f>
        <v>51Net Profit</v>
      </c>
      <c r="B3331">
        <v>51</v>
      </c>
      <c r="C3331" t="s">
        <v>32</v>
      </c>
      <c r="D3331" s="6">
        <v>0.19993</v>
      </c>
    </row>
    <row r="3332" spans="1:4">
      <c r="A3332" t="str">
        <f t="shared" si="52"/>
        <v>51Loss Rate</v>
      </c>
      <c r="B3332">
        <v>51</v>
      </c>
      <c r="C3332" t="s">
        <v>33</v>
      </c>
      <c r="D3332" s="6">
        <v>0.64</v>
      </c>
    </row>
    <row r="3333" spans="1:4">
      <c r="A3333" t="str">
        <f t="shared" si="52"/>
        <v>51Win Rate</v>
      </c>
      <c r="B3333">
        <v>51</v>
      </c>
      <c r="C3333" t="s">
        <v>34</v>
      </c>
      <c r="D3333" s="6">
        <v>0.36</v>
      </c>
    </row>
    <row r="3334" spans="1:4">
      <c r="A3334" t="str">
        <f t="shared" si="52"/>
        <v>51Profit-Loss Ratio</v>
      </c>
      <c r="B3334">
        <v>51</v>
      </c>
      <c r="C3334" t="s">
        <v>26</v>
      </c>
      <c r="D3334" s="6">
        <v>3.12</v>
      </c>
    </row>
    <row r="3335" spans="1:4">
      <c r="A3335" t="str">
        <f t="shared" si="52"/>
        <v>51Alpha</v>
      </c>
      <c r="B3335">
        <v>51</v>
      </c>
      <c r="C3335" t="s">
        <v>23</v>
      </c>
      <c r="D3335" s="6">
        <v>0.22500000000000001</v>
      </c>
    </row>
    <row r="3336" spans="1:4">
      <c r="A3336" t="str">
        <f t="shared" si="52"/>
        <v>51Beta</v>
      </c>
      <c r="B3336">
        <v>51</v>
      </c>
      <c r="C3336" t="s">
        <v>24</v>
      </c>
      <c r="D3336" s="6">
        <v>1.387</v>
      </c>
    </row>
    <row r="3337" spans="1:4">
      <c r="A3337" t="str">
        <f t="shared" si="52"/>
        <v>51Annual Standard Deviation</v>
      </c>
      <c r="B3337">
        <v>51</v>
      </c>
      <c r="C3337" t="s">
        <v>35</v>
      </c>
      <c r="D3337" s="6">
        <v>0.39200000000000002</v>
      </c>
    </row>
    <row r="3338" spans="1:4">
      <c r="A3338" t="str">
        <f t="shared" si="52"/>
        <v>51Annual Variance</v>
      </c>
      <c r="B3338">
        <v>51</v>
      </c>
      <c r="C3338" t="s">
        <v>36</v>
      </c>
      <c r="D3338" s="6">
        <v>0.153</v>
      </c>
    </row>
    <row r="3339" spans="1:4">
      <c r="A3339" t="str">
        <f t="shared" si="52"/>
        <v>51Information Ratio</v>
      </c>
      <c r="B3339">
        <v>51</v>
      </c>
      <c r="C3339" t="s">
        <v>37</v>
      </c>
      <c r="D3339" s="6">
        <v>0.65400000000000003</v>
      </c>
    </row>
    <row r="3340" spans="1:4">
      <c r="A3340" t="str">
        <f t="shared" si="52"/>
        <v>51Tracking Error</v>
      </c>
      <c r="B3340">
        <v>51</v>
      </c>
      <c r="C3340" t="s">
        <v>38</v>
      </c>
      <c r="D3340" s="6">
        <v>0.38100000000000001</v>
      </c>
    </row>
    <row r="3341" spans="1:4">
      <c r="A3341" t="str">
        <f t="shared" si="52"/>
        <v>51Treynor Ratio</v>
      </c>
      <c r="B3341">
        <v>51</v>
      </c>
      <c r="C3341" t="s">
        <v>39</v>
      </c>
      <c r="D3341" s="6">
        <v>0.22600000000000001</v>
      </c>
    </row>
    <row r="3342" spans="1:4">
      <c r="A3342" t="str">
        <f t="shared" si="52"/>
        <v>51Total Fees</v>
      </c>
      <c r="B3342">
        <v>51</v>
      </c>
      <c r="C3342" t="s">
        <v>40</v>
      </c>
      <c r="D3342" s="6">
        <v>0</v>
      </c>
    </row>
    <row r="3343" spans="1:4">
      <c r="A3343" t="str">
        <f t="shared" si="52"/>
        <v>51Estimated Strategy Capacity</v>
      </c>
      <c r="B3343">
        <v>51</v>
      </c>
      <c r="C3343" t="s">
        <v>41</v>
      </c>
      <c r="D3343" s="6">
        <v>5100000</v>
      </c>
    </row>
    <row r="3344" spans="1:4">
      <c r="A3344" t="str">
        <f t="shared" si="52"/>
        <v>50PSR</v>
      </c>
      <c r="B3344">
        <v>50</v>
      </c>
      <c r="C3344" t="s">
        <v>27</v>
      </c>
      <c r="D3344" s="6">
        <v>0.33534000000000003</v>
      </c>
    </row>
    <row r="3345" spans="1:4">
      <c r="A3345" t="str">
        <f t="shared" si="52"/>
        <v>50Sharpe Ratio</v>
      </c>
      <c r="B3345">
        <v>50</v>
      </c>
      <c r="C3345" t="s">
        <v>1</v>
      </c>
      <c r="D3345" s="6">
        <v>0.56699999999999995</v>
      </c>
    </row>
    <row r="3346" spans="1:4">
      <c r="A3346" t="str">
        <f t="shared" si="52"/>
        <v>50Total Trades</v>
      </c>
      <c r="B3346">
        <v>50</v>
      </c>
      <c r="C3346" t="s">
        <v>28</v>
      </c>
      <c r="D3346" s="6">
        <v>354</v>
      </c>
    </row>
    <row r="3347" spans="1:4">
      <c r="A3347" t="str">
        <f t="shared" si="52"/>
        <v>50Average Win</v>
      </c>
      <c r="B3347">
        <v>50</v>
      </c>
      <c r="C3347" t="s">
        <v>25</v>
      </c>
      <c r="D3347" s="6">
        <v>0.03</v>
      </c>
    </row>
    <row r="3348" spans="1:4">
      <c r="A3348" t="str">
        <f t="shared" si="52"/>
        <v>50Average Loss</v>
      </c>
      <c r="B3348">
        <v>50</v>
      </c>
      <c r="C3348" t="s">
        <v>29</v>
      </c>
      <c r="D3348" s="6">
        <v>-1.0500000000000001E-2</v>
      </c>
    </row>
    <row r="3349" spans="1:4">
      <c r="A3349" t="str">
        <f t="shared" si="52"/>
        <v>50Compounding Annual Return</v>
      </c>
      <c r="B3349">
        <v>50</v>
      </c>
      <c r="C3349" t="s">
        <v>30</v>
      </c>
      <c r="D3349" s="6">
        <v>6.2799999999999995E-2</v>
      </c>
    </row>
    <row r="3350" spans="1:4">
      <c r="A3350" t="str">
        <f t="shared" si="52"/>
        <v>50Drawdown</v>
      </c>
      <c r="B3350">
        <v>50</v>
      </c>
      <c r="C3350" t="s">
        <v>8</v>
      </c>
      <c r="D3350" s="6">
        <v>7.5999999999999998E-2</v>
      </c>
    </row>
    <row r="3351" spans="1:4">
      <c r="A3351" t="str">
        <f t="shared" si="52"/>
        <v>50Expectancy</v>
      </c>
      <c r="B3351">
        <v>50</v>
      </c>
      <c r="C3351" t="s">
        <v>31</v>
      </c>
      <c r="D3351" s="6">
        <v>0.40400000000000003</v>
      </c>
    </row>
    <row r="3352" spans="1:4">
      <c r="A3352" t="str">
        <f t="shared" si="52"/>
        <v>50Net Profit</v>
      </c>
      <c r="B3352">
        <v>50</v>
      </c>
      <c r="C3352" t="s">
        <v>32</v>
      </c>
      <c r="D3352" s="6">
        <v>3.9989999999999998E-2</v>
      </c>
    </row>
    <row r="3353" spans="1:4">
      <c r="A3353" t="str">
        <f t="shared" si="52"/>
        <v>50Loss Rate</v>
      </c>
      <c r="B3353">
        <v>50</v>
      </c>
      <c r="C3353" t="s">
        <v>33</v>
      </c>
      <c r="D3353" s="6">
        <v>0.64</v>
      </c>
    </row>
    <row r="3354" spans="1:4">
      <c r="A3354" t="str">
        <f t="shared" si="52"/>
        <v>50Win Rate</v>
      </c>
      <c r="B3354">
        <v>50</v>
      </c>
      <c r="C3354" t="s">
        <v>34</v>
      </c>
      <c r="D3354" s="6">
        <v>0.36</v>
      </c>
    </row>
    <row r="3355" spans="1:4">
      <c r="A3355" t="str">
        <f t="shared" si="52"/>
        <v>50Profit-Loss Ratio</v>
      </c>
      <c r="B3355">
        <v>50</v>
      </c>
      <c r="C3355" t="s">
        <v>26</v>
      </c>
      <c r="D3355" s="6">
        <v>2.86</v>
      </c>
    </row>
    <row r="3356" spans="1:4">
      <c r="A3356" t="str">
        <f t="shared" si="52"/>
        <v>50Alpha</v>
      </c>
      <c r="B3356">
        <v>50</v>
      </c>
      <c r="C3356" t="s">
        <v>23</v>
      </c>
      <c r="D3356" s="6">
        <v>2.7E-2</v>
      </c>
    </row>
    <row r="3357" spans="1:4">
      <c r="A3357" t="str">
        <f t="shared" si="52"/>
        <v>50Beta</v>
      </c>
      <c r="B3357">
        <v>50</v>
      </c>
      <c r="C3357" t="s">
        <v>24</v>
      </c>
      <c r="D3357" s="6">
        <v>0.312</v>
      </c>
    </row>
    <row r="3358" spans="1:4">
      <c r="A3358" t="str">
        <f t="shared" si="52"/>
        <v>50Annual Standard Deviation</v>
      </c>
      <c r="B3358">
        <v>50</v>
      </c>
      <c r="C3358" t="s">
        <v>35</v>
      </c>
      <c r="D3358" s="6">
        <v>8.2000000000000003E-2</v>
      </c>
    </row>
    <row r="3359" spans="1:4">
      <c r="A3359" t="str">
        <f t="shared" si="52"/>
        <v>50Annual Variance</v>
      </c>
      <c r="B3359">
        <v>50</v>
      </c>
      <c r="C3359" t="s">
        <v>36</v>
      </c>
      <c r="D3359" s="6">
        <v>7.0000000000000001E-3</v>
      </c>
    </row>
    <row r="3360" spans="1:4">
      <c r="A3360" t="str">
        <f t="shared" si="52"/>
        <v>50Information Ratio</v>
      </c>
      <c r="B3360">
        <v>50</v>
      </c>
      <c r="C3360" t="s">
        <v>37</v>
      </c>
      <c r="D3360" s="6">
        <v>-0.189</v>
      </c>
    </row>
    <row r="3361" spans="1:4">
      <c r="A3361" t="str">
        <f t="shared" si="52"/>
        <v>50Tracking Error</v>
      </c>
      <c r="B3361">
        <v>50</v>
      </c>
      <c r="C3361" t="s">
        <v>38</v>
      </c>
      <c r="D3361" s="6">
        <v>9.1999999999999998E-2</v>
      </c>
    </row>
    <row r="3362" spans="1:4">
      <c r="A3362" t="str">
        <f t="shared" si="52"/>
        <v>50Treynor Ratio</v>
      </c>
      <c r="B3362">
        <v>50</v>
      </c>
      <c r="C3362" t="s">
        <v>39</v>
      </c>
      <c r="D3362" s="6">
        <v>0.14899999999999999</v>
      </c>
    </row>
    <row r="3363" spans="1:4">
      <c r="A3363" t="str">
        <f t="shared" si="52"/>
        <v>50Total Fees</v>
      </c>
      <c r="B3363">
        <v>50</v>
      </c>
      <c r="C3363" t="s">
        <v>40</v>
      </c>
      <c r="D3363" s="6">
        <v>0</v>
      </c>
    </row>
    <row r="3364" spans="1:4">
      <c r="A3364" t="str">
        <f t="shared" si="52"/>
        <v>50Estimated Strategy Capacity</v>
      </c>
      <c r="B3364">
        <v>50</v>
      </c>
      <c r="C3364" t="s">
        <v>41</v>
      </c>
      <c r="D3364" s="6">
        <v>20000000</v>
      </c>
    </row>
    <row r="3365" spans="1:4">
      <c r="A3365" t="str">
        <f t="shared" si="52"/>
        <v>49PSR</v>
      </c>
      <c r="B3365">
        <v>49</v>
      </c>
      <c r="C3365" t="s">
        <v>27</v>
      </c>
      <c r="D3365" s="6">
        <v>0.32308999999999999</v>
      </c>
    </row>
    <row r="3366" spans="1:4">
      <c r="A3366" t="str">
        <f t="shared" si="52"/>
        <v>49Sharpe Ratio</v>
      </c>
      <c r="B3366">
        <v>49</v>
      </c>
      <c r="C3366" t="s">
        <v>1</v>
      </c>
      <c r="D3366" s="6">
        <v>0.52</v>
      </c>
    </row>
    <row r="3367" spans="1:4">
      <c r="A3367" t="str">
        <f t="shared" si="52"/>
        <v>49Total Trades</v>
      </c>
      <c r="B3367">
        <v>49</v>
      </c>
      <c r="C3367" t="s">
        <v>28</v>
      </c>
      <c r="D3367" s="6">
        <v>354</v>
      </c>
    </row>
    <row r="3368" spans="1:4">
      <c r="A3368" t="str">
        <f t="shared" si="52"/>
        <v>49Average Win</v>
      </c>
      <c r="B3368">
        <v>49</v>
      </c>
      <c r="C3368" t="s">
        <v>25</v>
      </c>
      <c r="D3368" s="6">
        <v>3.0000000000000001E-3</v>
      </c>
    </row>
    <row r="3369" spans="1:4">
      <c r="A3369" t="str">
        <f t="shared" si="52"/>
        <v>49Average Loss</v>
      </c>
      <c r="B3369">
        <v>49</v>
      </c>
      <c r="C3369" t="s">
        <v>29</v>
      </c>
      <c r="D3369" s="6">
        <v>-1.1000000000000001E-3</v>
      </c>
    </row>
    <row r="3370" spans="1:4">
      <c r="A3370" t="str">
        <f t="shared" si="52"/>
        <v>49Compounding Annual Return</v>
      </c>
      <c r="B3370">
        <v>49</v>
      </c>
      <c r="C3370" t="s">
        <v>30</v>
      </c>
      <c r="D3370" s="6">
        <v>6.2199999999999998E-3</v>
      </c>
    </row>
    <row r="3371" spans="1:4">
      <c r="A3371" t="str">
        <f t="shared" si="52"/>
        <v>49Drawdown</v>
      </c>
      <c r="B3371">
        <v>49</v>
      </c>
      <c r="C3371" t="s">
        <v>8</v>
      </c>
      <c r="D3371" s="6">
        <v>8.0000000000000002E-3</v>
      </c>
    </row>
    <row r="3372" spans="1:4">
      <c r="A3372" t="str">
        <f t="shared" si="52"/>
        <v>49Expectancy</v>
      </c>
      <c r="B3372">
        <v>49</v>
      </c>
      <c r="C3372" t="s">
        <v>31</v>
      </c>
      <c r="D3372" s="6">
        <v>0.38500000000000001</v>
      </c>
    </row>
    <row r="3373" spans="1:4">
      <c r="A3373" t="str">
        <f t="shared" si="52"/>
        <v>49Net Profit</v>
      </c>
      <c r="B3373">
        <v>49</v>
      </c>
      <c r="C3373" t="s">
        <v>32</v>
      </c>
      <c r="D3373" s="6">
        <v>4.0000000000000001E-3</v>
      </c>
    </row>
    <row r="3374" spans="1:4">
      <c r="A3374" t="str">
        <f t="shared" si="52"/>
        <v>49Loss Rate</v>
      </c>
      <c r="B3374">
        <v>49</v>
      </c>
      <c r="C3374" t="s">
        <v>33</v>
      </c>
      <c r="D3374" s="6">
        <v>0.64</v>
      </c>
    </row>
    <row r="3375" spans="1:4">
      <c r="A3375" t="str">
        <f t="shared" si="52"/>
        <v>49Win Rate</v>
      </c>
      <c r="B3375">
        <v>49</v>
      </c>
      <c r="C3375" t="s">
        <v>34</v>
      </c>
      <c r="D3375" s="6">
        <v>0.36</v>
      </c>
    </row>
    <row r="3376" spans="1:4">
      <c r="A3376" t="str">
        <f t="shared" si="52"/>
        <v>49Profit-Loss Ratio</v>
      </c>
      <c r="B3376">
        <v>49</v>
      </c>
      <c r="C3376" t="s">
        <v>26</v>
      </c>
      <c r="D3376" s="6">
        <v>2.81</v>
      </c>
    </row>
    <row r="3377" spans="1:4">
      <c r="A3377" t="str">
        <f t="shared" si="52"/>
        <v>49Alpha</v>
      </c>
      <c r="B3377">
        <v>49</v>
      </c>
      <c r="C3377" t="s">
        <v>23</v>
      </c>
      <c r="D3377" s="6">
        <v>2E-3</v>
      </c>
    </row>
    <row r="3378" spans="1:4">
      <c r="A3378" t="str">
        <f t="shared" si="52"/>
        <v>49Beta</v>
      </c>
      <c r="B3378">
        <v>49</v>
      </c>
      <c r="C3378" t="s">
        <v>24</v>
      </c>
      <c r="D3378" s="6">
        <v>3.2000000000000001E-2</v>
      </c>
    </row>
    <row r="3379" spans="1:4">
      <c r="A3379" t="str">
        <f t="shared" si="52"/>
        <v>49Annual Standard Deviation</v>
      </c>
      <c r="B3379">
        <v>49</v>
      </c>
      <c r="C3379" t="s">
        <v>35</v>
      </c>
      <c r="D3379" s="6">
        <v>8.0000000000000002E-3</v>
      </c>
    </row>
    <row r="3380" spans="1:4">
      <c r="A3380" t="str">
        <f t="shared" si="52"/>
        <v>49Annual Variance</v>
      </c>
      <c r="B3380">
        <v>49</v>
      </c>
      <c r="C3380" t="s">
        <v>36</v>
      </c>
      <c r="D3380" s="6">
        <v>0</v>
      </c>
    </row>
    <row r="3381" spans="1:4">
      <c r="A3381" t="str">
        <f t="shared" si="52"/>
        <v>49Information Ratio</v>
      </c>
      <c r="B3381">
        <v>49</v>
      </c>
      <c r="C3381" t="s">
        <v>37</v>
      </c>
      <c r="D3381" s="6">
        <v>-0.91400000000000003</v>
      </c>
    </row>
    <row r="3382" spans="1:4">
      <c r="A3382" t="str">
        <f t="shared" si="52"/>
        <v>49Tracking Error</v>
      </c>
      <c r="B3382">
        <v>49</v>
      </c>
      <c r="C3382" t="s">
        <v>38</v>
      </c>
      <c r="D3382" s="6">
        <v>6.5000000000000002E-2</v>
      </c>
    </row>
    <row r="3383" spans="1:4">
      <c r="A3383" t="str">
        <f t="shared" si="52"/>
        <v>49Treynor Ratio</v>
      </c>
      <c r="B3383">
        <v>49</v>
      </c>
      <c r="C3383" t="s">
        <v>39</v>
      </c>
      <c r="D3383" s="6">
        <v>0.13500000000000001</v>
      </c>
    </row>
    <row r="3384" spans="1:4">
      <c r="A3384" t="str">
        <f t="shared" si="52"/>
        <v>49Total Fees</v>
      </c>
      <c r="B3384">
        <v>49</v>
      </c>
      <c r="C3384" t="s">
        <v>40</v>
      </c>
      <c r="D3384" s="6">
        <v>0</v>
      </c>
    </row>
    <row r="3385" spans="1:4">
      <c r="A3385" t="str">
        <f t="shared" si="52"/>
        <v>49Estimated Strategy Capacity</v>
      </c>
      <c r="B3385">
        <v>49</v>
      </c>
      <c r="C3385" t="s">
        <v>41</v>
      </c>
      <c r="D3385" s="6">
        <v>190000000</v>
      </c>
    </row>
    <row r="3386" spans="1:4">
      <c r="A3386" t="str">
        <f t="shared" si="52"/>
        <v>45PSR</v>
      </c>
      <c r="B3386">
        <v>45</v>
      </c>
      <c r="C3386" s="9" t="s">
        <v>27</v>
      </c>
      <c r="D3386" s="8">
        <v>0.60199000000000003</v>
      </c>
    </row>
    <row r="3387" spans="1:4">
      <c r="A3387" t="str">
        <f t="shared" si="52"/>
        <v>45Sharpe Ratio</v>
      </c>
      <c r="B3387">
        <v>45</v>
      </c>
      <c r="C3387" s="9" t="s">
        <v>1</v>
      </c>
      <c r="D3387" s="8">
        <v>1.7250000000000001</v>
      </c>
    </row>
    <row r="3388" spans="1:4">
      <c r="A3388" t="str">
        <f t="shared" si="52"/>
        <v>45Total Trades</v>
      </c>
      <c r="B3388">
        <v>45</v>
      </c>
      <c r="C3388" s="9" t="s">
        <v>28</v>
      </c>
      <c r="D3388" s="8">
        <v>397</v>
      </c>
    </row>
    <row r="3389" spans="1:4">
      <c r="A3389" t="str">
        <f t="shared" si="52"/>
        <v>45Average Win</v>
      </c>
      <c r="B3389">
        <v>45</v>
      </c>
      <c r="C3389" s="9" t="s">
        <v>25</v>
      </c>
      <c r="D3389" s="8">
        <v>0.1353</v>
      </c>
    </row>
    <row r="3390" spans="1:4">
      <c r="A3390" t="str">
        <f t="shared" si="52"/>
        <v>45Average Loss</v>
      </c>
      <c r="B3390">
        <v>45</v>
      </c>
      <c r="C3390" s="9" t="s">
        <v>29</v>
      </c>
      <c r="D3390" s="8">
        <v>-9.1300000000000006E-2</v>
      </c>
    </row>
    <row r="3391" spans="1:4">
      <c r="A3391" t="str">
        <f t="shared" si="52"/>
        <v>45Compounding Annual Return</v>
      </c>
      <c r="B3391">
        <v>45</v>
      </c>
      <c r="C3391" s="9" t="s">
        <v>30</v>
      </c>
      <c r="D3391" s="8">
        <v>1.0329299999999999</v>
      </c>
    </row>
    <row r="3392" spans="1:4">
      <c r="A3392" t="str">
        <f t="shared" si="52"/>
        <v>45Drawdown</v>
      </c>
      <c r="B3392">
        <v>45</v>
      </c>
      <c r="C3392" s="9" t="s">
        <v>8</v>
      </c>
      <c r="D3392" s="8">
        <v>0.29799999999999999</v>
      </c>
    </row>
    <row r="3393" spans="1:4">
      <c r="A3393" t="str">
        <f t="shared" si="52"/>
        <v>45Expectancy</v>
      </c>
      <c r="B3393">
        <v>45</v>
      </c>
      <c r="C3393" s="9" t="s">
        <v>31</v>
      </c>
      <c r="D3393" s="8">
        <v>0.52700000000000002</v>
      </c>
    </row>
    <row r="3394" spans="1:4">
      <c r="A3394" t="str">
        <f t="shared" si="52"/>
        <v>45Net Profit</v>
      </c>
      <c r="B3394">
        <v>45</v>
      </c>
      <c r="C3394" s="9" t="s">
        <v>32</v>
      </c>
      <c r="D3394" s="8">
        <v>0.58194000000000001</v>
      </c>
    </row>
    <row r="3395" spans="1:4">
      <c r="A3395" t="str">
        <f t="shared" ref="A3395:A3458" si="53">B3395&amp;C3395</f>
        <v>45Loss Rate</v>
      </c>
      <c r="B3395">
        <v>45</v>
      </c>
      <c r="C3395" s="9" t="s">
        <v>33</v>
      </c>
      <c r="D3395" s="8">
        <v>0.38</v>
      </c>
    </row>
    <row r="3396" spans="1:4">
      <c r="A3396" t="str">
        <f t="shared" si="53"/>
        <v>45Win Rate</v>
      </c>
      <c r="B3396">
        <v>45</v>
      </c>
      <c r="C3396" s="9" t="s">
        <v>34</v>
      </c>
      <c r="D3396" s="8">
        <v>0.62</v>
      </c>
    </row>
    <row r="3397" spans="1:4">
      <c r="A3397" t="str">
        <f t="shared" si="53"/>
        <v>45Profit-Loss Ratio</v>
      </c>
      <c r="B3397">
        <v>45</v>
      </c>
      <c r="C3397" s="9" t="s">
        <v>26</v>
      </c>
      <c r="D3397" s="8">
        <v>1.48</v>
      </c>
    </row>
    <row r="3398" spans="1:4">
      <c r="A3398" t="str">
        <f t="shared" si="53"/>
        <v>45Alpha</v>
      </c>
      <c r="B3398">
        <v>45</v>
      </c>
      <c r="C3398" s="9" t="s">
        <v>23</v>
      </c>
      <c r="D3398" s="8">
        <v>0.627</v>
      </c>
    </row>
    <row r="3399" spans="1:4">
      <c r="A3399" t="str">
        <f t="shared" si="53"/>
        <v>45Beta</v>
      </c>
      <c r="B3399">
        <v>45</v>
      </c>
      <c r="C3399" s="9" t="s">
        <v>24</v>
      </c>
      <c r="D3399" s="8">
        <v>3.202</v>
      </c>
    </row>
    <row r="3400" spans="1:4">
      <c r="A3400" t="str">
        <f t="shared" si="53"/>
        <v>45Annual Standard Deviation</v>
      </c>
      <c r="B3400">
        <v>45</v>
      </c>
      <c r="C3400" s="9" t="s">
        <v>35</v>
      </c>
      <c r="D3400" s="8">
        <v>0.48099999999999998</v>
      </c>
    </row>
    <row r="3401" spans="1:4">
      <c r="A3401" t="str">
        <f t="shared" si="53"/>
        <v>45Annual Variance</v>
      </c>
      <c r="B3401">
        <v>45</v>
      </c>
      <c r="C3401" s="9" t="s">
        <v>36</v>
      </c>
      <c r="D3401" s="8">
        <v>0.23200000000000001</v>
      </c>
    </row>
    <row r="3402" spans="1:4">
      <c r="A3402" t="str">
        <f t="shared" si="53"/>
        <v>45Information Ratio</v>
      </c>
      <c r="B3402">
        <v>45</v>
      </c>
      <c r="C3402" s="9" t="s">
        <v>37</v>
      </c>
      <c r="D3402" s="8">
        <v>1.6819999999999999</v>
      </c>
    </row>
    <row r="3403" spans="1:4">
      <c r="A3403" t="str">
        <f t="shared" si="53"/>
        <v>45Tracking Error</v>
      </c>
      <c r="B3403">
        <v>45</v>
      </c>
      <c r="C3403" s="9" t="s">
        <v>38</v>
      </c>
      <c r="D3403" s="8">
        <v>0.45600000000000002</v>
      </c>
    </row>
    <row r="3404" spans="1:4">
      <c r="A3404" t="str">
        <f t="shared" si="53"/>
        <v>45Treynor Ratio</v>
      </c>
      <c r="B3404">
        <v>45</v>
      </c>
      <c r="C3404" s="9" t="s">
        <v>39</v>
      </c>
      <c r="D3404" s="8">
        <v>0.25900000000000001</v>
      </c>
    </row>
    <row r="3405" spans="1:4">
      <c r="A3405" t="str">
        <f t="shared" si="53"/>
        <v>45Total Fees</v>
      </c>
      <c r="B3405">
        <v>45</v>
      </c>
      <c r="C3405" s="9" t="s">
        <v>40</v>
      </c>
      <c r="D3405" s="8">
        <v>0</v>
      </c>
    </row>
    <row r="3406" spans="1:4">
      <c r="A3406" t="str">
        <f t="shared" si="53"/>
        <v>45Estimated Strategy Capacity</v>
      </c>
      <c r="B3406">
        <v>45</v>
      </c>
      <c r="C3406" s="9" t="s">
        <v>41</v>
      </c>
      <c r="D3406" s="8">
        <v>71000000</v>
      </c>
    </row>
    <row r="3407" spans="1:4">
      <c r="A3407" t="str">
        <f t="shared" si="53"/>
        <v>44PSR</v>
      </c>
      <c r="B3407">
        <v>44</v>
      </c>
      <c r="C3407" s="9" t="s">
        <v>27</v>
      </c>
      <c r="D3407" s="8">
        <v>0.56145999999999996</v>
      </c>
    </row>
    <row r="3408" spans="1:4">
      <c r="A3408" t="str">
        <f t="shared" si="53"/>
        <v>44Sharpe Ratio</v>
      </c>
      <c r="B3408">
        <v>44</v>
      </c>
      <c r="C3408" s="9" t="s">
        <v>1</v>
      </c>
      <c r="D3408" s="8">
        <v>1.2270000000000001</v>
      </c>
    </row>
    <row r="3409" spans="1:4">
      <c r="A3409" t="str">
        <f t="shared" si="53"/>
        <v>44Total Trades</v>
      </c>
      <c r="B3409">
        <v>44</v>
      </c>
      <c r="C3409" s="9" t="s">
        <v>28</v>
      </c>
      <c r="D3409" s="8">
        <v>397</v>
      </c>
    </row>
    <row r="3410" spans="1:4">
      <c r="A3410" t="str">
        <f t="shared" si="53"/>
        <v>44Average Win</v>
      </c>
      <c r="B3410">
        <v>44</v>
      </c>
      <c r="C3410" s="9" t="s">
        <v>25</v>
      </c>
      <c r="D3410" s="8">
        <v>2.8400000000000002E-2</v>
      </c>
    </row>
    <row r="3411" spans="1:4">
      <c r="A3411" t="str">
        <f t="shared" si="53"/>
        <v>44Average Loss</v>
      </c>
      <c r="B3411">
        <v>44</v>
      </c>
      <c r="C3411" s="9" t="s">
        <v>29</v>
      </c>
      <c r="D3411" s="8">
        <v>-2.1700000000000001E-2</v>
      </c>
    </row>
    <row r="3412" spans="1:4">
      <c r="A3412" t="str">
        <f t="shared" si="53"/>
        <v>44Compounding Annual Return</v>
      </c>
      <c r="B3412">
        <v>44</v>
      </c>
      <c r="C3412" s="9" t="s">
        <v>30</v>
      </c>
      <c r="D3412" s="8">
        <v>0.18567</v>
      </c>
    </row>
    <row r="3413" spans="1:4">
      <c r="A3413" t="str">
        <f t="shared" si="53"/>
        <v>44Drawdown</v>
      </c>
      <c r="B3413">
        <v>44</v>
      </c>
      <c r="C3413" s="9" t="s">
        <v>8</v>
      </c>
      <c r="D3413" s="8">
        <v>6.9000000000000006E-2</v>
      </c>
    </row>
    <row r="3414" spans="1:4">
      <c r="A3414" t="str">
        <f t="shared" si="53"/>
        <v>44Expectancy</v>
      </c>
      <c r="B3414">
        <v>44</v>
      </c>
      <c r="C3414" s="9" t="s">
        <v>31</v>
      </c>
      <c r="D3414" s="8">
        <v>0.42299999999999999</v>
      </c>
    </row>
    <row r="3415" spans="1:4">
      <c r="A3415" t="str">
        <f t="shared" si="53"/>
        <v>44Net Profit</v>
      </c>
      <c r="B3415">
        <v>44</v>
      </c>
      <c r="C3415" s="9" t="s">
        <v>32</v>
      </c>
      <c r="D3415" s="8">
        <v>0.11638999999999999</v>
      </c>
    </row>
    <row r="3416" spans="1:4">
      <c r="A3416" t="str">
        <f t="shared" si="53"/>
        <v>44Loss Rate</v>
      </c>
      <c r="B3416">
        <v>44</v>
      </c>
      <c r="C3416" s="9" t="s">
        <v>33</v>
      </c>
      <c r="D3416" s="8">
        <v>0.38</v>
      </c>
    </row>
    <row r="3417" spans="1:4">
      <c r="A3417" t="str">
        <f t="shared" si="53"/>
        <v>44Win Rate</v>
      </c>
      <c r="B3417">
        <v>44</v>
      </c>
      <c r="C3417" s="9" t="s">
        <v>34</v>
      </c>
      <c r="D3417" s="8">
        <v>0.62</v>
      </c>
    </row>
    <row r="3418" spans="1:4">
      <c r="A3418" t="str">
        <f t="shared" si="53"/>
        <v>44Profit-Loss Ratio</v>
      </c>
      <c r="B3418">
        <v>44</v>
      </c>
      <c r="C3418" s="9" t="s">
        <v>26</v>
      </c>
      <c r="D3418" s="8">
        <v>1.31</v>
      </c>
    </row>
    <row r="3419" spans="1:4">
      <c r="A3419" t="str">
        <f t="shared" si="53"/>
        <v>44Alpha</v>
      </c>
      <c r="B3419">
        <v>44</v>
      </c>
      <c r="C3419" s="9" t="s">
        <v>23</v>
      </c>
      <c r="D3419" s="8">
        <v>8.6999999999999994E-2</v>
      </c>
    </row>
    <row r="3420" spans="1:4">
      <c r="A3420" t="str">
        <f t="shared" si="53"/>
        <v>44Beta</v>
      </c>
      <c r="B3420">
        <v>44</v>
      </c>
      <c r="C3420" s="9" t="s">
        <v>24</v>
      </c>
      <c r="D3420" s="8">
        <v>0.69499999999999995</v>
      </c>
    </row>
    <row r="3421" spans="1:4">
      <c r="A3421" t="str">
        <f t="shared" si="53"/>
        <v>44Annual Standard Deviation</v>
      </c>
      <c r="B3421">
        <v>44</v>
      </c>
      <c r="C3421" s="9" t="s">
        <v>35</v>
      </c>
      <c r="D3421" s="8">
        <v>0.107</v>
      </c>
    </row>
    <row r="3422" spans="1:4">
      <c r="A3422" t="str">
        <f t="shared" si="53"/>
        <v>44Annual Variance</v>
      </c>
      <c r="B3422">
        <v>44</v>
      </c>
      <c r="C3422" s="9" t="s">
        <v>36</v>
      </c>
      <c r="D3422" s="8">
        <v>1.2E-2</v>
      </c>
    </row>
    <row r="3423" spans="1:4">
      <c r="A3423" t="str">
        <f t="shared" si="53"/>
        <v>44Information Ratio</v>
      </c>
      <c r="B3423">
        <v>44</v>
      </c>
      <c r="C3423" s="9" t="s">
        <v>37</v>
      </c>
      <c r="D3423" s="8">
        <v>0.68799999999999994</v>
      </c>
    </row>
    <row r="3424" spans="1:4">
      <c r="A3424" t="str">
        <f t="shared" si="53"/>
        <v>44Tracking Error</v>
      </c>
      <c r="B3424">
        <v>44</v>
      </c>
      <c r="C3424" s="9" t="s">
        <v>38</v>
      </c>
      <c r="D3424" s="8">
        <v>9.9000000000000005E-2</v>
      </c>
    </row>
    <row r="3425" spans="1:4">
      <c r="A3425" t="str">
        <f t="shared" si="53"/>
        <v>44Treynor Ratio</v>
      </c>
      <c r="B3425">
        <v>44</v>
      </c>
      <c r="C3425" s="9" t="s">
        <v>39</v>
      </c>
      <c r="D3425" s="8">
        <v>0.189</v>
      </c>
    </row>
    <row r="3426" spans="1:4">
      <c r="A3426" t="str">
        <f t="shared" si="53"/>
        <v>44Total Fees</v>
      </c>
      <c r="B3426">
        <v>44</v>
      </c>
      <c r="C3426" s="9" t="s">
        <v>40</v>
      </c>
      <c r="D3426" s="8">
        <v>0</v>
      </c>
    </row>
    <row r="3427" spans="1:4">
      <c r="A3427" t="str">
        <f t="shared" si="53"/>
        <v>44Estimated Strategy Capacity</v>
      </c>
      <c r="B3427">
        <v>44</v>
      </c>
      <c r="C3427" s="9" t="s">
        <v>41</v>
      </c>
      <c r="D3427" s="8">
        <v>250000000</v>
      </c>
    </row>
    <row r="3428" spans="1:4">
      <c r="A3428" t="str">
        <f t="shared" si="53"/>
        <v>43PSR</v>
      </c>
      <c r="B3428">
        <v>43</v>
      </c>
      <c r="C3428" s="9" t="s">
        <v>27</v>
      </c>
      <c r="D3428" s="8">
        <v>0.54886000000000001</v>
      </c>
    </row>
    <row r="3429" spans="1:4">
      <c r="A3429" t="str">
        <f t="shared" si="53"/>
        <v>43Sharpe Ratio</v>
      </c>
      <c r="B3429">
        <v>43</v>
      </c>
      <c r="C3429" s="9" t="s">
        <v>1</v>
      </c>
      <c r="D3429" s="8">
        <v>1.1279999999999999</v>
      </c>
    </row>
    <row r="3430" spans="1:4">
      <c r="A3430" t="str">
        <f t="shared" si="53"/>
        <v>43Total Trades</v>
      </c>
      <c r="B3430">
        <v>43</v>
      </c>
      <c r="C3430" s="9" t="s">
        <v>28</v>
      </c>
      <c r="D3430" s="8">
        <v>397</v>
      </c>
    </row>
    <row r="3431" spans="1:4">
      <c r="A3431" t="str">
        <f t="shared" si="53"/>
        <v>43Average Win</v>
      </c>
      <c r="B3431">
        <v>43</v>
      </c>
      <c r="C3431" s="9" t="s">
        <v>25</v>
      </c>
      <c r="D3431" s="8">
        <v>2.8999999999999998E-3</v>
      </c>
    </row>
    <row r="3432" spans="1:4">
      <c r="A3432" t="str">
        <f t="shared" si="53"/>
        <v>43Average Loss</v>
      </c>
      <c r="B3432">
        <v>43</v>
      </c>
      <c r="C3432" s="9" t="s">
        <v>29</v>
      </c>
      <c r="D3432" s="8">
        <v>-2.3E-3</v>
      </c>
    </row>
    <row r="3433" spans="1:4">
      <c r="A3433" t="str">
        <f t="shared" si="53"/>
        <v>43Compounding Annual Return</v>
      </c>
      <c r="B3433">
        <v>43</v>
      </c>
      <c r="C3433" s="9" t="s">
        <v>30</v>
      </c>
      <c r="D3433" s="8">
        <v>1.806E-2</v>
      </c>
    </row>
    <row r="3434" spans="1:4">
      <c r="A3434" t="str">
        <f t="shared" si="53"/>
        <v>43Drawdown</v>
      </c>
      <c r="B3434">
        <v>43</v>
      </c>
      <c r="C3434" s="9" t="s">
        <v>8</v>
      </c>
      <c r="D3434" s="8">
        <v>7.0000000000000001E-3</v>
      </c>
    </row>
    <row r="3435" spans="1:4">
      <c r="A3435" t="str">
        <f t="shared" si="53"/>
        <v>43Expectancy</v>
      </c>
      <c r="B3435">
        <v>43</v>
      </c>
      <c r="C3435" s="9" t="s">
        <v>31</v>
      </c>
      <c r="D3435" s="8">
        <v>0.39600000000000002</v>
      </c>
    </row>
    <row r="3436" spans="1:4">
      <c r="A3436" t="str">
        <f t="shared" si="53"/>
        <v>43Net Profit</v>
      </c>
      <c r="B3436">
        <v>43</v>
      </c>
      <c r="C3436" s="9" t="s">
        <v>32</v>
      </c>
      <c r="D3436" s="8">
        <v>1.1639999999999999E-2</v>
      </c>
    </row>
    <row r="3437" spans="1:4">
      <c r="A3437" t="str">
        <f t="shared" si="53"/>
        <v>43Loss Rate</v>
      </c>
      <c r="B3437">
        <v>43</v>
      </c>
      <c r="C3437" s="9" t="s">
        <v>33</v>
      </c>
      <c r="D3437" s="8">
        <v>0.38</v>
      </c>
    </row>
    <row r="3438" spans="1:4">
      <c r="A3438" t="str">
        <f t="shared" si="53"/>
        <v>43Win Rate</v>
      </c>
      <c r="B3438">
        <v>43</v>
      </c>
      <c r="C3438" s="9" t="s">
        <v>34</v>
      </c>
      <c r="D3438" s="8">
        <v>0.62</v>
      </c>
    </row>
    <row r="3439" spans="1:4">
      <c r="A3439" t="str">
        <f t="shared" si="53"/>
        <v>43Profit-Loss Ratio</v>
      </c>
      <c r="B3439">
        <v>43</v>
      </c>
      <c r="C3439" s="9" t="s">
        <v>26</v>
      </c>
      <c r="D3439" s="8">
        <v>1.27</v>
      </c>
    </row>
    <row r="3440" spans="1:4">
      <c r="A3440" t="str">
        <f t="shared" si="53"/>
        <v>43Alpha</v>
      </c>
      <c r="B3440">
        <v>43</v>
      </c>
      <c r="C3440" s="9" t="s">
        <v>23</v>
      </c>
      <c r="D3440" s="8">
        <v>8.0000000000000002E-3</v>
      </c>
    </row>
    <row r="3441" spans="1:4">
      <c r="A3441" t="str">
        <f t="shared" si="53"/>
        <v>43Beta</v>
      </c>
      <c r="B3441">
        <v>43</v>
      </c>
      <c r="C3441" s="9" t="s">
        <v>24</v>
      </c>
      <c r="D3441" s="8">
        <v>7.0999999999999994E-2</v>
      </c>
    </row>
    <row r="3442" spans="1:4">
      <c r="A3442" t="str">
        <f t="shared" si="53"/>
        <v>43Annual Standard Deviation</v>
      </c>
      <c r="B3442">
        <v>43</v>
      </c>
      <c r="C3442" s="9" t="s">
        <v>35</v>
      </c>
      <c r="D3442" s="8">
        <v>1.0999999999999999E-2</v>
      </c>
    </row>
    <row r="3443" spans="1:4">
      <c r="A3443" t="str">
        <f t="shared" si="53"/>
        <v>43Annual Variance</v>
      </c>
      <c r="B3443">
        <v>43</v>
      </c>
      <c r="C3443" s="9" t="s">
        <v>36</v>
      </c>
      <c r="D3443" s="8">
        <v>0</v>
      </c>
    </row>
    <row r="3444" spans="1:4">
      <c r="A3444" t="str">
        <f t="shared" si="53"/>
        <v>43Information Ratio</v>
      </c>
      <c r="B3444">
        <v>43</v>
      </c>
      <c r="C3444" s="9" t="s">
        <v>37</v>
      </c>
      <c r="D3444" s="8">
        <v>-0.81499999999999995</v>
      </c>
    </row>
    <row r="3445" spans="1:4">
      <c r="A3445" t="str">
        <f t="shared" si="53"/>
        <v>43Tracking Error</v>
      </c>
      <c r="B3445">
        <v>43</v>
      </c>
      <c r="C3445" s="9" t="s">
        <v>38</v>
      </c>
      <c r="D3445" s="8">
        <v>6.3E-2</v>
      </c>
    </row>
    <row r="3446" spans="1:4">
      <c r="A3446" t="str">
        <f t="shared" si="53"/>
        <v>43Treynor Ratio</v>
      </c>
      <c r="B3446">
        <v>43</v>
      </c>
      <c r="C3446" s="9" t="s">
        <v>39</v>
      </c>
      <c r="D3446" s="8">
        <v>0.17599999999999999</v>
      </c>
    </row>
    <row r="3447" spans="1:4">
      <c r="A3447" t="str">
        <f t="shared" si="53"/>
        <v>43Total Fees</v>
      </c>
      <c r="B3447">
        <v>43</v>
      </c>
      <c r="C3447" s="9" t="s">
        <v>40</v>
      </c>
      <c r="D3447" s="8">
        <v>0</v>
      </c>
    </row>
    <row r="3448" spans="1:4">
      <c r="A3448" t="str">
        <f t="shared" si="53"/>
        <v>43Estimated Strategy Capacity</v>
      </c>
      <c r="B3448">
        <v>43</v>
      </c>
      <c r="C3448" s="9" t="s">
        <v>41</v>
      </c>
      <c r="D3448" s="8">
        <v>2200000000</v>
      </c>
    </row>
    <row r="3449" spans="1:4">
      <c r="A3449" t="str">
        <f t="shared" si="53"/>
        <v>42PSR</v>
      </c>
      <c r="B3449">
        <v>42</v>
      </c>
      <c r="C3449" s="9" t="s">
        <v>27</v>
      </c>
      <c r="D3449" s="8">
        <v>0.77578000000000003</v>
      </c>
    </row>
    <row r="3450" spans="1:4">
      <c r="A3450" t="str">
        <f t="shared" si="53"/>
        <v>42Sharpe Ratio</v>
      </c>
      <c r="B3450">
        <v>42</v>
      </c>
      <c r="C3450" s="9" t="s">
        <v>1</v>
      </c>
      <c r="D3450" s="8">
        <v>2.246</v>
      </c>
    </row>
    <row r="3451" spans="1:4">
      <c r="A3451" t="str">
        <f t="shared" si="53"/>
        <v>42Total Trades</v>
      </c>
      <c r="B3451">
        <v>42</v>
      </c>
      <c r="C3451" s="9" t="s">
        <v>28</v>
      </c>
      <c r="D3451" s="8">
        <v>590</v>
      </c>
    </row>
    <row r="3452" spans="1:4">
      <c r="A3452" t="str">
        <f t="shared" si="53"/>
        <v>42Average Win</v>
      </c>
      <c r="B3452">
        <v>42</v>
      </c>
      <c r="C3452" s="9" t="s">
        <v>25</v>
      </c>
      <c r="D3452" s="8">
        <v>7.6399999999999996E-2</v>
      </c>
    </row>
    <row r="3453" spans="1:4">
      <c r="A3453" t="str">
        <f t="shared" si="53"/>
        <v>42Average Loss</v>
      </c>
      <c r="B3453">
        <v>42</v>
      </c>
      <c r="C3453" s="9" t="s">
        <v>29</v>
      </c>
      <c r="D3453" s="8">
        <v>-3.6499999999999998E-2</v>
      </c>
    </row>
    <row r="3454" spans="1:4">
      <c r="A3454" t="str">
        <f t="shared" si="53"/>
        <v>42Compounding Annual Return</v>
      </c>
      <c r="B3454">
        <v>42</v>
      </c>
      <c r="C3454" s="9" t="s">
        <v>30</v>
      </c>
      <c r="D3454" s="8">
        <v>1.1390100000000001</v>
      </c>
    </row>
    <row r="3455" spans="1:4">
      <c r="A3455" t="str">
        <f t="shared" si="53"/>
        <v>42Drawdown</v>
      </c>
      <c r="B3455">
        <v>42</v>
      </c>
      <c r="C3455" s="9" t="s">
        <v>8</v>
      </c>
      <c r="D3455" s="8">
        <v>0.224</v>
      </c>
    </row>
    <row r="3456" spans="1:4">
      <c r="A3456" t="str">
        <f t="shared" si="53"/>
        <v>42Expectancy</v>
      </c>
      <c r="B3456">
        <v>42</v>
      </c>
      <c r="C3456" s="9" t="s">
        <v>31</v>
      </c>
      <c r="D3456" s="8">
        <v>0.79</v>
      </c>
    </row>
    <row r="3457" spans="1:4">
      <c r="A3457" t="str">
        <f t="shared" si="53"/>
        <v>42Net Profit</v>
      </c>
      <c r="B3457">
        <v>42</v>
      </c>
      <c r="C3457" s="9" t="s">
        <v>32</v>
      </c>
      <c r="D3457" s="8">
        <v>0.63482000000000005</v>
      </c>
    </row>
    <row r="3458" spans="1:4">
      <c r="A3458" t="str">
        <f t="shared" si="53"/>
        <v>42Loss Rate</v>
      </c>
      <c r="B3458">
        <v>42</v>
      </c>
      <c r="C3458" s="9" t="s">
        <v>33</v>
      </c>
      <c r="D3458" s="8">
        <v>0.42</v>
      </c>
    </row>
    <row r="3459" spans="1:4">
      <c r="A3459" t="str">
        <f t="shared" ref="A3459:A3522" si="54">B3459&amp;C3459</f>
        <v>42Win Rate</v>
      </c>
      <c r="B3459">
        <v>42</v>
      </c>
      <c r="C3459" s="9" t="s">
        <v>34</v>
      </c>
      <c r="D3459" s="8">
        <v>0.57999999999999996</v>
      </c>
    </row>
    <row r="3460" spans="1:4">
      <c r="A3460" t="str">
        <f t="shared" si="54"/>
        <v>42Profit-Loss Ratio</v>
      </c>
      <c r="B3460">
        <v>42</v>
      </c>
      <c r="C3460" s="9" t="s">
        <v>26</v>
      </c>
      <c r="D3460" s="8">
        <v>2.09</v>
      </c>
    </row>
    <row r="3461" spans="1:4">
      <c r="A3461" t="str">
        <f t="shared" si="54"/>
        <v>42Alpha</v>
      </c>
      <c r="B3461">
        <v>42</v>
      </c>
      <c r="C3461" s="9" t="s">
        <v>23</v>
      </c>
      <c r="D3461" s="8">
        <v>0.68400000000000005</v>
      </c>
    </row>
    <row r="3462" spans="1:4">
      <c r="A3462" t="str">
        <f t="shared" si="54"/>
        <v>42Beta</v>
      </c>
      <c r="B3462">
        <v>42</v>
      </c>
      <c r="C3462" s="9" t="s">
        <v>24</v>
      </c>
      <c r="D3462" s="8">
        <v>1.798</v>
      </c>
    </row>
    <row r="3463" spans="1:4">
      <c r="A3463" t="str">
        <f t="shared" si="54"/>
        <v>42Annual Standard Deviation</v>
      </c>
      <c r="B3463">
        <v>42</v>
      </c>
      <c r="C3463" s="9" t="s">
        <v>35</v>
      </c>
      <c r="D3463" s="8">
        <v>0.35499999999999998</v>
      </c>
    </row>
    <row r="3464" spans="1:4">
      <c r="A3464" t="str">
        <f t="shared" si="54"/>
        <v>42Annual Variance</v>
      </c>
      <c r="B3464">
        <v>42</v>
      </c>
      <c r="C3464" s="9" t="s">
        <v>36</v>
      </c>
      <c r="D3464" s="8">
        <v>0.126</v>
      </c>
    </row>
    <row r="3465" spans="1:4">
      <c r="A3465" t="str">
        <f t="shared" si="54"/>
        <v>42Information Ratio</v>
      </c>
      <c r="B3465">
        <v>42</v>
      </c>
      <c r="C3465" s="9" t="s">
        <v>37</v>
      </c>
      <c r="D3465" s="8">
        <v>2.169</v>
      </c>
    </row>
    <row r="3466" spans="1:4">
      <c r="A3466" t="str">
        <f t="shared" si="54"/>
        <v>42Tracking Error</v>
      </c>
      <c r="B3466">
        <v>42</v>
      </c>
      <c r="C3466" s="9" t="s">
        <v>38</v>
      </c>
      <c r="D3466" s="8">
        <v>0.33900000000000002</v>
      </c>
    </row>
    <row r="3467" spans="1:4">
      <c r="A3467" t="str">
        <f t="shared" si="54"/>
        <v>42Treynor Ratio</v>
      </c>
      <c r="B3467">
        <v>42</v>
      </c>
      <c r="C3467" s="9" t="s">
        <v>39</v>
      </c>
      <c r="D3467" s="8">
        <v>0.44400000000000001</v>
      </c>
    </row>
    <row r="3468" spans="1:4">
      <c r="A3468" t="str">
        <f t="shared" si="54"/>
        <v>42Total Fees</v>
      </c>
      <c r="B3468">
        <v>42</v>
      </c>
      <c r="C3468" s="9" t="s">
        <v>40</v>
      </c>
      <c r="D3468" s="8">
        <v>0</v>
      </c>
    </row>
    <row r="3469" spans="1:4">
      <c r="A3469" t="str">
        <f t="shared" si="54"/>
        <v>42Estimated Strategy Capacity</v>
      </c>
      <c r="B3469">
        <v>42</v>
      </c>
      <c r="C3469" s="9" t="s">
        <v>41</v>
      </c>
      <c r="D3469" s="8">
        <v>12000000</v>
      </c>
    </row>
    <row r="3470" spans="1:4">
      <c r="A3470" t="str">
        <f t="shared" si="54"/>
        <v>41PSR</v>
      </c>
      <c r="B3470">
        <v>41</v>
      </c>
      <c r="C3470" s="9" t="s">
        <v>27</v>
      </c>
      <c r="D3470" s="8">
        <v>0.69308999999999998</v>
      </c>
    </row>
    <row r="3471" spans="1:4">
      <c r="A3471" t="str">
        <f t="shared" si="54"/>
        <v>41Sharpe Ratio</v>
      </c>
      <c r="B3471">
        <v>41</v>
      </c>
      <c r="C3471" s="9" t="s">
        <v>1</v>
      </c>
      <c r="D3471" s="8">
        <v>1.5669999999999999</v>
      </c>
    </row>
    <row r="3472" spans="1:4">
      <c r="A3472" t="str">
        <f t="shared" si="54"/>
        <v>41Total Trades</v>
      </c>
      <c r="B3472">
        <v>41</v>
      </c>
      <c r="C3472" s="9" t="s">
        <v>28</v>
      </c>
      <c r="D3472" s="8">
        <v>590</v>
      </c>
    </row>
    <row r="3473" spans="1:4">
      <c r="A3473" t="str">
        <f t="shared" si="54"/>
        <v>41Average Win</v>
      </c>
      <c r="B3473">
        <v>41</v>
      </c>
      <c r="C3473" s="9" t="s">
        <v>25</v>
      </c>
      <c r="D3473" s="8">
        <v>1.9E-2</v>
      </c>
    </row>
    <row r="3474" spans="1:4">
      <c r="A3474" t="str">
        <f t="shared" si="54"/>
        <v>41Average Loss</v>
      </c>
      <c r="B3474">
        <v>41</v>
      </c>
      <c r="C3474" s="9" t="s">
        <v>29</v>
      </c>
      <c r="D3474" s="8">
        <v>-1.06E-2</v>
      </c>
    </row>
    <row r="3475" spans="1:4">
      <c r="A3475" t="str">
        <f t="shared" si="54"/>
        <v>41Compounding Annual Return</v>
      </c>
      <c r="B3475">
        <v>41</v>
      </c>
      <c r="C3475" s="9" t="s">
        <v>30</v>
      </c>
      <c r="D3475" s="8">
        <v>0.20308999999999999</v>
      </c>
    </row>
    <row r="3476" spans="1:4">
      <c r="A3476" t="str">
        <f t="shared" si="54"/>
        <v>41Drawdown</v>
      </c>
      <c r="B3476">
        <v>41</v>
      </c>
      <c r="C3476" s="9" t="s">
        <v>8</v>
      </c>
      <c r="D3476" s="8">
        <v>6.8000000000000005E-2</v>
      </c>
    </row>
    <row r="3477" spans="1:4">
      <c r="A3477" t="str">
        <f t="shared" si="54"/>
        <v>41Expectancy</v>
      </c>
      <c r="B3477">
        <v>41</v>
      </c>
      <c r="C3477" s="9" t="s">
        <v>31</v>
      </c>
      <c r="D3477" s="8">
        <v>0.61099999999999999</v>
      </c>
    </row>
    <row r="3478" spans="1:4">
      <c r="A3478" t="str">
        <f t="shared" si="54"/>
        <v>41Net Profit</v>
      </c>
      <c r="B3478">
        <v>41</v>
      </c>
      <c r="C3478" s="9" t="s">
        <v>32</v>
      </c>
      <c r="D3478" s="8">
        <v>0.12695999999999999</v>
      </c>
    </row>
    <row r="3479" spans="1:4">
      <c r="A3479" t="str">
        <f t="shared" si="54"/>
        <v>41Loss Rate</v>
      </c>
      <c r="B3479">
        <v>41</v>
      </c>
      <c r="C3479" s="9" t="s">
        <v>33</v>
      </c>
      <c r="D3479" s="8">
        <v>0.42</v>
      </c>
    </row>
    <row r="3480" spans="1:4">
      <c r="A3480" t="str">
        <f t="shared" si="54"/>
        <v>41Win Rate</v>
      </c>
      <c r="B3480">
        <v>41</v>
      </c>
      <c r="C3480" s="9" t="s">
        <v>34</v>
      </c>
      <c r="D3480" s="8">
        <v>0.57999999999999996</v>
      </c>
    </row>
    <row r="3481" spans="1:4">
      <c r="A3481" t="str">
        <f t="shared" si="54"/>
        <v>41Profit-Loss Ratio</v>
      </c>
      <c r="B3481">
        <v>41</v>
      </c>
      <c r="C3481" s="9" t="s">
        <v>26</v>
      </c>
      <c r="D3481" s="8">
        <v>1.78</v>
      </c>
    </row>
    <row r="3482" spans="1:4">
      <c r="A3482" t="str">
        <f t="shared" si="54"/>
        <v>41Alpha</v>
      </c>
      <c r="B3482">
        <v>41</v>
      </c>
      <c r="C3482" s="9" t="s">
        <v>23</v>
      </c>
      <c r="D3482" s="8">
        <v>0.111</v>
      </c>
    </row>
    <row r="3483" spans="1:4">
      <c r="A3483" t="str">
        <f t="shared" si="54"/>
        <v>41Beta</v>
      </c>
      <c r="B3483">
        <v>41</v>
      </c>
      <c r="C3483" s="9" t="s">
        <v>24</v>
      </c>
      <c r="D3483" s="8">
        <v>0.47899999999999998</v>
      </c>
    </row>
    <row r="3484" spans="1:4">
      <c r="A3484" t="str">
        <f t="shared" si="54"/>
        <v>41Annual Standard Deviation</v>
      </c>
      <c r="B3484">
        <v>41</v>
      </c>
      <c r="C3484" s="9" t="s">
        <v>35</v>
      </c>
      <c r="D3484" s="8">
        <v>0.09</v>
      </c>
    </row>
    <row r="3485" spans="1:4">
      <c r="A3485" t="str">
        <f t="shared" si="54"/>
        <v>41Annual Variance</v>
      </c>
      <c r="B3485">
        <v>41</v>
      </c>
      <c r="C3485" s="9" t="s">
        <v>36</v>
      </c>
      <c r="D3485" s="8">
        <v>8.0000000000000002E-3</v>
      </c>
    </row>
    <row r="3486" spans="1:4">
      <c r="A3486" t="str">
        <f t="shared" si="54"/>
        <v>41Information Ratio</v>
      </c>
      <c r="B3486">
        <v>41</v>
      </c>
      <c r="C3486" s="9" t="s">
        <v>37</v>
      </c>
      <c r="D3486" s="8">
        <v>0.85099999999999998</v>
      </c>
    </row>
    <row r="3487" spans="1:4">
      <c r="A3487" t="str">
        <f t="shared" si="54"/>
        <v>41Tracking Error</v>
      </c>
      <c r="B3487">
        <v>41</v>
      </c>
      <c r="C3487" s="9" t="s">
        <v>38</v>
      </c>
      <c r="D3487" s="8">
        <v>9.0999999999999998E-2</v>
      </c>
    </row>
    <row r="3488" spans="1:4">
      <c r="A3488" t="str">
        <f t="shared" si="54"/>
        <v>41Treynor Ratio</v>
      </c>
      <c r="B3488">
        <v>41</v>
      </c>
      <c r="C3488" s="9" t="s">
        <v>39</v>
      </c>
      <c r="D3488" s="8">
        <v>0.29499999999999998</v>
      </c>
    </row>
    <row r="3489" spans="1:4">
      <c r="A3489" t="str">
        <f t="shared" si="54"/>
        <v>41Total Fees</v>
      </c>
      <c r="B3489">
        <v>41</v>
      </c>
      <c r="C3489" s="9" t="s">
        <v>40</v>
      </c>
      <c r="D3489" s="8">
        <v>0</v>
      </c>
    </row>
    <row r="3490" spans="1:4">
      <c r="A3490" t="str">
        <f t="shared" si="54"/>
        <v>41Estimated Strategy Capacity</v>
      </c>
      <c r="B3490">
        <v>41</v>
      </c>
      <c r="C3490" s="9" t="s">
        <v>41</v>
      </c>
      <c r="D3490" s="8">
        <v>39000000</v>
      </c>
    </row>
    <row r="3491" spans="1:4">
      <c r="A3491" t="str">
        <f t="shared" si="54"/>
        <v>39PSR</v>
      </c>
      <c r="B3491">
        <v>39</v>
      </c>
      <c r="C3491" s="9" t="s">
        <v>27</v>
      </c>
      <c r="D3491" s="8">
        <v>3.5349999999999999E-2</v>
      </c>
    </row>
    <row r="3492" spans="1:4">
      <c r="A3492" t="str">
        <f t="shared" si="54"/>
        <v>39Sharpe Ratio</v>
      </c>
      <c r="B3492">
        <v>39</v>
      </c>
      <c r="C3492" s="9" t="s">
        <v>1</v>
      </c>
      <c r="D3492" s="8">
        <v>-0.45200000000000001</v>
      </c>
    </row>
    <row r="3493" spans="1:4">
      <c r="A3493" t="str">
        <f t="shared" si="54"/>
        <v>39Total Trades</v>
      </c>
      <c r="B3493">
        <v>39</v>
      </c>
      <c r="C3493" s="9" t="s">
        <v>28</v>
      </c>
      <c r="D3493" s="8">
        <v>922</v>
      </c>
    </row>
    <row r="3494" spans="1:4">
      <c r="A3494" t="str">
        <f t="shared" si="54"/>
        <v>39Average Win</v>
      </c>
      <c r="B3494">
        <v>39</v>
      </c>
      <c r="C3494" s="9" t="s">
        <v>25</v>
      </c>
      <c r="D3494" s="8">
        <v>0.1065</v>
      </c>
    </row>
    <row r="3495" spans="1:4">
      <c r="A3495" t="str">
        <f t="shared" si="54"/>
        <v>39Average Loss</v>
      </c>
      <c r="B3495">
        <v>39</v>
      </c>
      <c r="C3495" s="9" t="s">
        <v>29</v>
      </c>
      <c r="D3495" s="8">
        <v>-8.4699999999999998E-2</v>
      </c>
    </row>
    <row r="3496" spans="1:4">
      <c r="A3496" t="str">
        <f t="shared" si="54"/>
        <v>39Compounding Annual Return</v>
      </c>
      <c r="B3496">
        <v>39</v>
      </c>
      <c r="C3496" s="9" t="s">
        <v>30</v>
      </c>
      <c r="D3496" s="8">
        <v>-0.99119999999999997</v>
      </c>
    </row>
    <row r="3497" spans="1:4">
      <c r="A3497" t="str">
        <f t="shared" si="54"/>
        <v>39Drawdown</v>
      </c>
      <c r="B3497">
        <v>39</v>
      </c>
      <c r="C3497" s="9" t="s">
        <v>8</v>
      </c>
      <c r="D3497" s="8">
        <v>0.96399999999999997</v>
      </c>
    </row>
    <row r="3498" spans="1:4">
      <c r="A3498" t="str">
        <f t="shared" si="54"/>
        <v>39Expectancy</v>
      </c>
      <c r="B3498">
        <v>39</v>
      </c>
      <c r="C3498" s="9" t="s">
        <v>31</v>
      </c>
      <c r="D3498" s="8">
        <v>-0.503</v>
      </c>
    </row>
    <row r="3499" spans="1:4">
      <c r="A3499" t="str">
        <f t="shared" si="54"/>
        <v>39Net Profit</v>
      </c>
      <c r="B3499">
        <v>39</v>
      </c>
      <c r="C3499" s="9" t="s">
        <v>32</v>
      </c>
      <c r="D3499" s="8">
        <v>-0.95309999999999995</v>
      </c>
    </row>
    <row r="3500" spans="1:4">
      <c r="A3500" t="str">
        <f t="shared" si="54"/>
        <v>39Loss Rate</v>
      </c>
      <c r="B3500">
        <v>39</v>
      </c>
      <c r="C3500" s="9" t="s">
        <v>33</v>
      </c>
      <c r="D3500" s="8">
        <v>0.78</v>
      </c>
    </row>
    <row r="3501" spans="1:4">
      <c r="A3501" t="str">
        <f t="shared" si="54"/>
        <v>39Win Rate</v>
      </c>
      <c r="B3501">
        <v>39</v>
      </c>
      <c r="C3501" s="9" t="s">
        <v>34</v>
      </c>
      <c r="D3501" s="8">
        <v>0.22</v>
      </c>
    </row>
    <row r="3502" spans="1:4">
      <c r="A3502" t="str">
        <f t="shared" si="54"/>
        <v>39Profit-Loss Ratio</v>
      </c>
      <c r="B3502">
        <v>39</v>
      </c>
      <c r="C3502" s="9" t="s">
        <v>26</v>
      </c>
      <c r="D3502" s="8">
        <v>1.26</v>
      </c>
    </row>
    <row r="3503" spans="1:4">
      <c r="A3503" t="str">
        <f t="shared" si="54"/>
        <v>39Alpha</v>
      </c>
      <c r="B3503">
        <v>39</v>
      </c>
      <c r="C3503" s="9" t="s">
        <v>23</v>
      </c>
      <c r="D3503" s="8">
        <v>-1.38</v>
      </c>
    </row>
    <row r="3504" spans="1:4">
      <c r="A3504" t="str">
        <f t="shared" si="54"/>
        <v>39Beta</v>
      </c>
      <c r="B3504">
        <v>39</v>
      </c>
      <c r="C3504" s="9" t="s">
        <v>24</v>
      </c>
      <c r="D3504" s="8">
        <v>10.227</v>
      </c>
    </row>
    <row r="3505" spans="1:4">
      <c r="A3505" t="str">
        <f t="shared" si="54"/>
        <v>39Annual Standard Deviation</v>
      </c>
      <c r="B3505">
        <v>39</v>
      </c>
      <c r="C3505" s="9" t="s">
        <v>35</v>
      </c>
      <c r="D3505" s="8">
        <v>1.754</v>
      </c>
    </row>
    <row r="3506" spans="1:4">
      <c r="A3506" t="str">
        <f t="shared" si="54"/>
        <v>39Annual Variance</v>
      </c>
      <c r="B3506">
        <v>39</v>
      </c>
      <c r="C3506" s="9" t="s">
        <v>36</v>
      </c>
      <c r="D3506" s="8">
        <v>3.0760000000000001</v>
      </c>
    </row>
    <row r="3507" spans="1:4">
      <c r="A3507" t="str">
        <f t="shared" si="54"/>
        <v>39Information Ratio</v>
      </c>
      <c r="B3507">
        <v>39</v>
      </c>
      <c r="C3507" s="9" t="s">
        <v>37</v>
      </c>
      <c r="D3507" s="8">
        <v>-0.49199999999999999</v>
      </c>
    </row>
    <row r="3508" spans="1:4">
      <c r="A3508" t="str">
        <f t="shared" si="54"/>
        <v>39Tracking Error</v>
      </c>
      <c r="B3508">
        <v>39</v>
      </c>
      <c r="C3508" s="9" t="s">
        <v>38</v>
      </c>
      <c r="D3508" s="8">
        <v>1.7290000000000001</v>
      </c>
    </row>
    <row r="3509" spans="1:4">
      <c r="A3509" t="str">
        <f t="shared" si="54"/>
        <v>39Treynor Ratio</v>
      </c>
      <c r="B3509">
        <v>39</v>
      </c>
      <c r="C3509" s="9" t="s">
        <v>39</v>
      </c>
      <c r="D3509" s="8">
        <v>-7.6999999999999999E-2</v>
      </c>
    </row>
    <row r="3510" spans="1:4">
      <c r="A3510" t="str">
        <f t="shared" si="54"/>
        <v>39Total Fees</v>
      </c>
      <c r="B3510">
        <v>39</v>
      </c>
      <c r="C3510" s="9" t="s">
        <v>40</v>
      </c>
      <c r="D3510" s="8">
        <v>0</v>
      </c>
    </row>
    <row r="3511" spans="1:4">
      <c r="A3511" t="str">
        <f t="shared" si="54"/>
        <v>39Estimated Strategy Capacity</v>
      </c>
      <c r="B3511">
        <v>39</v>
      </c>
      <c r="C3511" s="9" t="s">
        <v>41</v>
      </c>
      <c r="D3511" s="8">
        <v>28000000</v>
      </c>
    </row>
    <row r="3512" spans="1:4">
      <c r="A3512" t="str">
        <f t="shared" si="54"/>
        <v>40PSR</v>
      </c>
      <c r="B3512">
        <v>40</v>
      </c>
      <c r="C3512" s="9" t="s">
        <v>27</v>
      </c>
      <c r="D3512" s="8">
        <v>0.66532000000000002</v>
      </c>
    </row>
    <row r="3513" spans="1:4">
      <c r="A3513" t="str">
        <f t="shared" si="54"/>
        <v>40Sharpe Ratio</v>
      </c>
      <c r="B3513">
        <v>40</v>
      </c>
      <c r="C3513" s="9" t="s">
        <v>1</v>
      </c>
      <c r="D3513" s="8">
        <v>1.4119999999999999</v>
      </c>
    </row>
    <row r="3514" spans="1:4">
      <c r="A3514" t="str">
        <f t="shared" si="54"/>
        <v>40Total Trades</v>
      </c>
      <c r="B3514">
        <v>40</v>
      </c>
      <c r="C3514" s="9" t="s">
        <v>28</v>
      </c>
      <c r="D3514" s="8">
        <v>590</v>
      </c>
    </row>
    <row r="3515" spans="1:4">
      <c r="A3515" t="str">
        <f t="shared" si="54"/>
        <v>40Average Win</v>
      </c>
      <c r="B3515">
        <v>40</v>
      </c>
      <c r="C3515" s="9" t="s">
        <v>25</v>
      </c>
      <c r="D3515" s="8">
        <v>2E-3</v>
      </c>
    </row>
    <row r="3516" spans="1:4">
      <c r="A3516" t="str">
        <f t="shared" si="54"/>
        <v>40Average Loss</v>
      </c>
      <c r="B3516">
        <v>40</v>
      </c>
      <c r="C3516" s="9" t="s">
        <v>29</v>
      </c>
      <c r="D3516" s="8">
        <v>-1.1999999999999999E-3</v>
      </c>
    </row>
    <row r="3517" spans="1:4">
      <c r="A3517" t="str">
        <f t="shared" si="54"/>
        <v>40Compounding Annual Return</v>
      </c>
      <c r="B3517">
        <v>40</v>
      </c>
      <c r="C3517" s="9" t="s">
        <v>30</v>
      </c>
      <c r="D3517" s="8">
        <v>1.9709999999999998E-2</v>
      </c>
    </row>
    <row r="3518" spans="1:4">
      <c r="A3518" t="str">
        <f t="shared" si="54"/>
        <v>40Drawdown</v>
      </c>
      <c r="B3518">
        <v>40</v>
      </c>
      <c r="C3518" s="9" t="s">
        <v>8</v>
      </c>
      <c r="D3518" s="8">
        <v>8.0000000000000002E-3</v>
      </c>
    </row>
    <row r="3519" spans="1:4">
      <c r="A3519" t="str">
        <f t="shared" si="54"/>
        <v>40Expectancy</v>
      </c>
      <c r="B3519">
        <v>40</v>
      </c>
      <c r="C3519" s="9" t="s">
        <v>31</v>
      </c>
      <c r="D3519" s="8">
        <v>0.56299999999999994</v>
      </c>
    </row>
    <row r="3520" spans="1:4">
      <c r="A3520" t="str">
        <f t="shared" si="54"/>
        <v>40Net Profit</v>
      </c>
      <c r="B3520">
        <v>40</v>
      </c>
      <c r="C3520" s="9" t="s">
        <v>32</v>
      </c>
      <c r="D3520" s="8">
        <v>1.2699999999999999E-2</v>
      </c>
    </row>
    <row r="3521" spans="1:4">
      <c r="A3521" t="str">
        <f t="shared" si="54"/>
        <v>40Loss Rate</v>
      </c>
      <c r="B3521">
        <v>40</v>
      </c>
      <c r="C3521" s="9" t="s">
        <v>33</v>
      </c>
      <c r="D3521" s="8">
        <v>0.42</v>
      </c>
    </row>
    <row r="3522" spans="1:4">
      <c r="A3522" t="str">
        <f t="shared" si="54"/>
        <v>40Win Rate</v>
      </c>
      <c r="B3522">
        <v>40</v>
      </c>
      <c r="C3522" s="9" t="s">
        <v>34</v>
      </c>
      <c r="D3522" s="8">
        <v>0.57999999999999996</v>
      </c>
    </row>
    <row r="3523" spans="1:4">
      <c r="A3523" t="str">
        <f t="shared" ref="A3523:A3586" si="55">B3523&amp;C3523</f>
        <v>40Profit-Loss Ratio</v>
      </c>
      <c r="B3523">
        <v>40</v>
      </c>
      <c r="C3523" s="9" t="s">
        <v>26</v>
      </c>
      <c r="D3523" s="8">
        <v>1.7</v>
      </c>
    </row>
    <row r="3524" spans="1:4">
      <c r="A3524" t="str">
        <f t="shared" si="55"/>
        <v>40Alpha</v>
      </c>
      <c r="B3524">
        <v>40</v>
      </c>
      <c r="C3524" s="9" t="s">
        <v>23</v>
      </c>
      <c r="D3524" s="8">
        <v>0.01</v>
      </c>
    </row>
    <row r="3525" spans="1:4">
      <c r="A3525" t="str">
        <f t="shared" si="55"/>
        <v>40Beta</v>
      </c>
      <c r="B3525">
        <v>40</v>
      </c>
      <c r="C3525" s="9" t="s">
        <v>24</v>
      </c>
      <c r="D3525" s="8">
        <v>5.1999999999999998E-2</v>
      </c>
    </row>
    <row r="3526" spans="1:4">
      <c r="A3526" t="str">
        <f t="shared" si="55"/>
        <v>40Annual Standard Deviation</v>
      </c>
      <c r="B3526">
        <v>40</v>
      </c>
      <c r="C3526" s="9" t="s">
        <v>35</v>
      </c>
      <c r="D3526" s="8">
        <v>0.01</v>
      </c>
    </row>
    <row r="3527" spans="1:4">
      <c r="A3527" t="str">
        <f t="shared" si="55"/>
        <v>40Annual Variance</v>
      </c>
      <c r="B3527">
        <v>40</v>
      </c>
      <c r="C3527" s="9" t="s">
        <v>36</v>
      </c>
      <c r="D3527" s="8">
        <v>0</v>
      </c>
    </row>
    <row r="3528" spans="1:4">
      <c r="A3528" t="str">
        <f t="shared" si="55"/>
        <v>40Information Ratio</v>
      </c>
      <c r="B3528">
        <v>40</v>
      </c>
      <c r="C3528" s="9" t="s">
        <v>37</v>
      </c>
      <c r="D3528" s="8">
        <v>-0.78300000000000003</v>
      </c>
    </row>
    <row r="3529" spans="1:4">
      <c r="A3529" t="str">
        <f t="shared" si="55"/>
        <v>40Tracking Error</v>
      </c>
      <c r="B3529">
        <v>40</v>
      </c>
      <c r="C3529" s="9" t="s">
        <v>38</v>
      </c>
      <c r="D3529" s="8">
        <v>6.4000000000000001E-2</v>
      </c>
    </row>
    <row r="3530" spans="1:4">
      <c r="A3530" t="str">
        <f t="shared" si="55"/>
        <v>40Treynor Ratio</v>
      </c>
      <c r="B3530">
        <v>40</v>
      </c>
      <c r="C3530" s="9" t="s">
        <v>39</v>
      </c>
      <c r="D3530" s="8">
        <v>0.26300000000000001</v>
      </c>
    </row>
    <row r="3531" spans="1:4">
      <c r="A3531" t="str">
        <f t="shared" si="55"/>
        <v>40Total Fees</v>
      </c>
      <c r="B3531">
        <v>40</v>
      </c>
      <c r="C3531" s="9" t="s">
        <v>40</v>
      </c>
      <c r="D3531" s="8">
        <v>0</v>
      </c>
    </row>
    <row r="3532" spans="1:4">
      <c r="A3532" t="str">
        <f t="shared" si="55"/>
        <v>40Estimated Strategy Capacity</v>
      </c>
      <c r="B3532">
        <v>40</v>
      </c>
      <c r="C3532" s="9" t="s">
        <v>41</v>
      </c>
      <c r="D3532" s="8">
        <v>340000000</v>
      </c>
    </row>
    <row r="3533" spans="1:4">
      <c r="A3533" t="str">
        <f t="shared" si="55"/>
        <v>40AUDUSD 8G</v>
      </c>
      <c r="B3533">
        <v>40</v>
      </c>
      <c r="C3533" t="s">
        <v>44</v>
      </c>
      <c r="D3533" s="6">
        <v>0</v>
      </c>
    </row>
    <row r="3534" spans="1:4">
      <c r="A3534" t="str">
        <f t="shared" si="55"/>
        <v>38PSR</v>
      </c>
      <c r="B3534">
        <v>38</v>
      </c>
      <c r="C3534" s="9" t="s">
        <v>27</v>
      </c>
      <c r="D3534" s="8">
        <v>4.2520000000000002E-2</v>
      </c>
    </row>
    <row r="3535" spans="1:4">
      <c r="A3535" t="str">
        <f t="shared" si="55"/>
        <v>38Sharpe Ratio</v>
      </c>
      <c r="B3535">
        <v>38</v>
      </c>
      <c r="C3535" s="9" t="s">
        <v>1</v>
      </c>
      <c r="D3535" s="8">
        <v>-0.71299999999999997</v>
      </c>
    </row>
    <row r="3536" spans="1:4">
      <c r="A3536" t="str">
        <f t="shared" si="55"/>
        <v>38Total Trades</v>
      </c>
      <c r="B3536">
        <v>38</v>
      </c>
      <c r="C3536" s="9" t="s">
        <v>28</v>
      </c>
      <c r="D3536" s="8">
        <v>961</v>
      </c>
    </row>
    <row r="3537" spans="1:4">
      <c r="A3537" t="str">
        <f t="shared" si="55"/>
        <v>38Average Win</v>
      </c>
      <c r="B3537">
        <v>38</v>
      </c>
      <c r="C3537" s="9" t="s">
        <v>25</v>
      </c>
      <c r="D3537" s="8">
        <v>1.4200000000000001E-2</v>
      </c>
    </row>
    <row r="3538" spans="1:4">
      <c r="A3538" t="str">
        <f t="shared" si="55"/>
        <v>38Average Loss</v>
      </c>
      <c r="B3538">
        <v>38</v>
      </c>
      <c r="C3538" s="9" t="s">
        <v>29</v>
      </c>
      <c r="D3538" s="8">
        <v>-1.8200000000000001E-2</v>
      </c>
    </row>
    <row r="3539" spans="1:4">
      <c r="A3539" t="str">
        <f t="shared" si="55"/>
        <v>38Compounding Annual Return</v>
      </c>
      <c r="B3539">
        <v>38</v>
      </c>
      <c r="C3539" s="9" t="s">
        <v>30</v>
      </c>
      <c r="D3539" s="8">
        <v>-0.26854</v>
      </c>
    </row>
    <row r="3540" spans="1:4">
      <c r="A3540" t="str">
        <f t="shared" si="55"/>
        <v>38Drawdown</v>
      </c>
      <c r="B3540">
        <v>38</v>
      </c>
      <c r="C3540" s="9" t="s">
        <v>8</v>
      </c>
      <c r="D3540" s="8">
        <v>0.27600000000000002</v>
      </c>
    </row>
    <row r="3541" spans="1:4">
      <c r="A3541" t="str">
        <f t="shared" si="55"/>
        <v>38Expectancy</v>
      </c>
      <c r="B3541">
        <v>38</v>
      </c>
      <c r="C3541" s="9" t="s">
        <v>31</v>
      </c>
      <c r="D3541" s="8">
        <v>-0.33100000000000002</v>
      </c>
    </row>
    <row r="3542" spans="1:4">
      <c r="A3542" t="str">
        <f t="shared" si="55"/>
        <v>38Net Profit</v>
      </c>
      <c r="B3542">
        <v>38</v>
      </c>
      <c r="C3542" s="9" t="s">
        <v>32</v>
      </c>
      <c r="D3542" s="8">
        <v>-0.18303</v>
      </c>
    </row>
    <row r="3543" spans="1:4">
      <c r="A3543" t="str">
        <f t="shared" si="55"/>
        <v>38Loss Rate</v>
      </c>
      <c r="B3543">
        <v>38</v>
      </c>
      <c r="C3543" s="9" t="s">
        <v>33</v>
      </c>
      <c r="D3543" s="8">
        <v>0.62</v>
      </c>
    </row>
    <row r="3544" spans="1:4">
      <c r="A3544" t="str">
        <f t="shared" si="55"/>
        <v>38Win Rate</v>
      </c>
      <c r="B3544">
        <v>38</v>
      </c>
      <c r="C3544" s="9" t="s">
        <v>34</v>
      </c>
      <c r="D3544" s="8">
        <v>0.38</v>
      </c>
    </row>
    <row r="3545" spans="1:4">
      <c r="A3545" t="str">
        <f t="shared" si="55"/>
        <v>38Profit-Loss Ratio</v>
      </c>
      <c r="B3545">
        <v>38</v>
      </c>
      <c r="C3545" s="9" t="s">
        <v>26</v>
      </c>
      <c r="D3545" s="8">
        <v>0.78</v>
      </c>
    </row>
    <row r="3546" spans="1:4">
      <c r="A3546" t="str">
        <f t="shared" si="55"/>
        <v>38Alpha</v>
      </c>
      <c r="B3546">
        <v>38</v>
      </c>
      <c r="C3546" s="9" t="s">
        <v>23</v>
      </c>
      <c r="D3546" s="8">
        <v>-0.27</v>
      </c>
    </row>
    <row r="3547" spans="1:4">
      <c r="A3547" t="str">
        <f t="shared" si="55"/>
        <v>38Beta</v>
      </c>
      <c r="B3547">
        <v>38</v>
      </c>
      <c r="C3547" s="9" t="s">
        <v>24</v>
      </c>
      <c r="D3547" s="8">
        <v>1.546</v>
      </c>
    </row>
    <row r="3548" spans="1:4">
      <c r="A3548" t="str">
        <f t="shared" si="55"/>
        <v>38Annual Standard Deviation</v>
      </c>
      <c r="B3548">
        <v>38</v>
      </c>
      <c r="C3548" s="9" t="s">
        <v>35</v>
      </c>
      <c r="D3548" s="8">
        <v>0.24</v>
      </c>
    </row>
    <row r="3549" spans="1:4">
      <c r="A3549" t="str">
        <f t="shared" si="55"/>
        <v>38Annual Variance</v>
      </c>
      <c r="B3549">
        <v>38</v>
      </c>
      <c r="C3549" s="9" t="s">
        <v>36</v>
      </c>
      <c r="D3549" s="8">
        <v>5.8000000000000003E-2</v>
      </c>
    </row>
    <row r="3550" spans="1:4">
      <c r="A3550" t="str">
        <f t="shared" si="55"/>
        <v>38Information Ratio</v>
      </c>
      <c r="B3550">
        <v>38</v>
      </c>
      <c r="C3550" s="9" t="s">
        <v>37</v>
      </c>
      <c r="D3550" s="8">
        <v>-1.069</v>
      </c>
    </row>
    <row r="3551" spans="1:4">
      <c r="A3551" t="str">
        <f t="shared" si="55"/>
        <v>38Tracking Error</v>
      </c>
      <c r="B3551">
        <v>38</v>
      </c>
      <c r="C3551" s="9" t="s">
        <v>38</v>
      </c>
      <c r="D3551" s="8">
        <v>0.22</v>
      </c>
    </row>
    <row r="3552" spans="1:4">
      <c r="A3552" t="str">
        <f t="shared" si="55"/>
        <v>38Treynor Ratio</v>
      </c>
      <c r="B3552">
        <v>38</v>
      </c>
      <c r="C3552" s="9" t="s">
        <v>39</v>
      </c>
      <c r="D3552" s="8">
        <v>-0.111</v>
      </c>
    </row>
    <row r="3553" spans="1:4">
      <c r="A3553" t="str">
        <f t="shared" si="55"/>
        <v>38Total Fees</v>
      </c>
      <c r="B3553">
        <v>38</v>
      </c>
      <c r="C3553" s="9" t="s">
        <v>40</v>
      </c>
      <c r="D3553" s="8">
        <v>0</v>
      </c>
    </row>
    <row r="3554" spans="1:4">
      <c r="A3554" t="str">
        <f t="shared" si="55"/>
        <v>38Estimated Strategy Capacity</v>
      </c>
      <c r="B3554">
        <v>38</v>
      </c>
      <c r="C3554" s="9" t="s">
        <v>41</v>
      </c>
      <c r="D3554" s="8">
        <v>2100000000</v>
      </c>
    </row>
    <row r="3555" spans="1:4">
      <c r="A3555" t="str">
        <f t="shared" si="55"/>
        <v>37PSR</v>
      </c>
      <c r="B3555">
        <v>37</v>
      </c>
      <c r="C3555" s="9" t="s">
        <v>27</v>
      </c>
      <c r="D3555" s="8">
        <v>3.0470000000000001E-2</v>
      </c>
    </row>
    <row r="3556" spans="1:4">
      <c r="A3556" t="str">
        <f t="shared" si="55"/>
        <v>37Sharpe Ratio</v>
      </c>
      <c r="B3556">
        <v>37</v>
      </c>
      <c r="C3556" s="9" t="s">
        <v>1</v>
      </c>
      <c r="D3556" s="8">
        <v>-0.90300000000000002</v>
      </c>
    </row>
    <row r="3557" spans="1:4">
      <c r="A3557" t="str">
        <f t="shared" si="55"/>
        <v>37Total Trades</v>
      </c>
      <c r="B3557">
        <v>37</v>
      </c>
      <c r="C3557" s="9" t="s">
        <v>28</v>
      </c>
      <c r="D3557" s="8">
        <v>961</v>
      </c>
    </row>
    <row r="3558" spans="1:4">
      <c r="A3558" t="str">
        <f t="shared" si="55"/>
        <v>37Average Win</v>
      </c>
      <c r="B3558">
        <v>37</v>
      </c>
      <c r="C3558" s="9" t="s">
        <v>25</v>
      </c>
      <c r="D3558" s="8">
        <v>1.2999999999999999E-3</v>
      </c>
    </row>
    <row r="3559" spans="1:4">
      <c r="A3559" t="str">
        <f t="shared" si="55"/>
        <v>37Average Loss</v>
      </c>
      <c r="B3559">
        <v>37</v>
      </c>
      <c r="C3559" s="9" t="s">
        <v>29</v>
      </c>
      <c r="D3559" s="8">
        <v>-1.6999999999999999E-3</v>
      </c>
    </row>
    <row r="3560" spans="1:4">
      <c r="A3560" t="str">
        <f t="shared" si="55"/>
        <v>37Compounding Annual Return</v>
      </c>
      <c r="B3560">
        <v>37</v>
      </c>
      <c r="C3560" s="9" t="s">
        <v>30</v>
      </c>
      <c r="D3560" s="8">
        <v>-2.8170000000000001E-2</v>
      </c>
    </row>
    <row r="3561" spans="1:4">
      <c r="A3561" t="str">
        <f t="shared" si="55"/>
        <v>37Drawdown</v>
      </c>
      <c r="B3561">
        <v>37</v>
      </c>
      <c r="C3561" s="9" t="s">
        <v>8</v>
      </c>
      <c r="D3561" s="8">
        <v>2.9000000000000001E-2</v>
      </c>
    </row>
    <row r="3562" spans="1:4">
      <c r="A3562" t="str">
        <f t="shared" si="55"/>
        <v>37Expectancy</v>
      </c>
      <c r="B3562">
        <v>37</v>
      </c>
      <c r="C3562" s="9" t="s">
        <v>31</v>
      </c>
      <c r="D3562" s="8">
        <v>-0.33300000000000002</v>
      </c>
    </row>
    <row r="3563" spans="1:4">
      <c r="A3563" t="str">
        <f t="shared" si="55"/>
        <v>37Net Profit</v>
      </c>
      <c r="B3563">
        <v>37</v>
      </c>
      <c r="C3563" s="9" t="s">
        <v>32</v>
      </c>
      <c r="D3563" s="8">
        <v>-1.83E-2</v>
      </c>
    </row>
    <row r="3564" spans="1:4">
      <c r="A3564" t="str">
        <f t="shared" si="55"/>
        <v>37Loss Rate</v>
      </c>
      <c r="B3564">
        <v>37</v>
      </c>
      <c r="C3564" s="9" t="s">
        <v>33</v>
      </c>
      <c r="D3564" s="8">
        <v>0.62</v>
      </c>
    </row>
    <row r="3565" spans="1:4">
      <c r="A3565" t="str">
        <f t="shared" si="55"/>
        <v>37Win Rate</v>
      </c>
      <c r="B3565">
        <v>37</v>
      </c>
      <c r="C3565" s="9" t="s">
        <v>34</v>
      </c>
      <c r="D3565" s="8">
        <v>0.38</v>
      </c>
    </row>
    <row r="3566" spans="1:4">
      <c r="A3566" t="str">
        <f t="shared" si="55"/>
        <v>37Profit-Loss Ratio</v>
      </c>
      <c r="B3566">
        <v>37</v>
      </c>
      <c r="C3566" s="9" t="s">
        <v>26</v>
      </c>
      <c r="D3566" s="8">
        <v>0.78</v>
      </c>
    </row>
    <row r="3567" spans="1:4">
      <c r="A3567" t="str">
        <f t="shared" si="55"/>
        <v>37Alpha</v>
      </c>
      <c r="B3567">
        <v>37</v>
      </c>
      <c r="C3567" s="9" t="s">
        <v>23</v>
      </c>
      <c r="D3567" s="8">
        <v>-2.7E-2</v>
      </c>
    </row>
    <row r="3568" spans="1:4">
      <c r="A3568" t="str">
        <f t="shared" si="55"/>
        <v>37Beta</v>
      </c>
      <c r="B3568">
        <v>37</v>
      </c>
      <c r="C3568" s="9" t="s">
        <v>24</v>
      </c>
      <c r="D3568" s="8">
        <v>0.13800000000000001</v>
      </c>
    </row>
    <row r="3569" spans="1:4">
      <c r="A3569" t="str">
        <f t="shared" si="55"/>
        <v>37Annual Standard Deviation</v>
      </c>
      <c r="B3569">
        <v>37</v>
      </c>
      <c r="C3569" s="9" t="s">
        <v>35</v>
      </c>
      <c r="D3569" s="8">
        <v>2.1000000000000001E-2</v>
      </c>
    </row>
    <row r="3570" spans="1:4">
      <c r="A3570" t="str">
        <f t="shared" si="55"/>
        <v>37Annual Variance</v>
      </c>
      <c r="B3570">
        <v>37</v>
      </c>
      <c r="C3570" s="9" t="s">
        <v>36</v>
      </c>
      <c r="D3570" s="8">
        <v>0</v>
      </c>
    </row>
    <row r="3571" spans="1:4">
      <c r="A3571" t="str">
        <f t="shared" si="55"/>
        <v>37Information Ratio</v>
      </c>
      <c r="B3571">
        <v>37</v>
      </c>
      <c r="C3571" s="9" t="s">
        <v>37</v>
      </c>
      <c r="D3571" s="8">
        <v>-1.2609999999999999</v>
      </c>
    </row>
    <row r="3572" spans="1:4">
      <c r="A3572" t="str">
        <f t="shared" si="55"/>
        <v>37Tracking Error</v>
      </c>
      <c r="B3572">
        <v>37</v>
      </c>
      <c r="C3572" s="9" t="s">
        <v>38</v>
      </c>
      <c r="D3572" s="8">
        <v>6.0999999999999999E-2</v>
      </c>
    </row>
    <row r="3573" spans="1:4">
      <c r="A3573" t="str">
        <f t="shared" si="55"/>
        <v>37Treynor Ratio</v>
      </c>
      <c r="B3573">
        <v>37</v>
      </c>
      <c r="C3573" s="9" t="s">
        <v>39</v>
      </c>
      <c r="D3573" s="8">
        <v>-0.14000000000000001</v>
      </c>
    </row>
    <row r="3574" spans="1:4">
      <c r="A3574" t="str">
        <f t="shared" si="55"/>
        <v>37Total Fees</v>
      </c>
      <c r="B3574">
        <v>37</v>
      </c>
      <c r="C3574" s="9" t="s">
        <v>40</v>
      </c>
      <c r="D3574" s="8">
        <v>0</v>
      </c>
    </row>
    <row r="3575" spans="1:4">
      <c r="A3575" t="str">
        <f t="shared" si="55"/>
        <v>37Estimated Strategy Capacity</v>
      </c>
      <c r="B3575">
        <v>37</v>
      </c>
      <c r="C3575" s="9" t="s">
        <v>41</v>
      </c>
      <c r="D3575" s="8">
        <v>25000000000</v>
      </c>
    </row>
    <row r="3576" spans="1:4">
      <c r="A3576" t="str">
        <f t="shared" si="55"/>
        <v>27PSR</v>
      </c>
      <c r="B3576">
        <v>27</v>
      </c>
      <c r="C3576" s="9" t="s">
        <v>27</v>
      </c>
      <c r="D3576" s="8">
        <v>0.11261</v>
      </c>
    </row>
    <row r="3577" spans="1:4">
      <c r="A3577" t="str">
        <f t="shared" si="55"/>
        <v>27Sharpe Ratio</v>
      </c>
      <c r="B3577">
        <v>27</v>
      </c>
      <c r="C3577" s="9" t="s">
        <v>1</v>
      </c>
      <c r="D3577" s="8">
        <v>-0.25700000000000001</v>
      </c>
    </row>
    <row r="3578" spans="1:4">
      <c r="A3578" t="str">
        <f t="shared" si="55"/>
        <v>27Total Trades</v>
      </c>
      <c r="B3578">
        <v>27</v>
      </c>
      <c r="C3578" s="9" t="s">
        <v>28</v>
      </c>
      <c r="D3578" s="8">
        <v>111</v>
      </c>
    </row>
    <row r="3579" spans="1:4">
      <c r="A3579" t="str">
        <f t="shared" si="55"/>
        <v>27Average Win</v>
      </c>
      <c r="B3579">
        <v>27</v>
      </c>
      <c r="C3579" s="9" t="s">
        <v>25</v>
      </c>
      <c r="D3579" s="8">
        <v>1.23E-2</v>
      </c>
    </row>
    <row r="3580" spans="1:4">
      <c r="A3580" t="str">
        <f t="shared" si="55"/>
        <v>27Average Loss</v>
      </c>
      <c r="B3580">
        <v>27</v>
      </c>
      <c r="C3580" s="9" t="s">
        <v>29</v>
      </c>
      <c r="D3580" s="8">
        <v>-4.2200000000000001E-2</v>
      </c>
    </row>
    <row r="3581" spans="1:4">
      <c r="A3581" t="str">
        <f t="shared" si="55"/>
        <v>27Compounding Annual Return</v>
      </c>
      <c r="B3581">
        <v>27</v>
      </c>
      <c r="C3581" s="9" t="s">
        <v>30</v>
      </c>
      <c r="D3581" s="8">
        <v>-0.1183</v>
      </c>
    </row>
    <row r="3582" spans="1:4">
      <c r="A3582" t="str">
        <f t="shared" si="55"/>
        <v>27Drawdown</v>
      </c>
      <c r="B3582">
        <v>27</v>
      </c>
      <c r="C3582" s="9" t="s">
        <v>8</v>
      </c>
      <c r="D3582" s="8">
        <v>0.255</v>
      </c>
    </row>
    <row r="3583" spans="1:4">
      <c r="A3583" t="str">
        <f t="shared" si="55"/>
        <v>27Expectancy</v>
      </c>
      <c r="B3583">
        <v>27</v>
      </c>
      <c r="C3583" s="9" t="s">
        <v>31</v>
      </c>
      <c r="D3583" s="8">
        <v>-0.56999999999999995</v>
      </c>
    </row>
    <row r="3584" spans="1:4">
      <c r="A3584" t="str">
        <f t="shared" si="55"/>
        <v>27Net Profit</v>
      </c>
      <c r="B3584">
        <v>27</v>
      </c>
      <c r="C3584" s="9" t="s">
        <v>32</v>
      </c>
      <c r="D3584" s="8">
        <v>-7.8170000000000003E-2</v>
      </c>
    </row>
    <row r="3585" spans="1:4">
      <c r="A3585" t="str">
        <f t="shared" si="55"/>
        <v>27Loss Rate</v>
      </c>
      <c r="B3585">
        <v>27</v>
      </c>
      <c r="C3585" s="9" t="s">
        <v>33</v>
      </c>
      <c r="D3585" s="8">
        <v>0.67</v>
      </c>
    </row>
    <row r="3586" spans="1:4">
      <c r="A3586" t="str">
        <f t="shared" si="55"/>
        <v>27Win Rate</v>
      </c>
      <c r="B3586">
        <v>27</v>
      </c>
      <c r="C3586" s="9" t="s">
        <v>34</v>
      </c>
      <c r="D3586" s="8">
        <v>0.33</v>
      </c>
    </row>
    <row r="3587" spans="1:4">
      <c r="A3587" t="str">
        <f t="shared" ref="A3587:A3650" si="56">B3587&amp;C3587</f>
        <v>27Profit-Loss Ratio</v>
      </c>
      <c r="B3587">
        <v>27</v>
      </c>
      <c r="C3587" s="9" t="s">
        <v>26</v>
      </c>
      <c r="D3587" s="8">
        <v>0.28999999999999998</v>
      </c>
    </row>
    <row r="3588" spans="1:4">
      <c r="A3588" t="str">
        <f t="shared" si="56"/>
        <v>27Alpha</v>
      </c>
      <c r="B3588">
        <v>27</v>
      </c>
      <c r="C3588" s="9" t="s">
        <v>23</v>
      </c>
      <c r="D3588" s="8">
        <v>-0.114</v>
      </c>
    </row>
    <row r="3589" spans="1:4">
      <c r="A3589" t="str">
        <f t="shared" si="56"/>
        <v>27Beta</v>
      </c>
      <c r="B3589">
        <v>27</v>
      </c>
      <c r="C3589" s="9" t="s">
        <v>24</v>
      </c>
      <c r="D3589" s="8">
        <v>0.86099999999999999</v>
      </c>
    </row>
    <row r="3590" spans="1:4">
      <c r="A3590" t="str">
        <f t="shared" si="56"/>
        <v>27Annual Standard Deviation</v>
      </c>
      <c r="B3590">
        <v>27</v>
      </c>
      <c r="C3590" s="9" t="s">
        <v>35</v>
      </c>
      <c r="D3590" s="8">
        <v>0.23</v>
      </c>
    </row>
    <row r="3591" spans="1:4">
      <c r="A3591" t="str">
        <f t="shared" si="56"/>
        <v>27Annual Variance</v>
      </c>
      <c r="B3591">
        <v>27</v>
      </c>
      <c r="C3591" s="9" t="s">
        <v>36</v>
      </c>
      <c r="D3591" s="8">
        <v>5.2999999999999999E-2</v>
      </c>
    </row>
    <row r="3592" spans="1:4">
      <c r="A3592" t="str">
        <f t="shared" si="56"/>
        <v>27Information Ratio</v>
      </c>
      <c r="B3592">
        <v>27</v>
      </c>
      <c r="C3592" s="9" t="s">
        <v>37</v>
      </c>
      <c r="D3592" s="8">
        <v>-0.55100000000000005</v>
      </c>
    </row>
    <row r="3593" spans="1:4">
      <c r="A3593" t="str">
        <f t="shared" si="56"/>
        <v>27Tracking Error</v>
      </c>
      <c r="B3593">
        <v>27</v>
      </c>
      <c r="C3593" s="9" t="s">
        <v>38</v>
      </c>
      <c r="D3593" s="8">
        <v>0.223</v>
      </c>
    </row>
    <row r="3594" spans="1:4">
      <c r="A3594" t="str">
        <f t="shared" si="56"/>
        <v>27Treynor Ratio</v>
      </c>
      <c r="B3594">
        <v>27</v>
      </c>
      <c r="C3594" s="9" t="s">
        <v>39</v>
      </c>
      <c r="D3594" s="8">
        <v>-6.9000000000000006E-2</v>
      </c>
    </row>
    <row r="3595" spans="1:4">
      <c r="A3595" t="str">
        <f t="shared" si="56"/>
        <v>27Total Fees</v>
      </c>
      <c r="B3595">
        <v>27</v>
      </c>
      <c r="C3595" s="9" t="s">
        <v>40</v>
      </c>
      <c r="D3595" s="8">
        <v>0</v>
      </c>
    </row>
    <row r="3596" spans="1:4">
      <c r="A3596" t="str">
        <f t="shared" si="56"/>
        <v>27Estimated Strategy Capacity</v>
      </c>
      <c r="B3596">
        <v>27</v>
      </c>
      <c r="C3596" s="9" t="s">
        <v>41</v>
      </c>
      <c r="D3596" s="8">
        <v>6300000</v>
      </c>
    </row>
    <row r="3597" spans="1:4">
      <c r="A3597" t="str">
        <f t="shared" si="56"/>
        <v>26PSR</v>
      </c>
      <c r="B3597">
        <v>26</v>
      </c>
      <c r="C3597" s="9" t="s">
        <v>27</v>
      </c>
      <c r="D3597" s="8">
        <v>9.3100000000000002E-2</v>
      </c>
    </row>
    <row r="3598" spans="1:4">
      <c r="A3598" t="str">
        <f t="shared" si="56"/>
        <v>26Sharpe Ratio</v>
      </c>
      <c r="B3598">
        <v>26</v>
      </c>
      <c r="C3598" s="9" t="s">
        <v>1</v>
      </c>
      <c r="D3598" s="8">
        <v>-0.374</v>
      </c>
    </row>
    <row r="3599" spans="1:4">
      <c r="A3599" t="str">
        <f t="shared" si="56"/>
        <v>26Total Trades</v>
      </c>
      <c r="B3599">
        <v>26</v>
      </c>
      <c r="C3599" s="9" t="s">
        <v>28</v>
      </c>
      <c r="D3599" s="8">
        <v>111</v>
      </c>
    </row>
    <row r="3600" spans="1:4">
      <c r="A3600" t="str">
        <f t="shared" si="56"/>
        <v>26Average Win</v>
      </c>
      <c r="B3600">
        <v>26</v>
      </c>
      <c r="C3600" s="9" t="s">
        <v>25</v>
      </c>
      <c r="D3600" s="8">
        <v>2.3999999999999998E-3</v>
      </c>
    </row>
    <row r="3601" spans="1:4">
      <c r="A3601" t="str">
        <f t="shared" si="56"/>
        <v>26Average Loss</v>
      </c>
      <c r="B3601">
        <v>26</v>
      </c>
      <c r="C3601" s="9" t="s">
        <v>29</v>
      </c>
      <c r="D3601" s="8">
        <v>-8.3000000000000001E-3</v>
      </c>
    </row>
    <row r="3602" spans="1:4">
      <c r="A3602" t="str">
        <f t="shared" si="56"/>
        <v>26Compounding Annual Return</v>
      </c>
      <c r="B3602">
        <v>26</v>
      </c>
      <c r="C3602" s="9" t="s">
        <v>30</v>
      </c>
      <c r="D3602" s="8">
        <v>-2.4080000000000001E-2</v>
      </c>
    </row>
    <row r="3603" spans="1:4">
      <c r="A3603" t="str">
        <f t="shared" si="56"/>
        <v>26Drawdown</v>
      </c>
      <c r="B3603">
        <v>26</v>
      </c>
      <c r="C3603" s="9" t="s">
        <v>8</v>
      </c>
      <c r="D3603" s="8">
        <v>5.3999999999999999E-2</v>
      </c>
    </row>
    <row r="3604" spans="1:4">
      <c r="A3604" t="str">
        <f t="shared" si="56"/>
        <v>26Expectancy</v>
      </c>
      <c r="B3604">
        <v>26</v>
      </c>
      <c r="C3604" s="9" t="s">
        <v>31</v>
      </c>
      <c r="D3604" s="8">
        <v>-0.57199999999999995</v>
      </c>
    </row>
    <row r="3605" spans="1:4">
      <c r="A3605" t="str">
        <f t="shared" si="56"/>
        <v>26Net Profit</v>
      </c>
      <c r="B3605">
        <v>26</v>
      </c>
      <c r="C3605" s="9" t="s">
        <v>32</v>
      </c>
      <c r="D3605" s="8">
        <v>-1.5630000000000002E-2</v>
      </c>
    </row>
    <row r="3606" spans="1:4">
      <c r="A3606" t="str">
        <f t="shared" si="56"/>
        <v>26Loss Rate</v>
      </c>
      <c r="B3606">
        <v>26</v>
      </c>
      <c r="C3606" s="9" t="s">
        <v>33</v>
      </c>
      <c r="D3606" s="8">
        <v>0.67</v>
      </c>
    </row>
    <row r="3607" spans="1:4">
      <c r="A3607" t="str">
        <f t="shared" si="56"/>
        <v>26Win Rate</v>
      </c>
      <c r="B3607">
        <v>26</v>
      </c>
      <c r="C3607" s="9" t="s">
        <v>34</v>
      </c>
      <c r="D3607" s="8">
        <v>0.33</v>
      </c>
    </row>
    <row r="3608" spans="1:4">
      <c r="A3608" t="str">
        <f t="shared" si="56"/>
        <v>26Profit-Loss Ratio</v>
      </c>
      <c r="B3608">
        <v>26</v>
      </c>
      <c r="C3608" s="9" t="s">
        <v>26</v>
      </c>
      <c r="D3608" s="8">
        <v>0.28000000000000003</v>
      </c>
    </row>
    <row r="3609" spans="1:4">
      <c r="A3609" t="str">
        <f t="shared" si="56"/>
        <v>26Alpha</v>
      </c>
      <c r="B3609">
        <v>26</v>
      </c>
      <c r="C3609" s="9" t="s">
        <v>23</v>
      </c>
      <c r="D3609" s="8">
        <v>-2.5999999999999999E-2</v>
      </c>
    </row>
    <row r="3610" spans="1:4">
      <c r="A3610" t="str">
        <f t="shared" si="56"/>
        <v>26Beta</v>
      </c>
      <c r="B3610">
        <v>26</v>
      </c>
      <c r="C3610" s="9" t="s">
        <v>24</v>
      </c>
      <c r="D3610" s="8">
        <v>0.158</v>
      </c>
    </row>
    <row r="3611" spans="1:4">
      <c r="A3611" t="str">
        <f t="shared" si="56"/>
        <v>26Annual Standard Deviation</v>
      </c>
      <c r="B3611">
        <v>26</v>
      </c>
      <c r="C3611" s="9" t="s">
        <v>35</v>
      </c>
      <c r="D3611" s="8">
        <v>4.2000000000000003E-2</v>
      </c>
    </row>
    <row r="3612" spans="1:4">
      <c r="A3612" t="str">
        <f t="shared" si="56"/>
        <v>26Annual Variance</v>
      </c>
      <c r="B3612">
        <v>26</v>
      </c>
      <c r="C3612" s="9" t="s">
        <v>36</v>
      </c>
      <c r="D3612" s="8">
        <v>2E-3</v>
      </c>
    </row>
    <row r="3613" spans="1:4">
      <c r="A3613" t="str">
        <f t="shared" si="56"/>
        <v>26Information Ratio</v>
      </c>
      <c r="B3613">
        <v>26</v>
      </c>
      <c r="C3613" s="9" t="s">
        <v>37</v>
      </c>
      <c r="D3613" s="8">
        <v>-1.1419999999999999</v>
      </c>
    </row>
    <row r="3614" spans="1:4">
      <c r="A3614" t="str">
        <f t="shared" si="56"/>
        <v>26Tracking Error</v>
      </c>
      <c r="B3614">
        <v>26</v>
      </c>
      <c r="C3614" s="9" t="s">
        <v>38</v>
      </c>
      <c r="D3614" s="8">
        <v>7.0000000000000007E-2</v>
      </c>
    </row>
    <row r="3615" spans="1:4">
      <c r="A3615" t="str">
        <f t="shared" si="56"/>
        <v>26Treynor Ratio</v>
      </c>
      <c r="B3615">
        <v>26</v>
      </c>
      <c r="C3615" s="9" t="s">
        <v>39</v>
      </c>
      <c r="D3615" s="8">
        <v>-0.1</v>
      </c>
    </row>
    <row r="3616" spans="1:4">
      <c r="A3616" t="str">
        <f t="shared" si="56"/>
        <v>26Total Fees</v>
      </c>
      <c r="B3616">
        <v>26</v>
      </c>
      <c r="C3616" s="9" t="s">
        <v>40</v>
      </c>
      <c r="D3616" s="8">
        <v>0</v>
      </c>
    </row>
    <row r="3617" spans="1:4">
      <c r="A3617" t="str">
        <f t="shared" si="56"/>
        <v>26Estimated Strategy Capacity</v>
      </c>
      <c r="B3617">
        <v>26</v>
      </c>
      <c r="C3617" s="9" t="s">
        <v>41</v>
      </c>
      <c r="D3617" s="8">
        <v>25000000</v>
      </c>
    </row>
    <row r="3618" spans="1:4">
      <c r="A3618" t="str">
        <f t="shared" si="56"/>
        <v>25PSR</v>
      </c>
      <c r="B3618">
        <v>25</v>
      </c>
      <c r="C3618" s="9" t="s">
        <v>27</v>
      </c>
      <c r="D3618" s="8">
        <v>8.9389999999999997E-2</v>
      </c>
    </row>
    <row r="3619" spans="1:4">
      <c r="A3619" t="str">
        <f t="shared" si="56"/>
        <v>25Sharpe Ratio</v>
      </c>
      <c r="B3619">
        <v>25</v>
      </c>
      <c r="C3619" s="9" t="s">
        <v>1</v>
      </c>
      <c r="D3619" s="8">
        <v>-0.39900000000000002</v>
      </c>
    </row>
    <row r="3620" spans="1:4">
      <c r="A3620" t="str">
        <f t="shared" si="56"/>
        <v>25Total Trades</v>
      </c>
      <c r="B3620">
        <v>25</v>
      </c>
      <c r="C3620" s="9" t="s">
        <v>28</v>
      </c>
      <c r="D3620" s="8">
        <v>111</v>
      </c>
    </row>
    <row r="3621" spans="1:4">
      <c r="A3621" t="str">
        <f t="shared" si="56"/>
        <v>25Average Win</v>
      </c>
      <c r="B3621">
        <v>25</v>
      </c>
      <c r="C3621" s="9" t="s">
        <v>25</v>
      </c>
      <c r="D3621" s="8">
        <v>2.0000000000000001E-4</v>
      </c>
    </row>
    <row r="3622" spans="1:4">
      <c r="A3622" t="str">
        <f t="shared" si="56"/>
        <v>25Average Loss</v>
      </c>
      <c r="B3622">
        <v>25</v>
      </c>
      <c r="C3622" s="9" t="s">
        <v>29</v>
      </c>
      <c r="D3622" s="8">
        <v>-8.0000000000000004E-4</v>
      </c>
    </row>
    <row r="3623" spans="1:4">
      <c r="A3623" t="str">
        <f t="shared" si="56"/>
        <v>25Compounding Annual Return</v>
      </c>
      <c r="B3623">
        <v>25</v>
      </c>
      <c r="C3623" s="9" t="s">
        <v>30</v>
      </c>
      <c r="D3623" s="8">
        <v>-2.4199999999999998E-3</v>
      </c>
    </row>
    <row r="3624" spans="1:4">
      <c r="A3624" t="str">
        <f t="shared" si="56"/>
        <v>25Drawdown</v>
      </c>
      <c r="B3624">
        <v>25</v>
      </c>
      <c r="C3624" s="9" t="s">
        <v>8</v>
      </c>
      <c r="D3624" s="8">
        <v>5.0000000000000001E-3</v>
      </c>
    </row>
    <row r="3625" spans="1:4">
      <c r="A3625" t="str">
        <f t="shared" si="56"/>
        <v>25Expectancy</v>
      </c>
      <c r="B3625">
        <v>25</v>
      </c>
      <c r="C3625" s="9" t="s">
        <v>31</v>
      </c>
      <c r="D3625" s="8">
        <v>-0.57299999999999995</v>
      </c>
    </row>
    <row r="3626" spans="1:4">
      <c r="A3626" t="str">
        <f t="shared" si="56"/>
        <v>25Net Profit</v>
      </c>
      <c r="B3626">
        <v>25</v>
      </c>
      <c r="C3626" s="9" t="s">
        <v>32</v>
      </c>
      <c r="D3626" s="8">
        <v>-1.56E-3</v>
      </c>
    </row>
    <row r="3627" spans="1:4">
      <c r="A3627" t="str">
        <f t="shared" si="56"/>
        <v>25Loss Rate</v>
      </c>
      <c r="B3627">
        <v>25</v>
      </c>
      <c r="C3627" s="9" t="s">
        <v>33</v>
      </c>
      <c r="D3627" s="8">
        <v>0.67</v>
      </c>
    </row>
    <row r="3628" spans="1:4">
      <c r="A3628" t="str">
        <f t="shared" si="56"/>
        <v>25Win Rate</v>
      </c>
      <c r="B3628">
        <v>25</v>
      </c>
      <c r="C3628" s="9" t="s">
        <v>34</v>
      </c>
      <c r="D3628" s="8">
        <v>0.33</v>
      </c>
    </row>
    <row r="3629" spans="1:4">
      <c r="A3629" t="str">
        <f t="shared" si="56"/>
        <v>25Profit-Loss Ratio</v>
      </c>
      <c r="B3629">
        <v>25</v>
      </c>
      <c r="C3629" s="9" t="s">
        <v>26</v>
      </c>
      <c r="D3629" s="8">
        <v>0.28000000000000003</v>
      </c>
    </row>
    <row r="3630" spans="1:4">
      <c r="A3630" t="str">
        <f t="shared" si="56"/>
        <v>25Alpha</v>
      </c>
      <c r="B3630">
        <v>25</v>
      </c>
      <c r="C3630" s="9" t="s">
        <v>23</v>
      </c>
      <c r="D3630" s="8">
        <v>-3.0000000000000001E-3</v>
      </c>
    </row>
    <row r="3631" spans="1:4">
      <c r="A3631" t="str">
        <f t="shared" si="56"/>
        <v>25Beta</v>
      </c>
      <c r="B3631">
        <v>25</v>
      </c>
      <c r="C3631" s="9" t="s">
        <v>24</v>
      </c>
      <c r="D3631" s="8">
        <v>1.6E-2</v>
      </c>
    </row>
    <row r="3632" spans="1:4">
      <c r="A3632" t="str">
        <f t="shared" si="56"/>
        <v>25Annual Standard Deviation</v>
      </c>
      <c r="B3632">
        <v>25</v>
      </c>
      <c r="C3632" s="9" t="s">
        <v>35</v>
      </c>
      <c r="D3632" s="8">
        <v>4.0000000000000001E-3</v>
      </c>
    </row>
    <row r="3633" spans="1:4">
      <c r="A3633" t="str">
        <f t="shared" si="56"/>
        <v>25Annual Variance</v>
      </c>
      <c r="B3633">
        <v>25</v>
      </c>
      <c r="C3633" s="9" t="s">
        <v>36</v>
      </c>
      <c r="D3633" s="8">
        <v>0</v>
      </c>
    </row>
    <row r="3634" spans="1:4">
      <c r="A3634" t="str">
        <f t="shared" si="56"/>
        <v>25Information Ratio</v>
      </c>
      <c r="B3634">
        <v>25</v>
      </c>
      <c r="C3634" s="9" t="s">
        <v>37</v>
      </c>
      <c r="D3634" s="8">
        <v>-0.99299999999999999</v>
      </c>
    </row>
    <row r="3635" spans="1:4">
      <c r="A3635" t="str">
        <f t="shared" si="56"/>
        <v>25Tracking Error</v>
      </c>
      <c r="B3635">
        <v>25</v>
      </c>
      <c r="C3635" s="9" t="s">
        <v>38</v>
      </c>
      <c r="D3635" s="8">
        <v>6.6000000000000003E-2</v>
      </c>
    </row>
    <row r="3636" spans="1:4">
      <c r="A3636" t="str">
        <f t="shared" si="56"/>
        <v>25Treynor Ratio</v>
      </c>
      <c r="B3636">
        <v>25</v>
      </c>
      <c r="C3636" s="9" t="s">
        <v>39</v>
      </c>
      <c r="D3636" s="8">
        <v>-0.107</v>
      </c>
    </row>
    <row r="3637" spans="1:4">
      <c r="A3637" t="str">
        <f t="shared" si="56"/>
        <v>25Total Fees</v>
      </c>
      <c r="B3637">
        <v>25</v>
      </c>
      <c r="C3637" s="9" t="s">
        <v>40</v>
      </c>
      <c r="D3637" s="8">
        <v>0</v>
      </c>
    </row>
    <row r="3638" spans="1:4">
      <c r="A3638" t="str">
        <f t="shared" si="56"/>
        <v>25Estimated Strategy Capacity</v>
      </c>
      <c r="B3638">
        <v>25</v>
      </c>
      <c r="C3638" s="9" t="s">
        <v>41</v>
      </c>
      <c r="D3638" s="8">
        <v>200000000</v>
      </c>
    </row>
    <row r="3639" spans="1:4">
      <c r="A3639" t="str">
        <f t="shared" si="56"/>
        <v>24PSR</v>
      </c>
      <c r="B3639">
        <v>24</v>
      </c>
      <c r="C3639" s="9" t="s">
        <v>27</v>
      </c>
      <c r="D3639" s="8">
        <v>4.0000000000000003E-5</v>
      </c>
    </row>
    <row r="3640" spans="1:4">
      <c r="A3640" t="str">
        <f t="shared" si="56"/>
        <v>24Sharpe Ratio</v>
      </c>
      <c r="B3640">
        <v>24</v>
      </c>
      <c r="C3640" s="9" t="s">
        <v>1</v>
      </c>
      <c r="D3640" s="8">
        <v>-1.4019999999999999</v>
      </c>
    </row>
    <row r="3641" spans="1:4">
      <c r="A3641" t="str">
        <f t="shared" si="56"/>
        <v>24Total Trades</v>
      </c>
      <c r="B3641">
        <v>24</v>
      </c>
      <c r="C3641" s="9" t="s">
        <v>28</v>
      </c>
      <c r="D3641" s="8">
        <v>152</v>
      </c>
    </row>
    <row r="3642" spans="1:4">
      <c r="A3642" t="str">
        <f t="shared" si="56"/>
        <v>24Average Win</v>
      </c>
      <c r="B3642">
        <v>24</v>
      </c>
      <c r="C3642" s="9" t="s">
        <v>25</v>
      </c>
      <c r="D3642" s="8">
        <v>0</v>
      </c>
    </row>
    <row r="3643" spans="1:4">
      <c r="A3643" t="str">
        <f t="shared" si="56"/>
        <v>24Average Loss</v>
      </c>
      <c r="B3643">
        <v>24</v>
      </c>
      <c r="C3643" s="9" t="s">
        <v>29</v>
      </c>
      <c r="D3643" s="8">
        <v>-0.10249999999999999</v>
      </c>
    </row>
    <row r="3644" spans="1:4">
      <c r="A3644" t="str">
        <f t="shared" si="56"/>
        <v>24Compounding Annual Return</v>
      </c>
      <c r="B3644">
        <v>24</v>
      </c>
      <c r="C3644" s="9" t="s">
        <v>30</v>
      </c>
      <c r="D3644" s="8">
        <v>-0.77117000000000002</v>
      </c>
    </row>
    <row r="3645" spans="1:4">
      <c r="A3645" t="str">
        <f t="shared" si="56"/>
        <v>24Drawdown</v>
      </c>
      <c r="B3645">
        <v>24</v>
      </c>
      <c r="C3645" s="9" t="s">
        <v>8</v>
      </c>
      <c r="D3645" s="8">
        <v>0.63700000000000001</v>
      </c>
    </row>
    <row r="3646" spans="1:4">
      <c r="A3646" t="str">
        <f t="shared" si="56"/>
        <v>24Expectancy</v>
      </c>
      <c r="B3646">
        <v>24</v>
      </c>
      <c r="C3646" s="9" t="s">
        <v>31</v>
      </c>
      <c r="D3646" s="8">
        <v>-1</v>
      </c>
    </row>
    <row r="3647" spans="1:4">
      <c r="A3647" t="str">
        <f t="shared" si="56"/>
        <v>24Net Profit</v>
      </c>
      <c r="B3647">
        <v>24</v>
      </c>
      <c r="C3647" s="9" t="s">
        <v>32</v>
      </c>
      <c r="D3647" s="8">
        <v>-0.61456999999999995</v>
      </c>
    </row>
    <row r="3648" spans="1:4">
      <c r="A3648" t="str">
        <f t="shared" si="56"/>
        <v>24Loss Rate</v>
      </c>
      <c r="B3648">
        <v>24</v>
      </c>
      <c r="C3648" s="9" t="s">
        <v>33</v>
      </c>
      <c r="D3648" s="8">
        <v>1</v>
      </c>
    </row>
    <row r="3649" spans="1:4">
      <c r="A3649" t="str">
        <f t="shared" si="56"/>
        <v>24Win Rate</v>
      </c>
      <c r="B3649">
        <v>24</v>
      </c>
      <c r="C3649" s="9" t="s">
        <v>34</v>
      </c>
      <c r="D3649" s="8">
        <v>0</v>
      </c>
    </row>
    <row r="3650" spans="1:4">
      <c r="A3650" t="str">
        <f t="shared" si="56"/>
        <v>24Profit-Loss Ratio</v>
      </c>
      <c r="B3650">
        <v>24</v>
      </c>
      <c r="C3650" s="9" t="s">
        <v>26</v>
      </c>
      <c r="D3650" s="8">
        <v>0</v>
      </c>
    </row>
    <row r="3651" spans="1:4">
      <c r="A3651" t="str">
        <f t="shared" ref="A3651:A3714" si="57">B3651&amp;C3651</f>
        <v>24Alpha</v>
      </c>
      <c r="B3651">
        <v>24</v>
      </c>
      <c r="C3651" s="9" t="s">
        <v>23</v>
      </c>
      <c r="D3651" s="8">
        <v>-0.59099999999999997</v>
      </c>
    </row>
    <row r="3652" spans="1:4">
      <c r="A3652" t="str">
        <f t="shared" si="57"/>
        <v>24Beta</v>
      </c>
      <c r="B3652">
        <v>24</v>
      </c>
      <c r="C3652" s="9" t="s">
        <v>24</v>
      </c>
      <c r="D3652" s="8">
        <v>-0.182</v>
      </c>
    </row>
    <row r="3653" spans="1:4">
      <c r="A3653" t="str">
        <f t="shared" si="57"/>
        <v>24Annual Standard Deviation</v>
      </c>
      <c r="B3653">
        <v>24</v>
      </c>
      <c r="C3653" s="9" t="s">
        <v>35</v>
      </c>
      <c r="D3653" s="8">
        <v>0.42899999999999999</v>
      </c>
    </row>
    <row r="3654" spans="1:4">
      <c r="A3654" t="str">
        <f t="shared" si="57"/>
        <v>24Annual Variance</v>
      </c>
      <c r="B3654">
        <v>24</v>
      </c>
      <c r="C3654" s="9" t="s">
        <v>36</v>
      </c>
      <c r="D3654" s="8">
        <v>0.184</v>
      </c>
    </row>
    <row r="3655" spans="1:4">
      <c r="A3655" t="str">
        <f t="shared" si="57"/>
        <v>24Information Ratio</v>
      </c>
      <c r="B3655">
        <v>24</v>
      </c>
      <c r="C3655" s="9" t="s">
        <v>37</v>
      </c>
      <c r="D3655" s="8">
        <v>-1.526</v>
      </c>
    </row>
    <row r="3656" spans="1:4">
      <c r="A3656" t="str">
        <f t="shared" si="57"/>
        <v>24Tracking Error</v>
      </c>
      <c r="B3656">
        <v>24</v>
      </c>
      <c r="C3656" s="9" t="s">
        <v>38</v>
      </c>
      <c r="D3656" s="8">
        <v>0.436</v>
      </c>
    </row>
    <row r="3657" spans="1:4">
      <c r="A3657" t="str">
        <f t="shared" si="57"/>
        <v>24Treynor Ratio</v>
      </c>
      <c r="B3657">
        <v>24</v>
      </c>
      <c r="C3657" s="9" t="s">
        <v>39</v>
      </c>
      <c r="D3657" s="8">
        <v>3.302</v>
      </c>
    </row>
    <row r="3658" spans="1:4">
      <c r="A3658" t="str">
        <f t="shared" si="57"/>
        <v>24Total Fees</v>
      </c>
      <c r="B3658">
        <v>24</v>
      </c>
      <c r="C3658" s="9" t="s">
        <v>40</v>
      </c>
      <c r="D3658" s="8">
        <v>0</v>
      </c>
    </row>
    <row r="3659" spans="1:4">
      <c r="A3659" t="str">
        <f t="shared" si="57"/>
        <v>24Estimated Strategy Capacity</v>
      </c>
      <c r="B3659">
        <v>24</v>
      </c>
      <c r="C3659" s="9" t="s">
        <v>41</v>
      </c>
      <c r="D3659" s="8">
        <v>54000000</v>
      </c>
    </row>
    <row r="3660" spans="1:4">
      <c r="A3660" t="str">
        <f t="shared" si="57"/>
        <v>23PSR</v>
      </c>
      <c r="B3660">
        <v>23</v>
      </c>
      <c r="C3660" s="9" t="s">
        <v>27</v>
      </c>
      <c r="D3660" s="8">
        <v>1.0000000000000001E-5</v>
      </c>
    </row>
    <row r="3661" spans="1:4">
      <c r="A3661" t="str">
        <f t="shared" si="57"/>
        <v>23Sharpe Ratio</v>
      </c>
      <c r="B3661">
        <v>23</v>
      </c>
      <c r="C3661" s="9" t="s">
        <v>1</v>
      </c>
      <c r="D3661" s="8">
        <v>-2.0590000000000002</v>
      </c>
    </row>
    <row r="3662" spans="1:4">
      <c r="A3662" t="str">
        <f t="shared" si="57"/>
        <v>23Total Trades</v>
      </c>
      <c r="B3662">
        <v>23</v>
      </c>
      <c r="C3662" s="9" t="s">
        <v>28</v>
      </c>
      <c r="D3662" s="8">
        <v>153</v>
      </c>
    </row>
    <row r="3663" spans="1:4">
      <c r="A3663" t="str">
        <f t="shared" si="57"/>
        <v>23Average Win</v>
      </c>
      <c r="B3663">
        <v>23</v>
      </c>
      <c r="C3663" s="9" t="s">
        <v>25</v>
      </c>
      <c r="D3663" s="8">
        <v>0</v>
      </c>
    </row>
    <row r="3664" spans="1:4">
      <c r="A3664" t="str">
        <f t="shared" si="57"/>
        <v>23Average Loss</v>
      </c>
      <c r="B3664">
        <v>23</v>
      </c>
      <c r="C3664" s="9" t="s">
        <v>29</v>
      </c>
      <c r="D3664" s="8">
        <v>-2.58E-2</v>
      </c>
    </row>
    <row r="3665" spans="1:4">
      <c r="A3665" t="str">
        <f t="shared" si="57"/>
        <v>23Compounding Annual Return</v>
      </c>
      <c r="B3665">
        <v>23</v>
      </c>
      <c r="C3665" s="9" t="s">
        <v>30</v>
      </c>
      <c r="D3665" s="8">
        <v>-0.18892</v>
      </c>
    </row>
    <row r="3666" spans="1:4">
      <c r="A3666" t="str">
        <f t="shared" si="57"/>
        <v>23Drawdown</v>
      </c>
      <c r="B3666">
        <v>23</v>
      </c>
      <c r="C3666" s="9" t="s">
        <v>8</v>
      </c>
      <c r="D3666" s="8">
        <v>0.13700000000000001</v>
      </c>
    </row>
    <row r="3667" spans="1:4">
      <c r="A3667" t="str">
        <f t="shared" si="57"/>
        <v>23Expectancy</v>
      </c>
      <c r="B3667">
        <v>23</v>
      </c>
      <c r="C3667" s="9" t="s">
        <v>31</v>
      </c>
      <c r="D3667" s="8">
        <v>-1</v>
      </c>
    </row>
    <row r="3668" spans="1:4">
      <c r="A3668" t="str">
        <f t="shared" si="57"/>
        <v>23Net Profit</v>
      </c>
      <c r="B3668">
        <v>23</v>
      </c>
      <c r="C3668" s="9" t="s">
        <v>32</v>
      </c>
      <c r="D3668" s="8">
        <v>-0.12659999999999999</v>
      </c>
    </row>
    <row r="3669" spans="1:4">
      <c r="A3669" t="str">
        <f t="shared" si="57"/>
        <v>23Loss Rate</v>
      </c>
      <c r="B3669">
        <v>23</v>
      </c>
      <c r="C3669" s="9" t="s">
        <v>33</v>
      </c>
      <c r="D3669" s="8">
        <v>1</v>
      </c>
    </row>
    <row r="3670" spans="1:4">
      <c r="A3670" t="str">
        <f t="shared" si="57"/>
        <v>23Win Rate</v>
      </c>
      <c r="B3670">
        <v>23</v>
      </c>
      <c r="C3670" s="9" t="s">
        <v>34</v>
      </c>
      <c r="D3670" s="8">
        <v>0</v>
      </c>
    </row>
    <row r="3671" spans="1:4">
      <c r="A3671" t="str">
        <f t="shared" si="57"/>
        <v>23Profit-Loss Ratio</v>
      </c>
      <c r="B3671">
        <v>23</v>
      </c>
      <c r="C3671" s="9" t="s">
        <v>26</v>
      </c>
      <c r="D3671" s="8">
        <v>0</v>
      </c>
    </row>
    <row r="3672" spans="1:4">
      <c r="A3672" t="str">
        <f t="shared" si="57"/>
        <v>23Alpha</v>
      </c>
      <c r="B3672">
        <v>23</v>
      </c>
      <c r="C3672" s="9" t="s">
        <v>23</v>
      </c>
      <c r="D3672" s="8">
        <v>-0.13</v>
      </c>
    </row>
    <row r="3673" spans="1:4">
      <c r="A3673" t="str">
        <f t="shared" si="57"/>
        <v>23Beta</v>
      </c>
      <c r="B3673">
        <v>23</v>
      </c>
      <c r="C3673" s="9" t="s">
        <v>24</v>
      </c>
      <c r="D3673" s="8">
        <v>-5.8999999999999997E-2</v>
      </c>
    </row>
    <row r="3674" spans="1:4">
      <c r="A3674" t="str">
        <f t="shared" si="57"/>
        <v>23Annual Standard Deviation</v>
      </c>
      <c r="B3674">
        <v>23</v>
      </c>
      <c r="C3674" s="9" t="s">
        <v>35</v>
      </c>
      <c r="D3674" s="8">
        <v>6.5000000000000002E-2</v>
      </c>
    </row>
    <row r="3675" spans="1:4">
      <c r="A3675" t="str">
        <f t="shared" si="57"/>
        <v>23Annual Variance</v>
      </c>
      <c r="B3675">
        <v>23</v>
      </c>
      <c r="C3675" s="9" t="s">
        <v>36</v>
      </c>
      <c r="D3675" s="8">
        <v>4.0000000000000001E-3</v>
      </c>
    </row>
    <row r="3676" spans="1:4">
      <c r="A3676" t="str">
        <f t="shared" si="57"/>
        <v>23Information Ratio</v>
      </c>
      <c r="B3676">
        <v>23</v>
      </c>
      <c r="C3676" s="9" t="s">
        <v>37</v>
      </c>
      <c r="D3676" s="8">
        <v>-2.0569999999999999</v>
      </c>
    </row>
    <row r="3677" spans="1:4">
      <c r="A3677" t="str">
        <f t="shared" si="57"/>
        <v>23Tracking Error</v>
      </c>
      <c r="B3677">
        <v>23</v>
      </c>
      <c r="C3677" s="9" t="s">
        <v>38</v>
      </c>
      <c r="D3677" s="8">
        <v>9.6000000000000002E-2</v>
      </c>
    </row>
    <row r="3678" spans="1:4">
      <c r="A3678" t="str">
        <f t="shared" si="57"/>
        <v>23Treynor Ratio</v>
      </c>
      <c r="B3678">
        <v>23</v>
      </c>
      <c r="C3678" s="9" t="s">
        <v>39</v>
      </c>
      <c r="D3678" s="8">
        <v>2.254</v>
      </c>
    </row>
    <row r="3679" spans="1:4">
      <c r="A3679" t="str">
        <f t="shared" si="57"/>
        <v>23Total Fees</v>
      </c>
      <c r="B3679">
        <v>23</v>
      </c>
      <c r="C3679" s="9" t="s">
        <v>40</v>
      </c>
      <c r="D3679" s="8">
        <v>0</v>
      </c>
    </row>
    <row r="3680" spans="1:4">
      <c r="A3680" t="str">
        <f t="shared" si="57"/>
        <v>23Estimated Strategy Capacity</v>
      </c>
      <c r="B3680">
        <v>23</v>
      </c>
      <c r="C3680" s="9" t="s">
        <v>41</v>
      </c>
      <c r="D3680" s="8">
        <v>690000000</v>
      </c>
    </row>
    <row r="3681" spans="1:4">
      <c r="A3681" t="str">
        <f t="shared" si="57"/>
        <v>22PSR</v>
      </c>
      <c r="B3681">
        <v>22</v>
      </c>
      <c r="C3681" s="9" t="s">
        <v>27</v>
      </c>
      <c r="D3681" s="8">
        <v>1.0000000000000001E-5</v>
      </c>
    </row>
    <row r="3682" spans="1:4">
      <c r="A3682" t="str">
        <f t="shared" si="57"/>
        <v>22Sharpe Ratio</v>
      </c>
      <c r="B3682">
        <v>22</v>
      </c>
      <c r="C3682" s="9" t="s">
        <v>1</v>
      </c>
      <c r="D3682" s="8">
        <v>-2.1930000000000001</v>
      </c>
    </row>
    <row r="3683" spans="1:4">
      <c r="A3683" t="str">
        <f t="shared" si="57"/>
        <v>22Total Trades</v>
      </c>
      <c r="B3683">
        <v>22</v>
      </c>
      <c r="C3683" s="9" t="s">
        <v>28</v>
      </c>
      <c r="D3683" s="8">
        <v>153</v>
      </c>
    </row>
    <row r="3684" spans="1:4">
      <c r="A3684" t="str">
        <f t="shared" si="57"/>
        <v>22Average Win</v>
      </c>
      <c r="B3684">
        <v>22</v>
      </c>
      <c r="C3684" s="9" t="s">
        <v>25</v>
      </c>
      <c r="D3684" s="8">
        <v>0</v>
      </c>
    </row>
    <row r="3685" spans="1:4">
      <c r="A3685" t="str">
        <f t="shared" si="57"/>
        <v>22Average Loss</v>
      </c>
      <c r="B3685">
        <v>22</v>
      </c>
      <c r="C3685" s="9" t="s">
        <v>29</v>
      </c>
      <c r="D3685" s="8">
        <v>-2.5000000000000001E-3</v>
      </c>
    </row>
    <row r="3686" spans="1:4">
      <c r="A3686" t="str">
        <f t="shared" si="57"/>
        <v>22Compounding Annual Return</v>
      </c>
      <c r="B3686">
        <v>22</v>
      </c>
      <c r="C3686" s="9" t="s">
        <v>30</v>
      </c>
      <c r="D3686" s="8">
        <v>-1.9519999999999999E-2</v>
      </c>
    </row>
    <row r="3687" spans="1:4">
      <c r="A3687" t="str">
        <f t="shared" si="57"/>
        <v>22Drawdown</v>
      </c>
      <c r="B3687">
        <v>22</v>
      </c>
      <c r="C3687" s="9" t="s">
        <v>8</v>
      </c>
      <c r="D3687" s="8">
        <v>1.4E-2</v>
      </c>
    </row>
    <row r="3688" spans="1:4">
      <c r="A3688" t="str">
        <f t="shared" si="57"/>
        <v>22Expectancy</v>
      </c>
      <c r="B3688">
        <v>22</v>
      </c>
      <c r="C3688" s="9" t="s">
        <v>31</v>
      </c>
      <c r="D3688" s="8">
        <v>-1</v>
      </c>
    </row>
    <row r="3689" spans="1:4">
      <c r="A3689" t="str">
        <f t="shared" si="57"/>
        <v>22Net Profit</v>
      </c>
      <c r="B3689">
        <v>22</v>
      </c>
      <c r="C3689" s="9" t="s">
        <v>32</v>
      </c>
      <c r="D3689" s="8">
        <v>-1.2659999999999999E-2</v>
      </c>
    </row>
    <row r="3690" spans="1:4">
      <c r="A3690" t="str">
        <f t="shared" si="57"/>
        <v>22Loss Rate</v>
      </c>
      <c r="B3690">
        <v>22</v>
      </c>
      <c r="C3690" s="9" t="s">
        <v>33</v>
      </c>
      <c r="D3690" s="8">
        <v>1</v>
      </c>
    </row>
    <row r="3691" spans="1:4">
      <c r="A3691" t="str">
        <f t="shared" si="57"/>
        <v>22Win Rate</v>
      </c>
      <c r="B3691">
        <v>22</v>
      </c>
      <c r="C3691" s="9" t="s">
        <v>34</v>
      </c>
      <c r="D3691" s="8">
        <v>0</v>
      </c>
    </row>
    <row r="3692" spans="1:4">
      <c r="A3692" t="str">
        <f t="shared" si="57"/>
        <v>22Profit-Loss Ratio</v>
      </c>
      <c r="B3692">
        <v>22</v>
      </c>
      <c r="C3692" s="9" t="s">
        <v>26</v>
      </c>
      <c r="D3692" s="8">
        <v>0</v>
      </c>
    </row>
    <row r="3693" spans="1:4">
      <c r="A3693" t="str">
        <f t="shared" si="57"/>
        <v>22Alpha</v>
      </c>
      <c r="B3693">
        <v>22</v>
      </c>
      <c r="C3693" s="9" t="s">
        <v>23</v>
      </c>
      <c r="D3693" s="8">
        <v>-1.2999999999999999E-2</v>
      </c>
    </row>
    <row r="3694" spans="1:4">
      <c r="A3694" t="str">
        <f t="shared" si="57"/>
        <v>22Beta</v>
      </c>
      <c r="B3694">
        <v>22</v>
      </c>
      <c r="C3694" s="9" t="s">
        <v>24</v>
      </c>
      <c r="D3694" s="8">
        <v>-6.0000000000000001E-3</v>
      </c>
    </row>
    <row r="3695" spans="1:4">
      <c r="A3695" t="str">
        <f t="shared" si="57"/>
        <v>22Annual Standard Deviation</v>
      </c>
      <c r="B3695">
        <v>22</v>
      </c>
      <c r="C3695" s="9" t="s">
        <v>35</v>
      </c>
      <c r="D3695" s="8">
        <v>6.0000000000000001E-3</v>
      </c>
    </row>
    <row r="3696" spans="1:4">
      <c r="A3696" t="str">
        <f t="shared" si="57"/>
        <v>22Annual Variance</v>
      </c>
      <c r="B3696">
        <v>22</v>
      </c>
      <c r="C3696" s="9" t="s">
        <v>36</v>
      </c>
      <c r="D3696" s="8">
        <v>0</v>
      </c>
    </row>
    <row r="3697" spans="1:4">
      <c r="A3697" t="str">
        <f t="shared" si="57"/>
        <v>22Information Ratio</v>
      </c>
      <c r="B3697">
        <v>22</v>
      </c>
      <c r="C3697" s="9" t="s">
        <v>37</v>
      </c>
      <c r="D3697" s="8">
        <v>-1.1459999999999999</v>
      </c>
    </row>
    <row r="3698" spans="1:4">
      <c r="A3698" t="str">
        <f t="shared" si="57"/>
        <v>22Tracking Error</v>
      </c>
      <c r="B3698">
        <v>22</v>
      </c>
      <c r="C3698" s="9" t="s">
        <v>38</v>
      </c>
      <c r="D3698" s="8">
        <v>6.7000000000000004E-2</v>
      </c>
    </row>
    <row r="3699" spans="1:4">
      <c r="A3699" t="str">
        <f t="shared" si="57"/>
        <v>22Treynor Ratio</v>
      </c>
      <c r="B3699">
        <v>22</v>
      </c>
      <c r="C3699" s="9" t="s">
        <v>39</v>
      </c>
      <c r="D3699" s="8">
        <v>2.2679999999999998</v>
      </c>
    </row>
    <row r="3700" spans="1:4">
      <c r="A3700" t="str">
        <f t="shared" si="57"/>
        <v>22Total Fees</v>
      </c>
      <c r="B3700">
        <v>22</v>
      </c>
      <c r="C3700" s="9" t="s">
        <v>40</v>
      </c>
      <c r="D3700" s="8">
        <v>0</v>
      </c>
    </row>
    <row r="3701" spans="1:4">
      <c r="A3701" t="str">
        <f t="shared" si="57"/>
        <v>22Estimated Strategy Capacity</v>
      </c>
      <c r="B3701">
        <v>22</v>
      </c>
      <c r="C3701" s="9" t="s">
        <v>41</v>
      </c>
      <c r="D3701" s="8">
        <v>7700000000</v>
      </c>
    </row>
    <row r="3702" spans="1:4">
      <c r="A3702" t="str">
        <f t="shared" si="57"/>
        <v>19PSR</v>
      </c>
      <c r="B3702">
        <v>19</v>
      </c>
      <c r="C3702" t="s">
        <v>27</v>
      </c>
      <c r="D3702" s="6">
        <v>0.32308999999999999</v>
      </c>
    </row>
    <row r="3703" spans="1:4">
      <c r="A3703" t="str">
        <f t="shared" si="57"/>
        <v>19Sharpe Ratio</v>
      </c>
      <c r="B3703">
        <v>19</v>
      </c>
      <c r="C3703" t="s">
        <v>1</v>
      </c>
      <c r="D3703" s="6">
        <v>0.52</v>
      </c>
    </row>
    <row r="3704" spans="1:4">
      <c r="A3704" t="str">
        <f t="shared" si="57"/>
        <v>19Total Trades</v>
      </c>
      <c r="B3704">
        <v>19</v>
      </c>
      <c r="C3704" t="s">
        <v>28</v>
      </c>
      <c r="D3704" s="6">
        <v>354</v>
      </c>
    </row>
    <row r="3705" spans="1:4">
      <c r="A3705" t="str">
        <f t="shared" si="57"/>
        <v>19Average Win</v>
      </c>
      <c r="B3705">
        <v>19</v>
      </c>
      <c r="C3705" t="s">
        <v>25</v>
      </c>
      <c r="D3705" s="6">
        <v>3.0000000000000001E-3</v>
      </c>
    </row>
    <row r="3706" spans="1:4">
      <c r="A3706" t="str">
        <f t="shared" si="57"/>
        <v>19Average Loss</v>
      </c>
      <c r="B3706">
        <v>19</v>
      </c>
      <c r="C3706" t="s">
        <v>29</v>
      </c>
      <c r="D3706" s="6">
        <v>-1.1000000000000001E-3</v>
      </c>
    </row>
    <row r="3707" spans="1:4">
      <c r="A3707" t="str">
        <f t="shared" si="57"/>
        <v>19Compounding Annual Return</v>
      </c>
      <c r="B3707">
        <v>19</v>
      </c>
      <c r="C3707" t="s">
        <v>30</v>
      </c>
      <c r="D3707" s="6">
        <v>6.2199999999999998E-3</v>
      </c>
    </row>
    <row r="3708" spans="1:4">
      <c r="A3708" t="str">
        <f t="shared" si="57"/>
        <v>19Drawdown</v>
      </c>
      <c r="B3708">
        <v>19</v>
      </c>
      <c r="C3708" t="s">
        <v>8</v>
      </c>
      <c r="D3708" s="6">
        <v>8.0000000000000002E-3</v>
      </c>
    </row>
    <row r="3709" spans="1:4">
      <c r="A3709" t="str">
        <f t="shared" si="57"/>
        <v>19Expectancy</v>
      </c>
      <c r="B3709">
        <v>19</v>
      </c>
      <c r="C3709" t="s">
        <v>31</v>
      </c>
      <c r="D3709" s="6">
        <v>0.38500000000000001</v>
      </c>
    </row>
    <row r="3710" spans="1:4">
      <c r="A3710" t="str">
        <f t="shared" si="57"/>
        <v>19Net Profit</v>
      </c>
      <c r="B3710">
        <v>19</v>
      </c>
      <c r="C3710" t="s">
        <v>32</v>
      </c>
      <c r="D3710" s="6">
        <v>4.0000000000000001E-3</v>
      </c>
    </row>
    <row r="3711" spans="1:4">
      <c r="A3711" t="str">
        <f t="shared" si="57"/>
        <v>19Loss Rate</v>
      </c>
      <c r="B3711">
        <v>19</v>
      </c>
      <c r="C3711" t="s">
        <v>33</v>
      </c>
      <c r="D3711" s="6">
        <v>0.64</v>
      </c>
    </row>
    <row r="3712" spans="1:4">
      <c r="A3712" t="str">
        <f t="shared" si="57"/>
        <v>19Win Rate</v>
      </c>
      <c r="B3712">
        <v>19</v>
      </c>
      <c r="C3712" t="s">
        <v>34</v>
      </c>
      <c r="D3712" s="6">
        <v>0.36</v>
      </c>
    </row>
    <row r="3713" spans="1:4">
      <c r="A3713" t="str">
        <f t="shared" si="57"/>
        <v>19Profit-Loss Ratio</v>
      </c>
      <c r="B3713">
        <v>19</v>
      </c>
      <c r="C3713" t="s">
        <v>26</v>
      </c>
      <c r="D3713" s="6">
        <v>2.81</v>
      </c>
    </row>
    <row r="3714" spans="1:4">
      <c r="A3714" t="str">
        <f t="shared" si="57"/>
        <v>19Alpha</v>
      </c>
      <c r="B3714">
        <v>19</v>
      </c>
      <c r="C3714" t="s">
        <v>23</v>
      </c>
      <c r="D3714" s="6">
        <v>2E-3</v>
      </c>
    </row>
    <row r="3715" spans="1:4">
      <c r="A3715" t="str">
        <f t="shared" ref="A3715:A3724" si="58">B3715&amp;C3715</f>
        <v>19Beta</v>
      </c>
      <c r="B3715">
        <v>19</v>
      </c>
      <c r="C3715" t="s">
        <v>24</v>
      </c>
      <c r="D3715" s="6">
        <v>3.2000000000000001E-2</v>
      </c>
    </row>
    <row r="3716" spans="1:4">
      <c r="A3716" t="str">
        <f t="shared" si="58"/>
        <v>19Annual Standard Deviation</v>
      </c>
      <c r="B3716">
        <v>19</v>
      </c>
      <c r="C3716" t="s">
        <v>35</v>
      </c>
      <c r="D3716" s="6">
        <v>8.0000000000000002E-3</v>
      </c>
    </row>
    <row r="3717" spans="1:4">
      <c r="A3717" t="str">
        <f t="shared" si="58"/>
        <v>19Annual Variance</v>
      </c>
      <c r="B3717">
        <v>19</v>
      </c>
      <c r="C3717" t="s">
        <v>36</v>
      </c>
      <c r="D3717" s="6">
        <v>0</v>
      </c>
    </row>
    <row r="3718" spans="1:4">
      <c r="A3718" t="str">
        <f t="shared" si="58"/>
        <v>19Information Ratio</v>
      </c>
      <c r="B3718">
        <v>19</v>
      </c>
      <c r="C3718" t="s">
        <v>37</v>
      </c>
      <c r="D3718" s="6">
        <v>-0.91400000000000003</v>
      </c>
    </row>
    <row r="3719" spans="1:4">
      <c r="A3719" t="str">
        <f t="shared" si="58"/>
        <v>19Tracking Error</v>
      </c>
      <c r="B3719">
        <v>19</v>
      </c>
      <c r="C3719" t="s">
        <v>38</v>
      </c>
      <c r="D3719" s="6">
        <v>6.5000000000000002E-2</v>
      </c>
    </row>
    <row r="3720" spans="1:4">
      <c r="A3720" t="str">
        <f t="shared" si="58"/>
        <v>19Treynor Ratio</v>
      </c>
      <c r="B3720">
        <v>19</v>
      </c>
      <c r="C3720" t="s">
        <v>39</v>
      </c>
      <c r="D3720" s="6">
        <v>0.13500000000000001</v>
      </c>
    </row>
    <row r="3721" spans="1:4">
      <c r="A3721" t="str">
        <f t="shared" si="58"/>
        <v>19Total Fees</v>
      </c>
      <c r="B3721">
        <v>19</v>
      </c>
      <c r="C3721" t="s">
        <v>40</v>
      </c>
      <c r="D3721" s="6">
        <v>0</v>
      </c>
    </row>
    <row r="3722" spans="1:4">
      <c r="A3722" t="str">
        <f t="shared" si="58"/>
        <v>19Estimated Strategy Capacity</v>
      </c>
      <c r="B3722">
        <v>19</v>
      </c>
      <c r="C3722" t="s">
        <v>41</v>
      </c>
      <c r="D3722" s="6">
        <v>190000000</v>
      </c>
    </row>
    <row r="3723" spans="1:4">
      <c r="A3723" t="str">
        <f t="shared" si="58"/>
        <v>19AUDUSD 8G</v>
      </c>
      <c r="B3723">
        <v>19</v>
      </c>
      <c r="C3723" t="s">
        <v>44</v>
      </c>
      <c r="D3723" s="6">
        <v>0</v>
      </c>
    </row>
    <row r="3724" spans="1:4">
      <c r="A3724" t="str">
        <f t="shared" si="58"/>
        <v>21PSR</v>
      </c>
      <c r="B3724">
        <v>21</v>
      </c>
      <c r="C3724" s="9" t="s">
        <v>27</v>
      </c>
      <c r="D3724" s="8">
        <v>1.1939999999999999E-2</v>
      </c>
    </row>
    <row r="3725" spans="1:4">
      <c r="A3725" t="str">
        <f t="shared" ref="A3725:A3745" si="59">B3725&amp;C3725</f>
        <v>21Sharpe Ratio</v>
      </c>
      <c r="B3725">
        <v>21</v>
      </c>
      <c r="C3725" s="9" t="s">
        <v>1</v>
      </c>
      <c r="D3725" s="8">
        <v>-1.3759999999999999</v>
      </c>
    </row>
    <row r="3726" spans="1:4">
      <c r="A3726" t="str">
        <f t="shared" si="59"/>
        <v>21Total Trades</v>
      </c>
      <c r="B3726">
        <v>21</v>
      </c>
      <c r="C3726" s="9" t="s">
        <v>28</v>
      </c>
      <c r="D3726" s="8">
        <v>246</v>
      </c>
    </row>
    <row r="3727" spans="1:4">
      <c r="A3727" t="str">
        <f t="shared" si="59"/>
        <v>21Average Win</v>
      </c>
      <c r="B3727">
        <v>21</v>
      </c>
      <c r="C3727" s="9" t="s">
        <v>25</v>
      </c>
      <c r="D3727" s="8">
        <v>1.4E-3</v>
      </c>
    </row>
    <row r="3728" spans="1:4">
      <c r="A3728" t="str">
        <f t="shared" si="59"/>
        <v>21Average Loss</v>
      </c>
      <c r="B3728">
        <v>21</v>
      </c>
      <c r="C3728" s="9" t="s">
        <v>29</v>
      </c>
      <c r="D3728" s="8">
        <v>-3.3999999999999998E-3</v>
      </c>
    </row>
    <row r="3729" spans="1:4">
      <c r="A3729" t="str">
        <f t="shared" si="59"/>
        <v>21Compounding Annual Return</v>
      </c>
      <c r="B3729">
        <v>21</v>
      </c>
      <c r="C3729" s="9" t="s">
        <v>30</v>
      </c>
      <c r="D3729" s="8">
        <v>-2.0029999999999999E-2</v>
      </c>
    </row>
    <row r="3730" spans="1:4">
      <c r="A3730" t="str">
        <f t="shared" si="59"/>
        <v>21Drawdown</v>
      </c>
      <c r="B3730">
        <v>21</v>
      </c>
      <c r="C3730" s="9" t="s">
        <v>8</v>
      </c>
      <c r="D3730" s="8">
        <v>1.6E-2</v>
      </c>
    </row>
    <row r="3731" spans="1:4">
      <c r="A3731" t="str">
        <f t="shared" si="59"/>
        <v>21Expectancy</v>
      </c>
      <c r="B3731">
        <v>21</v>
      </c>
      <c r="C3731" s="9" t="s">
        <v>31</v>
      </c>
      <c r="D3731" s="8">
        <v>-0.47</v>
      </c>
    </row>
    <row r="3732" spans="1:4">
      <c r="A3732" t="str">
        <f t="shared" si="59"/>
        <v>21Net Profit</v>
      </c>
      <c r="B3732">
        <v>21</v>
      </c>
      <c r="C3732" s="9" t="s">
        <v>32</v>
      </c>
      <c r="D3732" s="8">
        <v>-1.2999999999999999E-2</v>
      </c>
    </row>
    <row r="3733" spans="1:4">
      <c r="A3733" t="str">
        <f t="shared" si="59"/>
        <v>21Loss Rate</v>
      </c>
      <c r="B3733">
        <v>21</v>
      </c>
      <c r="C3733" s="9" t="s">
        <v>33</v>
      </c>
      <c r="D3733" s="8">
        <v>0.62</v>
      </c>
    </row>
    <row r="3734" spans="1:4">
      <c r="A3734" t="str">
        <f t="shared" si="59"/>
        <v>21Win Rate</v>
      </c>
      <c r="B3734">
        <v>21</v>
      </c>
      <c r="C3734" s="9" t="s">
        <v>34</v>
      </c>
      <c r="D3734" s="8">
        <v>0.38</v>
      </c>
    </row>
    <row r="3735" spans="1:4">
      <c r="A3735" t="str">
        <f t="shared" si="59"/>
        <v>21Profit-Loss Ratio</v>
      </c>
      <c r="B3735">
        <v>21</v>
      </c>
      <c r="C3735" s="9" t="s">
        <v>26</v>
      </c>
      <c r="D3735" s="8">
        <v>0.41</v>
      </c>
    </row>
    <row r="3736" spans="1:4">
      <c r="A3736" t="str">
        <f t="shared" si="59"/>
        <v>21Alpha</v>
      </c>
      <c r="B3736">
        <v>21</v>
      </c>
      <c r="C3736" s="9" t="s">
        <v>23</v>
      </c>
      <c r="D3736" s="8">
        <v>-1.4999999999999999E-2</v>
      </c>
    </row>
    <row r="3737" spans="1:4">
      <c r="A3737" t="str">
        <f t="shared" si="59"/>
        <v>21Beta</v>
      </c>
      <c r="B3737">
        <v>21</v>
      </c>
      <c r="C3737" s="9" t="s">
        <v>24</v>
      </c>
      <c r="D3737" s="8">
        <v>2.4E-2</v>
      </c>
    </row>
    <row r="3738" spans="1:4">
      <c r="A3738" t="str">
        <f t="shared" si="59"/>
        <v>21Annual Standard Deviation</v>
      </c>
      <c r="B3738">
        <v>21</v>
      </c>
      <c r="C3738" s="9" t="s">
        <v>35</v>
      </c>
      <c r="D3738" s="8">
        <v>0.01</v>
      </c>
    </row>
    <row r="3739" spans="1:4">
      <c r="A3739" t="str">
        <f t="shared" si="59"/>
        <v>21Annual Variance</v>
      </c>
      <c r="B3739">
        <v>21</v>
      </c>
      <c r="C3739" s="9" t="s">
        <v>36</v>
      </c>
      <c r="D3739" s="8">
        <v>0</v>
      </c>
    </row>
    <row r="3740" spans="1:4">
      <c r="A3740" t="str">
        <f t="shared" si="59"/>
        <v>21Information Ratio</v>
      </c>
      <c r="B3740">
        <v>21</v>
      </c>
      <c r="C3740" s="9" t="s">
        <v>37</v>
      </c>
      <c r="D3740" s="8">
        <v>-1.1779999999999999</v>
      </c>
    </row>
    <row r="3741" spans="1:4">
      <c r="A3741" t="str">
        <f t="shared" si="59"/>
        <v>21Tracking Error</v>
      </c>
      <c r="B3741">
        <v>21</v>
      </c>
      <c r="C3741" s="9" t="s">
        <v>38</v>
      </c>
      <c r="D3741" s="8">
        <v>6.6000000000000003E-2</v>
      </c>
    </row>
    <row r="3742" spans="1:4">
      <c r="A3742" t="str">
        <f t="shared" si="59"/>
        <v>21Treynor Ratio</v>
      </c>
      <c r="B3742">
        <v>21</v>
      </c>
      <c r="C3742" s="9" t="s">
        <v>39</v>
      </c>
      <c r="D3742" s="8">
        <v>-0.56799999999999995</v>
      </c>
    </row>
    <row r="3743" spans="1:4">
      <c r="A3743" t="str">
        <f t="shared" si="59"/>
        <v>21Total Fees</v>
      </c>
      <c r="B3743">
        <v>21</v>
      </c>
      <c r="C3743" s="9" t="s">
        <v>40</v>
      </c>
      <c r="D3743" s="8">
        <v>0</v>
      </c>
    </row>
    <row r="3744" spans="1:4">
      <c r="A3744" t="str">
        <f t="shared" si="59"/>
        <v>21Estimated Strategy Capacity</v>
      </c>
      <c r="B3744">
        <v>21</v>
      </c>
      <c r="C3744" s="9" t="s">
        <v>41</v>
      </c>
      <c r="D3744" s="8">
        <v>2200000000</v>
      </c>
    </row>
    <row r="3745" spans="1:4">
      <c r="A3745" t="str">
        <f t="shared" si="59"/>
        <v>20PSR</v>
      </c>
      <c r="B3745">
        <v>20</v>
      </c>
      <c r="C3745" s="9" t="s">
        <v>27</v>
      </c>
      <c r="D3745" s="8">
        <v>1.4290000000000001E-2</v>
      </c>
    </row>
    <row r="3746" spans="1:4">
      <c r="A3746" t="str">
        <f t="shared" ref="A3746:A3786" si="60">B3746&amp;C3746</f>
        <v>20Sharpe Ratio</v>
      </c>
      <c r="B3746">
        <v>20</v>
      </c>
      <c r="C3746" s="9" t="s">
        <v>1</v>
      </c>
      <c r="D3746" s="8">
        <v>-1.228</v>
      </c>
    </row>
    <row r="3747" spans="1:4">
      <c r="A3747" t="str">
        <f t="shared" si="60"/>
        <v>20Total Trades</v>
      </c>
      <c r="B3747">
        <v>20</v>
      </c>
      <c r="C3747" s="9" t="s">
        <v>28</v>
      </c>
      <c r="D3747" s="8">
        <v>246</v>
      </c>
    </row>
    <row r="3748" spans="1:4">
      <c r="A3748" t="str">
        <f t="shared" si="60"/>
        <v>20Average Win</v>
      </c>
      <c r="B3748">
        <v>20</v>
      </c>
      <c r="C3748" s="9" t="s">
        <v>25</v>
      </c>
      <c r="D3748" s="8">
        <v>1.4999999999999999E-2</v>
      </c>
    </row>
    <row r="3749" spans="1:4">
      <c r="A3749" t="str">
        <f t="shared" si="60"/>
        <v>20Average Loss</v>
      </c>
      <c r="B3749">
        <v>20</v>
      </c>
      <c r="C3749" s="9" t="s">
        <v>29</v>
      </c>
      <c r="D3749" s="8">
        <v>-3.5299999999999998E-2</v>
      </c>
    </row>
    <row r="3750" spans="1:4">
      <c r="A3750" t="str">
        <f t="shared" si="60"/>
        <v>20Compounding Annual Return</v>
      </c>
      <c r="B3750">
        <v>20</v>
      </c>
      <c r="C3750" s="9" t="s">
        <v>30</v>
      </c>
      <c r="D3750" s="8">
        <v>-0.19373000000000001</v>
      </c>
    </row>
    <row r="3751" spans="1:4">
      <c r="A3751" t="str">
        <f t="shared" si="60"/>
        <v>20Drawdown</v>
      </c>
      <c r="B3751">
        <v>20</v>
      </c>
      <c r="C3751" s="9" t="s">
        <v>8</v>
      </c>
      <c r="D3751" s="8">
        <v>0.159</v>
      </c>
    </row>
    <row r="3752" spans="1:4">
      <c r="A3752" t="str">
        <f t="shared" si="60"/>
        <v>20Expectancy</v>
      </c>
      <c r="B3752">
        <v>20</v>
      </c>
      <c r="C3752" s="9" t="s">
        <v>31</v>
      </c>
      <c r="D3752" s="8">
        <v>-0.46500000000000002</v>
      </c>
    </row>
    <row r="3753" spans="1:4">
      <c r="A3753" t="str">
        <f t="shared" si="60"/>
        <v>20Net Profit</v>
      </c>
      <c r="B3753">
        <v>20</v>
      </c>
      <c r="C3753" s="9" t="s">
        <v>32</v>
      </c>
      <c r="D3753" s="8">
        <v>-0.12995000000000001</v>
      </c>
    </row>
    <row r="3754" spans="1:4">
      <c r="A3754" t="str">
        <f t="shared" si="60"/>
        <v>20Loss Rate</v>
      </c>
      <c r="B3754">
        <v>20</v>
      </c>
      <c r="C3754" s="9" t="s">
        <v>33</v>
      </c>
      <c r="D3754" s="8">
        <v>0.62</v>
      </c>
    </row>
    <row r="3755" spans="1:4">
      <c r="A3755" t="str">
        <f t="shared" si="60"/>
        <v>20Win Rate</v>
      </c>
      <c r="B3755">
        <v>20</v>
      </c>
      <c r="C3755" s="9" t="s">
        <v>34</v>
      </c>
      <c r="D3755" s="8">
        <v>0.38</v>
      </c>
    </row>
    <row r="3756" spans="1:4">
      <c r="A3756" t="str">
        <f t="shared" si="60"/>
        <v>20Profit-Loss Ratio</v>
      </c>
      <c r="B3756">
        <v>20</v>
      </c>
      <c r="C3756" s="9" t="s">
        <v>26</v>
      </c>
      <c r="D3756" s="8">
        <v>0.43</v>
      </c>
    </row>
    <row r="3757" spans="1:4">
      <c r="A3757" t="str">
        <f t="shared" si="60"/>
        <v>20Alpha</v>
      </c>
      <c r="B3757">
        <v>20</v>
      </c>
      <c r="C3757" s="9" t="s">
        <v>23</v>
      </c>
      <c r="D3757" s="8">
        <v>-0.15</v>
      </c>
    </row>
    <row r="3758" spans="1:4">
      <c r="A3758" t="str">
        <f t="shared" si="60"/>
        <v>20Beta</v>
      </c>
      <c r="B3758">
        <v>20</v>
      </c>
      <c r="C3758" s="9" t="s">
        <v>24</v>
      </c>
      <c r="D3758" s="8">
        <v>0.25800000000000001</v>
      </c>
    </row>
    <row r="3759" spans="1:4">
      <c r="A3759" t="str">
        <f t="shared" si="60"/>
        <v>20Annual Standard Deviation</v>
      </c>
      <c r="B3759">
        <v>20</v>
      </c>
      <c r="C3759" s="9" t="s">
        <v>35</v>
      </c>
      <c r="D3759" s="8">
        <v>0.109</v>
      </c>
    </row>
    <row r="3760" spans="1:4">
      <c r="A3760" t="str">
        <f t="shared" si="60"/>
        <v>20Annual Variance</v>
      </c>
      <c r="B3760">
        <v>20</v>
      </c>
      <c r="C3760" s="9" t="s">
        <v>36</v>
      </c>
      <c r="D3760" s="8">
        <v>1.2E-2</v>
      </c>
    </row>
    <row r="3761" spans="1:4">
      <c r="A3761" t="str">
        <f t="shared" si="60"/>
        <v>20Information Ratio</v>
      </c>
      <c r="B3761">
        <v>20</v>
      </c>
      <c r="C3761" s="9" t="s">
        <v>37</v>
      </c>
      <c r="D3761" s="8">
        <v>-1.6679999999999999</v>
      </c>
    </row>
    <row r="3762" spans="1:4">
      <c r="A3762" t="str">
        <f t="shared" si="60"/>
        <v>20Tracking Error</v>
      </c>
      <c r="B3762">
        <v>20</v>
      </c>
      <c r="C3762" s="9" t="s">
        <v>38</v>
      </c>
      <c r="D3762" s="8">
        <v>0.11799999999999999</v>
      </c>
    </row>
    <row r="3763" spans="1:4">
      <c r="A3763" t="str">
        <f t="shared" si="60"/>
        <v>20Treynor Ratio</v>
      </c>
      <c r="B3763">
        <v>20</v>
      </c>
      <c r="C3763" s="9" t="s">
        <v>39</v>
      </c>
      <c r="D3763" s="8">
        <v>-0.51700000000000002</v>
      </c>
    </row>
    <row r="3764" spans="1:4">
      <c r="A3764" t="str">
        <f t="shared" si="60"/>
        <v>20Total Fees</v>
      </c>
      <c r="B3764">
        <v>20</v>
      </c>
      <c r="C3764" s="9" t="s">
        <v>40</v>
      </c>
      <c r="D3764" s="8">
        <v>0</v>
      </c>
    </row>
    <row r="3765" spans="1:4">
      <c r="A3765" t="str">
        <f t="shared" si="60"/>
        <v>20Estimated Strategy Capacity</v>
      </c>
      <c r="B3765">
        <v>20</v>
      </c>
      <c r="C3765" s="9" t="s">
        <v>41</v>
      </c>
      <c r="D3765" s="8">
        <v>200000000</v>
      </c>
    </row>
    <row r="3766" spans="1:4">
      <c r="A3766" t="str">
        <f t="shared" si="60"/>
        <v>10PSR</v>
      </c>
      <c r="B3766">
        <v>10</v>
      </c>
      <c r="C3766" s="9" t="s">
        <v>27</v>
      </c>
      <c r="D3766" s="8">
        <v>1.1199999999999999E-3</v>
      </c>
    </row>
    <row r="3767" spans="1:4">
      <c r="A3767" t="str">
        <f t="shared" si="60"/>
        <v>10Sharpe Ratio</v>
      </c>
      <c r="B3767">
        <v>10</v>
      </c>
      <c r="C3767" s="9" t="s">
        <v>1</v>
      </c>
      <c r="D3767" s="8">
        <v>-1.6970000000000001</v>
      </c>
    </row>
    <row r="3768" spans="1:4">
      <c r="A3768" t="str">
        <f t="shared" si="60"/>
        <v>10Total Trades</v>
      </c>
      <c r="B3768">
        <v>10</v>
      </c>
      <c r="C3768" s="9" t="s">
        <v>28</v>
      </c>
      <c r="D3768" s="8">
        <v>403</v>
      </c>
    </row>
    <row r="3769" spans="1:4">
      <c r="A3769" t="str">
        <f t="shared" si="60"/>
        <v>10Average Win</v>
      </c>
      <c r="B3769">
        <v>10</v>
      </c>
      <c r="C3769" s="9" t="s">
        <v>25</v>
      </c>
      <c r="D3769" s="8">
        <v>8.9999999999999998E-4</v>
      </c>
    </row>
    <row r="3770" spans="1:4">
      <c r="A3770" t="str">
        <f t="shared" si="60"/>
        <v>10Average Loss</v>
      </c>
      <c r="B3770">
        <v>10</v>
      </c>
      <c r="C3770" s="9" t="s">
        <v>29</v>
      </c>
      <c r="D3770" s="8">
        <v>-1.6999999999999999E-3</v>
      </c>
    </row>
    <row r="3771" spans="1:4">
      <c r="A3771" t="str">
        <f t="shared" si="60"/>
        <v>10Compounding Annual Return</v>
      </c>
      <c r="B3771">
        <v>10</v>
      </c>
      <c r="C3771" s="9" t="s">
        <v>30</v>
      </c>
      <c r="D3771" s="8">
        <v>-1.515E-2</v>
      </c>
    </row>
    <row r="3772" spans="1:4">
      <c r="A3772" t="str">
        <f t="shared" si="60"/>
        <v>10Drawdown</v>
      </c>
      <c r="B3772">
        <v>10</v>
      </c>
      <c r="C3772" s="9" t="s">
        <v>8</v>
      </c>
      <c r="D3772" s="8">
        <v>1.2E-2</v>
      </c>
    </row>
    <row r="3773" spans="1:4">
      <c r="A3773" t="str">
        <f t="shared" si="60"/>
        <v>10Expectancy</v>
      </c>
      <c r="B3773">
        <v>10</v>
      </c>
      <c r="C3773" s="9" t="s">
        <v>31</v>
      </c>
      <c r="D3773" s="8">
        <v>-0.42299999999999999</v>
      </c>
    </row>
    <row r="3774" spans="1:4">
      <c r="A3774" t="str">
        <f t="shared" si="60"/>
        <v>10Net Profit</v>
      </c>
      <c r="B3774">
        <v>10</v>
      </c>
      <c r="C3774" s="9" t="s">
        <v>32</v>
      </c>
      <c r="D3774" s="8">
        <v>-9.8200000000000006E-3</v>
      </c>
    </row>
    <row r="3775" spans="1:4">
      <c r="A3775" t="str">
        <f t="shared" si="60"/>
        <v>10Loss Rate</v>
      </c>
      <c r="B3775">
        <v>10</v>
      </c>
      <c r="C3775" s="9" t="s">
        <v>33</v>
      </c>
      <c r="D3775" s="8">
        <v>0.62</v>
      </c>
    </row>
    <row r="3776" spans="1:4">
      <c r="A3776" t="str">
        <f t="shared" si="60"/>
        <v>10Win Rate</v>
      </c>
      <c r="B3776">
        <v>10</v>
      </c>
      <c r="C3776" s="9" t="s">
        <v>34</v>
      </c>
      <c r="D3776" s="8">
        <v>0.38</v>
      </c>
    </row>
    <row r="3777" spans="1:4">
      <c r="A3777" t="str">
        <f t="shared" si="60"/>
        <v>10Profit-Loss Ratio</v>
      </c>
      <c r="B3777">
        <v>10</v>
      </c>
      <c r="C3777" s="9" t="s">
        <v>26</v>
      </c>
      <c r="D3777" s="8">
        <v>0.5</v>
      </c>
    </row>
    <row r="3778" spans="1:4">
      <c r="A3778" t="str">
        <f t="shared" si="60"/>
        <v>10Alpha</v>
      </c>
      <c r="B3778">
        <v>10</v>
      </c>
      <c r="C3778" s="9" t="s">
        <v>23</v>
      </c>
      <c r="D3778" s="8">
        <v>-1.0999999999999999E-2</v>
      </c>
    </row>
    <row r="3779" spans="1:4">
      <c r="A3779" t="str">
        <f t="shared" si="60"/>
        <v>10Beta</v>
      </c>
      <c r="B3779">
        <v>10</v>
      </c>
      <c r="C3779" s="9" t="s">
        <v>24</v>
      </c>
      <c r="D3779" s="8">
        <v>7.0000000000000001E-3</v>
      </c>
    </row>
    <row r="3780" spans="1:4">
      <c r="A3780" t="str">
        <f t="shared" si="60"/>
        <v>10Annual Standard Deviation</v>
      </c>
      <c r="B3780">
        <v>10</v>
      </c>
      <c r="C3780" s="9" t="s">
        <v>35</v>
      </c>
      <c r="D3780" s="8">
        <v>6.0000000000000001E-3</v>
      </c>
    </row>
    <row r="3781" spans="1:4">
      <c r="A3781" t="str">
        <f t="shared" si="60"/>
        <v>10Annual Variance</v>
      </c>
      <c r="B3781">
        <v>10</v>
      </c>
      <c r="C3781" s="9" t="s">
        <v>36</v>
      </c>
      <c r="D3781" s="8">
        <v>0</v>
      </c>
    </row>
    <row r="3782" spans="1:4">
      <c r="A3782" t="str">
        <f t="shared" si="60"/>
        <v>10Information Ratio</v>
      </c>
      <c r="B3782">
        <v>10</v>
      </c>
      <c r="C3782" s="9" t="s">
        <v>37</v>
      </c>
      <c r="D3782" s="8">
        <v>-1.115</v>
      </c>
    </row>
    <row r="3783" spans="1:4">
      <c r="A3783" t="str">
        <f t="shared" si="60"/>
        <v>10Tracking Error</v>
      </c>
      <c r="B3783">
        <v>10</v>
      </c>
      <c r="C3783" s="9" t="s">
        <v>38</v>
      </c>
      <c r="D3783" s="8">
        <v>6.7000000000000004E-2</v>
      </c>
    </row>
    <row r="3784" spans="1:4">
      <c r="A3784" t="str">
        <f t="shared" si="60"/>
        <v>10Treynor Ratio</v>
      </c>
      <c r="B3784">
        <v>10</v>
      </c>
      <c r="C3784" s="9" t="s">
        <v>39</v>
      </c>
      <c r="D3784" s="8">
        <v>-1.4339999999999999</v>
      </c>
    </row>
    <row r="3785" spans="1:4">
      <c r="A3785" t="str">
        <f t="shared" si="60"/>
        <v>10Total Fees</v>
      </c>
      <c r="B3785">
        <v>10</v>
      </c>
      <c r="C3785" s="9" t="s">
        <v>40</v>
      </c>
      <c r="D3785" s="8">
        <v>0</v>
      </c>
    </row>
    <row r="3786" spans="1:4">
      <c r="A3786" t="str">
        <f t="shared" si="60"/>
        <v>10Estimated Strategy Capacity</v>
      </c>
      <c r="B3786">
        <v>10</v>
      </c>
      <c r="C3786" s="9" t="s">
        <v>41</v>
      </c>
      <c r="D3786" s="8">
        <v>280000000</v>
      </c>
    </row>
    <row r="3787" spans="1:4">
      <c r="A3787" t="str">
        <f t="shared" ref="A3787:A3807" si="61">B3787&amp;C3787</f>
        <v>11PSR</v>
      </c>
      <c r="B3787">
        <v>11</v>
      </c>
      <c r="C3787" s="9" t="s">
        <v>27</v>
      </c>
      <c r="D3787" s="8">
        <v>1.42E-3</v>
      </c>
    </row>
    <row r="3788" spans="1:4">
      <c r="A3788" t="str">
        <f t="shared" si="61"/>
        <v>11Sharpe Ratio</v>
      </c>
      <c r="B3788">
        <v>11</v>
      </c>
      <c r="C3788" s="9" t="s">
        <v>1</v>
      </c>
      <c r="D3788" s="8">
        <v>-1.587</v>
      </c>
    </row>
    <row r="3789" spans="1:4">
      <c r="A3789" t="str">
        <f t="shared" si="61"/>
        <v>11Total Trades</v>
      </c>
      <c r="B3789">
        <v>11</v>
      </c>
      <c r="C3789" s="9" t="s">
        <v>28</v>
      </c>
      <c r="D3789" s="8">
        <v>403</v>
      </c>
    </row>
    <row r="3790" spans="1:4">
      <c r="A3790" t="str">
        <f t="shared" si="61"/>
        <v>11Average Win</v>
      </c>
      <c r="B3790">
        <v>11</v>
      </c>
      <c r="C3790" s="9" t="s">
        <v>25</v>
      </c>
      <c r="D3790" s="8">
        <v>9.2999999999999992E-3</v>
      </c>
    </row>
    <row r="3791" spans="1:4">
      <c r="A3791" t="str">
        <f t="shared" si="61"/>
        <v>11Average Loss</v>
      </c>
      <c r="B3791">
        <v>11</v>
      </c>
      <c r="C3791" s="9" t="s">
        <v>29</v>
      </c>
      <c r="D3791" s="8">
        <v>-1.8100000000000002E-2</v>
      </c>
    </row>
    <row r="3792" spans="1:4">
      <c r="A3792" t="str">
        <f t="shared" si="61"/>
        <v>11Compounding Annual Return</v>
      </c>
      <c r="B3792">
        <v>11</v>
      </c>
      <c r="C3792" s="9" t="s">
        <v>30</v>
      </c>
      <c r="D3792" s="8">
        <v>-0.14777999999999999</v>
      </c>
    </row>
    <row r="3793" spans="1:4">
      <c r="A3793" t="str">
        <f t="shared" si="61"/>
        <v>11Drawdown</v>
      </c>
      <c r="B3793">
        <v>11</v>
      </c>
      <c r="C3793" s="9" t="s">
        <v>8</v>
      </c>
      <c r="D3793" s="8">
        <v>0.11799999999999999</v>
      </c>
    </row>
    <row r="3794" spans="1:4">
      <c r="A3794" t="str">
        <f t="shared" si="61"/>
        <v>11Expectancy</v>
      </c>
      <c r="B3794">
        <v>11</v>
      </c>
      <c r="C3794" s="9" t="s">
        <v>31</v>
      </c>
      <c r="D3794" s="8">
        <v>-0.41799999999999998</v>
      </c>
    </row>
    <row r="3795" spans="1:4">
      <c r="A3795" t="str">
        <f t="shared" si="61"/>
        <v>11Net Profit</v>
      </c>
      <c r="B3795">
        <v>11</v>
      </c>
      <c r="C3795" s="9" t="s">
        <v>32</v>
      </c>
      <c r="D3795" s="8">
        <v>-9.8210000000000006E-2</v>
      </c>
    </row>
    <row r="3796" spans="1:4">
      <c r="A3796" t="str">
        <f t="shared" si="61"/>
        <v>11Loss Rate</v>
      </c>
      <c r="B3796">
        <v>11</v>
      </c>
      <c r="C3796" s="9" t="s">
        <v>33</v>
      </c>
      <c r="D3796" s="8">
        <v>0.62</v>
      </c>
    </row>
    <row r="3797" spans="1:4">
      <c r="A3797" t="str">
        <f t="shared" si="61"/>
        <v>11Win Rate</v>
      </c>
      <c r="B3797">
        <v>11</v>
      </c>
      <c r="C3797" s="9" t="s">
        <v>34</v>
      </c>
      <c r="D3797" s="8">
        <v>0.38</v>
      </c>
    </row>
    <row r="3798" spans="1:4">
      <c r="A3798" t="str">
        <f t="shared" si="61"/>
        <v>11Profit-Loss Ratio</v>
      </c>
      <c r="B3798">
        <v>11</v>
      </c>
      <c r="C3798" s="9" t="s">
        <v>26</v>
      </c>
      <c r="D3798" s="8">
        <v>0.51</v>
      </c>
    </row>
    <row r="3799" spans="1:4">
      <c r="A3799" t="str">
        <f t="shared" si="61"/>
        <v>11Alpha</v>
      </c>
      <c r="B3799">
        <v>11</v>
      </c>
      <c r="C3799" s="9" t="s">
        <v>23</v>
      </c>
      <c r="D3799" s="8">
        <v>-0.108</v>
      </c>
    </row>
    <row r="3800" spans="1:4">
      <c r="A3800" t="str">
        <f t="shared" si="61"/>
        <v>11Beta</v>
      </c>
      <c r="B3800">
        <v>11</v>
      </c>
      <c r="C3800" s="9" t="s">
        <v>24</v>
      </c>
      <c r="D3800" s="8">
        <v>7.5999999999999998E-2</v>
      </c>
    </row>
    <row r="3801" spans="1:4">
      <c r="A3801" t="str">
        <f t="shared" si="61"/>
        <v>11Annual Standard Deviation</v>
      </c>
      <c r="B3801">
        <v>11</v>
      </c>
      <c r="C3801" s="9" t="s">
        <v>35</v>
      </c>
      <c r="D3801" s="8">
        <v>6.5000000000000002E-2</v>
      </c>
    </row>
    <row r="3802" spans="1:4">
      <c r="A3802" t="str">
        <f t="shared" si="61"/>
        <v>11Annual Variance</v>
      </c>
      <c r="B3802">
        <v>11</v>
      </c>
      <c r="C3802" s="9" t="s">
        <v>36</v>
      </c>
      <c r="D3802" s="8">
        <v>4.0000000000000001E-3</v>
      </c>
    </row>
    <row r="3803" spans="1:4">
      <c r="A3803" t="str">
        <f t="shared" si="61"/>
        <v>11Information Ratio</v>
      </c>
      <c r="B3803">
        <v>11</v>
      </c>
      <c r="C3803" s="9" t="s">
        <v>37</v>
      </c>
      <c r="D3803" s="8">
        <v>-1.865</v>
      </c>
    </row>
    <row r="3804" spans="1:4">
      <c r="A3804" t="str">
        <f t="shared" si="61"/>
        <v>11Tracking Error</v>
      </c>
      <c r="B3804">
        <v>11</v>
      </c>
      <c r="C3804" s="9" t="s">
        <v>38</v>
      </c>
      <c r="D3804" s="8">
        <v>8.8999999999999996E-2</v>
      </c>
    </row>
    <row r="3805" spans="1:4">
      <c r="A3805" t="str">
        <f t="shared" si="61"/>
        <v>11Treynor Ratio</v>
      </c>
      <c r="B3805">
        <v>11</v>
      </c>
      <c r="C3805" s="9" t="s">
        <v>39</v>
      </c>
      <c r="D3805" s="8">
        <v>-1.3480000000000001</v>
      </c>
    </row>
    <row r="3806" spans="1:4">
      <c r="A3806" t="str">
        <f t="shared" si="61"/>
        <v>11Total Fees</v>
      </c>
      <c r="B3806">
        <v>11</v>
      </c>
      <c r="C3806" s="9" t="s">
        <v>40</v>
      </c>
      <c r="D3806" s="8">
        <v>0</v>
      </c>
    </row>
    <row r="3807" spans="1:4">
      <c r="A3807" t="str">
        <f t="shared" si="61"/>
        <v>11Estimated Strategy Capacity</v>
      </c>
      <c r="B3807">
        <v>11</v>
      </c>
      <c r="C3807" s="9" t="s">
        <v>41</v>
      </c>
      <c r="D3807" s="8">
        <v>29000000</v>
      </c>
    </row>
    <row r="3808" spans="1:4">
      <c r="A3808" t="str">
        <f t="shared" ref="A3808:A3828" si="62">B3808&amp;C3808</f>
        <v>12PSR</v>
      </c>
      <c r="B3808">
        <v>12</v>
      </c>
      <c r="C3808" s="9" t="s">
        <v>27</v>
      </c>
      <c r="D3808" s="8">
        <v>4.0800000000000003E-3</v>
      </c>
    </row>
    <row r="3809" spans="1:4">
      <c r="A3809" t="str">
        <f t="shared" si="62"/>
        <v>12Sharpe Ratio</v>
      </c>
      <c r="B3809">
        <v>12</v>
      </c>
      <c r="C3809" s="9" t="s">
        <v>1</v>
      </c>
      <c r="D3809" s="8">
        <v>-1.101</v>
      </c>
    </row>
    <row r="3810" spans="1:4">
      <c r="A3810" t="str">
        <f t="shared" si="62"/>
        <v>12Total Trades</v>
      </c>
      <c r="B3810">
        <v>12</v>
      </c>
      <c r="C3810" s="9" t="s">
        <v>28</v>
      </c>
      <c r="D3810" s="8">
        <v>392</v>
      </c>
    </row>
    <row r="3811" spans="1:4">
      <c r="A3811" t="str">
        <f t="shared" si="62"/>
        <v>12Average Win</v>
      </c>
      <c r="B3811">
        <v>12</v>
      </c>
      <c r="C3811" s="9" t="s">
        <v>25</v>
      </c>
      <c r="D3811" s="8">
        <v>6.8599999999999994E-2</v>
      </c>
    </row>
    <row r="3812" spans="1:4">
      <c r="A3812" t="str">
        <f t="shared" si="62"/>
        <v>12Average Loss</v>
      </c>
      <c r="B3812">
        <v>12</v>
      </c>
      <c r="C3812" s="9" t="s">
        <v>29</v>
      </c>
      <c r="D3812" s="8">
        <v>-9.8900000000000002E-2</v>
      </c>
    </row>
    <row r="3813" spans="1:4">
      <c r="A3813" t="str">
        <f t="shared" si="62"/>
        <v>12Compounding Annual Return</v>
      </c>
      <c r="B3813">
        <v>12</v>
      </c>
      <c r="C3813" s="9" t="s">
        <v>30</v>
      </c>
      <c r="D3813" s="8">
        <v>-0.63749</v>
      </c>
    </row>
    <row r="3814" spans="1:4">
      <c r="A3814" t="str">
        <f t="shared" si="62"/>
        <v>12Drawdown</v>
      </c>
      <c r="B3814">
        <v>12</v>
      </c>
      <c r="C3814" s="9" t="s">
        <v>8</v>
      </c>
      <c r="D3814" s="8">
        <v>0.56899999999999995</v>
      </c>
    </row>
    <row r="3815" spans="1:4">
      <c r="A3815" t="str">
        <f t="shared" si="62"/>
        <v>12Expectancy</v>
      </c>
      <c r="B3815">
        <v>12</v>
      </c>
      <c r="C3815" s="9" t="s">
        <v>31</v>
      </c>
      <c r="D3815" s="8">
        <v>-0.39500000000000002</v>
      </c>
    </row>
    <row r="3816" spans="1:4">
      <c r="A3816" t="str">
        <f t="shared" si="62"/>
        <v>12Net Profit</v>
      </c>
      <c r="B3816">
        <v>12</v>
      </c>
      <c r="C3816" s="9" t="s">
        <v>32</v>
      </c>
      <c r="D3816" s="8">
        <v>-0.48105999999999999</v>
      </c>
    </row>
    <row r="3817" spans="1:4">
      <c r="A3817" t="str">
        <f t="shared" si="62"/>
        <v>12Loss Rate</v>
      </c>
      <c r="B3817">
        <v>12</v>
      </c>
      <c r="C3817" s="9" t="s">
        <v>33</v>
      </c>
      <c r="D3817" s="8">
        <v>0.64</v>
      </c>
    </row>
    <row r="3818" spans="1:4">
      <c r="A3818" t="str">
        <f t="shared" si="62"/>
        <v>12Win Rate</v>
      </c>
      <c r="B3818">
        <v>12</v>
      </c>
      <c r="C3818" s="9" t="s">
        <v>34</v>
      </c>
      <c r="D3818" s="8">
        <v>0.36</v>
      </c>
    </row>
    <row r="3819" spans="1:4">
      <c r="A3819" t="str">
        <f t="shared" si="62"/>
        <v>12Profit-Loss Ratio</v>
      </c>
      <c r="B3819">
        <v>12</v>
      </c>
      <c r="C3819" s="9" t="s">
        <v>26</v>
      </c>
      <c r="D3819" s="8">
        <v>0.69</v>
      </c>
    </row>
    <row r="3820" spans="1:4">
      <c r="A3820" t="str">
        <f t="shared" si="62"/>
        <v>12Alpha</v>
      </c>
      <c r="B3820">
        <v>12</v>
      </c>
      <c r="C3820" s="9" t="s">
        <v>23</v>
      </c>
      <c r="D3820" s="8">
        <v>-0.48</v>
      </c>
    </row>
    <row r="3821" spans="1:4">
      <c r="A3821" t="str">
        <f t="shared" si="62"/>
        <v>12Beta</v>
      </c>
      <c r="B3821">
        <v>12</v>
      </c>
      <c r="C3821" s="9" t="s">
        <v>24</v>
      </c>
      <c r="D3821" s="8">
        <v>0.33700000000000002</v>
      </c>
    </row>
    <row r="3822" spans="1:4">
      <c r="A3822" t="str">
        <f t="shared" si="62"/>
        <v>12Annual Standard Deviation</v>
      </c>
      <c r="B3822">
        <v>12</v>
      </c>
      <c r="C3822" s="9" t="s">
        <v>35</v>
      </c>
      <c r="D3822" s="8">
        <v>0.41599999999999998</v>
      </c>
    </row>
    <row r="3823" spans="1:4">
      <c r="A3823" t="str">
        <f t="shared" si="62"/>
        <v>12Annual Variance</v>
      </c>
      <c r="B3823">
        <v>12</v>
      </c>
      <c r="C3823" s="9" t="s">
        <v>36</v>
      </c>
      <c r="D3823" s="8">
        <v>0.17299999999999999</v>
      </c>
    </row>
    <row r="3824" spans="1:4">
      <c r="A3824" t="str">
        <f t="shared" si="62"/>
        <v>12Information Ratio</v>
      </c>
      <c r="B3824">
        <v>12</v>
      </c>
      <c r="C3824" s="9" t="s">
        <v>37</v>
      </c>
      <c r="D3824" s="8">
        <v>-1.2490000000000001</v>
      </c>
    </row>
    <row r="3825" spans="1:4">
      <c r="A3825" t="str">
        <f t="shared" si="62"/>
        <v>12Tracking Error</v>
      </c>
      <c r="B3825">
        <v>12</v>
      </c>
      <c r="C3825" s="9" t="s">
        <v>38</v>
      </c>
      <c r="D3825" s="8">
        <v>0.41799999999999998</v>
      </c>
    </row>
    <row r="3826" spans="1:4">
      <c r="A3826" t="str">
        <f t="shared" si="62"/>
        <v>12Treynor Ratio</v>
      </c>
      <c r="B3826">
        <v>12</v>
      </c>
      <c r="C3826" s="9" t="s">
        <v>39</v>
      </c>
      <c r="D3826" s="8">
        <v>-1.36</v>
      </c>
    </row>
    <row r="3827" spans="1:4">
      <c r="A3827" t="str">
        <f t="shared" si="62"/>
        <v>12Total Fees</v>
      </c>
      <c r="B3827">
        <v>12</v>
      </c>
      <c r="C3827" s="9" t="s">
        <v>40</v>
      </c>
      <c r="D3827" s="8">
        <v>0</v>
      </c>
    </row>
    <row r="3828" spans="1:4">
      <c r="A3828" t="str">
        <f t="shared" si="62"/>
        <v>12Estimated Strategy Capacity</v>
      </c>
      <c r="B3828">
        <v>12</v>
      </c>
      <c r="C3828" s="9" t="s">
        <v>41</v>
      </c>
      <c r="D3828" s="8">
        <v>7000000</v>
      </c>
    </row>
    <row r="3829" spans="1:4">
      <c r="A3829" t="str">
        <f t="shared" ref="A3829:A3849" si="63">B3829&amp;C3829</f>
        <v>13PSR</v>
      </c>
      <c r="B3829">
        <v>13</v>
      </c>
      <c r="C3829" s="9" t="s">
        <v>27</v>
      </c>
      <c r="D3829" s="8">
        <v>2.4680000000000001E-2</v>
      </c>
    </row>
    <row r="3830" spans="1:4">
      <c r="A3830" t="str">
        <f t="shared" si="63"/>
        <v>13Sharpe Ratio</v>
      </c>
      <c r="B3830">
        <v>13</v>
      </c>
      <c r="C3830" s="9" t="s">
        <v>1</v>
      </c>
      <c r="D3830" s="8">
        <v>-1</v>
      </c>
    </row>
    <row r="3831" spans="1:4">
      <c r="A3831" t="str">
        <f t="shared" si="63"/>
        <v>13Total Trades</v>
      </c>
      <c r="B3831">
        <v>13</v>
      </c>
      <c r="C3831" s="9" t="s">
        <v>28</v>
      </c>
      <c r="D3831" s="8">
        <v>250</v>
      </c>
    </row>
    <row r="3832" spans="1:4">
      <c r="A3832" t="str">
        <f t="shared" si="63"/>
        <v>13Average Win</v>
      </c>
      <c r="B3832">
        <v>13</v>
      </c>
      <c r="C3832" s="9" t="s">
        <v>25</v>
      </c>
      <c r="D3832" s="8">
        <v>1.8E-3</v>
      </c>
    </row>
    <row r="3833" spans="1:4">
      <c r="A3833" t="str">
        <f t="shared" si="63"/>
        <v>13Average Loss</v>
      </c>
      <c r="B3833">
        <v>13</v>
      </c>
      <c r="C3833" s="9" t="s">
        <v>29</v>
      </c>
      <c r="D3833" s="8">
        <v>-4.1000000000000003E-3</v>
      </c>
    </row>
    <row r="3834" spans="1:4">
      <c r="A3834" t="str">
        <f t="shared" si="63"/>
        <v>13Compounding Annual Return</v>
      </c>
      <c r="B3834">
        <v>13</v>
      </c>
      <c r="C3834" s="9" t="s">
        <v>30</v>
      </c>
      <c r="D3834" s="8">
        <v>-1.4409999999999999E-2</v>
      </c>
    </row>
    <row r="3835" spans="1:4">
      <c r="A3835" t="str">
        <f t="shared" si="63"/>
        <v>13Drawdown</v>
      </c>
      <c r="B3835">
        <v>13</v>
      </c>
      <c r="C3835" s="9" t="s">
        <v>8</v>
      </c>
      <c r="D3835" s="8">
        <v>1.7000000000000001E-2</v>
      </c>
    </row>
    <row r="3836" spans="1:4">
      <c r="A3836" t="str">
        <f t="shared" si="63"/>
        <v>13Expectancy</v>
      </c>
      <c r="B3836">
        <v>13</v>
      </c>
      <c r="C3836" s="9" t="s">
        <v>31</v>
      </c>
      <c r="D3836" s="8">
        <v>-0.27900000000000003</v>
      </c>
    </row>
    <row r="3837" spans="1:4">
      <c r="A3837" t="str">
        <f t="shared" si="63"/>
        <v>13Net Profit</v>
      </c>
      <c r="B3837">
        <v>13</v>
      </c>
      <c r="C3837" s="9" t="s">
        <v>32</v>
      </c>
      <c r="D3837" s="8">
        <v>-9.3399999999999993E-3</v>
      </c>
    </row>
    <row r="3838" spans="1:4">
      <c r="A3838" t="str">
        <f t="shared" si="63"/>
        <v>13Loss Rate</v>
      </c>
      <c r="B3838">
        <v>13</v>
      </c>
      <c r="C3838" s="9" t="s">
        <v>33</v>
      </c>
      <c r="D3838" s="8">
        <v>0.5</v>
      </c>
    </row>
    <row r="3839" spans="1:4">
      <c r="A3839" t="str">
        <f t="shared" si="63"/>
        <v>13Win Rate</v>
      </c>
      <c r="B3839">
        <v>13</v>
      </c>
      <c r="C3839" s="9" t="s">
        <v>34</v>
      </c>
      <c r="D3839" s="8">
        <v>0.5</v>
      </c>
    </row>
    <row r="3840" spans="1:4">
      <c r="A3840" t="str">
        <f t="shared" si="63"/>
        <v>13Profit-Loss Ratio</v>
      </c>
      <c r="B3840">
        <v>13</v>
      </c>
      <c r="C3840" s="9" t="s">
        <v>26</v>
      </c>
      <c r="D3840" s="8">
        <v>0.44</v>
      </c>
    </row>
    <row r="3841" spans="1:4">
      <c r="A3841" t="str">
        <f t="shared" si="63"/>
        <v>13Alpha</v>
      </c>
      <c r="B3841">
        <v>13</v>
      </c>
      <c r="C3841" s="9" t="s">
        <v>23</v>
      </c>
      <c r="D3841" s="8">
        <v>-1.0999999999999999E-2</v>
      </c>
    </row>
    <row r="3842" spans="1:4">
      <c r="A3842" t="str">
        <f t="shared" si="63"/>
        <v>13Beta</v>
      </c>
      <c r="B3842">
        <v>13</v>
      </c>
      <c r="C3842" s="9" t="s">
        <v>24</v>
      </c>
      <c r="D3842" s="8">
        <v>2.3E-2</v>
      </c>
    </row>
    <row r="3843" spans="1:4">
      <c r="A3843" t="str">
        <f t="shared" si="63"/>
        <v>13Annual Standard Deviation</v>
      </c>
      <c r="B3843">
        <v>13</v>
      </c>
      <c r="C3843" s="9" t="s">
        <v>35</v>
      </c>
      <c r="D3843" s="8">
        <v>0.01</v>
      </c>
    </row>
    <row r="3844" spans="1:4">
      <c r="A3844" t="str">
        <f t="shared" si="63"/>
        <v>13Annual Variance</v>
      </c>
      <c r="B3844">
        <v>13</v>
      </c>
      <c r="C3844" s="9" t="s">
        <v>36</v>
      </c>
      <c r="D3844" s="8">
        <v>0</v>
      </c>
    </row>
    <row r="3845" spans="1:4">
      <c r="A3845" t="str">
        <f t="shared" si="63"/>
        <v>13Information Ratio</v>
      </c>
      <c r="B3845">
        <v>13</v>
      </c>
      <c r="C3845" s="9" t="s">
        <v>37</v>
      </c>
      <c r="D3845" s="8">
        <v>-1.117</v>
      </c>
    </row>
    <row r="3846" spans="1:4">
      <c r="A3846" t="str">
        <f t="shared" si="63"/>
        <v>13Tracking Error</v>
      </c>
      <c r="B3846">
        <v>13</v>
      </c>
      <c r="C3846" s="9" t="s">
        <v>38</v>
      </c>
      <c r="D3846" s="8">
        <v>6.6000000000000003E-2</v>
      </c>
    </row>
    <row r="3847" spans="1:4">
      <c r="A3847" t="str">
        <f t="shared" si="63"/>
        <v>13Treynor Ratio</v>
      </c>
      <c r="B3847">
        <v>13</v>
      </c>
      <c r="C3847" s="9" t="s">
        <v>39</v>
      </c>
      <c r="D3847" s="8">
        <v>-0.42499999999999999</v>
      </c>
    </row>
    <row r="3848" spans="1:4">
      <c r="A3848" t="str">
        <f t="shared" si="63"/>
        <v>13Total Fees</v>
      </c>
      <c r="B3848">
        <v>13</v>
      </c>
      <c r="C3848" s="9" t="s">
        <v>40</v>
      </c>
      <c r="D3848" s="8">
        <v>0</v>
      </c>
    </row>
    <row r="3849" spans="1:4">
      <c r="A3849" t="str">
        <f t="shared" si="63"/>
        <v>13Estimated Strategy Capacity</v>
      </c>
      <c r="B3849">
        <v>13</v>
      </c>
      <c r="C3849" s="9" t="s">
        <v>41</v>
      </c>
      <c r="D3849" s="8">
        <v>730000000</v>
      </c>
    </row>
    <row r="3850" spans="1:4">
      <c r="A3850" t="str">
        <f t="shared" ref="A3850:A3870" si="64">B3850&amp;C3850</f>
        <v>14PSR</v>
      </c>
      <c r="B3850">
        <v>14</v>
      </c>
      <c r="C3850" s="9" t="s">
        <v>27</v>
      </c>
      <c r="D3850" s="8">
        <v>2.8649999999999998E-2</v>
      </c>
    </row>
    <row r="3851" spans="1:4">
      <c r="A3851" t="str">
        <f t="shared" si="64"/>
        <v>14Sharpe Ratio</v>
      </c>
      <c r="B3851">
        <v>14</v>
      </c>
      <c r="C3851" s="9" t="s">
        <v>1</v>
      </c>
      <c r="D3851" s="8">
        <v>-0.90300000000000002</v>
      </c>
    </row>
    <row r="3852" spans="1:4">
      <c r="A3852" t="str">
        <f t="shared" si="64"/>
        <v>14Total Trades</v>
      </c>
      <c r="B3852">
        <v>14</v>
      </c>
      <c r="C3852" s="9" t="s">
        <v>28</v>
      </c>
      <c r="D3852" s="8">
        <v>250</v>
      </c>
    </row>
    <row r="3853" spans="1:4">
      <c r="A3853" t="str">
        <f t="shared" si="64"/>
        <v>14Average Win</v>
      </c>
      <c r="B3853">
        <v>14</v>
      </c>
      <c r="C3853" s="9" t="s">
        <v>25</v>
      </c>
      <c r="D3853" s="8">
        <v>1.9199999999999998E-2</v>
      </c>
    </row>
    <row r="3854" spans="1:4">
      <c r="A3854" t="str">
        <f t="shared" si="64"/>
        <v>14Average Loss</v>
      </c>
      <c r="B3854">
        <v>14</v>
      </c>
      <c r="C3854" s="9" t="s">
        <v>29</v>
      </c>
      <c r="D3854" s="8">
        <v>-4.1399999999999999E-2</v>
      </c>
    </row>
    <row r="3855" spans="1:4">
      <c r="A3855" t="str">
        <f t="shared" si="64"/>
        <v>14Compounding Annual Return</v>
      </c>
      <c r="B3855">
        <v>14</v>
      </c>
      <c r="C3855" s="9" t="s">
        <v>30</v>
      </c>
      <c r="D3855" s="8">
        <v>-0.14069999999999999</v>
      </c>
    </row>
    <row r="3856" spans="1:4">
      <c r="A3856" t="str">
        <f t="shared" si="64"/>
        <v>14Drawdown</v>
      </c>
      <c r="B3856">
        <v>14</v>
      </c>
      <c r="C3856" s="9" t="s">
        <v>8</v>
      </c>
      <c r="D3856" s="8">
        <v>0.16700000000000001</v>
      </c>
    </row>
    <row r="3857" spans="1:4">
      <c r="A3857" t="str">
        <f t="shared" si="64"/>
        <v>14Expectancy</v>
      </c>
      <c r="B3857">
        <v>14</v>
      </c>
      <c r="C3857" s="9" t="s">
        <v>31</v>
      </c>
      <c r="D3857" s="8">
        <v>-0.26900000000000002</v>
      </c>
    </row>
    <row r="3858" spans="1:4">
      <c r="A3858" t="str">
        <f t="shared" si="64"/>
        <v>14Net Profit</v>
      </c>
      <c r="B3858">
        <v>14</v>
      </c>
      <c r="C3858" s="9" t="s">
        <v>32</v>
      </c>
      <c r="D3858" s="8">
        <v>-9.3380000000000005E-2</v>
      </c>
    </row>
    <row r="3859" spans="1:4">
      <c r="A3859" t="str">
        <f t="shared" si="64"/>
        <v>14Loss Rate</v>
      </c>
      <c r="B3859">
        <v>14</v>
      </c>
      <c r="C3859" s="9" t="s">
        <v>33</v>
      </c>
      <c r="D3859" s="8">
        <v>0.5</v>
      </c>
    </row>
    <row r="3860" spans="1:4">
      <c r="A3860" t="str">
        <f t="shared" si="64"/>
        <v>14Win Rate</v>
      </c>
      <c r="B3860">
        <v>14</v>
      </c>
      <c r="C3860" s="9" t="s">
        <v>34</v>
      </c>
      <c r="D3860" s="8">
        <v>0.5</v>
      </c>
    </row>
    <row r="3861" spans="1:4">
      <c r="A3861" t="str">
        <f t="shared" si="64"/>
        <v>14Profit-Loss Ratio</v>
      </c>
      <c r="B3861">
        <v>14</v>
      </c>
      <c r="C3861" s="9" t="s">
        <v>26</v>
      </c>
      <c r="D3861" s="8">
        <v>0.46</v>
      </c>
    </row>
    <row r="3862" spans="1:4">
      <c r="A3862" t="str">
        <f t="shared" si="64"/>
        <v>14Alpha</v>
      </c>
      <c r="B3862">
        <v>14</v>
      </c>
      <c r="C3862" s="9" t="s">
        <v>23</v>
      </c>
      <c r="D3862" s="8">
        <v>-0.11</v>
      </c>
    </row>
    <row r="3863" spans="1:4">
      <c r="A3863" t="str">
        <f t="shared" si="64"/>
        <v>14Beta</v>
      </c>
      <c r="B3863">
        <v>14</v>
      </c>
      <c r="C3863" s="9" t="s">
        <v>24</v>
      </c>
      <c r="D3863" s="8">
        <v>0.23899999999999999</v>
      </c>
    </row>
    <row r="3864" spans="1:4">
      <c r="A3864" t="str">
        <f t="shared" si="64"/>
        <v>14Annual Standard Deviation</v>
      </c>
      <c r="B3864">
        <v>14</v>
      </c>
      <c r="C3864" s="9" t="s">
        <v>35</v>
      </c>
      <c r="D3864" s="8">
        <v>0.105</v>
      </c>
    </row>
    <row r="3865" spans="1:4">
      <c r="A3865" t="str">
        <f t="shared" si="64"/>
        <v>14Annual Variance</v>
      </c>
      <c r="B3865">
        <v>14</v>
      </c>
      <c r="C3865" s="9" t="s">
        <v>36</v>
      </c>
      <c r="D3865" s="8">
        <v>1.0999999999999999E-2</v>
      </c>
    </row>
    <row r="3866" spans="1:4">
      <c r="A3866" t="str">
        <f t="shared" si="64"/>
        <v>14Information Ratio</v>
      </c>
      <c r="B3866">
        <v>14</v>
      </c>
      <c r="C3866" s="9" t="s">
        <v>37</v>
      </c>
      <c r="D3866" s="8">
        <v>-1.3720000000000001</v>
      </c>
    </row>
    <row r="3867" spans="1:4">
      <c r="A3867" t="str">
        <f t="shared" si="64"/>
        <v>14Tracking Error</v>
      </c>
      <c r="B3867">
        <v>14</v>
      </c>
      <c r="C3867" s="9" t="s">
        <v>38</v>
      </c>
      <c r="D3867" s="8">
        <v>0.11600000000000001</v>
      </c>
    </row>
    <row r="3868" spans="1:4">
      <c r="A3868" t="str">
        <f t="shared" si="64"/>
        <v>14Treynor Ratio</v>
      </c>
      <c r="B3868">
        <v>14</v>
      </c>
      <c r="C3868" s="9" t="s">
        <v>39</v>
      </c>
      <c r="D3868" s="8">
        <v>-0.39700000000000002</v>
      </c>
    </row>
    <row r="3869" spans="1:4">
      <c r="A3869" t="str">
        <f t="shared" si="64"/>
        <v>14Total Fees</v>
      </c>
      <c r="B3869">
        <v>14</v>
      </c>
      <c r="C3869" s="9" t="s">
        <v>40</v>
      </c>
      <c r="D3869" s="8">
        <v>0</v>
      </c>
    </row>
    <row r="3870" spans="1:4">
      <c r="A3870" t="str">
        <f t="shared" si="64"/>
        <v>14Estimated Strategy Capacity</v>
      </c>
      <c r="B3870">
        <v>14</v>
      </c>
      <c r="C3870" s="9" t="s">
        <v>41</v>
      </c>
      <c r="D3870" s="8">
        <v>71000000</v>
      </c>
    </row>
    <row r="3871" spans="1:4">
      <c r="A3871" t="str">
        <f t="shared" ref="A3871:A3891" si="65">B3871&amp;C3871</f>
        <v>15PSR</v>
      </c>
      <c r="B3871">
        <v>15</v>
      </c>
      <c r="C3871" s="9" t="s">
        <v>27</v>
      </c>
      <c r="D3871" s="8">
        <v>6.1949999999999998E-2</v>
      </c>
    </row>
    <row r="3872" spans="1:4">
      <c r="A3872" t="str">
        <f t="shared" si="65"/>
        <v>15Sharpe Ratio</v>
      </c>
      <c r="B3872">
        <v>15</v>
      </c>
      <c r="C3872" s="9" t="s">
        <v>1</v>
      </c>
      <c r="D3872" s="8">
        <v>-0.49299999999999999</v>
      </c>
    </row>
    <row r="3873" spans="1:4">
      <c r="A3873" t="str">
        <f t="shared" si="65"/>
        <v>15Total Trades</v>
      </c>
      <c r="B3873">
        <v>15</v>
      </c>
      <c r="C3873" s="9" t="s">
        <v>28</v>
      </c>
      <c r="D3873" s="8">
        <v>246</v>
      </c>
    </row>
    <row r="3874" spans="1:4">
      <c r="A3874" t="str">
        <f t="shared" si="65"/>
        <v>15Average Win</v>
      </c>
      <c r="B3874">
        <v>15</v>
      </c>
      <c r="C3874" s="9" t="s">
        <v>25</v>
      </c>
      <c r="D3874" s="8">
        <v>0.14099999999999999</v>
      </c>
    </row>
    <row r="3875" spans="1:4">
      <c r="A3875" t="str">
        <f t="shared" si="65"/>
        <v>15Average Loss</v>
      </c>
      <c r="B3875">
        <v>15</v>
      </c>
      <c r="C3875" s="9" t="s">
        <v>29</v>
      </c>
      <c r="D3875" s="8">
        <v>-0.16020000000000001</v>
      </c>
    </row>
    <row r="3876" spans="1:4">
      <c r="A3876" t="str">
        <f t="shared" si="65"/>
        <v>15Compounding Annual Return</v>
      </c>
      <c r="B3876">
        <v>15</v>
      </c>
      <c r="C3876" s="9" t="s">
        <v>30</v>
      </c>
      <c r="D3876" s="8">
        <v>-0.65066000000000002</v>
      </c>
    </row>
    <row r="3877" spans="1:4">
      <c r="A3877" t="str">
        <f t="shared" si="65"/>
        <v>15Drawdown</v>
      </c>
      <c r="B3877">
        <v>15</v>
      </c>
      <c r="C3877" s="9" t="s">
        <v>8</v>
      </c>
      <c r="D3877" s="8">
        <v>0.72</v>
      </c>
    </row>
    <row r="3878" spans="1:4">
      <c r="A3878" t="str">
        <f t="shared" si="65"/>
        <v>15Expectancy</v>
      </c>
      <c r="B3878">
        <v>15</v>
      </c>
      <c r="C3878" s="9" t="s">
        <v>31</v>
      </c>
      <c r="D3878" s="8">
        <v>-0.248</v>
      </c>
    </row>
    <row r="3879" spans="1:4">
      <c r="A3879" t="str">
        <f t="shared" si="65"/>
        <v>15Net Profit</v>
      </c>
      <c r="B3879">
        <v>15</v>
      </c>
      <c r="C3879" s="9" t="s">
        <v>32</v>
      </c>
      <c r="D3879" s="8">
        <v>-0.49331999999999998</v>
      </c>
    </row>
    <row r="3880" spans="1:4">
      <c r="A3880" t="str">
        <f t="shared" si="65"/>
        <v>15Loss Rate</v>
      </c>
      <c r="B3880">
        <v>15</v>
      </c>
      <c r="C3880" s="9" t="s">
        <v>33</v>
      </c>
      <c r="D3880" s="8">
        <v>0.6</v>
      </c>
    </row>
    <row r="3881" spans="1:4">
      <c r="A3881" t="str">
        <f t="shared" si="65"/>
        <v>15Win Rate</v>
      </c>
      <c r="B3881">
        <v>15</v>
      </c>
      <c r="C3881" s="9" t="s">
        <v>34</v>
      </c>
      <c r="D3881" s="8">
        <v>0.4</v>
      </c>
    </row>
    <row r="3882" spans="1:4">
      <c r="A3882" t="str">
        <f t="shared" si="65"/>
        <v>15Profit-Loss Ratio</v>
      </c>
      <c r="B3882">
        <v>15</v>
      </c>
      <c r="C3882" s="9" t="s">
        <v>26</v>
      </c>
      <c r="D3882" s="8">
        <v>0.88</v>
      </c>
    </row>
    <row r="3883" spans="1:4">
      <c r="A3883" t="str">
        <f t="shared" si="65"/>
        <v>15Alpha</v>
      </c>
      <c r="B3883">
        <v>15</v>
      </c>
      <c r="C3883" s="9" t="s">
        <v>23</v>
      </c>
      <c r="D3883" s="8">
        <v>-0.44600000000000001</v>
      </c>
    </row>
    <row r="3884" spans="1:4">
      <c r="A3884" t="str">
        <f t="shared" si="65"/>
        <v>15Beta</v>
      </c>
      <c r="B3884">
        <v>15</v>
      </c>
      <c r="C3884" s="9" t="s">
        <v>24</v>
      </c>
      <c r="D3884" s="8">
        <v>1.2849999999999999</v>
      </c>
    </row>
    <row r="3885" spans="1:4">
      <c r="A3885" t="str">
        <f t="shared" si="65"/>
        <v>15Annual Standard Deviation</v>
      </c>
      <c r="B3885">
        <v>15</v>
      </c>
      <c r="C3885" s="9" t="s">
        <v>35</v>
      </c>
      <c r="D3885" s="8">
        <v>0.74</v>
      </c>
    </row>
    <row r="3886" spans="1:4">
      <c r="A3886" t="str">
        <f t="shared" si="65"/>
        <v>15Annual Variance</v>
      </c>
      <c r="B3886">
        <v>15</v>
      </c>
      <c r="C3886" s="9" t="s">
        <v>36</v>
      </c>
      <c r="D3886" s="8">
        <v>0.54800000000000004</v>
      </c>
    </row>
    <row r="3887" spans="1:4">
      <c r="A3887" t="str">
        <f t="shared" si="65"/>
        <v>15Information Ratio</v>
      </c>
      <c r="B3887">
        <v>15</v>
      </c>
      <c r="C3887" s="9" t="s">
        <v>37</v>
      </c>
      <c r="D3887" s="8">
        <v>-0.58199999999999996</v>
      </c>
    </row>
    <row r="3888" spans="1:4">
      <c r="A3888" t="str">
        <f t="shared" si="65"/>
        <v>15Tracking Error</v>
      </c>
      <c r="B3888">
        <v>15</v>
      </c>
      <c r="C3888" s="9" t="s">
        <v>38</v>
      </c>
      <c r="D3888" s="8">
        <v>0.73499999999999999</v>
      </c>
    </row>
    <row r="3889" spans="1:4">
      <c r="A3889" t="str">
        <f t="shared" si="65"/>
        <v>15Treynor Ratio</v>
      </c>
      <c r="B3889">
        <v>15</v>
      </c>
      <c r="C3889" s="9" t="s">
        <v>39</v>
      </c>
      <c r="D3889" s="8">
        <v>-0.28399999999999997</v>
      </c>
    </row>
    <row r="3890" spans="1:4">
      <c r="A3890" t="str">
        <f t="shared" si="65"/>
        <v>15Total Fees</v>
      </c>
      <c r="B3890">
        <v>15</v>
      </c>
      <c r="C3890" s="9" t="s">
        <v>40</v>
      </c>
      <c r="D3890" s="8">
        <v>0</v>
      </c>
    </row>
    <row r="3891" spans="1:4">
      <c r="A3891" t="str">
        <f t="shared" si="65"/>
        <v>15Estimated Strategy Capacity</v>
      </c>
      <c r="B3891">
        <v>15</v>
      </c>
      <c r="C3891" s="9" t="s">
        <v>41</v>
      </c>
      <c r="D3891" s="8">
        <v>12000000</v>
      </c>
    </row>
    <row r="3892" spans="1:4">
      <c r="A3892" t="str">
        <f t="shared" ref="A3892:A3912" si="66">B3892&amp;C3892</f>
        <v>16PSR</v>
      </c>
      <c r="B3892">
        <v>16</v>
      </c>
      <c r="C3892" s="9" t="s">
        <v>27</v>
      </c>
      <c r="D3892" s="8">
        <v>0.1079</v>
      </c>
    </row>
    <row r="3893" spans="1:4">
      <c r="A3893" t="str">
        <f t="shared" si="66"/>
        <v>16Sharpe Ratio</v>
      </c>
      <c r="B3893">
        <v>16</v>
      </c>
      <c r="C3893" s="9" t="s">
        <v>1</v>
      </c>
      <c r="D3893" s="8">
        <v>-0.307</v>
      </c>
    </row>
    <row r="3894" spans="1:4">
      <c r="A3894" t="str">
        <f t="shared" si="66"/>
        <v>16Total Trades</v>
      </c>
      <c r="B3894">
        <v>16</v>
      </c>
      <c r="C3894" s="9" t="s">
        <v>28</v>
      </c>
      <c r="D3894" s="8">
        <v>176</v>
      </c>
    </row>
    <row r="3895" spans="1:4">
      <c r="A3895" t="str">
        <f t="shared" si="66"/>
        <v>16Average Win</v>
      </c>
      <c r="B3895">
        <v>16</v>
      </c>
      <c r="C3895" s="9" t="s">
        <v>25</v>
      </c>
      <c r="D3895" s="8">
        <v>1.4E-3</v>
      </c>
    </row>
    <row r="3896" spans="1:4">
      <c r="A3896" t="str">
        <f t="shared" si="66"/>
        <v>16Average Loss</v>
      </c>
      <c r="B3896">
        <v>16</v>
      </c>
      <c r="C3896" s="9" t="s">
        <v>29</v>
      </c>
      <c r="D3896" s="8">
        <v>-2.2000000000000001E-3</v>
      </c>
    </row>
    <row r="3897" spans="1:4">
      <c r="A3897" t="str">
        <f t="shared" si="66"/>
        <v>16Compounding Annual Return</v>
      </c>
      <c r="B3897">
        <v>16</v>
      </c>
      <c r="C3897" s="9" t="s">
        <v>30</v>
      </c>
      <c r="D3897" s="8">
        <v>-6.2300000000000003E-3</v>
      </c>
    </row>
    <row r="3898" spans="1:4">
      <c r="A3898" t="str">
        <f t="shared" si="66"/>
        <v>16Drawdown</v>
      </c>
      <c r="B3898">
        <v>16</v>
      </c>
      <c r="C3898" s="9" t="s">
        <v>8</v>
      </c>
      <c r="D3898" s="8">
        <v>1.2E-2</v>
      </c>
    </row>
    <row r="3899" spans="1:4">
      <c r="A3899" t="str">
        <f t="shared" si="66"/>
        <v>16Expectancy</v>
      </c>
      <c r="B3899">
        <v>16</v>
      </c>
      <c r="C3899" s="9" t="s">
        <v>31</v>
      </c>
      <c r="D3899" s="8">
        <v>-0.35099999999999998</v>
      </c>
    </row>
    <row r="3900" spans="1:4">
      <c r="A3900" t="str">
        <f t="shared" si="66"/>
        <v>16Net Profit</v>
      </c>
      <c r="B3900">
        <v>16</v>
      </c>
      <c r="C3900" s="9" t="s">
        <v>32</v>
      </c>
      <c r="D3900" s="8">
        <v>-4.0299999999999997E-3</v>
      </c>
    </row>
    <row r="3901" spans="1:4">
      <c r="A3901" t="str">
        <f t="shared" si="66"/>
        <v>16Loss Rate</v>
      </c>
      <c r="B3901">
        <v>16</v>
      </c>
      <c r="C3901" s="9" t="s">
        <v>33</v>
      </c>
      <c r="D3901" s="8">
        <v>0.6</v>
      </c>
    </row>
    <row r="3902" spans="1:4">
      <c r="A3902" t="str">
        <f t="shared" si="66"/>
        <v>16Win Rate</v>
      </c>
      <c r="B3902">
        <v>16</v>
      </c>
      <c r="C3902" s="9" t="s">
        <v>34</v>
      </c>
      <c r="D3902" s="8">
        <v>0.4</v>
      </c>
    </row>
    <row r="3903" spans="1:4">
      <c r="A3903" t="str">
        <f t="shared" si="66"/>
        <v>16Profit-Loss Ratio</v>
      </c>
      <c r="B3903">
        <v>16</v>
      </c>
      <c r="C3903" s="9" t="s">
        <v>26</v>
      </c>
      <c r="D3903" s="8">
        <v>0.62</v>
      </c>
    </row>
    <row r="3904" spans="1:4">
      <c r="A3904" t="str">
        <f t="shared" si="66"/>
        <v>16Alpha</v>
      </c>
      <c r="B3904">
        <v>16</v>
      </c>
      <c r="C3904" s="9" t="s">
        <v>23</v>
      </c>
      <c r="D3904" s="8">
        <v>-7.0000000000000001E-3</v>
      </c>
    </row>
    <row r="3905" spans="1:4">
      <c r="A3905" t="str">
        <f t="shared" si="66"/>
        <v>16Beta</v>
      </c>
      <c r="B3905">
        <v>16</v>
      </c>
      <c r="C3905" s="9" t="s">
        <v>24</v>
      </c>
      <c r="D3905" s="8">
        <v>4.9000000000000002E-2</v>
      </c>
    </row>
    <row r="3906" spans="1:4">
      <c r="A3906" t="str">
        <f t="shared" si="66"/>
        <v>16Annual Standard Deviation</v>
      </c>
      <c r="B3906">
        <v>16</v>
      </c>
      <c r="C3906" s="9" t="s">
        <v>35</v>
      </c>
      <c r="D3906" s="8">
        <v>1.4E-2</v>
      </c>
    </row>
    <row r="3907" spans="1:4">
      <c r="A3907" t="str">
        <f t="shared" si="66"/>
        <v>16Annual Variance</v>
      </c>
      <c r="B3907">
        <v>16</v>
      </c>
      <c r="C3907" s="9" t="s">
        <v>36</v>
      </c>
      <c r="D3907" s="8">
        <v>0</v>
      </c>
    </row>
    <row r="3908" spans="1:4">
      <c r="A3908" t="str">
        <f t="shared" si="66"/>
        <v>16Information Ratio</v>
      </c>
      <c r="B3908">
        <v>16</v>
      </c>
      <c r="C3908" s="9" t="s">
        <v>37</v>
      </c>
      <c r="D3908" s="8">
        <v>-1.0469999999999999</v>
      </c>
    </row>
    <row r="3909" spans="1:4">
      <c r="A3909" t="str">
        <f t="shared" si="66"/>
        <v>16Tracking Error</v>
      </c>
      <c r="B3909">
        <v>16</v>
      </c>
      <c r="C3909" s="9" t="s">
        <v>38</v>
      </c>
      <c r="D3909" s="8">
        <v>6.5000000000000002E-2</v>
      </c>
    </row>
    <row r="3910" spans="1:4">
      <c r="A3910" t="str">
        <f t="shared" si="66"/>
        <v>16Treynor Ratio</v>
      </c>
      <c r="B3910">
        <v>16</v>
      </c>
      <c r="C3910" s="9" t="s">
        <v>39</v>
      </c>
      <c r="D3910" s="8">
        <v>-8.6999999999999994E-2</v>
      </c>
    </row>
    <row r="3911" spans="1:4">
      <c r="A3911" t="str">
        <f t="shared" si="66"/>
        <v>16Total Fees</v>
      </c>
      <c r="B3911">
        <v>16</v>
      </c>
      <c r="C3911" s="9" t="s">
        <v>40</v>
      </c>
      <c r="D3911" s="8">
        <v>0</v>
      </c>
    </row>
    <row r="3912" spans="1:4">
      <c r="A3912" t="str">
        <f t="shared" si="66"/>
        <v>16Estimated Strategy Capacity</v>
      </c>
      <c r="B3912">
        <v>16</v>
      </c>
      <c r="C3912" s="9" t="s">
        <v>41</v>
      </c>
      <c r="D3912" s="8">
        <v>18000000</v>
      </c>
    </row>
    <row r="3913" spans="1:4">
      <c r="A3913" t="str">
        <f t="shared" ref="A3913:A3933" si="67">B3913&amp;C3913</f>
        <v>17PSR</v>
      </c>
      <c r="B3913">
        <v>17</v>
      </c>
      <c r="C3913" s="9" t="s">
        <v>27</v>
      </c>
      <c r="D3913" s="8">
        <v>0.11894</v>
      </c>
    </row>
    <row r="3914" spans="1:4">
      <c r="A3914" t="str">
        <f t="shared" si="67"/>
        <v>17Sharpe Ratio</v>
      </c>
      <c r="B3914">
        <v>17</v>
      </c>
      <c r="C3914" s="9" t="s">
        <v>1</v>
      </c>
      <c r="D3914" s="8">
        <v>-0.24</v>
      </c>
    </row>
    <row r="3915" spans="1:4">
      <c r="A3915" t="str">
        <f t="shared" si="67"/>
        <v>17Total Trades</v>
      </c>
      <c r="B3915">
        <v>17</v>
      </c>
      <c r="C3915" s="9" t="s">
        <v>28</v>
      </c>
      <c r="D3915" s="8">
        <v>176</v>
      </c>
    </row>
    <row r="3916" spans="1:4">
      <c r="A3916" t="str">
        <f t="shared" si="67"/>
        <v>17Average Win</v>
      </c>
      <c r="B3916">
        <v>17</v>
      </c>
      <c r="C3916" s="9" t="s">
        <v>25</v>
      </c>
      <c r="D3916" s="8">
        <v>1.3899999999999999E-2</v>
      </c>
    </row>
    <row r="3917" spans="1:4">
      <c r="A3917" t="str">
        <f t="shared" si="67"/>
        <v>17Average Loss</v>
      </c>
      <c r="B3917">
        <v>17</v>
      </c>
      <c r="C3917" s="9" t="s">
        <v>29</v>
      </c>
      <c r="D3917" s="8">
        <v>-2.2200000000000001E-2</v>
      </c>
    </row>
    <row r="3918" spans="1:4">
      <c r="A3918" t="str">
        <f t="shared" si="67"/>
        <v>17Compounding Annual Return</v>
      </c>
      <c r="B3918">
        <v>17</v>
      </c>
      <c r="C3918" s="9" t="s">
        <v>30</v>
      </c>
      <c r="D3918" s="8">
        <v>-6.1650000000000003E-2</v>
      </c>
    </row>
    <row r="3919" spans="1:4">
      <c r="A3919" t="str">
        <f t="shared" si="67"/>
        <v>17Drawdown</v>
      </c>
      <c r="B3919">
        <v>17</v>
      </c>
      <c r="C3919" s="9" t="s">
        <v>8</v>
      </c>
      <c r="D3919" s="8">
        <v>0.11899999999999999</v>
      </c>
    </row>
    <row r="3920" spans="1:4">
      <c r="A3920" t="str">
        <f t="shared" si="67"/>
        <v>17Expectancy</v>
      </c>
      <c r="B3920">
        <v>17</v>
      </c>
      <c r="C3920" s="9" t="s">
        <v>31</v>
      </c>
      <c r="D3920" s="8">
        <v>-0.35099999999999998</v>
      </c>
    </row>
    <row r="3921" spans="1:4">
      <c r="A3921" t="str">
        <f t="shared" si="67"/>
        <v>17Net Profit</v>
      </c>
      <c r="B3921">
        <v>17</v>
      </c>
      <c r="C3921" s="9" t="s">
        <v>32</v>
      </c>
      <c r="D3921" s="8">
        <v>-4.0300000000000002E-2</v>
      </c>
    </row>
    <row r="3922" spans="1:4">
      <c r="A3922" t="str">
        <f t="shared" si="67"/>
        <v>17Loss Rate</v>
      </c>
      <c r="B3922">
        <v>17</v>
      </c>
      <c r="C3922" s="9" t="s">
        <v>33</v>
      </c>
      <c r="D3922" s="8">
        <v>0.6</v>
      </c>
    </row>
    <row r="3923" spans="1:4">
      <c r="A3923" t="str">
        <f t="shared" si="67"/>
        <v>17Win Rate</v>
      </c>
      <c r="B3923">
        <v>17</v>
      </c>
      <c r="C3923" s="9" t="s">
        <v>34</v>
      </c>
      <c r="D3923" s="8">
        <v>0.4</v>
      </c>
    </row>
    <row r="3924" spans="1:4">
      <c r="A3924" t="str">
        <f t="shared" si="67"/>
        <v>17Profit-Loss Ratio</v>
      </c>
      <c r="B3924">
        <v>17</v>
      </c>
      <c r="C3924" s="9" t="s">
        <v>26</v>
      </c>
      <c r="D3924" s="8">
        <v>0.62</v>
      </c>
    </row>
    <row r="3925" spans="1:4">
      <c r="A3925" t="str">
        <f t="shared" si="67"/>
        <v>17Alpha</v>
      </c>
      <c r="B3925">
        <v>17</v>
      </c>
      <c r="C3925" s="9" t="s">
        <v>23</v>
      </c>
      <c r="D3925" s="8">
        <v>-6.5000000000000002E-2</v>
      </c>
    </row>
    <row r="3926" spans="1:4">
      <c r="A3926" t="str">
        <f t="shared" si="67"/>
        <v>17Beta</v>
      </c>
      <c r="B3926">
        <v>17</v>
      </c>
      <c r="C3926" s="9" t="s">
        <v>24</v>
      </c>
      <c r="D3926" s="8">
        <v>0.49299999999999999</v>
      </c>
    </row>
    <row r="3927" spans="1:4">
      <c r="A3927" t="str">
        <f t="shared" si="67"/>
        <v>17Annual Standard Deviation</v>
      </c>
      <c r="B3927">
        <v>17</v>
      </c>
      <c r="C3927" s="9" t="s">
        <v>35</v>
      </c>
      <c r="D3927" s="8">
        <v>0.14099999999999999</v>
      </c>
    </row>
    <row r="3928" spans="1:4">
      <c r="A3928" t="str">
        <f t="shared" si="67"/>
        <v>17Annual Variance</v>
      </c>
      <c r="B3928">
        <v>17</v>
      </c>
      <c r="C3928" s="9" t="s">
        <v>36</v>
      </c>
      <c r="D3928" s="8">
        <v>0.02</v>
      </c>
    </row>
    <row r="3929" spans="1:4">
      <c r="A3929" t="str">
        <f t="shared" si="67"/>
        <v>17Information Ratio</v>
      </c>
      <c r="B3929">
        <v>17</v>
      </c>
      <c r="C3929" s="9" t="s">
        <v>37</v>
      </c>
      <c r="D3929" s="8">
        <v>-0.69099999999999995</v>
      </c>
    </row>
    <row r="3930" spans="1:4">
      <c r="A3930" t="str">
        <f t="shared" si="67"/>
        <v>17Tracking Error</v>
      </c>
      <c r="B3930">
        <v>17</v>
      </c>
      <c r="C3930" s="9" t="s">
        <v>38</v>
      </c>
      <c r="D3930" s="8">
        <v>0.14099999999999999</v>
      </c>
    </row>
    <row r="3931" spans="1:4">
      <c r="A3931" t="str">
        <f t="shared" si="67"/>
        <v>17Treynor Ratio</v>
      </c>
      <c r="B3931">
        <v>17</v>
      </c>
      <c r="C3931" s="9" t="s">
        <v>39</v>
      </c>
      <c r="D3931" s="8">
        <v>-6.8000000000000005E-2</v>
      </c>
    </row>
    <row r="3932" spans="1:4">
      <c r="A3932" t="str">
        <f t="shared" si="67"/>
        <v>17Total Fees</v>
      </c>
      <c r="B3932">
        <v>17</v>
      </c>
      <c r="C3932" s="9" t="s">
        <v>40</v>
      </c>
      <c r="D3932" s="8">
        <v>0</v>
      </c>
    </row>
    <row r="3933" spans="1:4">
      <c r="A3933" t="str">
        <f t="shared" si="67"/>
        <v>17Estimated Strategy Capacity</v>
      </c>
      <c r="B3933">
        <v>17</v>
      </c>
      <c r="C3933" s="9" t="s">
        <v>41</v>
      </c>
      <c r="D3933" s="8">
        <v>5100000</v>
      </c>
    </row>
    <row r="3934" spans="1:4">
      <c r="A3934" t="str">
        <f t="shared" ref="A3934:A3998" si="68">B3934&amp;C3934</f>
        <v>18PSR</v>
      </c>
      <c r="B3934">
        <v>18</v>
      </c>
      <c r="C3934" s="9" t="s">
        <v>27</v>
      </c>
      <c r="D3934" s="8">
        <v>0.15504000000000001</v>
      </c>
    </row>
    <row r="3935" spans="1:4">
      <c r="A3935" t="str">
        <f t="shared" si="68"/>
        <v>18Sharpe Ratio</v>
      </c>
      <c r="B3935">
        <v>18</v>
      </c>
      <c r="C3935" s="9" t="s">
        <v>1</v>
      </c>
      <c r="D3935" s="8">
        <v>-5.7000000000000002E-2</v>
      </c>
    </row>
    <row r="3936" spans="1:4">
      <c r="A3936" t="str">
        <f t="shared" si="68"/>
        <v>18Total Trades</v>
      </c>
      <c r="B3936">
        <v>18</v>
      </c>
      <c r="C3936" s="9" t="s">
        <v>28</v>
      </c>
      <c r="D3936" s="8">
        <v>177</v>
      </c>
    </row>
    <row r="3937" spans="1:4">
      <c r="A3937" t="str">
        <f t="shared" si="68"/>
        <v>18Average Win</v>
      </c>
      <c r="B3937">
        <v>18</v>
      </c>
      <c r="C3937" s="9" t="s">
        <v>25</v>
      </c>
      <c r="D3937" s="8">
        <v>6.8199999999999997E-2</v>
      </c>
    </row>
    <row r="3938" spans="1:4">
      <c r="A3938" t="str">
        <f t="shared" si="68"/>
        <v>18Average Loss</v>
      </c>
      <c r="B3938">
        <v>18</v>
      </c>
      <c r="C3938" s="9" t="s">
        <v>29</v>
      </c>
      <c r="D3938" s="8">
        <v>-9.8699999999999996E-2</v>
      </c>
    </row>
    <row r="3939" spans="1:4">
      <c r="A3939" t="str">
        <f t="shared" si="68"/>
        <v>18Compounding Annual Return</v>
      </c>
      <c r="B3939">
        <v>18</v>
      </c>
      <c r="C3939" s="9" t="s">
        <v>30</v>
      </c>
      <c r="D3939" s="8">
        <v>-0.37302999999999997</v>
      </c>
    </row>
    <row r="3940" spans="1:4">
      <c r="A3940" t="str">
        <f t="shared" si="68"/>
        <v>18Drawdown</v>
      </c>
      <c r="B3940">
        <v>18</v>
      </c>
      <c r="C3940" s="9" t="s">
        <v>8</v>
      </c>
      <c r="D3940" s="8">
        <v>0.50700000000000001</v>
      </c>
    </row>
    <row r="3941" spans="1:4">
      <c r="A3941" t="str">
        <f t="shared" si="68"/>
        <v>18Expectancy</v>
      </c>
      <c r="B3941">
        <v>18</v>
      </c>
      <c r="C3941" s="9" t="s">
        <v>31</v>
      </c>
      <c r="D3941" s="8">
        <v>-0.436</v>
      </c>
    </row>
    <row r="3942" spans="1:4">
      <c r="A3942" t="str">
        <f t="shared" si="68"/>
        <v>18Net Profit</v>
      </c>
      <c r="B3942">
        <v>18</v>
      </c>
      <c r="C3942" s="9" t="s">
        <v>32</v>
      </c>
      <c r="D3942" s="8">
        <v>-0.26051000000000002</v>
      </c>
    </row>
    <row r="3943" spans="1:4">
      <c r="A3943" t="str">
        <f t="shared" si="68"/>
        <v>18Loss Rate</v>
      </c>
      <c r="B3943">
        <v>18</v>
      </c>
      <c r="C3943" s="9" t="s">
        <v>33</v>
      </c>
      <c r="D3943" s="8">
        <v>0.67</v>
      </c>
    </row>
    <row r="3944" spans="1:4">
      <c r="A3944" t="str">
        <f t="shared" si="68"/>
        <v>18Win Rate</v>
      </c>
      <c r="B3944">
        <v>18</v>
      </c>
      <c r="C3944" s="9" t="s">
        <v>34</v>
      </c>
      <c r="D3944" s="8">
        <v>0.33</v>
      </c>
    </row>
    <row r="3945" spans="1:4">
      <c r="A3945" t="str">
        <f t="shared" si="68"/>
        <v>18Profit-Loss Ratio</v>
      </c>
      <c r="B3945">
        <v>18</v>
      </c>
      <c r="C3945" s="9" t="s">
        <v>26</v>
      </c>
      <c r="D3945" s="8">
        <v>0.69</v>
      </c>
    </row>
    <row r="3946" spans="1:4">
      <c r="A3946" t="str">
        <f t="shared" si="68"/>
        <v>18Alpha</v>
      </c>
      <c r="B3946">
        <v>18</v>
      </c>
      <c r="C3946" s="9" t="s">
        <v>23</v>
      </c>
      <c r="D3946" s="8">
        <v>-0.21099999999999999</v>
      </c>
    </row>
    <row r="3947" spans="1:4">
      <c r="A3947" t="str">
        <f t="shared" si="68"/>
        <v>18Beta</v>
      </c>
      <c r="B3947">
        <v>18</v>
      </c>
      <c r="C3947" s="9" t="s">
        <v>24</v>
      </c>
      <c r="D3947" s="8">
        <v>2.6269999999999998</v>
      </c>
    </row>
    <row r="3948" spans="1:4">
      <c r="A3948" t="str">
        <f t="shared" si="68"/>
        <v>18Annual Standard Deviation</v>
      </c>
      <c r="B3948">
        <v>18</v>
      </c>
      <c r="C3948" s="9" t="s">
        <v>35</v>
      </c>
      <c r="D3948" s="8">
        <v>0.77</v>
      </c>
    </row>
    <row r="3949" spans="1:4">
      <c r="A3949" t="str">
        <f t="shared" si="68"/>
        <v>18Annual Variance</v>
      </c>
      <c r="B3949">
        <v>18</v>
      </c>
      <c r="C3949" s="9" t="s">
        <v>36</v>
      </c>
      <c r="D3949" s="8">
        <v>0.59299999999999997</v>
      </c>
    </row>
    <row r="3950" spans="1:4">
      <c r="A3950" t="str">
        <f t="shared" si="68"/>
        <v>18Information Ratio</v>
      </c>
      <c r="B3950">
        <v>18</v>
      </c>
      <c r="C3950" s="9" t="s">
        <v>37</v>
      </c>
      <c r="D3950" s="8">
        <v>-0.14199999999999999</v>
      </c>
    </row>
    <row r="3951" spans="1:4">
      <c r="A3951" t="str">
        <f t="shared" si="68"/>
        <v>18Tracking Error</v>
      </c>
      <c r="B3951">
        <v>18</v>
      </c>
      <c r="C3951" s="9" t="s">
        <v>38</v>
      </c>
      <c r="D3951" s="8">
        <v>0.75800000000000001</v>
      </c>
    </row>
    <row r="3952" spans="1:4">
      <c r="A3952" t="str">
        <f t="shared" si="68"/>
        <v>18Treynor Ratio</v>
      </c>
      <c r="B3952">
        <v>18</v>
      </c>
      <c r="C3952" s="9" t="s">
        <v>39</v>
      </c>
      <c r="D3952" s="8">
        <v>-1.7000000000000001E-2</v>
      </c>
    </row>
    <row r="3953" spans="1:4">
      <c r="A3953" t="str">
        <f t="shared" si="68"/>
        <v>18Total Fees</v>
      </c>
      <c r="B3953">
        <v>18</v>
      </c>
      <c r="C3953" s="9" t="s">
        <v>40</v>
      </c>
      <c r="D3953" s="8">
        <v>0</v>
      </c>
    </row>
    <row r="3954" spans="1:4">
      <c r="A3954" t="str">
        <f t="shared" si="68"/>
        <v>18Estimated Strategy Capacity</v>
      </c>
      <c r="B3954">
        <v>18</v>
      </c>
      <c r="C3954" s="9" t="s">
        <v>41</v>
      </c>
      <c r="D3954" s="8">
        <v>2300000</v>
      </c>
    </row>
    <row r="3955" spans="1:4">
      <c r="A3955" t="str">
        <f t="shared" si="68"/>
        <v>9PSR</v>
      </c>
      <c r="B3955">
        <v>9</v>
      </c>
      <c r="C3955" s="9" t="s">
        <v>27</v>
      </c>
      <c r="D3955" s="8">
        <v>1.6049999999999998E-2</v>
      </c>
    </row>
    <row r="3956" spans="1:4">
      <c r="A3956" t="str">
        <f t="shared" si="68"/>
        <v>9Sharpe Ratio</v>
      </c>
      <c r="B3956">
        <v>9</v>
      </c>
      <c r="C3956" s="9" t="s">
        <v>1</v>
      </c>
      <c r="D3956" s="8">
        <v>-0.78800000000000003</v>
      </c>
    </row>
    <row r="3957" spans="1:4">
      <c r="A3957" t="str">
        <f t="shared" si="68"/>
        <v>9Total Trades</v>
      </c>
      <c r="B3957">
        <v>9</v>
      </c>
      <c r="C3957" s="9" t="s">
        <v>28</v>
      </c>
      <c r="D3957" s="8">
        <v>148</v>
      </c>
    </row>
    <row r="3958" spans="1:4">
      <c r="A3958" t="str">
        <f t="shared" si="68"/>
        <v>9Average Win</v>
      </c>
      <c r="B3958">
        <v>9</v>
      </c>
      <c r="C3958" s="9" t="s">
        <v>25</v>
      </c>
      <c r="D3958" s="8">
        <v>0.219</v>
      </c>
    </row>
    <row r="3959" spans="1:4">
      <c r="A3959" t="str">
        <f t="shared" si="68"/>
        <v>9Average Loss</v>
      </c>
      <c r="B3959">
        <v>9</v>
      </c>
      <c r="C3959" s="9" t="s">
        <v>29</v>
      </c>
      <c r="D3959" s="8">
        <v>-0.11219999999999999</v>
      </c>
    </row>
    <row r="3960" spans="1:4">
      <c r="A3960" t="str">
        <f t="shared" si="68"/>
        <v>9Compounding Annual Return</v>
      </c>
      <c r="B3960">
        <v>9</v>
      </c>
      <c r="C3960" s="9" t="s">
        <v>30</v>
      </c>
      <c r="D3960" s="8">
        <v>-0.85114000000000001</v>
      </c>
    </row>
    <row r="3961" spans="1:4">
      <c r="A3961" t="str">
        <f t="shared" si="68"/>
        <v>9Drawdown</v>
      </c>
      <c r="B3961">
        <v>9</v>
      </c>
      <c r="C3961" s="9" t="s">
        <v>8</v>
      </c>
      <c r="D3961" s="8">
        <v>0.81799999999999995</v>
      </c>
    </row>
    <row r="3962" spans="1:4">
      <c r="A3962" t="str">
        <f t="shared" si="68"/>
        <v>9Expectancy</v>
      </c>
      <c r="B3962">
        <v>9</v>
      </c>
      <c r="C3962" s="9" t="s">
        <v>31</v>
      </c>
      <c r="D3962" s="8">
        <v>-0.57799999999999996</v>
      </c>
    </row>
    <row r="3963" spans="1:4">
      <c r="A3963" t="str">
        <f t="shared" si="68"/>
        <v>9Net Profit</v>
      </c>
      <c r="B3963">
        <v>9</v>
      </c>
      <c r="C3963" s="9" t="s">
        <v>32</v>
      </c>
      <c r="D3963" s="8">
        <v>-0.70809999999999995</v>
      </c>
    </row>
    <row r="3964" spans="1:4">
      <c r="A3964" t="str">
        <f t="shared" si="68"/>
        <v>9Loss Rate</v>
      </c>
      <c r="B3964">
        <v>9</v>
      </c>
      <c r="C3964" s="9" t="s">
        <v>33</v>
      </c>
      <c r="D3964" s="8">
        <v>0.86</v>
      </c>
    </row>
    <row r="3965" spans="1:4">
      <c r="A3965" t="str">
        <f t="shared" si="68"/>
        <v>9Win Rate</v>
      </c>
      <c r="B3965">
        <v>9</v>
      </c>
      <c r="C3965" s="9" t="s">
        <v>34</v>
      </c>
      <c r="D3965" s="8">
        <v>0.14000000000000001</v>
      </c>
    </row>
    <row r="3966" spans="1:4">
      <c r="A3966" t="str">
        <f t="shared" si="68"/>
        <v>9Profit-Loss Ratio</v>
      </c>
      <c r="B3966">
        <v>9</v>
      </c>
      <c r="C3966" s="9" t="s">
        <v>26</v>
      </c>
      <c r="D3966" s="8">
        <v>1.95</v>
      </c>
    </row>
    <row r="3967" spans="1:4">
      <c r="A3967" t="str">
        <f t="shared" si="68"/>
        <v>9Alpha</v>
      </c>
      <c r="B3967">
        <v>9</v>
      </c>
      <c r="C3967" s="9" t="s">
        <v>23</v>
      </c>
      <c r="D3967" s="8">
        <v>-0.68200000000000005</v>
      </c>
    </row>
    <row r="3968" spans="1:4">
      <c r="A3968" t="str">
        <f t="shared" si="68"/>
        <v>9Beta</v>
      </c>
      <c r="B3968">
        <v>9</v>
      </c>
      <c r="C3968" s="9" t="s">
        <v>24</v>
      </c>
      <c r="D3968" s="8">
        <v>0.82699999999999996</v>
      </c>
    </row>
    <row r="3969" spans="1:4">
      <c r="A3969" t="str">
        <f t="shared" si="68"/>
        <v>9Annual Standard Deviation</v>
      </c>
      <c r="B3969">
        <v>9</v>
      </c>
      <c r="C3969" s="9" t="s">
        <v>35</v>
      </c>
      <c r="D3969" s="8">
        <v>0.79900000000000004</v>
      </c>
    </row>
    <row r="3970" spans="1:4">
      <c r="A3970" t="str">
        <f t="shared" si="68"/>
        <v>9Annual Variance</v>
      </c>
      <c r="B3970">
        <v>9</v>
      </c>
      <c r="C3970" s="9" t="s">
        <v>36</v>
      </c>
      <c r="D3970" s="8">
        <v>0.63800000000000001</v>
      </c>
    </row>
    <row r="3971" spans="1:4">
      <c r="A3971" t="str">
        <f t="shared" si="68"/>
        <v>9Information Ratio</v>
      </c>
      <c r="B3971">
        <v>9</v>
      </c>
      <c r="C3971" s="9" t="s">
        <v>37</v>
      </c>
      <c r="D3971" s="8">
        <v>-0.86899999999999999</v>
      </c>
    </row>
    <row r="3972" spans="1:4">
      <c r="A3972" t="str">
        <f t="shared" si="68"/>
        <v>9Tracking Error</v>
      </c>
      <c r="B3972">
        <v>9</v>
      </c>
      <c r="C3972" s="9" t="s">
        <v>38</v>
      </c>
      <c r="D3972" s="8">
        <v>0.79700000000000004</v>
      </c>
    </row>
    <row r="3973" spans="1:4">
      <c r="A3973" t="str">
        <f t="shared" si="68"/>
        <v>9Treynor Ratio</v>
      </c>
      <c r="B3973">
        <v>9</v>
      </c>
      <c r="C3973" s="9" t="s">
        <v>39</v>
      </c>
      <c r="D3973" s="8">
        <v>-0.76100000000000001</v>
      </c>
    </row>
    <row r="3974" spans="1:4">
      <c r="A3974" t="str">
        <f t="shared" si="68"/>
        <v>9Total Fees</v>
      </c>
      <c r="B3974">
        <v>9</v>
      </c>
      <c r="C3974" s="9" t="s">
        <v>40</v>
      </c>
      <c r="D3974" s="8">
        <v>0</v>
      </c>
    </row>
    <row r="3975" spans="1:4">
      <c r="A3975" t="str">
        <f t="shared" si="68"/>
        <v>9Estimated Strategy Capacity</v>
      </c>
      <c r="B3975">
        <v>9</v>
      </c>
      <c r="C3975" s="9" t="s">
        <v>41</v>
      </c>
      <c r="D3975" s="8">
        <v>1800000</v>
      </c>
    </row>
    <row r="3976" spans="1:4">
      <c r="A3976" t="str">
        <f t="shared" si="68"/>
        <v>190PSR</v>
      </c>
      <c r="B3976">
        <v>190</v>
      </c>
      <c r="C3976" s="9" t="s">
        <v>27</v>
      </c>
      <c r="D3976" s="8">
        <v>0.1132</v>
      </c>
    </row>
    <row r="3977" spans="1:4">
      <c r="A3977" t="str">
        <f t="shared" si="68"/>
        <v>190Sharpe Ratio</v>
      </c>
      <c r="B3977">
        <v>190</v>
      </c>
      <c r="C3977" s="9" t="s">
        <v>1</v>
      </c>
      <c r="D3977" s="8">
        <v>-0.24199999999999999</v>
      </c>
    </row>
    <row r="3978" spans="1:4">
      <c r="A3978" t="str">
        <f t="shared" si="68"/>
        <v>190Total Trades</v>
      </c>
      <c r="B3978">
        <v>190</v>
      </c>
      <c r="C3978" s="9" t="s">
        <v>28</v>
      </c>
      <c r="D3978" s="8">
        <v>318</v>
      </c>
    </row>
    <row r="3979" spans="1:4">
      <c r="A3979" t="str">
        <f t="shared" si="68"/>
        <v>190Average Win</v>
      </c>
      <c r="B3979">
        <v>190</v>
      </c>
      <c r="C3979" s="9" t="s">
        <v>25</v>
      </c>
      <c r="D3979" s="8">
        <v>1.43E-2</v>
      </c>
    </row>
    <row r="3980" spans="1:4">
      <c r="A3980" t="str">
        <f t="shared" si="68"/>
        <v>190Average Loss</v>
      </c>
      <c r="B3980">
        <v>190</v>
      </c>
      <c r="C3980" s="9" t="s">
        <v>29</v>
      </c>
      <c r="D3980" s="8">
        <v>-1.67E-2</v>
      </c>
    </row>
    <row r="3981" spans="1:4">
      <c r="A3981" t="str">
        <f t="shared" si="68"/>
        <v>190Compounding Annual Return</v>
      </c>
      <c r="B3981">
        <v>190</v>
      </c>
      <c r="C3981" s="9" t="s">
        <v>30</v>
      </c>
      <c r="D3981" s="8">
        <v>-2.3640000000000001E-2</v>
      </c>
    </row>
    <row r="3982" spans="1:4">
      <c r="A3982" t="str">
        <f t="shared" si="68"/>
        <v>190Drawdown</v>
      </c>
      <c r="B3982">
        <v>190</v>
      </c>
      <c r="C3982" s="9" t="s">
        <v>8</v>
      </c>
      <c r="D3982" s="8">
        <v>9.9000000000000005E-2</v>
      </c>
    </row>
    <row r="3983" spans="1:4">
      <c r="A3983" t="str">
        <f t="shared" si="68"/>
        <v>190Expectancy</v>
      </c>
      <c r="B3983">
        <v>190</v>
      </c>
      <c r="C3983" s="9" t="s">
        <v>31</v>
      </c>
      <c r="D3983" s="8">
        <v>-7.0000000000000007E-2</v>
      </c>
    </row>
    <row r="3984" spans="1:4">
      <c r="A3984" t="str">
        <f t="shared" si="68"/>
        <v>190Net Profit</v>
      </c>
      <c r="B3984">
        <v>190</v>
      </c>
      <c r="C3984" s="9" t="s">
        <v>32</v>
      </c>
      <c r="D3984" s="8">
        <v>-1.541E-2</v>
      </c>
    </row>
    <row r="3985" spans="1:4">
      <c r="A3985" t="str">
        <f t="shared" si="68"/>
        <v>190Loss Rate</v>
      </c>
      <c r="B3985">
        <v>190</v>
      </c>
      <c r="C3985" s="9" t="s">
        <v>33</v>
      </c>
      <c r="D3985" s="8">
        <v>0.5</v>
      </c>
    </row>
    <row r="3986" spans="1:4">
      <c r="A3986" t="str">
        <f t="shared" si="68"/>
        <v>190Win Rate</v>
      </c>
      <c r="B3986">
        <v>190</v>
      </c>
      <c r="C3986" s="9" t="s">
        <v>34</v>
      </c>
      <c r="D3986" s="8">
        <v>0.5</v>
      </c>
    </row>
    <row r="3987" spans="1:4">
      <c r="A3987" t="str">
        <f t="shared" si="68"/>
        <v>190Profit-Loss Ratio</v>
      </c>
      <c r="B3987">
        <v>190</v>
      </c>
      <c r="C3987" s="9" t="s">
        <v>26</v>
      </c>
      <c r="D3987" s="8">
        <v>0.86</v>
      </c>
    </row>
    <row r="3988" spans="1:4">
      <c r="A3988" t="str">
        <f t="shared" si="68"/>
        <v>190Alpha</v>
      </c>
      <c r="B3988">
        <v>190</v>
      </c>
      <c r="C3988" s="9" t="s">
        <v>23</v>
      </c>
      <c r="D3988" s="8">
        <v>-1.4999999999999999E-2</v>
      </c>
    </row>
    <row r="3989" spans="1:4">
      <c r="A3989" t="str">
        <f t="shared" si="68"/>
        <v>190Beta</v>
      </c>
      <c r="B3989">
        <v>190</v>
      </c>
      <c r="C3989" s="9" t="s">
        <v>24</v>
      </c>
      <c r="D3989" s="8">
        <v>1.0999999999999999E-2</v>
      </c>
    </row>
    <row r="3990" spans="1:4">
      <c r="A3990" t="str">
        <f t="shared" si="68"/>
        <v>190Annual Standard Deviation</v>
      </c>
      <c r="B3990">
        <v>190</v>
      </c>
      <c r="C3990" s="9" t="s">
        <v>35</v>
      </c>
      <c r="D3990" s="8">
        <v>0.06</v>
      </c>
    </row>
    <row r="3991" spans="1:4">
      <c r="A3991" t="str">
        <f t="shared" si="68"/>
        <v>190Annual Variance</v>
      </c>
      <c r="B3991">
        <v>190</v>
      </c>
      <c r="C3991" s="9" t="s">
        <v>36</v>
      </c>
      <c r="D3991" s="8">
        <v>4.0000000000000001E-3</v>
      </c>
    </row>
    <row r="3992" spans="1:4">
      <c r="A3992" t="str">
        <f t="shared" si="68"/>
        <v>190Information Ratio</v>
      </c>
      <c r="B3992">
        <v>190</v>
      </c>
      <c r="C3992" s="9" t="s">
        <v>37</v>
      </c>
      <c r="D3992" s="8">
        <v>-0.80200000000000005</v>
      </c>
    </row>
    <row r="3993" spans="1:4">
      <c r="A3993" t="str">
        <f t="shared" si="68"/>
        <v>190Tracking Error</v>
      </c>
      <c r="B3993">
        <v>190</v>
      </c>
      <c r="C3993" s="9" t="s">
        <v>38</v>
      </c>
      <c r="D3993" s="8">
        <v>0.09</v>
      </c>
    </row>
    <row r="3994" spans="1:4">
      <c r="A3994" t="str">
        <f t="shared" si="68"/>
        <v>190Treynor Ratio</v>
      </c>
      <c r="B3994">
        <v>190</v>
      </c>
      <c r="C3994" s="9" t="s">
        <v>39</v>
      </c>
      <c r="D3994" s="8">
        <v>-1.284</v>
      </c>
    </row>
    <row r="3995" spans="1:4">
      <c r="A3995" t="str">
        <f t="shared" si="68"/>
        <v>190Total Fees</v>
      </c>
      <c r="B3995">
        <v>190</v>
      </c>
      <c r="C3995" s="9" t="s">
        <v>40</v>
      </c>
      <c r="D3995" s="8">
        <v>0</v>
      </c>
    </row>
    <row r="3996" spans="1:4">
      <c r="A3996" t="str">
        <f t="shared" si="68"/>
        <v>190Estimated Strategy Capacity</v>
      </c>
      <c r="B3996">
        <v>190</v>
      </c>
      <c r="C3996" s="9" t="s">
        <v>41</v>
      </c>
      <c r="D3996" s="8">
        <v>13000000</v>
      </c>
    </row>
    <row r="3997" spans="1:4">
      <c r="A3997" t="str">
        <f t="shared" si="68"/>
        <v>191PSR</v>
      </c>
      <c r="B3997">
        <v>191</v>
      </c>
      <c r="C3997" s="9" t="s">
        <v>27</v>
      </c>
      <c r="D3997" s="8">
        <v>0.17876</v>
      </c>
    </row>
    <row r="3998" spans="1:4">
      <c r="A3998" t="str">
        <f t="shared" si="68"/>
        <v>191Sharpe Ratio</v>
      </c>
      <c r="B3998">
        <v>191</v>
      </c>
      <c r="C3998" s="9" t="s">
        <v>1</v>
      </c>
      <c r="D3998" s="8">
        <v>4.9000000000000002E-2</v>
      </c>
    </row>
    <row r="3999" spans="1:4">
      <c r="A3999" t="str">
        <f t="shared" ref="A3999:A4062" si="69">B3999&amp;C3999</f>
        <v>191Total Trades</v>
      </c>
      <c r="B3999">
        <v>191</v>
      </c>
      <c r="C3999" s="9" t="s">
        <v>28</v>
      </c>
      <c r="D3999" s="8">
        <v>297</v>
      </c>
    </row>
    <row r="4000" spans="1:4">
      <c r="A4000" t="str">
        <f t="shared" si="69"/>
        <v>191Average Win</v>
      </c>
      <c r="B4000">
        <v>191</v>
      </c>
      <c r="C4000" s="9" t="s">
        <v>25</v>
      </c>
      <c r="D4000" s="8">
        <v>0.15409999999999999</v>
      </c>
    </row>
    <row r="4001" spans="1:4">
      <c r="A4001" t="str">
        <f t="shared" si="69"/>
        <v>191Average Loss</v>
      </c>
      <c r="B4001">
        <v>191</v>
      </c>
      <c r="C4001" s="9" t="s">
        <v>29</v>
      </c>
      <c r="D4001" s="8">
        <v>-0.14599999999999999</v>
      </c>
    </row>
    <row r="4002" spans="1:4">
      <c r="A4002" t="str">
        <f t="shared" si="69"/>
        <v>191Compounding Annual Return</v>
      </c>
      <c r="B4002">
        <v>191</v>
      </c>
      <c r="C4002" s="9" t="s">
        <v>30</v>
      </c>
      <c r="D4002" s="8">
        <v>-0.18079000000000001</v>
      </c>
    </row>
    <row r="4003" spans="1:4">
      <c r="A4003" t="str">
        <f t="shared" si="69"/>
        <v>191Drawdown</v>
      </c>
      <c r="B4003">
        <v>191</v>
      </c>
      <c r="C4003" s="9" t="s">
        <v>8</v>
      </c>
      <c r="D4003" s="8">
        <v>0.64100000000000001</v>
      </c>
    </row>
    <row r="4004" spans="1:4">
      <c r="A4004" t="str">
        <f t="shared" si="69"/>
        <v>191Expectancy</v>
      </c>
      <c r="B4004">
        <v>191</v>
      </c>
      <c r="C4004" s="9" t="s">
        <v>31</v>
      </c>
      <c r="D4004" s="8">
        <v>2.8000000000000001E-2</v>
      </c>
    </row>
    <row r="4005" spans="1:4">
      <c r="A4005" t="str">
        <f t="shared" si="69"/>
        <v>191Net Profit</v>
      </c>
      <c r="B4005">
        <v>191</v>
      </c>
      <c r="C4005" s="9" t="s">
        <v>32</v>
      </c>
      <c r="D4005" s="8">
        <v>-0.12143</v>
      </c>
    </row>
    <row r="4006" spans="1:4">
      <c r="A4006" t="str">
        <f t="shared" si="69"/>
        <v>191Loss Rate</v>
      </c>
      <c r="B4006">
        <v>191</v>
      </c>
      <c r="C4006" s="9" t="s">
        <v>33</v>
      </c>
      <c r="D4006" s="8">
        <v>0.5</v>
      </c>
    </row>
    <row r="4007" spans="1:4">
      <c r="A4007" t="str">
        <f t="shared" si="69"/>
        <v>191Win Rate</v>
      </c>
      <c r="B4007">
        <v>191</v>
      </c>
      <c r="C4007" s="9" t="s">
        <v>34</v>
      </c>
      <c r="D4007" s="8">
        <v>0.5</v>
      </c>
    </row>
    <row r="4008" spans="1:4">
      <c r="A4008" t="str">
        <f t="shared" si="69"/>
        <v>191Profit-Loss Ratio</v>
      </c>
      <c r="B4008">
        <v>191</v>
      </c>
      <c r="C4008" s="9" t="s">
        <v>26</v>
      </c>
      <c r="D4008" s="8">
        <v>1.06</v>
      </c>
    </row>
    <row r="4009" spans="1:4">
      <c r="A4009" t="str">
        <f t="shared" si="69"/>
        <v>191Alpha</v>
      </c>
      <c r="B4009">
        <v>191</v>
      </c>
      <c r="C4009" s="9" t="s">
        <v>23</v>
      </c>
      <c r="D4009" s="8">
        <v>0</v>
      </c>
    </row>
    <row r="4010" spans="1:4">
      <c r="A4010" t="str">
        <f t="shared" si="69"/>
        <v>191Beta</v>
      </c>
      <c r="B4010">
        <v>191</v>
      </c>
      <c r="C4010" s="9" t="s">
        <v>24</v>
      </c>
      <c r="D4010" s="8">
        <v>0.497</v>
      </c>
    </row>
    <row r="4011" spans="1:4">
      <c r="A4011" t="str">
        <f t="shared" si="69"/>
        <v>191Annual Standard Deviation</v>
      </c>
      <c r="B4011">
        <v>191</v>
      </c>
      <c r="C4011" s="9" t="s">
        <v>35</v>
      </c>
      <c r="D4011" s="8">
        <v>0.57899999999999996</v>
      </c>
    </row>
    <row r="4012" spans="1:4">
      <c r="A4012" t="str">
        <f t="shared" si="69"/>
        <v>191Annual Variance</v>
      </c>
      <c r="B4012">
        <v>191</v>
      </c>
      <c r="C4012" s="9" t="s">
        <v>36</v>
      </c>
      <c r="D4012" s="8">
        <v>0.33500000000000002</v>
      </c>
    </row>
    <row r="4013" spans="1:4">
      <c r="A4013" t="str">
        <f t="shared" si="69"/>
        <v>191Information Ratio</v>
      </c>
      <c r="B4013">
        <v>191</v>
      </c>
      <c r="C4013" s="9" t="s">
        <v>37</v>
      </c>
      <c r="D4013" s="8">
        <v>-0.05</v>
      </c>
    </row>
    <row r="4014" spans="1:4">
      <c r="A4014" t="str">
        <f t="shared" si="69"/>
        <v>191Tracking Error</v>
      </c>
      <c r="B4014">
        <v>191</v>
      </c>
      <c r="C4014" s="9" t="s">
        <v>38</v>
      </c>
      <c r="D4014" s="8">
        <v>0.57899999999999996</v>
      </c>
    </row>
    <row r="4015" spans="1:4">
      <c r="A4015" t="str">
        <f t="shared" si="69"/>
        <v>191Treynor Ratio</v>
      </c>
      <c r="B4015">
        <v>191</v>
      </c>
      <c r="C4015" s="9" t="s">
        <v>39</v>
      </c>
      <c r="D4015" s="8">
        <v>5.7000000000000002E-2</v>
      </c>
    </row>
    <row r="4016" spans="1:4">
      <c r="A4016" t="str">
        <f t="shared" si="69"/>
        <v>191Total Fees</v>
      </c>
      <c r="B4016">
        <v>191</v>
      </c>
      <c r="C4016" s="9" t="s">
        <v>40</v>
      </c>
      <c r="D4016" s="8">
        <v>0</v>
      </c>
    </row>
    <row r="4017" spans="1:4">
      <c r="A4017" t="str">
        <f t="shared" si="69"/>
        <v>191Estimated Strategy Capacity</v>
      </c>
      <c r="B4017">
        <v>191</v>
      </c>
      <c r="C4017" s="9" t="s">
        <v>41</v>
      </c>
      <c r="D4017" s="8">
        <v>3000000</v>
      </c>
    </row>
    <row r="4018" spans="1:4">
      <c r="A4018" t="str">
        <f t="shared" si="69"/>
        <v>192PSR</v>
      </c>
      <c r="B4018">
        <v>192</v>
      </c>
      <c r="C4018" s="9" t="s">
        <v>27</v>
      </c>
      <c r="D4018" s="8">
        <v>0.23416999999999999</v>
      </c>
    </row>
    <row r="4019" spans="1:4">
      <c r="A4019" t="str">
        <f t="shared" si="69"/>
        <v>192Sharpe Ratio</v>
      </c>
      <c r="B4019">
        <v>192</v>
      </c>
      <c r="C4019" s="9" t="s">
        <v>1</v>
      </c>
      <c r="D4019" s="8">
        <v>0.28399999999999997</v>
      </c>
    </row>
    <row r="4020" spans="1:4">
      <c r="A4020" t="str">
        <f t="shared" si="69"/>
        <v>192Total Trades</v>
      </c>
      <c r="B4020">
        <v>192</v>
      </c>
      <c r="C4020" s="9" t="s">
        <v>28</v>
      </c>
      <c r="D4020" s="8">
        <v>277</v>
      </c>
    </row>
    <row r="4021" spans="1:4">
      <c r="A4021" t="str">
        <f t="shared" si="69"/>
        <v>192Average Win</v>
      </c>
      <c r="B4021">
        <v>192</v>
      </c>
      <c r="C4021" s="9" t="s">
        <v>25</v>
      </c>
      <c r="D4021" s="8">
        <v>0.2379</v>
      </c>
    </row>
    <row r="4022" spans="1:4">
      <c r="A4022" t="str">
        <f t="shared" si="69"/>
        <v>192Average Loss</v>
      </c>
      <c r="B4022">
        <v>192</v>
      </c>
      <c r="C4022" s="9" t="s">
        <v>29</v>
      </c>
      <c r="D4022" s="8">
        <v>-0.14530000000000001</v>
      </c>
    </row>
    <row r="4023" spans="1:4">
      <c r="A4023" t="str">
        <f t="shared" si="69"/>
        <v>192Compounding Annual Return</v>
      </c>
      <c r="B4023">
        <v>192</v>
      </c>
      <c r="C4023" s="9" t="s">
        <v>30</v>
      </c>
      <c r="D4023" s="8">
        <v>-0.15842999999999999</v>
      </c>
    </row>
    <row r="4024" spans="1:4">
      <c r="A4024" t="str">
        <f t="shared" si="69"/>
        <v>192Drawdown</v>
      </c>
      <c r="B4024">
        <v>192</v>
      </c>
      <c r="C4024" s="9" t="s">
        <v>8</v>
      </c>
      <c r="D4024" s="8">
        <v>0.78200000000000003</v>
      </c>
    </row>
    <row r="4025" spans="1:4">
      <c r="A4025" t="str">
        <f t="shared" si="69"/>
        <v>192Expectancy</v>
      </c>
      <c r="B4025">
        <v>192</v>
      </c>
      <c r="C4025" s="9" t="s">
        <v>31</v>
      </c>
      <c r="D4025" s="8">
        <v>9.9000000000000005E-2</v>
      </c>
    </row>
    <row r="4026" spans="1:4">
      <c r="A4026" t="str">
        <f t="shared" si="69"/>
        <v>192Net Profit</v>
      </c>
      <c r="B4026">
        <v>192</v>
      </c>
      <c r="C4026" s="9" t="s">
        <v>32</v>
      </c>
      <c r="D4026" s="8">
        <v>-0.10594000000000001</v>
      </c>
    </row>
    <row r="4027" spans="1:4">
      <c r="A4027" t="str">
        <f t="shared" si="69"/>
        <v>192Loss Rate</v>
      </c>
      <c r="B4027">
        <v>192</v>
      </c>
      <c r="C4027" s="9" t="s">
        <v>33</v>
      </c>
      <c r="D4027" s="8">
        <v>0.57999999999999996</v>
      </c>
    </row>
    <row r="4028" spans="1:4">
      <c r="A4028" t="str">
        <f t="shared" si="69"/>
        <v>192Win Rate</v>
      </c>
      <c r="B4028">
        <v>192</v>
      </c>
      <c r="C4028" s="9" t="s">
        <v>34</v>
      </c>
      <c r="D4028" s="8">
        <v>0.42</v>
      </c>
    </row>
    <row r="4029" spans="1:4">
      <c r="A4029" t="str">
        <f t="shared" si="69"/>
        <v>192Profit-Loss Ratio</v>
      </c>
      <c r="B4029">
        <v>192</v>
      </c>
      <c r="C4029" s="9" t="s">
        <v>26</v>
      </c>
      <c r="D4029" s="8">
        <v>1.64</v>
      </c>
    </row>
    <row r="4030" spans="1:4">
      <c r="A4030" t="str">
        <f t="shared" si="69"/>
        <v>192Alpha</v>
      </c>
      <c r="B4030">
        <v>192</v>
      </c>
      <c r="C4030" s="9" t="s">
        <v>23</v>
      </c>
      <c r="D4030" s="8">
        <v>0.16400000000000001</v>
      </c>
    </row>
    <row r="4031" spans="1:4">
      <c r="A4031" t="str">
        <f t="shared" si="69"/>
        <v>192Beta</v>
      </c>
      <c r="B4031">
        <v>192</v>
      </c>
      <c r="C4031" s="9" t="s">
        <v>24</v>
      </c>
      <c r="D4031" s="8">
        <v>1.2210000000000001</v>
      </c>
    </row>
    <row r="4032" spans="1:4">
      <c r="A4032" t="str">
        <f t="shared" si="69"/>
        <v>192Annual Standard Deviation</v>
      </c>
      <c r="B4032">
        <v>192</v>
      </c>
      <c r="C4032" s="9" t="s">
        <v>35</v>
      </c>
      <c r="D4032" s="8">
        <v>0.82299999999999995</v>
      </c>
    </row>
    <row r="4033" spans="1:4">
      <c r="A4033" t="str">
        <f t="shared" si="69"/>
        <v>192Annual Variance</v>
      </c>
      <c r="B4033">
        <v>192</v>
      </c>
      <c r="C4033" s="9" t="s">
        <v>36</v>
      </c>
      <c r="D4033" s="8">
        <v>0.67700000000000005</v>
      </c>
    </row>
    <row r="4034" spans="1:4">
      <c r="A4034" t="str">
        <f t="shared" si="69"/>
        <v>192Information Ratio</v>
      </c>
      <c r="B4034">
        <v>192</v>
      </c>
      <c r="C4034" s="9" t="s">
        <v>37</v>
      </c>
      <c r="D4034" s="8">
        <v>0.216</v>
      </c>
    </row>
    <row r="4035" spans="1:4">
      <c r="A4035" t="str">
        <f t="shared" si="69"/>
        <v>192Tracking Error</v>
      </c>
      <c r="B4035">
        <v>192</v>
      </c>
      <c r="C4035" s="9" t="s">
        <v>38</v>
      </c>
      <c r="D4035" s="8">
        <v>0.81899999999999995</v>
      </c>
    </row>
    <row r="4036" spans="1:4">
      <c r="A4036" t="str">
        <f t="shared" si="69"/>
        <v>192Treynor Ratio</v>
      </c>
      <c r="B4036">
        <v>192</v>
      </c>
      <c r="C4036" s="9" t="s">
        <v>39</v>
      </c>
      <c r="D4036" s="8">
        <v>0.192</v>
      </c>
    </row>
    <row r="4037" spans="1:4">
      <c r="A4037" t="str">
        <f t="shared" si="69"/>
        <v>192Total Fees</v>
      </c>
      <c r="B4037">
        <v>192</v>
      </c>
      <c r="C4037" s="9" t="s">
        <v>40</v>
      </c>
      <c r="D4037" s="8">
        <v>0</v>
      </c>
    </row>
    <row r="4038" spans="1:4">
      <c r="A4038" t="str">
        <f t="shared" si="69"/>
        <v>192Estimated Strategy Capacity</v>
      </c>
      <c r="B4038">
        <v>192</v>
      </c>
      <c r="C4038" s="9" t="s">
        <v>41</v>
      </c>
      <c r="D4038" s="8">
        <v>2300000</v>
      </c>
    </row>
    <row r="4039" spans="1:4">
      <c r="A4039" t="str">
        <f t="shared" si="69"/>
        <v>193PSR</v>
      </c>
      <c r="B4039">
        <v>193</v>
      </c>
      <c r="C4039" s="9" t="s">
        <v>27</v>
      </c>
      <c r="D4039" s="8">
        <v>5.7499999999999999E-3</v>
      </c>
    </row>
    <row r="4040" spans="1:4">
      <c r="A4040" t="str">
        <f t="shared" si="69"/>
        <v>193Sharpe Ratio</v>
      </c>
      <c r="B4040">
        <v>193</v>
      </c>
      <c r="C4040" s="9" t="s">
        <v>1</v>
      </c>
      <c r="D4040" s="8">
        <v>-1.464</v>
      </c>
    </row>
    <row r="4041" spans="1:4">
      <c r="A4041" t="str">
        <f t="shared" si="69"/>
        <v>193Total Trades</v>
      </c>
      <c r="B4041">
        <v>193</v>
      </c>
      <c r="C4041" s="9" t="s">
        <v>28</v>
      </c>
      <c r="D4041" s="8">
        <v>203</v>
      </c>
    </row>
    <row r="4042" spans="1:4">
      <c r="A4042" t="str">
        <f t="shared" si="69"/>
        <v>193Average Win</v>
      </c>
      <c r="B4042">
        <v>193</v>
      </c>
      <c r="C4042" s="9" t="s">
        <v>25</v>
      </c>
      <c r="D4042" s="8">
        <v>1.17E-2</v>
      </c>
    </row>
    <row r="4043" spans="1:4">
      <c r="A4043" t="str">
        <f t="shared" si="69"/>
        <v>193Average Loss</v>
      </c>
      <c r="B4043">
        <v>193</v>
      </c>
      <c r="C4043" s="9" t="s">
        <v>29</v>
      </c>
      <c r="D4043" s="8">
        <v>-3.8199999999999998E-2</v>
      </c>
    </row>
    <row r="4044" spans="1:4">
      <c r="A4044" t="str">
        <f t="shared" si="69"/>
        <v>193Compounding Annual Return</v>
      </c>
      <c r="B4044">
        <v>193</v>
      </c>
      <c r="C4044" s="9" t="s">
        <v>30</v>
      </c>
      <c r="D4044" s="8">
        <v>-0.19031999999999999</v>
      </c>
    </row>
    <row r="4045" spans="1:4">
      <c r="A4045" t="str">
        <f t="shared" si="69"/>
        <v>193Drawdown</v>
      </c>
      <c r="B4045">
        <v>193</v>
      </c>
      <c r="C4045" s="9" t="s">
        <v>8</v>
      </c>
      <c r="D4045" s="8">
        <v>0.159</v>
      </c>
    </row>
    <row r="4046" spans="1:4">
      <c r="A4046" t="str">
        <f t="shared" si="69"/>
        <v>193Expectancy</v>
      </c>
      <c r="B4046">
        <v>193</v>
      </c>
      <c r="C4046" s="9" t="s">
        <v>31</v>
      </c>
      <c r="D4046" s="8">
        <v>-0.56499999999999995</v>
      </c>
    </row>
    <row r="4047" spans="1:4">
      <c r="A4047" t="str">
        <f t="shared" si="69"/>
        <v>193Net Profit</v>
      </c>
      <c r="B4047">
        <v>193</v>
      </c>
      <c r="C4047" s="9" t="s">
        <v>32</v>
      </c>
      <c r="D4047" s="8">
        <v>-0.12808</v>
      </c>
    </row>
    <row r="4048" spans="1:4">
      <c r="A4048" t="str">
        <f t="shared" si="69"/>
        <v>193Loss Rate</v>
      </c>
      <c r="B4048">
        <v>193</v>
      </c>
      <c r="C4048" s="9" t="s">
        <v>33</v>
      </c>
      <c r="D4048" s="8">
        <v>0.67</v>
      </c>
    </row>
    <row r="4049" spans="1:4">
      <c r="A4049" t="str">
        <f t="shared" si="69"/>
        <v>193Win Rate</v>
      </c>
      <c r="B4049">
        <v>193</v>
      </c>
      <c r="C4049" s="9" t="s">
        <v>34</v>
      </c>
      <c r="D4049" s="8">
        <v>0.33</v>
      </c>
    </row>
    <row r="4050" spans="1:4">
      <c r="A4050" t="str">
        <f t="shared" si="69"/>
        <v>193Profit-Loss Ratio</v>
      </c>
      <c r="B4050">
        <v>193</v>
      </c>
      <c r="C4050" s="9" t="s">
        <v>26</v>
      </c>
      <c r="D4050" s="8">
        <v>0.31</v>
      </c>
    </row>
    <row r="4051" spans="1:4">
      <c r="A4051" t="str">
        <f t="shared" si="69"/>
        <v>193Alpha</v>
      </c>
      <c r="B4051">
        <v>193</v>
      </c>
      <c r="C4051" s="9" t="s">
        <v>23</v>
      </c>
      <c r="D4051" s="8">
        <v>-0.14599999999999999</v>
      </c>
    </row>
    <row r="4052" spans="1:4">
      <c r="A4052" t="str">
        <f t="shared" si="69"/>
        <v>193Beta</v>
      </c>
      <c r="B4052">
        <v>193</v>
      </c>
      <c r="C4052" s="9" t="s">
        <v>24</v>
      </c>
      <c r="D4052" s="8">
        <v>0.24099999999999999</v>
      </c>
    </row>
    <row r="4053" spans="1:4">
      <c r="A4053" t="str">
        <f t="shared" si="69"/>
        <v>193Annual Standard Deviation</v>
      </c>
      <c r="B4053">
        <v>193</v>
      </c>
      <c r="C4053" s="9" t="s">
        <v>35</v>
      </c>
      <c r="D4053" s="8">
        <v>9.0999999999999998E-2</v>
      </c>
    </row>
    <row r="4054" spans="1:4">
      <c r="A4054" t="str">
        <f t="shared" si="69"/>
        <v>193Annual Variance</v>
      </c>
      <c r="B4054">
        <v>193</v>
      </c>
      <c r="C4054" s="9" t="s">
        <v>36</v>
      </c>
      <c r="D4054" s="8">
        <v>8.0000000000000002E-3</v>
      </c>
    </row>
    <row r="4055" spans="1:4">
      <c r="A4055" t="str">
        <f t="shared" si="69"/>
        <v>193Information Ratio</v>
      </c>
      <c r="B4055">
        <v>193</v>
      </c>
      <c r="C4055" s="9" t="s">
        <v>37</v>
      </c>
      <c r="D4055" s="8">
        <v>-1.851</v>
      </c>
    </row>
    <row r="4056" spans="1:4">
      <c r="A4056" t="str">
        <f t="shared" si="69"/>
        <v>193Tracking Error</v>
      </c>
      <c r="B4056">
        <v>193</v>
      </c>
      <c r="C4056" s="9" t="s">
        <v>38</v>
      </c>
      <c r="D4056" s="8">
        <v>0.10299999999999999</v>
      </c>
    </row>
    <row r="4057" spans="1:4">
      <c r="A4057" t="str">
        <f t="shared" si="69"/>
        <v>193Treynor Ratio</v>
      </c>
      <c r="B4057">
        <v>193</v>
      </c>
      <c r="C4057" s="9" t="s">
        <v>39</v>
      </c>
      <c r="D4057" s="8">
        <v>-0.54900000000000004</v>
      </c>
    </row>
    <row r="4058" spans="1:4">
      <c r="A4058" t="str">
        <f t="shared" si="69"/>
        <v>193Total Fees</v>
      </c>
      <c r="B4058">
        <v>193</v>
      </c>
      <c r="C4058" s="9" t="s">
        <v>40</v>
      </c>
      <c r="D4058" s="8">
        <v>0</v>
      </c>
    </row>
    <row r="4059" spans="1:4">
      <c r="A4059" t="str">
        <f t="shared" si="69"/>
        <v>193Estimated Strategy Capacity</v>
      </c>
      <c r="B4059">
        <v>193</v>
      </c>
      <c r="C4059" s="9" t="s">
        <v>41</v>
      </c>
      <c r="D4059" s="8">
        <v>6100000</v>
      </c>
    </row>
    <row r="4060" spans="1:4">
      <c r="A4060" t="str">
        <f t="shared" si="69"/>
        <v>194PSR</v>
      </c>
      <c r="B4060">
        <v>194</v>
      </c>
      <c r="C4060" s="9" t="s">
        <v>27</v>
      </c>
      <c r="D4060" s="8">
        <v>7.92E-3</v>
      </c>
    </row>
    <row r="4061" spans="1:4">
      <c r="A4061" t="str">
        <f t="shared" si="69"/>
        <v>194Sharpe Ratio</v>
      </c>
      <c r="B4061">
        <v>194</v>
      </c>
      <c r="C4061" s="9" t="s">
        <v>1</v>
      </c>
      <c r="D4061" s="8">
        <v>-0.73199999999999998</v>
      </c>
    </row>
    <row r="4062" spans="1:4">
      <c r="A4062" t="str">
        <f t="shared" si="69"/>
        <v>194Total Trades</v>
      </c>
      <c r="B4062">
        <v>194</v>
      </c>
      <c r="C4062" s="9" t="s">
        <v>28</v>
      </c>
      <c r="D4062" s="8">
        <v>198</v>
      </c>
    </row>
    <row r="4063" spans="1:4">
      <c r="A4063" t="str">
        <f t="shared" ref="A4063:A4126" si="70">B4063&amp;C4063</f>
        <v>194Average Win</v>
      </c>
      <c r="B4063">
        <v>194</v>
      </c>
      <c r="C4063" s="9" t="s">
        <v>25</v>
      </c>
      <c r="D4063" s="8">
        <v>0.22309999999999999</v>
      </c>
    </row>
    <row r="4064" spans="1:4">
      <c r="A4064" t="str">
        <f t="shared" si="70"/>
        <v>194Average Loss</v>
      </c>
      <c r="B4064">
        <v>194</v>
      </c>
      <c r="C4064" s="9" t="s">
        <v>29</v>
      </c>
      <c r="D4064" s="8">
        <v>-7.8E-2</v>
      </c>
    </row>
    <row r="4065" spans="1:4">
      <c r="A4065" t="str">
        <f t="shared" si="70"/>
        <v>194Compounding Annual Return</v>
      </c>
      <c r="B4065">
        <v>194</v>
      </c>
      <c r="C4065" s="9" t="s">
        <v>30</v>
      </c>
      <c r="D4065" s="8">
        <v>-0.96894000000000002</v>
      </c>
    </row>
    <row r="4066" spans="1:4">
      <c r="A4066" t="str">
        <f t="shared" si="70"/>
        <v>194Drawdown</v>
      </c>
      <c r="B4066">
        <v>194</v>
      </c>
      <c r="C4066" s="9" t="s">
        <v>8</v>
      </c>
      <c r="D4066" s="8">
        <v>0.92900000000000005</v>
      </c>
    </row>
    <row r="4067" spans="1:4">
      <c r="A4067" t="str">
        <f t="shared" si="70"/>
        <v>194Expectancy</v>
      </c>
      <c r="B4067">
        <v>194</v>
      </c>
      <c r="C4067" s="9" t="s">
        <v>31</v>
      </c>
      <c r="D4067" s="8">
        <v>-0.84599999999999997</v>
      </c>
    </row>
    <row r="4068" spans="1:4">
      <c r="A4068" t="str">
        <f t="shared" si="70"/>
        <v>194Net Profit</v>
      </c>
      <c r="B4068">
        <v>194</v>
      </c>
      <c r="C4068" s="9" t="s">
        <v>32</v>
      </c>
      <c r="D4068" s="8">
        <v>-0.89500000000000002</v>
      </c>
    </row>
    <row r="4069" spans="1:4">
      <c r="A4069" t="str">
        <f t="shared" si="70"/>
        <v>194Loss Rate</v>
      </c>
      <c r="B4069">
        <v>194</v>
      </c>
      <c r="C4069" s="9" t="s">
        <v>33</v>
      </c>
      <c r="D4069" s="8">
        <v>0.96</v>
      </c>
    </row>
    <row r="4070" spans="1:4">
      <c r="A4070" t="str">
        <f t="shared" si="70"/>
        <v>194Win Rate</v>
      </c>
      <c r="B4070">
        <v>194</v>
      </c>
      <c r="C4070" s="9" t="s">
        <v>34</v>
      </c>
      <c r="D4070" s="8">
        <v>0.04</v>
      </c>
    </row>
    <row r="4071" spans="1:4">
      <c r="A4071" t="str">
        <f t="shared" si="70"/>
        <v>194Profit-Loss Ratio</v>
      </c>
      <c r="B4071">
        <v>194</v>
      </c>
      <c r="C4071" s="9" t="s">
        <v>26</v>
      </c>
      <c r="D4071" s="8">
        <v>2.86</v>
      </c>
    </row>
    <row r="4072" spans="1:4">
      <c r="A4072" t="str">
        <f t="shared" si="70"/>
        <v>194Alpha</v>
      </c>
      <c r="B4072">
        <v>194</v>
      </c>
      <c r="C4072" s="9" t="s">
        <v>23</v>
      </c>
      <c r="D4072" s="8">
        <v>-0.96</v>
      </c>
    </row>
    <row r="4073" spans="1:4">
      <c r="A4073" t="str">
        <f t="shared" si="70"/>
        <v>194Beta</v>
      </c>
      <c r="B4073">
        <v>194</v>
      </c>
      <c r="C4073" s="9" t="s">
        <v>24</v>
      </c>
      <c r="D4073" s="8">
        <v>2.3279999999999998</v>
      </c>
    </row>
    <row r="4074" spans="1:4">
      <c r="A4074" t="str">
        <f t="shared" si="70"/>
        <v>194Annual Standard Deviation</v>
      </c>
      <c r="B4074">
        <v>194</v>
      </c>
      <c r="C4074" s="9" t="s">
        <v>35</v>
      </c>
      <c r="D4074" s="8">
        <v>1.1299999999999999</v>
      </c>
    </row>
    <row r="4075" spans="1:4">
      <c r="A4075" t="str">
        <f t="shared" si="70"/>
        <v>194Annual Variance</v>
      </c>
      <c r="B4075">
        <v>194</v>
      </c>
      <c r="C4075" s="9" t="s">
        <v>36</v>
      </c>
      <c r="D4075" s="8">
        <v>1.276</v>
      </c>
    </row>
    <row r="4076" spans="1:4">
      <c r="A4076" t="str">
        <f t="shared" si="70"/>
        <v>194Information Ratio</v>
      </c>
      <c r="B4076">
        <v>194</v>
      </c>
      <c r="C4076" s="9" t="s">
        <v>37</v>
      </c>
      <c r="D4076" s="8">
        <v>-0.78700000000000003</v>
      </c>
    </row>
    <row r="4077" spans="1:4">
      <c r="A4077" t="str">
        <f t="shared" si="70"/>
        <v>194Tracking Error</v>
      </c>
      <c r="B4077">
        <v>194</v>
      </c>
      <c r="C4077" s="9" t="s">
        <v>38</v>
      </c>
      <c r="D4077" s="8">
        <v>1.1220000000000001</v>
      </c>
    </row>
    <row r="4078" spans="1:4">
      <c r="A4078" t="str">
        <f t="shared" si="70"/>
        <v>194Treynor Ratio</v>
      </c>
      <c r="B4078">
        <v>194</v>
      </c>
      <c r="C4078" s="9" t="s">
        <v>39</v>
      </c>
      <c r="D4078" s="8">
        <v>-0.35499999999999998</v>
      </c>
    </row>
    <row r="4079" spans="1:4">
      <c r="A4079" t="str">
        <f t="shared" si="70"/>
        <v>194Total Fees</v>
      </c>
      <c r="B4079">
        <v>194</v>
      </c>
      <c r="C4079" s="9" t="s">
        <v>40</v>
      </c>
      <c r="D4079" s="8">
        <v>0</v>
      </c>
    </row>
    <row r="4080" spans="1:4">
      <c r="A4080" t="str">
        <f t="shared" si="70"/>
        <v>194Estimated Strategy Capacity</v>
      </c>
      <c r="B4080">
        <v>194</v>
      </c>
      <c r="C4080" s="9" t="s">
        <v>41</v>
      </c>
      <c r="D4080" s="8">
        <v>1200000</v>
      </c>
    </row>
    <row r="4081" spans="1:4">
      <c r="A4081" t="str">
        <f t="shared" si="70"/>
        <v>195PSR</v>
      </c>
      <c r="B4081">
        <v>195</v>
      </c>
      <c r="C4081" s="9" t="s">
        <v>27</v>
      </c>
      <c r="D4081" s="8">
        <v>7.2100000000000003E-3</v>
      </c>
    </row>
    <row r="4082" spans="1:4">
      <c r="A4082" t="str">
        <f t="shared" si="70"/>
        <v>195Sharpe Ratio</v>
      </c>
      <c r="B4082">
        <v>195</v>
      </c>
      <c r="C4082" s="9" t="s">
        <v>1</v>
      </c>
      <c r="D4082" s="8">
        <v>-0.60099999999999998</v>
      </c>
    </row>
    <row r="4083" spans="1:4">
      <c r="A4083" t="str">
        <f t="shared" si="70"/>
        <v>195Total Trades</v>
      </c>
      <c r="B4083">
        <v>195</v>
      </c>
      <c r="C4083" s="9" t="s">
        <v>28</v>
      </c>
      <c r="D4083" s="8">
        <v>184</v>
      </c>
    </row>
    <row r="4084" spans="1:4">
      <c r="A4084" t="str">
        <f t="shared" si="70"/>
        <v>195Average Win</v>
      </c>
      <c r="B4084">
        <v>195</v>
      </c>
      <c r="C4084" s="9" t="s">
        <v>25</v>
      </c>
      <c r="D4084" s="8">
        <v>3.2000000000000002E-3</v>
      </c>
    </row>
    <row r="4085" spans="1:4">
      <c r="A4085" t="str">
        <f t="shared" si="70"/>
        <v>195Average Loss</v>
      </c>
      <c r="B4085">
        <v>195</v>
      </c>
      <c r="C4085" s="9" t="s">
        <v>29</v>
      </c>
      <c r="D4085" s="8">
        <v>-5.7500000000000002E-2</v>
      </c>
    </row>
    <row r="4086" spans="1:4">
      <c r="A4086" t="str">
        <f t="shared" si="70"/>
        <v>195Compounding Annual Return</v>
      </c>
      <c r="B4086">
        <v>195</v>
      </c>
      <c r="C4086" s="9" t="s">
        <v>30</v>
      </c>
      <c r="D4086" s="8">
        <v>-0.99353000000000002</v>
      </c>
    </row>
    <row r="4087" spans="1:4">
      <c r="A4087" t="str">
        <f t="shared" si="70"/>
        <v>195Drawdown</v>
      </c>
      <c r="B4087">
        <v>195</v>
      </c>
      <c r="C4087" s="9" t="s">
        <v>8</v>
      </c>
      <c r="D4087" s="8">
        <v>0.98299999999999998</v>
      </c>
    </row>
    <row r="4088" spans="1:4">
      <c r="A4088" t="str">
        <f t="shared" si="70"/>
        <v>195Expectancy</v>
      </c>
      <c r="B4088">
        <v>195</v>
      </c>
      <c r="C4088" s="9" t="s">
        <v>31</v>
      </c>
      <c r="D4088" s="8">
        <v>-0.95</v>
      </c>
    </row>
    <row r="4089" spans="1:4">
      <c r="A4089" t="str">
        <f t="shared" si="70"/>
        <v>195Net Profit</v>
      </c>
      <c r="B4089">
        <v>195</v>
      </c>
      <c r="C4089" s="9" t="s">
        <v>32</v>
      </c>
      <c r="D4089" s="8">
        <v>-0.96209</v>
      </c>
    </row>
    <row r="4090" spans="1:4">
      <c r="A4090" t="str">
        <f t="shared" si="70"/>
        <v>195Loss Rate</v>
      </c>
      <c r="B4090">
        <v>195</v>
      </c>
      <c r="C4090" s="9" t="s">
        <v>33</v>
      </c>
      <c r="D4090" s="8">
        <v>0.95</v>
      </c>
    </row>
    <row r="4091" spans="1:4">
      <c r="A4091" t="str">
        <f t="shared" si="70"/>
        <v>195Win Rate</v>
      </c>
      <c r="B4091">
        <v>195</v>
      </c>
      <c r="C4091" s="9" t="s">
        <v>34</v>
      </c>
      <c r="D4091" s="8">
        <v>0.05</v>
      </c>
    </row>
    <row r="4092" spans="1:4">
      <c r="A4092" t="str">
        <f t="shared" si="70"/>
        <v>195Profit-Loss Ratio</v>
      </c>
      <c r="B4092">
        <v>195</v>
      </c>
      <c r="C4092" s="9" t="s">
        <v>26</v>
      </c>
      <c r="D4092" s="8">
        <v>0.06</v>
      </c>
    </row>
    <row r="4093" spans="1:4">
      <c r="A4093" t="str">
        <f t="shared" si="70"/>
        <v>195Alpha</v>
      </c>
      <c r="B4093">
        <v>195</v>
      </c>
      <c r="C4093" s="9" t="s">
        <v>23</v>
      </c>
      <c r="D4093" s="8">
        <v>-0.95199999999999996</v>
      </c>
    </row>
    <row r="4094" spans="1:4">
      <c r="A4094" t="str">
        <f t="shared" si="70"/>
        <v>195Beta</v>
      </c>
      <c r="B4094">
        <v>195</v>
      </c>
      <c r="C4094" s="9" t="s">
        <v>24</v>
      </c>
      <c r="D4094" s="8">
        <v>0.88600000000000001</v>
      </c>
    </row>
    <row r="4095" spans="1:4">
      <c r="A4095" t="str">
        <f t="shared" si="70"/>
        <v>195Annual Standard Deviation</v>
      </c>
      <c r="B4095">
        <v>195</v>
      </c>
      <c r="C4095" s="9" t="s">
        <v>35</v>
      </c>
      <c r="D4095" s="8">
        <v>1.498</v>
      </c>
    </row>
    <row r="4096" spans="1:4">
      <c r="A4096" t="str">
        <f t="shared" si="70"/>
        <v>195Annual Variance</v>
      </c>
      <c r="B4096">
        <v>195</v>
      </c>
      <c r="C4096" s="9" t="s">
        <v>36</v>
      </c>
      <c r="D4096" s="8">
        <v>2.2450000000000001</v>
      </c>
    </row>
    <row r="4097" spans="1:4">
      <c r="A4097" t="str">
        <f t="shared" si="70"/>
        <v>195Information Ratio</v>
      </c>
      <c r="B4097">
        <v>195</v>
      </c>
      <c r="C4097" s="9" t="s">
        <v>37</v>
      </c>
      <c r="D4097" s="8">
        <v>-0.64</v>
      </c>
    </row>
    <row r="4098" spans="1:4">
      <c r="A4098" t="str">
        <f t="shared" si="70"/>
        <v>195Tracking Error</v>
      </c>
      <c r="B4098">
        <v>195</v>
      </c>
      <c r="C4098" s="9" t="s">
        <v>38</v>
      </c>
      <c r="D4098" s="8">
        <v>1.4970000000000001</v>
      </c>
    </row>
    <row r="4099" spans="1:4">
      <c r="A4099" t="str">
        <f t="shared" si="70"/>
        <v>195Treynor Ratio</v>
      </c>
      <c r="B4099">
        <v>195</v>
      </c>
      <c r="C4099" s="9" t="s">
        <v>39</v>
      </c>
      <c r="D4099" s="8">
        <v>-1.0169999999999999</v>
      </c>
    </row>
    <row r="4100" spans="1:4">
      <c r="A4100" t="str">
        <f t="shared" si="70"/>
        <v>195Total Fees</v>
      </c>
      <c r="B4100">
        <v>195</v>
      </c>
      <c r="C4100" s="9" t="s">
        <v>40</v>
      </c>
      <c r="D4100" s="8">
        <v>0</v>
      </c>
    </row>
    <row r="4101" spans="1:4">
      <c r="A4101" t="str">
        <f t="shared" si="70"/>
        <v>195Estimated Strategy Capacity</v>
      </c>
      <c r="B4101">
        <v>195</v>
      </c>
      <c r="C4101" s="9" t="s">
        <v>41</v>
      </c>
      <c r="D4101" s="8">
        <v>560000</v>
      </c>
    </row>
    <row r="4102" spans="1:4">
      <c r="A4102" t="str">
        <f t="shared" si="70"/>
        <v>196PSR</v>
      </c>
      <c r="B4102">
        <v>196</v>
      </c>
      <c r="C4102" s="9" t="s">
        <v>27</v>
      </c>
      <c r="D4102" s="8">
        <v>0.31396000000000002</v>
      </c>
    </row>
    <row r="4103" spans="1:4">
      <c r="A4103" t="str">
        <f t="shared" si="70"/>
        <v>196Sharpe Ratio</v>
      </c>
      <c r="B4103">
        <v>196</v>
      </c>
      <c r="C4103" s="9" t="s">
        <v>1</v>
      </c>
      <c r="D4103" s="8">
        <v>0.51700000000000002</v>
      </c>
    </row>
    <row r="4104" spans="1:4">
      <c r="A4104" t="str">
        <f t="shared" si="70"/>
        <v>196Total Trades</v>
      </c>
      <c r="B4104">
        <v>196</v>
      </c>
      <c r="C4104" s="9" t="s">
        <v>28</v>
      </c>
      <c r="D4104" s="8">
        <v>141</v>
      </c>
    </row>
    <row r="4105" spans="1:4">
      <c r="A4105" t="str">
        <f t="shared" si="70"/>
        <v>196Average Win</v>
      </c>
      <c r="B4105">
        <v>196</v>
      </c>
      <c r="C4105" s="9" t="s">
        <v>25</v>
      </c>
      <c r="D4105" s="8">
        <v>4.4499999999999998E-2</v>
      </c>
    </row>
    <row r="4106" spans="1:4">
      <c r="A4106" t="str">
        <f t="shared" si="70"/>
        <v>196Average Loss</v>
      </c>
      <c r="B4106">
        <v>196</v>
      </c>
      <c r="C4106" s="9" t="s">
        <v>29</v>
      </c>
      <c r="D4106" s="8">
        <v>-2.81E-2</v>
      </c>
    </row>
    <row r="4107" spans="1:4">
      <c r="A4107" t="str">
        <f t="shared" si="70"/>
        <v>196Compounding Annual Return</v>
      </c>
      <c r="B4107">
        <v>196</v>
      </c>
      <c r="C4107" s="9" t="s">
        <v>30</v>
      </c>
      <c r="D4107" s="8">
        <v>5.3249999999999999E-2</v>
      </c>
    </row>
    <row r="4108" spans="1:4">
      <c r="A4108" t="str">
        <f t="shared" si="70"/>
        <v>196Drawdown</v>
      </c>
      <c r="B4108">
        <v>196</v>
      </c>
      <c r="C4108" s="9" t="s">
        <v>8</v>
      </c>
      <c r="D4108" s="8">
        <v>0.06</v>
      </c>
    </row>
    <row r="4109" spans="1:4">
      <c r="A4109" t="str">
        <f t="shared" si="70"/>
        <v>196Expectancy</v>
      </c>
      <c r="B4109">
        <v>196</v>
      </c>
      <c r="C4109" s="9" t="s">
        <v>31</v>
      </c>
      <c r="D4109" s="8">
        <v>0.29199999999999998</v>
      </c>
    </row>
    <row r="4110" spans="1:4">
      <c r="A4110" t="str">
        <f t="shared" si="70"/>
        <v>196Net Profit</v>
      </c>
      <c r="B4110">
        <v>196</v>
      </c>
      <c r="C4110" s="9" t="s">
        <v>32</v>
      </c>
      <c r="D4110" s="8">
        <v>3.4250000000000003E-2</v>
      </c>
    </row>
    <row r="4111" spans="1:4">
      <c r="A4111" t="str">
        <f t="shared" si="70"/>
        <v>196Loss Rate</v>
      </c>
      <c r="B4111">
        <v>196</v>
      </c>
      <c r="C4111" s="9" t="s">
        <v>33</v>
      </c>
      <c r="D4111" s="8">
        <v>0.5</v>
      </c>
    </row>
    <row r="4112" spans="1:4">
      <c r="A4112" t="str">
        <f t="shared" si="70"/>
        <v>196Win Rate</v>
      </c>
      <c r="B4112">
        <v>196</v>
      </c>
      <c r="C4112" s="9" t="s">
        <v>34</v>
      </c>
      <c r="D4112" s="8">
        <v>0.5</v>
      </c>
    </row>
    <row r="4113" spans="1:4">
      <c r="A4113" t="str">
        <f t="shared" si="70"/>
        <v>196Profit-Loss Ratio</v>
      </c>
      <c r="B4113">
        <v>196</v>
      </c>
      <c r="C4113" s="9" t="s">
        <v>26</v>
      </c>
      <c r="D4113" s="8">
        <v>1.58</v>
      </c>
    </row>
    <row r="4114" spans="1:4">
      <c r="A4114" t="str">
        <f t="shared" si="70"/>
        <v>196Alpha</v>
      </c>
      <c r="B4114">
        <v>196</v>
      </c>
      <c r="C4114" s="9" t="s">
        <v>23</v>
      </c>
      <c r="D4114" s="8">
        <v>3.1E-2</v>
      </c>
    </row>
    <row r="4115" spans="1:4">
      <c r="A4115" t="str">
        <f t="shared" si="70"/>
        <v>196Beta</v>
      </c>
      <c r="B4115">
        <v>196</v>
      </c>
      <c r="C4115" s="9" t="s">
        <v>24</v>
      </c>
      <c r="D4115" s="8">
        <v>0.14499999999999999</v>
      </c>
    </row>
    <row r="4116" spans="1:4">
      <c r="A4116" t="str">
        <f t="shared" si="70"/>
        <v>196Annual Standard Deviation</v>
      </c>
      <c r="B4116">
        <v>196</v>
      </c>
      <c r="C4116" s="9" t="s">
        <v>35</v>
      </c>
      <c r="D4116" s="8">
        <v>7.6999999999999999E-2</v>
      </c>
    </row>
    <row r="4117" spans="1:4">
      <c r="A4117" t="str">
        <f t="shared" si="70"/>
        <v>196Annual Variance</v>
      </c>
      <c r="B4117">
        <v>196</v>
      </c>
      <c r="C4117" s="9" t="s">
        <v>36</v>
      </c>
      <c r="D4117" s="8">
        <v>6.0000000000000001E-3</v>
      </c>
    </row>
    <row r="4118" spans="1:4">
      <c r="A4118" t="str">
        <f t="shared" si="70"/>
        <v>196Information Ratio</v>
      </c>
      <c r="B4118">
        <v>196</v>
      </c>
      <c r="C4118" s="9" t="s">
        <v>37</v>
      </c>
      <c r="D4118" s="8">
        <v>-0.184</v>
      </c>
    </row>
    <row r="4119" spans="1:4">
      <c r="A4119" t="str">
        <f t="shared" si="70"/>
        <v>196Tracking Error</v>
      </c>
      <c r="B4119">
        <v>196</v>
      </c>
      <c r="C4119" s="9" t="s">
        <v>38</v>
      </c>
      <c r="D4119" s="8">
        <v>9.5000000000000001E-2</v>
      </c>
    </row>
    <row r="4120" spans="1:4">
      <c r="A4120" t="str">
        <f t="shared" si="70"/>
        <v>196Treynor Ratio</v>
      </c>
      <c r="B4120">
        <v>196</v>
      </c>
      <c r="C4120" s="9" t="s">
        <v>39</v>
      </c>
      <c r="D4120" s="8">
        <v>0.27300000000000002</v>
      </c>
    </row>
    <row r="4121" spans="1:4">
      <c r="A4121" t="str">
        <f t="shared" si="70"/>
        <v>196Total Fees</v>
      </c>
      <c r="B4121">
        <v>196</v>
      </c>
      <c r="C4121" s="9" t="s">
        <v>40</v>
      </c>
      <c r="D4121" s="8">
        <v>0</v>
      </c>
    </row>
    <row r="4122" spans="1:4">
      <c r="A4122" t="str">
        <f t="shared" si="70"/>
        <v>196Estimated Strategy Capacity</v>
      </c>
      <c r="B4122">
        <v>196</v>
      </c>
      <c r="C4122" s="9" t="s">
        <v>41</v>
      </c>
      <c r="D4122" s="8">
        <v>12000000</v>
      </c>
    </row>
    <row r="4123" spans="1:4">
      <c r="A4123" t="str">
        <f t="shared" si="70"/>
        <v>197PSR</v>
      </c>
      <c r="B4123">
        <v>197</v>
      </c>
      <c r="C4123" s="9" t="s">
        <v>27</v>
      </c>
      <c r="D4123" s="8">
        <v>0.43468000000000001</v>
      </c>
    </row>
    <row r="4124" spans="1:4">
      <c r="A4124" t="str">
        <f t="shared" si="70"/>
        <v>197Sharpe Ratio</v>
      </c>
      <c r="B4124">
        <v>197</v>
      </c>
      <c r="C4124" s="9" t="s">
        <v>1</v>
      </c>
      <c r="D4124" s="8">
        <v>1.073</v>
      </c>
    </row>
    <row r="4125" spans="1:4">
      <c r="A4125" t="str">
        <f t="shared" si="70"/>
        <v>197Total Trades</v>
      </c>
      <c r="B4125">
        <v>197</v>
      </c>
      <c r="C4125" s="9" t="s">
        <v>28</v>
      </c>
      <c r="D4125" s="8">
        <v>140</v>
      </c>
    </row>
    <row r="4126" spans="1:4">
      <c r="A4126" t="str">
        <f t="shared" si="70"/>
        <v>197Average Win</v>
      </c>
      <c r="B4126">
        <v>197</v>
      </c>
      <c r="C4126" s="9" t="s">
        <v>25</v>
      </c>
      <c r="D4126" s="8">
        <v>0.40960000000000002</v>
      </c>
    </row>
    <row r="4127" spans="1:4">
      <c r="A4127" t="str">
        <f t="shared" ref="A4127:A4190" si="71">B4127&amp;C4127</f>
        <v>197Average Loss</v>
      </c>
      <c r="B4127">
        <v>197</v>
      </c>
      <c r="C4127" s="9" t="s">
        <v>29</v>
      </c>
      <c r="D4127" s="8">
        <v>-0.1704</v>
      </c>
    </row>
    <row r="4128" spans="1:4">
      <c r="A4128" t="str">
        <f t="shared" si="71"/>
        <v>197Compounding Annual Return</v>
      </c>
      <c r="B4128">
        <v>197</v>
      </c>
      <c r="C4128" s="9" t="s">
        <v>30</v>
      </c>
      <c r="D4128" s="8">
        <v>0.59323999999999999</v>
      </c>
    </row>
    <row r="4129" spans="1:4">
      <c r="A4129" t="str">
        <f t="shared" si="71"/>
        <v>197Drawdown</v>
      </c>
      <c r="B4129">
        <v>197</v>
      </c>
      <c r="C4129" s="9" t="s">
        <v>8</v>
      </c>
      <c r="D4129" s="8">
        <v>0.32400000000000001</v>
      </c>
    </row>
    <row r="4130" spans="1:4">
      <c r="A4130" t="str">
        <f t="shared" si="71"/>
        <v>197Expectancy</v>
      </c>
      <c r="B4130">
        <v>197</v>
      </c>
      <c r="C4130" s="9" t="s">
        <v>31</v>
      </c>
      <c r="D4130" s="8">
        <v>0.70199999999999996</v>
      </c>
    </row>
    <row r="4131" spans="1:4">
      <c r="A4131" t="str">
        <f t="shared" si="71"/>
        <v>197Net Profit</v>
      </c>
      <c r="B4131">
        <v>197</v>
      </c>
      <c r="C4131" s="9" t="s">
        <v>32</v>
      </c>
      <c r="D4131" s="8">
        <v>0.35306999999999999</v>
      </c>
    </row>
    <row r="4132" spans="1:4">
      <c r="A4132" t="str">
        <f t="shared" si="71"/>
        <v>197Loss Rate</v>
      </c>
      <c r="B4132">
        <v>197</v>
      </c>
      <c r="C4132" s="9" t="s">
        <v>33</v>
      </c>
      <c r="D4132" s="8">
        <v>0.5</v>
      </c>
    </row>
    <row r="4133" spans="1:4">
      <c r="A4133" t="str">
        <f t="shared" si="71"/>
        <v>197Win Rate</v>
      </c>
      <c r="B4133">
        <v>197</v>
      </c>
      <c r="C4133" s="9" t="s">
        <v>34</v>
      </c>
      <c r="D4133" s="8">
        <v>0.5</v>
      </c>
    </row>
    <row r="4134" spans="1:4">
      <c r="A4134" t="str">
        <f t="shared" si="71"/>
        <v>197Profit-Loss Ratio</v>
      </c>
      <c r="B4134">
        <v>197</v>
      </c>
      <c r="C4134" s="9" t="s">
        <v>26</v>
      </c>
      <c r="D4134" s="8">
        <v>2.4</v>
      </c>
    </row>
    <row r="4135" spans="1:4">
      <c r="A4135" t="str">
        <f t="shared" si="71"/>
        <v>197Alpha</v>
      </c>
      <c r="B4135">
        <v>197</v>
      </c>
      <c r="C4135" s="9" t="s">
        <v>23</v>
      </c>
      <c r="D4135" s="8">
        <v>0.52400000000000002</v>
      </c>
    </row>
    <row r="4136" spans="1:4">
      <c r="A4136" t="str">
        <f t="shared" si="71"/>
        <v>197Beta</v>
      </c>
      <c r="B4136">
        <v>197</v>
      </c>
      <c r="C4136" s="9" t="s">
        <v>24</v>
      </c>
      <c r="D4136" s="8">
        <v>1.2</v>
      </c>
    </row>
    <row r="4137" spans="1:4">
      <c r="A4137" t="str">
        <f t="shared" si="71"/>
        <v>197Annual Standard Deviation</v>
      </c>
      <c r="B4137">
        <v>197</v>
      </c>
      <c r="C4137" s="9" t="s">
        <v>35</v>
      </c>
      <c r="D4137" s="8">
        <v>0.55300000000000005</v>
      </c>
    </row>
    <row r="4138" spans="1:4">
      <c r="A4138" t="str">
        <f t="shared" si="71"/>
        <v>197Annual Variance</v>
      </c>
      <c r="B4138">
        <v>197</v>
      </c>
      <c r="C4138" s="9" t="s">
        <v>36</v>
      </c>
      <c r="D4138" s="8">
        <v>0.30499999999999999</v>
      </c>
    </row>
    <row r="4139" spans="1:4">
      <c r="A4139" t="str">
        <f t="shared" si="71"/>
        <v>197Information Ratio</v>
      </c>
      <c r="B4139">
        <v>197</v>
      </c>
      <c r="C4139" s="9" t="s">
        <v>37</v>
      </c>
      <c r="D4139" s="8">
        <v>0.98</v>
      </c>
    </row>
    <row r="4140" spans="1:4">
      <c r="A4140" t="str">
        <f t="shared" si="71"/>
        <v>197Tracking Error</v>
      </c>
      <c r="B4140">
        <v>197</v>
      </c>
      <c r="C4140" s="9" t="s">
        <v>38</v>
      </c>
      <c r="D4140" s="8">
        <v>0.54700000000000004</v>
      </c>
    </row>
    <row r="4141" spans="1:4">
      <c r="A4141" t="str">
        <f t="shared" si="71"/>
        <v>197Treynor Ratio</v>
      </c>
      <c r="B4141">
        <v>197</v>
      </c>
      <c r="C4141" s="9" t="s">
        <v>39</v>
      </c>
      <c r="D4141" s="8">
        <v>0.49399999999999999</v>
      </c>
    </row>
    <row r="4142" spans="1:4">
      <c r="A4142" t="str">
        <f t="shared" si="71"/>
        <v>197Total Fees</v>
      </c>
      <c r="B4142">
        <v>197</v>
      </c>
      <c r="C4142" s="9" t="s">
        <v>40</v>
      </c>
      <c r="D4142" s="8">
        <v>0</v>
      </c>
    </row>
    <row r="4143" spans="1:4">
      <c r="A4143" t="str">
        <f t="shared" si="71"/>
        <v>197Estimated Strategy Capacity</v>
      </c>
      <c r="B4143">
        <v>197</v>
      </c>
      <c r="C4143" s="9" t="s">
        <v>41</v>
      </c>
      <c r="D4143" s="8">
        <v>3700000</v>
      </c>
    </row>
    <row r="4144" spans="1:4">
      <c r="A4144" t="str">
        <f t="shared" si="71"/>
        <v>198PSR</v>
      </c>
      <c r="B4144">
        <v>198</v>
      </c>
      <c r="C4144" s="9" t="s">
        <v>27</v>
      </c>
      <c r="D4144" s="8">
        <v>0.34200999999999998</v>
      </c>
    </row>
    <row r="4145" spans="1:4">
      <c r="A4145" t="str">
        <f t="shared" si="71"/>
        <v>198Sharpe Ratio</v>
      </c>
      <c r="B4145">
        <v>198</v>
      </c>
      <c r="C4145" s="9" t="s">
        <v>1</v>
      </c>
      <c r="D4145" s="8">
        <v>0.74</v>
      </c>
    </row>
    <row r="4146" spans="1:4">
      <c r="A4146" t="str">
        <f t="shared" si="71"/>
        <v>198Total Trades</v>
      </c>
      <c r="B4146">
        <v>198</v>
      </c>
      <c r="C4146" s="9" t="s">
        <v>28</v>
      </c>
      <c r="D4146" s="8">
        <v>133</v>
      </c>
    </row>
    <row r="4147" spans="1:4">
      <c r="A4147" t="str">
        <f t="shared" si="71"/>
        <v>198Average Win</v>
      </c>
      <c r="B4147">
        <v>198</v>
      </c>
      <c r="C4147" s="9" t="s">
        <v>25</v>
      </c>
      <c r="D4147" s="8">
        <v>0.4556</v>
      </c>
    </row>
    <row r="4148" spans="1:4">
      <c r="A4148" t="str">
        <f t="shared" si="71"/>
        <v>198Average Loss</v>
      </c>
      <c r="B4148">
        <v>198</v>
      </c>
      <c r="C4148" s="9" t="s">
        <v>29</v>
      </c>
      <c r="D4148" s="8">
        <v>-0.1053</v>
      </c>
    </row>
    <row r="4149" spans="1:4">
      <c r="A4149" t="str">
        <f t="shared" si="71"/>
        <v>198Compounding Annual Return</v>
      </c>
      <c r="B4149">
        <v>198</v>
      </c>
      <c r="C4149" s="9" t="s">
        <v>30</v>
      </c>
      <c r="D4149" s="8">
        <v>0.27972000000000002</v>
      </c>
    </row>
    <row r="4150" spans="1:4">
      <c r="A4150" t="str">
        <f t="shared" si="71"/>
        <v>198Drawdown</v>
      </c>
      <c r="B4150">
        <v>198</v>
      </c>
      <c r="C4150" s="9" t="s">
        <v>8</v>
      </c>
      <c r="D4150" s="8">
        <v>0.45800000000000002</v>
      </c>
    </row>
    <row r="4151" spans="1:4">
      <c r="A4151" t="str">
        <f t="shared" si="71"/>
        <v>198Expectancy</v>
      </c>
      <c r="B4151">
        <v>198</v>
      </c>
      <c r="C4151" s="9" t="s">
        <v>31</v>
      </c>
      <c r="D4151" s="8">
        <v>0.52200000000000002</v>
      </c>
    </row>
    <row r="4152" spans="1:4">
      <c r="A4152" t="str">
        <f t="shared" si="71"/>
        <v>198Net Profit</v>
      </c>
      <c r="B4152">
        <v>198</v>
      </c>
      <c r="C4152" s="9" t="s">
        <v>32</v>
      </c>
      <c r="D4152" s="8">
        <v>0.17365</v>
      </c>
    </row>
    <row r="4153" spans="1:4">
      <c r="A4153" t="str">
        <f t="shared" si="71"/>
        <v>198Loss Rate</v>
      </c>
      <c r="B4153">
        <v>198</v>
      </c>
      <c r="C4153" s="9" t="s">
        <v>33</v>
      </c>
      <c r="D4153" s="8">
        <v>0.71</v>
      </c>
    </row>
    <row r="4154" spans="1:4">
      <c r="A4154" t="str">
        <f t="shared" si="71"/>
        <v>198Win Rate</v>
      </c>
      <c r="B4154">
        <v>198</v>
      </c>
      <c r="C4154" s="9" t="s">
        <v>34</v>
      </c>
      <c r="D4154" s="8">
        <v>0.28999999999999998</v>
      </c>
    </row>
    <row r="4155" spans="1:4">
      <c r="A4155" t="str">
        <f t="shared" si="71"/>
        <v>198Profit-Loss Ratio</v>
      </c>
      <c r="B4155">
        <v>198</v>
      </c>
      <c r="C4155" s="9" t="s">
        <v>26</v>
      </c>
      <c r="D4155" s="8">
        <v>4.33</v>
      </c>
    </row>
    <row r="4156" spans="1:4">
      <c r="A4156" t="str">
        <f t="shared" si="71"/>
        <v>198Alpha</v>
      </c>
      <c r="B4156">
        <v>198</v>
      </c>
      <c r="C4156" s="9" t="s">
        <v>23</v>
      </c>
      <c r="D4156" s="8">
        <v>0.48099999999999998</v>
      </c>
    </row>
    <row r="4157" spans="1:4">
      <c r="A4157" t="str">
        <f t="shared" si="71"/>
        <v>198Beta</v>
      </c>
      <c r="B4157">
        <v>198</v>
      </c>
      <c r="C4157" s="9" t="s">
        <v>24</v>
      </c>
      <c r="D4157" s="8">
        <v>1.2609999999999999</v>
      </c>
    </row>
    <row r="4158" spans="1:4">
      <c r="A4158" t="str">
        <f t="shared" si="71"/>
        <v>198Annual Standard Deviation</v>
      </c>
      <c r="B4158">
        <v>198</v>
      </c>
      <c r="C4158" s="9" t="s">
        <v>35</v>
      </c>
      <c r="D4158" s="8">
        <v>0.747</v>
      </c>
    </row>
    <row r="4159" spans="1:4">
      <c r="A4159" t="str">
        <f t="shared" si="71"/>
        <v>198Annual Variance</v>
      </c>
      <c r="B4159">
        <v>198</v>
      </c>
      <c r="C4159" s="9" t="s">
        <v>36</v>
      </c>
      <c r="D4159" s="8">
        <v>0.55900000000000005</v>
      </c>
    </row>
    <row r="4160" spans="1:4">
      <c r="A4160" t="str">
        <f t="shared" si="71"/>
        <v>198Information Ratio</v>
      </c>
      <c r="B4160">
        <v>198</v>
      </c>
      <c r="C4160" s="9" t="s">
        <v>37</v>
      </c>
      <c r="D4160" s="8">
        <v>0.66800000000000004</v>
      </c>
    </row>
    <row r="4161" spans="1:4">
      <c r="A4161" t="str">
        <f t="shared" si="71"/>
        <v>198Tracking Error</v>
      </c>
      <c r="B4161">
        <v>198</v>
      </c>
      <c r="C4161" s="9" t="s">
        <v>38</v>
      </c>
      <c r="D4161" s="8">
        <v>0.74299999999999999</v>
      </c>
    </row>
    <row r="4162" spans="1:4">
      <c r="A4162" t="str">
        <f t="shared" si="71"/>
        <v>198Treynor Ratio</v>
      </c>
      <c r="B4162">
        <v>198</v>
      </c>
      <c r="C4162" s="9" t="s">
        <v>39</v>
      </c>
      <c r="D4162" s="8">
        <v>0.439</v>
      </c>
    </row>
    <row r="4163" spans="1:4">
      <c r="A4163" t="str">
        <f t="shared" si="71"/>
        <v>198Total Fees</v>
      </c>
      <c r="B4163">
        <v>198</v>
      </c>
      <c r="C4163" s="9" t="s">
        <v>40</v>
      </c>
      <c r="D4163" s="8">
        <v>0</v>
      </c>
    </row>
    <row r="4164" spans="1:4">
      <c r="A4164" t="str">
        <f t="shared" si="71"/>
        <v>198Estimated Strategy Capacity</v>
      </c>
      <c r="B4164">
        <v>198</v>
      </c>
      <c r="C4164" s="9" t="s">
        <v>41</v>
      </c>
      <c r="D4164" s="8">
        <v>2900000</v>
      </c>
    </row>
    <row r="4165" spans="1:4">
      <c r="A4165" t="str">
        <f t="shared" si="71"/>
        <v>217PSR</v>
      </c>
      <c r="B4165">
        <v>217</v>
      </c>
      <c r="C4165" s="9" t="s">
        <v>27</v>
      </c>
      <c r="D4165" s="8">
        <v>0.27661000000000002</v>
      </c>
    </row>
    <row r="4166" spans="1:4">
      <c r="A4166" t="str">
        <f t="shared" si="71"/>
        <v>217Sharpe Ratio</v>
      </c>
      <c r="B4166">
        <v>217</v>
      </c>
      <c r="C4166" s="9" t="s">
        <v>1</v>
      </c>
      <c r="D4166" s="8">
        <v>0.44700000000000001</v>
      </c>
    </row>
    <row r="4167" spans="1:4">
      <c r="A4167" t="str">
        <f t="shared" si="71"/>
        <v>217Total Trades</v>
      </c>
      <c r="B4167">
        <v>217</v>
      </c>
      <c r="C4167" s="9" t="s">
        <v>28</v>
      </c>
      <c r="D4167" s="8">
        <v>318</v>
      </c>
    </row>
    <row r="4168" spans="1:4">
      <c r="A4168" t="str">
        <f t="shared" si="71"/>
        <v>217Average Win</v>
      </c>
      <c r="B4168">
        <v>217</v>
      </c>
      <c r="C4168" s="9" t="s">
        <v>25</v>
      </c>
      <c r="D4168" s="8">
        <v>1.46E-2</v>
      </c>
    </row>
    <row r="4169" spans="1:4">
      <c r="A4169" t="str">
        <f t="shared" si="71"/>
        <v>217Average Loss</v>
      </c>
      <c r="B4169">
        <v>217</v>
      </c>
      <c r="C4169" s="9" t="s">
        <v>29</v>
      </c>
      <c r="D4169" s="8">
        <v>-1.09E-2</v>
      </c>
    </row>
    <row r="4170" spans="1:4">
      <c r="A4170" t="str">
        <f t="shared" si="71"/>
        <v>217Compounding Annual Return</v>
      </c>
      <c r="B4170">
        <v>217</v>
      </c>
      <c r="C4170" s="9" t="s">
        <v>30</v>
      </c>
      <c r="D4170" s="8">
        <v>6.5659999999999996E-2</v>
      </c>
    </row>
    <row r="4171" spans="1:4">
      <c r="A4171" t="str">
        <f t="shared" si="71"/>
        <v>217Drawdown</v>
      </c>
      <c r="B4171">
        <v>217</v>
      </c>
      <c r="C4171" s="9" t="s">
        <v>8</v>
      </c>
      <c r="D4171" s="8">
        <v>6.0999999999999999E-2</v>
      </c>
    </row>
    <row r="4172" spans="1:4">
      <c r="A4172" t="str">
        <f t="shared" si="71"/>
        <v>217Expectancy</v>
      </c>
      <c r="B4172">
        <v>217</v>
      </c>
      <c r="C4172" s="9" t="s">
        <v>31</v>
      </c>
      <c r="D4172" s="8">
        <v>0.40500000000000003</v>
      </c>
    </row>
    <row r="4173" spans="1:4">
      <c r="A4173" t="str">
        <f t="shared" si="71"/>
        <v>217Net Profit</v>
      </c>
      <c r="B4173">
        <v>217</v>
      </c>
      <c r="C4173" s="9" t="s">
        <v>32</v>
      </c>
      <c r="D4173" s="8">
        <v>4.215E-2</v>
      </c>
    </row>
    <row r="4174" spans="1:4">
      <c r="A4174" t="str">
        <f t="shared" si="71"/>
        <v>217Loss Rate</v>
      </c>
      <c r="B4174">
        <v>217</v>
      </c>
      <c r="C4174" s="9" t="s">
        <v>33</v>
      </c>
      <c r="D4174" s="8">
        <v>0.4</v>
      </c>
    </row>
    <row r="4175" spans="1:4">
      <c r="A4175" t="str">
        <f t="shared" si="71"/>
        <v>217Win Rate</v>
      </c>
      <c r="B4175">
        <v>217</v>
      </c>
      <c r="C4175" s="9" t="s">
        <v>34</v>
      </c>
      <c r="D4175" s="8">
        <v>0.6</v>
      </c>
    </row>
    <row r="4176" spans="1:4">
      <c r="A4176" t="str">
        <f t="shared" si="71"/>
        <v>217Profit-Loss Ratio</v>
      </c>
      <c r="B4176">
        <v>217</v>
      </c>
      <c r="C4176" s="9" t="s">
        <v>26</v>
      </c>
      <c r="D4176" s="8">
        <v>1.34</v>
      </c>
    </row>
    <row r="4177" spans="1:4">
      <c r="A4177" t="str">
        <f t="shared" si="71"/>
        <v>217Alpha</v>
      </c>
      <c r="B4177">
        <v>217</v>
      </c>
      <c r="C4177" s="9" t="s">
        <v>23</v>
      </c>
      <c r="D4177" s="8">
        <v>0.02</v>
      </c>
    </row>
    <row r="4178" spans="1:4">
      <c r="A4178" t="str">
        <f t="shared" si="71"/>
        <v>217Beta</v>
      </c>
      <c r="B4178">
        <v>217</v>
      </c>
      <c r="C4178" s="9" t="s">
        <v>24</v>
      </c>
      <c r="D4178" s="8">
        <v>0.55800000000000005</v>
      </c>
    </row>
    <row r="4179" spans="1:4">
      <c r="A4179" t="str">
        <f t="shared" si="71"/>
        <v>217Annual Standard Deviation</v>
      </c>
      <c r="B4179">
        <v>217</v>
      </c>
      <c r="C4179" s="9" t="s">
        <v>35</v>
      </c>
      <c r="D4179" s="8">
        <v>0.11600000000000001</v>
      </c>
    </row>
    <row r="4180" spans="1:4">
      <c r="A4180" t="str">
        <f t="shared" si="71"/>
        <v>217Annual Variance</v>
      </c>
      <c r="B4180">
        <v>217</v>
      </c>
      <c r="C4180" s="9" t="s">
        <v>36</v>
      </c>
      <c r="D4180" s="8">
        <v>1.2999999999999999E-2</v>
      </c>
    </row>
    <row r="4181" spans="1:4">
      <c r="A4181" t="str">
        <f t="shared" si="71"/>
        <v>217Information Ratio</v>
      </c>
      <c r="B4181">
        <v>217</v>
      </c>
      <c r="C4181" s="9" t="s">
        <v>37</v>
      </c>
      <c r="D4181" s="8">
        <v>-4.5999999999999999E-2</v>
      </c>
    </row>
    <row r="4182" spans="1:4">
      <c r="A4182" t="str">
        <f t="shared" si="71"/>
        <v>217Tracking Error</v>
      </c>
      <c r="B4182">
        <v>217</v>
      </c>
      <c r="C4182" s="9" t="s">
        <v>38</v>
      </c>
      <c r="D4182" s="8">
        <v>0.114</v>
      </c>
    </row>
    <row r="4183" spans="1:4">
      <c r="A4183" t="str">
        <f t="shared" si="71"/>
        <v>217Treynor Ratio</v>
      </c>
      <c r="B4183">
        <v>217</v>
      </c>
      <c r="C4183" s="9" t="s">
        <v>39</v>
      </c>
      <c r="D4183" s="8">
        <v>9.2999999999999999E-2</v>
      </c>
    </row>
    <row r="4184" spans="1:4">
      <c r="A4184" t="str">
        <f t="shared" si="71"/>
        <v>217Total Fees</v>
      </c>
      <c r="B4184">
        <v>217</v>
      </c>
      <c r="C4184" s="9" t="s">
        <v>40</v>
      </c>
      <c r="D4184" s="8">
        <v>0</v>
      </c>
    </row>
    <row r="4185" spans="1:4">
      <c r="A4185" t="str">
        <f t="shared" si="71"/>
        <v>217Estimated Strategy Capacity</v>
      </c>
      <c r="B4185">
        <v>217</v>
      </c>
      <c r="C4185" s="9" t="s">
        <v>41</v>
      </c>
      <c r="D4185" s="8">
        <v>20000000</v>
      </c>
    </row>
    <row r="4186" spans="1:4">
      <c r="A4186" t="str">
        <f t="shared" si="71"/>
        <v>218PSR</v>
      </c>
      <c r="B4186">
        <v>218</v>
      </c>
      <c r="C4186" s="9" t="s">
        <v>27</v>
      </c>
      <c r="D4186" s="8">
        <v>0.36575999999999997</v>
      </c>
    </row>
    <row r="4187" spans="1:4">
      <c r="A4187" t="str">
        <f t="shared" si="71"/>
        <v>218Sharpe Ratio</v>
      </c>
      <c r="B4187">
        <v>218</v>
      </c>
      <c r="C4187" s="9" t="s">
        <v>1</v>
      </c>
      <c r="D4187" s="8">
        <v>1.079</v>
      </c>
    </row>
    <row r="4188" spans="1:4">
      <c r="A4188" t="str">
        <f t="shared" si="71"/>
        <v>218Total Trades</v>
      </c>
      <c r="B4188">
        <v>218</v>
      </c>
      <c r="C4188" s="9" t="s">
        <v>28</v>
      </c>
      <c r="D4188" s="8">
        <v>317</v>
      </c>
    </row>
    <row r="4189" spans="1:4">
      <c r="A4189" t="str">
        <f t="shared" si="71"/>
        <v>218Average Win</v>
      </c>
      <c r="B4189">
        <v>218</v>
      </c>
      <c r="C4189" s="9" t="s">
        <v>25</v>
      </c>
      <c r="D4189" s="8">
        <v>0.11269999999999999</v>
      </c>
    </row>
    <row r="4190" spans="1:4">
      <c r="A4190" t="str">
        <f t="shared" si="71"/>
        <v>218Average Loss</v>
      </c>
      <c r="B4190">
        <v>218</v>
      </c>
      <c r="C4190" s="9" t="s">
        <v>29</v>
      </c>
      <c r="D4190" s="8">
        <v>-8.3400000000000002E-2</v>
      </c>
    </row>
    <row r="4191" spans="1:4">
      <c r="A4191" t="str">
        <f t="shared" ref="A4191:A4254" si="72">B4191&amp;C4191</f>
        <v>218Compounding Annual Return</v>
      </c>
      <c r="B4191">
        <v>218</v>
      </c>
      <c r="C4191" s="9" t="s">
        <v>30</v>
      </c>
      <c r="D4191" s="8">
        <v>0.49086000000000002</v>
      </c>
    </row>
    <row r="4192" spans="1:4">
      <c r="A4192" t="str">
        <f t="shared" si="72"/>
        <v>218Drawdown</v>
      </c>
      <c r="B4192">
        <v>218</v>
      </c>
      <c r="C4192" s="9" t="s">
        <v>8</v>
      </c>
      <c r="D4192" s="8">
        <v>0.46100000000000002</v>
      </c>
    </row>
    <row r="4193" spans="1:4">
      <c r="A4193" t="str">
        <f t="shared" si="72"/>
        <v>218Expectancy</v>
      </c>
      <c r="B4193">
        <v>218</v>
      </c>
      <c r="C4193" s="9" t="s">
        <v>31</v>
      </c>
      <c r="D4193" s="8">
        <v>0.41099999999999998</v>
      </c>
    </row>
    <row r="4194" spans="1:4">
      <c r="A4194" t="str">
        <f t="shared" si="72"/>
        <v>218Net Profit</v>
      </c>
      <c r="B4194">
        <v>218</v>
      </c>
      <c r="C4194" s="9" t="s">
        <v>32</v>
      </c>
      <c r="D4194" s="8">
        <v>0.29597000000000001</v>
      </c>
    </row>
    <row r="4195" spans="1:4">
      <c r="A4195" t="str">
        <f t="shared" si="72"/>
        <v>218Loss Rate</v>
      </c>
      <c r="B4195">
        <v>218</v>
      </c>
      <c r="C4195" s="9" t="s">
        <v>33</v>
      </c>
      <c r="D4195" s="8">
        <v>0.4</v>
      </c>
    </row>
    <row r="4196" spans="1:4">
      <c r="A4196" t="str">
        <f t="shared" si="72"/>
        <v>218Win Rate</v>
      </c>
      <c r="B4196">
        <v>218</v>
      </c>
      <c r="C4196" s="9" t="s">
        <v>34</v>
      </c>
      <c r="D4196" s="8">
        <v>0.6</v>
      </c>
    </row>
    <row r="4197" spans="1:4">
      <c r="A4197" t="str">
        <f t="shared" si="72"/>
        <v>218Profit-Loss Ratio</v>
      </c>
      <c r="B4197">
        <v>218</v>
      </c>
      <c r="C4197" s="9" t="s">
        <v>26</v>
      </c>
      <c r="D4197" s="8">
        <v>1.35</v>
      </c>
    </row>
    <row r="4198" spans="1:4">
      <c r="A4198" t="str">
        <f t="shared" si="72"/>
        <v>218Alpha</v>
      </c>
      <c r="B4198">
        <v>218</v>
      </c>
      <c r="C4198" s="9" t="s">
        <v>23</v>
      </c>
      <c r="D4198" s="8">
        <v>0.93</v>
      </c>
    </row>
    <row r="4199" spans="1:4">
      <c r="A4199" t="str">
        <f t="shared" si="72"/>
        <v>218Beta</v>
      </c>
      <c r="B4199">
        <v>218</v>
      </c>
      <c r="C4199" s="9" t="s">
        <v>24</v>
      </c>
      <c r="D4199" s="8">
        <v>6.085</v>
      </c>
    </row>
    <row r="4200" spans="1:4">
      <c r="A4200" t="str">
        <f t="shared" si="72"/>
        <v>218Annual Standard Deviation</v>
      </c>
      <c r="B4200">
        <v>218</v>
      </c>
      <c r="C4200" s="9" t="s">
        <v>35</v>
      </c>
      <c r="D4200" s="8">
        <v>1.1850000000000001</v>
      </c>
    </row>
    <row r="4201" spans="1:4">
      <c r="A4201" t="str">
        <f t="shared" si="72"/>
        <v>218Annual Variance</v>
      </c>
      <c r="B4201">
        <v>218</v>
      </c>
      <c r="C4201" s="9" t="s">
        <v>36</v>
      </c>
      <c r="D4201" s="8">
        <v>1.4039999999999999</v>
      </c>
    </row>
    <row r="4202" spans="1:4">
      <c r="A4202" t="str">
        <f t="shared" si="72"/>
        <v>218Information Ratio</v>
      </c>
      <c r="B4202">
        <v>218</v>
      </c>
      <c r="C4202" s="9" t="s">
        <v>37</v>
      </c>
      <c r="D4202" s="8">
        <v>1.0489999999999999</v>
      </c>
    </row>
    <row r="4203" spans="1:4">
      <c r="A4203" t="str">
        <f t="shared" si="72"/>
        <v>218Tracking Error</v>
      </c>
      <c r="B4203">
        <v>218</v>
      </c>
      <c r="C4203" s="9" t="s">
        <v>38</v>
      </c>
      <c r="D4203" s="8">
        <v>1.1639999999999999</v>
      </c>
    </row>
    <row r="4204" spans="1:4">
      <c r="A4204" t="str">
        <f t="shared" si="72"/>
        <v>218Treynor Ratio</v>
      </c>
      <c r="B4204">
        <v>218</v>
      </c>
      <c r="C4204" s="9" t="s">
        <v>39</v>
      </c>
      <c r="D4204" s="8">
        <v>0.21</v>
      </c>
    </row>
    <row r="4205" spans="1:4">
      <c r="A4205" t="str">
        <f t="shared" si="72"/>
        <v>218Total Fees</v>
      </c>
      <c r="B4205">
        <v>218</v>
      </c>
      <c r="C4205" s="9" t="s">
        <v>40</v>
      </c>
      <c r="D4205" s="8">
        <v>0</v>
      </c>
    </row>
    <row r="4206" spans="1:4">
      <c r="A4206" t="str">
        <f t="shared" si="72"/>
        <v>218Estimated Strategy Capacity</v>
      </c>
      <c r="B4206">
        <v>218</v>
      </c>
      <c r="C4206" s="9" t="s">
        <v>41</v>
      </c>
      <c r="D4206" s="8">
        <v>3200000</v>
      </c>
    </row>
    <row r="4207" spans="1:4">
      <c r="A4207" t="str">
        <f t="shared" si="72"/>
        <v>219PSR</v>
      </c>
      <c r="B4207">
        <v>219</v>
      </c>
      <c r="C4207" s="9" t="s">
        <v>27</v>
      </c>
      <c r="D4207" s="8">
        <v>0.25441000000000003</v>
      </c>
    </row>
    <row r="4208" spans="1:4">
      <c r="A4208" t="str">
        <f t="shared" si="72"/>
        <v>219Sharpe Ratio</v>
      </c>
      <c r="B4208">
        <v>219</v>
      </c>
      <c r="C4208" s="9" t="s">
        <v>1</v>
      </c>
      <c r="D4208" s="8">
        <v>0.45800000000000002</v>
      </c>
    </row>
    <row r="4209" spans="1:4">
      <c r="A4209" t="str">
        <f t="shared" si="72"/>
        <v>219Total Trades</v>
      </c>
      <c r="B4209">
        <v>219</v>
      </c>
      <c r="C4209" s="9" t="s">
        <v>28</v>
      </c>
      <c r="D4209" s="8">
        <v>284</v>
      </c>
    </row>
    <row r="4210" spans="1:4">
      <c r="A4210" t="str">
        <f t="shared" si="72"/>
        <v>219Average Win</v>
      </c>
      <c r="B4210">
        <v>219</v>
      </c>
      <c r="C4210" s="9" t="s">
        <v>25</v>
      </c>
      <c r="D4210" s="8">
        <v>0.27229999999999999</v>
      </c>
    </row>
    <row r="4211" spans="1:4">
      <c r="A4211" t="str">
        <f t="shared" si="72"/>
        <v>219Average Loss</v>
      </c>
      <c r="B4211">
        <v>219</v>
      </c>
      <c r="C4211" s="9" t="s">
        <v>29</v>
      </c>
      <c r="D4211" s="8">
        <v>-9.0200000000000002E-2</v>
      </c>
    </row>
    <row r="4212" spans="1:4">
      <c r="A4212" t="str">
        <f t="shared" si="72"/>
        <v>219Compounding Annual Return</v>
      </c>
      <c r="B4212">
        <v>219</v>
      </c>
      <c r="C4212" s="9" t="s">
        <v>30</v>
      </c>
      <c r="D4212" s="8">
        <v>-0.77278999999999998</v>
      </c>
    </row>
    <row r="4213" spans="1:4">
      <c r="A4213" t="str">
        <f t="shared" si="72"/>
        <v>219Drawdown</v>
      </c>
      <c r="B4213">
        <v>219</v>
      </c>
      <c r="C4213" s="9" t="s">
        <v>8</v>
      </c>
      <c r="D4213" s="8">
        <v>0.76500000000000001</v>
      </c>
    </row>
    <row r="4214" spans="1:4">
      <c r="A4214" t="str">
        <f t="shared" si="72"/>
        <v>219Expectancy</v>
      </c>
      <c r="B4214">
        <v>219</v>
      </c>
      <c r="C4214" s="9" t="s">
        <v>31</v>
      </c>
      <c r="D4214" s="8">
        <v>-0.23499999999999999</v>
      </c>
    </row>
    <row r="4215" spans="1:4">
      <c r="A4215" t="str">
        <f t="shared" si="72"/>
        <v>219Net Profit</v>
      </c>
      <c r="B4215">
        <v>219</v>
      </c>
      <c r="C4215" s="9" t="s">
        <v>32</v>
      </c>
      <c r="D4215" s="8">
        <v>-0.61789000000000005</v>
      </c>
    </row>
    <row r="4216" spans="1:4">
      <c r="A4216" t="str">
        <f t="shared" si="72"/>
        <v>219Loss Rate</v>
      </c>
      <c r="B4216">
        <v>219</v>
      </c>
      <c r="C4216" s="9" t="s">
        <v>33</v>
      </c>
      <c r="D4216" s="8">
        <v>0.81</v>
      </c>
    </row>
    <row r="4217" spans="1:4">
      <c r="A4217" t="str">
        <f t="shared" si="72"/>
        <v>219Win Rate</v>
      </c>
      <c r="B4217">
        <v>219</v>
      </c>
      <c r="C4217" s="9" t="s">
        <v>34</v>
      </c>
      <c r="D4217" s="8">
        <v>0.19</v>
      </c>
    </row>
    <row r="4218" spans="1:4">
      <c r="A4218" t="str">
        <f t="shared" si="72"/>
        <v>219Profit-Loss Ratio</v>
      </c>
      <c r="B4218">
        <v>219</v>
      </c>
      <c r="C4218" s="9" t="s">
        <v>26</v>
      </c>
      <c r="D4218" s="8">
        <v>3.02</v>
      </c>
    </row>
    <row r="4219" spans="1:4">
      <c r="A4219" t="str">
        <f t="shared" si="72"/>
        <v>219Alpha</v>
      </c>
      <c r="B4219">
        <v>219</v>
      </c>
      <c r="C4219" s="9" t="s">
        <v>23</v>
      </c>
      <c r="D4219" s="8">
        <v>0.11</v>
      </c>
    </row>
    <row r="4220" spans="1:4">
      <c r="A4220" t="str">
        <f t="shared" si="72"/>
        <v>219Beta</v>
      </c>
      <c r="B4220">
        <v>219</v>
      </c>
      <c r="C4220" s="9" t="s">
        <v>24</v>
      </c>
      <c r="D4220" s="8">
        <v>13.24</v>
      </c>
    </row>
    <row r="4221" spans="1:4">
      <c r="A4221" t="str">
        <f t="shared" si="72"/>
        <v>219Annual Standard Deviation</v>
      </c>
      <c r="B4221">
        <v>219</v>
      </c>
      <c r="C4221" s="9" t="s">
        <v>35</v>
      </c>
      <c r="D4221" s="8">
        <v>1.893</v>
      </c>
    </row>
    <row r="4222" spans="1:4">
      <c r="A4222" t="str">
        <f t="shared" si="72"/>
        <v>219Annual Variance</v>
      </c>
      <c r="B4222">
        <v>219</v>
      </c>
      <c r="C4222" s="9" t="s">
        <v>36</v>
      </c>
      <c r="D4222" s="8">
        <v>3.5830000000000002</v>
      </c>
    </row>
    <row r="4223" spans="1:4">
      <c r="A4223" t="str">
        <f t="shared" si="72"/>
        <v>219Information Ratio</v>
      </c>
      <c r="B4223">
        <v>219</v>
      </c>
      <c r="C4223" s="9" t="s">
        <v>37</v>
      </c>
      <c r="D4223" s="8">
        <v>0.435</v>
      </c>
    </row>
    <row r="4224" spans="1:4">
      <c r="A4224" t="str">
        <f t="shared" si="72"/>
        <v>219Tracking Error</v>
      </c>
      <c r="B4224">
        <v>219</v>
      </c>
      <c r="C4224" s="9" t="s">
        <v>38</v>
      </c>
      <c r="D4224" s="8">
        <v>1.863</v>
      </c>
    </row>
    <row r="4225" spans="1:4">
      <c r="A4225" t="str">
        <f t="shared" si="72"/>
        <v>219Treynor Ratio</v>
      </c>
      <c r="B4225">
        <v>219</v>
      </c>
      <c r="C4225" s="9" t="s">
        <v>39</v>
      </c>
      <c r="D4225" s="8">
        <v>6.5000000000000002E-2</v>
      </c>
    </row>
    <row r="4226" spans="1:4">
      <c r="A4226" t="str">
        <f t="shared" si="72"/>
        <v>219Total Fees</v>
      </c>
      <c r="B4226">
        <v>219</v>
      </c>
      <c r="C4226" s="9" t="s">
        <v>40</v>
      </c>
      <c r="D4226" s="8">
        <v>0</v>
      </c>
    </row>
    <row r="4227" spans="1:4">
      <c r="A4227" t="str">
        <f t="shared" si="72"/>
        <v>219Estimated Strategy Capacity</v>
      </c>
      <c r="B4227">
        <v>219</v>
      </c>
      <c r="C4227" s="9" t="s">
        <v>41</v>
      </c>
      <c r="D4227" s="8">
        <v>610000</v>
      </c>
    </row>
    <row r="4228" spans="1:4">
      <c r="A4228" t="str">
        <f t="shared" si="72"/>
        <v>220PSR</v>
      </c>
      <c r="B4228">
        <v>220</v>
      </c>
      <c r="C4228" s="9" t="s">
        <v>27</v>
      </c>
      <c r="D4228" s="8">
        <v>5.101E-2</v>
      </c>
    </row>
    <row r="4229" spans="1:4">
      <c r="A4229" t="str">
        <f t="shared" si="72"/>
        <v>220Sharpe Ratio</v>
      </c>
      <c r="B4229">
        <v>220</v>
      </c>
      <c r="C4229" s="9" t="s">
        <v>1</v>
      </c>
      <c r="D4229" s="8">
        <v>-0.69699999999999995</v>
      </c>
    </row>
    <row r="4230" spans="1:4">
      <c r="A4230" t="str">
        <f t="shared" si="72"/>
        <v>220Total Trades</v>
      </c>
      <c r="B4230">
        <v>220</v>
      </c>
      <c r="C4230" s="9" t="s">
        <v>28</v>
      </c>
      <c r="D4230" s="8">
        <v>459</v>
      </c>
    </row>
    <row r="4231" spans="1:4">
      <c r="A4231" t="str">
        <f t="shared" si="72"/>
        <v>220Average Win</v>
      </c>
      <c r="B4231">
        <v>220</v>
      </c>
      <c r="C4231" s="9" t="s">
        <v>25</v>
      </c>
      <c r="D4231" s="8">
        <v>7.3000000000000001E-3</v>
      </c>
    </row>
    <row r="4232" spans="1:4">
      <c r="A4232" t="str">
        <f t="shared" si="72"/>
        <v>220Average Loss</v>
      </c>
      <c r="B4232">
        <v>220</v>
      </c>
      <c r="C4232" s="9" t="s">
        <v>29</v>
      </c>
      <c r="D4232" s="8">
        <v>-1.47E-2</v>
      </c>
    </row>
    <row r="4233" spans="1:4">
      <c r="A4233" t="str">
        <f t="shared" si="72"/>
        <v>220Compounding Annual Return</v>
      </c>
      <c r="B4233">
        <v>220</v>
      </c>
      <c r="C4233" s="9" t="s">
        <v>30</v>
      </c>
      <c r="D4233" s="8">
        <v>-9.9080000000000001E-2</v>
      </c>
    </row>
    <row r="4234" spans="1:4">
      <c r="A4234" t="str">
        <f t="shared" si="72"/>
        <v>220Drawdown</v>
      </c>
      <c r="B4234">
        <v>220</v>
      </c>
      <c r="C4234" s="9" t="s">
        <v>8</v>
      </c>
      <c r="D4234" s="8">
        <v>0.13800000000000001</v>
      </c>
    </row>
    <row r="4235" spans="1:4">
      <c r="A4235" t="str">
        <f t="shared" si="72"/>
        <v>220Expectancy</v>
      </c>
      <c r="B4235">
        <v>220</v>
      </c>
      <c r="C4235" s="9" t="s">
        <v>31</v>
      </c>
      <c r="D4235" s="8">
        <v>-0.3</v>
      </c>
    </row>
    <row r="4236" spans="1:4">
      <c r="A4236" t="str">
        <f t="shared" si="72"/>
        <v>220Net Profit</v>
      </c>
      <c r="B4236">
        <v>220</v>
      </c>
      <c r="C4236" s="9" t="s">
        <v>32</v>
      </c>
      <c r="D4236" s="8">
        <v>-6.5490000000000007E-2</v>
      </c>
    </row>
    <row r="4237" spans="1:4">
      <c r="A4237" t="str">
        <f t="shared" si="72"/>
        <v>220Loss Rate</v>
      </c>
      <c r="B4237">
        <v>220</v>
      </c>
      <c r="C4237" s="9" t="s">
        <v>33</v>
      </c>
      <c r="D4237" s="8">
        <v>0.53</v>
      </c>
    </row>
    <row r="4238" spans="1:4">
      <c r="A4238" t="str">
        <f t="shared" si="72"/>
        <v>220Win Rate</v>
      </c>
      <c r="B4238">
        <v>220</v>
      </c>
      <c r="C4238" s="9" t="s">
        <v>34</v>
      </c>
      <c r="D4238" s="8">
        <v>0.47</v>
      </c>
    </row>
    <row r="4239" spans="1:4">
      <c r="A4239" t="str">
        <f t="shared" si="72"/>
        <v>220Profit-Loss Ratio</v>
      </c>
      <c r="B4239">
        <v>220</v>
      </c>
      <c r="C4239" s="9" t="s">
        <v>26</v>
      </c>
      <c r="D4239" s="8">
        <v>0.5</v>
      </c>
    </row>
    <row r="4240" spans="1:4">
      <c r="A4240" t="str">
        <f t="shared" si="72"/>
        <v>220Alpha</v>
      </c>
      <c r="B4240">
        <v>220</v>
      </c>
      <c r="C4240" s="9" t="s">
        <v>23</v>
      </c>
      <c r="D4240" s="8">
        <v>-8.6999999999999994E-2</v>
      </c>
    </row>
    <row r="4241" spans="1:4">
      <c r="A4241" t="str">
        <f t="shared" si="72"/>
        <v>220Beta</v>
      </c>
      <c r="B4241">
        <v>220</v>
      </c>
      <c r="C4241" s="9" t="s">
        <v>24</v>
      </c>
      <c r="D4241" s="8">
        <v>0.376</v>
      </c>
    </row>
    <row r="4242" spans="1:4">
      <c r="A4242" t="str">
        <f t="shared" si="72"/>
        <v>220Annual Standard Deviation</v>
      </c>
      <c r="B4242">
        <v>220</v>
      </c>
      <c r="C4242" s="9" t="s">
        <v>35</v>
      </c>
      <c r="D4242" s="8">
        <v>9.4E-2</v>
      </c>
    </row>
    <row r="4243" spans="1:4">
      <c r="A4243" t="str">
        <f t="shared" si="72"/>
        <v>220Annual Variance</v>
      </c>
      <c r="B4243">
        <v>220</v>
      </c>
      <c r="C4243" s="9" t="s">
        <v>36</v>
      </c>
      <c r="D4243" s="8">
        <v>8.9999999999999993E-3</v>
      </c>
    </row>
    <row r="4244" spans="1:4">
      <c r="A4244" t="str">
        <f t="shared" si="72"/>
        <v>220Information Ratio</v>
      </c>
      <c r="B4244">
        <v>220</v>
      </c>
      <c r="C4244" s="9" t="s">
        <v>37</v>
      </c>
      <c r="D4244" s="8">
        <v>-1.2290000000000001</v>
      </c>
    </row>
    <row r="4245" spans="1:4">
      <c r="A4245" t="str">
        <f t="shared" si="72"/>
        <v>220Tracking Error</v>
      </c>
      <c r="B4245">
        <v>220</v>
      </c>
      <c r="C4245" s="9" t="s">
        <v>38</v>
      </c>
      <c r="D4245" s="8">
        <v>0.1</v>
      </c>
    </row>
    <row r="4246" spans="1:4">
      <c r="A4246" t="str">
        <f t="shared" si="72"/>
        <v>220Treynor Ratio</v>
      </c>
      <c r="B4246">
        <v>220</v>
      </c>
      <c r="C4246" s="9" t="s">
        <v>39</v>
      </c>
      <c r="D4246" s="8">
        <v>-0.17399999999999999</v>
      </c>
    </row>
    <row r="4247" spans="1:4">
      <c r="A4247" t="str">
        <f t="shared" si="72"/>
        <v>220Total Fees</v>
      </c>
      <c r="B4247">
        <v>220</v>
      </c>
      <c r="C4247" s="9" t="s">
        <v>40</v>
      </c>
      <c r="D4247" s="8">
        <v>0</v>
      </c>
    </row>
    <row r="4248" spans="1:4">
      <c r="A4248" t="str">
        <f t="shared" si="72"/>
        <v>220Estimated Strategy Capacity</v>
      </c>
      <c r="B4248">
        <v>220</v>
      </c>
      <c r="C4248" s="9" t="s">
        <v>41</v>
      </c>
      <c r="D4248" s="8">
        <v>120000000</v>
      </c>
    </row>
    <row r="4249" spans="1:4">
      <c r="A4249" t="str">
        <f t="shared" si="72"/>
        <v>221PSR</v>
      </c>
      <c r="B4249">
        <v>221</v>
      </c>
      <c r="C4249" s="9" t="s">
        <v>27</v>
      </c>
      <c r="D4249" s="8">
        <v>1.8460000000000001E-2</v>
      </c>
    </row>
    <row r="4250" spans="1:4">
      <c r="A4250" t="str">
        <f t="shared" si="72"/>
        <v>221Sharpe Ratio</v>
      </c>
      <c r="B4250">
        <v>221</v>
      </c>
      <c r="C4250" s="9" t="s">
        <v>1</v>
      </c>
      <c r="D4250" s="8">
        <v>-0.65300000000000002</v>
      </c>
    </row>
    <row r="4251" spans="1:4">
      <c r="A4251" t="str">
        <f t="shared" si="72"/>
        <v>221Total Trades</v>
      </c>
      <c r="B4251">
        <v>221</v>
      </c>
      <c r="C4251" s="9" t="s">
        <v>28</v>
      </c>
      <c r="D4251" s="8">
        <v>451</v>
      </c>
    </row>
    <row r="4252" spans="1:4">
      <c r="A4252" t="str">
        <f t="shared" si="72"/>
        <v>221Average Win</v>
      </c>
      <c r="B4252">
        <v>221</v>
      </c>
      <c r="C4252" s="9" t="s">
        <v>25</v>
      </c>
      <c r="D4252" s="8">
        <v>7.6200000000000004E-2</v>
      </c>
    </row>
    <row r="4253" spans="1:4">
      <c r="A4253" t="str">
        <f t="shared" si="72"/>
        <v>221Average Loss</v>
      </c>
      <c r="B4253">
        <v>221</v>
      </c>
      <c r="C4253" s="9" t="s">
        <v>29</v>
      </c>
      <c r="D4253" s="8">
        <v>-6.8599999999999994E-2</v>
      </c>
    </row>
    <row r="4254" spans="1:4">
      <c r="A4254" t="str">
        <f t="shared" si="72"/>
        <v>221Compounding Annual Return</v>
      </c>
      <c r="B4254">
        <v>221</v>
      </c>
      <c r="C4254" s="9" t="s">
        <v>30</v>
      </c>
      <c r="D4254" s="8">
        <v>-0.95057000000000003</v>
      </c>
    </row>
    <row r="4255" spans="1:4">
      <c r="A4255" t="str">
        <f t="shared" ref="A4255:A4318" si="73">B4255&amp;C4255</f>
        <v>221Drawdown</v>
      </c>
      <c r="B4255">
        <v>221</v>
      </c>
      <c r="C4255" s="9" t="s">
        <v>8</v>
      </c>
      <c r="D4255" s="8">
        <v>0.92600000000000005</v>
      </c>
    </row>
    <row r="4256" spans="1:4">
      <c r="A4256" t="str">
        <f t="shared" si="73"/>
        <v>221Expectancy</v>
      </c>
      <c r="B4256">
        <v>221</v>
      </c>
      <c r="C4256" s="9" t="s">
        <v>31</v>
      </c>
      <c r="D4256" s="8">
        <v>-0.70699999999999996</v>
      </c>
    </row>
    <row r="4257" spans="1:4">
      <c r="A4257" t="str">
        <f t="shared" si="73"/>
        <v>221Net Profit</v>
      </c>
      <c r="B4257">
        <v>221</v>
      </c>
      <c r="C4257" s="9" t="s">
        <v>32</v>
      </c>
      <c r="D4257" s="8">
        <v>-0.85804000000000002</v>
      </c>
    </row>
    <row r="4258" spans="1:4">
      <c r="A4258" t="str">
        <f t="shared" si="73"/>
        <v>221Loss Rate</v>
      </c>
      <c r="B4258">
        <v>221</v>
      </c>
      <c r="C4258" s="9" t="s">
        <v>33</v>
      </c>
      <c r="D4258" s="8">
        <v>0.86</v>
      </c>
    </row>
    <row r="4259" spans="1:4">
      <c r="A4259" t="str">
        <f t="shared" si="73"/>
        <v>221Win Rate</v>
      </c>
      <c r="B4259">
        <v>221</v>
      </c>
      <c r="C4259" s="9" t="s">
        <v>34</v>
      </c>
      <c r="D4259" s="8">
        <v>0.14000000000000001</v>
      </c>
    </row>
    <row r="4260" spans="1:4">
      <c r="A4260" t="str">
        <f t="shared" si="73"/>
        <v>221Profit-Loss Ratio</v>
      </c>
      <c r="B4260">
        <v>221</v>
      </c>
      <c r="C4260" s="9" t="s">
        <v>26</v>
      </c>
      <c r="D4260" s="8">
        <v>1.1100000000000001</v>
      </c>
    </row>
    <row r="4261" spans="1:4">
      <c r="A4261" t="str">
        <f t="shared" si="73"/>
        <v>221Alpha</v>
      </c>
      <c r="B4261">
        <v>221</v>
      </c>
      <c r="C4261" s="9" t="s">
        <v>23</v>
      </c>
      <c r="D4261" s="8">
        <v>-0.99099999999999999</v>
      </c>
    </row>
    <row r="4262" spans="1:4">
      <c r="A4262" t="str">
        <f t="shared" si="73"/>
        <v>221Beta</v>
      </c>
      <c r="B4262">
        <v>221</v>
      </c>
      <c r="C4262" s="9" t="s">
        <v>24</v>
      </c>
      <c r="D4262" s="8">
        <v>4.2370000000000001</v>
      </c>
    </row>
    <row r="4263" spans="1:4">
      <c r="A4263" t="str">
        <f t="shared" si="73"/>
        <v>221Annual Standard Deviation</v>
      </c>
      <c r="B4263">
        <v>221</v>
      </c>
      <c r="C4263" s="9" t="s">
        <v>35</v>
      </c>
      <c r="D4263" s="8">
        <v>1.1459999999999999</v>
      </c>
    </row>
    <row r="4264" spans="1:4">
      <c r="A4264" t="str">
        <f t="shared" si="73"/>
        <v>221Annual Variance</v>
      </c>
      <c r="B4264">
        <v>221</v>
      </c>
      <c r="C4264" s="9" t="s">
        <v>36</v>
      </c>
      <c r="D4264" s="8">
        <v>1.3129999999999999</v>
      </c>
    </row>
    <row r="4265" spans="1:4">
      <c r="A4265" t="str">
        <f t="shared" si="73"/>
        <v>221Information Ratio</v>
      </c>
      <c r="B4265">
        <v>221</v>
      </c>
      <c r="C4265" s="9" t="s">
        <v>37</v>
      </c>
      <c r="D4265" s="8">
        <v>-0.71199999999999997</v>
      </c>
    </row>
    <row r="4266" spans="1:4">
      <c r="A4266" t="str">
        <f t="shared" si="73"/>
        <v>221Tracking Error</v>
      </c>
      <c r="B4266">
        <v>221</v>
      </c>
      <c r="C4266" s="9" t="s">
        <v>38</v>
      </c>
      <c r="D4266" s="8">
        <v>1.131</v>
      </c>
    </row>
    <row r="4267" spans="1:4">
      <c r="A4267" t="str">
        <f t="shared" si="73"/>
        <v>221Treynor Ratio</v>
      </c>
      <c r="B4267">
        <v>221</v>
      </c>
      <c r="C4267" s="9" t="s">
        <v>39</v>
      </c>
      <c r="D4267" s="8">
        <v>-0.17699999999999999</v>
      </c>
    </row>
    <row r="4268" spans="1:4">
      <c r="A4268" t="str">
        <f t="shared" si="73"/>
        <v>221Total Fees</v>
      </c>
      <c r="B4268">
        <v>221</v>
      </c>
      <c r="C4268" s="9" t="s">
        <v>40</v>
      </c>
      <c r="D4268" s="8">
        <v>0</v>
      </c>
    </row>
    <row r="4269" spans="1:4">
      <c r="A4269" t="str">
        <f t="shared" si="73"/>
        <v>221Estimated Strategy Capacity</v>
      </c>
      <c r="B4269">
        <v>221</v>
      </c>
      <c r="C4269" s="9" t="s">
        <v>41</v>
      </c>
      <c r="D4269" s="8">
        <v>2900000</v>
      </c>
    </row>
    <row r="4270" spans="1:4">
      <c r="A4270" t="str">
        <f t="shared" si="73"/>
        <v>222PSR</v>
      </c>
      <c r="B4270">
        <v>222</v>
      </c>
      <c r="C4270" s="9" t="s">
        <v>27</v>
      </c>
      <c r="D4270" s="8">
        <v>2.0709999999999999E-2</v>
      </c>
    </row>
    <row r="4271" spans="1:4">
      <c r="A4271" t="str">
        <f t="shared" si="73"/>
        <v>222Sharpe Ratio</v>
      </c>
      <c r="B4271">
        <v>222</v>
      </c>
      <c r="C4271" s="9" t="s">
        <v>1</v>
      </c>
      <c r="D4271" s="8">
        <v>-0.58299999999999996</v>
      </c>
    </row>
    <row r="4272" spans="1:4">
      <c r="A4272" t="str">
        <f t="shared" si="73"/>
        <v>222Total Trades</v>
      </c>
      <c r="B4272">
        <v>222</v>
      </c>
      <c r="C4272" s="9" t="s">
        <v>28</v>
      </c>
      <c r="D4272" s="8">
        <v>411</v>
      </c>
    </row>
    <row r="4273" spans="1:4">
      <c r="A4273" t="str">
        <f t="shared" si="73"/>
        <v>222Average Win</v>
      </c>
      <c r="B4273">
        <v>222</v>
      </c>
      <c r="C4273" s="9" t="s">
        <v>25</v>
      </c>
      <c r="D4273" s="8">
        <v>0.14269999999999999</v>
      </c>
    </row>
    <row r="4274" spans="1:4">
      <c r="A4274" t="str">
        <f t="shared" si="73"/>
        <v>222Average Loss</v>
      </c>
      <c r="B4274">
        <v>222</v>
      </c>
      <c r="C4274" s="9" t="s">
        <v>29</v>
      </c>
      <c r="D4274" s="8">
        <v>-8.0199999999999994E-2</v>
      </c>
    </row>
    <row r="4275" spans="1:4">
      <c r="A4275" t="str">
        <f t="shared" si="73"/>
        <v>222Compounding Annual Return</v>
      </c>
      <c r="B4275">
        <v>222</v>
      </c>
      <c r="C4275" s="9" t="s">
        <v>30</v>
      </c>
      <c r="D4275" s="8">
        <v>-0.97353000000000001</v>
      </c>
    </row>
    <row r="4276" spans="1:4">
      <c r="A4276" t="str">
        <f t="shared" si="73"/>
        <v>222Drawdown</v>
      </c>
      <c r="B4276">
        <v>222</v>
      </c>
      <c r="C4276" s="9" t="s">
        <v>8</v>
      </c>
      <c r="D4276" s="8">
        <v>0.96299999999999997</v>
      </c>
    </row>
    <row r="4277" spans="1:4">
      <c r="A4277" t="str">
        <f t="shared" si="73"/>
        <v>222Expectancy</v>
      </c>
      <c r="B4277">
        <v>222</v>
      </c>
      <c r="C4277" s="9" t="s">
        <v>31</v>
      </c>
      <c r="D4277" s="8">
        <v>-0.59299999999999997</v>
      </c>
    </row>
    <row r="4278" spans="1:4">
      <c r="A4278" t="str">
        <f t="shared" si="73"/>
        <v>222Net Profit</v>
      </c>
      <c r="B4278">
        <v>222</v>
      </c>
      <c r="C4278" s="9" t="s">
        <v>32</v>
      </c>
      <c r="D4278" s="8">
        <v>-0.90534999999999999</v>
      </c>
    </row>
    <row r="4279" spans="1:4">
      <c r="A4279" t="str">
        <f t="shared" si="73"/>
        <v>222Loss Rate</v>
      </c>
      <c r="B4279">
        <v>222</v>
      </c>
      <c r="C4279" s="9" t="s">
        <v>33</v>
      </c>
      <c r="D4279" s="8">
        <v>0.85</v>
      </c>
    </row>
    <row r="4280" spans="1:4">
      <c r="A4280" t="str">
        <f t="shared" si="73"/>
        <v>222Win Rate</v>
      </c>
      <c r="B4280">
        <v>222</v>
      </c>
      <c r="C4280" s="9" t="s">
        <v>34</v>
      </c>
      <c r="D4280" s="8">
        <v>0.15</v>
      </c>
    </row>
    <row r="4281" spans="1:4">
      <c r="A4281" t="str">
        <f t="shared" si="73"/>
        <v>222Profit-Loss Ratio</v>
      </c>
      <c r="B4281">
        <v>222</v>
      </c>
      <c r="C4281" s="9" t="s">
        <v>26</v>
      </c>
      <c r="D4281" s="8">
        <v>1.78</v>
      </c>
    </row>
    <row r="4282" spans="1:4">
      <c r="A4282" t="str">
        <f t="shared" si="73"/>
        <v>222Alpha</v>
      </c>
      <c r="B4282">
        <v>222</v>
      </c>
      <c r="C4282" s="9" t="s">
        <v>23</v>
      </c>
      <c r="D4282" s="8">
        <v>-1.17</v>
      </c>
    </row>
    <row r="4283" spans="1:4">
      <c r="A4283" t="str">
        <f t="shared" si="73"/>
        <v>222Beta</v>
      </c>
      <c r="B4283">
        <v>222</v>
      </c>
      <c r="C4283" s="9" t="s">
        <v>24</v>
      </c>
      <c r="D4283" s="8">
        <v>6.6920000000000002</v>
      </c>
    </row>
    <row r="4284" spans="1:4">
      <c r="A4284" t="str">
        <f t="shared" si="73"/>
        <v>222Annual Standard Deviation</v>
      </c>
      <c r="B4284">
        <v>222</v>
      </c>
      <c r="C4284" s="9" t="s">
        <v>35</v>
      </c>
      <c r="D4284" s="8">
        <v>1.3520000000000001</v>
      </c>
    </row>
    <row r="4285" spans="1:4">
      <c r="A4285" t="str">
        <f t="shared" si="73"/>
        <v>222Annual Variance</v>
      </c>
      <c r="B4285">
        <v>222</v>
      </c>
      <c r="C4285" s="9" t="s">
        <v>36</v>
      </c>
      <c r="D4285" s="8">
        <v>1.8280000000000001</v>
      </c>
    </row>
    <row r="4286" spans="1:4">
      <c r="A4286" t="str">
        <f t="shared" si="73"/>
        <v>222Information Ratio</v>
      </c>
      <c r="B4286">
        <v>222</v>
      </c>
      <c r="C4286" s="9" t="s">
        <v>37</v>
      </c>
      <c r="D4286" s="8">
        <v>-0.63500000000000001</v>
      </c>
    </row>
    <row r="4287" spans="1:4">
      <c r="A4287" t="str">
        <f t="shared" si="73"/>
        <v>222Tracking Error</v>
      </c>
      <c r="B4287">
        <v>222</v>
      </c>
      <c r="C4287" s="9" t="s">
        <v>38</v>
      </c>
      <c r="D4287" s="8">
        <v>1.331</v>
      </c>
    </row>
    <row r="4288" spans="1:4">
      <c r="A4288" t="str">
        <f t="shared" si="73"/>
        <v>222Treynor Ratio</v>
      </c>
      <c r="B4288">
        <v>222</v>
      </c>
      <c r="C4288" s="9" t="s">
        <v>39</v>
      </c>
      <c r="D4288" s="8">
        <v>-0.11799999999999999</v>
      </c>
    </row>
    <row r="4289" spans="1:4">
      <c r="A4289" t="str">
        <f t="shared" si="73"/>
        <v>222Total Fees</v>
      </c>
      <c r="B4289">
        <v>222</v>
      </c>
      <c r="C4289" s="9" t="s">
        <v>40</v>
      </c>
      <c r="D4289" s="8">
        <v>0</v>
      </c>
    </row>
    <row r="4290" spans="1:4">
      <c r="A4290" t="str">
        <f t="shared" si="73"/>
        <v>222Estimated Strategy Capacity</v>
      </c>
      <c r="B4290">
        <v>222</v>
      </c>
      <c r="C4290" s="9" t="s">
        <v>41</v>
      </c>
      <c r="D4290" s="8">
        <v>1100000</v>
      </c>
    </row>
    <row r="4291" spans="1:4">
      <c r="A4291" t="str">
        <f t="shared" si="73"/>
        <v>223PSR</v>
      </c>
      <c r="B4291">
        <v>223</v>
      </c>
      <c r="C4291" s="9" t="s">
        <v>27</v>
      </c>
      <c r="D4291" s="8">
        <v>0.27661000000000002</v>
      </c>
    </row>
    <row r="4292" spans="1:4">
      <c r="A4292" t="str">
        <f t="shared" si="73"/>
        <v>223Sharpe Ratio</v>
      </c>
      <c r="B4292">
        <v>223</v>
      </c>
      <c r="C4292" s="9" t="s">
        <v>1</v>
      </c>
      <c r="D4292" s="8">
        <v>0.44700000000000001</v>
      </c>
    </row>
    <row r="4293" spans="1:4">
      <c r="A4293" t="str">
        <f t="shared" si="73"/>
        <v>223Total Trades</v>
      </c>
      <c r="B4293">
        <v>223</v>
      </c>
      <c r="C4293" s="9" t="s">
        <v>28</v>
      </c>
      <c r="D4293" s="8">
        <v>318</v>
      </c>
    </row>
    <row r="4294" spans="1:4">
      <c r="A4294" t="str">
        <f t="shared" si="73"/>
        <v>223Average Win</v>
      </c>
      <c r="B4294">
        <v>223</v>
      </c>
      <c r="C4294" s="9" t="s">
        <v>25</v>
      </c>
      <c r="D4294" s="8">
        <v>1.46E-2</v>
      </c>
    </row>
    <row r="4295" spans="1:4">
      <c r="A4295" t="str">
        <f t="shared" si="73"/>
        <v>223Average Loss</v>
      </c>
      <c r="B4295">
        <v>223</v>
      </c>
      <c r="C4295" s="9" t="s">
        <v>29</v>
      </c>
      <c r="D4295" s="8">
        <v>-1.09E-2</v>
      </c>
    </row>
    <row r="4296" spans="1:4">
      <c r="A4296" t="str">
        <f t="shared" si="73"/>
        <v>223Compounding Annual Return</v>
      </c>
      <c r="B4296">
        <v>223</v>
      </c>
      <c r="C4296" s="9" t="s">
        <v>30</v>
      </c>
      <c r="D4296" s="8">
        <v>6.5659999999999996E-2</v>
      </c>
    </row>
    <row r="4297" spans="1:4">
      <c r="A4297" t="str">
        <f t="shared" si="73"/>
        <v>223Drawdown</v>
      </c>
      <c r="B4297">
        <v>223</v>
      </c>
      <c r="C4297" s="9" t="s">
        <v>8</v>
      </c>
      <c r="D4297" s="8">
        <v>6.0999999999999999E-2</v>
      </c>
    </row>
    <row r="4298" spans="1:4">
      <c r="A4298" t="str">
        <f t="shared" si="73"/>
        <v>223Expectancy</v>
      </c>
      <c r="B4298">
        <v>223</v>
      </c>
      <c r="C4298" s="9" t="s">
        <v>31</v>
      </c>
      <c r="D4298" s="8">
        <v>0.40500000000000003</v>
      </c>
    </row>
    <row r="4299" spans="1:4">
      <c r="A4299" t="str">
        <f t="shared" si="73"/>
        <v>223Net Profit</v>
      </c>
      <c r="B4299">
        <v>223</v>
      </c>
      <c r="C4299" s="9" t="s">
        <v>32</v>
      </c>
      <c r="D4299" s="8">
        <v>4.215E-2</v>
      </c>
    </row>
    <row r="4300" spans="1:4">
      <c r="A4300" t="str">
        <f t="shared" si="73"/>
        <v>223Loss Rate</v>
      </c>
      <c r="B4300">
        <v>223</v>
      </c>
      <c r="C4300" s="9" t="s">
        <v>33</v>
      </c>
      <c r="D4300" s="8">
        <v>0.4</v>
      </c>
    </row>
    <row r="4301" spans="1:4">
      <c r="A4301" t="str">
        <f t="shared" si="73"/>
        <v>223Win Rate</v>
      </c>
      <c r="B4301">
        <v>223</v>
      </c>
      <c r="C4301" s="9" t="s">
        <v>34</v>
      </c>
      <c r="D4301" s="8">
        <v>0.6</v>
      </c>
    </row>
    <row r="4302" spans="1:4">
      <c r="A4302" t="str">
        <f t="shared" si="73"/>
        <v>223Profit-Loss Ratio</v>
      </c>
      <c r="B4302">
        <v>223</v>
      </c>
      <c r="C4302" s="9" t="s">
        <v>26</v>
      </c>
      <c r="D4302" s="8">
        <v>1.34</v>
      </c>
    </row>
    <row r="4303" spans="1:4">
      <c r="A4303" t="str">
        <f t="shared" si="73"/>
        <v>223Alpha</v>
      </c>
      <c r="B4303">
        <v>223</v>
      </c>
      <c r="C4303" s="9" t="s">
        <v>23</v>
      </c>
      <c r="D4303" s="8">
        <v>0.02</v>
      </c>
    </row>
    <row r="4304" spans="1:4">
      <c r="A4304" t="str">
        <f t="shared" si="73"/>
        <v>223Beta</v>
      </c>
      <c r="B4304">
        <v>223</v>
      </c>
      <c r="C4304" s="9" t="s">
        <v>24</v>
      </c>
      <c r="D4304" s="8">
        <v>0.55800000000000005</v>
      </c>
    </row>
    <row r="4305" spans="1:4">
      <c r="A4305" t="str">
        <f t="shared" si="73"/>
        <v>223Annual Standard Deviation</v>
      </c>
      <c r="B4305">
        <v>223</v>
      </c>
      <c r="C4305" s="9" t="s">
        <v>35</v>
      </c>
      <c r="D4305" s="8">
        <v>0.11600000000000001</v>
      </c>
    </row>
    <row r="4306" spans="1:4">
      <c r="A4306" t="str">
        <f t="shared" si="73"/>
        <v>223Annual Variance</v>
      </c>
      <c r="B4306">
        <v>223</v>
      </c>
      <c r="C4306" s="9" t="s">
        <v>36</v>
      </c>
      <c r="D4306" s="8">
        <v>1.2999999999999999E-2</v>
      </c>
    </row>
    <row r="4307" spans="1:4">
      <c r="A4307" t="str">
        <f t="shared" si="73"/>
        <v>223Information Ratio</v>
      </c>
      <c r="B4307">
        <v>223</v>
      </c>
      <c r="C4307" s="9" t="s">
        <v>37</v>
      </c>
      <c r="D4307" s="8">
        <v>-4.5999999999999999E-2</v>
      </c>
    </row>
    <row r="4308" spans="1:4">
      <c r="A4308" t="str">
        <f t="shared" si="73"/>
        <v>223Tracking Error</v>
      </c>
      <c r="B4308">
        <v>223</v>
      </c>
      <c r="C4308" s="9" t="s">
        <v>38</v>
      </c>
      <c r="D4308" s="8">
        <v>0.114</v>
      </c>
    </row>
    <row r="4309" spans="1:4">
      <c r="A4309" t="str">
        <f t="shared" si="73"/>
        <v>223Treynor Ratio</v>
      </c>
      <c r="B4309">
        <v>223</v>
      </c>
      <c r="C4309" s="9" t="s">
        <v>39</v>
      </c>
      <c r="D4309" s="8">
        <v>9.2999999999999999E-2</v>
      </c>
    </row>
    <row r="4310" spans="1:4">
      <c r="A4310" t="str">
        <f t="shared" si="73"/>
        <v>223Total Fees</v>
      </c>
      <c r="B4310">
        <v>223</v>
      </c>
      <c r="C4310" s="9" t="s">
        <v>40</v>
      </c>
      <c r="D4310" s="8">
        <v>0</v>
      </c>
    </row>
    <row r="4311" spans="1:4">
      <c r="A4311" t="str">
        <f t="shared" si="73"/>
        <v>223Estimated Strategy Capacity</v>
      </c>
      <c r="B4311">
        <v>223</v>
      </c>
      <c r="C4311" s="9" t="s">
        <v>41</v>
      </c>
      <c r="D4311" s="8">
        <v>20000000</v>
      </c>
    </row>
    <row r="4312" spans="1:4">
      <c r="A4312" t="str">
        <f t="shared" si="73"/>
        <v>224PSR</v>
      </c>
      <c r="B4312">
        <v>224</v>
      </c>
      <c r="C4312" s="9" t="s">
        <v>27</v>
      </c>
      <c r="D4312" s="8">
        <v>0.36575999999999997</v>
      </c>
    </row>
    <row r="4313" spans="1:4">
      <c r="A4313" t="str">
        <f t="shared" si="73"/>
        <v>224Sharpe Ratio</v>
      </c>
      <c r="B4313">
        <v>224</v>
      </c>
      <c r="C4313" s="9" t="s">
        <v>1</v>
      </c>
      <c r="D4313" s="8">
        <v>1.079</v>
      </c>
    </row>
    <row r="4314" spans="1:4">
      <c r="A4314" t="str">
        <f t="shared" si="73"/>
        <v>224Total Trades</v>
      </c>
      <c r="B4314">
        <v>224</v>
      </c>
      <c r="C4314" s="9" t="s">
        <v>28</v>
      </c>
      <c r="D4314" s="8">
        <v>317</v>
      </c>
    </row>
    <row r="4315" spans="1:4">
      <c r="A4315" t="str">
        <f t="shared" si="73"/>
        <v>224Average Win</v>
      </c>
      <c r="B4315">
        <v>224</v>
      </c>
      <c r="C4315" s="9" t="s">
        <v>25</v>
      </c>
      <c r="D4315" s="8">
        <v>0.11269999999999999</v>
      </c>
    </row>
    <row r="4316" spans="1:4">
      <c r="A4316" t="str">
        <f t="shared" si="73"/>
        <v>224Average Loss</v>
      </c>
      <c r="B4316">
        <v>224</v>
      </c>
      <c r="C4316" s="9" t="s">
        <v>29</v>
      </c>
      <c r="D4316" s="8">
        <v>-8.3400000000000002E-2</v>
      </c>
    </row>
    <row r="4317" spans="1:4">
      <c r="A4317" t="str">
        <f t="shared" si="73"/>
        <v>224Compounding Annual Return</v>
      </c>
      <c r="B4317">
        <v>224</v>
      </c>
      <c r="C4317" s="9" t="s">
        <v>30</v>
      </c>
      <c r="D4317" s="8">
        <v>0.49086000000000002</v>
      </c>
    </row>
    <row r="4318" spans="1:4">
      <c r="A4318" t="str">
        <f t="shared" si="73"/>
        <v>224Drawdown</v>
      </c>
      <c r="B4318">
        <v>224</v>
      </c>
      <c r="C4318" s="9" t="s">
        <v>8</v>
      </c>
      <c r="D4318" s="8">
        <v>0.46100000000000002</v>
      </c>
    </row>
    <row r="4319" spans="1:4">
      <c r="A4319" t="str">
        <f t="shared" ref="A4319:A4382" si="74">B4319&amp;C4319</f>
        <v>224Expectancy</v>
      </c>
      <c r="B4319">
        <v>224</v>
      </c>
      <c r="C4319" s="9" t="s">
        <v>31</v>
      </c>
      <c r="D4319" s="8">
        <v>0.41099999999999998</v>
      </c>
    </row>
    <row r="4320" spans="1:4">
      <c r="A4320" t="str">
        <f t="shared" si="74"/>
        <v>224Net Profit</v>
      </c>
      <c r="B4320">
        <v>224</v>
      </c>
      <c r="C4320" s="9" t="s">
        <v>32</v>
      </c>
      <c r="D4320" s="8">
        <v>0.29597000000000001</v>
      </c>
    </row>
    <row r="4321" spans="1:4">
      <c r="A4321" t="str">
        <f t="shared" si="74"/>
        <v>224Loss Rate</v>
      </c>
      <c r="B4321">
        <v>224</v>
      </c>
      <c r="C4321" s="9" t="s">
        <v>33</v>
      </c>
      <c r="D4321" s="8">
        <v>0.4</v>
      </c>
    </row>
    <row r="4322" spans="1:4">
      <c r="A4322" t="str">
        <f t="shared" si="74"/>
        <v>224Win Rate</v>
      </c>
      <c r="B4322">
        <v>224</v>
      </c>
      <c r="C4322" s="9" t="s">
        <v>34</v>
      </c>
      <c r="D4322" s="8">
        <v>0.6</v>
      </c>
    </row>
    <row r="4323" spans="1:4">
      <c r="A4323" t="str">
        <f t="shared" si="74"/>
        <v>224Profit-Loss Ratio</v>
      </c>
      <c r="B4323">
        <v>224</v>
      </c>
      <c r="C4323" s="9" t="s">
        <v>26</v>
      </c>
      <c r="D4323" s="8">
        <v>1.35</v>
      </c>
    </row>
    <row r="4324" spans="1:4">
      <c r="A4324" t="str">
        <f t="shared" si="74"/>
        <v>224Alpha</v>
      </c>
      <c r="B4324">
        <v>224</v>
      </c>
      <c r="C4324" s="9" t="s">
        <v>23</v>
      </c>
      <c r="D4324" s="8">
        <v>0.93</v>
      </c>
    </row>
    <row r="4325" spans="1:4">
      <c r="A4325" t="str">
        <f t="shared" si="74"/>
        <v>224Beta</v>
      </c>
      <c r="B4325">
        <v>224</v>
      </c>
      <c r="C4325" s="9" t="s">
        <v>24</v>
      </c>
      <c r="D4325" s="8">
        <v>6.085</v>
      </c>
    </row>
    <row r="4326" spans="1:4">
      <c r="A4326" t="str">
        <f t="shared" si="74"/>
        <v>224Annual Standard Deviation</v>
      </c>
      <c r="B4326">
        <v>224</v>
      </c>
      <c r="C4326" s="9" t="s">
        <v>35</v>
      </c>
      <c r="D4326" s="8">
        <v>1.1850000000000001</v>
      </c>
    </row>
    <row r="4327" spans="1:4">
      <c r="A4327" t="str">
        <f t="shared" si="74"/>
        <v>224Annual Variance</v>
      </c>
      <c r="B4327">
        <v>224</v>
      </c>
      <c r="C4327" s="9" t="s">
        <v>36</v>
      </c>
      <c r="D4327" s="8">
        <v>1.4039999999999999</v>
      </c>
    </row>
    <row r="4328" spans="1:4">
      <c r="A4328" t="str">
        <f t="shared" si="74"/>
        <v>224Information Ratio</v>
      </c>
      <c r="B4328">
        <v>224</v>
      </c>
      <c r="C4328" s="9" t="s">
        <v>37</v>
      </c>
      <c r="D4328" s="8">
        <v>1.0489999999999999</v>
      </c>
    </row>
    <row r="4329" spans="1:4">
      <c r="A4329" t="str">
        <f t="shared" si="74"/>
        <v>224Tracking Error</v>
      </c>
      <c r="B4329">
        <v>224</v>
      </c>
      <c r="C4329" s="9" t="s">
        <v>38</v>
      </c>
      <c r="D4329" s="8">
        <v>1.1639999999999999</v>
      </c>
    </row>
    <row r="4330" spans="1:4">
      <c r="A4330" t="str">
        <f t="shared" si="74"/>
        <v>224Treynor Ratio</v>
      </c>
      <c r="B4330">
        <v>224</v>
      </c>
      <c r="C4330" s="9" t="s">
        <v>39</v>
      </c>
      <c r="D4330" s="8">
        <v>0.21</v>
      </c>
    </row>
    <row r="4331" spans="1:4">
      <c r="A4331" t="str">
        <f t="shared" si="74"/>
        <v>224Total Fees</v>
      </c>
      <c r="B4331">
        <v>224</v>
      </c>
      <c r="C4331" s="9" t="s">
        <v>40</v>
      </c>
      <c r="D4331" s="8">
        <v>0</v>
      </c>
    </row>
    <row r="4332" spans="1:4">
      <c r="A4332" t="str">
        <f t="shared" si="74"/>
        <v>224Estimated Strategy Capacity</v>
      </c>
      <c r="B4332">
        <v>224</v>
      </c>
      <c r="C4332" s="9" t="s">
        <v>41</v>
      </c>
      <c r="D4332" s="8">
        <v>3200000</v>
      </c>
    </row>
    <row r="4333" spans="1:4">
      <c r="A4333" t="str">
        <f t="shared" si="74"/>
        <v>225PSR</v>
      </c>
      <c r="B4333">
        <v>225</v>
      </c>
      <c r="C4333" s="9" t="s">
        <v>27</v>
      </c>
      <c r="D4333" s="8">
        <v>0.25441000000000003</v>
      </c>
    </row>
    <row r="4334" spans="1:4">
      <c r="A4334" t="str">
        <f t="shared" si="74"/>
        <v>225Sharpe Ratio</v>
      </c>
      <c r="B4334">
        <v>225</v>
      </c>
      <c r="C4334" s="9" t="s">
        <v>1</v>
      </c>
      <c r="D4334" s="8">
        <v>0.45800000000000002</v>
      </c>
    </row>
    <row r="4335" spans="1:4">
      <c r="A4335" t="str">
        <f t="shared" si="74"/>
        <v>225Total Trades</v>
      </c>
      <c r="B4335">
        <v>225</v>
      </c>
      <c r="C4335" s="9" t="s">
        <v>28</v>
      </c>
      <c r="D4335" s="8">
        <v>284</v>
      </c>
    </row>
    <row r="4336" spans="1:4">
      <c r="A4336" t="str">
        <f t="shared" si="74"/>
        <v>225Average Win</v>
      </c>
      <c r="B4336">
        <v>225</v>
      </c>
      <c r="C4336" s="9" t="s">
        <v>25</v>
      </c>
      <c r="D4336" s="8">
        <v>0.27229999999999999</v>
      </c>
    </row>
    <row r="4337" spans="1:4">
      <c r="A4337" t="str">
        <f t="shared" si="74"/>
        <v>225Average Loss</v>
      </c>
      <c r="B4337">
        <v>225</v>
      </c>
      <c r="C4337" s="9" t="s">
        <v>29</v>
      </c>
      <c r="D4337" s="8">
        <v>-9.0200000000000002E-2</v>
      </c>
    </row>
    <row r="4338" spans="1:4">
      <c r="A4338" t="str">
        <f t="shared" si="74"/>
        <v>225Compounding Annual Return</v>
      </c>
      <c r="B4338">
        <v>225</v>
      </c>
      <c r="C4338" s="9" t="s">
        <v>30</v>
      </c>
      <c r="D4338" s="8">
        <v>-0.77278999999999998</v>
      </c>
    </row>
    <row r="4339" spans="1:4">
      <c r="A4339" t="str">
        <f t="shared" si="74"/>
        <v>225Drawdown</v>
      </c>
      <c r="B4339">
        <v>225</v>
      </c>
      <c r="C4339" s="9" t="s">
        <v>8</v>
      </c>
      <c r="D4339" s="8">
        <v>0.76500000000000001</v>
      </c>
    </row>
    <row r="4340" spans="1:4">
      <c r="A4340" t="str">
        <f t="shared" si="74"/>
        <v>225Expectancy</v>
      </c>
      <c r="B4340">
        <v>225</v>
      </c>
      <c r="C4340" s="9" t="s">
        <v>31</v>
      </c>
      <c r="D4340" s="8">
        <v>-0.23499999999999999</v>
      </c>
    </row>
    <row r="4341" spans="1:4">
      <c r="A4341" t="str">
        <f t="shared" si="74"/>
        <v>225Net Profit</v>
      </c>
      <c r="B4341">
        <v>225</v>
      </c>
      <c r="C4341" s="9" t="s">
        <v>32</v>
      </c>
      <c r="D4341" s="8">
        <v>-0.61789000000000005</v>
      </c>
    </row>
    <row r="4342" spans="1:4">
      <c r="A4342" t="str">
        <f t="shared" si="74"/>
        <v>225Loss Rate</v>
      </c>
      <c r="B4342">
        <v>225</v>
      </c>
      <c r="C4342" s="9" t="s">
        <v>33</v>
      </c>
      <c r="D4342" s="8">
        <v>0.81</v>
      </c>
    </row>
    <row r="4343" spans="1:4">
      <c r="A4343" t="str">
        <f t="shared" si="74"/>
        <v>225Win Rate</v>
      </c>
      <c r="B4343">
        <v>225</v>
      </c>
      <c r="C4343" s="9" t="s">
        <v>34</v>
      </c>
      <c r="D4343" s="8">
        <v>0.19</v>
      </c>
    </row>
    <row r="4344" spans="1:4">
      <c r="A4344" t="str">
        <f t="shared" si="74"/>
        <v>225Profit-Loss Ratio</v>
      </c>
      <c r="B4344">
        <v>225</v>
      </c>
      <c r="C4344" s="9" t="s">
        <v>26</v>
      </c>
      <c r="D4344" s="8">
        <v>3.02</v>
      </c>
    </row>
    <row r="4345" spans="1:4">
      <c r="A4345" t="str">
        <f t="shared" si="74"/>
        <v>225Alpha</v>
      </c>
      <c r="B4345">
        <v>225</v>
      </c>
      <c r="C4345" s="9" t="s">
        <v>23</v>
      </c>
      <c r="D4345" s="8">
        <v>0.11</v>
      </c>
    </row>
    <row r="4346" spans="1:4">
      <c r="A4346" t="str">
        <f t="shared" si="74"/>
        <v>225Beta</v>
      </c>
      <c r="B4346">
        <v>225</v>
      </c>
      <c r="C4346" s="9" t="s">
        <v>24</v>
      </c>
      <c r="D4346" s="8">
        <v>13.24</v>
      </c>
    </row>
    <row r="4347" spans="1:4">
      <c r="A4347" t="str">
        <f t="shared" si="74"/>
        <v>225Annual Standard Deviation</v>
      </c>
      <c r="B4347">
        <v>225</v>
      </c>
      <c r="C4347" s="9" t="s">
        <v>35</v>
      </c>
      <c r="D4347" s="8">
        <v>1.893</v>
      </c>
    </row>
    <row r="4348" spans="1:4">
      <c r="A4348" t="str">
        <f t="shared" si="74"/>
        <v>225Annual Variance</v>
      </c>
      <c r="B4348">
        <v>225</v>
      </c>
      <c r="C4348" s="9" t="s">
        <v>36</v>
      </c>
      <c r="D4348" s="8">
        <v>3.5830000000000002</v>
      </c>
    </row>
    <row r="4349" spans="1:4">
      <c r="A4349" t="str">
        <f t="shared" si="74"/>
        <v>225Information Ratio</v>
      </c>
      <c r="B4349">
        <v>225</v>
      </c>
      <c r="C4349" s="9" t="s">
        <v>37</v>
      </c>
      <c r="D4349" s="8">
        <v>0.435</v>
      </c>
    </row>
    <row r="4350" spans="1:4">
      <c r="A4350" t="str">
        <f t="shared" si="74"/>
        <v>225Tracking Error</v>
      </c>
      <c r="B4350">
        <v>225</v>
      </c>
      <c r="C4350" s="9" t="s">
        <v>38</v>
      </c>
      <c r="D4350" s="8">
        <v>1.863</v>
      </c>
    </row>
    <row r="4351" spans="1:4">
      <c r="A4351" t="str">
        <f t="shared" si="74"/>
        <v>225Treynor Ratio</v>
      </c>
      <c r="B4351">
        <v>225</v>
      </c>
      <c r="C4351" s="9" t="s">
        <v>39</v>
      </c>
      <c r="D4351" s="8">
        <v>6.5000000000000002E-2</v>
      </c>
    </row>
    <row r="4352" spans="1:4">
      <c r="A4352" t="str">
        <f t="shared" si="74"/>
        <v>225Total Fees</v>
      </c>
      <c r="B4352">
        <v>225</v>
      </c>
      <c r="C4352" s="9" t="s">
        <v>40</v>
      </c>
      <c r="D4352" s="8">
        <v>0</v>
      </c>
    </row>
    <row r="4353" spans="1:4">
      <c r="A4353" t="str">
        <f t="shared" si="74"/>
        <v>225Estimated Strategy Capacity</v>
      </c>
      <c r="B4353">
        <v>225</v>
      </c>
      <c r="C4353" s="9" t="s">
        <v>41</v>
      </c>
      <c r="D4353" s="8">
        <v>610000</v>
      </c>
    </row>
    <row r="4354" spans="1:4">
      <c r="A4354" t="str">
        <f t="shared" si="74"/>
        <v>244PSR</v>
      </c>
      <c r="B4354">
        <v>244</v>
      </c>
      <c r="C4354" s="19" t="s">
        <v>27</v>
      </c>
      <c r="D4354" s="8">
        <v>0.53481999999999996</v>
      </c>
    </row>
    <row r="4355" spans="1:4">
      <c r="A4355" t="str">
        <f t="shared" si="74"/>
        <v>244Sharpe Ratio</v>
      </c>
      <c r="B4355">
        <v>244</v>
      </c>
      <c r="C4355" s="19" t="s">
        <v>1</v>
      </c>
      <c r="D4355" s="8">
        <v>1.1830000000000001</v>
      </c>
    </row>
    <row r="4356" spans="1:4">
      <c r="A4356" t="str">
        <f t="shared" si="74"/>
        <v>244Total Trades</v>
      </c>
      <c r="B4356">
        <v>244</v>
      </c>
      <c r="C4356" s="19" t="s">
        <v>28</v>
      </c>
      <c r="D4356" s="8">
        <v>896</v>
      </c>
    </row>
    <row r="4357" spans="1:4">
      <c r="A4357" t="str">
        <f t="shared" si="74"/>
        <v>244Average Win</v>
      </c>
      <c r="B4357">
        <v>244</v>
      </c>
      <c r="C4357" s="19" t="s">
        <v>25</v>
      </c>
      <c r="D4357" s="8">
        <v>2.46E-2</v>
      </c>
    </row>
    <row r="4358" spans="1:4">
      <c r="A4358" t="str">
        <f t="shared" si="74"/>
        <v>244Average Loss</v>
      </c>
      <c r="B4358">
        <v>244</v>
      </c>
      <c r="C4358" s="19" t="s">
        <v>29</v>
      </c>
      <c r="D4358" s="8">
        <v>-1.4999999999999999E-2</v>
      </c>
    </row>
    <row r="4359" spans="1:4">
      <c r="A4359" t="str">
        <f t="shared" si="74"/>
        <v>244Compounding Annual Return</v>
      </c>
      <c r="B4359">
        <v>244</v>
      </c>
      <c r="C4359" s="19" t="s">
        <v>30</v>
      </c>
      <c r="D4359" s="8">
        <v>0.25446000000000002</v>
      </c>
    </row>
    <row r="4360" spans="1:4">
      <c r="A4360" t="str">
        <f t="shared" si="74"/>
        <v>244Drawdown</v>
      </c>
      <c r="B4360">
        <v>244</v>
      </c>
      <c r="C4360" s="19" t="s">
        <v>8</v>
      </c>
      <c r="D4360" s="8">
        <v>6.9000000000000006E-2</v>
      </c>
    </row>
    <row r="4361" spans="1:4">
      <c r="A4361" t="str">
        <f t="shared" si="74"/>
        <v>244Expectancy</v>
      </c>
      <c r="B4361">
        <v>244</v>
      </c>
      <c r="C4361" s="19" t="s">
        <v>31</v>
      </c>
      <c r="D4361" s="8">
        <v>0.36599999999999999</v>
      </c>
    </row>
    <row r="4362" spans="1:4">
      <c r="A4362" t="str">
        <f t="shared" si="74"/>
        <v>244Net Profit</v>
      </c>
      <c r="B4362">
        <v>244</v>
      </c>
      <c r="C4362" s="19" t="s">
        <v>32</v>
      </c>
      <c r="D4362" s="8">
        <v>0.15856000000000001</v>
      </c>
    </row>
    <row r="4363" spans="1:4">
      <c r="A4363" t="str">
        <f t="shared" si="74"/>
        <v>244Loss Rate</v>
      </c>
      <c r="B4363">
        <v>244</v>
      </c>
      <c r="C4363" s="19" t="s">
        <v>33</v>
      </c>
      <c r="D4363" s="8">
        <v>0.48</v>
      </c>
    </row>
    <row r="4364" spans="1:4">
      <c r="A4364" t="str">
        <f t="shared" si="74"/>
        <v>244Win Rate</v>
      </c>
      <c r="B4364">
        <v>244</v>
      </c>
      <c r="C4364" s="19" t="s">
        <v>34</v>
      </c>
      <c r="D4364" s="8">
        <v>0.52</v>
      </c>
    </row>
    <row r="4365" spans="1:4">
      <c r="A4365" t="str">
        <f t="shared" si="74"/>
        <v>244Profit-Loss Ratio</v>
      </c>
      <c r="B4365">
        <v>244</v>
      </c>
      <c r="C4365" s="19" t="s">
        <v>26</v>
      </c>
      <c r="D4365" s="8">
        <v>1.64</v>
      </c>
    </row>
    <row r="4366" spans="1:4">
      <c r="A4366" t="str">
        <f t="shared" si="74"/>
        <v>244Alpha</v>
      </c>
      <c r="B4366">
        <v>244</v>
      </c>
      <c r="C4366" s="19" t="s">
        <v>23</v>
      </c>
      <c r="D4366" s="8">
        <v>0.183</v>
      </c>
    </row>
    <row r="4367" spans="1:4">
      <c r="A4367" t="str">
        <f t="shared" si="74"/>
        <v>244Beta</v>
      </c>
      <c r="B4367">
        <v>244</v>
      </c>
      <c r="C4367" s="19" t="s">
        <v>24</v>
      </c>
      <c r="D4367" s="8">
        <v>2.9000000000000001E-2</v>
      </c>
    </row>
    <row r="4368" spans="1:4">
      <c r="A4368" t="str">
        <f t="shared" si="74"/>
        <v>244Annual Standard Deviation</v>
      </c>
      <c r="B4368">
        <v>244</v>
      </c>
      <c r="C4368" s="19" t="s">
        <v>35</v>
      </c>
      <c r="D4368" s="8">
        <v>0.156</v>
      </c>
    </row>
    <row r="4369" spans="1:4">
      <c r="A4369" t="str">
        <f t="shared" si="74"/>
        <v>244Annual Variance</v>
      </c>
      <c r="B4369">
        <v>244</v>
      </c>
      <c r="C4369" s="19" t="s">
        <v>36</v>
      </c>
      <c r="D4369" s="8">
        <v>2.4E-2</v>
      </c>
    </row>
    <row r="4370" spans="1:4">
      <c r="A4370" t="str">
        <f t="shared" si="74"/>
        <v>244Information Ratio</v>
      </c>
      <c r="B4370">
        <v>244</v>
      </c>
      <c r="C4370" s="19" t="s">
        <v>37</v>
      </c>
      <c r="D4370" s="8">
        <v>0.753</v>
      </c>
    </row>
    <row r="4371" spans="1:4">
      <c r="A4371" t="str">
        <f t="shared" si="74"/>
        <v>244Tracking Error</v>
      </c>
      <c r="B4371">
        <v>244</v>
      </c>
      <c r="C4371" s="19" t="s">
        <v>38</v>
      </c>
      <c r="D4371" s="8">
        <v>0.16900000000000001</v>
      </c>
    </row>
    <row r="4372" spans="1:4">
      <c r="A4372" t="str">
        <f t="shared" si="74"/>
        <v>244Treynor Ratio</v>
      </c>
      <c r="B4372">
        <v>244</v>
      </c>
      <c r="C4372" s="19" t="s">
        <v>39</v>
      </c>
      <c r="D4372" s="8">
        <v>6.2690000000000001</v>
      </c>
    </row>
    <row r="4373" spans="1:4">
      <c r="A4373" t="str">
        <f t="shared" si="74"/>
        <v>244Total Fees</v>
      </c>
      <c r="B4373">
        <v>244</v>
      </c>
      <c r="C4373" s="19" t="s">
        <v>40</v>
      </c>
      <c r="D4373" s="8">
        <v>0</v>
      </c>
    </row>
    <row r="4374" spans="1:4">
      <c r="A4374" t="str">
        <f t="shared" si="74"/>
        <v>244Estimated Strategy Capacity</v>
      </c>
      <c r="B4374">
        <v>244</v>
      </c>
      <c r="C4374" s="19" t="s">
        <v>41</v>
      </c>
      <c r="D4374" s="8">
        <v>10000000</v>
      </c>
    </row>
    <row r="4375" spans="1:4">
      <c r="A4375" t="str">
        <f t="shared" si="74"/>
        <v>245PSR</v>
      </c>
      <c r="B4375">
        <v>245</v>
      </c>
      <c r="C4375" s="9" t="s">
        <v>27</v>
      </c>
      <c r="D4375" s="8">
        <v>0.71192</v>
      </c>
    </row>
    <row r="4376" spans="1:4">
      <c r="A4376" t="str">
        <f t="shared" si="74"/>
        <v>245Sharpe Ratio</v>
      </c>
      <c r="B4376">
        <v>245</v>
      </c>
      <c r="C4376" s="9" t="s">
        <v>1</v>
      </c>
      <c r="D4376" s="8">
        <v>3.944</v>
      </c>
    </row>
    <row r="4377" spans="1:4">
      <c r="A4377" t="str">
        <f t="shared" si="74"/>
        <v>245Total Trades</v>
      </c>
      <c r="B4377">
        <v>245</v>
      </c>
      <c r="C4377" s="9" t="s">
        <v>28</v>
      </c>
      <c r="D4377" s="8">
        <v>891</v>
      </c>
    </row>
    <row r="4378" spans="1:4">
      <c r="A4378" t="str">
        <f t="shared" si="74"/>
        <v>245Average Win</v>
      </c>
      <c r="B4378">
        <v>245</v>
      </c>
      <c r="C4378" s="9" t="s">
        <v>25</v>
      </c>
      <c r="D4378" s="8">
        <v>0.15260000000000001</v>
      </c>
    </row>
    <row r="4379" spans="1:4">
      <c r="A4379" t="str">
        <f t="shared" si="74"/>
        <v>245Average Loss</v>
      </c>
      <c r="B4379">
        <v>245</v>
      </c>
      <c r="C4379" s="9" t="s">
        <v>29</v>
      </c>
      <c r="D4379" s="8">
        <v>-6.7100000000000007E-2</v>
      </c>
    </row>
    <row r="4380" spans="1:4">
      <c r="A4380" t="str">
        <f t="shared" si="74"/>
        <v>245Compounding Annual Return</v>
      </c>
      <c r="B4380">
        <v>245</v>
      </c>
      <c r="C4380" s="9" t="s">
        <v>30</v>
      </c>
      <c r="D4380" s="8">
        <v>3.9276300000000002</v>
      </c>
    </row>
    <row r="4381" spans="1:4">
      <c r="A4381" t="str">
        <f t="shared" si="74"/>
        <v>245Drawdown</v>
      </c>
      <c r="B4381">
        <v>245</v>
      </c>
      <c r="C4381" s="9" t="s">
        <v>8</v>
      </c>
      <c r="D4381" s="8">
        <v>0.53900000000000003</v>
      </c>
    </row>
    <row r="4382" spans="1:4">
      <c r="A4382" t="str">
        <f t="shared" si="74"/>
        <v>245Expectancy</v>
      </c>
      <c r="B4382">
        <v>245</v>
      </c>
      <c r="C4382" s="9" t="s">
        <v>31</v>
      </c>
      <c r="D4382" s="8">
        <v>0.63800000000000001</v>
      </c>
    </row>
    <row r="4383" spans="1:4">
      <c r="A4383" t="str">
        <f t="shared" ref="A4383:A4446" si="75">B4383&amp;C4383</f>
        <v>245Net Profit</v>
      </c>
      <c r="B4383">
        <v>245</v>
      </c>
      <c r="C4383" s="9" t="s">
        <v>32</v>
      </c>
      <c r="D4383" s="8">
        <v>1.81619</v>
      </c>
    </row>
    <row r="4384" spans="1:4">
      <c r="A4384" t="str">
        <f t="shared" si="75"/>
        <v>245Loss Rate</v>
      </c>
      <c r="B4384">
        <v>245</v>
      </c>
      <c r="C4384" s="9" t="s">
        <v>33</v>
      </c>
      <c r="D4384" s="8">
        <v>0.5</v>
      </c>
    </row>
    <row r="4385" spans="1:4">
      <c r="A4385" t="str">
        <f t="shared" si="75"/>
        <v>245Win Rate</v>
      </c>
      <c r="B4385">
        <v>245</v>
      </c>
      <c r="C4385" s="9" t="s">
        <v>34</v>
      </c>
      <c r="D4385" s="8">
        <v>0.5</v>
      </c>
    </row>
    <row r="4386" spans="1:4">
      <c r="A4386" t="str">
        <f t="shared" si="75"/>
        <v>245Profit-Loss Ratio</v>
      </c>
      <c r="B4386">
        <v>245</v>
      </c>
      <c r="C4386" s="9" t="s">
        <v>26</v>
      </c>
      <c r="D4386" s="8">
        <v>2.2799999999999998</v>
      </c>
    </row>
    <row r="4387" spans="1:4">
      <c r="A4387" t="str">
        <f t="shared" si="75"/>
        <v>245Alpha</v>
      </c>
      <c r="B4387">
        <v>245</v>
      </c>
      <c r="C4387" s="9" t="s">
        <v>23</v>
      </c>
      <c r="D4387" s="8">
        <v>4.2290000000000001</v>
      </c>
    </row>
    <row r="4388" spans="1:4">
      <c r="A4388" t="str">
        <f t="shared" si="75"/>
        <v>245Beta</v>
      </c>
      <c r="B4388">
        <v>245</v>
      </c>
      <c r="C4388" s="9" t="s">
        <v>24</v>
      </c>
      <c r="D4388" s="8">
        <v>0.19400000000000001</v>
      </c>
    </row>
    <row r="4389" spans="1:4">
      <c r="A4389" t="str">
        <f t="shared" si="75"/>
        <v>245Annual Standard Deviation</v>
      </c>
      <c r="B4389">
        <v>245</v>
      </c>
      <c r="C4389" s="9" t="s">
        <v>35</v>
      </c>
      <c r="D4389" s="8">
        <v>1.075</v>
      </c>
    </row>
    <row r="4390" spans="1:4">
      <c r="A4390" t="str">
        <f t="shared" si="75"/>
        <v>245Annual Variance</v>
      </c>
      <c r="B4390">
        <v>245</v>
      </c>
      <c r="C4390" s="9" t="s">
        <v>36</v>
      </c>
      <c r="D4390" s="8">
        <v>1.1559999999999999</v>
      </c>
    </row>
    <row r="4391" spans="1:4">
      <c r="A4391" t="str">
        <f t="shared" si="75"/>
        <v>245Information Ratio</v>
      </c>
      <c r="B4391">
        <v>245</v>
      </c>
      <c r="C4391" s="9" t="s">
        <v>37</v>
      </c>
      <c r="D4391" s="8">
        <v>3.8860000000000001</v>
      </c>
    </row>
    <row r="4392" spans="1:4">
      <c r="A4392" t="str">
        <f t="shared" si="75"/>
        <v>245Tracking Error</v>
      </c>
      <c r="B4392">
        <v>245</v>
      </c>
      <c r="C4392" s="9" t="s">
        <v>38</v>
      </c>
      <c r="D4392" s="8">
        <v>1.0760000000000001</v>
      </c>
    </row>
    <row r="4393" spans="1:4">
      <c r="A4393" t="str">
        <f t="shared" si="75"/>
        <v>245Treynor Ratio</v>
      </c>
      <c r="B4393">
        <v>245</v>
      </c>
      <c r="C4393" s="9" t="s">
        <v>39</v>
      </c>
      <c r="D4393" s="8">
        <v>21.882000000000001</v>
      </c>
    </row>
    <row r="4394" spans="1:4">
      <c r="A4394" t="str">
        <f t="shared" si="75"/>
        <v>245Total Fees</v>
      </c>
      <c r="B4394">
        <v>245</v>
      </c>
      <c r="C4394" s="9" t="s">
        <v>40</v>
      </c>
      <c r="D4394" s="8">
        <v>0</v>
      </c>
    </row>
    <row r="4395" spans="1:4">
      <c r="A4395" t="str">
        <f t="shared" si="75"/>
        <v>245Estimated Strategy Capacity</v>
      </c>
      <c r="B4395">
        <v>245</v>
      </c>
      <c r="C4395" s="9" t="s">
        <v>41</v>
      </c>
      <c r="D4395" s="8">
        <v>3900000</v>
      </c>
    </row>
    <row r="4396" spans="1:4">
      <c r="A4396" t="str">
        <f t="shared" si="75"/>
        <v>246PSR</v>
      </c>
      <c r="B4396">
        <v>246</v>
      </c>
      <c r="C4396" s="9" t="s">
        <v>27</v>
      </c>
      <c r="D4396" s="8">
        <v>0.75007999999999997</v>
      </c>
    </row>
    <row r="4397" spans="1:4">
      <c r="A4397" t="str">
        <f t="shared" si="75"/>
        <v>246Sharpe Ratio</v>
      </c>
      <c r="B4397">
        <v>246</v>
      </c>
      <c r="C4397" s="9" t="s">
        <v>1</v>
      </c>
      <c r="D4397" s="8">
        <v>6.8330000000000002</v>
      </c>
    </row>
    <row r="4398" spans="1:4">
      <c r="A4398" t="str">
        <f t="shared" si="75"/>
        <v>246Total Trades</v>
      </c>
      <c r="B4398">
        <v>246</v>
      </c>
      <c r="C4398" s="9" t="s">
        <v>28</v>
      </c>
      <c r="D4398" s="8">
        <v>859</v>
      </c>
    </row>
    <row r="4399" spans="1:4">
      <c r="A4399" t="str">
        <f t="shared" si="75"/>
        <v>246Average Win</v>
      </c>
      <c r="B4399">
        <v>246</v>
      </c>
      <c r="C4399" s="9" t="s">
        <v>25</v>
      </c>
      <c r="D4399" s="8">
        <v>0.22819999999999999</v>
      </c>
    </row>
    <row r="4400" spans="1:4">
      <c r="A4400" t="str">
        <f t="shared" si="75"/>
        <v>246Average Loss</v>
      </c>
      <c r="B4400">
        <v>246</v>
      </c>
      <c r="C4400" s="9" t="s">
        <v>29</v>
      </c>
      <c r="D4400" s="8">
        <v>-7.3800000000000004E-2</v>
      </c>
    </row>
    <row r="4401" spans="1:4">
      <c r="A4401" t="str">
        <f t="shared" si="75"/>
        <v>246Compounding Annual Return</v>
      </c>
      <c r="B4401">
        <v>246</v>
      </c>
      <c r="C4401" s="9" t="s">
        <v>30</v>
      </c>
      <c r="D4401" s="8">
        <v>6.2493600000000002</v>
      </c>
    </row>
    <row r="4402" spans="1:4">
      <c r="A4402" t="str">
        <f t="shared" si="75"/>
        <v>246Drawdown</v>
      </c>
      <c r="B4402">
        <v>246</v>
      </c>
      <c r="C4402" s="9" t="s">
        <v>8</v>
      </c>
      <c r="D4402" s="8">
        <v>0.67800000000000005</v>
      </c>
    </row>
    <row r="4403" spans="1:4">
      <c r="A4403" t="str">
        <f t="shared" si="75"/>
        <v>246Expectancy</v>
      </c>
      <c r="B4403">
        <v>246</v>
      </c>
      <c r="C4403" s="9" t="s">
        <v>31</v>
      </c>
      <c r="D4403" s="8">
        <v>0.70499999999999996</v>
      </c>
    </row>
    <row r="4404" spans="1:4">
      <c r="A4404" t="str">
        <f t="shared" si="75"/>
        <v>246Net Profit</v>
      </c>
      <c r="B4404">
        <v>246</v>
      </c>
      <c r="C4404" s="9" t="s">
        <v>32</v>
      </c>
      <c r="D4404" s="8">
        <v>2.6183200000000002</v>
      </c>
    </row>
    <row r="4405" spans="1:4">
      <c r="A4405" t="str">
        <f t="shared" si="75"/>
        <v>246Loss Rate</v>
      </c>
      <c r="B4405">
        <v>246</v>
      </c>
      <c r="C4405" s="9" t="s">
        <v>33</v>
      </c>
      <c r="D4405" s="8">
        <v>0.57999999999999996</v>
      </c>
    </row>
    <row r="4406" spans="1:4">
      <c r="A4406" t="str">
        <f t="shared" si="75"/>
        <v>246Win Rate</v>
      </c>
      <c r="B4406">
        <v>246</v>
      </c>
      <c r="C4406" s="9" t="s">
        <v>34</v>
      </c>
      <c r="D4406" s="8">
        <v>0.42</v>
      </c>
    </row>
    <row r="4407" spans="1:4">
      <c r="A4407" t="str">
        <f t="shared" si="75"/>
        <v>246Profit-Loss Ratio</v>
      </c>
      <c r="B4407">
        <v>246</v>
      </c>
      <c r="C4407" s="9" t="s">
        <v>26</v>
      </c>
      <c r="D4407" s="8">
        <v>3.09</v>
      </c>
    </row>
    <row r="4408" spans="1:4">
      <c r="A4408" t="str">
        <f t="shared" si="75"/>
        <v>246Alpha</v>
      </c>
      <c r="B4408">
        <v>246</v>
      </c>
      <c r="C4408" s="9" t="s">
        <v>23</v>
      </c>
      <c r="D4408" s="8">
        <v>9.7910000000000004</v>
      </c>
    </row>
    <row r="4409" spans="1:4">
      <c r="A4409" t="str">
        <f t="shared" si="75"/>
        <v>246Beta</v>
      </c>
      <c r="B4409">
        <v>246</v>
      </c>
      <c r="C4409" s="9" t="s">
        <v>24</v>
      </c>
      <c r="D4409" s="8">
        <v>0.34599999999999997</v>
      </c>
    </row>
    <row r="4410" spans="1:4">
      <c r="A4410" t="str">
        <f t="shared" si="75"/>
        <v>246Annual Standard Deviation</v>
      </c>
      <c r="B4410">
        <v>246</v>
      </c>
      <c r="C4410" s="9" t="s">
        <v>35</v>
      </c>
      <c r="D4410" s="8">
        <v>1.4359999999999999</v>
      </c>
    </row>
    <row r="4411" spans="1:4">
      <c r="A4411" t="str">
        <f t="shared" si="75"/>
        <v>246Annual Variance</v>
      </c>
      <c r="B4411">
        <v>246</v>
      </c>
      <c r="C4411" s="9" t="s">
        <v>36</v>
      </c>
      <c r="D4411" s="8">
        <v>2.0609999999999999</v>
      </c>
    </row>
    <row r="4412" spans="1:4">
      <c r="A4412" t="str">
        <f t="shared" si="75"/>
        <v>246Information Ratio</v>
      </c>
      <c r="B4412">
        <v>246</v>
      </c>
      <c r="C4412" s="9" t="s">
        <v>37</v>
      </c>
      <c r="D4412" s="8">
        <v>6.7919999999999998</v>
      </c>
    </row>
    <row r="4413" spans="1:4">
      <c r="A4413" t="str">
        <f t="shared" si="75"/>
        <v>246Tracking Error</v>
      </c>
      <c r="B4413">
        <v>246</v>
      </c>
      <c r="C4413" s="9" t="s">
        <v>38</v>
      </c>
      <c r="D4413" s="8">
        <v>1.4359999999999999</v>
      </c>
    </row>
    <row r="4414" spans="1:4">
      <c r="A4414" t="str">
        <f t="shared" si="75"/>
        <v>246Treynor Ratio</v>
      </c>
      <c r="B4414">
        <v>246</v>
      </c>
      <c r="C4414" s="9" t="s">
        <v>39</v>
      </c>
      <c r="D4414" s="8">
        <v>28.376999999999999</v>
      </c>
    </row>
    <row r="4415" spans="1:4">
      <c r="A4415" t="str">
        <f t="shared" si="75"/>
        <v>246Total Fees</v>
      </c>
      <c r="B4415">
        <v>246</v>
      </c>
      <c r="C4415" s="9" t="s">
        <v>40</v>
      </c>
      <c r="D4415" s="8">
        <v>0</v>
      </c>
    </row>
    <row r="4416" spans="1:4">
      <c r="A4416" t="str">
        <f t="shared" si="75"/>
        <v>246Estimated Strategy Capacity</v>
      </c>
      <c r="B4416">
        <v>246</v>
      </c>
      <c r="C4416" s="9" t="s">
        <v>41</v>
      </c>
      <c r="D4416" s="8">
        <v>3200000</v>
      </c>
    </row>
    <row r="4417" spans="1:4">
      <c r="A4417" t="str">
        <f t="shared" si="75"/>
        <v>247PSR</v>
      </c>
      <c r="B4417">
        <v>247</v>
      </c>
      <c r="C4417" s="9" t="s">
        <v>27</v>
      </c>
      <c r="D4417" s="8">
        <v>0.87436999999999998</v>
      </c>
    </row>
    <row r="4418" spans="1:4">
      <c r="A4418" t="str">
        <f t="shared" si="75"/>
        <v>247Sharpe Ratio</v>
      </c>
      <c r="B4418">
        <v>247</v>
      </c>
      <c r="C4418" s="9" t="s">
        <v>1</v>
      </c>
      <c r="D4418" s="8">
        <v>2.218</v>
      </c>
    </row>
    <row r="4419" spans="1:4">
      <c r="A4419" t="str">
        <f t="shared" si="75"/>
        <v>247Total Trades</v>
      </c>
      <c r="B4419">
        <v>247</v>
      </c>
      <c r="C4419" s="9" t="s">
        <v>28</v>
      </c>
      <c r="D4419" s="8">
        <v>504</v>
      </c>
    </row>
    <row r="4420" spans="1:4">
      <c r="A4420" t="str">
        <f t="shared" si="75"/>
        <v>247Average Win</v>
      </c>
      <c r="B4420">
        <v>247</v>
      </c>
      <c r="C4420" s="9" t="s">
        <v>25</v>
      </c>
      <c r="D4420" s="8">
        <v>2.6599999999999999E-2</v>
      </c>
    </row>
    <row r="4421" spans="1:4">
      <c r="A4421" t="str">
        <f t="shared" si="75"/>
        <v>247Average Loss</v>
      </c>
      <c r="B4421">
        <v>247</v>
      </c>
      <c r="C4421" s="9" t="s">
        <v>29</v>
      </c>
      <c r="D4421" s="8">
        <v>-0.01</v>
      </c>
    </row>
    <row r="4422" spans="1:4">
      <c r="A4422" t="str">
        <f t="shared" si="75"/>
        <v>247Compounding Annual Return</v>
      </c>
      <c r="B4422">
        <v>247</v>
      </c>
      <c r="C4422" s="9" t="s">
        <v>30</v>
      </c>
      <c r="D4422" s="8">
        <v>0.35386000000000001</v>
      </c>
    </row>
    <row r="4423" spans="1:4">
      <c r="A4423" t="str">
        <f t="shared" si="75"/>
        <v>247Drawdown</v>
      </c>
      <c r="B4423">
        <v>247</v>
      </c>
      <c r="C4423" s="9" t="s">
        <v>8</v>
      </c>
      <c r="D4423" s="8">
        <v>6.0999999999999999E-2</v>
      </c>
    </row>
    <row r="4424" spans="1:4">
      <c r="A4424" t="str">
        <f t="shared" si="75"/>
        <v>247Expectancy</v>
      </c>
      <c r="B4424">
        <v>247</v>
      </c>
      <c r="C4424" s="9" t="s">
        <v>31</v>
      </c>
      <c r="D4424" s="8">
        <v>1.2849999999999999</v>
      </c>
    </row>
    <row r="4425" spans="1:4">
      <c r="A4425" t="str">
        <f t="shared" si="75"/>
        <v>247Net Profit</v>
      </c>
      <c r="B4425">
        <v>247</v>
      </c>
      <c r="C4425" s="9" t="s">
        <v>32</v>
      </c>
      <c r="D4425" s="8">
        <v>0.21734999999999999</v>
      </c>
    </row>
    <row r="4426" spans="1:4">
      <c r="A4426" t="str">
        <f t="shared" si="75"/>
        <v>247Loss Rate</v>
      </c>
      <c r="B4426">
        <v>247</v>
      </c>
      <c r="C4426" s="9" t="s">
        <v>33</v>
      </c>
      <c r="D4426" s="8">
        <v>0.38</v>
      </c>
    </row>
    <row r="4427" spans="1:4">
      <c r="A4427" t="str">
        <f t="shared" si="75"/>
        <v>247Win Rate</v>
      </c>
      <c r="B4427">
        <v>247</v>
      </c>
      <c r="C4427" s="9" t="s">
        <v>34</v>
      </c>
      <c r="D4427" s="8">
        <v>0.62</v>
      </c>
    </row>
    <row r="4428" spans="1:4">
      <c r="A4428" t="str">
        <f t="shared" si="75"/>
        <v>247Profit-Loss Ratio</v>
      </c>
      <c r="B4428">
        <v>247</v>
      </c>
      <c r="C4428" s="9" t="s">
        <v>26</v>
      </c>
      <c r="D4428" s="8">
        <v>2.66</v>
      </c>
    </row>
    <row r="4429" spans="1:4">
      <c r="A4429" t="str">
        <f t="shared" si="75"/>
        <v>247Alpha</v>
      </c>
      <c r="B4429">
        <v>247</v>
      </c>
      <c r="C4429" s="9" t="s">
        <v>23</v>
      </c>
      <c r="D4429" s="8">
        <v>0.23699999999999999</v>
      </c>
    </row>
    <row r="4430" spans="1:4">
      <c r="A4430" t="str">
        <f t="shared" si="75"/>
        <v>247Beta</v>
      </c>
      <c r="B4430">
        <v>247</v>
      </c>
      <c r="C4430" s="9" t="s">
        <v>24</v>
      </c>
      <c r="D4430" s="8">
        <v>6.0999999999999999E-2</v>
      </c>
    </row>
    <row r="4431" spans="1:4">
      <c r="A4431" t="str">
        <f t="shared" si="75"/>
        <v>247Annual Standard Deviation</v>
      </c>
      <c r="B4431">
        <v>247</v>
      </c>
      <c r="C4431" s="9" t="s">
        <v>35</v>
      </c>
      <c r="D4431" s="8">
        <v>0.109</v>
      </c>
    </row>
    <row r="4432" spans="1:4">
      <c r="A4432" t="str">
        <f t="shared" si="75"/>
        <v>247Annual Variance</v>
      </c>
      <c r="B4432">
        <v>247</v>
      </c>
      <c r="C4432" s="9" t="s">
        <v>36</v>
      </c>
      <c r="D4432" s="8">
        <v>1.2E-2</v>
      </c>
    </row>
    <row r="4433" spans="1:4">
      <c r="A4433" t="str">
        <f t="shared" si="75"/>
        <v>247Information Ratio</v>
      </c>
      <c r="B4433">
        <v>247</v>
      </c>
      <c r="C4433" s="9" t="s">
        <v>37</v>
      </c>
      <c r="D4433" s="8">
        <v>1.476</v>
      </c>
    </row>
    <row r="4434" spans="1:4">
      <c r="A4434" t="str">
        <f t="shared" si="75"/>
        <v>247Tracking Error</v>
      </c>
      <c r="B4434">
        <v>247</v>
      </c>
      <c r="C4434" s="9" t="s">
        <v>38</v>
      </c>
      <c r="D4434" s="8">
        <v>0.125</v>
      </c>
    </row>
    <row r="4435" spans="1:4">
      <c r="A4435" t="str">
        <f t="shared" si="75"/>
        <v>247Treynor Ratio</v>
      </c>
      <c r="B4435">
        <v>247</v>
      </c>
      <c r="C4435" s="9" t="s">
        <v>39</v>
      </c>
      <c r="D4435" s="8">
        <v>3.976</v>
      </c>
    </row>
    <row r="4436" spans="1:4">
      <c r="A4436" t="str">
        <f t="shared" si="75"/>
        <v>247Total Fees</v>
      </c>
      <c r="B4436">
        <v>247</v>
      </c>
      <c r="C4436" s="9" t="s">
        <v>40</v>
      </c>
      <c r="D4436" s="8">
        <v>0</v>
      </c>
    </row>
    <row r="4437" spans="1:4">
      <c r="A4437" t="str">
        <f t="shared" si="75"/>
        <v>247Estimated Strategy Capacity</v>
      </c>
      <c r="B4437">
        <v>247</v>
      </c>
      <c r="C4437" s="9" t="s">
        <v>41</v>
      </c>
      <c r="D4437" s="8">
        <v>9000000</v>
      </c>
    </row>
    <row r="4438" spans="1:4">
      <c r="A4438" t="str">
        <f t="shared" si="75"/>
        <v>248PSR</v>
      </c>
      <c r="B4438">
        <v>248</v>
      </c>
      <c r="C4438" s="9" t="s">
        <v>27</v>
      </c>
      <c r="D4438" s="8">
        <v>0.80354999999999999</v>
      </c>
    </row>
    <row r="4439" spans="1:4">
      <c r="A4439" t="str">
        <f t="shared" si="75"/>
        <v>248Sharpe Ratio</v>
      </c>
      <c r="B4439">
        <v>248</v>
      </c>
      <c r="C4439" s="9" t="s">
        <v>1</v>
      </c>
      <c r="D4439" s="8">
        <v>3.5830000000000002</v>
      </c>
    </row>
    <row r="4440" spans="1:4">
      <c r="A4440" t="str">
        <f t="shared" si="75"/>
        <v>248Total Trades</v>
      </c>
      <c r="B4440">
        <v>248</v>
      </c>
      <c r="C4440" s="9" t="s">
        <v>28</v>
      </c>
      <c r="D4440" s="8">
        <v>493</v>
      </c>
    </row>
    <row r="4441" spans="1:4">
      <c r="A4441" t="str">
        <f t="shared" si="75"/>
        <v>248Average Win</v>
      </c>
      <c r="B4441">
        <v>248</v>
      </c>
      <c r="C4441" s="9" t="s">
        <v>25</v>
      </c>
      <c r="D4441" s="8">
        <v>0.1517</v>
      </c>
    </row>
    <row r="4442" spans="1:4">
      <c r="A4442" t="str">
        <f t="shared" si="75"/>
        <v>248Average Loss</v>
      </c>
      <c r="B4442">
        <v>248</v>
      </c>
      <c r="C4442" s="9" t="s">
        <v>29</v>
      </c>
      <c r="D4442" s="8">
        <v>-5.7099999999999998E-2</v>
      </c>
    </row>
    <row r="4443" spans="1:4">
      <c r="A4443" t="str">
        <f t="shared" si="75"/>
        <v>248Compounding Annual Return</v>
      </c>
      <c r="B4443">
        <v>248</v>
      </c>
      <c r="C4443" s="9" t="s">
        <v>30</v>
      </c>
      <c r="D4443" s="8">
        <v>3.4684200000000001</v>
      </c>
    </row>
    <row r="4444" spans="1:4">
      <c r="A4444" t="str">
        <f t="shared" si="75"/>
        <v>248Drawdown</v>
      </c>
      <c r="B4444">
        <v>248</v>
      </c>
      <c r="C4444" s="9" t="s">
        <v>8</v>
      </c>
      <c r="D4444" s="8">
        <v>0.36699999999999999</v>
      </c>
    </row>
    <row r="4445" spans="1:4">
      <c r="A4445" t="str">
        <f t="shared" si="75"/>
        <v>248Expectancy</v>
      </c>
      <c r="B4445">
        <v>248</v>
      </c>
      <c r="C4445" s="9" t="s">
        <v>31</v>
      </c>
      <c r="D4445" s="8">
        <v>1.119</v>
      </c>
    </row>
    <row r="4446" spans="1:4">
      <c r="A4446" t="str">
        <f t="shared" si="75"/>
        <v>248Net Profit</v>
      </c>
      <c r="B4446">
        <v>248</v>
      </c>
      <c r="C4446" s="9" t="s">
        <v>32</v>
      </c>
      <c r="D4446" s="8">
        <v>1.6429</v>
      </c>
    </row>
    <row r="4447" spans="1:4">
      <c r="A4447" t="str">
        <f t="shared" ref="A4447:A4510" si="76">B4447&amp;C4447</f>
        <v>248Loss Rate</v>
      </c>
      <c r="B4447">
        <v>248</v>
      </c>
      <c r="C4447" s="9" t="s">
        <v>33</v>
      </c>
      <c r="D4447" s="8">
        <v>0.42</v>
      </c>
    </row>
    <row r="4448" spans="1:4">
      <c r="A4448" t="str">
        <f t="shared" si="76"/>
        <v>248Win Rate</v>
      </c>
      <c r="B4448">
        <v>248</v>
      </c>
      <c r="C4448" s="9" t="s">
        <v>34</v>
      </c>
      <c r="D4448" s="8">
        <v>0.57999999999999996</v>
      </c>
    </row>
    <row r="4449" spans="1:4">
      <c r="A4449" t="str">
        <f t="shared" si="76"/>
        <v>248Profit-Loss Ratio</v>
      </c>
      <c r="B4449">
        <v>248</v>
      </c>
      <c r="C4449" s="9" t="s">
        <v>26</v>
      </c>
      <c r="D4449" s="8">
        <v>2.66</v>
      </c>
    </row>
    <row r="4450" spans="1:4">
      <c r="A4450" t="str">
        <f t="shared" si="76"/>
        <v>248Alpha</v>
      </c>
      <c r="B4450">
        <v>248</v>
      </c>
      <c r="C4450" s="9" t="s">
        <v>23</v>
      </c>
      <c r="D4450" s="8">
        <v>2.58</v>
      </c>
    </row>
    <row r="4451" spans="1:4">
      <c r="A4451" t="str">
        <f t="shared" si="76"/>
        <v>248Beta</v>
      </c>
      <c r="B4451">
        <v>248</v>
      </c>
      <c r="C4451" s="9" t="s">
        <v>24</v>
      </c>
      <c r="D4451" s="8">
        <v>0.36299999999999999</v>
      </c>
    </row>
    <row r="4452" spans="1:4">
      <c r="A4452" t="str">
        <f t="shared" si="76"/>
        <v>248Annual Standard Deviation</v>
      </c>
      <c r="B4452">
        <v>248</v>
      </c>
      <c r="C4452" s="9" t="s">
        <v>35</v>
      </c>
      <c r="D4452" s="8">
        <v>0.72599999999999998</v>
      </c>
    </row>
    <row r="4453" spans="1:4">
      <c r="A4453" t="str">
        <f t="shared" si="76"/>
        <v>248Annual Variance</v>
      </c>
      <c r="B4453">
        <v>248</v>
      </c>
      <c r="C4453" s="9" t="s">
        <v>36</v>
      </c>
      <c r="D4453" s="8">
        <v>0.52700000000000002</v>
      </c>
    </row>
    <row r="4454" spans="1:4">
      <c r="A4454" t="str">
        <f t="shared" si="76"/>
        <v>248Information Ratio</v>
      </c>
      <c r="B4454">
        <v>248</v>
      </c>
      <c r="C4454" s="9" t="s">
        <v>37</v>
      </c>
      <c r="D4454" s="8">
        <v>3.5</v>
      </c>
    </row>
    <row r="4455" spans="1:4">
      <c r="A4455" t="str">
        <f t="shared" si="76"/>
        <v>248Tracking Error</v>
      </c>
      <c r="B4455">
        <v>248</v>
      </c>
      <c r="C4455" s="9" t="s">
        <v>38</v>
      </c>
      <c r="D4455" s="8">
        <v>0.72699999999999998</v>
      </c>
    </row>
    <row r="4456" spans="1:4">
      <c r="A4456" t="str">
        <f t="shared" si="76"/>
        <v>248Treynor Ratio</v>
      </c>
      <c r="B4456">
        <v>248</v>
      </c>
      <c r="C4456" s="9" t="s">
        <v>39</v>
      </c>
      <c r="D4456" s="8">
        <v>7.1580000000000004</v>
      </c>
    </row>
    <row r="4457" spans="1:4">
      <c r="A4457" t="str">
        <f t="shared" si="76"/>
        <v>248Total Fees</v>
      </c>
      <c r="B4457">
        <v>248</v>
      </c>
      <c r="C4457" s="9" t="s">
        <v>40</v>
      </c>
      <c r="D4457" s="8">
        <v>0</v>
      </c>
    </row>
    <row r="4458" spans="1:4">
      <c r="A4458" t="str">
        <f t="shared" si="76"/>
        <v>248Estimated Strategy Capacity</v>
      </c>
      <c r="B4458">
        <v>248</v>
      </c>
      <c r="C4458" s="9" t="s">
        <v>41</v>
      </c>
      <c r="D4458" s="8">
        <v>3100000</v>
      </c>
    </row>
    <row r="4459" spans="1:4">
      <c r="A4459" t="str">
        <f t="shared" si="76"/>
        <v>249PSR</v>
      </c>
      <c r="B4459">
        <v>249</v>
      </c>
      <c r="C4459" s="9" t="s">
        <v>27</v>
      </c>
      <c r="D4459" s="8">
        <v>0.84875</v>
      </c>
    </row>
    <row r="4460" spans="1:4">
      <c r="A4460" t="str">
        <f t="shared" si="76"/>
        <v>249Sharpe Ratio</v>
      </c>
      <c r="B4460">
        <v>249</v>
      </c>
      <c r="C4460" s="9" t="s">
        <v>1</v>
      </c>
      <c r="D4460" s="8">
        <v>5.7190000000000003</v>
      </c>
    </row>
    <row r="4461" spans="1:4">
      <c r="A4461" t="str">
        <f t="shared" si="76"/>
        <v>249Total Trades</v>
      </c>
      <c r="B4461">
        <v>249</v>
      </c>
      <c r="C4461" s="9" t="s">
        <v>28</v>
      </c>
      <c r="D4461" s="8">
        <v>477</v>
      </c>
    </row>
    <row r="4462" spans="1:4">
      <c r="A4462" t="str">
        <f t="shared" si="76"/>
        <v>249Average Win</v>
      </c>
      <c r="B4462">
        <v>249</v>
      </c>
      <c r="C4462" s="9" t="s">
        <v>25</v>
      </c>
      <c r="D4462" s="8">
        <v>0.16389999999999999</v>
      </c>
    </row>
    <row r="4463" spans="1:4">
      <c r="A4463" t="str">
        <f t="shared" si="76"/>
        <v>249Average Loss</v>
      </c>
      <c r="B4463">
        <v>249</v>
      </c>
      <c r="C4463" s="9" t="s">
        <v>29</v>
      </c>
      <c r="D4463" s="8">
        <v>-5.7799999999999997E-2</v>
      </c>
    </row>
    <row r="4464" spans="1:4">
      <c r="A4464" t="str">
        <f t="shared" si="76"/>
        <v>249Compounding Annual Return</v>
      </c>
      <c r="B4464">
        <v>249</v>
      </c>
      <c r="C4464" s="9" t="s">
        <v>30</v>
      </c>
      <c r="D4464" s="8">
        <v>6.8448900000000004</v>
      </c>
    </row>
    <row r="4465" spans="1:4">
      <c r="A4465" t="str">
        <f t="shared" si="76"/>
        <v>249Drawdown</v>
      </c>
      <c r="B4465">
        <v>249</v>
      </c>
      <c r="C4465" s="9" t="s">
        <v>8</v>
      </c>
      <c r="D4465" s="8">
        <v>0.48899999999999999</v>
      </c>
    </row>
    <row r="4466" spans="1:4">
      <c r="A4466" t="str">
        <f t="shared" si="76"/>
        <v>249Expectancy</v>
      </c>
      <c r="B4466">
        <v>249</v>
      </c>
      <c r="C4466" s="9" t="s">
        <v>31</v>
      </c>
      <c r="D4466" s="8">
        <v>1.238</v>
      </c>
    </row>
    <row r="4467" spans="1:4">
      <c r="A4467" t="str">
        <f t="shared" si="76"/>
        <v>249Net Profit</v>
      </c>
      <c r="B4467">
        <v>249</v>
      </c>
      <c r="C4467" s="9" t="s">
        <v>32</v>
      </c>
      <c r="D4467" s="8">
        <v>2.8086099999999998</v>
      </c>
    </row>
    <row r="4468" spans="1:4">
      <c r="A4468" t="str">
        <f t="shared" si="76"/>
        <v>249Loss Rate</v>
      </c>
      <c r="B4468">
        <v>249</v>
      </c>
      <c r="C4468" s="9" t="s">
        <v>33</v>
      </c>
      <c r="D4468" s="8">
        <v>0.42</v>
      </c>
    </row>
    <row r="4469" spans="1:4">
      <c r="A4469" t="str">
        <f t="shared" si="76"/>
        <v>249Win Rate</v>
      </c>
      <c r="B4469">
        <v>249</v>
      </c>
      <c r="C4469" s="9" t="s">
        <v>34</v>
      </c>
      <c r="D4469" s="8">
        <v>0.57999999999999996</v>
      </c>
    </row>
    <row r="4470" spans="1:4">
      <c r="A4470" t="str">
        <f t="shared" si="76"/>
        <v>249Profit-Loss Ratio</v>
      </c>
      <c r="B4470">
        <v>249</v>
      </c>
      <c r="C4470" s="9" t="s">
        <v>26</v>
      </c>
      <c r="D4470" s="8">
        <v>2.84</v>
      </c>
    </row>
    <row r="4471" spans="1:4">
      <c r="A4471" t="str">
        <f t="shared" si="76"/>
        <v>249Alpha</v>
      </c>
      <c r="B4471">
        <v>249</v>
      </c>
      <c r="C4471" s="9" t="s">
        <v>23</v>
      </c>
      <c r="D4471" s="8">
        <v>5.1639999999999997</v>
      </c>
    </row>
    <row r="4472" spans="1:4">
      <c r="A4472" t="str">
        <f t="shared" si="76"/>
        <v>249Beta</v>
      </c>
      <c r="B4472">
        <v>249</v>
      </c>
      <c r="C4472" s="9" t="s">
        <v>24</v>
      </c>
      <c r="D4472" s="8">
        <v>0.879</v>
      </c>
    </row>
    <row r="4473" spans="1:4">
      <c r="A4473" t="str">
        <f t="shared" si="76"/>
        <v>249Annual Standard Deviation</v>
      </c>
      <c r="B4473">
        <v>249</v>
      </c>
      <c r="C4473" s="9" t="s">
        <v>35</v>
      </c>
      <c r="D4473" s="8">
        <v>0.91200000000000003</v>
      </c>
    </row>
    <row r="4474" spans="1:4">
      <c r="A4474" t="str">
        <f t="shared" si="76"/>
        <v>249Annual Variance</v>
      </c>
      <c r="B4474">
        <v>249</v>
      </c>
      <c r="C4474" s="9" t="s">
        <v>36</v>
      </c>
      <c r="D4474" s="8">
        <v>0.83099999999999996</v>
      </c>
    </row>
    <row r="4475" spans="1:4">
      <c r="A4475" t="str">
        <f t="shared" si="76"/>
        <v>249Information Ratio</v>
      </c>
      <c r="B4475">
        <v>249</v>
      </c>
      <c r="C4475" s="9" t="s">
        <v>37</v>
      </c>
      <c r="D4475" s="8">
        <v>5.6680000000000001</v>
      </c>
    </row>
    <row r="4476" spans="1:4">
      <c r="A4476" t="str">
        <f t="shared" si="76"/>
        <v>249Tracking Error</v>
      </c>
      <c r="B4476">
        <v>249</v>
      </c>
      <c r="C4476" s="9" t="s">
        <v>38</v>
      </c>
      <c r="D4476" s="8">
        <v>0.91</v>
      </c>
    </row>
    <row r="4477" spans="1:4">
      <c r="A4477" t="str">
        <f t="shared" si="76"/>
        <v>249Treynor Ratio</v>
      </c>
      <c r="B4477">
        <v>249</v>
      </c>
      <c r="C4477" s="9" t="s">
        <v>39</v>
      </c>
      <c r="D4477" s="8">
        <v>5.9340000000000002</v>
      </c>
    </row>
    <row r="4478" spans="1:4">
      <c r="A4478" t="str">
        <f t="shared" si="76"/>
        <v>249Total Fees</v>
      </c>
      <c r="B4478">
        <v>249</v>
      </c>
      <c r="C4478" s="9" t="s">
        <v>40</v>
      </c>
      <c r="D4478" s="8">
        <v>0</v>
      </c>
    </row>
    <row r="4479" spans="1:4">
      <c r="A4479" t="str">
        <f t="shared" si="76"/>
        <v>249Estimated Strategy Capacity</v>
      </c>
      <c r="B4479">
        <v>249</v>
      </c>
      <c r="C4479" s="9" t="s">
        <v>41</v>
      </c>
      <c r="D4479" s="8">
        <v>2500000</v>
      </c>
    </row>
    <row r="4480" spans="1:4">
      <c r="A4480" t="str">
        <f t="shared" si="76"/>
        <v>250PSR</v>
      </c>
      <c r="B4480">
        <v>250</v>
      </c>
      <c r="C4480" s="9" t="s">
        <v>27</v>
      </c>
      <c r="D4480" s="8">
        <v>0.52515999999999996</v>
      </c>
    </row>
    <row r="4481" spans="1:4">
      <c r="A4481" t="str">
        <f t="shared" si="76"/>
        <v>250Sharpe Ratio</v>
      </c>
      <c r="B4481">
        <v>250</v>
      </c>
      <c r="C4481" s="9" t="s">
        <v>1</v>
      </c>
      <c r="D4481" s="8">
        <v>1.1479999999999999</v>
      </c>
    </row>
    <row r="4482" spans="1:4">
      <c r="A4482" t="str">
        <f t="shared" si="76"/>
        <v>250Total Trades</v>
      </c>
      <c r="B4482">
        <v>250</v>
      </c>
      <c r="C4482" s="9" t="s">
        <v>28</v>
      </c>
      <c r="D4482" s="8">
        <v>387</v>
      </c>
    </row>
    <row r="4483" spans="1:4">
      <c r="A4483" t="str">
        <f t="shared" si="76"/>
        <v>250Average Win</v>
      </c>
      <c r="B4483">
        <v>250</v>
      </c>
      <c r="C4483" s="9" t="s">
        <v>25</v>
      </c>
      <c r="D4483" s="8">
        <v>4.4900000000000002E-2</v>
      </c>
    </row>
    <row r="4484" spans="1:4">
      <c r="A4484" t="str">
        <f t="shared" si="76"/>
        <v>250Average Loss</v>
      </c>
      <c r="B4484">
        <v>250</v>
      </c>
      <c r="C4484" s="9" t="s">
        <v>29</v>
      </c>
      <c r="D4484" s="8">
        <v>-2.23E-2</v>
      </c>
    </row>
    <row r="4485" spans="1:4">
      <c r="A4485" t="str">
        <f t="shared" si="76"/>
        <v>250Compounding Annual Return</v>
      </c>
      <c r="B4485">
        <v>250</v>
      </c>
      <c r="C4485" s="9" t="s">
        <v>30</v>
      </c>
      <c r="D4485" s="8">
        <v>0.22270000000000001</v>
      </c>
    </row>
    <row r="4486" spans="1:4">
      <c r="A4486" t="str">
        <f t="shared" si="76"/>
        <v>250Drawdown</v>
      </c>
      <c r="B4486">
        <v>250</v>
      </c>
      <c r="C4486" s="9" t="s">
        <v>8</v>
      </c>
      <c r="D4486" s="8">
        <v>6.8000000000000005E-2</v>
      </c>
    </row>
    <row r="4487" spans="1:4">
      <c r="A4487" t="str">
        <f t="shared" si="76"/>
        <v>250Expectancy</v>
      </c>
      <c r="B4487">
        <v>250</v>
      </c>
      <c r="C4487" s="9" t="s">
        <v>31</v>
      </c>
      <c r="D4487" s="8">
        <v>0.50700000000000001</v>
      </c>
    </row>
    <row r="4488" spans="1:4">
      <c r="A4488" t="str">
        <f t="shared" si="76"/>
        <v>250Net Profit</v>
      </c>
      <c r="B4488">
        <v>250</v>
      </c>
      <c r="C4488" s="9" t="s">
        <v>32</v>
      </c>
      <c r="D4488" s="8">
        <v>0.13943</v>
      </c>
    </row>
    <row r="4489" spans="1:4">
      <c r="A4489" t="str">
        <f t="shared" si="76"/>
        <v>250Loss Rate</v>
      </c>
      <c r="B4489">
        <v>250</v>
      </c>
      <c r="C4489" s="9" t="s">
        <v>33</v>
      </c>
      <c r="D4489" s="8">
        <v>0.5</v>
      </c>
    </row>
    <row r="4490" spans="1:4">
      <c r="A4490" t="str">
        <f t="shared" si="76"/>
        <v>250Win Rate</v>
      </c>
      <c r="B4490">
        <v>250</v>
      </c>
      <c r="C4490" s="9" t="s">
        <v>34</v>
      </c>
      <c r="D4490" s="8">
        <v>0.5</v>
      </c>
    </row>
    <row r="4491" spans="1:4">
      <c r="A4491" t="str">
        <f t="shared" si="76"/>
        <v>250Profit-Loss Ratio</v>
      </c>
      <c r="B4491">
        <v>250</v>
      </c>
      <c r="C4491" s="9" t="s">
        <v>26</v>
      </c>
      <c r="D4491" s="8">
        <v>2.0099999999999998</v>
      </c>
    </row>
    <row r="4492" spans="1:4">
      <c r="A4492" t="str">
        <f t="shared" si="76"/>
        <v>250Alpha</v>
      </c>
      <c r="B4492">
        <v>250</v>
      </c>
      <c r="C4492" s="9" t="s">
        <v>23</v>
      </c>
      <c r="D4492" s="8">
        <v>0.152</v>
      </c>
    </row>
    <row r="4493" spans="1:4">
      <c r="A4493" t="str">
        <f t="shared" si="76"/>
        <v>250Beta</v>
      </c>
      <c r="B4493">
        <v>250</v>
      </c>
      <c r="C4493" s="9" t="s">
        <v>24</v>
      </c>
      <c r="D4493" s="8">
        <v>0.16400000000000001</v>
      </c>
    </row>
    <row r="4494" spans="1:4">
      <c r="A4494" t="str">
        <f t="shared" si="76"/>
        <v>250Annual Standard Deviation</v>
      </c>
      <c r="B4494">
        <v>250</v>
      </c>
      <c r="C4494" s="9" t="s">
        <v>35</v>
      </c>
      <c r="D4494" s="8">
        <v>0.14000000000000001</v>
      </c>
    </row>
    <row r="4495" spans="1:4">
      <c r="A4495" t="str">
        <f t="shared" si="76"/>
        <v>250Annual Variance</v>
      </c>
      <c r="B4495">
        <v>250</v>
      </c>
      <c r="C4495" s="9" t="s">
        <v>36</v>
      </c>
      <c r="D4495" s="8">
        <v>0.02</v>
      </c>
    </row>
    <row r="4496" spans="1:4">
      <c r="A4496" t="str">
        <f t="shared" si="76"/>
        <v>250Information Ratio</v>
      </c>
      <c r="B4496">
        <v>250</v>
      </c>
      <c r="C4496" s="9" t="s">
        <v>37</v>
      </c>
      <c r="D4496" s="8">
        <v>0.69799999999999995</v>
      </c>
    </row>
    <row r="4497" spans="1:4">
      <c r="A4497" t="str">
        <f t="shared" si="76"/>
        <v>250Tracking Error</v>
      </c>
      <c r="B4497">
        <v>250</v>
      </c>
      <c r="C4497" s="9" t="s">
        <v>38</v>
      </c>
      <c r="D4497" s="8">
        <v>0.15</v>
      </c>
    </row>
    <row r="4498" spans="1:4">
      <c r="A4498" t="str">
        <f t="shared" si="76"/>
        <v>250Treynor Ratio</v>
      </c>
      <c r="B4498">
        <v>250</v>
      </c>
      <c r="C4498" s="9" t="s">
        <v>39</v>
      </c>
      <c r="D4498" s="8">
        <v>0.97799999999999998</v>
      </c>
    </row>
    <row r="4499" spans="1:4">
      <c r="A4499" t="str">
        <f t="shared" si="76"/>
        <v>250Total Fees</v>
      </c>
      <c r="B4499">
        <v>250</v>
      </c>
      <c r="C4499" s="9" t="s">
        <v>40</v>
      </c>
      <c r="D4499" s="8">
        <v>0</v>
      </c>
    </row>
    <row r="4500" spans="1:4">
      <c r="A4500" t="str">
        <f t="shared" si="76"/>
        <v>250Estimated Strategy Capacity</v>
      </c>
      <c r="B4500">
        <v>250</v>
      </c>
      <c r="C4500" s="9" t="s">
        <v>41</v>
      </c>
      <c r="D4500" s="8">
        <v>3900000</v>
      </c>
    </row>
    <row r="4501" spans="1:4">
      <c r="A4501" t="str">
        <f t="shared" si="76"/>
        <v>252PSR</v>
      </c>
      <c r="B4501">
        <v>252</v>
      </c>
      <c r="C4501" s="9" t="s">
        <v>27</v>
      </c>
      <c r="D4501" s="8">
        <v>0.64390999999999998</v>
      </c>
    </row>
    <row r="4502" spans="1:4">
      <c r="A4502" t="str">
        <f t="shared" si="76"/>
        <v>252Sharpe Ratio</v>
      </c>
      <c r="B4502">
        <v>252</v>
      </c>
      <c r="C4502" s="9" t="s">
        <v>1</v>
      </c>
      <c r="D4502" s="8">
        <v>4.0780000000000003</v>
      </c>
    </row>
    <row r="4503" spans="1:4">
      <c r="A4503" t="str">
        <f t="shared" si="76"/>
        <v>252Total Trades</v>
      </c>
      <c r="B4503">
        <v>252</v>
      </c>
      <c r="C4503" s="9" t="s">
        <v>28</v>
      </c>
      <c r="D4503" s="8">
        <v>348</v>
      </c>
    </row>
    <row r="4504" spans="1:4">
      <c r="A4504" t="str">
        <f t="shared" si="76"/>
        <v>252Average Win</v>
      </c>
      <c r="B4504">
        <v>252</v>
      </c>
      <c r="C4504" s="9" t="s">
        <v>25</v>
      </c>
      <c r="D4504" s="8">
        <v>0.19939999999999999</v>
      </c>
    </row>
    <row r="4505" spans="1:4">
      <c r="A4505" t="str">
        <f t="shared" si="76"/>
        <v>252Average Loss</v>
      </c>
      <c r="B4505">
        <v>252</v>
      </c>
      <c r="C4505" s="9" t="s">
        <v>29</v>
      </c>
      <c r="D4505" s="8">
        <v>-7.2700000000000001E-2</v>
      </c>
    </row>
    <row r="4506" spans="1:4">
      <c r="A4506" t="str">
        <f t="shared" si="76"/>
        <v>252Compounding Annual Return</v>
      </c>
      <c r="B4506">
        <v>252</v>
      </c>
      <c r="C4506" s="9" t="s">
        <v>30</v>
      </c>
      <c r="D4506" s="8">
        <v>2.8515299999999999</v>
      </c>
    </row>
    <row r="4507" spans="1:4">
      <c r="A4507" t="str">
        <f t="shared" si="76"/>
        <v>252Drawdown</v>
      </c>
      <c r="B4507">
        <v>252</v>
      </c>
      <c r="C4507" s="9" t="s">
        <v>8</v>
      </c>
      <c r="D4507" s="8">
        <v>0.69799999999999995</v>
      </c>
    </row>
    <row r="4508" spans="1:4">
      <c r="A4508" t="str">
        <f t="shared" si="76"/>
        <v>252Expectancy</v>
      </c>
      <c r="B4508">
        <v>252</v>
      </c>
      <c r="C4508" s="9" t="s">
        <v>31</v>
      </c>
      <c r="D4508" s="8">
        <v>0.63700000000000001</v>
      </c>
    </row>
    <row r="4509" spans="1:4">
      <c r="A4509" t="str">
        <f t="shared" si="76"/>
        <v>252Net Profit</v>
      </c>
      <c r="B4509">
        <v>252</v>
      </c>
      <c r="C4509" s="9" t="s">
        <v>32</v>
      </c>
      <c r="D4509" s="8">
        <v>1.3998999999999999</v>
      </c>
    </row>
    <row r="4510" spans="1:4">
      <c r="A4510" t="str">
        <f t="shared" si="76"/>
        <v>252Loss Rate</v>
      </c>
      <c r="B4510">
        <v>252</v>
      </c>
      <c r="C4510" s="9" t="s">
        <v>33</v>
      </c>
      <c r="D4510" s="8">
        <v>0.56000000000000005</v>
      </c>
    </row>
    <row r="4511" spans="1:4">
      <c r="A4511" t="str">
        <f t="shared" ref="A4511:A4574" si="77">B4511&amp;C4511</f>
        <v>252Win Rate</v>
      </c>
      <c r="B4511">
        <v>252</v>
      </c>
      <c r="C4511" s="9" t="s">
        <v>34</v>
      </c>
      <c r="D4511" s="8">
        <v>0.44</v>
      </c>
    </row>
    <row r="4512" spans="1:4">
      <c r="A4512" t="str">
        <f t="shared" si="77"/>
        <v>252Profit-Loss Ratio</v>
      </c>
      <c r="B4512">
        <v>252</v>
      </c>
      <c r="C4512" s="9" t="s">
        <v>26</v>
      </c>
      <c r="D4512" s="8">
        <v>2.74</v>
      </c>
    </row>
    <row r="4513" spans="1:4">
      <c r="A4513" t="str">
        <f t="shared" si="77"/>
        <v>252Alpha</v>
      </c>
      <c r="B4513">
        <v>252</v>
      </c>
      <c r="C4513" s="9" t="s">
        <v>23</v>
      </c>
      <c r="D4513" s="8">
        <v>5.4729999999999999</v>
      </c>
    </row>
    <row r="4514" spans="1:4">
      <c r="A4514" t="str">
        <f t="shared" si="77"/>
        <v>252Beta</v>
      </c>
      <c r="B4514">
        <v>252</v>
      </c>
      <c r="C4514" s="9" t="s">
        <v>24</v>
      </c>
      <c r="D4514" s="8">
        <v>2.226</v>
      </c>
    </row>
    <row r="4515" spans="1:4">
      <c r="A4515" t="str">
        <f t="shared" si="77"/>
        <v>252Annual Standard Deviation</v>
      </c>
      <c r="B4515">
        <v>252</v>
      </c>
      <c r="C4515" s="9" t="s">
        <v>35</v>
      </c>
      <c r="D4515" s="8">
        <v>1.373</v>
      </c>
    </row>
    <row r="4516" spans="1:4">
      <c r="A4516" t="str">
        <f t="shared" si="77"/>
        <v>252Annual Variance</v>
      </c>
      <c r="B4516">
        <v>252</v>
      </c>
      <c r="C4516" s="9" t="s">
        <v>36</v>
      </c>
      <c r="D4516" s="8">
        <v>1.8859999999999999</v>
      </c>
    </row>
    <row r="4517" spans="1:4">
      <c r="A4517" t="str">
        <f t="shared" si="77"/>
        <v>252Information Ratio</v>
      </c>
      <c r="B4517">
        <v>252</v>
      </c>
      <c r="C4517" s="9" t="s">
        <v>37</v>
      </c>
      <c r="D4517" s="8">
        <v>4.0529999999999999</v>
      </c>
    </row>
    <row r="4518" spans="1:4">
      <c r="A4518" t="str">
        <f t="shared" si="77"/>
        <v>252Tracking Error</v>
      </c>
      <c r="B4518">
        <v>252</v>
      </c>
      <c r="C4518" s="9" t="s">
        <v>38</v>
      </c>
      <c r="D4518" s="8">
        <v>1.3680000000000001</v>
      </c>
    </row>
    <row r="4519" spans="1:4">
      <c r="A4519" t="str">
        <f t="shared" si="77"/>
        <v>252Treynor Ratio</v>
      </c>
      <c r="B4519">
        <v>252</v>
      </c>
      <c r="C4519" s="9" t="s">
        <v>39</v>
      </c>
      <c r="D4519" s="8">
        <v>2.516</v>
      </c>
    </row>
    <row r="4520" spans="1:4">
      <c r="A4520" t="str">
        <f t="shared" si="77"/>
        <v>252Total Fees</v>
      </c>
      <c r="B4520">
        <v>252</v>
      </c>
      <c r="C4520" s="9" t="s">
        <v>40</v>
      </c>
      <c r="D4520" s="8">
        <v>0</v>
      </c>
    </row>
    <row r="4521" spans="1:4">
      <c r="A4521" t="str">
        <f t="shared" si="77"/>
        <v>252Estimated Strategy Capacity</v>
      </c>
      <c r="B4521">
        <v>252</v>
      </c>
      <c r="C4521" s="9" t="s">
        <v>41</v>
      </c>
      <c r="D4521" s="8">
        <v>1200000</v>
      </c>
    </row>
    <row r="4522" spans="1:4">
      <c r="A4522" t="str">
        <f t="shared" si="77"/>
        <v>251PSR</v>
      </c>
      <c r="B4522">
        <v>251</v>
      </c>
      <c r="C4522" s="9" t="s">
        <v>27</v>
      </c>
      <c r="D4522" s="8">
        <v>0.63382000000000005</v>
      </c>
    </row>
    <row r="4523" spans="1:4">
      <c r="A4523" t="str">
        <f t="shared" si="77"/>
        <v>251Sharpe Ratio</v>
      </c>
      <c r="B4523">
        <v>251</v>
      </c>
      <c r="C4523" s="9" t="s">
        <v>1</v>
      </c>
      <c r="D4523" s="8">
        <v>2.8050000000000002</v>
      </c>
    </row>
    <row r="4524" spans="1:4">
      <c r="A4524" t="str">
        <f t="shared" si="77"/>
        <v>251Total Trades</v>
      </c>
      <c r="B4524">
        <v>251</v>
      </c>
      <c r="C4524" s="9" t="s">
        <v>28</v>
      </c>
      <c r="D4524" s="8">
        <v>367</v>
      </c>
    </row>
    <row r="4525" spans="1:4">
      <c r="A4525" t="str">
        <f t="shared" si="77"/>
        <v>251Average Win</v>
      </c>
      <c r="B4525">
        <v>251</v>
      </c>
      <c r="C4525" s="9" t="s">
        <v>25</v>
      </c>
      <c r="D4525" s="8">
        <v>0.3407</v>
      </c>
    </row>
    <row r="4526" spans="1:4">
      <c r="A4526" t="str">
        <f t="shared" si="77"/>
        <v>251Average Loss</v>
      </c>
      <c r="B4526">
        <v>251</v>
      </c>
      <c r="C4526" s="9" t="s">
        <v>29</v>
      </c>
      <c r="D4526" s="8">
        <v>-0.1081</v>
      </c>
    </row>
    <row r="4527" spans="1:4">
      <c r="A4527" t="str">
        <f t="shared" si="77"/>
        <v>251Compounding Annual Return</v>
      </c>
      <c r="B4527">
        <v>251</v>
      </c>
      <c r="C4527" s="9" t="s">
        <v>30</v>
      </c>
      <c r="D4527" s="8">
        <v>2.3747699999999998</v>
      </c>
    </row>
    <row r="4528" spans="1:4">
      <c r="A4528" t="str">
        <f t="shared" si="77"/>
        <v>251Drawdown</v>
      </c>
      <c r="B4528">
        <v>251</v>
      </c>
      <c r="C4528" s="9" t="s">
        <v>8</v>
      </c>
      <c r="D4528" s="8">
        <v>0.48599999999999999</v>
      </c>
    </row>
    <row r="4529" spans="1:4">
      <c r="A4529" t="str">
        <f t="shared" si="77"/>
        <v>251Expectancy</v>
      </c>
      <c r="B4529">
        <v>251</v>
      </c>
      <c r="C4529" s="9" t="s">
        <v>31</v>
      </c>
      <c r="D4529" s="8">
        <v>0.77900000000000003</v>
      </c>
    </row>
    <row r="4530" spans="1:4">
      <c r="A4530" t="str">
        <f t="shared" si="77"/>
        <v>251Net Profit</v>
      </c>
      <c r="B4530">
        <v>251</v>
      </c>
      <c r="C4530" s="9" t="s">
        <v>32</v>
      </c>
      <c r="D4530" s="8">
        <v>1.20261</v>
      </c>
    </row>
    <row r="4531" spans="1:4">
      <c r="A4531" t="str">
        <f t="shared" si="77"/>
        <v>251Loss Rate</v>
      </c>
      <c r="B4531">
        <v>251</v>
      </c>
      <c r="C4531" s="9" t="s">
        <v>33</v>
      </c>
      <c r="D4531" s="8">
        <v>0.56999999999999995</v>
      </c>
    </row>
    <row r="4532" spans="1:4">
      <c r="A4532" t="str">
        <f t="shared" si="77"/>
        <v>251Win Rate</v>
      </c>
      <c r="B4532">
        <v>251</v>
      </c>
      <c r="C4532" s="9" t="s">
        <v>34</v>
      </c>
      <c r="D4532" s="8">
        <v>0.43</v>
      </c>
    </row>
    <row r="4533" spans="1:4">
      <c r="A4533" t="str">
        <f t="shared" si="77"/>
        <v>251Profit-Loss Ratio</v>
      </c>
      <c r="B4533">
        <v>251</v>
      </c>
      <c r="C4533" s="9" t="s">
        <v>26</v>
      </c>
      <c r="D4533" s="8">
        <v>3.15</v>
      </c>
    </row>
    <row r="4534" spans="1:4">
      <c r="A4534" t="str">
        <f t="shared" si="77"/>
        <v>251Alpha</v>
      </c>
      <c r="B4534">
        <v>251</v>
      </c>
      <c r="C4534" s="9" t="s">
        <v>23</v>
      </c>
      <c r="D4534" s="8">
        <v>2.6880000000000002</v>
      </c>
    </row>
    <row r="4535" spans="1:4">
      <c r="A4535" t="str">
        <f t="shared" si="77"/>
        <v>251Beta</v>
      </c>
      <c r="B4535">
        <v>251</v>
      </c>
      <c r="C4535" s="9" t="s">
        <v>24</v>
      </c>
      <c r="D4535" s="8">
        <v>1.145</v>
      </c>
    </row>
    <row r="4536" spans="1:4">
      <c r="A4536" t="str">
        <f t="shared" si="77"/>
        <v>251Annual Standard Deviation</v>
      </c>
      <c r="B4536">
        <v>251</v>
      </c>
      <c r="C4536" s="9" t="s">
        <v>35</v>
      </c>
      <c r="D4536" s="8">
        <v>0.98099999999999998</v>
      </c>
    </row>
    <row r="4537" spans="1:4">
      <c r="A4537" t="str">
        <f t="shared" si="77"/>
        <v>251Annual Variance</v>
      </c>
      <c r="B4537">
        <v>251</v>
      </c>
      <c r="C4537" s="9" t="s">
        <v>36</v>
      </c>
      <c r="D4537" s="8">
        <v>0.96299999999999997</v>
      </c>
    </row>
    <row r="4538" spans="1:4">
      <c r="A4538" t="str">
        <f t="shared" si="77"/>
        <v>251Information Ratio</v>
      </c>
      <c r="B4538">
        <v>251</v>
      </c>
      <c r="C4538" s="9" t="s">
        <v>37</v>
      </c>
      <c r="D4538" s="8">
        <v>2.7549999999999999</v>
      </c>
    </row>
    <row r="4539" spans="1:4">
      <c r="A4539" t="str">
        <f t="shared" si="77"/>
        <v>251Tracking Error</v>
      </c>
      <c r="B4539">
        <v>251</v>
      </c>
      <c r="C4539" s="9" t="s">
        <v>38</v>
      </c>
      <c r="D4539" s="8">
        <v>0.97899999999999998</v>
      </c>
    </row>
    <row r="4540" spans="1:4">
      <c r="A4540" t="str">
        <f t="shared" si="77"/>
        <v>251Treynor Ratio</v>
      </c>
      <c r="B4540">
        <v>251</v>
      </c>
      <c r="C4540" s="9" t="s">
        <v>39</v>
      </c>
      <c r="D4540" s="8">
        <v>2.4039999999999999</v>
      </c>
    </row>
    <row r="4541" spans="1:4">
      <c r="A4541" t="str">
        <f t="shared" si="77"/>
        <v>251Total Fees</v>
      </c>
      <c r="B4541">
        <v>251</v>
      </c>
      <c r="C4541" s="9" t="s">
        <v>40</v>
      </c>
      <c r="D4541" s="8">
        <v>0</v>
      </c>
    </row>
    <row r="4542" spans="1:4">
      <c r="A4542" t="str">
        <f t="shared" si="77"/>
        <v>251Estimated Strategy Capacity</v>
      </c>
      <c r="B4542">
        <v>251</v>
      </c>
      <c r="C4542" s="9" t="s">
        <v>41</v>
      </c>
      <c r="D4542" s="8">
        <v>1700000</v>
      </c>
    </row>
    <row r="4543" spans="1:4">
      <c r="A4543" t="str">
        <f t="shared" si="77"/>
        <v>271PSR</v>
      </c>
      <c r="B4543">
        <v>271</v>
      </c>
      <c r="C4543" s="9" t="s">
        <v>27</v>
      </c>
      <c r="D4543" s="8">
        <v>0.79584999999999995</v>
      </c>
    </row>
    <row r="4544" spans="1:4">
      <c r="A4544" t="str">
        <f t="shared" si="77"/>
        <v>271Sharpe Ratio</v>
      </c>
      <c r="B4544">
        <v>271</v>
      </c>
      <c r="C4544" s="9" t="s">
        <v>1</v>
      </c>
      <c r="D4544" s="8">
        <v>2.0270000000000001</v>
      </c>
    </row>
    <row r="4545" spans="1:4">
      <c r="A4545" t="str">
        <f t="shared" si="77"/>
        <v>271Total Trades</v>
      </c>
      <c r="B4545">
        <v>271</v>
      </c>
      <c r="C4545" s="9" t="s">
        <v>28</v>
      </c>
      <c r="D4545" s="8">
        <v>893</v>
      </c>
    </row>
    <row r="4546" spans="1:4">
      <c r="A4546" t="str">
        <f t="shared" si="77"/>
        <v>271Average Win</v>
      </c>
      <c r="B4546">
        <v>271</v>
      </c>
      <c r="C4546" s="9" t="s">
        <v>25</v>
      </c>
      <c r="D4546" s="8">
        <v>2.0299999999999999E-2</v>
      </c>
    </row>
    <row r="4547" spans="1:4">
      <c r="A4547" t="str">
        <f t="shared" si="77"/>
        <v>271Average Loss</v>
      </c>
      <c r="B4547">
        <v>271</v>
      </c>
      <c r="C4547" s="9" t="s">
        <v>29</v>
      </c>
      <c r="D4547" s="8">
        <v>-1.34E-2</v>
      </c>
    </row>
    <row r="4548" spans="1:4">
      <c r="A4548" t="str">
        <f t="shared" si="77"/>
        <v>271Compounding Annual Return</v>
      </c>
      <c r="B4548">
        <v>271</v>
      </c>
      <c r="C4548" s="9" t="s">
        <v>30</v>
      </c>
      <c r="D4548" s="8">
        <v>0.37667</v>
      </c>
    </row>
    <row r="4549" spans="1:4">
      <c r="A4549" t="str">
        <f t="shared" si="77"/>
        <v>271Drawdown</v>
      </c>
      <c r="B4549">
        <v>271</v>
      </c>
      <c r="C4549" s="9" t="s">
        <v>8</v>
      </c>
      <c r="D4549" s="8">
        <v>8.2000000000000003E-2</v>
      </c>
    </row>
    <row r="4550" spans="1:4">
      <c r="A4550" t="str">
        <f t="shared" si="77"/>
        <v>271Expectancy</v>
      </c>
      <c r="B4550">
        <v>271</v>
      </c>
      <c r="C4550" s="9" t="s">
        <v>31</v>
      </c>
      <c r="D4550" s="8">
        <v>0.56299999999999994</v>
      </c>
    </row>
    <row r="4551" spans="1:4">
      <c r="A4551" t="str">
        <f t="shared" si="77"/>
        <v>271Net Profit</v>
      </c>
      <c r="B4551">
        <v>271</v>
      </c>
      <c r="C4551" s="9" t="s">
        <v>32</v>
      </c>
      <c r="D4551" s="8">
        <v>0.23063</v>
      </c>
    </row>
    <row r="4552" spans="1:4">
      <c r="A4552" t="str">
        <f t="shared" si="77"/>
        <v>271Loss Rate</v>
      </c>
      <c r="B4552">
        <v>271</v>
      </c>
      <c r="C4552" s="9" t="s">
        <v>33</v>
      </c>
      <c r="D4552" s="8">
        <v>0.38</v>
      </c>
    </row>
    <row r="4553" spans="1:4">
      <c r="A4553" t="str">
        <f t="shared" si="77"/>
        <v>271Win Rate</v>
      </c>
      <c r="B4553">
        <v>271</v>
      </c>
      <c r="C4553" s="9" t="s">
        <v>34</v>
      </c>
      <c r="D4553" s="8">
        <v>0.62</v>
      </c>
    </row>
    <row r="4554" spans="1:4">
      <c r="A4554" t="str">
        <f t="shared" si="77"/>
        <v>271Profit-Loss Ratio</v>
      </c>
      <c r="B4554">
        <v>271</v>
      </c>
      <c r="C4554" s="9" t="s">
        <v>26</v>
      </c>
      <c r="D4554" s="8">
        <v>1.52</v>
      </c>
    </row>
    <row r="4555" spans="1:4">
      <c r="A4555" t="str">
        <f t="shared" si="77"/>
        <v>271Alpha</v>
      </c>
      <c r="B4555">
        <v>271</v>
      </c>
      <c r="C4555" s="9" t="s">
        <v>23</v>
      </c>
      <c r="D4555" s="8">
        <v>0.221</v>
      </c>
    </row>
    <row r="4556" spans="1:4">
      <c r="A4556" t="str">
        <f t="shared" si="77"/>
        <v>271Beta</v>
      </c>
      <c r="B4556">
        <v>271</v>
      </c>
      <c r="C4556" s="9" t="s">
        <v>24</v>
      </c>
      <c r="D4556" s="8">
        <v>0.65800000000000003</v>
      </c>
    </row>
    <row r="4557" spans="1:4">
      <c r="A4557" t="str">
        <f t="shared" si="77"/>
        <v>271Annual Standard Deviation</v>
      </c>
      <c r="B4557">
        <v>271</v>
      </c>
      <c r="C4557" s="9" t="s">
        <v>35</v>
      </c>
      <c r="D4557" s="8">
        <v>0.127</v>
      </c>
    </row>
    <row r="4558" spans="1:4">
      <c r="A4558" t="str">
        <f t="shared" si="77"/>
        <v>271Annual Variance</v>
      </c>
      <c r="B4558">
        <v>271</v>
      </c>
      <c r="C4558" s="9" t="s">
        <v>36</v>
      </c>
      <c r="D4558" s="8">
        <v>1.6E-2</v>
      </c>
    </row>
    <row r="4559" spans="1:4">
      <c r="A4559" t="str">
        <f t="shared" si="77"/>
        <v>271Information Ratio</v>
      </c>
      <c r="B4559">
        <v>271</v>
      </c>
      <c r="C4559" s="9" t="s">
        <v>37</v>
      </c>
      <c r="D4559" s="8">
        <v>1.651</v>
      </c>
    </row>
    <row r="4560" spans="1:4">
      <c r="A4560" t="str">
        <f t="shared" si="77"/>
        <v>271Tracking Error</v>
      </c>
      <c r="B4560">
        <v>271</v>
      </c>
      <c r="C4560" s="9" t="s">
        <v>38</v>
      </c>
      <c r="D4560" s="8">
        <v>0.122</v>
      </c>
    </row>
    <row r="4561" spans="1:4">
      <c r="A4561" t="str">
        <f t="shared" si="77"/>
        <v>271Treynor Ratio</v>
      </c>
      <c r="B4561">
        <v>271</v>
      </c>
      <c r="C4561" s="9" t="s">
        <v>39</v>
      </c>
      <c r="D4561" s="8">
        <v>0.39200000000000002</v>
      </c>
    </row>
    <row r="4562" spans="1:4">
      <c r="A4562" t="str">
        <f t="shared" si="77"/>
        <v>271Total Fees</v>
      </c>
      <c r="B4562">
        <v>271</v>
      </c>
      <c r="C4562" s="9" t="s">
        <v>40</v>
      </c>
      <c r="D4562" s="8">
        <v>0</v>
      </c>
    </row>
    <row r="4563" spans="1:4">
      <c r="A4563" t="str">
        <f t="shared" si="77"/>
        <v>271Estimated Strategy Capacity</v>
      </c>
      <c r="B4563">
        <v>271</v>
      </c>
      <c r="C4563" s="9" t="s">
        <v>41</v>
      </c>
      <c r="D4563" s="8">
        <v>5000000</v>
      </c>
    </row>
    <row r="4564" spans="1:4">
      <c r="A4564" t="str">
        <f t="shared" si="77"/>
        <v>272PSR</v>
      </c>
      <c r="B4564">
        <v>272</v>
      </c>
      <c r="C4564" s="9" t="s">
        <v>27</v>
      </c>
      <c r="D4564" s="8">
        <v>0.82501000000000002</v>
      </c>
    </row>
    <row r="4565" spans="1:4">
      <c r="A4565" t="str">
        <f t="shared" si="77"/>
        <v>272Sharpe Ratio</v>
      </c>
      <c r="B4565">
        <v>272</v>
      </c>
      <c r="C4565" s="9" t="s">
        <v>1</v>
      </c>
      <c r="D4565" s="8">
        <v>4.399</v>
      </c>
    </row>
    <row r="4566" spans="1:4">
      <c r="A4566" t="str">
        <f t="shared" si="77"/>
        <v>272Total Trades</v>
      </c>
      <c r="B4566">
        <v>272</v>
      </c>
      <c r="C4566" s="9" t="s">
        <v>28</v>
      </c>
      <c r="D4566" s="8">
        <v>876</v>
      </c>
    </row>
    <row r="4567" spans="1:4">
      <c r="A4567" t="str">
        <f t="shared" si="77"/>
        <v>272Average Win</v>
      </c>
      <c r="B4567">
        <v>272</v>
      </c>
      <c r="C4567" s="9" t="s">
        <v>25</v>
      </c>
      <c r="D4567" s="8">
        <v>0.13550000000000001</v>
      </c>
    </row>
    <row r="4568" spans="1:4">
      <c r="A4568" t="str">
        <f t="shared" si="77"/>
        <v>272Average Loss</v>
      </c>
      <c r="B4568">
        <v>272</v>
      </c>
      <c r="C4568" s="9" t="s">
        <v>29</v>
      </c>
      <c r="D4568" s="8">
        <v>-7.3700000000000002E-2</v>
      </c>
    </row>
    <row r="4569" spans="1:4">
      <c r="A4569" t="str">
        <f t="shared" si="77"/>
        <v>272Compounding Annual Return</v>
      </c>
      <c r="B4569">
        <v>272</v>
      </c>
      <c r="C4569" s="9" t="s">
        <v>30</v>
      </c>
      <c r="D4569" s="8">
        <v>4.5813699999999997</v>
      </c>
    </row>
    <row r="4570" spans="1:4">
      <c r="A4570" t="str">
        <f t="shared" si="77"/>
        <v>272Drawdown</v>
      </c>
      <c r="B4570">
        <v>272</v>
      </c>
      <c r="C4570" s="9" t="s">
        <v>8</v>
      </c>
      <c r="D4570" s="8">
        <v>0.46</v>
      </c>
    </row>
    <row r="4571" spans="1:4">
      <c r="A4571" t="str">
        <f t="shared" si="77"/>
        <v>272Expectancy</v>
      </c>
      <c r="B4571">
        <v>272</v>
      </c>
      <c r="C4571" s="9" t="s">
        <v>31</v>
      </c>
      <c r="D4571" s="8">
        <v>0.66400000000000003</v>
      </c>
    </row>
    <row r="4572" spans="1:4">
      <c r="A4572" t="str">
        <f t="shared" si="77"/>
        <v>272Net Profit</v>
      </c>
      <c r="B4572">
        <v>272</v>
      </c>
      <c r="C4572" s="9" t="s">
        <v>32</v>
      </c>
      <c r="D4572" s="8">
        <v>2.05341</v>
      </c>
    </row>
    <row r="4573" spans="1:4">
      <c r="A4573" t="str">
        <f t="shared" si="77"/>
        <v>272Loss Rate</v>
      </c>
      <c r="B4573">
        <v>272</v>
      </c>
      <c r="C4573" s="9" t="s">
        <v>33</v>
      </c>
      <c r="D4573" s="8">
        <v>0.41</v>
      </c>
    </row>
    <row r="4574" spans="1:4">
      <c r="A4574" t="str">
        <f t="shared" si="77"/>
        <v>272Win Rate</v>
      </c>
      <c r="B4574">
        <v>272</v>
      </c>
      <c r="C4574" s="9" t="s">
        <v>34</v>
      </c>
      <c r="D4574" s="8">
        <v>0.59</v>
      </c>
    </row>
    <row r="4575" spans="1:4">
      <c r="A4575" t="str">
        <f t="shared" ref="A4575:A4638" si="78">B4575&amp;C4575</f>
        <v>272Profit-Loss Ratio</v>
      </c>
      <c r="B4575">
        <v>272</v>
      </c>
      <c r="C4575" s="9" t="s">
        <v>26</v>
      </c>
      <c r="D4575" s="8">
        <v>1.84</v>
      </c>
    </row>
    <row r="4576" spans="1:4">
      <c r="A4576" t="str">
        <f t="shared" si="78"/>
        <v>272Alpha</v>
      </c>
      <c r="B4576">
        <v>272</v>
      </c>
      <c r="C4576" s="9" t="s">
        <v>23</v>
      </c>
      <c r="D4576" s="8">
        <v>3.1389999999999998</v>
      </c>
    </row>
    <row r="4577" spans="1:4">
      <c r="A4577" t="str">
        <f t="shared" si="78"/>
        <v>272Beta</v>
      </c>
      <c r="B4577">
        <v>272</v>
      </c>
      <c r="C4577" s="9" t="s">
        <v>24</v>
      </c>
      <c r="D4577" s="8">
        <v>4.3419999999999996</v>
      </c>
    </row>
    <row r="4578" spans="1:4">
      <c r="A4578" t="str">
        <f t="shared" si="78"/>
        <v>272Annual Standard Deviation</v>
      </c>
      <c r="B4578">
        <v>272</v>
      </c>
      <c r="C4578" s="9" t="s">
        <v>35</v>
      </c>
      <c r="D4578" s="8">
        <v>0.77</v>
      </c>
    </row>
    <row r="4579" spans="1:4">
      <c r="A4579" t="str">
        <f t="shared" si="78"/>
        <v>272Annual Variance</v>
      </c>
      <c r="B4579">
        <v>272</v>
      </c>
      <c r="C4579" s="9" t="s">
        <v>36</v>
      </c>
      <c r="D4579" s="8">
        <v>0.59299999999999997</v>
      </c>
    </row>
    <row r="4580" spans="1:4">
      <c r="A4580" t="str">
        <f t="shared" si="78"/>
        <v>272Information Ratio</v>
      </c>
      <c r="B4580">
        <v>272</v>
      </c>
      <c r="C4580" s="9" t="s">
        <v>37</v>
      </c>
      <c r="D4580" s="8">
        <v>4.4560000000000004</v>
      </c>
    </row>
    <row r="4581" spans="1:4">
      <c r="A4581" t="str">
        <f t="shared" si="78"/>
        <v>272Tracking Error</v>
      </c>
      <c r="B4581">
        <v>272</v>
      </c>
      <c r="C4581" s="9" t="s">
        <v>38</v>
      </c>
      <c r="D4581" s="8">
        <v>0.747</v>
      </c>
    </row>
    <row r="4582" spans="1:4">
      <c r="A4582" t="str">
        <f t="shared" si="78"/>
        <v>272Treynor Ratio</v>
      </c>
      <c r="B4582">
        <v>272</v>
      </c>
      <c r="C4582" s="9" t="s">
        <v>39</v>
      </c>
      <c r="D4582" s="8">
        <v>0.78</v>
      </c>
    </row>
    <row r="4583" spans="1:4">
      <c r="A4583" t="str">
        <f t="shared" si="78"/>
        <v>272Total Fees</v>
      </c>
      <c r="B4583">
        <v>272</v>
      </c>
      <c r="C4583" s="9" t="s">
        <v>40</v>
      </c>
      <c r="D4583" s="8">
        <v>0</v>
      </c>
    </row>
    <row r="4584" spans="1:4">
      <c r="A4584" t="str">
        <f t="shared" si="78"/>
        <v>272Estimated Strategy Capacity</v>
      </c>
      <c r="B4584">
        <v>272</v>
      </c>
      <c r="C4584" s="9" t="s">
        <v>41</v>
      </c>
      <c r="D4584" s="8">
        <v>2500000</v>
      </c>
    </row>
    <row r="4585" spans="1:4">
      <c r="A4585" t="str">
        <f t="shared" si="78"/>
        <v>273PSR</v>
      </c>
      <c r="B4585">
        <v>273</v>
      </c>
      <c r="C4585" s="9" t="s">
        <v>27</v>
      </c>
      <c r="D4585" s="8">
        <v>0.76468000000000003</v>
      </c>
    </row>
    <row r="4586" spans="1:4">
      <c r="A4586" t="str">
        <f t="shared" si="78"/>
        <v>273Sharpe Ratio</v>
      </c>
      <c r="B4586">
        <v>273</v>
      </c>
      <c r="C4586" s="9" t="s">
        <v>1</v>
      </c>
      <c r="D4586" s="8">
        <v>5.4630000000000001</v>
      </c>
    </row>
    <row r="4587" spans="1:4">
      <c r="A4587" t="str">
        <f t="shared" si="78"/>
        <v>273Total Trades</v>
      </c>
      <c r="B4587">
        <v>273</v>
      </c>
      <c r="C4587" s="9" t="s">
        <v>28</v>
      </c>
      <c r="D4587" s="8">
        <v>825</v>
      </c>
    </row>
    <row r="4588" spans="1:4">
      <c r="A4588" t="str">
        <f t="shared" si="78"/>
        <v>273Average Win</v>
      </c>
      <c r="B4588">
        <v>273</v>
      </c>
      <c r="C4588" s="9" t="s">
        <v>25</v>
      </c>
      <c r="D4588" s="8">
        <v>0.22450000000000001</v>
      </c>
    </row>
    <row r="4589" spans="1:4">
      <c r="A4589" t="str">
        <f t="shared" si="78"/>
        <v>273Average Loss</v>
      </c>
      <c r="B4589">
        <v>273</v>
      </c>
      <c r="C4589" s="9" t="s">
        <v>29</v>
      </c>
      <c r="D4589" s="8">
        <v>-6.1800000000000001E-2</v>
      </c>
    </row>
    <row r="4590" spans="1:4">
      <c r="A4590" t="str">
        <f t="shared" si="78"/>
        <v>273Compounding Annual Return</v>
      </c>
      <c r="B4590">
        <v>273</v>
      </c>
      <c r="C4590" s="9" t="s">
        <v>30</v>
      </c>
      <c r="D4590" s="8">
        <v>5.8875000000000002</v>
      </c>
    </row>
    <row r="4591" spans="1:4">
      <c r="A4591" t="str">
        <f t="shared" si="78"/>
        <v>273Drawdown</v>
      </c>
      <c r="B4591">
        <v>273</v>
      </c>
      <c r="C4591" s="9" t="s">
        <v>8</v>
      </c>
      <c r="D4591" s="8">
        <v>0.68400000000000005</v>
      </c>
    </row>
    <row r="4592" spans="1:4">
      <c r="A4592" t="str">
        <f t="shared" si="78"/>
        <v>273Expectancy</v>
      </c>
      <c r="B4592">
        <v>273</v>
      </c>
      <c r="C4592" s="9" t="s">
        <v>31</v>
      </c>
      <c r="D4592" s="8">
        <v>0.78100000000000003</v>
      </c>
    </row>
    <row r="4593" spans="1:4">
      <c r="A4593" t="str">
        <f t="shared" si="78"/>
        <v>273Net Profit</v>
      </c>
      <c r="B4593">
        <v>273</v>
      </c>
      <c r="C4593" s="9" t="s">
        <v>32</v>
      </c>
      <c r="D4593" s="8">
        <v>2.5000200000000001</v>
      </c>
    </row>
    <row r="4594" spans="1:4">
      <c r="A4594" t="str">
        <f t="shared" si="78"/>
        <v>273Loss Rate</v>
      </c>
      <c r="B4594">
        <v>273</v>
      </c>
      <c r="C4594" s="9" t="s">
        <v>33</v>
      </c>
      <c r="D4594" s="8">
        <v>0.62</v>
      </c>
    </row>
    <row r="4595" spans="1:4">
      <c r="A4595" t="str">
        <f t="shared" si="78"/>
        <v>273Win Rate</v>
      </c>
      <c r="B4595">
        <v>273</v>
      </c>
      <c r="C4595" s="9" t="s">
        <v>34</v>
      </c>
      <c r="D4595" s="8">
        <v>0.38</v>
      </c>
    </row>
    <row r="4596" spans="1:4">
      <c r="A4596" t="str">
        <f t="shared" si="78"/>
        <v>273Profit-Loss Ratio</v>
      </c>
      <c r="B4596">
        <v>273</v>
      </c>
      <c r="C4596" s="9" t="s">
        <v>26</v>
      </c>
      <c r="D4596" s="8">
        <v>3.63</v>
      </c>
    </row>
    <row r="4597" spans="1:4">
      <c r="A4597" t="str">
        <f t="shared" si="78"/>
        <v>273Alpha</v>
      </c>
      <c r="B4597">
        <v>273</v>
      </c>
      <c r="C4597" s="9" t="s">
        <v>23</v>
      </c>
      <c r="D4597" s="8">
        <v>5.91</v>
      </c>
    </row>
    <row r="4598" spans="1:4">
      <c r="A4598" t="str">
        <f t="shared" si="78"/>
        <v>273Beta</v>
      </c>
      <c r="B4598">
        <v>273</v>
      </c>
      <c r="C4598" s="9" t="s">
        <v>24</v>
      </c>
      <c r="D4598" s="8">
        <v>7.0309999999999997</v>
      </c>
    </row>
    <row r="4599" spans="1:4">
      <c r="A4599" t="str">
        <f t="shared" si="78"/>
        <v>273Annual Standard Deviation</v>
      </c>
      <c r="B4599">
        <v>273</v>
      </c>
      <c r="C4599" s="9" t="s">
        <v>35</v>
      </c>
      <c r="D4599" s="8">
        <v>1.155</v>
      </c>
    </row>
    <row r="4600" spans="1:4">
      <c r="A4600" t="str">
        <f t="shared" si="78"/>
        <v>273Annual Variance</v>
      </c>
      <c r="B4600">
        <v>273</v>
      </c>
      <c r="C4600" s="9" t="s">
        <v>36</v>
      </c>
      <c r="D4600" s="8">
        <v>1.335</v>
      </c>
    </row>
    <row r="4601" spans="1:4">
      <c r="A4601" t="str">
        <f t="shared" si="78"/>
        <v>273Information Ratio</v>
      </c>
      <c r="B4601">
        <v>273</v>
      </c>
      <c r="C4601" s="9" t="s">
        <v>37</v>
      </c>
      <c r="D4601" s="8">
        <v>5.5359999999999996</v>
      </c>
    </row>
    <row r="4602" spans="1:4">
      <c r="A4602" t="str">
        <f t="shared" si="78"/>
        <v>273Tracking Error</v>
      </c>
      <c r="B4602">
        <v>273</v>
      </c>
      <c r="C4602" s="9" t="s">
        <v>38</v>
      </c>
      <c r="D4602" s="8">
        <v>1.1299999999999999</v>
      </c>
    </row>
    <row r="4603" spans="1:4">
      <c r="A4603" t="str">
        <f t="shared" si="78"/>
        <v>273Treynor Ratio</v>
      </c>
      <c r="B4603">
        <v>273</v>
      </c>
      <c r="C4603" s="9" t="s">
        <v>39</v>
      </c>
      <c r="D4603" s="8">
        <v>0.89800000000000002</v>
      </c>
    </row>
    <row r="4604" spans="1:4">
      <c r="A4604" t="str">
        <f t="shared" si="78"/>
        <v>273Total Fees</v>
      </c>
      <c r="B4604">
        <v>273</v>
      </c>
      <c r="C4604" s="9" t="s">
        <v>40</v>
      </c>
      <c r="D4604" s="8">
        <v>0</v>
      </c>
    </row>
    <row r="4605" spans="1:4">
      <c r="A4605" t="str">
        <f t="shared" si="78"/>
        <v>273Estimated Strategy Capacity</v>
      </c>
      <c r="B4605">
        <v>273</v>
      </c>
      <c r="C4605" s="9" t="s">
        <v>41</v>
      </c>
      <c r="D4605" s="8">
        <v>2200000</v>
      </c>
    </row>
    <row r="4606" spans="1:4">
      <c r="A4606" t="str">
        <f t="shared" si="78"/>
        <v>274PSR</v>
      </c>
      <c r="B4606">
        <v>274</v>
      </c>
      <c r="C4606" s="9" t="s">
        <v>27</v>
      </c>
      <c r="D4606" s="8">
        <v>0.15468000000000001</v>
      </c>
    </row>
    <row r="4607" spans="1:4">
      <c r="A4607" t="str">
        <f t="shared" si="78"/>
        <v>274Sharpe Ratio</v>
      </c>
      <c r="B4607">
        <v>274</v>
      </c>
      <c r="C4607" s="9" t="s">
        <v>1</v>
      </c>
      <c r="D4607" s="8">
        <v>-5.3999999999999999E-2</v>
      </c>
    </row>
    <row r="4608" spans="1:4">
      <c r="A4608" t="str">
        <f t="shared" si="78"/>
        <v>274Total Trades</v>
      </c>
      <c r="B4608">
        <v>274</v>
      </c>
      <c r="C4608" s="9" t="s">
        <v>28</v>
      </c>
      <c r="D4608" s="8">
        <v>558</v>
      </c>
    </row>
    <row r="4609" spans="1:4">
      <c r="A4609" t="str">
        <f t="shared" si="78"/>
        <v>274Average Win</v>
      </c>
      <c r="B4609">
        <v>274</v>
      </c>
      <c r="C4609" s="9" t="s">
        <v>25</v>
      </c>
      <c r="D4609" s="8">
        <v>3.3000000000000002E-2</v>
      </c>
    </row>
    <row r="4610" spans="1:4">
      <c r="A4610" t="str">
        <f t="shared" si="78"/>
        <v>274Average Loss</v>
      </c>
      <c r="B4610">
        <v>274</v>
      </c>
      <c r="C4610" s="9" t="s">
        <v>29</v>
      </c>
      <c r="D4610" s="8">
        <v>-1.7100000000000001E-2</v>
      </c>
    </row>
    <row r="4611" spans="1:4">
      <c r="A4611" t="str">
        <f t="shared" si="78"/>
        <v>274Compounding Annual Return</v>
      </c>
      <c r="B4611">
        <v>274</v>
      </c>
      <c r="C4611" s="9" t="s">
        <v>30</v>
      </c>
      <c r="D4611" s="8">
        <v>-2.317E-2</v>
      </c>
    </row>
    <row r="4612" spans="1:4">
      <c r="A4612" t="str">
        <f t="shared" si="78"/>
        <v>274Drawdown</v>
      </c>
      <c r="B4612">
        <v>274</v>
      </c>
      <c r="C4612" s="9" t="s">
        <v>8</v>
      </c>
      <c r="D4612" s="8">
        <v>8.4000000000000005E-2</v>
      </c>
    </row>
    <row r="4613" spans="1:4">
      <c r="A4613" t="str">
        <f t="shared" si="78"/>
        <v>274Expectancy</v>
      </c>
      <c r="B4613">
        <v>274</v>
      </c>
      <c r="C4613" s="9" t="s">
        <v>31</v>
      </c>
      <c r="D4613" s="8">
        <v>-2.5000000000000001E-2</v>
      </c>
    </row>
    <row r="4614" spans="1:4">
      <c r="A4614" t="str">
        <f t="shared" si="78"/>
        <v>274Net Profit</v>
      </c>
      <c r="B4614">
        <v>274</v>
      </c>
      <c r="C4614" s="9" t="s">
        <v>32</v>
      </c>
      <c r="D4614" s="8">
        <v>-1.5100000000000001E-2</v>
      </c>
    </row>
    <row r="4615" spans="1:4">
      <c r="A4615" t="str">
        <f t="shared" si="78"/>
        <v>274Loss Rate</v>
      </c>
      <c r="B4615">
        <v>274</v>
      </c>
      <c r="C4615" s="9" t="s">
        <v>33</v>
      </c>
      <c r="D4615" s="8">
        <v>0.67</v>
      </c>
    </row>
    <row r="4616" spans="1:4">
      <c r="A4616" t="str">
        <f t="shared" si="78"/>
        <v>274Win Rate</v>
      </c>
      <c r="B4616">
        <v>274</v>
      </c>
      <c r="C4616" s="9" t="s">
        <v>34</v>
      </c>
      <c r="D4616" s="8">
        <v>0.33</v>
      </c>
    </row>
    <row r="4617" spans="1:4">
      <c r="A4617" t="str">
        <f t="shared" si="78"/>
        <v>274Profit-Loss Ratio</v>
      </c>
      <c r="B4617">
        <v>274</v>
      </c>
      <c r="C4617" s="9" t="s">
        <v>26</v>
      </c>
      <c r="D4617" s="8">
        <v>1.93</v>
      </c>
    </row>
    <row r="4618" spans="1:4">
      <c r="A4618" t="str">
        <f t="shared" si="78"/>
        <v>274Alpha</v>
      </c>
      <c r="B4618">
        <v>274</v>
      </c>
      <c r="C4618" s="9" t="s">
        <v>23</v>
      </c>
      <c r="D4618" s="8">
        <v>-5.2999999999999999E-2</v>
      </c>
    </row>
    <row r="4619" spans="1:4">
      <c r="A4619" t="str">
        <f t="shared" si="78"/>
        <v>274Beta</v>
      </c>
      <c r="B4619">
        <v>274</v>
      </c>
      <c r="C4619" s="9" t="s">
        <v>24</v>
      </c>
      <c r="D4619" s="8">
        <v>0.81599999999999995</v>
      </c>
    </row>
    <row r="4620" spans="1:4">
      <c r="A4620" t="str">
        <f t="shared" si="78"/>
        <v>274Annual Standard Deviation</v>
      </c>
      <c r="B4620">
        <v>274</v>
      </c>
      <c r="C4620" s="9" t="s">
        <v>35</v>
      </c>
      <c r="D4620" s="8">
        <v>0.13400000000000001</v>
      </c>
    </row>
    <row r="4621" spans="1:4">
      <c r="A4621" t="str">
        <f t="shared" si="78"/>
        <v>274Annual Variance</v>
      </c>
      <c r="B4621">
        <v>274</v>
      </c>
      <c r="C4621" s="9" t="s">
        <v>36</v>
      </c>
      <c r="D4621" s="8">
        <v>1.7999999999999999E-2</v>
      </c>
    </row>
    <row r="4622" spans="1:4">
      <c r="A4622" t="str">
        <f t="shared" si="78"/>
        <v>274Information Ratio</v>
      </c>
      <c r="B4622">
        <v>274</v>
      </c>
      <c r="C4622" s="9" t="s">
        <v>37</v>
      </c>
      <c r="D4622" s="8">
        <v>-0.51200000000000001</v>
      </c>
    </row>
    <row r="4623" spans="1:4">
      <c r="A4623" t="str">
        <f t="shared" si="78"/>
        <v>274Tracking Error</v>
      </c>
      <c r="B4623">
        <v>274</v>
      </c>
      <c r="C4623" s="9" t="s">
        <v>38</v>
      </c>
      <c r="D4623" s="8">
        <v>0.123</v>
      </c>
    </row>
    <row r="4624" spans="1:4">
      <c r="A4624" t="str">
        <f t="shared" si="78"/>
        <v>274Treynor Ratio</v>
      </c>
      <c r="B4624">
        <v>274</v>
      </c>
      <c r="C4624" s="9" t="s">
        <v>39</v>
      </c>
      <c r="D4624" s="8">
        <v>-8.9999999999999993E-3</v>
      </c>
    </row>
    <row r="4625" spans="1:4">
      <c r="A4625" t="str">
        <f t="shared" si="78"/>
        <v>274Total Fees</v>
      </c>
      <c r="B4625">
        <v>274</v>
      </c>
      <c r="C4625" s="9" t="s">
        <v>40</v>
      </c>
      <c r="D4625" s="8">
        <v>0</v>
      </c>
    </row>
    <row r="4626" spans="1:4">
      <c r="A4626" t="str">
        <f t="shared" si="78"/>
        <v>274Estimated Strategy Capacity</v>
      </c>
      <c r="B4626">
        <v>274</v>
      </c>
      <c r="C4626" s="9" t="s">
        <v>41</v>
      </c>
      <c r="D4626" s="8">
        <v>12000000</v>
      </c>
    </row>
    <row r="4627" spans="1:4">
      <c r="A4627" t="str">
        <f t="shared" si="78"/>
        <v>275PSR</v>
      </c>
      <c r="B4627">
        <v>275</v>
      </c>
      <c r="C4627" s="9" t="s">
        <v>27</v>
      </c>
      <c r="D4627" s="8">
        <v>0.18522</v>
      </c>
    </row>
    <row r="4628" spans="1:4">
      <c r="A4628" t="str">
        <f t="shared" si="78"/>
        <v>275Sharpe Ratio</v>
      </c>
      <c r="B4628">
        <v>275</v>
      </c>
      <c r="C4628" s="9" t="s">
        <v>1</v>
      </c>
      <c r="D4628" s="8">
        <v>7.8E-2</v>
      </c>
    </row>
    <row r="4629" spans="1:4">
      <c r="A4629" t="str">
        <f t="shared" si="78"/>
        <v>275Total Trades</v>
      </c>
      <c r="B4629">
        <v>275</v>
      </c>
      <c r="C4629" s="9" t="s">
        <v>28</v>
      </c>
      <c r="D4629" s="8">
        <v>494</v>
      </c>
    </row>
    <row r="4630" spans="1:4">
      <c r="A4630" t="str">
        <f t="shared" si="78"/>
        <v>275Average Win</v>
      </c>
      <c r="B4630">
        <v>275</v>
      </c>
      <c r="C4630" s="9" t="s">
        <v>25</v>
      </c>
      <c r="D4630" s="8">
        <v>0.15440000000000001</v>
      </c>
    </row>
    <row r="4631" spans="1:4">
      <c r="A4631" t="str">
        <f t="shared" si="78"/>
        <v>275Average Loss</v>
      </c>
      <c r="B4631">
        <v>275</v>
      </c>
      <c r="C4631" s="9" t="s">
        <v>29</v>
      </c>
      <c r="D4631" s="8">
        <v>-8.0600000000000005E-2</v>
      </c>
    </row>
    <row r="4632" spans="1:4">
      <c r="A4632" t="str">
        <f t="shared" si="78"/>
        <v>275Compounding Annual Return</v>
      </c>
      <c r="B4632">
        <v>275</v>
      </c>
      <c r="C4632" s="9" t="s">
        <v>30</v>
      </c>
      <c r="D4632" s="8">
        <v>-0.49641999999999997</v>
      </c>
    </row>
    <row r="4633" spans="1:4">
      <c r="A4633" t="str">
        <f t="shared" si="78"/>
        <v>275Drawdown</v>
      </c>
      <c r="B4633">
        <v>275</v>
      </c>
      <c r="C4633" s="9" t="s">
        <v>8</v>
      </c>
      <c r="D4633" s="8">
        <v>0.61899999999999999</v>
      </c>
    </row>
    <row r="4634" spans="1:4">
      <c r="A4634" t="str">
        <f t="shared" si="78"/>
        <v>275Expectancy</v>
      </c>
      <c r="B4634">
        <v>275</v>
      </c>
      <c r="C4634" s="9" t="s">
        <v>31</v>
      </c>
      <c r="D4634" s="8">
        <v>-7.1999999999999995E-2</v>
      </c>
    </row>
    <row r="4635" spans="1:4">
      <c r="A4635" t="str">
        <f t="shared" si="78"/>
        <v>275Net Profit</v>
      </c>
      <c r="B4635">
        <v>275</v>
      </c>
      <c r="C4635" s="9" t="s">
        <v>32</v>
      </c>
      <c r="D4635" s="8">
        <v>-0.35941000000000001</v>
      </c>
    </row>
    <row r="4636" spans="1:4">
      <c r="A4636" t="str">
        <f t="shared" si="78"/>
        <v>275Loss Rate</v>
      </c>
      <c r="B4636">
        <v>275</v>
      </c>
      <c r="C4636" s="9" t="s">
        <v>33</v>
      </c>
      <c r="D4636" s="8">
        <v>0.68</v>
      </c>
    </row>
    <row r="4637" spans="1:4">
      <c r="A4637" t="str">
        <f t="shared" si="78"/>
        <v>275Win Rate</v>
      </c>
      <c r="B4637">
        <v>275</v>
      </c>
      <c r="C4637" s="9" t="s">
        <v>34</v>
      </c>
      <c r="D4637" s="8">
        <v>0.32</v>
      </c>
    </row>
    <row r="4638" spans="1:4">
      <c r="A4638" t="str">
        <f t="shared" si="78"/>
        <v>275Profit-Loss Ratio</v>
      </c>
      <c r="B4638">
        <v>275</v>
      </c>
      <c r="C4638" s="9" t="s">
        <v>26</v>
      </c>
      <c r="D4638" s="8">
        <v>1.92</v>
      </c>
    </row>
    <row r="4639" spans="1:4">
      <c r="A4639" t="str">
        <f t="shared" ref="A4639:A4702" si="79">B4639&amp;C4639</f>
        <v>275Alpha</v>
      </c>
      <c r="B4639">
        <v>275</v>
      </c>
      <c r="C4639" s="9" t="s">
        <v>23</v>
      </c>
      <c r="D4639" s="8">
        <v>-0.36</v>
      </c>
    </row>
    <row r="4640" spans="1:4">
      <c r="A4640" t="str">
        <f t="shared" si="79"/>
        <v>275Beta</v>
      </c>
      <c r="B4640">
        <v>275</v>
      </c>
      <c r="C4640" s="9" t="s">
        <v>24</v>
      </c>
      <c r="D4640" s="8">
        <v>7.7720000000000002</v>
      </c>
    </row>
    <row r="4641" spans="1:4">
      <c r="A4641" t="str">
        <f t="shared" si="79"/>
        <v>275Annual Standard Deviation</v>
      </c>
      <c r="B4641">
        <v>275</v>
      </c>
      <c r="C4641" s="9" t="s">
        <v>35</v>
      </c>
      <c r="D4641" s="8">
        <v>1.073</v>
      </c>
    </row>
    <row r="4642" spans="1:4">
      <c r="A4642" t="str">
        <f t="shared" si="79"/>
        <v>275Annual Variance</v>
      </c>
      <c r="B4642">
        <v>275</v>
      </c>
      <c r="C4642" s="9" t="s">
        <v>36</v>
      </c>
      <c r="D4642" s="8">
        <v>1.1499999999999999</v>
      </c>
    </row>
    <row r="4643" spans="1:4">
      <c r="A4643" t="str">
        <f t="shared" si="79"/>
        <v>275Information Ratio</v>
      </c>
      <c r="B4643">
        <v>275</v>
      </c>
      <c r="C4643" s="9" t="s">
        <v>37</v>
      </c>
      <c r="D4643" s="8">
        <v>2.5999999999999999E-2</v>
      </c>
    </row>
    <row r="4644" spans="1:4">
      <c r="A4644" t="str">
        <f t="shared" si="79"/>
        <v>275Tracking Error</v>
      </c>
      <c r="B4644">
        <v>275</v>
      </c>
      <c r="C4644" s="9" t="s">
        <v>38</v>
      </c>
      <c r="D4644" s="8">
        <v>1.042</v>
      </c>
    </row>
    <row r="4645" spans="1:4">
      <c r="A4645" t="str">
        <f t="shared" si="79"/>
        <v>275Treynor Ratio</v>
      </c>
      <c r="B4645">
        <v>275</v>
      </c>
      <c r="C4645" s="9" t="s">
        <v>39</v>
      </c>
      <c r="D4645" s="8">
        <v>1.0999999999999999E-2</v>
      </c>
    </row>
    <row r="4646" spans="1:4">
      <c r="A4646" t="str">
        <f t="shared" si="79"/>
        <v>275Total Fees</v>
      </c>
      <c r="B4646">
        <v>275</v>
      </c>
      <c r="C4646" s="9" t="s">
        <v>40</v>
      </c>
      <c r="D4646" s="8">
        <v>0</v>
      </c>
    </row>
    <row r="4647" spans="1:4">
      <c r="A4647" t="str">
        <f t="shared" si="79"/>
        <v>275Estimated Strategy Capacity</v>
      </c>
      <c r="B4647">
        <v>275</v>
      </c>
      <c r="C4647" s="9" t="s">
        <v>41</v>
      </c>
      <c r="D4647" s="8">
        <v>2600000</v>
      </c>
    </row>
    <row r="4648" spans="1:4">
      <c r="A4648" t="str">
        <f t="shared" si="79"/>
        <v>276PSR</v>
      </c>
      <c r="B4648">
        <v>276</v>
      </c>
      <c r="C4648" s="9" t="s">
        <v>27</v>
      </c>
      <c r="D4648" s="8">
        <v>0.31472</v>
      </c>
    </row>
    <row r="4649" spans="1:4">
      <c r="A4649" t="str">
        <f t="shared" si="79"/>
        <v>276Sharpe Ratio</v>
      </c>
      <c r="B4649">
        <v>276</v>
      </c>
      <c r="C4649" s="9" t="s">
        <v>1</v>
      </c>
      <c r="D4649" s="8">
        <v>0.73799999999999999</v>
      </c>
    </row>
    <row r="4650" spans="1:4">
      <c r="A4650" t="str">
        <f t="shared" si="79"/>
        <v>276Total Trades</v>
      </c>
      <c r="B4650">
        <v>276</v>
      </c>
      <c r="C4650" s="9" t="s">
        <v>28</v>
      </c>
      <c r="D4650" s="8">
        <v>454</v>
      </c>
    </row>
    <row r="4651" spans="1:4">
      <c r="A4651" t="str">
        <f t="shared" si="79"/>
        <v>276Average Win</v>
      </c>
      <c r="B4651">
        <v>276</v>
      </c>
      <c r="C4651" s="9" t="s">
        <v>25</v>
      </c>
      <c r="D4651" s="8">
        <v>0.17330000000000001</v>
      </c>
    </row>
    <row r="4652" spans="1:4">
      <c r="A4652" t="str">
        <f t="shared" si="79"/>
        <v>276Average Loss</v>
      </c>
      <c r="B4652">
        <v>276</v>
      </c>
      <c r="C4652" s="9" t="s">
        <v>29</v>
      </c>
      <c r="D4652" s="8">
        <v>-5.2900000000000003E-2</v>
      </c>
    </row>
    <row r="4653" spans="1:4">
      <c r="A4653" t="str">
        <f t="shared" si="79"/>
        <v>276Compounding Annual Return</v>
      </c>
      <c r="B4653">
        <v>276</v>
      </c>
      <c r="C4653" s="9" t="s">
        <v>30</v>
      </c>
      <c r="D4653" s="8">
        <v>-0.35003000000000001</v>
      </c>
    </row>
    <row r="4654" spans="1:4">
      <c r="A4654" t="str">
        <f t="shared" si="79"/>
        <v>276Drawdown</v>
      </c>
      <c r="B4654">
        <v>276</v>
      </c>
      <c r="C4654" s="9" t="s">
        <v>8</v>
      </c>
      <c r="D4654" s="8">
        <v>0.80500000000000005</v>
      </c>
    </row>
    <row r="4655" spans="1:4">
      <c r="A4655" t="str">
        <f t="shared" si="79"/>
        <v>276Expectancy</v>
      </c>
      <c r="B4655">
        <v>276</v>
      </c>
      <c r="C4655" s="9" t="s">
        <v>31</v>
      </c>
      <c r="D4655" s="8">
        <v>0.125</v>
      </c>
    </row>
    <row r="4656" spans="1:4">
      <c r="A4656" t="str">
        <f t="shared" si="79"/>
        <v>276Net Profit</v>
      </c>
      <c r="B4656">
        <v>276</v>
      </c>
      <c r="C4656" s="9" t="s">
        <v>32</v>
      </c>
      <c r="D4656" s="8">
        <v>-0.24399000000000001</v>
      </c>
    </row>
    <row r="4657" spans="1:4">
      <c r="A4657" t="str">
        <f t="shared" si="79"/>
        <v>276Loss Rate</v>
      </c>
      <c r="B4657">
        <v>276</v>
      </c>
      <c r="C4657" s="9" t="s">
        <v>33</v>
      </c>
      <c r="D4657" s="8">
        <v>0.74</v>
      </c>
    </row>
    <row r="4658" spans="1:4">
      <c r="A4658" t="str">
        <f t="shared" si="79"/>
        <v>276Win Rate</v>
      </c>
      <c r="B4658">
        <v>276</v>
      </c>
      <c r="C4658" s="9" t="s">
        <v>34</v>
      </c>
      <c r="D4658" s="8">
        <v>0.26</v>
      </c>
    </row>
    <row r="4659" spans="1:4">
      <c r="A4659" t="str">
        <f t="shared" si="79"/>
        <v>276Profit-Loss Ratio</v>
      </c>
      <c r="B4659">
        <v>276</v>
      </c>
      <c r="C4659" s="9" t="s">
        <v>26</v>
      </c>
      <c r="D4659" s="8">
        <v>3.27</v>
      </c>
    </row>
    <row r="4660" spans="1:4">
      <c r="A4660" t="str">
        <f t="shared" si="79"/>
        <v>276Alpha</v>
      </c>
      <c r="B4660">
        <v>276</v>
      </c>
      <c r="C4660" s="9" t="s">
        <v>23</v>
      </c>
      <c r="D4660" s="8">
        <v>0.441</v>
      </c>
    </row>
    <row r="4661" spans="1:4">
      <c r="A4661" t="str">
        <f t="shared" si="79"/>
        <v>276Beta</v>
      </c>
      <c r="B4661">
        <v>276</v>
      </c>
      <c r="C4661" s="9" t="s">
        <v>24</v>
      </c>
      <c r="D4661" s="8">
        <v>11.054</v>
      </c>
    </row>
    <row r="4662" spans="1:4">
      <c r="A4662" t="str">
        <f t="shared" si="79"/>
        <v>276Annual Standard Deviation</v>
      </c>
      <c r="B4662">
        <v>276</v>
      </c>
      <c r="C4662" s="9" t="s">
        <v>35</v>
      </c>
      <c r="D4662" s="8">
        <v>1.4339999999999999</v>
      </c>
    </row>
    <row r="4663" spans="1:4">
      <c r="A4663" t="str">
        <f t="shared" si="79"/>
        <v>276Annual Variance</v>
      </c>
      <c r="B4663">
        <v>276</v>
      </c>
      <c r="C4663" s="9" t="s">
        <v>36</v>
      </c>
      <c r="D4663" s="8">
        <v>2.056</v>
      </c>
    </row>
    <row r="4664" spans="1:4">
      <c r="A4664" t="str">
        <f t="shared" si="79"/>
        <v>276Information Ratio</v>
      </c>
      <c r="B4664">
        <v>276</v>
      </c>
      <c r="C4664" s="9" t="s">
        <v>37</v>
      </c>
      <c r="D4664" s="8">
        <v>0.71599999999999997</v>
      </c>
    </row>
    <row r="4665" spans="1:4">
      <c r="A4665" t="str">
        <f t="shared" si="79"/>
        <v>276Tracking Error</v>
      </c>
      <c r="B4665">
        <v>276</v>
      </c>
      <c r="C4665" s="9" t="s">
        <v>38</v>
      </c>
      <c r="D4665" s="8">
        <v>1.401</v>
      </c>
    </row>
    <row r="4666" spans="1:4">
      <c r="A4666" t="str">
        <f t="shared" si="79"/>
        <v>276Treynor Ratio</v>
      </c>
      <c r="B4666">
        <v>276</v>
      </c>
      <c r="C4666" s="9" t="s">
        <v>39</v>
      </c>
      <c r="D4666" s="8">
        <v>9.6000000000000002E-2</v>
      </c>
    </row>
    <row r="4667" spans="1:4">
      <c r="A4667" t="str">
        <f t="shared" si="79"/>
        <v>276Total Fees</v>
      </c>
      <c r="B4667">
        <v>276</v>
      </c>
      <c r="C4667" s="9" t="s">
        <v>40</v>
      </c>
      <c r="D4667" s="8">
        <v>0</v>
      </c>
    </row>
    <row r="4668" spans="1:4">
      <c r="A4668" t="str">
        <f t="shared" si="79"/>
        <v>276Estimated Strategy Capacity</v>
      </c>
      <c r="B4668">
        <v>276</v>
      </c>
      <c r="C4668" s="9" t="s">
        <v>41</v>
      </c>
      <c r="D4668" s="8">
        <v>2500000</v>
      </c>
    </row>
    <row r="4669" spans="1:4">
      <c r="A4669" t="str">
        <f t="shared" si="79"/>
        <v>2762500000</v>
      </c>
      <c r="B4669">
        <v>276</v>
      </c>
      <c r="C4669" s="11">
        <v>2500000</v>
      </c>
      <c r="D4669" s="8">
        <v>0</v>
      </c>
    </row>
    <row r="4670" spans="1:4">
      <c r="A4670" t="str">
        <f t="shared" si="79"/>
        <v>277PSR</v>
      </c>
      <c r="B4670">
        <v>277</v>
      </c>
      <c r="C4670" s="9" t="s">
        <v>27</v>
      </c>
      <c r="D4670" s="8">
        <v>0.14471000000000001</v>
      </c>
    </row>
    <row r="4671" spans="1:4">
      <c r="A4671" t="str">
        <f t="shared" si="79"/>
        <v>277Sharpe Ratio</v>
      </c>
      <c r="B4671">
        <v>277</v>
      </c>
      <c r="C4671" s="9" t="s">
        <v>1</v>
      </c>
      <c r="D4671" s="8">
        <v>-9.9000000000000005E-2</v>
      </c>
    </row>
    <row r="4672" spans="1:4">
      <c r="A4672" t="str">
        <f t="shared" si="79"/>
        <v>277Total Trades</v>
      </c>
      <c r="B4672">
        <v>277</v>
      </c>
      <c r="C4672" s="9" t="s">
        <v>28</v>
      </c>
      <c r="D4672" s="8">
        <v>372</v>
      </c>
    </row>
    <row r="4673" spans="1:4">
      <c r="A4673" t="str">
        <f t="shared" si="79"/>
        <v>277Average Win</v>
      </c>
      <c r="B4673">
        <v>277</v>
      </c>
      <c r="C4673" s="9" t="s">
        <v>25</v>
      </c>
      <c r="D4673" s="8">
        <v>2.8299999999999999E-2</v>
      </c>
    </row>
    <row r="4674" spans="1:4">
      <c r="A4674" t="str">
        <f t="shared" si="79"/>
        <v>277Average Loss</v>
      </c>
      <c r="B4674">
        <v>277</v>
      </c>
      <c r="C4674" s="9" t="s">
        <v>29</v>
      </c>
      <c r="D4674" s="8">
        <v>-2.2499999999999999E-2</v>
      </c>
    </row>
    <row r="4675" spans="1:4">
      <c r="A4675" t="str">
        <f t="shared" si="79"/>
        <v>277Compounding Annual Return</v>
      </c>
      <c r="B4675">
        <v>277</v>
      </c>
      <c r="C4675" s="9" t="s">
        <v>30</v>
      </c>
      <c r="D4675" s="8">
        <v>-3.4250000000000003E-2</v>
      </c>
    </row>
    <row r="4676" spans="1:4">
      <c r="A4676" t="str">
        <f t="shared" si="79"/>
        <v>277Drawdown</v>
      </c>
      <c r="B4676">
        <v>277</v>
      </c>
      <c r="C4676" s="9" t="s">
        <v>8</v>
      </c>
      <c r="D4676" s="8">
        <v>0.16300000000000001</v>
      </c>
    </row>
    <row r="4677" spans="1:4">
      <c r="A4677" t="str">
        <f t="shared" si="79"/>
        <v>277Expectancy</v>
      </c>
      <c r="B4677">
        <v>277</v>
      </c>
      <c r="C4677" s="9" t="s">
        <v>31</v>
      </c>
      <c r="D4677" s="8">
        <v>-0.06</v>
      </c>
    </row>
    <row r="4678" spans="1:4">
      <c r="A4678" t="str">
        <f t="shared" si="79"/>
        <v>277Net Profit</v>
      </c>
      <c r="B4678">
        <v>277</v>
      </c>
      <c r="C4678" s="9" t="s">
        <v>32</v>
      </c>
      <c r="D4678" s="8">
        <v>-2.2370000000000001E-2</v>
      </c>
    </row>
    <row r="4679" spans="1:4">
      <c r="A4679" t="str">
        <f t="shared" si="79"/>
        <v>277Loss Rate</v>
      </c>
      <c r="B4679">
        <v>277</v>
      </c>
      <c r="C4679" s="9" t="s">
        <v>33</v>
      </c>
      <c r="D4679" s="8">
        <v>0.57999999999999996</v>
      </c>
    </row>
    <row r="4680" spans="1:4">
      <c r="A4680" t="str">
        <f t="shared" si="79"/>
        <v>277Win Rate</v>
      </c>
      <c r="B4680">
        <v>277</v>
      </c>
      <c r="C4680" s="9" t="s">
        <v>34</v>
      </c>
      <c r="D4680" s="8">
        <v>0.42</v>
      </c>
    </row>
    <row r="4681" spans="1:4">
      <c r="A4681" t="str">
        <f t="shared" si="79"/>
        <v>277Profit-Loss Ratio</v>
      </c>
      <c r="B4681">
        <v>277</v>
      </c>
      <c r="C4681" s="9" t="s">
        <v>26</v>
      </c>
      <c r="D4681" s="8">
        <v>1.26</v>
      </c>
    </row>
    <row r="4682" spans="1:4">
      <c r="A4682" t="str">
        <f t="shared" si="79"/>
        <v>277Alpha</v>
      </c>
      <c r="B4682">
        <v>277</v>
      </c>
      <c r="C4682" s="9" t="s">
        <v>23</v>
      </c>
      <c r="D4682" s="8">
        <v>-5.3999999999999999E-2</v>
      </c>
    </row>
    <row r="4683" spans="1:4">
      <c r="A4683" t="str">
        <f t="shared" si="79"/>
        <v>277Beta</v>
      </c>
      <c r="B4683">
        <v>277</v>
      </c>
      <c r="C4683" s="9" t="s">
        <v>24</v>
      </c>
      <c r="D4683" s="8">
        <v>0.71</v>
      </c>
    </row>
    <row r="4684" spans="1:4">
      <c r="A4684" t="str">
        <f t="shared" si="79"/>
        <v>277Annual Standard Deviation</v>
      </c>
      <c r="B4684">
        <v>277</v>
      </c>
      <c r="C4684" s="9" t="s">
        <v>35</v>
      </c>
      <c r="D4684" s="8">
        <v>0.14199999999999999</v>
      </c>
    </row>
    <row r="4685" spans="1:4">
      <c r="A4685" t="str">
        <f t="shared" si="79"/>
        <v>277Annual Variance</v>
      </c>
      <c r="B4685">
        <v>277</v>
      </c>
      <c r="C4685" s="9" t="s">
        <v>36</v>
      </c>
      <c r="D4685" s="8">
        <v>0.02</v>
      </c>
    </row>
    <row r="4686" spans="1:4">
      <c r="A4686" t="str">
        <f t="shared" si="79"/>
        <v>277Information Ratio</v>
      </c>
      <c r="B4686">
        <v>277</v>
      </c>
      <c r="C4686" s="9" t="s">
        <v>37</v>
      </c>
      <c r="D4686" s="8">
        <v>-0.51800000000000002</v>
      </c>
    </row>
    <row r="4687" spans="1:4">
      <c r="A4687" t="str">
        <f t="shared" si="79"/>
        <v>277Tracking Error</v>
      </c>
      <c r="B4687">
        <v>277</v>
      </c>
      <c r="C4687" s="9" t="s">
        <v>38</v>
      </c>
      <c r="D4687" s="8">
        <v>0.13500000000000001</v>
      </c>
    </row>
    <row r="4688" spans="1:4">
      <c r="A4688" t="str">
        <f t="shared" si="79"/>
        <v>277Treynor Ratio</v>
      </c>
      <c r="B4688">
        <v>277</v>
      </c>
      <c r="C4688" s="9" t="s">
        <v>39</v>
      </c>
      <c r="D4688" s="8">
        <v>-0.02</v>
      </c>
    </row>
    <row r="4689" spans="1:4">
      <c r="A4689" t="str">
        <f t="shared" si="79"/>
        <v>277Total Fees</v>
      </c>
      <c r="B4689">
        <v>277</v>
      </c>
      <c r="C4689" s="9" t="s">
        <v>40</v>
      </c>
      <c r="D4689" s="8">
        <v>0</v>
      </c>
    </row>
    <row r="4690" spans="1:4">
      <c r="A4690" t="str">
        <f t="shared" si="79"/>
        <v>277Estimated Strategy Capacity</v>
      </c>
      <c r="B4690">
        <v>277</v>
      </c>
      <c r="C4690" s="9" t="s">
        <v>41</v>
      </c>
      <c r="D4690" s="8">
        <v>51000000</v>
      </c>
    </row>
    <row r="4691" spans="1:4">
      <c r="A4691" t="str">
        <f t="shared" si="79"/>
        <v>278PSR</v>
      </c>
      <c r="B4691">
        <v>278</v>
      </c>
      <c r="C4691" s="9" t="s">
        <v>27</v>
      </c>
      <c r="D4691" s="8">
        <v>0.14069999999999999</v>
      </c>
    </row>
    <row r="4692" spans="1:4">
      <c r="A4692" t="str">
        <f t="shared" si="79"/>
        <v>278Sharpe Ratio</v>
      </c>
      <c r="B4692">
        <v>278</v>
      </c>
      <c r="C4692" s="9" t="s">
        <v>1</v>
      </c>
      <c r="D4692" s="8">
        <v>-0.107</v>
      </c>
    </row>
    <row r="4693" spans="1:4">
      <c r="A4693" t="str">
        <f t="shared" si="79"/>
        <v>278Total Trades</v>
      </c>
      <c r="B4693">
        <v>278</v>
      </c>
      <c r="C4693" s="9" t="s">
        <v>28</v>
      </c>
      <c r="D4693" s="8">
        <v>325</v>
      </c>
    </row>
    <row r="4694" spans="1:4">
      <c r="A4694" t="str">
        <f t="shared" si="79"/>
        <v>278Average Win</v>
      </c>
      <c r="B4694">
        <v>278</v>
      </c>
      <c r="C4694" s="9" t="s">
        <v>25</v>
      </c>
      <c r="D4694" s="8">
        <v>0.1857</v>
      </c>
    </row>
    <row r="4695" spans="1:4">
      <c r="A4695" t="str">
        <f t="shared" si="79"/>
        <v>278Average Loss</v>
      </c>
      <c r="B4695">
        <v>278</v>
      </c>
      <c r="C4695" s="9" t="s">
        <v>29</v>
      </c>
      <c r="D4695" s="8">
        <v>-0.10050000000000001</v>
      </c>
    </row>
    <row r="4696" spans="1:4">
      <c r="A4696" t="str">
        <f t="shared" si="79"/>
        <v>278Compounding Annual Return</v>
      </c>
      <c r="B4696">
        <v>278</v>
      </c>
      <c r="C4696" s="9" t="s">
        <v>30</v>
      </c>
      <c r="D4696" s="8">
        <v>-0.62599000000000005</v>
      </c>
    </row>
    <row r="4697" spans="1:4">
      <c r="A4697" t="str">
        <f t="shared" si="79"/>
        <v>278Drawdown</v>
      </c>
      <c r="B4697">
        <v>278</v>
      </c>
      <c r="C4697" s="9" t="s">
        <v>8</v>
      </c>
      <c r="D4697" s="8">
        <v>0.77500000000000002</v>
      </c>
    </row>
    <row r="4698" spans="1:4">
      <c r="A4698" t="str">
        <f t="shared" si="79"/>
        <v>278Expectancy</v>
      </c>
      <c r="B4698">
        <v>278</v>
      </c>
      <c r="C4698" s="9" t="s">
        <v>31</v>
      </c>
      <c r="D4698" s="8">
        <v>-0.14599999999999999</v>
      </c>
    </row>
    <row r="4699" spans="1:4">
      <c r="A4699" t="str">
        <f t="shared" si="79"/>
        <v>278Net Profit</v>
      </c>
      <c r="B4699">
        <v>278</v>
      </c>
      <c r="C4699" s="9" t="s">
        <v>32</v>
      </c>
      <c r="D4699" s="8">
        <v>-0.47189999999999999</v>
      </c>
    </row>
    <row r="4700" spans="1:4">
      <c r="A4700" t="str">
        <f t="shared" si="79"/>
        <v>278Loss Rate</v>
      </c>
      <c r="B4700">
        <v>278</v>
      </c>
      <c r="C4700" s="9" t="s">
        <v>33</v>
      </c>
      <c r="D4700" s="8">
        <v>0.7</v>
      </c>
    </row>
    <row r="4701" spans="1:4">
      <c r="A4701" t="str">
        <f t="shared" si="79"/>
        <v>278Win Rate</v>
      </c>
      <c r="B4701">
        <v>278</v>
      </c>
      <c r="C4701" s="9" t="s">
        <v>34</v>
      </c>
      <c r="D4701" s="8">
        <v>0.3</v>
      </c>
    </row>
    <row r="4702" spans="1:4">
      <c r="A4702" t="str">
        <f t="shared" si="79"/>
        <v>278Profit-Loss Ratio</v>
      </c>
      <c r="B4702">
        <v>278</v>
      </c>
      <c r="C4702" s="9" t="s">
        <v>26</v>
      </c>
      <c r="D4702" s="8">
        <v>1.85</v>
      </c>
    </row>
    <row r="4703" spans="1:4">
      <c r="A4703" t="str">
        <f t="shared" ref="A4703:A4731" si="80">B4703&amp;C4703</f>
        <v>278Alpha</v>
      </c>
      <c r="B4703">
        <v>278</v>
      </c>
      <c r="C4703" s="9" t="s">
        <v>23</v>
      </c>
      <c r="D4703" s="8">
        <v>-0.45100000000000001</v>
      </c>
    </row>
    <row r="4704" spans="1:4">
      <c r="A4704" t="str">
        <f t="shared" si="80"/>
        <v>278Beta</v>
      </c>
      <c r="B4704">
        <v>278</v>
      </c>
      <c r="C4704" s="9" t="s">
        <v>24</v>
      </c>
      <c r="D4704" s="8">
        <v>6.09</v>
      </c>
    </row>
    <row r="4705" spans="1:4">
      <c r="A4705" t="str">
        <f t="shared" si="80"/>
        <v>278Annual Standard Deviation</v>
      </c>
      <c r="B4705">
        <v>278</v>
      </c>
      <c r="C4705" s="9" t="s">
        <v>35</v>
      </c>
      <c r="D4705" s="8">
        <v>1.036</v>
      </c>
    </row>
    <row r="4706" spans="1:4">
      <c r="A4706" t="str">
        <f t="shared" si="80"/>
        <v>278Annual Variance</v>
      </c>
      <c r="B4706">
        <v>278</v>
      </c>
      <c r="C4706" s="9" t="s">
        <v>36</v>
      </c>
      <c r="D4706" s="8">
        <v>1.073</v>
      </c>
    </row>
    <row r="4707" spans="1:4">
      <c r="A4707" t="str">
        <f t="shared" si="80"/>
        <v>278Information Ratio</v>
      </c>
      <c r="B4707">
        <v>278</v>
      </c>
      <c r="C4707" s="9" t="s">
        <v>37</v>
      </c>
      <c r="D4707" s="8">
        <v>-0.16500000000000001</v>
      </c>
    </row>
    <row r="4708" spans="1:4">
      <c r="A4708" t="str">
        <f t="shared" si="80"/>
        <v>278Tracking Error</v>
      </c>
      <c r="B4708">
        <v>278</v>
      </c>
      <c r="C4708" s="9" t="s">
        <v>38</v>
      </c>
      <c r="D4708" s="8">
        <v>1.0109999999999999</v>
      </c>
    </row>
    <row r="4709" spans="1:4">
      <c r="A4709" t="str">
        <f t="shared" si="80"/>
        <v>278Treynor Ratio</v>
      </c>
      <c r="B4709">
        <v>278</v>
      </c>
      <c r="C4709" s="9" t="s">
        <v>39</v>
      </c>
      <c r="D4709" s="8">
        <v>-1.7999999999999999E-2</v>
      </c>
    </row>
    <row r="4710" spans="1:4">
      <c r="A4710" t="str">
        <f t="shared" si="80"/>
        <v>278Total Fees</v>
      </c>
      <c r="B4710">
        <v>278</v>
      </c>
      <c r="C4710" s="9" t="s">
        <v>40</v>
      </c>
      <c r="D4710" s="8">
        <v>0</v>
      </c>
    </row>
    <row r="4711" spans="1:4">
      <c r="A4711" t="str">
        <f t="shared" si="80"/>
        <v>278Estimated Strategy Capacity</v>
      </c>
      <c r="B4711">
        <v>278</v>
      </c>
      <c r="C4711" s="9" t="s">
        <v>41</v>
      </c>
      <c r="D4711" s="8">
        <v>3800000</v>
      </c>
    </row>
    <row r="4712" spans="1:4">
      <c r="A4712" t="str">
        <f t="shared" si="80"/>
        <v>279PSR</v>
      </c>
      <c r="B4712">
        <v>279</v>
      </c>
      <c r="C4712" s="19" t="s">
        <v>27</v>
      </c>
      <c r="D4712" s="8">
        <v>0.28127000000000002</v>
      </c>
    </row>
    <row r="4713" spans="1:4">
      <c r="A4713" t="str">
        <f t="shared" si="80"/>
        <v>279Sharpe Ratio</v>
      </c>
      <c r="B4713">
        <v>279</v>
      </c>
      <c r="C4713" s="19" t="s">
        <v>1</v>
      </c>
      <c r="D4713" s="8">
        <v>0.52800000000000002</v>
      </c>
    </row>
    <row r="4714" spans="1:4">
      <c r="A4714" t="str">
        <f t="shared" si="80"/>
        <v>279Total Trades</v>
      </c>
      <c r="B4714">
        <v>279</v>
      </c>
      <c r="C4714" s="19" t="s">
        <v>28</v>
      </c>
      <c r="D4714" s="8">
        <v>308</v>
      </c>
    </row>
    <row r="4715" spans="1:4">
      <c r="A4715" t="str">
        <f t="shared" si="80"/>
        <v>279Average Win</v>
      </c>
      <c r="B4715">
        <v>279</v>
      </c>
      <c r="C4715" s="19" t="s">
        <v>25</v>
      </c>
      <c r="D4715" s="8">
        <v>0.20680000000000001</v>
      </c>
    </row>
    <row r="4716" spans="1:4">
      <c r="A4716" t="str">
        <f t="shared" si="80"/>
        <v>279Average Loss</v>
      </c>
      <c r="B4716">
        <v>279</v>
      </c>
      <c r="C4716" s="19" t="s">
        <v>29</v>
      </c>
      <c r="D4716" s="8">
        <v>-6.4899999999999999E-2</v>
      </c>
    </row>
    <row r="4717" spans="1:4">
      <c r="A4717" t="str">
        <f t="shared" si="80"/>
        <v>279Compounding Annual Return</v>
      </c>
      <c r="B4717">
        <v>279</v>
      </c>
      <c r="C4717" s="19" t="s">
        <v>30</v>
      </c>
      <c r="D4717" s="8">
        <v>-0.41581000000000001</v>
      </c>
    </row>
    <row r="4718" spans="1:4">
      <c r="A4718" t="str">
        <f t="shared" si="80"/>
        <v>279Drawdown</v>
      </c>
      <c r="B4718">
        <v>279</v>
      </c>
      <c r="C4718" s="19" t="s">
        <v>8</v>
      </c>
      <c r="D4718" s="8">
        <v>0.80500000000000005</v>
      </c>
    </row>
    <row r="4719" spans="1:4">
      <c r="A4719" t="str">
        <f t="shared" si="80"/>
        <v>279Expectancy</v>
      </c>
      <c r="B4719">
        <v>279</v>
      </c>
      <c r="C4719" s="19" t="s">
        <v>31</v>
      </c>
      <c r="D4719" s="8">
        <v>0.08</v>
      </c>
    </row>
    <row r="4720" spans="1:4">
      <c r="A4720" t="str">
        <f t="shared" si="80"/>
        <v>279Net Profit</v>
      </c>
      <c r="B4720">
        <v>279</v>
      </c>
      <c r="C4720" s="19" t="s">
        <v>32</v>
      </c>
      <c r="D4720" s="8">
        <v>-0.29458000000000001</v>
      </c>
    </row>
    <row r="4721" spans="1:4">
      <c r="A4721" t="str">
        <f t="shared" si="80"/>
        <v>279Loss Rate</v>
      </c>
      <c r="B4721">
        <v>279</v>
      </c>
      <c r="C4721" s="19" t="s">
        <v>33</v>
      </c>
      <c r="D4721" s="8">
        <v>0.74</v>
      </c>
    </row>
    <row r="4722" spans="1:4">
      <c r="A4722" t="str">
        <f t="shared" si="80"/>
        <v>279Win Rate</v>
      </c>
      <c r="B4722">
        <v>279</v>
      </c>
      <c r="C4722" s="19" t="s">
        <v>34</v>
      </c>
      <c r="D4722" s="8">
        <v>0.26</v>
      </c>
    </row>
    <row r="4723" spans="1:4">
      <c r="A4723" t="str">
        <f t="shared" si="80"/>
        <v>279Profit-Loss Ratio</v>
      </c>
      <c r="B4723">
        <v>279</v>
      </c>
      <c r="C4723" s="19" t="s">
        <v>26</v>
      </c>
      <c r="D4723" s="8">
        <v>3.19</v>
      </c>
    </row>
    <row r="4724" spans="1:4">
      <c r="A4724" t="str">
        <f t="shared" si="80"/>
        <v>279Alpha</v>
      </c>
      <c r="B4724">
        <v>279</v>
      </c>
      <c r="C4724" s="19" t="s">
        <v>23</v>
      </c>
      <c r="D4724" s="8">
        <v>0.222</v>
      </c>
    </row>
    <row r="4725" spans="1:4">
      <c r="A4725" t="str">
        <f t="shared" si="80"/>
        <v>279Beta</v>
      </c>
      <c r="B4725">
        <v>279</v>
      </c>
      <c r="C4725" s="19" t="s">
        <v>24</v>
      </c>
      <c r="D4725" s="8">
        <v>8.5630000000000006</v>
      </c>
    </row>
    <row r="4726" spans="1:4">
      <c r="A4726" t="str">
        <f t="shared" si="80"/>
        <v>279Annual Standard Deviation</v>
      </c>
      <c r="B4726">
        <v>279</v>
      </c>
      <c r="C4726" s="19" t="s">
        <v>35</v>
      </c>
      <c r="D4726" s="8">
        <v>1.3260000000000001</v>
      </c>
    </row>
    <row r="4727" spans="1:4">
      <c r="A4727" t="str">
        <f t="shared" si="80"/>
        <v>279Annual Variance</v>
      </c>
      <c r="B4727">
        <v>279</v>
      </c>
      <c r="C4727" s="19" t="s">
        <v>36</v>
      </c>
      <c r="D4727" s="8">
        <v>1.7569999999999999</v>
      </c>
    </row>
    <row r="4728" spans="1:4">
      <c r="A4728" t="str">
        <f t="shared" si="80"/>
        <v>279Information Ratio</v>
      </c>
      <c r="B4728">
        <v>279</v>
      </c>
      <c r="C4728" s="19" t="s">
        <v>37</v>
      </c>
      <c r="D4728" s="8">
        <v>0.497</v>
      </c>
    </row>
    <row r="4729" spans="1:4">
      <c r="A4729" t="str">
        <f t="shared" si="80"/>
        <v>279Tracking Error</v>
      </c>
      <c r="B4729">
        <v>279</v>
      </c>
      <c r="C4729" s="19" t="s">
        <v>38</v>
      </c>
      <c r="D4729" s="8">
        <v>1.298</v>
      </c>
    </row>
    <row r="4730" spans="1:4">
      <c r="A4730" t="str">
        <f t="shared" si="80"/>
        <v>279Treynor Ratio</v>
      </c>
      <c r="B4730">
        <v>279</v>
      </c>
      <c r="C4730" s="19" t="s">
        <v>39</v>
      </c>
      <c r="D4730" s="8">
        <v>8.2000000000000003E-2</v>
      </c>
    </row>
    <row r="4731" spans="1:4">
      <c r="A4731" t="str">
        <f t="shared" si="80"/>
        <v>279Total Fees</v>
      </c>
      <c r="B4731">
        <v>279</v>
      </c>
      <c r="C4731" s="19" t="s">
        <v>40</v>
      </c>
      <c r="D4731" s="8">
        <v>0</v>
      </c>
    </row>
    <row r="4732" spans="1:4">
      <c r="A4732" t="str">
        <f t="shared" ref="A4732:A4796" si="81">B4732&amp;C4732</f>
        <v>279Estimated Strategy Capacity</v>
      </c>
      <c r="B4732">
        <v>279</v>
      </c>
      <c r="C4732" s="19" t="s">
        <v>41</v>
      </c>
      <c r="D4732" s="8">
        <v>2500000</v>
      </c>
    </row>
    <row r="4733" spans="1:4">
      <c r="A4733" t="str">
        <f t="shared" si="81"/>
        <v>298PSR</v>
      </c>
      <c r="B4733">
        <v>298</v>
      </c>
      <c r="C4733" s="9" t="s">
        <v>27</v>
      </c>
      <c r="D4733" s="8">
        <v>1.4999999999999999E-4</v>
      </c>
    </row>
    <row r="4734" spans="1:4">
      <c r="A4734" t="str">
        <f t="shared" si="81"/>
        <v>298Sharpe Ratio</v>
      </c>
      <c r="B4734">
        <v>298</v>
      </c>
      <c r="C4734" s="9" t="s">
        <v>1</v>
      </c>
      <c r="D4734" s="8">
        <v>-2.1829999999999998</v>
      </c>
    </row>
    <row r="4735" spans="1:4">
      <c r="A4735" t="str">
        <f t="shared" si="81"/>
        <v>298Total Trades</v>
      </c>
      <c r="B4735">
        <v>298</v>
      </c>
      <c r="C4735" s="9" t="s">
        <v>28</v>
      </c>
      <c r="D4735" s="8">
        <v>607</v>
      </c>
    </row>
    <row r="4736" spans="1:4">
      <c r="A4736" t="str">
        <f t="shared" si="81"/>
        <v>298Average Win</v>
      </c>
      <c r="B4736">
        <v>298</v>
      </c>
      <c r="C4736" s="9" t="s">
        <v>25</v>
      </c>
      <c r="D4736" s="8">
        <v>1.6999999999999999E-3</v>
      </c>
    </row>
    <row r="4737" spans="1:4">
      <c r="A4737" t="str">
        <f t="shared" si="81"/>
        <v>298Average Loss</v>
      </c>
      <c r="B4737">
        <v>298</v>
      </c>
      <c r="C4737" s="9" t="s">
        <v>29</v>
      </c>
      <c r="D4737" s="8">
        <v>-1.12E-2</v>
      </c>
    </row>
    <row r="4738" spans="1:4">
      <c r="A4738" t="str">
        <f t="shared" si="81"/>
        <v>298Compounding Annual Return</v>
      </c>
      <c r="B4738">
        <v>298</v>
      </c>
      <c r="C4738" s="9" t="s">
        <v>30</v>
      </c>
      <c r="D4738" s="8">
        <v>-0.19323000000000001</v>
      </c>
    </row>
    <row r="4739" spans="1:4">
      <c r="A4739" t="str">
        <f t="shared" si="81"/>
        <v>298Drawdown</v>
      </c>
      <c r="B4739">
        <v>298</v>
      </c>
      <c r="C4739" s="9" t="s">
        <v>8</v>
      </c>
      <c r="D4739" s="8">
        <v>0.14399999999999999</v>
      </c>
    </row>
    <row r="4740" spans="1:4">
      <c r="A4740" t="str">
        <f t="shared" si="81"/>
        <v>298Expectancy</v>
      </c>
      <c r="B4740">
        <v>298</v>
      </c>
      <c r="C4740" s="9" t="s">
        <v>31</v>
      </c>
      <c r="D4740" s="8">
        <v>-0.59699999999999998</v>
      </c>
    </row>
    <row r="4741" spans="1:4">
      <c r="A4741" t="str">
        <f t="shared" si="81"/>
        <v>298Net Profit</v>
      </c>
      <c r="B4741">
        <v>298</v>
      </c>
      <c r="C4741" s="9" t="s">
        <v>32</v>
      </c>
      <c r="D4741" s="8">
        <v>-0.13012000000000001</v>
      </c>
    </row>
    <row r="4742" spans="1:4">
      <c r="A4742" t="str">
        <f t="shared" si="81"/>
        <v>298Loss Rate</v>
      </c>
      <c r="B4742">
        <v>298</v>
      </c>
      <c r="C4742" s="9" t="s">
        <v>33</v>
      </c>
      <c r="D4742" s="8">
        <v>0.65</v>
      </c>
    </row>
    <row r="4743" spans="1:4">
      <c r="A4743" t="str">
        <f t="shared" si="81"/>
        <v>298Win Rate</v>
      </c>
      <c r="B4743">
        <v>298</v>
      </c>
      <c r="C4743" s="9" t="s">
        <v>34</v>
      </c>
      <c r="D4743" s="8">
        <v>0.35</v>
      </c>
    </row>
    <row r="4744" spans="1:4">
      <c r="A4744" t="str">
        <f t="shared" si="81"/>
        <v>298Profit-Loss Ratio</v>
      </c>
      <c r="B4744">
        <v>298</v>
      </c>
      <c r="C4744" s="9" t="s">
        <v>26</v>
      </c>
      <c r="D4744" s="8">
        <v>0.15</v>
      </c>
    </row>
    <row r="4745" spans="1:4">
      <c r="A4745" t="str">
        <f t="shared" si="81"/>
        <v>298Alpha</v>
      </c>
      <c r="B4745">
        <v>298</v>
      </c>
      <c r="C4745" s="9" t="s">
        <v>23</v>
      </c>
      <c r="D4745" s="8">
        <v>-0.11899999999999999</v>
      </c>
    </row>
    <row r="4746" spans="1:4">
      <c r="A4746" t="str">
        <f t="shared" si="81"/>
        <v>298Beta</v>
      </c>
      <c r="B4746">
        <v>298</v>
      </c>
      <c r="C4746" s="9" t="s">
        <v>24</v>
      </c>
      <c r="D4746" s="8">
        <v>-0.315</v>
      </c>
    </row>
    <row r="4747" spans="1:4">
      <c r="A4747" t="str">
        <f t="shared" si="81"/>
        <v>298Annual Standard Deviation</v>
      </c>
      <c r="B4747">
        <v>298</v>
      </c>
      <c r="C4747" s="9" t="s">
        <v>35</v>
      </c>
      <c r="D4747" s="8">
        <v>6.3E-2</v>
      </c>
    </row>
    <row r="4748" spans="1:4">
      <c r="A4748" t="str">
        <f t="shared" si="81"/>
        <v>298Annual Variance</v>
      </c>
      <c r="B4748">
        <v>298</v>
      </c>
      <c r="C4748" s="9" t="s">
        <v>36</v>
      </c>
      <c r="D4748" s="8">
        <v>4.0000000000000001E-3</v>
      </c>
    </row>
    <row r="4749" spans="1:4">
      <c r="A4749" t="str">
        <f t="shared" si="81"/>
        <v>298Information Ratio</v>
      </c>
      <c r="B4749">
        <v>298</v>
      </c>
      <c r="C4749" s="9" t="s">
        <v>37</v>
      </c>
      <c r="D4749" s="8">
        <v>-1.831</v>
      </c>
    </row>
    <row r="4750" spans="1:4">
      <c r="A4750" t="str">
        <f t="shared" si="81"/>
        <v>298Tracking Error</v>
      </c>
      <c r="B4750">
        <v>298</v>
      </c>
      <c r="C4750" s="9" t="s">
        <v>38</v>
      </c>
      <c r="D4750" s="8">
        <v>0.106</v>
      </c>
    </row>
    <row r="4751" spans="1:4">
      <c r="A4751" t="str">
        <f t="shared" si="81"/>
        <v>298Treynor Ratio</v>
      </c>
      <c r="B4751">
        <v>298</v>
      </c>
      <c r="C4751" s="9" t="s">
        <v>39</v>
      </c>
      <c r="D4751" s="8">
        <v>0.434</v>
      </c>
    </row>
    <row r="4752" spans="1:4">
      <c r="A4752" t="str">
        <f t="shared" si="81"/>
        <v>298Total Fees</v>
      </c>
      <c r="B4752">
        <v>298</v>
      </c>
      <c r="C4752" s="9" t="s">
        <v>40</v>
      </c>
      <c r="D4752" s="8">
        <v>0</v>
      </c>
    </row>
    <row r="4753" spans="1:4">
      <c r="A4753" t="str">
        <f t="shared" si="81"/>
        <v>298Estimated Strategy Capacity</v>
      </c>
      <c r="B4753">
        <v>298</v>
      </c>
      <c r="C4753" s="9" t="s">
        <v>41</v>
      </c>
      <c r="D4753" s="8">
        <v>270000000</v>
      </c>
    </row>
    <row r="4754" spans="1:4">
      <c r="A4754" t="str">
        <f t="shared" si="81"/>
        <v>299PSR</v>
      </c>
      <c r="B4754">
        <v>299</v>
      </c>
      <c r="C4754" s="9" t="s">
        <v>27</v>
      </c>
      <c r="D4754" s="8">
        <v>1.0840000000000001E-2</v>
      </c>
    </row>
    <row r="4755" spans="1:4">
      <c r="A4755" t="str">
        <f t="shared" si="81"/>
        <v>299Sharpe Ratio</v>
      </c>
      <c r="B4755">
        <v>299</v>
      </c>
      <c r="C4755" s="9" t="s">
        <v>1</v>
      </c>
      <c r="D4755" s="8">
        <v>-0.71799999999999997</v>
      </c>
    </row>
    <row r="4756" spans="1:4">
      <c r="A4756" t="str">
        <f t="shared" si="81"/>
        <v>299Total Trades</v>
      </c>
      <c r="B4756">
        <v>299</v>
      </c>
      <c r="C4756" s="9" t="s">
        <v>28</v>
      </c>
      <c r="D4756" s="8">
        <v>563</v>
      </c>
    </row>
    <row r="4757" spans="1:4">
      <c r="A4757" t="str">
        <f t="shared" si="81"/>
        <v>299Average Win</v>
      </c>
      <c r="B4757">
        <v>299</v>
      </c>
      <c r="C4757" s="9" t="s">
        <v>25</v>
      </c>
      <c r="D4757" s="8">
        <v>4.8599999999999997E-2</v>
      </c>
    </row>
    <row r="4758" spans="1:4">
      <c r="A4758" t="str">
        <f t="shared" si="81"/>
        <v>299Average Loss</v>
      </c>
      <c r="B4758">
        <v>299</v>
      </c>
      <c r="C4758" s="9" t="s">
        <v>29</v>
      </c>
      <c r="D4758" s="8">
        <v>-7.2900000000000006E-2</v>
      </c>
    </row>
    <row r="4759" spans="1:4">
      <c r="A4759" t="str">
        <f t="shared" si="81"/>
        <v>299Compounding Annual Return</v>
      </c>
      <c r="B4759">
        <v>299</v>
      </c>
      <c r="C4759" s="9" t="s">
        <v>30</v>
      </c>
      <c r="D4759" s="8">
        <v>-0.95528000000000002</v>
      </c>
    </row>
    <row r="4760" spans="1:4">
      <c r="A4760" t="str">
        <f t="shared" si="81"/>
        <v>299Drawdown</v>
      </c>
      <c r="B4760">
        <v>299</v>
      </c>
      <c r="C4760" s="9" t="s">
        <v>8</v>
      </c>
      <c r="D4760" s="8">
        <v>0.90400000000000003</v>
      </c>
    </row>
    <row r="4761" spans="1:4">
      <c r="A4761" t="str">
        <f t="shared" si="81"/>
        <v>299Expectancy</v>
      </c>
      <c r="B4761">
        <v>299</v>
      </c>
      <c r="C4761" s="9" t="s">
        <v>31</v>
      </c>
      <c r="D4761" s="8">
        <v>-0.69699999999999995</v>
      </c>
    </row>
    <row r="4762" spans="1:4">
      <c r="A4762" t="str">
        <f t="shared" si="81"/>
        <v>299Net Profit</v>
      </c>
      <c r="B4762">
        <v>299</v>
      </c>
      <c r="C4762" s="9" t="s">
        <v>32</v>
      </c>
      <c r="D4762" s="8">
        <v>-0.86697999999999997</v>
      </c>
    </row>
    <row r="4763" spans="1:4">
      <c r="A4763" t="str">
        <f t="shared" si="81"/>
        <v>299Loss Rate</v>
      </c>
      <c r="B4763">
        <v>299</v>
      </c>
      <c r="C4763" s="9" t="s">
        <v>33</v>
      </c>
      <c r="D4763" s="8">
        <v>0.82</v>
      </c>
    </row>
    <row r="4764" spans="1:4">
      <c r="A4764" t="str">
        <f t="shared" si="81"/>
        <v>299Win Rate</v>
      </c>
      <c r="B4764">
        <v>299</v>
      </c>
      <c r="C4764" s="9" t="s">
        <v>34</v>
      </c>
      <c r="D4764" s="8">
        <v>0.18</v>
      </c>
    </row>
    <row r="4765" spans="1:4">
      <c r="A4765" t="str">
        <f t="shared" si="81"/>
        <v>299Profit-Loss Ratio</v>
      </c>
      <c r="B4765">
        <v>299</v>
      </c>
      <c r="C4765" s="9" t="s">
        <v>26</v>
      </c>
      <c r="D4765" s="8">
        <v>0.67</v>
      </c>
    </row>
    <row r="4766" spans="1:4">
      <c r="A4766" t="str">
        <f t="shared" si="81"/>
        <v>299Alpha</v>
      </c>
      <c r="B4766">
        <v>299</v>
      </c>
      <c r="C4766" s="9" t="s">
        <v>23</v>
      </c>
      <c r="D4766" s="8">
        <v>-0.49199999999999999</v>
      </c>
    </row>
    <row r="4767" spans="1:4">
      <c r="A4767" t="str">
        <f t="shared" si="81"/>
        <v>299Beta</v>
      </c>
      <c r="B4767">
        <v>299</v>
      </c>
      <c r="C4767" s="9" t="s">
        <v>24</v>
      </c>
      <c r="D4767" s="8">
        <v>-5.2329999999999997</v>
      </c>
    </row>
    <row r="4768" spans="1:4">
      <c r="A4768" t="str">
        <f t="shared" si="81"/>
        <v>299Annual Standard Deviation</v>
      </c>
      <c r="B4768">
        <v>299</v>
      </c>
      <c r="C4768" s="9" t="s">
        <v>35</v>
      </c>
      <c r="D4768" s="8">
        <v>1.0920000000000001</v>
      </c>
    </row>
    <row r="4769" spans="1:4">
      <c r="A4769" t="str">
        <f t="shared" si="81"/>
        <v>299Annual Variance</v>
      </c>
      <c r="B4769">
        <v>299</v>
      </c>
      <c r="C4769" s="9" t="s">
        <v>36</v>
      </c>
      <c r="D4769" s="8">
        <v>1.194</v>
      </c>
    </row>
    <row r="4770" spans="1:4">
      <c r="A4770" t="str">
        <f t="shared" si="81"/>
        <v>299Information Ratio</v>
      </c>
      <c r="B4770">
        <v>299</v>
      </c>
      <c r="C4770" s="9" t="s">
        <v>37</v>
      </c>
      <c r="D4770" s="8">
        <v>-0.753</v>
      </c>
    </row>
    <row r="4771" spans="1:4">
      <c r="A4771" t="str">
        <f t="shared" si="81"/>
        <v>299Tracking Error</v>
      </c>
      <c r="B4771">
        <v>299</v>
      </c>
      <c r="C4771" s="9" t="s">
        <v>38</v>
      </c>
      <c r="D4771" s="8">
        <v>1.1160000000000001</v>
      </c>
    </row>
    <row r="4772" spans="1:4">
      <c r="A4772" t="str">
        <f t="shared" si="81"/>
        <v>299Treynor Ratio</v>
      </c>
      <c r="B4772">
        <v>299</v>
      </c>
      <c r="C4772" s="9" t="s">
        <v>39</v>
      </c>
      <c r="D4772" s="8">
        <v>0.15</v>
      </c>
    </row>
    <row r="4773" spans="1:4">
      <c r="A4773" t="str">
        <f t="shared" si="81"/>
        <v>299Total Fees</v>
      </c>
      <c r="B4773">
        <v>299</v>
      </c>
      <c r="C4773" s="9" t="s">
        <v>40</v>
      </c>
      <c r="D4773" s="8">
        <v>0</v>
      </c>
    </row>
    <row r="4774" spans="1:4">
      <c r="A4774" t="str">
        <f t="shared" si="81"/>
        <v>299Estimated Strategy Capacity</v>
      </c>
      <c r="B4774">
        <v>299</v>
      </c>
      <c r="C4774" s="9" t="s">
        <v>41</v>
      </c>
      <c r="D4774" s="8">
        <v>4800000</v>
      </c>
    </row>
    <row r="4775" spans="1:4">
      <c r="A4775" t="str">
        <f t="shared" si="81"/>
        <v>300PSR</v>
      </c>
      <c r="B4775">
        <v>300</v>
      </c>
      <c r="C4775" s="9" t="s">
        <v>27</v>
      </c>
      <c r="D4775" s="8">
        <v>1.8700000000000001E-2</v>
      </c>
    </row>
    <row r="4776" spans="1:4">
      <c r="A4776" t="str">
        <f t="shared" si="81"/>
        <v>300Sharpe Ratio</v>
      </c>
      <c r="B4776">
        <v>300</v>
      </c>
      <c r="C4776" s="9" t="s">
        <v>1</v>
      </c>
      <c r="D4776" s="8">
        <v>-0.60499999999999998</v>
      </c>
    </row>
    <row r="4777" spans="1:4">
      <c r="A4777" t="str">
        <f t="shared" si="81"/>
        <v>300Total Trades</v>
      </c>
      <c r="B4777">
        <v>300</v>
      </c>
      <c r="C4777" s="9" t="s">
        <v>28</v>
      </c>
      <c r="D4777" s="8">
        <v>516</v>
      </c>
    </row>
    <row r="4778" spans="1:4">
      <c r="A4778" t="str">
        <f t="shared" si="81"/>
        <v>300Average Win</v>
      </c>
      <c r="B4778">
        <v>300</v>
      </c>
      <c r="C4778" s="9" t="s">
        <v>25</v>
      </c>
      <c r="D4778" s="8">
        <v>3.7199999999999997E-2</v>
      </c>
    </row>
    <row r="4779" spans="1:4">
      <c r="A4779" t="str">
        <f t="shared" si="81"/>
        <v>300Average Loss</v>
      </c>
      <c r="B4779">
        <v>300</v>
      </c>
      <c r="C4779" s="9" t="s">
        <v>29</v>
      </c>
      <c r="D4779" s="8">
        <v>-7.4499999999999997E-2</v>
      </c>
    </row>
    <row r="4780" spans="1:4">
      <c r="A4780" t="str">
        <f t="shared" si="81"/>
        <v>300Compounding Annual Return</v>
      </c>
      <c r="B4780">
        <v>300</v>
      </c>
      <c r="C4780" s="9" t="s">
        <v>30</v>
      </c>
      <c r="D4780" s="8">
        <v>-0.96596000000000004</v>
      </c>
    </row>
    <row r="4781" spans="1:4">
      <c r="A4781" t="str">
        <f t="shared" si="81"/>
        <v>300Drawdown</v>
      </c>
      <c r="B4781">
        <v>300</v>
      </c>
      <c r="C4781" s="9" t="s">
        <v>8</v>
      </c>
      <c r="D4781" s="8">
        <v>0.93700000000000006</v>
      </c>
    </row>
    <row r="4782" spans="1:4">
      <c r="A4782" t="str">
        <f t="shared" si="81"/>
        <v>300Expectancy</v>
      </c>
      <c r="B4782">
        <v>300</v>
      </c>
      <c r="C4782" s="9" t="s">
        <v>31</v>
      </c>
      <c r="D4782" s="8">
        <v>-0.7</v>
      </c>
    </row>
    <row r="4783" spans="1:4">
      <c r="A4783" t="str">
        <f t="shared" si="81"/>
        <v>300Net Profit</v>
      </c>
      <c r="B4783">
        <v>300</v>
      </c>
      <c r="C4783" s="9" t="s">
        <v>32</v>
      </c>
      <c r="D4783" s="8">
        <v>-0.88858999999999999</v>
      </c>
    </row>
    <row r="4784" spans="1:4">
      <c r="A4784" t="str">
        <f t="shared" si="81"/>
        <v>300Loss Rate</v>
      </c>
      <c r="B4784">
        <v>300</v>
      </c>
      <c r="C4784" s="9" t="s">
        <v>33</v>
      </c>
      <c r="D4784" s="8">
        <v>0.8</v>
      </c>
    </row>
    <row r="4785" spans="1:4">
      <c r="A4785" t="str">
        <f t="shared" si="81"/>
        <v>300Win Rate</v>
      </c>
      <c r="B4785">
        <v>300</v>
      </c>
      <c r="C4785" s="9" t="s">
        <v>34</v>
      </c>
      <c r="D4785" s="8">
        <v>0.2</v>
      </c>
    </row>
    <row r="4786" spans="1:4">
      <c r="A4786" t="str">
        <f t="shared" si="81"/>
        <v>300Profit-Loss Ratio</v>
      </c>
      <c r="B4786">
        <v>300</v>
      </c>
      <c r="C4786" s="9" t="s">
        <v>26</v>
      </c>
      <c r="D4786" s="8">
        <v>0.5</v>
      </c>
    </row>
    <row r="4787" spans="1:4">
      <c r="A4787" t="str">
        <f t="shared" si="81"/>
        <v>300Alpha</v>
      </c>
      <c r="B4787">
        <v>300</v>
      </c>
      <c r="C4787" s="9" t="s">
        <v>23</v>
      </c>
      <c r="D4787" s="8">
        <v>-0.40100000000000002</v>
      </c>
    </row>
    <row r="4788" spans="1:4">
      <c r="A4788" t="str">
        <f t="shared" si="81"/>
        <v>300Beta</v>
      </c>
      <c r="B4788">
        <v>300</v>
      </c>
      <c r="C4788" s="9" t="s">
        <v>24</v>
      </c>
      <c r="D4788" s="8">
        <v>-6.6820000000000004</v>
      </c>
    </row>
    <row r="4789" spans="1:4">
      <c r="A4789" t="str">
        <f t="shared" si="81"/>
        <v>300Annual Standard Deviation</v>
      </c>
      <c r="B4789">
        <v>300</v>
      </c>
      <c r="C4789" s="9" t="s">
        <v>35</v>
      </c>
      <c r="D4789" s="8">
        <v>1.28</v>
      </c>
    </row>
    <row r="4790" spans="1:4">
      <c r="A4790" t="str">
        <f t="shared" si="81"/>
        <v>300Annual Variance</v>
      </c>
      <c r="B4790">
        <v>300</v>
      </c>
      <c r="C4790" s="9" t="s">
        <v>36</v>
      </c>
      <c r="D4790" s="8">
        <v>1.6379999999999999</v>
      </c>
    </row>
    <row r="4791" spans="1:4">
      <c r="A4791" t="str">
        <f t="shared" si="81"/>
        <v>300Information Ratio</v>
      </c>
      <c r="B4791">
        <v>300</v>
      </c>
      <c r="C4791" s="9" t="s">
        <v>37</v>
      </c>
      <c r="D4791" s="8">
        <v>-0.63600000000000001</v>
      </c>
    </row>
    <row r="4792" spans="1:4">
      <c r="A4792" t="str">
        <f t="shared" si="81"/>
        <v>300Tracking Error</v>
      </c>
      <c r="B4792">
        <v>300</v>
      </c>
      <c r="C4792" s="9" t="s">
        <v>38</v>
      </c>
      <c r="D4792" s="8">
        <v>1.3049999999999999</v>
      </c>
    </row>
    <row r="4793" spans="1:4">
      <c r="A4793" t="str">
        <f t="shared" si="81"/>
        <v>300Treynor Ratio</v>
      </c>
      <c r="B4793">
        <v>300</v>
      </c>
      <c r="C4793" s="9" t="s">
        <v>39</v>
      </c>
      <c r="D4793" s="8">
        <v>0.11600000000000001</v>
      </c>
    </row>
    <row r="4794" spans="1:4">
      <c r="A4794" t="str">
        <f t="shared" si="81"/>
        <v>300Total Fees</v>
      </c>
      <c r="B4794">
        <v>300</v>
      </c>
      <c r="C4794" s="9" t="s">
        <v>40</v>
      </c>
      <c r="D4794" s="8">
        <v>0</v>
      </c>
    </row>
    <row r="4795" spans="1:4">
      <c r="A4795" t="str">
        <f t="shared" si="81"/>
        <v>300Estimated Strategy Capacity</v>
      </c>
      <c r="B4795">
        <v>300</v>
      </c>
      <c r="C4795" s="9" t="s">
        <v>41</v>
      </c>
      <c r="D4795" s="8">
        <v>1800000</v>
      </c>
    </row>
    <row r="4796" spans="1:4">
      <c r="A4796" t="str">
        <f t="shared" si="81"/>
        <v>301PSR</v>
      </c>
      <c r="B4796">
        <v>301</v>
      </c>
      <c r="C4796" s="9" t="s">
        <v>27</v>
      </c>
      <c r="D4796" s="8">
        <v>0.60328999999999999</v>
      </c>
    </row>
    <row r="4797" spans="1:4">
      <c r="A4797" t="str">
        <f t="shared" ref="A4797:A4860" si="82">B4797&amp;C4797</f>
        <v>301Sharpe Ratio</v>
      </c>
      <c r="B4797">
        <v>301</v>
      </c>
      <c r="C4797" s="9" t="s">
        <v>1</v>
      </c>
      <c r="D4797" s="8">
        <v>1.349</v>
      </c>
    </row>
    <row r="4798" spans="1:4">
      <c r="A4798" t="str">
        <f t="shared" si="82"/>
        <v>301Total Trades</v>
      </c>
      <c r="B4798">
        <v>301</v>
      </c>
      <c r="C4798" s="9" t="s">
        <v>28</v>
      </c>
      <c r="D4798" s="8">
        <v>359</v>
      </c>
    </row>
    <row r="4799" spans="1:4">
      <c r="A4799" t="str">
        <f t="shared" si="82"/>
        <v>301Average Win</v>
      </c>
      <c r="B4799">
        <v>301</v>
      </c>
      <c r="C4799" s="9" t="s">
        <v>25</v>
      </c>
      <c r="D4799" s="8">
        <v>2.1100000000000001E-2</v>
      </c>
    </row>
    <row r="4800" spans="1:4">
      <c r="A4800" t="str">
        <f t="shared" si="82"/>
        <v>301Average Loss</v>
      </c>
      <c r="B4800">
        <v>301</v>
      </c>
      <c r="C4800" s="9" t="s">
        <v>29</v>
      </c>
      <c r="D4800" s="8">
        <v>-5.7000000000000002E-3</v>
      </c>
    </row>
    <row r="4801" spans="1:4">
      <c r="A4801" t="str">
        <f t="shared" si="82"/>
        <v>301Compounding Annual Return</v>
      </c>
      <c r="B4801">
        <v>301</v>
      </c>
      <c r="C4801" s="9" t="s">
        <v>30</v>
      </c>
      <c r="D4801" s="8">
        <v>0.23871999999999999</v>
      </c>
    </row>
    <row r="4802" spans="1:4">
      <c r="A4802" t="str">
        <f t="shared" si="82"/>
        <v>301Drawdown</v>
      </c>
      <c r="B4802">
        <v>301</v>
      </c>
      <c r="C4802" s="9" t="s">
        <v>8</v>
      </c>
      <c r="D4802" s="8">
        <v>8.1000000000000003E-2</v>
      </c>
    </row>
    <row r="4803" spans="1:4">
      <c r="A4803" t="str">
        <f t="shared" si="82"/>
        <v>301Expectancy</v>
      </c>
      <c r="B4803">
        <v>301</v>
      </c>
      <c r="C4803" s="9" t="s">
        <v>31</v>
      </c>
      <c r="D4803" s="8">
        <v>2.8580000000000001</v>
      </c>
    </row>
    <row r="4804" spans="1:4">
      <c r="A4804" t="str">
        <f t="shared" si="82"/>
        <v>301Net Profit</v>
      </c>
      <c r="B4804">
        <v>301</v>
      </c>
      <c r="C4804" s="9" t="s">
        <v>32</v>
      </c>
      <c r="D4804" s="8">
        <v>0.14910000000000001</v>
      </c>
    </row>
    <row r="4805" spans="1:4">
      <c r="A4805" t="str">
        <f t="shared" si="82"/>
        <v>301Loss Rate</v>
      </c>
      <c r="B4805">
        <v>301</v>
      </c>
      <c r="C4805" s="9" t="s">
        <v>33</v>
      </c>
      <c r="D4805" s="8">
        <v>0.18</v>
      </c>
    </row>
    <row r="4806" spans="1:4">
      <c r="A4806" t="str">
        <f t="shared" si="82"/>
        <v>301Win Rate</v>
      </c>
      <c r="B4806">
        <v>301</v>
      </c>
      <c r="C4806" s="9" t="s">
        <v>34</v>
      </c>
      <c r="D4806" s="8">
        <v>0.82</v>
      </c>
    </row>
    <row r="4807" spans="1:4">
      <c r="A4807" t="str">
        <f t="shared" si="82"/>
        <v>301Profit-Loss Ratio</v>
      </c>
      <c r="B4807">
        <v>301</v>
      </c>
      <c r="C4807" s="9" t="s">
        <v>26</v>
      </c>
      <c r="D4807" s="8">
        <v>3.71</v>
      </c>
    </row>
    <row r="4808" spans="1:4">
      <c r="A4808" t="str">
        <f t="shared" si="82"/>
        <v>301Alpha</v>
      </c>
      <c r="B4808">
        <v>301</v>
      </c>
      <c r="C4808" s="9" t="s">
        <v>23</v>
      </c>
      <c r="D4808" s="8">
        <v>0.19600000000000001</v>
      </c>
    </row>
    <row r="4809" spans="1:4">
      <c r="A4809" t="str">
        <f t="shared" si="82"/>
        <v>301Beta</v>
      </c>
      <c r="B4809">
        <v>301</v>
      </c>
      <c r="C4809" s="9" t="s">
        <v>24</v>
      </c>
      <c r="D4809" s="8">
        <v>-0.48699999999999999</v>
      </c>
    </row>
    <row r="4810" spans="1:4">
      <c r="A4810" t="str">
        <f t="shared" si="82"/>
        <v>301Annual Standard Deviation</v>
      </c>
      <c r="B4810">
        <v>301</v>
      </c>
      <c r="C4810" s="9" t="s">
        <v>35</v>
      </c>
      <c r="D4810" s="8">
        <v>0.125</v>
      </c>
    </row>
    <row r="4811" spans="1:4">
      <c r="A4811" t="str">
        <f t="shared" si="82"/>
        <v>301Annual Variance</v>
      </c>
      <c r="B4811">
        <v>301</v>
      </c>
      <c r="C4811" s="9" t="s">
        <v>36</v>
      </c>
      <c r="D4811" s="8">
        <v>1.6E-2</v>
      </c>
    </row>
    <row r="4812" spans="1:4">
      <c r="A4812" t="str">
        <f t="shared" si="82"/>
        <v>301Information Ratio</v>
      </c>
      <c r="B4812">
        <v>301</v>
      </c>
      <c r="C4812" s="9" t="s">
        <v>37</v>
      </c>
      <c r="D4812" s="8">
        <v>0.72199999999999998</v>
      </c>
    </row>
    <row r="4813" spans="1:4">
      <c r="A4813" t="str">
        <f t="shared" si="82"/>
        <v>301Tracking Error</v>
      </c>
      <c r="B4813">
        <v>301</v>
      </c>
      <c r="C4813" s="9" t="s">
        <v>38</v>
      </c>
      <c r="D4813" s="8">
        <v>0.157</v>
      </c>
    </row>
    <row r="4814" spans="1:4">
      <c r="A4814" t="str">
        <f t="shared" si="82"/>
        <v>301Treynor Ratio</v>
      </c>
      <c r="B4814">
        <v>301</v>
      </c>
      <c r="C4814" s="9" t="s">
        <v>39</v>
      </c>
      <c r="D4814" s="8">
        <v>-0.34699999999999998</v>
      </c>
    </row>
    <row r="4815" spans="1:4">
      <c r="A4815" t="str">
        <f t="shared" si="82"/>
        <v>301Total Fees</v>
      </c>
      <c r="B4815">
        <v>301</v>
      </c>
      <c r="C4815" s="9" t="s">
        <v>40</v>
      </c>
      <c r="D4815" s="8">
        <v>0</v>
      </c>
    </row>
    <row r="4816" spans="1:4">
      <c r="A4816" t="str">
        <f t="shared" si="82"/>
        <v>301Estimated Strategy Capacity</v>
      </c>
      <c r="B4816">
        <v>301</v>
      </c>
      <c r="C4816" s="9" t="s">
        <v>41</v>
      </c>
      <c r="D4816" s="8">
        <v>3400000</v>
      </c>
    </row>
    <row r="4817" spans="1:4">
      <c r="A4817" t="str">
        <f t="shared" si="82"/>
        <v>302PSR</v>
      </c>
      <c r="B4817">
        <v>302</v>
      </c>
      <c r="C4817" s="9" t="s">
        <v>27</v>
      </c>
      <c r="D4817" s="8">
        <v>0.74778</v>
      </c>
    </row>
    <row r="4818" spans="1:4">
      <c r="A4818" t="str">
        <f t="shared" si="82"/>
        <v>302Sharpe Ratio</v>
      </c>
      <c r="B4818">
        <v>302</v>
      </c>
      <c r="C4818" s="9" t="s">
        <v>1</v>
      </c>
      <c r="D4818" s="8">
        <v>3.0630000000000002</v>
      </c>
    </row>
    <row r="4819" spans="1:4">
      <c r="A4819" t="str">
        <f t="shared" si="82"/>
        <v>302Total Trades</v>
      </c>
      <c r="B4819">
        <v>302</v>
      </c>
      <c r="C4819" s="9" t="s">
        <v>28</v>
      </c>
      <c r="D4819" s="8">
        <v>356</v>
      </c>
    </row>
    <row r="4820" spans="1:4">
      <c r="A4820" t="str">
        <f t="shared" si="82"/>
        <v>302Average Win</v>
      </c>
      <c r="B4820">
        <v>302</v>
      </c>
      <c r="C4820" s="9" t="s">
        <v>25</v>
      </c>
      <c r="D4820" s="8">
        <v>0.1363</v>
      </c>
    </row>
    <row r="4821" spans="1:4">
      <c r="A4821" t="str">
        <f t="shared" si="82"/>
        <v>302Average Loss</v>
      </c>
      <c r="B4821">
        <v>302</v>
      </c>
      <c r="C4821" s="9" t="s">
        <v>29</v>
      </c>
      <c r="D4821" s="8">
        <v>-2.9899999999999999E-2</v>
      </c>
    </row>
    <row r="4822" spans="1:4">
      <c r="A4822" t="str">
        <f t="shared" si="82"/>
        <v>302Compounding Annual Return</v>
      </c>
      <c r="B4822">
        <v>302</v>
      </c>
      <c r="C4822" s="9" t="s">
        <v>30</v>
      </c>
      <c r="D4822" s="8">
        <v>2.8816700000000002</v>
      </c>
    </row>
    <row r="4823" spans="1:4">
      <c r="A4823" t="str">
        <f t="shared" si="82"/>
        <v>302Drawdown</v>
      </c>
      <c r="B4823">
        <v>302</v>
      </c>
      <c r="C4823" s="9" t="s">
        <v>8</v>
      </c>
      <c r="D4823" s="8">
        <v>0.33300000000000002</v>
      </c>
    </row>
    <row r="4824" spans="1:4">
      <c r="A4824" t="str">
        <f t="shared" si="82"/>
        <v>302Expectancy</v>
      </c>
      <c r="B4824">
        <v>302</v>
      </c>
      <c r="C4824" s="9" t="s">
        <v>31</v>
      </c>
      <c r="D4824" s="8">
        <v>3.1669999999999998</v>
      </c>
    </row>
    <row r="4825" spans="1:4">
      <c r="A4825" t="str">
        <f t="shared" si="82"/>
        <v>302Net Profit</v>
      </c>
      <c r="B4825">
        <v>302</v>
      </c>
      <c r="C4825" s="9" t="s">
        <v>32</v>
      </c>
      <c r="D4825" s="8">
        <v>1.41208</v>
      </c>
    </row>
    <row r="4826" spans="1:4">
      <c r="A4826" t="str">
        <f t="shared" si="82"/>
        <v>302Loss Rate</v>
      </c>
      <c r="B4826">
        <v>302</v>
      </c>
      <c r="C4826" s="9" t="s">
        <v>33</v>
      </c>
      <c r="D4826" s="8">
        <v>0.25</v>
      </c>
    </row>
    <row r="4827" spans="1:4">
      <c r="A4827" t="str">
        <f t="shared" si="82"/>
        <v>302Win Rate</v>
      </c>
      <c r="B4827">
        <v>302</v>
      </c>
      <c r="C4827" s="9" t="s">
        <v>34</v>
      </c>
      <c r="D4827" s="8">
        <v>0.75</v>
      </c>
    </row>
    <row r="4828" spans="1:4">
      <c r="A4828" t="str">
        <f t="shared" si="82"/>
        <v>302Profit-Loss Ratio</v>
      </c>
      <c r="B4828">
        <v>302</v>
      </c>
      <c r="C4828" s="9" t="s">
        <v>26</v>
      </c>
      <c r="D4828" s="8">
        <v>4.5599999999999996</v>
      </c>
    </row>
    <row r="4829" spans="1:4">
      <c r="A4829" t="str">
        <f t="shared" si="82"/>
        <v>302Alpha</v>
      </c>
      <c r="B4829">
        <v>302</v>
      </c>
      <c r="C4829" s="9" t="s">
        <v>23</v>
      </c>
      <c r="D4829" s="8">
        <v>2.48</v>
      </c>
    </row>
    <row r="4830" spans="1:4">
      <c r="A4830" t="str">
        <f t="shared" si="82"/>
        <v>302Beta</v>
      </c>
      <c r="B4830">
        <v>302</v>
      </c>
      <c r="C4830" s="9" t="s">
        <v>24</v>
      </c>
      <c r="D4830" s="8">
        <v>-2.8119999999999998</v>
      </c>
    </row>
    <row r="4831" spans="1:4">
      <c r="A4831" t="str">
        <f t="shared" si="82"/>
        <v>302Annual Standard Deviation</v>
      </c>
      <c r="B4831">
        <v>302</v>
      </c>
      <c r="C4831" s="9" t="s">
        <v>35</v>
      </c>
      <c r="D4831" s="8">
        <v>0.75800000000000001</v>
      </c>
    </row>
    <row r="4832" spans="1:4">
      <c r="A4832" t="str">
        <f t="shared" si="82"/>
        <v>302Annual Variance</v>
      </c>
      <c r="B4832">
        <v>302</v>
      </c>
      <c r="C4832" s="9" t="s">
        <v>36</v>
      </c>
      <c r="D4832" s="8">
        <v>0.57499999999999996</v>
      </c>
    </row>
    <row r="4833" spans="1:4">
      <c r="A4833" t="str">
        <f t="shared" si="82"/>
        <v>302Information Ratio</v>
      </c>
      <c r="B4833">
        <v>302</v>
      </c>
      <c r="C4833" s="9" t="s">
        <v>37</v>
      </c>
      <c r="D4833" s="8">
        <v>2.915</v>
      </c>
    </row>
    <row r="4834" spans="1:4">
      <c r="A4834" t="str">
        <f t="shared" si="82"/>
        <v>302Tracking Error</v>
      </c>
      <c r="B4834">
        <v>302</v>
      </c>
      <c r="C4834" s="9" t="s">
        <v>38</v>
      </c>
      <c r="D4834" s="8">
        <v>0.77800000000000002</v>
      </c>
    </row>
    <row r="4835" spans="1:4">
      <c r="A4835" t="str">
        <f t="shared" si="82"/>
        <v>302Treynor Ratio</v>
      </c>
      <c r="B4835">
        <v>302</v>
      </c>
      <c r="C4835" s="9" t="s">
        <v>39</v>
      </c>
      <c r="D4835" s="8">
        <v>-0.82599999999999996</v>
      </c>
    </row>
    <row r="4836" spans="1:4">
      <c r="A4836" t="str">
        <f t="shared" si="82"/>
        <v>302Total Fees</v>
      </c>
      <c r="B4836">
        <v>302</v>
      </c>
      <c r="C4836" s="9" t="s">
        <v>40</v>
      </c>
      <c r="D4836" s="8">
        <v>0</v>
      </c>
    </row>
    <row r="4837" spans="1:4">
      <c r="A4837" t="str">
        <f t="shared" si="82"/>
        <v>302Estimated Strategy Capacity</v>
      </c>
      <c r="B4837">
        <v>302</v>
      </c>
      <c r="C4837" s="9" t="s">
        <v>41</v>
      </c>
      <c r="D4837" s="8">
        <v>820000</v>
      </c>
    </row>
    <row r="4838" spans="1:4">
      <c r="A4838" t="str">
        <f t="shared" si="82"/>
        <v>303PSR</v>
      </c>
      <c r="B4838">
        <v>303</v>
      </c>
      <c r="C4838" s="9" t="s">
        <v>27</v>
      </c>
      <c r="D4838" s="8">
        <v>0.80601</v>
      </c>
    </row>
    <row r="4839" spans="1:4">
      <c r="A4839" t="str">
        <f t="shared" si="82"/>
        <v>303Sharpe Ratio</v>
      </c>
      <c r="B4839">
        <v>303</v>
      </c>
      <c r="C4839" s="9" t="s">
        <v>1</v>
      </c>
      <c r="D4839" s="8">
        <v>4.9080000000000004</v>
      </c>
    </row>
    <row r="4840" spans="1:4">
      <c r="A4840" t="str">
        <f t="shared" si="82"/>
        <v>303Total Trades</v>
      </c>
      <c r="B4840">
        <v>303</v>
      </c>
      <c r="C4840" s="9" t="s">
        <v>28</v>
      </c>
      <c r="D4840" s="8">
        <v>337</v>
      </c>
    </row>
    <row r="4841" spans="1:4">
      <c r="A4841" t="str">
        <f t="shared" si="82"/>
        <v>303Average Win</v>
      </c>
      <c r="B4841">
        <v>303</v>
      </c>
      <c r="C4841" s="9" t="s">
        <v>25</v>
      </c>
      <c r="D4841" s="8">
        <v>0.19209999999999999</v>
      </c>
    </row>
    <row r="4842" spans="1:4">
      <c r="A4842" t="str">
        <f t="shared" si="82"/>
        <v>303Average Loss</v>
      </c>
      <c r="B4842">
        <v>303</v>
      </c>
      <c r="C4842" s="9" t="s">
        <v>29</v>
      </c>
      <c r="D4842" s="8">
        <v>-4.3999999999999997E-2</v>
      </c>
    </row>
    <row r="4843" spans="1:4">
      <c r="A4843" t="str">
        <f t="shared" si="82"/>
        <v>303Compounding Annual Return</v>
      </c>
      <c r="B4843">
        <v>303</v>
      </c>
      <c r="C4843" s="9" t="s">
        <v>30</v>
      </c>
      <c r="D4843" s="8">
        <v>5.8189000000000002</v>
      </c>
    </row>
    <row r="4844" spans="1:4">
      <c r="A4844" t="str">
        <f t="shared" si="82"/>
        <v>303Drawdown</v>
      </c>
      <c r="B4844">
        <v>303</v>
      </c>
      <c r="C4844" s="9" t="s">
        <v>8</v>
      </c>
      <c r="D4844" s="8">
        <v>0.436</v>
      </c>
    </row>
    <row r="4845" spans="1:4">
      <c r="A4845" t="str">
        <f t="shared" si="82"/>
        <v>303Expectancy</v>
      </c>
      <c r="B4845">
        <v>303</v>
      </c>
      <c r="C4845" s="9" t="s">
        <v>31</v>
      </c>
      <c r="D4845" s="8">
        <v>3.3889999999999998</v>
      </c>
    </row>
    <row r="4846" spans="1:4">
      <c r="A4846" t="str">
        <f t="shared" si="82"/>
        <v>303Net Profit</v>
      </c>
      <c r="B4846">
        <v>303</v>
      </c>
      <c r="C4846" s="9" t="s">
        <v>32</v>
      </c>
      <c r="D4846" s="8">
        <v>2.4773499999999999</v>
      </c>
    </row>
    <row r="4847" spans="1:4">
      <c r="A4847" t="str">
        <f t="shared" si="82"/>
        <v>303Loss Rate</v>
      </c>
      <c r="B4847">
        <v>303</v>
      </c>
      <c r="C4847" s="9" t="s">
        <v>33</v>
      </c>
      <c r="D4847" s="8">
        <v>0.18</v>
      </c>
    </row>
    <row r="4848" spans="1:4">
      <c r="A4848" t="str">
        <f t="shared" si="82"/>
        <v>303Win Rate</v>
      </c>
      <c r="B4848">
        <v>303</v>
      </c>
      <c r="C4848" s="9" t="s">
        <v>34</v>
      </c>
      <c r="D4848" s="8">
        <v>0.82</v>
      </c>
    </row>
    <row r="4849" spans="1:4">
      <c r="A4849" t="str">
        <f t="shared" si="82"/>
        <v>303Profit-Loss Ratio</v>
      </c>
      <c r="B4849">
        <v>303</v>
      </c>
      <c r="C4849" s="9" t="s">
        <v>26</v>
      </c>
      <c r="D4849" s="8">
        <v>4.3600000000000003</v>
      </c>
    </row>
    <row r="4850" spans="1:4">
      <c r="A4850" t="str">
        <f t="shared" si="82"/>
        <v>303Alpha</v>
      </c>
      <c r="B4850">
        <v>303</v>
      </c>
      <c r="C4850" s="9" t="s">
        <v>23</v>
      </c>
      <c r="D4850" s="8">
        <v>5.2949999999999999</v>
      </c>
    </row>
    <row r="4851" spans="1:4">
      <c r="A4851" t="str">
        <f t="shared" si="82"/>
        <v>303Beta</v>
      </c>
      <c r="B4851">
        <v>303</v>
      </c>
      <c r="C4851" s="9" t="s">
        <v>24</v>
      </c>
      <c r="D4851" s="8">
        <v>-4.1369999999999996</v>
      </c>
    </row>
    <row r="4852" spans="1:4">
      <c r="A4852" t="str">
        <f t="shared" si="82"/>
        <v>303Annual Standard Deviation</v>
      </c>
      <c r="B4852">
        <v>303</v>
      </c>
      <c r="C4852" s="9" t="s">
        <v>35</v>
      </c>
      <c r="D4852" s="8">
        <v>1.032</v>
      </c>
    </row>
    <row r="4853" spans="1:4">
      <c r="A4853" t="str">
        <f t="shared" si="82"/>
        <v>303Annual Variance</v>
      </c>
      <c r="B4853">
        <v>303</v>
      </c>
      <c r="C4853" s="9" t="s">
        <v>36</v>
      </c>
      <c r="D4853" s="8">
        <v>1.0649999999999999</v>
      </c>
    </row>
    <row r="4854" spans="1:4">
      <c r="A4854" t="str">
        <f t="shared" si="82"/>
        <v>303Information Ratio</v>
      </c>
      <c r="B4854">
        <v>303</v>
      </c>
      <c r="C4854" s="9" t="s">
        <v>37</v>
      </c>
      <c r="D4854" s="8">
        <v>4.7619999999999996</v>
      </c>
    </row>
    <row r="4855" spans="1:4">
      <c r="A4855" t="str">
        <f t="shared" si="82"/>
        <v>303Tracking Error</v>
      </c>
      <c r="B4855">
        <v>303</v>
      </c>
      <c r="C4855" s="9" t="s">
        <v>38</v>
      </c>
      <c r="D4855" s="8">
        <v>1.052</v>
      </c>
    </row>
    <row r="4856" spans="1:4">
      <c r="A4856" t="str">
        <f t="shared" si="82"/>
        <v>303Treynor Ratio</v>
      </c>
      <c r="B4856">
        <v>303</v>
      </c>
      <c r="C4856" s="9" t="s">
        <v>39</v>
      </c>
      <c r="D4856" s="8">
        <v>-1.224</v>
      </c>
    </row>
    <row r="4857" spans="1:4">
      <c r="A4857" t="str">
        <f t="shared" si="82"/>
        <v>303Total Fees</v>
      </c>
      <c r="B4857">
        <v>303</v>
      </c>
      <c r="C4857" s="9" t="s">
        <v>40</v>
      </c>
      <c r="D4857" s="8">
        <v>0</v>
      </c>
    </row>
    <row r="4858" spans="1:4">
      <c r="A4858" t="str">
        <f t="shared" si="82"/>
        <v>303Estimated Strategy Capacity</v>
      </c>
      <c r="B4858">
        <v>303</v>
      </c>
      <c r="C4858" s="9" t="s">
        <v>41</v>
      </c>
      <c r="D4858" s="8">
        <v>630000</v>
      </c>
    </row>
    <row r="4859" spans="1:4">
      <c r="A4859" t="str">
        <f t="shared" si="82"/>
        <v>304PSR</v>
      </c>
      <c r="B4859">
        <v>304</v>
      </c>
      <c r="C4859" s="9" t="s">
        <v>27</v>
      </c>
      <c r="D4859" s="8">
        <v>0.52046999999999999</v>
      </c>
    </row>
    <row r="4860" spans="1:4">
      <c r="A4860" t="str">
        <f t="shared" si="82"/>
        <v>304Sharpe Ratio</v>
      </c>
      <c r="B4860">
        <v>304</v>
      </c>
      <c r="C4860" s="9" t="s">
        <v>1</v>
      </c>
      <c r="D4860" s="8">
        <v>1.107</v>
      </c>
    </row>
    <row r="4861" spans="1:4">
      <c r="A4861" t="str">
        <f t="shared" ref="A4861:A4924" si="83">B4861&amp;C4861</f>
        <v>304Total Trades</v>
      </c>
      <c r="B4861">
        <v>304</v>
      </c>
      <c r="C4861" s="9" t="s">
        <v>28</v>
      </c>
      <c r="D4861" s="8">
        <v>254</v>
      </c>
    </row>
    <row r="4862" spans="1:4">
      <c r="A4862" t="str">
        <f t="shared" si="83"/>
        <v>304Average Win</v>
      </c>
      <c r="B4862">
        <v>304</v>
      </c>
      <c r="C4862" s="9" t="s">
        <v>25</v>
      </c>
      <c r="D4862" s="8">
        <v>1.9699999999999999E-2</v>
      </c>
    </row>
    <row r="4863" spans="1:4">
      <c r="A4863" t="str">
        <f t="shared" si="83"/>
        <v>304Average Loss</v>
      </c>
      <c r="B4863">
        <v>304</v>
      </c>
      <c r="C4863" s="9" t="s">
        <v>29</v>
      </c>
      <c r="D4863" s="8">
        <v>-1.2699999999999999E-2</v>
      </c>
    </row>
    <row r="4864" spans="1:4">
      <c r="A4864" t="str">
        <f t="shared" si="83"/>
        <v>304Compounding Annual Return</v>
      </c>
      <c r="B4864">
        <v>304</v>
      </c>
      <c r="C4864" s="9" t="s">
        <v>30</v>
      </c>
      <c r="D4864" s="8">
        <v>0.15318000000000001</v>
      </c>
    </row>
    <row r="4865" spans="1:4">
      <c r="A4865" t="str">
        <f t="shared" si="83"/>
        <v>304Drawdown</v>
      </c>
      <c r="B4865">
        <v>304</v>
      </c>
      <c r="C4865" s="9" t="s">
        <v>8</v>
      </c>
      <c r="D4865" s="8">
        <v>6.8000000000000005E-2</v>
      </c>
    </row>
    <row r="4866" spans="1:4">
      <c r="A4866" t="str">
        <f t="shared" si="83"/>
        <v>304Expectancy</v>
      </c>
      <c r="B4866">
        <v>304</v>
      </c>
      <c r="C4866" s="9" t="s">
        <v>31</v>
      </c>
      <c r="D4866" s="8">
        <v>0.91300000000000003</v>
      </c>
    </row>
    <row r="4867" spans="1:4">
      <c r="A4867" t="str">
        <f t="shared" si="83"/>
        <v>304Net Profit</v>
      </c>
      <c r="B4867">
        <v>304</v>
      </c>
      <c r="C4867" s="9" t="s">
        <v>32</v>
      </c>
      <c r="D4867" s="8">
        <v>9.6939999999999998E-2</v>
      </c>
    </row>
    <row r="4868" spans="1:4">
      <c r="A4868" t="str">
        <f t="shared" si="83"/>
        <v>304Loss Rate</v>
      </c>
      <c r="B4868">
        <v>304</v>
      </c>
      <c r="C4868" s="9" t="s">
        <v>33</v>
      </c>
      <c r="D4868" s="8">
        <v>0.25</v>
      </c>
    </row>
    <row r="4869" spans="1:4">
      <c r="A4869" t="str">
        <f t="shared" si="83"/>
        <v>304Win Rate</v>
      </c>
      <c r="B4869">
        <v>304</v>
      </c>
      <c r="C4869" s="9" t="s">
        <v>34</v>
      </c>
      <c r="D4869" s="8">
        <v>0.75</v>
      </c>
    </row>
    <row r="4870" spans="1:4">
      <c r="A4870" t="str">
        <f t="shared" si="83"/>
        <v>304Profit-Loss Ratio</v>
      </c>
      <c r="B4870">
        <v>304</v>
      </c>
      <c r="C4870" s="9" t="s">
        <v>26</v>
      </c>
      <c r="D4870" s="8">
        <v>1.55</v>
      </c>
    </row>
    <row r="4871" spans="1:4">
      <c r="A4871" t="str">
        <f t="shared" si="83"/>
        <v>304Alpha</v>
      </c>
      <c r="B4871">
        <v>304</v>
      </c>
      <c r="C4871" s="9" t="s">
        <v>23</v>
      </c>
      <c r="D4871" s="8">
        <v>0.127</v>
      </c>
    </row>
    <row r="4872" spans="1:4">
      <c r="A4872" t="str">
        <f t="shared" si="83"/>
        <v>304Beta</v>
      </c>
      <c r="B4872">
        <v>304</v>
      </c>
      <c r="C4872" s="9" t="s">
        <v>24</v>
      </c>
      <c r="D4872" s="8">
        <v>-0.32700000000000001</v>
      </c>
    </row>
    <row r="4873" spans="1:4">
      <c r="A4873" t="str">
        <f t="shared" si="83"/>
        <v>304Annual Standard Deviation</v>
      </c>
      <c r="B4873">
        <v>304</v>
      </c>
      <c r="C4873" s="9" t="s">
        <v>35</v>
      </c>
      <c r="D4873" s="8">
        <v>9.9000000000000005E-2</v>
      </c>
    </row>
    <row r="4874" spans="1:4">
      <c r="A4874" t="str">
        <f t="shared" si="83"/>
        <v>304Annual Variance</v>
      </c>
      <c r="B4874">
        <v>304</v>
      </c>
      <c r="C4874" s="9" t="s">
        <v>36</v>
      </c>
      <c r="D4874" s="8">
        <v>0.01</v>
      </c>
    </row>
    <row r="4875" spans="1:4">
      <c r="A4875" t="str">
        <f t="shared" si="83"/>
        <v>304Information Ratio</v>
      </c>
      <c r="B4875">
        <v>304</v>
      </c>
      <c r="C4875" s="9" t="s">
        <v>37</v>
      </c>
      <c r="D4875" s="8">
        <v>0.40699999999999997</v>
      </c>
    </row>
    <row r="4876" spans="1:4">
      <c r="A4876" t="str">
        <f t="shared" si="83"/>
        <v>304Tracking Error</v>
      </c>
      <c r="B4876">
        <v>304</v>
      </c>
      <c r="C4876" s="9" t="s">
        <v>38</v>
      </c>
      <c r="D4876" s="8">
        <v>0.13100000000000001</v>
      </c>
    </row>
    <row r="4877" spans="1:4">
      <c r="A4877" t="str">
        <f t="shared" si="83"/>
        <v>304Treynor Ratio</v>
      </c>
      <c r="B4877">
        <v>304</v>
      </c>
      <c r="C4877" s="9" t="s">
        <v>39</v>
      </c>
      <c r="D4877" s="8">
        <v>-0.33400000000000002</v>
      </c>
    </row>
    <row r="4878" spans="1:4">
      <c r="A4878" t="str">
        <f t="shared" si="83"/>
        <v>304Total Fees</v>
      </c>
      <c r="B4878">
        <v>304</v>
      </c>
      <c r="C4878" s="9" t="s">
        <v>40</v>
      </c>
      <c r="D4878" s="8">
        <v>0</v>
      </c>
    </row>
    <row r="4879" spans="1:4">
      <c r="A4879" t="str">
        <f t="shared" si="83"/>
        <v>304Estimated Strategy Capacity</v>
      </c>
      <c r="B4879">
        <v>304</v>
      </c>
      <c r="C4879" s="9" t="s">
        <v>41</v>
      </c>
      <c r="D4879" s="8">
        <v>140000000</v>
      </c>
    </row>
    <row r="4880" spans="1:4">
      <c r="A4880" t="str">
        <f t="shared" si="83"/>
        <v>305PSR</v>
      </c>
      <c r="B4880">
        <v>305</v>
      </c>
      <c r="C4880" s="9" t="s">
        <v>27</v>
      </c>
      <c r="D4880" s="8">
        <v>0.58925000000000005</v>
      </c>
    </row>
    <row r="4881" spans="1:4">
      <c r="A4881" t="str">
        <f t="shared" si="83"/>
        <v>305Sharpe Ratio</v>
      </c>
      <c r="B4881">
        <v>305</v>
      </c>
      <c r="C4881" s="9" t="s">
        <v>1</v>
      </c>
      <c r="D4881" s="8">
        <v>1.9410000000000001</v>
      </c>
    </row>
    <row r="4882" spans="1:4">
      <c r="A4882" t="str">
        <f t="shared" si="83"/>
        <v>305Total Trades</v>
      </c>
      <c r="B4882">
        <v>305</v>
      </c>
      <c r="C4882" s="9" t="s">
        <v>28</v>
      </c>
      <c r="D4882" s="8">
        <v>247</v>
      </c>
    </row>
    <row r="4883" spans="1:4">
      <c r="A4883" t="str">
        <f t="shared" si="83"/>
        <v>305Average Win</v>
      </c>
      <c r="B4883">
        <v>305</v>
      </c>
      <c r="C4883" s="9" t="s">
        <v>25</v>
      </c>
      <c r="D4883" s="8">
        <v>0.1709</v>
      </c>
    </row>
    <row r="4884" spans="1:4">
      <c r="A4884" t="str">
        <f t="shared" si="83"/>
        <v>305Average Loss</v>
      </c>
      <c r="B4884">
        <v>305</v>
      </c>
      <c r="C4884" s="9" t="s">
        <v>29</v>
      </c>
      <c r="D4884" s="8">
        <v>-0.12039999999999999</v>
      </c>
    </row>
    <row r="4885" spans="1:4">
      <c r="A4885" t="str">
        <f t="shared" si="83"/>
        <v>305Compounding Annual Return</v>
      </c>
      <c r="B4885">
        <v>305</v>
      </c>
      <c r="C4885" s="9" t="s">
        <v>30</v>
      </c>
      <c r="D4885" s="8">
        <v>1.5089600000000001</v>
      </c>
    </row>
    <row r="4886" spans="1:4">
      <c r="A4886" t="str">
        <f t="shared" si="83"/>
        <v>305Drawdown</v>
      </c>
      <c r="B4886">
        <v>305</v>
      </c>
      <c r="C4886" s="9" t="s">
        <v>8</v>
      </c>
      <c r="D4886" s="8">
        <v>0.40500000000000003</v>
      </c>
    </row>
    <row r="4887" spans="1:4">
      <c r="A4887" t="str">
        <f t="shared" si="83"/>
        <v>305Expectancy</v>
      </c>
      <c r="B4887">
        <v>305</v>
      </c>
      <c r="C4887" s="9" t="s">
        <v>31</v>
      </c>
      <c r="D4887" s="8">
        <v>0.81499999999999995</v>
      </c>
    </row>
    <row r="4888" spans="1:4">
      <c r="A4888" t="str">
        <f t="shared" si="83"/>
        <v>305Net Profit</v>
      </c>
      <c r="B4888">
        <v>305</v>
      </c>
      <c r="C4888" s="9" t="s">
        <v>32</v>
      </c>
      <c r="D4888" s="8">
        <v>0.81698999999999999</v>
      </c>
    </row>
    <row r="4889" spans="1:4">
      <c r="A4889" t="str">
        <f t="shared" si="83"/>
        <v>305Loss Rate</v>
      </c>
      <c r="B4889">
        <v>305</v>
      </c>
      <c r="C4889" s="9" t="s">
        <v>33</v>
      </c>
      <c r="D4889" s="8">
        <v>0.25</v>
      </c>
    </row>
    <row r="4890" spans="1:4">
      <c r="A4890" t="str">
        <f t="shared" si="83"/>
        <v>305Win Rate</v>
      </c>
      <c r="B4890">
        <v>305</v>
      </c>
      <c r="C4890" s="9" t="s">
        <v>34</v>
      </c>
      <c r="D4890" s="8">
        <v>0.75</v>
      </c>
    </row>
    <row r="4891" spans="1:4">
      <c r="A4891" t="str">
        <f t="shared" si="83"/>
        <v>305Profit-Loss Ratio</v>
      </c>
      <c r="B4891">
        <v>305</v>
      </c>
      <c r="C4891" s="9" t="s">
        <v>26</v>
      </c>
      <c r="D4891" s="8">
        <v>1.42</v>
      </c>
    </row>
    <row r="4892" spans="1:4">
      <c r="A4892" t="str">
        <f t="shared" si="83"/>
        <v>305Alpha</v>
      </c>
      <c r="B4892">
        <v>305</v>
      </c>
      <c r="C4892" s="9" t="s">
        <v>23</v>
      </c>
      <c r="D4892" s="8">
        <v>1.5820000000000001</v>
      </c>
    </row>
    <row r="4893" spans="1:4">
      <c r="A4893" t="str">
        <f t="shared" si="83"/>
        <v>305Beta</v>
      </c>
      <c r="B4893">
        <v>305</v>
      </c>
      <c r="C4893" s="9" t="s">
        <v>24</v>
      </c>
      <c r="D4893" s="8">
        <v>-2.6960000000000002</v>
      </c>
    </row>
    <row r="4894" spans="1:4">
      <c r="A4894" t="str">
        <f t="shared" si="83"/>
        <v>305Annual Standard Deviation</v>
      </c>
      <c r="B4894">
        <v>305</v>
      </c>
      <c r="C4894" s="9" t="s">
        <v>35</v>
      </c>
      <c r="D4894" s="8">
        <v>0.73599999999999999</v>
      </c>
    </row>
    <row r="4895" spans="1:4">
      <c r="A4895" t="str">
        <f t="shared" si="83"/>
        <v>305Annual Variance</v>
      </c>
      <c r="B4895">
        <v>305</v>
      </c>
      <c r="C4895" s="9" t="s">
        <v>36</v>
      </c>
      <c r="D4895" s="8">
        <v>0.54100000000000004</v>
      </c>
    </row>
    <row r="4896" spans="1:4">
      <c r="A4896" t="str">
        <f t="shared" si="83"/>
        <v>305Information Ratio</v>
      </c>
      <c r="B4896">
        <v>305</v>
      </c>
      <c r="C4896" s="9" t="s">
        <v>37</v>
      </c>
      <c r="D4896" s="8">
        <v>1.8160000000000001</v>
      </c>
    </row>
    <row r="4897" spans="1:4">
      <c r="A4897" t="str">
        <f t="shared" si="83"/>
        <v>305Tracking Error</v>
      </c>
      <c r="B4897">
        <v>305</v>
      </c>
      <c r="C4897" s="9" t="s">
        <v>38</v>
      </c>
      <c r="D4897" s="8">
        <v>0.755</v>
      </c>
    </row>
    <row r="4898" spans="1:4">
      <c r="A4898" t="str">
        <f t="shared" si="83"/>
        <v>305Treynor Ratio</v>
      </c>
      <c r="B4898">
        <v>305</v>
      </c>
      <c r="C4898" s="9" t="s">
        <v>39</v>
      </c>
      <c r="D4898" s="8">
        <v>-0.53</v>
      </c>
    </row>
    <row r="4899" spans="1:4">
      <c r="A4899" t="str">
        <f t="shared" si="83"/>
        <v>305Total Fees</v>
      </c>
      <c r="B4899">
        <v>305</v>
      </c>
      <c r="C4899" s="9" t="s">
        <v>40</v>
      </c>
      <c r="D4899" s="8">
        <v>0</v>
      </c>
    </row>
    <row r="4900" spans="1:4">
      <c r="A4900" t="str">
        <f t="shared" si="83"/>
        <v>305Estimated Strategy Capacity</v>
      </c>
      <c r="B4900">
        <v>305</v>
      </c>
      <c r="C4900" s="9" t="s">
        <v>41</v>
      </c>
      <c r="D4900" s="8">
        <v>24000000</v>
      </c>
    </row>
    <row r="4901" spans="1:4">
      <c r="A4901" t="str">
        <f t="shared" si="83"/>
        <v>306PSR</v>
      </c>
      <c r="B4901">
        <v>306</v>
      </c>
      <c r="C4901" s="9" t="s">
        <v>27</v>
      </c>
      <c r="D4901" s="8">
        <v>0.32034000000000001</v>
      </c>
    </row>
    <row r="4902" spans="1:4">
      <c r="A4902" t="str">
        <f t="shared" si="83"/>
        <v>306Sharpe Ratio</v>
      </c>
      <c r="B4902">
        <v>306</v>
      </c>
      <c r="C4902" s="9" t="s">
        <v>1</v>
      </c>
      <c r="D4902" s="8">
        <v>0.69</v>
      </c>
    </row>
    <row r="4903" spans="1:4">
      <c r="A4903" t="str">
        <f t="shared" si="83"/>
        <v>306Total Trades</v>
      </c>
      <c r="B4903">
        <v>306</v>
      </c>
      <c r="C4903" s="9" t="s">
        <v>28</v>
      </c>
      <c r="D4903" s="8">
        <v>230</v>
      </c>
    </row>
    <row r="4904" spans="1:4">
      <c r="A4904" t="str">
        <f t="shared" si="83"/>
        <v>306Average Win</v>
      </c>
      <c r="B4904">
        <v>306</v>
      </c>
      <c r="C4904" s="9" t="s">
        <v>25</v>
      </c>
      <c r="D4904" s="8">
        <v>0.26300000000000001</v>
      </c>
    </row>
    <row r="4905" spans="1:4">
      <c r="A4905" t="str">
        <f t="shared" si="83"/>
        <v>306Average Loss</v>
      </c>
      <c r="B4905">
        <v>306</v>
      </c>
      <c r="C4905" s="9" t="s">
        <v>29</v>
      </c>
      <c r="D4905" s="8">
        <v>-5.2400000000000002E-2</v>
      </c>
    </row>
    <row r="4906" spans="1:4">
      <c r="A4906" t="str">
        <f t="shared" si="83"/>
        <v>306Compounding Annual Return</v>
      </c>
      <c r="B4906">
        <v>306</v>
      </c>
      <c r="C4906" s="9" t="s">
        <v>30</v>
      </c>
      <c r="D4906" s="8">
        <v>-6.5599999999999999E-3</v>
      </c>
    </row>
    <row r="4907" spans="1:4">
      <c r="A4907" t="str">
        <f t="shared" si="83"/>
        <v>306Drawdown</v>
      </c>
      <c r="B4907">
        <v>306</v>
      </c>
      <c r="C4907" s="9" t="s">
        <v>8</v>
      </c>
      <c r="D4907" s="8">
        <v>0.73499999999999999</v>
      </c>
    </row>
    <row r="4908" spans="1:4">
      <c r="A4908" t="str">
        <f t="shared" si="83"/>
        <v>306Expectancy</v>
      </c>
      <c r="B4908">
        <v>306</v>
      </c>
      <c r="C4908" s="9" t="s">
        <v>31</v>
      </c>
      <c r="D4908" s="8">
        <v>0.20300000000000001</v>
      </c>
    </row>
    <row r="4909" spans="1:4">
      <c r="A4909" t="str">
        <f t="shared" si="83"/>
        <v>306Net Profit</v>
      </c>
      <c r="B4909">
        <v>306</v>
      </c>
      <c r="C4909" s="9" t="s">
        <v>32</v>
      </c>
      <c r="D4909" s="8">
        <v>-4.2599999999999999E-3</v>
      </c>
    </row>
    <row r="4910" spans="1:4">
      <c r="A4910" t="str">
        <f t="shared" si="83"/>
        <v>306Loss Rate</v>
      </c>
      <c r="B4910">
        <v>306</v>
      </c>
      <c r="C4910" s="9" t="s">
        <v>33</v>
      </c>
      <c r="D4910" s="8">
        <v>0.8</v>
      </c>
    </row>
    <row r="4911" spans="1:4">
      <c r="A4911" t="str">
        <f t="shared" si="83"/>
        <v>306Win Rate</v>
      </c>
      <c r="B4911">
        <v>306</v>
      </c>
      <c r="C4911" s="9" t="s">
        <v>34</v>
      </c>
      <c r="D4911" s="8">
        <v>0.2</v>
      </c>
    </row>
    <row r="4912" spans="1:4">
      <c r="A4912" t="str">
        <f t="shared" si="83"/>
        <v>306Profit-Loss Ratio</v>
      </c>
      <c r="B4912">
        <v>306</v>
      </c>
      <c r="C4912" s="9" t="s">
        <v>26</v>
      </c>
      <c r="D4912" s="8">
        <v>5.0199999999999996</v>
      </c>
    </row>
    <row r="4913" spans="1:4">
      <c r="A4913" t="str">
        <f t="shared" si="83"/>
        <v>306Alpha</v>
      </c>
      <c r="B4913">
        <v>306</v>
      </c>
      <c r="C4913" s="9" t="s">
        <v>23</v>
      </c>
      <c r="D4913" s="8">
        <v>0.98499999999999999</v>
      </c>
    </row>
    <row r="4914" spans="1:4">
      <c r="A4914" t="str">
        <f t="shared" si="83"/>
        <v>306Beta</v>
      </c>
      <c r="B4914">
        <v>306</v>
      </c>
      <c r="C4914" s="9" t="s">
        <v>24</v>
      </c>
      <c r="D4914" s="8">
        <v>-4.8310000000000004</v>
      </c>
    </row>
    <row r="4915" spans="1:4">
      <c r="A4915" t="str">
        <f t="shared" si="83"/>
        <v>306Annual Standard Deviation</v>
      </c>
      <c r="B4915">
        <v>306</v>
      </c>
      <c r="C4915" s="9" t="s">
        <v>35</v>
      </c>
      <c r="D4915" s="8">
        <v>1.0369999999999999</v>
      </c>
    </row>
    <row r="4916" spans="1:4">
      <c r="A4916" t="str">
        <f t="shared" si="83"/>
        <v>306Annual Variance</v>
      </c>
      <c r="B4916">
        <v>306</v>
      </c>
      <c r="C4916" s="9" t="s">
        <v>36</v>
      </c>
      <c r="D4916" s="8">
        <v>1.0760000000000001</v>
      </c>
    </row>
    <row r="4917" spans="1:4">
      <c r="A4917" t="str">
        <f t="shared" si="83"/>
        <v>306Information Ratio</v>
      </c>
      <c r="B4917">
        <v>306</v>
      </c>
      <c r="C4917" s="9" t="s">
        <v>37</v>
      </c>
      <c r="D4917" s="8">
        <v>0.622</v>
      </c>
    </row>
    <row r="4918" spans="1:4">
      <c r="A4918" t="str">
        <f t="shared" si="83"/>
        <v>306Tracking Error</v>
      </c>
      <c r="B4918">
        <v>306</v>
      </c>
      <c r="C4918" s="9" t="s">
        <v>38</v>
      </c>
      <c r="D4918" s="8">
        <v>1.06</v>
      </c>
    </row>
    <row r="4919" spans="1:4">
      <c r="A4919" t="str">
        <f t="shared" si="83"/>
        <v>306Treynor Ratio</v>
      </c>
      <c r="B4919">
        <v>306</v>
      </c>
      <c r="C4919" s="9" t="s">
        <v>39</v>
      </c>
      <c r="D4919" s="8">
        <v>-0.14799999999999999</v>
      </c>
    </row>
    <row r="4920" spans="1:4">
      <c r="A4920" t="str">
        <f t="shared" si="83"/>
        <v>306Total Fees</v>
      </c>
      <c r="B4920">
        <v>306</v>
      </c>
      <c r="C4920" s="9" t="s">
        <v>40</v>
      </c>
      <c r="D4920" s="8">
        <v>0</v>
      </c>
    </row>
    <row r="4921" spans="1:4">
      <c r="A4921" t="str">
        <f t="shared" si="83"/>
        <v>306Estimated Strategy Capacity</v>
      </c>
      <c r="B4921">
        <v>306</v>
      </c>
      <c r="C4921" s="9" t="s">
        <v>41</v>
      </c>
      <c r="D4921" s="8">
        <v>6700000</v>
      </c>
    </row>
    <row r="4922" spans="1:4">
      <c r="A4922" t="str">
        <f t="shared" si="83"/>
        <v>325PSR</v>
      </c>
      <c r="B4922">
        <v>325</v>
      </c>
      <c r="C4922" s="9" t="s">
        <v>27</v>
      </c>
      <c r="D4922" s="8">
        <v>3.9260000000000003E-2</v>
      </c>
    </row>
    <row r="4923" spans="1:4">
      <c r="A4923" t="str">
        <f t="shared" si="83"/>
        <v>325Sharpe Ratio</v>
      </c>
      <c r="B4923">
        <v>325</v>
      </c>
      <c r="C4923" s="9" t="s">
        <v>1</v>
      </c>
      <c r="D4923" s="8">
        <v>-0.745</v>
      </c>
    </row>
    <row r="4924" spans="1:4">
      <c r="A4924" t="str">
        <f t="shared" si="83"/>
        <v>325Total Trades</v>
      </c>
      <c r="B4924">
        <v>325</v>
      </c>
      <c r="C4924" s="9" t="s">
        <v>28</v>
      </c>
      <c r="D4924" s="8">
        <v>368</v>
      </c>
    </row>
    <row r="4925" spans="1:4">
      <c r="A4925" t="str">
        <f t="shared" ref="A4925:A4988" si="84">B4925&amp;C4925</f>
        <v>325Average Win</v>
      </c>
      <c r="B4925">
        <v>325</v>
      </c>
      <c r="C4925" s="9" t="s">
        <v>25</v>
      </c>
      <c r="D4925" s="8">
        <v>1.0999999999999999E-2</v>
      </c>
    </row>
    <row r="4926" spans="1:4">
      <c r="A4926" t="str">
        <f t="shared" si="84"/>
        <v>325Average Loss</v>
      </c>
      <c r="B4926">
        <v>325</v>
      </c>
      <c r="C4926" s="9" t="s">
        <v>29</v>
      </c>
      <c r="D4926" s="8">
        <v>-5.9200000000000003E-2</v>
      </c>
    </row>
    <row r="4927" spans="1:4">
      <c r="A4927" t="str">
        <f t="shared" si="84"/>
        <v>325Compounding Annual Return</v>
      </c>
      <c r="B4927">
        <v>325</v>
      </c>
      <c r="C4927" s="9" t="s">
        <v>30</v>
      </c>
      <c r="D4927" s="8">
        <v>-0.41563</v>
      </c>
    </row>
    <row r="4928" spans="1:4">
      <c r="A4928" t="str">
        <f t="shared" si="84"/>
        <v>325Drawdown</v>
      </c>
      <c r="B4928">
        <v>325</v>
      </c>
      <c r="C4928" s="9" t="s">
        <v>8</v>
      </c>
      <c r="D4928" s="8">
        <v>0.41099999999999998</v>
      </c>
    </row>
    <row r="4929" spans="1:4">
      <c r="A4929" t="str">
        <f t="shared" si="84"/>
        <v>325Expectancy</v>
      </c>
      <c r="B4929">
        <v>325</v>
      </c>
      <c r="C4929" s="9" t="s">
        <v>31</v>
      </c>
      <c r="D4929" s="8">
        <v>-0.40699999999999997</v>
      </c>
    </row>
    <row r="4930" spans="1:4">
      <c r="A4930" t="str">
        <f t="shared" si="84"/>
        <v>325Net Profit</v>
      </c>
      <c r="B4930">
        <v>325</v>
      </c>
      <c r="C4930" s="9" t="s">
        <v>32</v>
      </c>
      <c r="D4930" s="8">
        <v>-0.29443999999999998</v>
      </c>
    </row>
    <row r="4931" spans="1:4">
      <c r="A4931" t="str">
        <f t="shared" si="84"/>
        <v>325Loss Rate</v>
      </c>
      <c r="B4931">
        <v>325</v>
      </c>
      <c r="C4931" s="9" t="s">
        <v>33</v>
      </c>
      <c r="D4931" s="8">
        <v>0.5</v>
      </c>
    </row>
    <row r="4932" spans="1:4">
      <c r="A4932" t="str">
        <f t="shared" si="84"/>
        <v>325Win Rate</v>
      </c>
      <c r="B4932">
        <v>325</v>
      </c>
      <c r="C4932" s="9" t="s">
        <v>34</v>
      </c>
      <c r="D4932" s="8">
        <v>0.5</v>
      </c>
    </row>
    <row r="4933" spans="1:4">
      <c r="A4933" t="str">
        <f t="shared" si="84"/>
        <v>325Profit-Loss Ratio</v>
      </c>
      <c r="B4933">
        <v>325</v>
      </c>
      <c r="C4933" s="9" t="s">
        <v>26</v>
      </c>
      <c r="D4933" s="8">
        <v>0.19</v>
      </c>
    </row>
    <row r="4934" spans="1:4">
      <c r="A4934" t="str">
        <f t="shared" si="84"/>
        <v>325Alpha</v>
      </c>
      <c r="B4934">
        <v>325</v>
      </c>
      <c r="C4934" s="9" t="s">
        <v>23</v>
      </c>
      <c r="D4934" s="8">
        <v>-0.109</v>
      </c>
    </row>
    <row r="4935" spans="1:4">
      <c r="A4935" t="str">
        <f t="shared" si="84"/>
        <v>325Beta</v>
      </c>
      <c r="B4935">
        <v>325</v>
      </c>
      <c r="C4935" s="9" t="s">
        <v>24</v>
      </c>
      <c r="D4935" s="8">
        <v>-2.8149999999999999</v>
      </c>
    </row>
    <row r="4936" spans="1:4">
      <c r="A4936" t="str">
        <f t="shared" si="84"/>
        <v>325Annual Standard Deviation</v>
      </c>
      <c r="B4936">
        <v>325</v>
      </c>
      <c r="C4936" s="9" t="s">
        <v>35</v>
      </c>
      <c r="D4936" s="8">
        <v>0.35699999999999998</v>
      </c>
    </row>
    <row r="4937" spans="1:4">
      <c r="A4937" t="str">
        <f t="shared" si="84"/>
        <v>325Annual Variance</v>
      </c>
      <c r="B4937">
        <v>325</v>
      </c>
      <c r="C4937" s="9" t="s">
        <v>36</v>
      </c>
      <c r="D4937" s="8">
        <v>0.128</v>
      </c>
    </row>
    <row r="4938" spans="1:4">
      <c r="A4938" t="str">
        <f t="shared" si="84"/>
        <v>325Information Ratio</v>
      </c>
      <c r="B4938">
        <v>325</v>
      </c>
      <c r="C4938" s="9" t="s">
        <v>37</v>
      </c>
      <c r="D4938" s="8">
        <v>-0.81200000000000006</v>
      </c>
    </row>
    <row r="4939" spans="1:4">
      <c r="A4939" t="str">
        <f t="shared" si="84"/>
        <v>325Tracking Error</v>
      </c>
      <c r="B4939">
        <v>325</v>
      </c>
      <c r="C4939" s="9" t="s">
        <v>38</v>
      </c>
      <c r="D4939" s="8">
        <v>0.39600000000000002</v>
      </c>
    </row>
    <row r="4940" spans="1:4">
      <c r="A4940" t="str">
        <f t="shared" si="84"/>
        <v>325Treynor Ratio</v>
      </c>
      <c r="B4940">
        <v>325</v>
      </c>
      <c r="C4940" s="9" t="s">
        <v>39</v>
      </c>
      <c r="D4940" s="8">
        <v>9.4E-2</v>
      </c>
    </row>
    <row r="4941" spans="1:4">
      <c r="A4941" t="str">
        <f t="shared" si="84"/>
        <v>325Total Fees</v>
      </c>
      <c r="B4941">
        <v>325</v>
      </c>
      <c r="C4941" s="9" t="s">
        <v>40</v>
      </c>
      <c r="D4941" s="8">
        <v>0</v>
      </c>
    </row>
    <row r="4942" spans="1:4">
      <c r="A4942" t="str">
        <f t="shared" si="84"/>
        <v>325Estimated Strategy Capacity</v>
      </c>
      <c r="B4942">
        <v>325</v>
      </c>
      <c r="C4942" s="9" t="s">
        <v>41</v>
      </c>
      <c r="D4942" s="8">
        <v>160000000</v>
      </c>
    </row>
    <row r="4943" spans="1:4">
      <c r="A4943" t="str">
        <f t="shared" si="84"/>
        <v>326PSR</v>
      </c>
      <c r="B4943">
        <v>326</v>
      </c>
      <c r="C4943" s="9" t="s">
        <v>27</v>
      </c>
      <c r="D4943" s="8">
        <v>1.9369999999999998E-2</v>
      </c>
    </row>
    <row r="4944" spans="1:4">
      <c r="A4944" t="str">
        <f t="shared" si="84"/>
        <v>326Sharpe Ratio</v>
      </c>
      <c r="B4944">
        <v>326</v>
      </c>
      <c r="C4944" s="9" t="s">
        <v>1</v>
      </c>
      <c r="D4944" s="8">
        <v>-0.30399999999999999</v>
      </c>
    </row>
    <row r="4945" spans="1:4">
      <c r="A4945" t="str">
        <f t="shared" si="84"/>
        <v>326Total Trades</v>
      </c>
      <c r="B4945">
        <v>326</v>
      </c>
      <c r="C4945" s="9" t="s">
        <v>28</v>
      </c>
      <c r="D4945" s="8">
        <v>326</v>
      </c>
    </row>
    <row r="4946" spans="1:4">
      <c r="A4946" t="str">
        <f t="shared" si="84"/>
        <v>326Average Win</v>
      </c>
      <c r="B4946">
        <v>326</v>
      </c>
      <c r="C4946" s="9" t="s">
        <v>25</v>
      </c>
      <c r="D4946" s="8">
        <v>9.4399999999999998E-2</v>
      </c>
    </row>
    <row r="4947" spans="1:4">
      <c r="A4947" t="str">
        <f t="shared" si="84"/>
        <v>326Average Loss</v>
      </c>
      <c r="B4947">
        <v>326</v>
      </c>
      <c r="C4947" s="9" t="s">
        <v>29</v>
      </c>
      <c r="D4947" s="8">
        <v>-6.08E-2</v>
      </c>
    </row>
    <row r="4948" spans="1:4">
      <c r="A4948" t="str">
        <f t="shared" si="84"/>
        <v>326Compounding Annual Return</v>
      </c>
      <c r="B4948">
        <v>326</v>
      </c>
      <c r="C4948" s="9" t="s">
        <v>30</v>
      </c>
      <c r="D4948" s="8">
        <v>0</v>
      </c>
    </row>
    <row r="4949" spans="1:4">
      <c r="A4949" t="str">
        <f t="shared" si="84"/>
        <v>326Drawdown</v>
      </c>
      <c r="B4949">
        <v>326</v>
      </c>
      <c r="C4949" s="9" t="s">
        <v>8</v>
      </c>
      <c r="D4949" s="8">
        <v>1</v>
      </c>
    </row>
    <row r="4950" spans="1:4">
      <c r="A4950" t="str">
        <f t="shared" si="84"/>
        <v>326Expectancy</v>
      </c>
      <c r="B4950">
        <v>326</v>
      </c>
      <c r="C4950" s="9" t="s">
        <v>31</v>
      </c>
      <c r="D4950" s="8">
        <v>-0.874</v>
      </c>
    </row>
    <row r="4951" spans="1:4">
      <c r="A4951" t="str">
        <f t="shared" si="84"/>
        <v>326Net Profit</v>
      </c>
      <c r="B4951">
        <v>326</v>
      </c>
      <c r="C4951" s="9" t="s">
        <v>32</v>
      </c>
      <c r="D4951" s="8">
        <v>-1.0004999999999999</v>
      </c>
    </row>
    <row r="4952" spans="1:4">
      <c r="A4952" t="str">
        <f t="shared" si="84"/>
        <v>326Loss Rate</v>
      </c>
      <c r="B4952">
        <v>326</v>
      </c>
      <c r="C4952" s="9" t="s">
        <v>33</v>
      </c>
      <c r="D4952" s="8">
        <v>0.95</v>
      </c>
    </row>
    <row r="4953" spans="1:4">
      <c r="A4953" t="str">
        <f t="shared" si="84"/>
        <v>326Win Rate</v>
      </c>
      <c r="B4953">
        <v>326</v>
      </c>
      <c r="C4953" s="9" t="s">
        <v>34</v>
      </c>
      <c r="D4953" s="8">
        <v>0.05</v>
      </c>
    </row>
    <row r="4954" spans="1:4">
      <c r="A4954" t="str">
        <f t="shared" si="84"/>
        <v>326Profit-Loss Ratio</v>
      </c>
      <c r="B4954">
        <v>326</v>
      </c>
      <c r="C4954" s="9" t="s">
        <v>26</v>
      </c>
      <c r="D4954" s="8">
        <v>1.55</v>
      </c>
    </row>
    <row r="4955" spans="1:4">
      <c r="A4955" t="str">
        <f t="shared" si="84"/>
        <v>326Alpha</v>
      </c>
      <c r="B4955">
        <v>326</v>
      </c>
      <c r="C4955" s="9" t="s">
        <v>23</v>
      </c>
      <c r="D4955" s="8">
        <v>0.44900000000000001</v>
      </c>
    </row>
    <row r="4956" spans="1:4">
      <c r="A4956" t="str">
        <f t="shared" si="84"/>
        <v>326Beta</v>
      </c>
      <c r="B4956">
        <v>326</v>
      </c>
      <c r="C4956" s="9" t="s">
        <v>24</v>
      </c>
      <c r="D4956" s="8">
        <v>-26.042000000000002</v>
      </c>
    </row>
    <row r="4957" spans="1:4">
      <c r="A4957" t="str">
        <f t="shared" si="84"/>
        <v>326Annual Standard Deviation</v>
      </c>
      <c r="B4957">
        <v>326</v>
      </c>
      <c r="C4957" s="9" t="s">
        <v>35</v>
      </c>
      <c r="D4957" s="8">
        <v>3.2040000000000002</v>
      </c>
    </row>
    <row r="4958" spans="1:4">
      <c r="A4958" t="str">
        <f t="shared" si="84"/>
        <v>326Annual Variance</v>
      </c>
      <c r="B4958">
        <v>326</v>
      </c>
      <c r="C4958" s="9" t="s">
        <v>36</v>
      </c>
      <c r="D4958" s="8">
        <v>10.265000000000001</v>
      </c>
    </row>
    <row r="4959" spans="1:4">
      <c r="A4959" t="str">
        <f t="shared" si="84"/>
        <v>326Information Ratio</v>
      </c>
      <c r="B4959">
        <v>326</v>
      </c>
      <c r="C4959" s="9" t="s">
        <v>37</v>
      </c>
      <c r="D4959" s="8">
        <v>-0.317</v>
      </c>
    </row>
    <row r="4960" spans="1:4">
      <c r="A4960" t="str">
        <f t="shared" si="84"/>
        <v>326Tracking Error</v>
      </c>
      <c r="B4960">
        <v>326</v>
      </c>
      <c r="C4960" s="9" t="s">
        <v>38</v>
      </c>
      <c r="D4960" s="8">
        <v>3.24</v>
      </c>
    </row>
    <row r="4961" spans="1:4">
      <c r="A4961" t="str">
        <f t="shared" si="84"/>
        <v>326Treynor Ratio</v>
      </c>
      <c r="B4961">
        <v>326</v>
      </c>
      <c r="C4961" s="9" t="s">
        <v>39</v>
      </c>
      <c r="D4961" s="8">
        <v>3.6999999999999998E-2</v>
      </c>
    </row>
    <row r="4962" spans="1:4">
      <c r="A4962" t="str">
        <f t="shared" si="84"/>
        <v>326Total Fees</v>
      </c>
      <c r="B4962">
        <v>326</v>
      </c>
      <c r="C4962" s="9" t="s">
        <v>40</v>
      </c>
      <c r="D4962" s="8">
        <v>0</v>
      </c>
    </row>
    <row r="4963" spans="1:4">
      <c r="A4963" t="str">
        <f t="shared" si="84"/>
        <v>326Estimated Strategy Capacity</v>
      </c>
      <c r="B4963">
        <v>326</v>
      </c>
      <c r="C4963" s="9" t="s">
        <v>41</v>
      </c>
      <c r="D4963" s="8">
        <v>3100000</v>
      </c>
    </row>
    <row r="4964" spans="1:4">
      <c r="A4964" t="str">
        <f t="shared" si="84"/>
        <v>327PSR</v>
      </c>
      <c r="B4964">
        <v>327</v>
      </c>
      <c r="C4964" s="9" t="s">
        <v>27</v>
      </c>
      <c r="D4964" s="8">
        <v>0.25102999999999998</v>
      </c>
    </row>
    <row r="4965" spans="1:4">
      <c r="A4965" t="str">
        <f t="shared" si="84"/>
        <v>327Sharpe Ratio</v>
      </c>
      <c r="B4965">
        <v>327</v>
      </c>
      <c r="C4965" s="9" t="s">
        <v>1</v>
      </c>
      <c r="D4965" s="8">
        <v>0.44800000000000001</v>
      </c>
    </row>
    <row r="4966" spans="1:4">
      <c r="A4966" t="str">
        <f t="shared" si="84"/>
        <v>327Total Trades</v>
      </c>
      <c r="B4966">
        <v>327</v>
      </c>
      <c r="C4966" s="9" t="s">
        <v>28</v>
      </c>
      <c r="D4966" s="8">
        <v>288</v>
      </c>
    </row>
    <row r="4967" spans="1:4">
      <c r="A4967" t="str">
        <f t="shared" si="84"/>
        <v>327Average Win</v>
      </c>
      <c r="B4967">
        <v>327</v>
      </c>
      <c r="C4967" s="9" t="s">
        <v>25</v>
      </c>
      <c r="D4967" s="8">
        <v>8.2900000000000001E-2</v>
      </c>
    </row>
    <row r="4968" spans="1:4">
      <c r="A4968" t="str">
        <f t="shared" si="84"/>
        <v>327Average Loss</v>
      </c>
      <c r="B4968">
        <v>327</v>
      </c>
      <c r="C4968" s="9" t="s">
        <v>29</v>
      </c>
      <c r="D4968" s="8">
        <v>-5.2200000000000003E-2</v>
      </c>
    </row>
    <row r="4969" spans="1:4">
      <c r="A4969" t="str">
        <f t="shared" si="84"/>
        <v>327Compounding Annual Return</v>
      </c>
      <c r="B4969">
        <v>327</v>
      </c>
      <c r="C4969" s="9" t="s">
        <v>30</v>
      </c>
      <c r="D4969" s="8">
        <v>0</v>
      </c>
    </row>
    <row r="4970" spans="1:4">
      <c r="A4970" t="str">
        <f t="shared" si="84"/>
        <v>327Drawdown</v>
      </c>
      <c r="B4970">
        <v>327</v>
      </c>
      <c r="C4970" s="9" t="s">
        <v>8</v>
      </c>
      <c r="D4970" s="8">
        <v>1</v>
      </c>
    </row>
    <row r="4971" spans="1:4">
      <c r="A4971" t="str">
        <f t="shared" si="84"/>
        <v>327Expectancy</v>
      </c>
      <c r="B4971">
        <v>327</v>
      </c>
      <c r="C4971" s="9" t="s">
        <v>31</v>
      </c>
      <c r="D4971" s="8">
        <v>-0.9</v>
      </c>
    </row>
    <row r="4972" spans="1:4">
      <c r="A4972" t="str">
        <f t="shared" si="84"/>
        <v>327Net Profit</v>
      </c>
      <c r="B4972">
        <v>327</v>
      </c>
      <c r="C4972" s="9" t="s">
        <v>32</v>
      </c>
      <c r="D4972" s="8">
        <v>-1.00017</v>
      </c>
    </row>
    <row r="4973" spans="1:4">
      <c r="A4973" t="str">
        <f t="shared" si="84"/>
        <v>327Loss Rate</v>
      </c>
      <c r="B4973">
        <v>327</v>
      </c>
      <c r="C4973" s="9" t="s">
        <v>33</v>
      </c>
      <c r="D4973" s="8">
        <v>0.96</v>
      </c>
    </row>
    <row r="4974" spans="1:4">
      <c r="A4974" t="str">
        <f t="shared" si="84"/>
        <v>327Win Rate</v>
      </c>
      <c r="B4974">
        <v>327</v>
      </c>
      <c r="C4974" s="9" t="s">
        <v>34</v>
      </c>
      <c r="D4974" s="8">
        <v>0.04</v>
      </c>
    </row>
    <row r="4975" spans="1:4">
      <c r="A4975" t="str">
        <f t="shared" si="84"/>
        <v>327Profit-Loss Ratio</v>
      </c>
      <c r="B4975">
        <v>327</v>
      </c>
      <c r="C4975" s="9" t="s">
        <v>26</v>
      </c>
      <c r="D4975" s="8">
        <v>1.59</v>
      </c>
    </row>
    <row r="4976" spans="1:4">
      <c r="A4976" t="str">
        <f t="shared" si="84"/>
        <v>327Alpha</v>
      </c>
      <c r="B4976">
        <v>327</v>
      </c>
      <c r="C4976" s="9" t="s">
        <v>23</v>
      </c>
      <c r="D4976" s="8">
        <v>3.4910000000000001</v>
      </c>
    </row>
    <row r="4977" spans="1:4">
      <c r="A4977" t="str">
        <f t="shared" si="84"/>
        <v>327Beta</v>
      </c>
      <c r="B4977">
        <v>327</v>
      </c>
      <c r="C4977" s="9" t="s">
        <v>24</v>
      </c>
      <c r="D4977" s="8">
        <v>-32.072000000000003</v>
      </c>
    </row>
    <row r="4978" spans="1:4">
      <c r="A4978" t="str">
        <f t="shared" si="84"/>
        <v>327Annual Standard Deviation</v>
      </c>
      <c r="B4978">
        <v>327</v>
      </c>
      <c r="C4978" s="9" t="s">
        <v>35</v>
      </c>
      <c r="D4978" s="8">
        <v>4.3239999999999998</v>
      </c>
    </row>
    <row r="4979" spans="1:4">
      <c r="A4979" t="str">
        <f t="shared" si="84"/>
        <v>327Annual Variance</v>
      </c>
      <c r="B4979">
        <v>327</v>
      </c>
      <c r="C4979" s="9" t="s">
        <v>36</v>
      </c>
      <c r="D4979" s="8">
        <v>18.696000000000002</v>
      </c>
    </row>
    <row r="4980" spans="1:4">
      <c r="A4980" t="str">
        <f t="shared" si="84"/>
        <v>327Information Ratio</v>
      </c>
      <c r="B4980">
        <v>327</v>
      </c>
      <c r="C4980" s="9" t="s">
        <v>37</v>
      </c>
      <c r="D4980" s="8">
        <v>0.433</v>
      </c>
    </row>
    <row r="4981" spans="1:4">
      <c r="A4981" t="str">
        <f t="shared" si="84"/>
        <v>327Tracking Error</v>
      </c>
      <c r="B4981">
        <v>327</v>
      </c>
      <c r="C4981" s="9" t="s">
        <v>38</v>
      </c>
      <c r="D4981" s="8">
        <v>4.3579999999999997</v>
      </c>
    </row>
    <row r="4982" spans="1:4">
      <c r="A4982" t="str">
        <f t="shared" si="84"/>
        <v>327Treynor Ratio</v>
      </c>
      <c r="B4982">
        <v>327</v>
      </c>
      <c r="C4982" s="9" t="s">
        <v>39</v>
      </c>
      <c r="D4982" s="8">
        <v>-0.06</v>
      </c>
    </row>
    <row r="4983" spans="1:4">
      <c r="A4983" t="str">
        <f t="shared" si="84"/>
        <v>327Total Fees</v>
      </c>
      <c r="B4983">
        <v>327</v>
      </c>
      <c r="C4983" s="9" t="s">
        <v>40</v>
      </c>
      <c r="D4983" s="8">
        <v>0</v>
      </c>
    </row>
    <row r="4984" spans="1:4">
      <c r="A4984" t="str">
        <f t="shared" si="84"/>
        <v>327Estimated Strategy Capacity</v>
      </c>
      <c r="B4984">
        <v>327</v>
      </c>
      <c r="C4984" s="9" t="s">
        <v>41</v>
      </c>
      <c r="D4984" s="8">
        <v>1500000</v>
      </c>
    </row>
    <row r="4985" spans="1:4">
      <c r="A4985" t="str">
        <f t="shared" si="84"/>
        <v>328PSR</v>
      </c>
      <c r="B4985">
        <v>328</v>
      </c>
      <c r="C4985" s="9" t="s">
        <v>27</v>
      </c>
      <c r="D4985" s="8">
        <v>2.1520000000000001E-2</v>
      </c>
    </row>
    <row r="4986" spans="1:4">
      <c r="A4986" t="str">
        <f t="shared" si="84"/>
        <v>328Sharpe Ratio</v>
      </c>
      <c r="B4986">
        <v>328</v>
      </c>
      <c r="C4986" s="9" t="s">
        <v>1</v>
      </c>
      <c r="D4986" s="8">
        <v>-1.0489999999999999</v>
      </c>
    </row>
    <row r="4987" spans="1:4">
      <c r="A4987" t="str">
        <f t="shared" si="84"/>
        <v>328Total Trades</v>
      </c>
      <c r="B4987">
        <v>328</v>
      </c>
      <c r="C4987" s="9" t="s">
        <v>28</v>
      </c>
      <c r="D4987" s="8">
        <v>223</v>
      </c>
    </row>
    <row r="4988" spans="1:4">
      <c r="A4988" t="str">
        <f t="shared" si="84"/>
        <v>328Average Win</v>
      </c>
      <c r="B4988">
        <v>328</v>
      </c>
      <c r="C4988" s="9" t="s">
        <v>25</v>
      </c>
      <c r="D4988" s="8">
        <v>5.3E-3</v>
      </c>
    </row>
    <row r="4989" spans="1:4">
      <c r="A4989" t="str">
        <f t="shared" ref="A4989:A5052" si="85">B4989&amp;C4989</f>
        <v>328Average Loss</v>
      </c>
      <c r="B4989">
        <v>328</v>
      </c>
      <c r="C4989" s="9" t="s">
        <v>29</v>
      </c>
      <c r="D4989" s="8">
        <v>-5.3800000000000001E-2</v>
      </c>
    </row>
    <row r="4990" spans="1:4">
      <c r="A4990" t="str">
        <f t="shared" si="85"/>
        <v>328Compounding Annual Return</v>
      </c>
      <c r="B4990">
        <v>328</v>
      </c>
      <c r="C4990" s="9" t="s">
        <v>30</v>
      </c>
      <c r="D4990" s="8">
        <v>-0.29809000000000002</v>
      </c>
    </row>
    <row r="4991" spans="1:4">
      <c r="A4991" t="str">
        <f t="shared" si="85"/>
        <v>328Drawdown</v>
      </c>
      <c r="B4991">
        <v>328</v>
      </c>
      <c r="C4991" s="9" t="s">
        <v>8</v>
      </c>
      <c r="D4991" s="8">
        <v>0.251</v>
      </c>
    </row>
    <row r="4992" spans="1:4">
      <c r="A4992" t="str">
        <f t="shared" si="85"/>
        <v>328Expectancy</v>
      </c>
      <c r="B4992">
        <v>328</v>
      </c>
      <c r="C4992" s="9" t="s">
        <v>31</v>
      </c>
      <c r="D4992" s="8">
        <v>-0.53</v>
      </c>
    </row>
    <row r="4993" spans="1:4">
      <c r="A4993" t="str">
        <f t="shared" si="85"/>
        <v>328Net Profit</v>
      </c>
      <c r="B4993">
        <v>328</v>
      </c>
      <c r="C4993" s="9" t="s">
        <v>32</v>
      </c>
      <c r="D4993" s="8">
        <v>-0.20529</v>
      </c>
    </row>
    <row r="4994" spans="1:4">
      <c r="A4994" t="str">
        <f t="shared" si="85"/>
        <v>328Loss Rate</v>
      </c>
      <c r="B4994">
        <v>328</v>
      </c>
      <c r="C4994" s="9" t="s">
        <v>33</v>
      </c>
      <c r="D4994" s="8">
        <v>0.56999999999999995</v>
      </c>
    </row>
    <row r="4995" spans="1:4">
      <c r="A4995" t="str">
        <f t="shared" si="85"/>
        <v>328Win Rate</v>
      </c>
      <c r="B4995">
        <v>328</v>
      </c>
      <c r="C4995" s="9" t="s">
        <v>34</v>
      </c>
      <c r="D4995" s="8">
        <v>0.43</v>
      </c>
    </row>
    <row r="4996" spans="1:4">
      <c r="A4996" t="str">
        <f t="shared" si="85"/>
        <v>328Profit-Loss Ratio</v>
      </c>
      <c r="B4996">
        <v>328</v>
      </c>
      <c r="C4996" s="9" t="s">
        <v>26</v>
      </c>
      <c r="D4996" s="8">
        <v>0.1</v>
      </c>
    </row>
    <row r="4997" spans="1:4">
      <c r="A4997" t="str">
        <f t="shared" si="85"/>
        <v>328Alpha</v>
      </c>
      <c r="B4997">
        <v>328</v>
      </c>
      <c r="C4997" s="9" t="s">
        <v>23</v>
      </c>
      <c r="D4997" s="8">
        <v>-0.122</v>
      </c>
    </row>
    <row r="4998" spans="1:4">
      <c r="A4998" t="str">
        <f t="shared" si="85"/>
        <v>328Beta</v>
      </c>
      <c r="B4998">
        <v>328</v>
      </c>
      <c r="C4998" s="9" t="s">
        <v>24</v>
      </c>
      <c r="D4998" s="8">
        <v>-1.454</v>
      </c>
    </row>
    <row r="4999" spans="1:4">
      <c r="A4999" t="str">
        <f t="shared" si="85"/>
        <v>328Annual Standard Deviation</v>
      </c>
      <c r="B4999">
        <v>328</v>
      </c>
      <c r="C4999" s="9" t="s">
        <v>35</v>
      </c>
      <c r="D4999" s="8">
        <v>0.193</v>
      </c>
    </row>
    <row r="5000" spans="1:4">
      <c r="A5000" t="str">
        <f t="shared" si="85"/>
        <v>328Annual Variance</v>
      </c>
      <c r="B5000">
        <v>328</v>
      </c>
      <c r="C5000" s="9" t="s">
        <v>36</v>
      </c>
      <c r="D5000" s="8">
        <v>3.6999999999999998E-2</v>
      </c>
    </row>
    <row r="5001" spans="1:4">
      <c r="A5001" t="str">
        <f t="shared" si="85"/>
        <v>328Information Ratio</v>
      </c>
      <c r="B5001">
        <v>328</v>
      </c>
      <c r="C5001" s="9" t="s">
        <v>37</v>
      </c>
      <c r="D5001" s="8">
        <v>-1.105</v>
      </c>
    </row>
    <row r="5002" spans="1:4">
      <c r="A5002" t="str">
        <f t="shared" si="85"/>
        <v>328Tracking Error</v>
      </c>
      <c r="B5002">
        <v>328</v>
      </c>
      <c r="C5002" s="9" t="s">
        <v>38</v>
      </c>
      <c r="D5002" s="8">
        <v>0.23400000000000001</v>
      </c>
    </row>
    <row r="5003" spans="1:4">
      <c r="A5003" t="str">
        <f t="shared" si="85"/>
        <v>328Treynor Ratio</v>
      </c>
      <c r="B5003">
        <v>328</v>
      </c>
      <c r="C5003" s="9" t="s">
        <v>39</v>
      </c>
      <c r="D5003" s="8">
        <v>0.14000000000000001</v>
      </c>
    </row>
    <row r="5004" spans="1:4">
      <c r="A5004" t="str">
        <f t="shared" si="85"/>
        <v>328Total Fees</v>
      </c>
      <c r="B5004">
        <v>328</v>
      </c>
      <c r="C5004" s="9" t="s">
        <v>40</v>
      </c>
      <c r="D5004" s="8">
        <v>0</v>
      </c>
    </row>
    <row r="5005" spans="1:4">
      <c r="A5005" t="str">
        <f t="shared" si="85"/>
        <v>328Estimated Strategy Capacity</v>
      </c>
      <c r="B5005">
        <v>328</v>
      </c>
      <c r="C5005" s="9" t="s">
        <v>41</v>
      </c>
      <c r="D5005" s="8">
        <v>43000000</v>
      </c>
    </row>
    <row r="5006" spans="1:4">
      <c r="A5006" t="str">
        <f t="shared" si="85"/>
        <v>329PSR</v>
      </c>
      <c r="B5006">
        <v>329</v>
      </c>
      <c r="C5006" s="9" t="s">
        <v>27</v>
      </c>
      <c r="D5006" s="8">
        <v>9.2200000000000008E-3</v>
      </c>
    </row>
    <row r="5007" spans="1:4">
      <c r="A5007" t="str">
        <f t="shared" si="85"/>
        <v>329Sharpe Ratio</v>
      </c>
      <c r="B5007">
        <v>329</v>
      </c>
      <c r="C5007" s="9" t="s">
        <v>1</v>
      </c>
      <c r="D5007" s="8">
        <v>-0.35499999999999998</v>
      </c>
    </row>
    <row r="5008" spans="1:4">
      <c r="A5008" t="str">
        <f t="shared" si="85"/>
        <v>329Total Trades</v>
      </c>
      <c r="B5008">
        <v>329</v>
      </c>
      <c r="C5008" s="9" t="s">
        <v>28</v>
      </c>
      <c r="D5008" s="8">
        <v>231</v>
      </c>
    </row>
    <row r="5009" spans="1:4">
      <c r="A5009" t="str">
        <f t="shared" si="85"/>
        <v>329Average Win</v>
      </c>
      <c r="B5009">
        <v>329</v>
      </c>
      <c r="C5009" s="9" t="s">
        <v>25</v>
      </c>
      <c r="D5009" s="8">
        <v>9.2600000000000002E-2</v>
      </c>
    </row>
    <row r="5010" spans="1:4">
      <c r="A5010" t="str">
        <f t="shared" si="85"/>
        <v>329Average Loss</v>
      </c>
      <c r="B5010">
        <v>329</v>
      </c>
      <c r="C5010" s="9" t="s">
        <v>29</v>
      </c>
      <c r="D5010" s="8">
        <v>-5.3600000000000002E-2</v>
      </c>
    </row>
    <row r="5011" spans="1:4">
      <c r="A5011" t="str">
        <f t="shared" si="85"/>
        <v>329Compounding Annual Return</v>
      </c>
      <c r="B5011">
        <v>329</v>
      </c>
      <c r="C5011" s="9" t="s">
        <v>30</v>
      </c>
      <c r="D5011" s="8">
        <v>0</v>
      </c>
    </row>
    <row r="5012" spans="1:4">
      <c r="A5012" t="str">
        <f t="shared" si="85"/>
        <v>329Drawdown</v>
      </c>
      <c r="B5012">
        <v>329</v>
      </c>
      <c r="C5012" s="9" t="s">
        <v>8</v>
      </c>
      <c r="D5012" s="8">
        <v>1</v>
      </c>
    </row>
    <row r="5013" spans="1:4">
      <c r="A5013" t="str">
        <f t="shared" si="85"/>
        <v>329Expectancy</v>
      </c>
      <c r="B5013">
        <v>329</v>
      </c>
      <c r="C5013" s="9" t="s">
        <v>31</v>
      </c>
      <c r="D5013" s="8">
        <v>-0.91300000000000003</v>
      </c>
    </row>
    <row r="5014" spans="1:4">
      <c r="A5014" t="str">
        <f t="shared" si="85"/>
        <v>329Net Profit</v>
      </c>
      <c r="B5014">
        <v>329</v>
      </c>
      <c r="C5014" s="9" t="s">
        <v>32</v>
      </c>
      <c r="D5014" s="8">
        <v>-1.0000199999999999</v>
      </c>
    </row>
    <row r="5015" spans="1:4">
      <c r="A5015" t="str">
        <f t="shared" si="85"/>
        <v>329Loss Rate</v>
      </c>
      <c r="B5015">
        <v>329</v>
      </c>
      <c r="C5015" s="9" t="s">
        <v>33</v>
      </c>
      <c r="D5015" s="8">
        <v>0.97</v>
      </c>
    </row>
    <row r="5016" spans="1:4">
      <c r="A5016" t="str">
        <f t="shared" si="85"/>
        <v>329Win Rate</v>
      </c>
      <c r="B5016">
        <v>329</v>
      </c>
      <c r="C5016" s="9" t="s">
        <v>34</v>
      </c>
      <c r="D5016" s="8">
        <v>0.03</v>
      </c>
    </row>
    <row r="5017" spans="1:4">
      <c r="A5017" t="str">
        <f t="shared" si="85"/>
        <v>329Profit-Loss Ratio</v>
      </c>
      <c r="B5017">
        <v>329</v>
      </c>
      <c r="C5017" s="9" t="s">
        <v>26</v>
      </c>
      <c r="D5017" s="8">
        <v>1.73</v>
      </c>
    </row>
    <row r="5018" spans="1:4">
      <c r="A5018" t="str">
        <f t="shared" si="85"/>
        <v>329Alpha</v>
      </c>
      <c r="B5018">
        <v>329</v>
      </c>
      <c r="C5018" s="9" t="s">
        <v>23</v>
      </c>
      <c r="D5018" s="8">
        <v>0.22700000000000001</v>
      </c>
    </row>
    <row r="5019" spans="1:4">
      <c r="A5019" t="str">
        <f t="shared" si="85"/>
        <v>329Beta</v>
      </c>
      <c r="B5019">
        <v>329</v>
      </c>
      <c r="C5019" s="9" t="s">
        <v>24</v>
      </c>
      <c r="D5019" s="8">
        <v>-21.396000000000001</v>
      </c>
    </row>
    <row r="5020" spans="1:4">
      <c r="A5020" t="str">
        <f t="shared" si="85"/>
        <v>329Annual Standard Deviation</v>
      </c>
      <c r="B5020">
        <v>329</v>
      </c>
      <c r="C5020" s="9" t="s">
        <v>35</v>
      </c>
      <c r="D5020" s="8">
        <v>2.7650000000000001</v>
      </c>
    </row>
    <row r="5021" spans="1:4">
      <c r="A5021" t="str">
        <f t="shared" si="85"/>
        <v>329Annual Variance</v>
      </c>
      <c r="B5021">
        <v>329</v>
      </c>
      <c r="C5021" s="9" t="s">
        <v>36</v>
      </c>
      <c r="D5021" s="8">
        <v>7.6479999999999997</v>
      </c>
    </row>
    <row r="5022" spans="1:4">
      <c r="A5022" t="str">
        <f t="shared" si="85"/>
        <v>329Information Ratio</v>
      </c>
      <c r="B5022">
        <v>329</v>
      </c>
      <c r="C5022" s="9" t="s">
        <v>37</v>
      </c>
      <c r="D5022" s="8">
        <v>-0.37</v>
      </c>
    </row>
    <row r="5023" spans="1:4">
      <c r="A5023" t="str">
        <f t="shared" si="85"/>
        <v>329Tracking Error</v>
      </c>
      <c r="B5023">
        <v>329</v>
      </c>
      <c r="C5023" s="9" t="s">
        <v>38</v>
      </c>
      <c r="D5023" s="8">
        <v>2.8</v>
      </c>
    </row>
    <row r="5024" spans="1:4">
      <c r="A5024" t="str">
        <f t="shared" si="85"/>
        <v>329Treynor Ratio</v>
      </c>
      <c r="B5024">
        <v>329</v>
      </c>
      <c r="C5024" s="9" t="s">
        <v>39</v>
      </c>
      <c r="D5024" s="8">
        <v>4.5999999999999999E-2</v>
      </c>
    </row>
    <row r="5025" spans="1:4">
      <c r="A5025" t="str">
        <f t="shared" si="85"/>
        <v>329Total Fees</v>
      </c>
      <c r="B5025">
        <v>329</v>
      </c>
      <c r="C5025" s="9" t="s">
        <v>40</v>
      </c>
      <c r="D5025" s="8">
        <v>0</v>
      </c>
    </row>
    <row r="5026" spans="1:4">
      <c r="A5026" t="str">
        <f t="shared" si="85"/>
        <v>329Estimated Strategy Capacity</v>
      </c>
      <c r="B5026">
        <v>329</v>
      </c>
      <c r="C5026" s="9" t="s">
        <v>41</v>
      </c>
      <c r="D5026" s="8">
        <v>2100000</v>
      </c>
    </row>
    <row r="5027" spans="1:4">
      <c r="A5027" t="str">
        <f t="shared" si="85"/>
        <v>330PSR</v>
      </c>
      <c r="B5027">
        <v>330</v>
      </c>
      <c r="C5027" s="19" t="s">
        <v>27</v>
      </c>
      <c r="D5027" s="8">
        <v>3.8760000000000003E-2</v>
      </c>
    </row>
    <row r="5028" spans="1:4">
      <c r="A5028" t="str">
        <f t="shared" si="85"/>
        <v>330Sharpe Ratio</v>
      </c>
      <c r="B5028">
        <v>330</v>
      </c>
      <c r="C5028" s="19" t="s">
        <v>1</v>
      </c>
      <c r="D5028" s="8">
        <v>-0.318</v>
      </c>
    </row>
    <row r="5029" spans="1:4">
      <c r="A5029" t="str">
        <f t="shared" si="85"/>
        <v>330Total Trades</v>
      </c>
      <c r="B5029">
        <v>330</v>
      </c>
      <c r="C5029" s="19" t="s">
        <v>28</v>
      </c>
      <c r="D5029" s="8">
        <v>226</v>
      </c>
    </row>
    <row r="5030" spans="1:4">
      <c r="A5030" t="str">
        <f t="shared" si="85"/>
        <v>330Average Win</v>
      </c>
      <c r="B5030">
        <v>330</v>
      </c>
      <c r="C5030" s="19" t="s">
        <v>25</v>
      </c>
      <c r="D5030" s="8">
        <v>3.8699999999999998E-2</v>
      </c>
    </row>
    <row r="5031" spans="1:4">
      <c r="A5031" t="str">
        <f t="shared" si="85"/>
        <v>330Average Loss</v>
      </c>
      <c r="B5031">
        <v>330</v>
      </c>
      <c r="C5031" s="19" t="s">
        <v>29</v>
      </c>
      <c r="D5031" s="8">
        <v>-4.5900000000000003E-2</v>
      </c>
    </row>
    <row r="5032" spans="1:4">
      <c r="A5032" t="str">
        <f t="shared" si="85"/>
        <v>330Compounding Annual Return</v>
      </c>
      <c r="B5032">
        <v>330</v>
      </c>
      <c r="C5032" s="19" t="s">
        <v>30</v>
      </c>
      <c r="D5032" s="8">
        <v>0</v>
      </c>
    </row>
    <row r="5033" spans="1:4">
      <c r="A5033" t="str">
        <f t="shared" si="85"/>
        <v>330Drawdown</v>
      </c>
      <c r="B5033">
        <v>330</v>
      </c>
      <c r="C5033" s="19" t="s">
        <v>8</v>
      </c>
      <c r="D5033" s="8">
        <v>1</v>
      </c>
    </row>
    <row r="5034" spans="1:4">
      <c r="A5034" t="str">
        <f t="shared" si="85"/>
        <v>330Expectancy</v>
      </c>
      <c r="B5034">
        <v>330</v>
      </c>
      <c r="C5034" s="19" t="s">
        <v>31</v>
      </c>
      <c r="D5034" s="8">
        <v>-0.92900000000000005</v>
      </c>
    </row>
    <row r="5035" spans="1:4">
      <c r="A5035" t="str">
        <f t="shared" si="85"/>
        <v>330Net Profit</v>
      </c>
      <c r="B5035">
        <v>330</v>
      </c>
      <c r="C5035" s="19" t="s">
        <v>32</v>
      </c>
      <c r="D5035" s="8">
        <v>-1.0000199999999999</v>
      </c>
    </row>
    <row r="5036" spans="1:4">
      <c r="A5036" t="str">
        <f t="shared" si="85"/>
        <v>330Loss Rate</v>
      </c>
      <c r="B5036">
        <v>330</v>
      </c>
      <c r="C5036" s="19" t="s">
        <v>33</v>
      </c>
      <c r="D5036" s="8">
        <v>0.96</v>
      </c>
    </row>
    <row r="5037" spans="1:4">
      <c r="A5037" t="str">
        <f t="shared" si="85"/>
        <v>330Win Rate</v>
      </c>
      <c r="B5037">
        <v>330</v>
      </c>
      <c r="C5037" s="19" t="s">
        <v>34</v>
      </c>
      <c r="D5037" s="8">
        <v>0.04</v>
      </c>
    </row>
    <row r="5038" spans="1:4">
      <c r="A5038" t="str">
        <f t="shared" si="85"/>
        <v>330Profit-Loss Ratio</v>
      </c>
      <c r="B5038">
        <v>330</v>
      </c>
      <c r="C5038" s="19" t="s">
        <v>26</v>
      </c>
      <c r="D5038" s="8">
        <v>0.84</v>
      </c>
    </row>
    <row r="5039" spans="1:4">
      <c r="A5039" t="str">
        <f t="shared" si="85"/>
        <v>330Alpha</v>
      </c>
      <c r="B5039">
        <v>330</v>
      </c>
      <c r="C5039" s="19" t="s">
        <v>23</v>
      </c>
      <c r="D5039" s="8">
        <v>0.45600000000000002</v>
      </c>
    </row>
    <row r="5040" spans="1:4">
      <c r="A5040" t="str">
        <f t="shared" si="85"/>
        <v>330Beta</v>
      </c>
      <c r="B5040">
        <v>330</v>
      </c>
      <c r="C5040" s="19" t="s">
        <v>24</v>
      </c>
      <c r="D5040" s="8">
        <v>-25.084</v>
      </c>
    </row>
    <row r="5041" spans="1:4">
      <c r="A5041" t="str">
        <f t="shared" si="85"/>
        <v>330Annual Standard Deviation</v>
      </c>
      <c r="B5041">
        <v>330</v>
      </c>
      <c r="C5041" s="19" t="s">
        <v>35</v>
      </c>
      <c r="D5041" s="8">
        <v>2.8959999999999999</v>
      </c>
    </row>
    <row r="5042" spans="1:4">
      <c r="A5042" t="str">
        <f t="shared" si="85"/>
        <v>330Annual Variance</v>
      </c>
      <c r="B5042">
        <v>330</v>
      </c>
      <c r="C5042" s="19" t="s">
        <v>36</v>
      </c>
      <c r="D5042" s="8">
        <v>8.3840000000000003</v>
      </c>
    </row>
    <row r="5043" spans="1:4">
      <c r="A5043" t="str">
        <f t="shared" si="85"/>
        <v>330Information Ratio</v>
      </c>
      <c r="B5043">
        <v>330</v>
      </c>
      <c r="C5043" s="19" t="s">
        <v>37</v>
      </c>
      <c r="D5043" s="8">
        <v>-0.33200000000000002</v>
      </c>
    </row>
    <row r="5044" spans="1:4">
      <c r="A5044" t="str">
        <f t="shared" si="85"/>
        <v>330Tracking Error</v>
      </c>
      <c r="B5044">
        <v>330</v>
      </c>
      <c r="C5044" s="19" t="s">
        <v>38</v>
      </c>
      <c r="D5044" s="8">
        <v>2.9340000000000002</v>
      </c>
    </row>
    <row r="5045" spans="1:4">
      <c r="A5045" t="str">
        <f t="shared" si="85"/>
        <v>330Treynor Ratio</v>
      </c>
      <c r="B5045">
        <v>330</v>
      </c>
      <c r="C5045" s="19" t="s">
        <v>39</v>
      </c>
      <c r="D5045" s="8">
        <v>3.6999999999999998E-2</v>
      </c>
    </row>
    <row r="5046" spans="1:4">
      <c r="A5046" t="str">
        <f t="shared" si="85"/>
        <v>330Total Fees</v>
      </c>
      <c r="B5046">
        <v>330</v>
      </c>
      <c r="C5046" s="19" t="s">
        <v>40</v>
      </c>
      <c r="D5046" s="8">
        <v>0</v>
      </c>
    </row>
    <row r="5047" spans="1:4">
      <c r="A5047" t="str">
        <f t="shared" si="85"/>
        <v>330Estimated Strategy Capacity</v>
      </c>
      <c r="B5047">
        <v>330</v>
      </c>
      <c r="C5047" s="19" t="s">
        <v>41</v>
      </c>
      <c r="D5047" s="8">
        <v>1300000</v>
      </c>
    </row>
    <row r="5048" spans="1:4">
      <c r="A5048" t="str">
        <f t="shared" si="85"/>
        <v>331PSR</v>
      </c>
      <c r="B5048">
        <v>331</v>
      </c>
      <c r="C5048" s="19" t="s">
        <v>27</v>
      </c>
      <c r="D5048" s="8">
        <v>8.5379999999999998E-2</v>
      </c>
    </row>
    <row r="5049" spans="1:4">
      <c r="A5049" t="str">
        <f t="shared" si="85"/>
        <v>331Sharpe Ratio</v>
      </c>
      <c r="B5049">
        <v>331</v>
      </c>
      <c r="C5049" s="19" t="s">
        <v>1</v>
      </c>
      <c r="D5049" s="8">
        <v>-0.39</v>
      </c>
    </row>
    <row r="5050" spans="1:4">
      <c r="A5050" t="str">
        <f t="shared" si="85"/>
        <v>331Total Trades</v>
      </c>
      <c r="B5050">
        <v>331</v>
      </c>
      <c r="C5050" s="19" t="s">
        <v>28</v>
      </c>
      <c r="D5050" s="8">
        <v>165</v>
      </c>
    </row>
    <row r="5051" spans="1:4">
      <c r="A5051" t="str">
        <f t="shared" si="85"/>
        <v>331Average Win</v>
      </c>
      <c r="B5051">
        <v>331</v>
      </c>
      <c r="C5051" s="19" t="s">
        <v>25</v>
      </c>
      <c r="D5051" s="8">
        <v>1.3299999999999999E-2</v>
      </c>
    </row>
    <row r="5052" spans="1:4">
      <c r="A5052" t="str">
        <f t="shared" si="85"/>
        <v>331Average Loss</v>
      </c>
      <c r="B5052">
        <v>331</v>
      </c>
      <c r="C5052" s="19" t="s">
        <v>29</v>
      </c>
      <c r="D5052" s="8">
        <v>-1.89E-2</v>
      </c>
    </row>
    <row r="5053" spans="1:4">
      <c r="A5053" t="str">
        <f t="shared" ref="A5053:A5089" si="86">B5053&amp;C5053</f>
        <v>331Compounding Annual Return</v>
      </c>
      <c r="B5053">
        <v>331</v>
      </c>
      <c r="C5053" s="19" t="s">
        <v>30</v>
      </c>
      <c r="D5053" s="8">
        <v>-5.6239999999999998E-2</v>
      </c>
    </row>
    <row r="5054" spans="1:4">
      <c r="A5054" t="str">
        <f t="shared" si="86"/>
        <v>331Drawdown</v>
      </c>
      <c r="B5054">
        <v>331</v>
      </c>
      <c r="C5054" s="19" t="s">
        <v>8</v>
      </c>
      <c r="D5054" s="8">
        <v>8.1000000000000003E-2</v>
      </c>
    </row>
    <row r="5055" spans="1:4">
      <c r="A5055" t="str">
        <f t="shared" si="86"/>
        <v>331Expectancy</v>
      </c>
      <c r="B5055">
        <v>331</v>
      </c>
      <c r="C5055" s="19" t="s">
        <v>31</v>
      </c>
      <c r="D5055" s="8">
        <v>-0.318</v>
      </c>
    </row>
    <row r="5056" spans="1:4">
      <c r="A5056" t="str">
        <f t="shared" si="86"/>
        <v>331Net Profit</v>
      </c>
      <c r="B5056">
        <v>331</v>
      </c>
      <c r="C5056" s="19" t="s">
        <v>32</v>
      </c>
      <c r="D5056" s="8">
        <v>-3.6880000000000003E-2</v>
      </c>
    </row>
    <row r="5057" spans="1:4">
      <c r="A5057" t="str">
        <f t="shared" si="86"/>
        <v>331Loss Rate</v>
      </c>
      <c r="B5057">
        <v>331</v>
      </c>
      <c r="C5057" s="19" t="s">
        <v>33</v>
      </c>
      <c r="D5057" s="8">
        <v>0.6</v>
      </c>
    </row>
    <row r="5058" spans="1:4">
      <c r="A5058" t="str">
        <f t="shared" si="86"/>
        <v>331Win Rate</v>
      </c>
      <c r="B5058">
        <v>331</v>
      </c>
      <c r="C5058" s="19" t="s">
        <v>34</v>
      </c>
      <c r="D5058" s="8">
        <v>0.4</v>
      </c>
    </row>
    <row r="5059" spans="1:4">
      <c r="A5059" t="str">
        <f t="shared" si="86"/>
        <v>331Profit-Loss Ratio</v>
      </c>
      <c r="B5059">
        <v>331</v>
      </c>
      <c r="C5059" s="19" t="s">
        <v>26</v>
      </c>
      <c r="D5059" s="8">
        <v>0.71</v>
      </c>
    </row>
    <row r="5060" spans="1:4">
      <c r="A5060" t="str">
        <f t="shared" si="86"/>
        <v>331Alpha</v>
      </c>
      <c r="B5060">
        <v>331</v>
      </c>
      <c r="C5060" s="19" t="s">
        <v>23</v>
      </c>
      <c r="D5060" s="8">
        <v>-5.0000000000000001E-3</v>
      </c>
    </row>
    <row r="5061" spans="1:4">
      <c r="A5061" t="str">
        <f t="shared" si="86"/>
        <v>331Beta</v>
      </c>
      <c r="B5061">
        <v>331</v>
      </c>
      <c r="C5061" s="19" t="s">
        <v>24</v>
      </c>
      <c r="D5061" s="8">
        <v>-0.55100000000000005</v>
      </c>
    </row>
    <row r="5062" spans="1:4">
      <c r="A5062" t="str">
        <f t="shared" si="86"/>
        <v>331Annual Standard Deviation</v>
      </c>
      <c r="B5062">
        <v>331</v>
      </c>
      <c r="C5062" s="19" t="s">
        <v>35</v>
      </c>
      <c r="D5062" s="8">
        <v>9.0999999999999998E-2</v>
      </c>
    </row>
    <row r="5063" spans="1:4">
      <c r="A5063" t="str">
        <f t="shared" si="86"/>
        <v>331Annual Variance</v>
      </c>
      <c r="B5063">
        <v>331</v>
      </c>
      <c r="C5063" s="19" t="s">
        <v>36</v>
      </c>
      <c r="D5063" s="8">
        <v>8.0000000000000002E-3</v>
      </c>
    </row>
    <row r="5064" spans="1:4">
      <c r="A5064" t="str">
        <f t="shared" si="86"/>
        <v>331Information Ratio</v>
      </c>
      <c r="B5064">
        <v>331</v>
      </c>
      <c r="C5064" s="19" t="s">
        <v>37</v>
      </c>
      <c r="D5064" s="8">
        <v>-0.68700000000000006</v>
      </c>
    </row>
    <row r="5065" spans="1:4">
      <c r="A5065" t="str">
        <f t="shared" si="86"/>
        <v>331Tracking Error</v>
      </c>
      <c r="B5065">
        <v>331</v>
      </c>
      <c r="C5065" s="19" t="s">
        <v>38</v>
      </c>
      <c r="D5065" s="8">
        <v>0.13300000000000001</v>
      </c>
    </row>
    <row r="5066" spans="1:4">
      <c r="A5066" t="str">
        <f t="shared" si="86"/>
        <v>331Treynor Ratio</v>
      </c>
      <c r="B5066">
        <v>331</v>
      </c>
      <c r="C5066" s="19" t="s">
        <v>39</v>
      </c>
      <c r="D5066" s="8">
        <v>6.4000000000000001E-2</v>
      </c>
    </row>
    <row r="5067" spans="1:4">
      <c r="A5067" t="str">
        <f t="shared" si="86"/>
        <v>331Total Fees</v>
      </c>
      <c r="B5067">
        <v>331</v>
      </c>
      <c r="C5067" s="19" t="s">
        <v>40</v>
      </c>
      <c r="D5067" s="8">
        <v>0</v>
      </c>
    </row>
    <row r="5068" spans="1:4">
      <c r="A5068" t="str">
        <f t="shared" si="86"/>
        <v>331Estimated Strategy Capacity</v>
      </c>
      <c r="B5068">
        <v>331</v>
      </c>
      <c r="C5068" s="19" t="s">
        <v>41</v>
      </c>
      <c r="D5068" s="8">
        <v>28000000</v>
      </c>
    </row>
    <row r="5069" spans="1:4">
      <c r="A5069" t="str">
        <f t="shared" si="86"/>
        <v>332PSR</v>
      </c>
      <c r="B5069">
        <v>332</v>
      </c>
      <c r="C5069" s="19" t="s">
        <v>27</v>
      </c>
      <c r="D5069" s="8">
        <v>0.10802</v>
      </c>
    </row>
    <row r="5070" spans="1:4">
      <c r="B5070">
        <v>332</v>
      </c>
      <c r="C5070" s="19" t="s">
        <v>1</v>
      </c>
      <c r="D5070" s="8">
        <v>-0.245</v>
      </c>
    </row>
    <row r="5071" spans="1:4">
      <c r="B5071">
        <v>332</v>
      </c>
      <c r="C5071" s="19" t="s">
        <v>28</v>
      </c>
      <c r="D5071" s="8">
        <v>155</v>
      </c>
    </row>
    <row r="5072" spans="1:4">
      <c r="B5072">
        <v>332</v>
      </c>
      <c r="C5072" s="19" t="s">
        <v>25</v>
      </c>
      <c r="D5072" s="8">
        <v>0.29509999999999997</v>
      </c>
    </row>
    <row r="5073" spans="2:4">
      <c r="B5073">
        <v>332</v>
      </c>
      <c r="C5073" s="19" t="s">
        <v>29</v>
      </c>
      <c r="D5073" s="8">
        <v>-0.10059999999999999</v>
      </c>
    </row>
    <row r="5074" spans="2:4">
      <c r="B5074">
        <v>332</v>
      </c>
      <c r="C5074" s="19" t="s">
        <v>30</v>
      </c>
      <c r="D5074" s="8">
        <v>-0.63056999999999996</v>
      </c>
    </row>
    <row r="5075" spans="2:4">
      <c r="B5075">
        <v>332</v>
      </c>
      <c r="C5075" s="19" t="s">
        <v>8</v>
      </c>
      <c r="D5075" s="8">
        <v>0.63600000000000001</v>
      </c>
    </row>
    <row r="5076" spans="2:4">
      <c r="B5076">
        <v>332</v>
      </c>
      <c r="C5076" s="19" t="s">
        <v>31</v>
      </c>
      <c r="D5076" s="8">
        <v>-0.50800000000000001</v>
      </c>
    </row>
    <row r="5077" spans="2:4">
      <c r="B5077">
        <v>332</v>
      </c>
      <c r="C5077" s="19" t="s">
        <v>32</v>
      </c>
      <c r="D5077" s="8">
        <v>-0.47610999999999998</v>
      </c>
    </row>
    <row r="5078" spans="2:4">
      <c r="B5078">
        <v>332</v>
      </c>
      <c r="C5078" s="19" t="s">
        <v>33</v>
      </c>
      <c r="D5078" s="8">
        <v>0.88</v>
      </c>
    </row>
    <row r="5079" spans="2:4">
      <c r="B5079">
        <v>332</v>
      </c>
      <c r="C5079" s="19" t="s">
        <v>34</v>
      </c>
      <c r="D5079" s="8">
        <v>0.12</v>
      </c>
    </row>
    <row r="5080" spans="2:4">
      <c r="B5080">
        <v>332</v>
      </c>
      <c r="C5080" s="19" t="s">
        <v>26</v>
      </c>
      <c r="D5080" s="8">
        <v>2.93</v>
      </c>
    </row>
    <row r="5081" spans="2:4">
      <c r="B5081">
        <v>332</v>
      </c>
      <c r="C5081" s="19" t="s">
        <v>23</v>
      </c>
      <c r="D5081" s="8">
        <v>0.17799999999999999</v>
      </c>
    </row>
    <row r="5082" spans="2:4">
      <c r="B5082">
        <v>332</v>
      </c>
      <c r="C5082" s="19" t="s">
        <v>24</v>
      </c>
      <c r="D5082" s="8">
        <v>-7.0339999999999998</v>
      </c>
    </row>
    <row r="5083" spans="2:4">
      <c r="B5083">
        <v>332</v>
      </c>
      <c r="C5083" s="19" t="s">
        <v>35</v>
      </c>
      <c r="D5083" s="8">
        <v>0.91600000000000004</v>
      </c>
    </row>
    <row r="5084" spans="2:4">
      <c r="B5084">
        <v>332</v>
      </c>
      <c r="C5084" s="19" t="s">
        <v>36</v>
      </c>
      <c r="D5084" s="8">
        <v>0.84</v>
      </c>
    </row>
    <row r="5085" spans="2:4">
      <c r="B5085">
        <v>332</v>
      </c>
      <c r="C5085" s="19" t="s">
        <v>37</v>
      </c>
      <c r="D5085" s="8">
        <v>-0.29599999999999999</v>
      </c>
    </row>
    <row r="5086" spans="2:4">
      <c r="B5086">
        <v>332</v>
      </c>
      <c r="C5086" s="19" t="s">
        <v>38</v>
      </c>
      <c r="D5086" s="8">
        <v>0.95299999999999996</v>
      </c>
    </row>
    <row r="5087" spans="2:4">
      <c r="B5087">
        <v>332</v>
      </c>
      <c r="C5087" s="19" t="s">
        <v>39</v>
      </c>
      <c r="D5087" s="8">
        <v>3.2000000000000001E-2</v>
      </c>
    </row>
    <row r="5088" spans="2:4">
      <c r="B5088">
        <v>332</v>
      </c>
      <c r="C5088" s="19" t="s">
        <v>40</v>
      </c>
      <c r="D5088" s="8">
        <v>0</v>
      </c>
    </row>
    <row r="5089" spans="1:4">
      <c r="B5089">
        <v>332</v>
      </c>
      <c r="C5089" s="19" t="s">
        <v>41</v>
      </c>
      <c r="D5089" s="8">
        <v>2200000</v>
      </c>
    </row>
    <row r="5090" spans="1:4">
      <c r="A5090" t="str">
        <f t="shared" ref="A5090:A5153" si="87">B5090&amp;C5090</f>
        <v>757PSR</v>
      </c>
      <c r="B5090">
        <v>757</v>
      </c>
      <c r="C5090" s="9" t="s">
        <v>27</v>
      </c>
      <c r="D5090" s="8">
        <v>5.5829999999999998E-2</v>
      </c>
    </row>
    <row r="5091" spans="1:4">
      <c r="A5091" t="str">
        <f t="shared" si="87"/>
        <v>757Sharpe Ratio</v>
      </c>
      <c r="B5091">
        <v>757</v>
      </c>
      <c r="C5091" s="9" t="s">
        <v>1</v>
      </c>
      <c r="D5091" s="8">
        <v>-0.61</v>
      </c>
    </row>
    <row r="5092" spans="1:4">
      <c r="A5092" t="str">
        <f t="shared" si="87"/>
        <v>757Total Trades</v>
      </c>
      <c r="B5092">
        <v>757</v>
      </c>
      <c r="C5092" s="9" t="s">
        <v>28</v>
      </c>
      <c r="D5092" s="8">
        <v>1026</v>
      </c>
    </row>
    <row r="5093" spans="1:4">
      <c r="A5093" t="str">
        <f t="shared" si="87"/>
        <v>757Average Win</v>
      </c>
      <c r="B5093">
        <v>757</v>
      </c>
      <c r="C5093" s="9" t="s">
        <v>25</v>
      </c>
      <c r="D5093" s="8">
        <v>2.0000000000000001E-4</v>
      </c>
    </row>
    <row r="5094" spans="1:4">
      <c r="A5094" t="str">
        <f t="shared" si="87"/>
        <v>757Average Loss</v>
      </c>
      <c r="B5094">
        <v>757</v>
      </c>
      <c r="C5094" s="9" t="s">
        <v>29</v>
      </c>
      <c r="D5094" s="8">
        <v>-4.0000000000000002E-4</v>
      </c>
    </row>
    <row r="5095" spans="1:4">
      <c r="A5095" t="str">
        <f t="shared" si="87"/>
        <v>757Compounding Annual Return</v>
      </c>
      <c r="B5095">
        <v>757</v>
      </c>
      <c r="C5095" s="9" t="s">
        <v>30</v>
      </c>
      <c r="D5095" s="8">
        <v>-5.7499999999999999E-3</v>
      </c>
    </row>
    <row r="5096" spans="1:4">
      <c r="A5096" t="str">
        <f t="shared" si="87"/>
        <v>757Drawdown</v>
      </c>
      <c r="B5096">
        <v>757</v>
      </c>
      <c r="C5096" s="9" t="s">
        <v>8</v>
      </c>
      <c r="D5096" s="8">
        <v>1.0999999999999999E-2</v>
      </c>
    </row>
    <row r="5097" spans="1:4">
      <c r="A5097" t="str">
        <f t="shared" si="87"/>
        <v>757Expectancy</v>
      </c>
      <c r="B5097">
        <v>757</v>
      </c>
      <c r="C5097" s="9" t="s">
        <v>31</v>
      </c>
      <c r="D5097" s="8">
        <v>-8.1000000000000003E-2</v>
      </c>
    </row>
    <row r="5098" spans="1:4">
      <c r="A5098" t="str">
        <f t="shared" si="87"/>
        <v>757Net Profit</v>
      </c>
      <c r="B5098">
        <v>757</v>
      </c>
      <c r="C5098" s="9" t="s">
        <v>32</v>
      </c>
      <c r="D5098" s="8">
        <v>-3.81E-3</v>
      </c>
    </row>
    <row r="5099" spans="1:4">
      <c r="A5099" t="str">
        <f t="shared" si="87"/>
        <v>757Loss Rate</v>
      </c>
      <c r="B5099">
        <v>757</v>
      </c>
      <c r="C5099" s="9" t="s">
        <v>33</v>
      </c>
      <c r="D5099" s="8">
        <v>0.39</v>
      </c>
    </row>
    <row r="5100" spans="1:4">
      <c r="A5100" t="str">
        <f t="shared" si="87"/>
        <v>757Win Rate</v>
      </c>
      <c r="B5100">
        <v>757</v>
      </c>
      <c r="C5100" s="9" t="s">
        <v>34</v>
      </c>
      <c r="D5100" s="8">
        <v>0.61</v>
      </c>
    </row>
    <row r="5101" spans="1:4">
      <c r="A5101" t="str">
        <f t="shared" si="87"/>
        <v>757Profit-Loss Ratio</v>
      </c>
      <c r="B5101">
        <v>757</v>
      </c>
      <c r="C5101" s="9" t="s">
        <v>26</v>
      </c>
      <c r="D5101" s="8">
        <v>0.5</v>
      </c>
    </row>
    <row r="5102" spans="1:4">
      <c r="A5102" t="str">
        <f t="shared" si="87"/>
        <v>757Alpha</v>
      </c>
      <c r="B5102">
        <v>757</v>
      </c>
      <c r="C5102" s="9" t="s">
        <v>23</v>
      </c>
      <c r="D5102" s="8">
        <v>-4.0000000000000001E-3</v>
      </c>
    </row>
    <row r="5103" spans="1:4">
      <c r="A5103" t="str">
        <f t="shared" si="87"/>
        <v>757Beta</v>
      </c>
      <c r="B5103">
        <v>757</v>
      </c>
      <c r="C5103" s="9" t="s">
        <v>24</v>
      </c>
      <c r="D5103" s="8">
        <v>-8.0000000000000002E-3</v>
      </c>
    </row>
    <row r="5104" spans="1:4">
      <c r="A5104" t="str">
        <f t="shared" si="87"/>
        <v>757Annual Standard Deviation</v>
      </c>
      <c r="B5104">
        <v>757</v>
      </c>
      <c r="C5104" s="9" t="s">
        <v>35</v>
      </c>
      <c r="D5104" s="8">
        <v>7.0000000000000001E-3</v>
      </c>
    </row>
    <row r="5105" spans="1:4">
      <c r="A5105" t="str">
        <f t="shared" si="87"/>
        <v>757Annual Variance</v>
      </c>
      <c r="B5105">
        <v>757</v>
      </c>
      <c r="C5105" s="9" t="s">
        <v>36</v>
      </c>
      <c r="D5105" s="8">
        <v>0</v>
      </c>
    </row>
    <row r="5106" spans="1:4">
      <c r="A5106" t="str">
        <f t="shared" si="87"/>
        <v>757Information Ratio</v>
      </c>
      <c r="B5106">
        <v>757</v>
      </c>
      <c r="C5106" s="9" t="s">
        <v>37</v>
      </c>
      <c r="D5106" s="8">
        <v>-0.81299999999999994</v>
      </c>
    </row>
    <row r="5107" spans="1:4">
      <c r="A5107" t="str">
        <f t="shared" si="87"/>
        <v>757Tracking Error</v>
      </c>
      <c r="B5107">
        <v>757</v>
      </c>
      <c r="C5107" s="9" t="s">
        <v>38</v>
      </c>
      <c r="D5107" s="8">
        <v>6.8000000000000005E-2</v>
      </c>
    </row>
    <row r="5108" spans="1:4">
      <c r="A5108" t="str">
        <f t="shared" si="87"/>
        <v>757Treynor Ratio</v>
      </c>
      <c r="B5108">
        <v>757</v>
      </c>
      <c r="C5108" s="9" t="s">
        <v>39</v>
      </c>
      <c r="D5108" s="8">
        <v>0.48699999999999999</v>
      </c>
    </row>
    <row r="5109" spans="1:4">
      <c r="A5109" t="str">
        <f t="shared" si="87"/>
        <v>757Total Fees</v>
      </c>
      <c r="B5109">
        <v>757</v>
      </c>
      <c r="C5109" s="9" t="s">
        <v>40</v>
      </c>
      <c r="D5109" s="8">
        <v>0</v>
      </c>
    </row>
    <row r="5110" spans="1:4">
      <c r="A5110" t="str">
        <f t="shared" si="87"/>
        <v>757Estimated Strategy Capacity</v>
      </c>
      <c r="B5110">
        <v>757</v>
      </c>
      <c r="C5110" s="9" t="s">
        <v>41</v>
      </c>
      <c r="D5110" s="8">
        <v>15000000</v>
      </c>
    </row>
    <row r="5111" spans="1:4">
      <c r="A5111" t="str">
        <f t="shared" si="87"/>
        <v>758PSR</v>
      </c>
      <c r="B5111">
        <v>758</v>
      </c>
      <c r="C5111" s="9" t="s">
        <v>27</v>
      </c>
      <c r="D5111" s="8">
        <v>6.1190000000000001E-2</v>
      </c>
    </row>
    <row r="5112" spans="1:4">
      <c r="A5112" t="str">
        <f t="shared" si="87"/>
        <v>758Sharpe Ratio</v>
      </c>
      <c r="B5112">
        <v>758</v>
      </c>
      <c r="C5112" s="9" t="s">
        <v>1</v>
      </c>
      <c r="D5112" s="8">
        <v>-0.56299999999999994</v>
      </c>
    </row>
    <row r="5113" spans="1:4">
      <c r="A5113" t="str">
        <f t="shared" si="87"/>
        <v>758Total Trades</v>
      </c>
      <c r="B5113">
        <v>758</v>
      </c>
      <c r="C5113" s="9" t="s">
        <v>28</v>
      </c>
      <c r="D5113" s="8">
        <v>805</v>
      </c>
    </row>
    <row r="5114" spans="1:4">
      <c r="A5114" t="str">
        <f t="shared" si="87"/>
        <v>758Average Win</v>
      </c>
      <c r="B5114">
        <v>758</v>
      </c>
      <c r="C5114" s="9" t="s">
        <v>25</v>
      </c>
      <c r="D5114" s="8">
        <v>5.9999999999999995E-4</v>
      </c>
    </row>
    <row r="5115" spans="1:4">
      <c r="A5115" t="str">
        <f t="shared" si="87"/>
        <v>758Average Loss</v>
      </c>
      <c r="B5115">
        <v>758</v>
      </c>
      <c r="C5115" s="9" t="s">
        <v>29</v>
      </c>
      <c r="D5115" s="8">
        <v>-1.1999999999999999E-3</v>
      </c>
    </row>
    <row r="5116" spans="1:4">
      <c r="A5116" t="str">
        <f t="shared" si="87"/>
        <v>758Compounding Annual Return</v>
      </c>
      <c r="B5116">
        <v>758</v>
      </c>
      <c r="C5116" s="9" t="s">
        <v>30</v>
      </c>
      <c r="D5116" s="8">
        <v>-1.5959999999999998E-2</v>
      </c>
    </row>
    <row r="5117" spans="1:4">
      <c r="A5117" t="str">
        <f t="shared" si="87"/>
        <v>758Drawdown</v>
      </c>
      <c r="B5117">
        <v>758</v>
      </c>
      <c r="C5117" s="9" t="s">
        <v>8</v>
      </c>
      <c r="D5117" s="8">
        <v>3.5999999999999997E-2</v>
      </c>
    </row>
    <row r="5118" spans="1:4">
      <c r="A5118" t="str">
        <f t="shared" si="87"/>
        <v>758Expectancy</v>
      </c>
      <c r="B5118">
        <v>758</v>
      </c>
      <c r="C5118" s="9" t="s">
        <v>31</v>
      </c>
      <c r="D5118" s="8">
        <v>-6.8000000000000005E-2</v>
      </c>
    </row>
    <row r="5119" spans="1:4">
      <c r="A5119" t="str">
        <f t="shared" si="87"/>
        <v>758Net Profit</v>
      </c>
      <c r="B5119">
        <v>758</v>
      </c>
      <c r="C5119" s="9" t="s">
        <v>32</v>
      </c>
      <c r="D5119" s="8">
        <v>-1.061E-2</v>
      </c>
    </row>
    <row r="5120" spans="1:4">
      <c r="A5120" t="str">
        <f t="shared" si="87"/>
        <v>758Loss Rate</v>
      </c>
      <c r="B5120">
        <v>758</v>
      </c>
      <c r="C5120" s="9" t="s">
        <v>33</v>
      </c>
      <c r="D5120" s="8">
        <v>0.38</v>
      </c>
    </row>
    <row r="5121" spans="1:4">
      <c r="A5121" t="str">
        <f t="shared" si="87"/>
        <v>758Win Rate</v>
      </c>
      <c r="B5121">
        <v>758</v>
      </c>
      <c r="C5121" s="9" t="s">
        <v>34</v>
      </c>
      <c r="D5121" s="8">
        <v>0.62</v>
      </c>
    </row>
    <row r="5122" spans="1:4">
      <c r="A5122" t="str">
        <f t="shared" si="87"/>
        <v>758Profit-Loss Ratio</v>
      </c>
      <c r="B5122">
        <v>758</v>
      </c>
      <c r="C5122" s="9" t="s">
        <v>26</v>
      </c>
      <c r="D5122" s="8">
        <v>0.5</v>
      </c>
    </row>
    <row r="5123" spans="1:4">
      <c r="A5123" t="str">
        <f t="shared" si="87"/>
        <v>758Alpha</v>
      </c>
      <c r="B5123">
        <v>758</v>
      </c>
      <c r="C5123" s="9" t="s">
        <v>23</v>
      </c>
      <c r="D5123" s="8">
        <v>-1.0999999999999999E-2</v>
      </c>
    </row>
    <row r="5124" spans="1:4">
      <c r="A5124" t="str">
        <f t="shared" si="87"/>
        <v>758Beta</v>
      </c>
      <c r="B5124">
        <v>758</v>
      </c>
      <c r="C5124" s="9" t="s">
        <v>24</v>
      </c>
      <c r="D5124" s="8">
        <v>0</v>
      </c>
    </row>
    <row r="5125" spans="1:4">
      <c r="A5125" t="str">
        <f t="shared" si="87"/>
        <v>758Annual Standard Deviation</v>
      </c>
      <c r="B5125">
        <v>758</v>
      </c>
      <c r="C5125" s="9" t="s">
        <v>35</v>
      </c>
      <c r="D5125" s="8">
        <v>1.9E-2</v>
      </c>
    </row>
    <row r="5126" spans="1:4">
      <c r="A5126" t="str">
        <f t="shared" si="87"/>
        <v>758Annual Variance</v>
      </c>
      <c r="B5126">
        <v>758</v>
      </c>
      <c r="C5126" s="9" t="s">
        <v>36</v>
      </c>
      <c r="D5126" s="8">
        <v>0</v>
      </c>
    </row>
    <row r="5127" spans="1:4">
      <c r="A5127" t="str">
        <f t="shared" si="87"/>
        <v>758Information Ratio</v>
      </c>
      <c r="B5127">
        <v>758</v>
      </c>
      <c r="C5127" s="9" t="s">
        <v>37</v>
      </c>
      <c r="D5127" s="8">
        <v>-0.89</v>
      </c>
    </row>
    <row r="5128" spans="1:4">
      <c r="A5128" t="str">
        <f t="shared" si="87"/>
        <v>758Tracking Error</v>
      </c>
      <c r="B5128">
        <v>758</v>
      </c>
      <c r="C5128" s="9" t="s">
        <v>38</v>
      </c>
      <c r="D5128" s="8">
        <v>7.0000000000000007E-2</v>
      </c>
    </row>
    <row r="5129" spans="1:4">
      <c r="A5129" t="str">
        <f t="shared" si="87"/>
        <v>758Treynor Ratio</v>
      </c>
      <c r="B5129">
        <v>758</v>
      </c>
      <c r="C5129" s="9" t="s">
        <v>39</v>
      </c>
      <c r="D5129" s="8">
        <v>-31.282</v>
      </c>
    </row>
    <row r="5130" spans="1:4">
      <c r="A5130" t="str">
        <f t="shared" si="87"/>
        <v>758Total Fees</v>
      </c>
      <c r="B5130">
        <v>758</v>
      </c>
      <c r="C5130" s="9" t="s">
        <v>40</v>
      </c>
      <c r="D5130" s="8">
        <v>0</v>
      </c>
    </row>
    <row r="5131" spans="1:4">
      <c r="A5131" t="str">
        <f t="shared" si="87"/>
        <v>758Estimated Strategy Capacity</v>
      </c>
      <c r="B5131">
        <v>758</v>
      </c>
      <c r="C5131" s="9" t="s">
        <v>41</v>
      </c>
      <c r="D5131" s="8">
        <v>6100000</v>
      </c>
    </row>
    <row r="5132" spans="1:4">
      <c r="A5132" t="str">
        <f t="shared" si="87"/>
        <v>759PSR</v>
      </c>
      <c r="B5132">
        <v>759</v>
      </c>
      <c r="C5132" s="9" t="s">
        <v>27</v>
      </c>
      <c r="D5132" s="8">
        <v>2.2040000000000001E-2</v>
      </c>
    </row>
    <row r="5133" spans="1:4">
      <c r="A5133" t="str">
        <f t="shared" si="87"/>
        <v>759Sharpe Ratio</v>
      </c>
      <c r="B5133">
        <v>759</v>
      </c>
      <c r="C5133" s="9" t="s">
        <v>1</v>
      </c>
      <c r="D5133" s="8">
        <v>-1.046</v>
      </c>
    </row>
    <row r="5134" spans="1:4">
      <c r="A5134" t="str">
        <f t="shared" si="87"/>
        <v>759Total Trades</v>
      </c>
      <c r="B5134">
        <v>759</v>
      </c>
      <c r="C5134" s="9" t="s">
        <v>28</v>
      </c>
      <c r="D5134" s="8">
        <v>613</v>
      </c>
    </row>
    <row r="5135" spans="1:4">
      <c r="A5135" t="str">
        <f t="shared" si="87"/>
        <v>759Average Win</v>
      </c>
      <c r="B5135">
        <v>759</v>
      </c>
      <c r="C5135" s="9" t="s">
        <v>25</v>
      </c>
      <c r="D5135" s="8">
        <v>8.9999999999999998E-4</v>
      </c>
    </row>
    <row r="5136" spans="1:4">
      <c r="A5136" t="str">
        <f t="shared" si="87"/>
        <v>759Average Loss</v>
      </c>
      <c r="B5136">
        <v>759</v>
      </c>
      <c r="C5136" s="9" t="s">
        <v>29</v>
      </c>
      <c r="D5136" s="8">
        <v>-1.6999999999999999E-3</v>
      </c>
    </row>
    <row r="5137" spans="1:4">
      <c r="A5137" t="str">
        <f t="shared" si="87"/>
        <v>759Compounding Annual Return</v>
      </c>
      <c r="B5137">
        <v>759</v>
      </c>
      <c r="C5137" s="9" t="s">
        <v>30</v>
      </c>
      <c r="D5137" s="8">
        <v>-3.601E-2</v>
      </c>
    </row>
    <row r="5138" spans="1:4">
      <c r="A5138" t="str">
        <f t="shared" si="87"/>
        <v>759Drawdown</v>
      </c>
      <c r="B5138">
        <v>759</v>
      </c>
      <c r="C5138" s="9" t="s">
        <v>8</v>
      </c>
      <c r="D5138" s="8">
        <v>5.0999999999999997E-2</v>
      </c>
    </row>
    <row r="5139" spans="1:4">
      <c r="A5139" t="str">
        <f t="shared" si="87"/>
        <v>759Expectancy</v>
      </c>
      <c r="B5139">
        <v>759</v>
      </c>
      <c r="C5139" s="9" t="s">
        <v>31</v>
      </c>
      <c r="D5139" s="8">
        <v>-0.126</v>
      </c>
    </row>
    <row r="5140" spans="1:4">
      <c r="A5140" t="str">
        <f t="shared" si="87"/>
        <v>759Net Profit</v>
      </c>
      <c r="B5140">
        <v>759</v>
      </c>
      <c r="C5140" s="9" t="s">
        <v>32</v>
      </c>
      <c r="D5140" s="8">
        <v>-2.402E-2</v>
      </c>
    </row>
    <row r="5141" spans="1:4">
      <c r="A5141" t="str">
        <f t="shared" si="87"/>
        <v>759Loss Rate</v>
      </c>
      <c r="B5141">
        <v>759</v>
      </c>
      <c r="C5141" s="9" t="s">
        <v>33</v>
      </c>
      <c r="D5141" s="8">
        <v>0.42</v>
      </c>
    </row>
    <row r="5142" spans="1:4">
      <c r="A5142" t="str">
        <f t="shared" si="87"/>
        <v>759Win Rate</v>
      </c>
      <c r="B5142">
        <v>759</v>
      </c>
      <c r="C5142" s="9" t="s">
        <v>34</v>
      </c>
      <c r="D5142" s="8">
        <v>0.57999999999999996</v>
      </c>
    </row>
    <row r="5143" spans="1:4">
      <c r="A5143" t="str">
        <f t="shared" si="87"/>
        <v>759Profit-Loss Ratio</v>
      </c>
      <c r="B5143">
        <v>759</v>
      </c>
      <c r="C5143" s="9" t="s">
        <v>26</v>
      </c>
      <c r="D5143" s="8">
        <v>0.5</v>
      </c>
    </row>
    <row r="5144" spans="1:4">
      <c r="A5144" t="str">
        <f t="shared" si="87"/>
        <v>759Alpha</v>
      </c>
      <c r="B5144">
        <v>759</v>
      </c>
      <c r="C5144" s="9" t="s">
        <v>23</v>
      </c>
      <c r="D5144" s="8">
        <v>-2.5000000000000001E-2</v>
      </c>
    </row>
    <row r="5145" spans="1:4">
      <c r="A5145" t="str">
        <f t="shared" si="87"/>
        <v>759Beta</v>
      </c>
      <c r="B5145">
        <v>759</v>
      </c>
      <c r="C5145" s="9" t="s">
        <v>24</v>
      </c>
      <c r="D5145" s="8">
        <v>-2E-3</v>
      </c>
    </row>
    <row r="5146" spans="1:4">
      <c r="A5146" t="str">
        <f t="shared" si="87"/>
        <v>759Annual Standard Deviation</v>
      </c>
      <c r="B5146">
        <v>759</v>
      </c>
      <c r="C5146" s="9" t="s">
        <v>35</v>
      </c>
      <c r="D5146" s="8">
        <v>2.4E-2</v>
      </c>
    </row>
    <row r="5147" spans="1:4">
      <c r="A5147" t="str">
        <f t="shared" si="87"/>
        <v>759Annual Variance</v>
      </c>
      <c r="B5147">
        <v>759</v>
      </c>
      <c r="C5147" s="9" t="s">
        <v>36</v>
      </c>
      <c r="D5147" s="8">
        <v>1E-3</v>
      </c>
    </row>
    <row r="5148" spans="1:4">
      <c r="A5148" t="str">
        <f t="shared" si="87"/>
        <v>759Information Ratio</v>
      </c>
      <c r="B5148">
        <v>759</v>
      </c>
      <c r="C5148" s="9" t="s">
        <v>37</v>
      </c>
      <c r="D5148" s="8">
        <v>-1.0660000000000001</v>
      </c>
    </row>
    <row r="5149" spans="1:4">
      <c r="A5149" t="str">
        <f t="shared" si="87"/>
        <v>759Tracking Error</v>
      </c>
      <c r="B5149">
        <v>759</v>
      </c>
      <c r="C5149" s="9" t="s">
        <v>38</v>
      </c>
      <c r="D5149" s="8">
        <v>7.1999999999999995E-2</v>
      </c>
    </row>
    <row r="5150" spans="1:4">
      <c r="A5150" t="str">
        <f t="shared" si="87"/>
        <v>759Treynor Ratio</v>
      </c>
      <c r="B5150">
        <v>759</v>
      </c>
      <c r="C5150" s="9" t="s">
        <v>39</v>
      </c>
      <c r="D5150" s="8">
        <v>12.055999999999999</v>
      </c>
    </row>
    <row r="5151" spans="1:4">
      <c r="A5151" t="str">
        <f t="shared" si="87"/>
        <v>759Total Fees</v>
      </c>
      <c r="B5151">
        <v>759</v>
      </c>
      <c r="C5151" s="9" t="s">
        <v>40</v>
      </c>
      <c r="D5151" s="8">
        <v>0</v>
      </c>
    </row>
    <row r="5152" spans="1:4">
      <c r="A5152" t="str">
        <f t="shared" si="87"/>
        <v>759Estimated Strategy Capacity</v>
      </c>
      <c r="B5152">
        <v>759</v>
      </c>
      <c r="C5152" s="9" t="s">
        <v>41</v>
      </c>
      <c r="D5152" s="8">
        <v>8600000</v>
      </c>
    </row>
    <row r="5153" spans="1:4">
      <c r="A5153" t="str">
        <f t="shared" si="87"/>
        <v>760PSR</v>
      </c>
      <c r="B5153">
        <v>760</v>
      </c>
      <c r="C5153" s="9" t="s">
        <v>27</v>
      </c>
      <c r="D5153" s="8">
        <v>2.0000000000000002E-5</v>
      </c>
    </row>
    <row r="5154" spans="1:4">
      <c r="A5154" t="str">
        <f t="shared" ref="A5154:A5217" si="88">B5154&amp;C5154</f>
        <v>760Sharpe Ratio</v>
      </c>
      <c r="B5154">
        <v>760</v>
      </c>
      <c r="C5154" s="9" t="s">
        <v>1</v>
      </c>
      <c r="D5154" s="8">
        <v>-2.1240000000000001</v>
      </c>
    </row>
    <row r="5155" spans="1:4">
      <c r="A5155" t="str">
        <f t="shared" si="88"/>
        <v>760Total Trades</v>
      </c>
      <c r="B5155">
        <v>760</v>
      </c>
      <c r="C5155" s="9" t="s">
        <v>28</v>
      </c>
      <c r="D5155" s="8">
        <v>1141</v>
      </c>
    </row>
    <row r="5156" spans="1:4">
      <c r="A5156" t="str">
        <f t="shared" si="88"/>
        <v>760Average Win</v>
      </c>
      <c r="B5156">
        <v>760</v>
      </c>
      <c r="C5156" s="9" t="s">
        <v>25</v>
      </c>
      <c r="D5156" s="8">
        <v>1E-4</v>
      </c>
    </row>
    <row r="5157" spans="1:4">
      <c r="A5157" t="str">
        <f t="shared" si="88"/>
        <v>760Average Loss</v>
      </c>
      <c r="B5157">
        <v>760</v>
      </c>
      <c r="C5157" s="9" t="s">
        <v>29</v>
      </c>
      <c r="D5157" s="8">
        <v>-4.0000000000000002E-4</v>
      </c>
    </row>
    <row r="5158" spans="1:4">
      <c r="A5158" t="str">
        <f t="shared" si="88"/>
        <v>760Compounding Annual Return</v>
      </c>
      <c r="B5158">
        <v>760</v>
      </c>
      <c r="C5158" s="9" t="s">
        <v>30</v>
      </c>
      <c r="D5158" s="8">
        <v>-2.034E-2</v>
      </c>
    </row>
    <row r="5159" spans="1:4">
      <c r="A5159" t="str">
        <f t="shared" si="88"/>
        <v>760Drawdown</v>
      </c>
      <c r="B5159">
        <v>760</v>
      </c>
      <c r="C5159" s="9" t="s">
        <v>8</v>
      </c>
      <c r="D5159" s="8">
        <v>1.4E-2</v>
      </c>
    </row>
    <row r="5160" spans="1:4">
      <c r="A5160" t="str">
        <f t="shared" si="88"/>
        <v>760Expectancy</v>
      </c>
      <c r="B5160">
        <v>760</v>
      </c>
      <c r="C5160" s="9" t="s">
        <v>31</v>
      </c>
      <c r="D5160" s="8">
        <v>-0.26500000000000001</v>
      </c>
    </row>
    <row r="5161" spans="1:4">
      <c r="A5161" t="str">
        <f t="shared" si="88"/>
        <v>760Net Profit</v>
      </c>
      <c r="B5161">
        <v>760</v>
      </c>
      <c r="C5161" s="9" t="s">
        <v>32</v>
      </c>
      <c r="D5161" s="8">
        <v>-1.353E-2</v>
      </c>
    </row>
    <row r="5162" spans="1:4">
      <c r="A5162" t="str">
        <f t="shared" si="88"/>
        <v>760Loss Rate</v>
      </c>
      <c r="B5162">
        <v>760</v>
      </c>
      <c r="C5162" s="9" t="s">
        <v>33</v>
      </c>
      <c r="D5162" s="8">
        <v>0.4</v>
      </c>
    </row>
    <row r="5163" spans="1:4">
      <c r="A5163" t="str">
        <f t="shared" si="88"/>
        <v>760Win Rate</v>
      </c>
      <c r="B5163">
        <v>760</v>
      </c>
      <c r="C5163" s="9" t="s">
        <v>34</v>
      </c>
      <c r="D5163" s="8">
        <v>0.6</v>
      </c>
    </row>
    <row r="5164" spans="1:4">
      <c r="A5164" t="str">
        <f t="shared" si="88"/>
        <v>760Profit-Loss Ratio</v>
      </c>
      <c r="B5164">
        <v>760</v>
      </c>
      <c r="C5164" s="9" t="s">
        <v>26</v>
      </c>
      <c r="D5164" s="8">
        <v>0.23</v>
      </c>
    </row>
    <row r="5165" spans="1:4">
      <c r="A5165" t="str">
        <f t="shared" si="88"/>
        <v>760Alpha</v>
      </c>
      <c r="B5165">
        <v>760</v>
      </c>
      <c r="C5165" s="9" t="s">
        <v>23</v>
      </c>
      <c r="D5165" s="8">
        <v>-1.4E-2</v>
      </c>
    </row>
    <row r="5166" spans="1:4">
      <c r="A5166" t="str">
        <f t="shared" si="88"/>
        <v>760Beta</v>
      </c>
      <c r="B5166">
        <v>760</v>
      </c>
      <c r="C5166" s="9" t="s">
        <v>24</v>
      </c>
      <c r="D5166" s="8">
        <v>4.0000000000000001E-3</v>
      </c>
    </row>
    <row r="5167" spans="1:4">
      <c r="A5167" t="str">
        <f t="shared" si="88"/>
        <v>760Annual Standard Deviation</v>
      </c>
      <c r="B5167">
        <v>760</v>
      </c>
      <c r="C5167" s="9" t="s">
        <v>35</v>
      </c>
      <c r="D5167" s="8">
        <v>7.0000000000000001E-3</v>
      </c>
    </row>
    <row r="5168" spans="1:4">
      <c r="A5168" t="str">
        <f t="shared" si="88"/>
        <v>760Annual Variance</v>
      </c>
      <c r="B5168">
        <v>760</v>
      </c>
      <c r="C5168" s="9" t="s">
        <v>36</v>
      </c>
      <c r="D5168" s="8">
        <v>0</v>
      </c>
    </row>
    <row r="5169" spans="1:4">
      <c r="A5169" t="str">
        <f t="shared" si="88"/>
        <v>760Information Ratio</v>
      </c>
      <c r="B5169">
        <v>760</v>
      </c>
      <c r="C5169" s="9" t="s">
        <v>37</v>
      </c>
      <c r="D5169" s="8">
        <v>-0.97199999999999998</v>
      </c>
    </row>
    <row r="5170" spans="1:4">
      <c r="A5170" t="str">
        <f t="shared" si="88"/>
        <v>760Tracking Error</v>
      </c>
      <c r="B5170">
        <v>760</v>
      </c>
      <c r="C5170" s="9" t="s">
        <v>38</v>
      </c>
      <c r="D5170" s="8">
        <v>6.7000000000000004E-2</v>
      </c>
    </row>
    <row r="5171" spans="1:4">
      <c r="A5171" t="str">
        <f t="shared" si="88"/>
        <v>760Treynor Ratio</v>
      </c>
      <c r="B5171">
        <v>760</v>
      </c>
      <c r="C5171" s="9" t="s">
        <v>39</v>
      </c>
      <c r="D5171" s="8">
        <v>-3.8559999999999999</v>
      </c>
    </row>
    <row r="5172" spans="1:4">
      <c r="A5172" t="str">
        <f t="shared" si="88"/>
        <v>760Total Fees</v>
      </c>
      <c r="B5172">
        <v>760</v>
      </c>
      <c r="C5172" s="9" t="s">
        <v>40</v>
      </c>
      <c r="D5172" s="8">
        <v>0</v>
      </c>
    </row>
    <row r="5173" spans="1:4">
      <c r="A5173" t="str">
        <f t="shared" si="88"/>
        <v>760Estimated Strategy Capacity</v>
      </c>
      <c r="B5173">
        <v>760</v>
      </c>
      <c r="C5173" s="9" t="s">
        <v>41</v>
      </c>
      <c r="D5173" s="8">
        <v>6400000</v>
      </c>
    </row>
    <row r="5174" spans="1:4">
      <c r="A5174" t="str">
        <f t="shared" si="88"/>
        <v>761PSR</v>
      </c>
      <c r="B5174">
        <v>761</v>
      </c>
      <c r="C5174" s="9" t="s">
        <v>27</v>
      </c>
      <c r="D5174" s="8">
        <v>1.2999999999999999E-4</v>
      </c>
    </row>
    <row r="5175" spans="1:4">
      <c r="A5175" t="str">
        <f t="shared" si="88"/>
        <v>761Sharpe Ratio</v>
      </c>
      <c r="B5175">
        <v>761</v>
      </c>
      <c r="C5175" s="9" t="s">
        <v>1</v>
      </c>
      <c r="D5175" s="8">
        <v>-2.1230000000000002</v>
      </c>
    </row>
    <row r="5176" spans="1:4">
      <c r="A5176" t="str">
        <f t="shared" si="88"/>
        <v>761Total Trades</v>
      </c>
      <c r="B5176">
        <v>761</v>
      </c>
      <c r="C5176" s="9" t="s">
        <v>28</v>
      </c>
      <c r="D5176" s="8">
        <v>892</v>
      </c>
    </row>
    <row r="5177" spans="1:4">
      <c r="A5177" t="str">
        <f t="shared" si="88"/>
        <v>761Average Win</v>
      </c>
      <c r="B5177">
        <v>761</v>
      </c>
      <c r="C5177" s="9" t="s">
        <v>25</v>
      </c>
      <c r="D5177" s="8">
        <v>2.9999999999999997E-4</v>
      </c>
    </row>
    <row r="5178" spans="1:4">
      <c r="A5178" t="str">
        <f t="shared" si="88"/>
        <v>761Average Loss</v>
      </c>
      <c r="B5178">
        <v>761</v>
      </c>
      <c r="C5178" s="9" t="s">
        <v>29</v>
      </c>
      <c r="D5178" s="8">
        <v>-1.1999999999999999E-3</v>
      </c>
    </row>
    <row r="5179" spans="1:4">
      <c r="A5179" t="str">
        <f t="shared" si="88"/>
        <v>761Compounding Annual Return</v>
      </c>
      <c r="B5179">
        <v>761</v>
      </c>
      <c r="C5179" s="9" t="s">
        <v>30</v>
      </c>
      <c r="D5179" s="8">
        <v>-6.0019999999999997E-2</v>
      </c>
    </row>
    <row r="5180" spans="1:4">
      <c r="A5180" t="str">
        <f t="shared" si="88"/>
        <v>761Drawdown</v>
      </c>
      <c r="B5180">
        <v>761</v>
      </c>
      <c r="C5180" s="9" t="s">
        <v>8</v>
      </c>
      <c r="D5180" s="8">
        <v>4.2000000000000003E-2</v>
      </c>
    </row>
    <row r="5181" spans="1:4">
      <c r="A5181" t="str">
        <f t="shared" si="88"/>
        <v>761Expectancy</v>
      </c>
      <c r="B5181">
        <v>761</v>
      </c>
      <c r="C5181" s="9" t="s">
        <v>31</v>
      </c>
      <c r="D5181" s="8">
        <v>-0.251</v>
      </c>
    </row>
    <row r="5182" spans="1:4">
      <c r="A5182" t="str">
        <f t="shared" si="88"/>
        <v>761Net Profit</v>
      </c>
      <c r="B5182">
        <v>761</v>
      </c>
      <c r="C5182" s="9" t="s">
        <v>32</v>
      </c>
      <c r="D5182" s="8">
        <v>-4.02E-2</v>
      </c>
    </row>
    <row r="5183" spans="1:4">
      <c r="A5183" t="str">
        <f t="shared" si="88"/>
        <v>761Loss Rate</v>
      </c>
      <c r="B5183">
        <v>761</v>
      </c>
      <c r="C5183" s="9" t="s">
        <v>33</v>
      </c>
      <c r="D5183" s="8">
        <v>0.4</v>
      </c>
    </row>
    <row r="5184" spans="1:4">
      <c r="A5184" t="str">
        <f t="shared" si="88"/>
        <v>761Win Rate</v>
      </c>
      <c r="B5184">
        <v>761</v>
      </c>
      <c r="C5184" s="9" t="s">
        <v>34</v>
      </c>
      <c r="D5184" s="8">
        <v>0.6</v>
      </c>
    </row>
    <row r="5185" spans="1:4">
      <c r="A5185" t="str">
        <f t="shared" si="88"/>
        <v>761Profit-Loss Ratio</v>
      </c>
      <c r="B5185">
        <v>761</v>
      </c>
      <c r="C5185" s="9" t="s">
        <v>26</v>
      </c>
      <c r="D5185" s="8">
        <v>0.25</v>
      </c>
    </row>
    <row r="5186" spans="1:4">
      <c r="A5186" t="str">
        <f t="shared" si="88"/>
        <v>761Alpha</v>
      </c>
      <c r="B5186">
        <v>761</v>
      </c>
      <c r="C5186" s="9" t="s">
        <v>23</v>
      </c>
      <c r="D5186" s="8">
        <v>-4.2000000000000003E-2</v>
      </c>
    </row>
    <row r="5187" spans="1:4">
      <c r="A5187" t="str">
        <f t="shared" si="88"/>
        <v>761Beta</v>
      </c>
      <c r="B5187">
        <v>761</v>
      </c>
      <c r="C5187" s="9" t="s">
        <v>24</v>
      </c>
      <c r="D5187" s="8">
        <v>-5.0000000000000001E-3</v>
      </c>
    </row>
    <row r="5188" spans="1:4">
      <c r="A5188" t="str">
        <f t="shared" si="88"/>
        <v>761Annual Standard Deviation</v>
      </c>
      <c r="B5188">
        <v>761</v>
      </c>
      <c r="C5188" s="9" t="s">
        <v>35</v>
      </c>
      <c r="D5188" s="8">
        <v>0.02</v>
      </c>
    </row>
    <row r="5189" spans="1:4">
      <c r="A5189" t="str">
        <f t="shared" si="88"/>
        <v>761Annual Variance</v>
      </c>
      <c r="B5189">
        <v>761</v>
      </c>
      <c r="C5189" s="9" t="s">
        <v>36</v>
      </c>
      <c r="D5189" s="8">
        <v>0</v>
      </c>
    </row>
    <row r="5190" spans="1:4">
      <c r="A5190" t="str">
        <f t="shared" si="88"/>
        <v>761Information Ratio</v>
      </c>
      <c r="B5190">
        <v>761</v>
      </c>
      <c r="C5190" s="9" t="s">
        <v>37</v>
      </c>
      <c r="D5190" s="8">
        <v>-1.323</v>
      </c>
    </row>
    <row r="5191" spans="1:4">
      <c r="A5191" t="str">
        <f t="shared" si="88"/>
        <v>761Tracking Error</v>
      </c>
      <c r="B5191">
        <v>761</v>
      </c>
      <c r="C5191" s="9" t="s">
        <v>38</v>
      </c>
      <c r="D5191" s="8">
        <v>7.0999999999999994E-2</v>
      </c>
    </row>
    <row r="5192" spans="1:4">
      <c r="A5192" t="str">
        <f t="shared" si="88"/>
        <v>761Treynor Ratio</v>
      </c>
      <c r="B5192">
        <v>761</v>
      </c>
      <c r="C5192" s="9" t="s">
        <v>39</v>
      </c>
      <c r="D5192" s="8">
        <v>8.3770000000000007</v>
      </c>
    </row>
    <row r="5193" spans="1:4">
      <c r="A5193" t="str">
        <f t="shared" si="88"/>
        <v>761Total Fees</v>
      </c>
      <c r="B5193">
        <v>761</v>
      </c>
      <c r="C5193" s="9" t="s">
        <v>40</v>
      </c>
      <c r="D5193" s="8">
        <v>0</v>
      </c>
    </row>
    <row r="5194" spans="1:4">
      <c r="A5194" t="str">
        <f t="shared" si="88"/>
        <v>761Estimated Strategy Capacity</v>
      </c>
      <c r="B5194">
        <v>761</v>
      </c>
      <c r="C5194" s="9" t="s">
        <v>41</v>
      </c>
      <c r="D5194" s="8">
        <v>8200000</v>
      </c>
    </row>
    <row r="5195" spans="1:4">
      <c r="A5195" t="str">
        <f t="shared" si="88"/>
        <v>762PSR</v>
      </c>
      <c r="B5195">
        <v>762</v>
      </c>
      <c r="C5195" s="9" t="s">
        <v>27</v>
      </c>
      <c r="D5195" s="8">
        <v>7.9000000000000001E-4</v>
      </c>
    </row>
    <row r="5196" spans="1:4">
      <c r="A5196" t="str">
        <f t="shared" si="88"/>
        <v>762Sharpe Ratio</v>
      </c>
      <c r="B5196">
        <v>762</v>
      </c>
      <c r="C5196" s="9" t="s">
        <v>1</v>
      </c>
      <c r="D5196" s="8">
        <v>-1.994</v>
      </c>
    </row>
    <row r="5197" spans="1:4">
      <c r="A5197" t="str">
        <f t="shared" si="88"/>
        <v>762Total Trades</v>
      </c>
      <c r="B5197">
        <v>762</v>
      </c>
      <c r="C5197" s="9" t="s">
        <v>28</v>
      </c>
      <c r="D5197" s="8">
        <v>688</v>
      </c>
    </row>
    <row r="5198" spans="1:4">
      <c r="A5198" t="str">
        <f t="shared" si="88"/>
        <v>762Average Win</v>
      </c>
      <c r="B5198">
        <v>762</v>
      </c>
      <c r="C5198" s="9" t="s">
        <v>25</v>
      </c>
      <c r="D5198" s="8">
        <v>5.0000000000000001E-4</v>
      </c>
    </row>
    <row r="5199" spans="1:4">
      <c r="A5199" t="str">
        <f t="shared" si="88"/>
        <v>762Average Loss</v>
      </c>
      <c r="B5199">
        <v>762</v>
      </c>
      <c r="C5199" s="9" t="s">
        <v>29</v>
      </c>
      <c r="D5199" s="8">
        <v>-1.6999999999999999E-3</v>
      </c>
    </row>
    <row r="5200" spans="1:4">
      <c r="A5200" t="str">
        <f t="shared" si="88"/>
        <v>762Compounding Annual Return</v>
      </c>
      <c r="B5200">
        <v>762</v>
      </c>
      <c r="C5200" s="9" t="s">
        <v>30</v>
      </c>
      <c r="D5200" s="8">
        <v>-7.4969999999999995E-2</v>
      </c>
    </row>
    <row r="5201" spans="1:4">
      <c r="A5201" t="str">
        <f t="shared" si="88"/>
        <v>762Drawdown</v>
      </c>
      <c r="B5201">
        <v>762</v>
      </c>
      <c r="C5201" s="9" t="s">
        <v>8</v>
      </c>
      <c r="D5201" s="8">
        <v>5.8000000000000003E-2</v>
      </c>
    </row>
    <row r="5202" spans="1:4">
      <c r="A5202" t="str">
        <f t="shared" si="88"/>
        <v>762Expectancy</v>
      </c>
      <c r="B5202">
        <v>762</v>
      </c>
      <c r="C5202" s="9" t="s">
        <v>31</v>
      </c>
      <c r="D5202" s="8">
        <v>-0.23899999999999999</v>
      </c>
    </row>
    <row r="5203" spans="1:4">
      <c r="A5203" t="str">
        <f t="shared" si="88"/>
        <v>762Net Profit</v>
      </c>
      <c r="B5203">
        <v>762</v>
      </c>
      <c r="C5203" s="9" t="s">
        <v>32</v>
      </c>
      <c r="D5203" s="8">
        <v>-5.0349999999999999E-2</v>
      </c>
    </row>
    <row r="5204" spans="1:4">
      <c r="A5204" t="str">
        <f t="shared" si="88"/>
        <v>762Loss Rate</v>
      </c>
      <c r="B5204">
        <v>762</v>
      </c>
      <c r="C5204" s="9" t="s">
        <v>33</v>
      </c>
      <c r="D5204" s="8">
        <v>0.42</v>
      </c>
    </row>
    <row r="5205" spans="1:4">
      <c r="A5205" t="str">
        <f t="shared" si="88"/>
        <v>762Win Rate</v>
      </c>
      <c r="B5205">
        <v>762</v>
      </c>
      <c r="C5205" s="9" t="s">
        <v>34</v>
      </c>
      <c r="D5205" s="8">
        <v>0.57999999999999996</v>
      </c>
    </row>
    <row r="5206" spans="1:4">
      <c r="A5206" t="str">
        <f t="shared" si="88"/>
        <v>762Profit-Loss Ratio</v>
      </c>
      <c r="B5206">
        <v>762</v>
      </c>
      <c r="C5206" s="9" t="s">
        <v>26</v>
      </c>
      <c r="D5206" s="8">
        <v>0.31</v>
      </c>
    </row>
    <row r="5207" spans="1:4">
      <c r="A5207" t="str">
        <f t="shared" si="88"/>
        <v>762Alpha</v>
      </c>
      <c r="B5207">
        <v>762</v>
      </c>
      <c r="C5207" s="9" t="s">
        <v>23</v>
      </c>
      <c r="D5207" s="8">
        <v>-4.9000000000000002E-2</v>
      </c>
    </row>
    <row r="5208" spans="1:4">
      <c r="A5208" t="str">
        <f t="shared" si="88"/>
        <v>762Beta</v>
      </c>
      <c r="B5208">
        <v>762</v>
      </c>
      <c r="C5208" s="9" t="s">
        <v>24</v>
      </c>
      <c r="D5208" s="8">
        <v>-7.1999999999999995E-2</v>
      </c>
    </row>
    <row r="5209" spans="1:4">
      <c r="A5209" t="str">
        <f t="shared" si="88"/>
        <v>762Annual Standard Deviation</v>
      </c>
      <c r="B5209">
        <v>762</v>
      </c>
      <c r="C5209" s="9" t="s">
        <v>35</v>
      </c>
      <c r="D5209" s="8">
        <v>2.5999999999999999E-2</v>
      </c>
    </row>
    <row r="5210" spans="1:4">
      <c r="A5210" t="str">
        <f t="shared" si="88"/>
        <v>762Annual Variance</v>
      </c>
      <c r="B5210">
        <v>762</v>
      </c>
      <c r="C5210" s="9" t="s">
        <v>36</v>
      </c>
      <c r="D5210" s="8">
        <v>1E-3</v>
      </c>
    </row>
    <row r="5211" spans="1:4">
      <c r="A5211" t="str">
        <f t="shared" si="88"/>
        <v>762Information Ratio</v>
      </c>
      <c r="B5211">
        <v>762</v>
      </c>
      <c r="C5211" s="9" t="s">
        <v>37</v>
      </c>
      <c r="D5211" s="8">
        <v>-1.353</v>
      </c>
    </row>
    <row r="5212" spans="1:4">
      <c r="A5212" t="str">
        <f t="shared" si="88"/>
        <v>762Tracking Error</v>
      </c>
      <c r="B5212">
        <v>762</v>
      </c>
      <c r="C5212" s="9" t="s">
        <v>38</v>
      </c>
      <c r="D5212" s="8">
        <v>7.6999999999999999E-2</v>
      </c>
    </row>
    <row r="5213" spans="1:4">
      <c r="A5213" t="str">
        <f t="shared" si="88"/>
        <v>762Treynor Ratio</v>
      </c>
      <c r="B5213">
        <v>762</v>
      </c>
      <c r="C5213" s="9" t="s">
        <v>39</v>
      </c>
      <c r="D5213" s="8">
        <v>0.72799999999999998</v>
      </c>
    </row>
    <row r="5214" spans="1:4">
      <c r="A5214" t="str">
        <f t="shared" si="88"/>
        <v>762Total Fees</v>
      </c>
      <c r="B5214">
        <v>762</v>
      </c>
      <c r="C5214" s="9" t="s">
        <v>40</v>
      </c>
      <c r="D5214" s="8">
        <v>0</v>
      </c>
    </row>
    <row r="5215" spans="1:4">
      <c r="A5215" t="str">
        <f t="shared" si="88"/>
        <v>762Estimated Strategy Capacity</v>
      </c>
      <c r="B5215">
        <v>762</v>
      </c>
      <c r="C5215" s="9" t="s">
        <v>41</v>
      </c>
      <c r="D5215" s="8">
        <v>8200000</v>
      </c>
    </row>
    <row r="5216" spans="1:4">
      <c r="A5216" t="str">
        <f t="shared" si="88"/>
        <v>763PSR</v>
      </c>
      <c r="B5216">
        <v>763</v>
      </c>
      <c r="C5216" s="9" t="s">
        <v>27</v>
      </c>
      <c r="D5216" s="8">
        <v>5.3659999999999999E-2</v>
      </c>
    </row>
    <row r="5217" spans="1:4">
      <c r="A5217" t="str">
        <f t="shared" si="88"/>
        <v>763Sharpe Ratio</v>
      </c>
      <c r="B5217">
        <v>763</v>
      </c>
      <c r="C5217" s="9" t="s">
        <v>1</v>
      </c>
      <c r="D5217" s="8">
        <v>-0.65900000000000003</v>
      </c>
    </row>
    <row r="5218" spans="1:4">
      <c r="A5218" t="str">
        <f t="shared" ref="A5218:A5281" si="89">B5218&amp;C5218</f>
        <v>763Total Trades</v>
      </c>
      <c r="B5218">
        <v>763</v>
      </c>
      <c r="C5218" s="9" t="s">
        <v>28</v>
      </c>
      <c r="D5218" s="8">
        <v>873</v>
      </c>
    </row>
    <row r="5219" spans="1:4">
      <c r="A5219" t="str">
        <f t="shared" si="89"/>
        <v>763Average Win</v>
      </c>
      <c r="B5219">
        <v>763</v>
      </c>
      <c r="C5219" s="9" t="s">
        <v>25</v>
      </c>
      <c r="D5219" s="8">
        <v>2.0000000000000001E-4</v>
      </c>
    </row>
    <row r="5220" spans="1:4">
      <c r="A5220" t="str">
        <f t="shared" si="89"/>
        <v>763Average Loss</v>
      </c>
      <c r="B5220">
        <v>763</v>
      </c>
      <c r="C5220" s="9" t="s">
        <v>29</v>
      </c>
      <c r="D5220" s="8">
        <v>-4.0000000000000002E-4</v>
      </c>
    </row>
    <row r="5221" spans="1:4">
      <c r="A5221" t="str">
        <f t="shared" si="89"/>
        <v>763Compounding Annual Return</v>
      </c>
      <c r="B5221">
        <v>763</v>
      </c>
      <c r="C5221" s="9" t="s">
        <v>30</v>
      </c>
      <c r="D5221" s="8">
        <v>-7.1000000000000004E-3</v>
      </c>
    </row>
    <row r="5222" spans="1:4">
      <c r="A5222" t="str">
        <f t="shared" si="89"/>
        <v>763Drawdown</v>
      </c>
      <c r="B5222">
        <v>763</v>
      </c>
      <c r="C5222" s="9" t="s">
        <v>8</v>
      </c>
      <c r="D5222" s="8">
        <v>1.4E-2</v>
      </c>
    </row>
    <row r="5223" spans="1:4">
      <c r="A5223" t="str">
        <f t="shared" si="89"/>
        <v>763Expectancy</v>
      </c>
      <c r="B5223">
        <v>763</v>
      </c>
      <c r="C5223" s="9" t="s">
        <v>31</v>
      </c>
      <c r="D5223" s="8">
        <v>-0.105</v>
      </c>
    </row>
    <row r="5224" spans="1:4">
      <c r="A5224" t="str">
        <f t="shared" si="89"/>
        <v>763Net Profit</v>
      </c>
      <c r="B5224">
        <v>763</v>
      </c>
      <c r="C5224" s="9" t="s">
        <v>32</v>
      </c>
      <c r="D5224" s="8">
        <v>-4.7099999999999998E-3</v>
      </c>
    </row>
    <row r="5225" spans="1:4">
      <c r="A5225" t="str">
        <f t="shared" si="89"/>
        <v>763Loss Rate</v>
      </c>
      <c r="B5225">
        <v>763</v>
      </c>
      <c r="C5225" s="9" t="s">
        <v>33</v>
      </c>
      <c r="D5225" s="8">
        <v>0.37</v>
      </c>
    </row>
    <row r="5226" spans="1:4">
      <c r="A5226" t="str">
        <f t="shared" si="89"/>
        <v>763Win Rate</v>
      </c>
      <c r="B5226">
        <v>763</v>
      </c>
      <c r="C5226" s="9" t="s">
        <v>34</v>
      </c>
      <c r="D5226" s="8">
        <v>0.63</v>
      </c>
    </row>
    <row r="5227" spans="1:4">
      <c r="A5227" t="str">
        <f t="shared" si="89"/>
        <v>763Profit-Loss Ratio</v>
      </c>
      <c r="B5227">
        <v>763</v>
      </c>
      <c r="C5227" s="9" t="s">
        <v>26</v>
      </c>
      <c r="D5227" s="8">
        <v>0.43</v>
      </c>
    </row>
    <row r="5228" spans="1:4">
      <c r="A5228" t="str">
        <f t="shared" si="89"/>
        <v>763Alpha</v>
      </c>
      <c r="B5228">
        <v>763</v>
      </c>
      <c r="C5228" s="9" t="s">
        <v>23</v>
      </c>
      <c r="D5228" s="8">
        <v>-5.0000000000000001E-3</v>
      </c>
    </row>
    <row r="5229" spans="1:4">
      <c r="A5229" t="str">
        <f t="shared" si="89"/>
        <v>763Beta</v>
      </c>
      <c r="B5229">
        <v>763</v>
      </c>
      <c r="C5229" s="9" t="s">
        <v>24</v>
      </c>
      <c r="D5229" s="8">
        <v>-7.0000000000000001E-3</v>
      </c>
    </row>
    <row r="5230" spans="1:4">
      <c r="A5230" t="str">
        <f t="shared" si="89"/>
        <v>763Annual Standard Deviation</v>
      </c>
      <c r="B5230">
        <v>763</v>
      </c>
      <c r="C5230" s="9" t="s">
        <v>35</v>
      </c>
      <c r="D5230" s="8">
        <v>7.0000000000000001E-3</v>
      </c>
    </row>
    <row r="5231" spans="1:4">
      <c r="A5231" t="str">
        <f t="shared" si="89"/>
        <v>763Annual Variance</v>
      </c>
      <c r="B5231">
        <v>763</v>
      </c>
      <c r="C5231" s="9" t="s">
        <v>36</v>
      </c>
      <c r="D5231" s="8">
        <v>0</v>
      </c>
    </row>
    <row r="5232" spans="1:4">
      <c r="A5232" t="str">
        <f t="shared" si="89"/>
        <v>763Information Ratio</v>
      </c>
      <c r="B5232">
        <v>763</v>
      </c>
      <c r="C5232" s="9" t="s">
        <v>37</v>
      </c>
      <c r="D5232" s="8">
        <v>-0.82599999999999996</v>
      </c>
    </row>
    <row r="5233" spans="1:4">
      <c r="A5233" t="str">
        <f t="shared" si="89"/>
        <v>763Tracking Error</v>
      </c>
      <c r="B5233">
        <v>763</v>
      </c>
      <c r="C5233" s="9" t="s">
        <v>38</v>
      </c>
      <c r="D5233" s="8">
        <v>6.8000000000000005E-2</v>
      </c>
    </row>
    <row r="5234" spans="1:4">
      <c r="A5234" t="str">
        <f t="shared" si="89"/>
        <v>763Treynor Ratio</v>
      </c>
      <c r="B5234">
        <v>763</v>
      </c>
      <c r="C5234" s="9" t="s">
        <v>39</v>
      </c>
      <c r="D5234" s="8">
        <v>0.68100000000000005</v>
      </c>
    </row>
    <row r="5235" spans="1:4">
      <c r="A5235" t="str">
        <f t="shared" si="89"/>
        <v>763Total Fees</v>
      </c>
      <c r="B5235">
        <v>763</v>
      </c>
      <c r="C5235" s="9" t="s">
        <v>40</v>
      </c>
      <c r="D5235" s="8">
        <v>0</v>
      </c>
    </row>
    <row r="5236" spans="1:4">
      <c r="A5236" t="str">
        <f t="shared" si="89"/>
        <v>763Estimated Strategy Capacity</v>
      </c>
      <c r="B5236">
        <v>763</v>
      </c>
      <c r="C5236" s="9" t="s">
        <v>41</v>
      </c>
      <c r="D5236" s="8">
        <v>22000000</v>
      </c>
    </row>
    <row r="5237" spans="1:4">
      <c r="A5237" t="str">
        <f t="shared" si="89"/>
        <v>764PSR</v>
      </c>
      <c r="B5237">
        <v>764</v>
      </c>
      <c r="C5237" s="9" t="s">
        <v>27</v>
      </c>
      <c r="D5237" s="8">
        <v>2.1190000000000001E-2</v>
      </c>
    </row>
    <row r="5238" spans="1:4">
      <c r="A5238" t="str">
        <f t="shared" si="89"/>
        <v>764Sharpe Ratio</v>
      </c>
      <c r="B5238">
        <v>764</v>
      </c>
      <c r="C5238" s="9" t="s">
        <v>1</v>
      </c>
      <c r="D5238" s="8">
        <v>-1.085</v>
      </c>
    </row>
    <row r="5239" spans="1:4">
      <c r="A5239" t="str">
        <f t="shared" si="89"/>
        <v>764Total Trades</v>
      </c>
      <c r="B5239">
        <v>764</v>
      </c>
      <c r="C5239" s="9" t="s">
        <v>28</v>
      </c>
      <c r="D5239" s="8">
        <v>711</v>
      </c>
    </row>
    <row r="5240" spans="1:4">
      <c r="A5240" t="str">
        <f t="shared" si="89"/>
        <v>764Average Win</v>
      </c>
      <c r="B5240">
        <v>764</v>
      </c>
      <c r="C5240" s="9" t="s">
        <v>25</v>
      </c>
      <c r="D5240" s="8">
        <v>5.0000000000000001E-4</v>
      </c>
    </row>
    <row r="5241" spans="1:4">
      <c r="A5241" t="str">
        <f t="shared" si="89"/>
        <v>764Average Loss</v>
      </c>
      <c r="B5241">
        <v>764</v>
      </c>
      <c r="C5241" s="9" t="s">
        <v>29</v>
      </c>
      <c r="D5241" s="8">
        <v>-1.1999999999999999E-3</v>
      </c>
    </row>
    <row r="5242" spans="1:4">
      <c r="A5242" t="str">
        <f t="shared" si="89"/>
        <v>764Compounding Annual Return</v>
      </c>
      <c r="B5242">
        <v>764</v>
      </c>
      <c r="C5242" s="9" t="s">
        <v>30</v>
      </c>
      <c r="D5242" s="8">
        <v>-2.9489999999999999E-2</v>
      </c>
    </row>
    <row r="5243" spans="1:4">
      <c r="A5243" t="str">
        <f t="shared" si="89"/>
        <v>764Drawdown</v>
      </c>
      <c r="B5243">
        <v>764</v>
      </c>
      <c r="C5243" s="9" t="s">
        <v>8</v>
      </c>
      <c r="D5243" s="8">
        <v>3.4000000000000002E-2</v>
      </c>
    </row>
    <row r="5244" spans="1:4">
      <c r="A5244" t="str">
        <f t="shared" si="89"/>
        <v>764Expectancy</v>
      </c>
      <c r="B5244">
        <v>764</v>
      </c>
      <c r="C5244" s="9" t="s">
        <v>31</v>
      </c>
      <c r="D5244" s="8">
        <v>-0.14899999999999999</v>
      </c>
    </row>
    <row r="5245" spans="1:4">
      <c r="A5245" t="str">
        <f t="shared" si="89"/>
        <v>764Net Profit</v>
      </c>
      <c r="B5245">
        <v>764</v>
      </c>
      <c r="C5245" s="9" t="s">
        <v>32</v>
      </c>
      <c r="D5245" s="8">
        <v>-1.9640000000000001E-2</v>
      </c>
    </row>
    <row r="5246" spans="1:4">
      <c r="A5246" t="str">
        <f t="shared" si="89"/>
        <v>764Loss Rate</v>
      </c>
      <c r="B5246">
        <v>764</v>
      </c>
      <c r="C5246" s="9" t="s">
        <v>33</v>
      </c>
      <c r="D5246" s="8">
        <v>0.4</v>
      </c>
    </row>
    <row r="5247" spans="1:4">
      <c r="A5247" t="str">
        <f t="shared" si="89"/>
        <v>764Win Rate</v>
      </c>
      <c r="B5247">
        <v>764</v>
      </c>
      <c r="C5247" s="9" t="s">
        <v>34</v>
      </c>
      <c r="D5247" s="8">
        <v>0.6</v>
      </c>
    </row>
    <row r="5248" spans="1:4">
      <c r="A5248" t="str">
        <f t="shared" si="89"/>
        <v>764Profit-Loss Ratio</v>
      </c>
      <c r="B5248">
        <v>764</v>
      </c>
      <c r="C5248" s="9" t="s">
        <v>26</v>
      </c>
      <c r="D5248" s="8">
        <v>0.41</v>
      </c>
    </row>
    <row r="5249" spans="1:4">
      <c r="A5249" t="str">
        <f t="shared" si="89"/>
        <v>764Alpha</v>
      </c>
      <c r="B5249">
        <v>764</v>
      </c>
      <c r="C5249" s="9" t="s">
        <v>23</v>
      </c>
      <c r="D5249" s="8">
        <v>-0.02</v>
      </c>
    </row>
    <row r="5250" spans="1:4">
      <c r="A5250" t="str">
        <f t="shared" si="89"/>
        <v>764Beta</v>
      </c>
      <c r="B5250">
        <v>764</v>
      </c>
      <c r="C5250" s="9" t="s">
        <v>24</v>
      </c>
      <c r="D5250" s="8">
        <v>-5.0000000000000001E-3</v>
      </c>
    </row>
    <row r="5251" spans="1:4">
      <c r="A5251" t="str">
        <f t="shared" si="89"/>
        <v>764Annual Standard Deviation</v>
      </c>
      <c r="B5251">
        <v>764</v>
      </c>
      <c r="C5251" s="9" t="s">
        <v>35</v>
      </c>
      <c r="D5251" s="8">
        <v>1.9E-2</v>
      </c>
    </row>
    <row r="5252" spans="1:4">
      <c r="A5252" t="str">
        <f t="shared" si="89"/>
        <v>764Annual Variance</v>
      </c>
      <c r="B5252">
        <v>764</v>
      </c>
      <c r="C5252" s="9" t="s">
        <v>36</v>
      </c>
      <c r="D5252" s="8">
        <v>0</v>
      </c>
    </row>
    <row r="5253" spans="1:4">
      <c r="A5253" t="str">
        <f t="shared" si="89"/>
        <v>764Information Ratio</v>
      </c>
      <c r="B5253">
        <v>764</v>
      </c>
      <c r="C5253" s="9" t="s">
        <v>37</v>
      </c>
      <c r="D5253" s="8">
        <v>-1.0309999999999999</v>
      </c>
    </row>
    <row r="5254" spans="1:4">
      <c r="A5254" t="str">
        <f t="shared" si="89"/>
        <v>764Tracking Error</v>
      </c>
      <c r="B5254">
        <v>764</v>
      </c>
      <c r="C5254" s="9" t="s">
        <v>38</v>
      </c>
      <c r="D5254" s="8">
        <v>7.0000000000000007E-2</v>
      </c>
    </row>
    <row r="5255" spans="1:4">
      <c r="A5255" t="str">
        <f t="shared" si="89"/>
        <v>764Treynor Ratio</v>
      </c>
      <c r="B5255">
        <v>764</v>
      </c>
      <c r="C5255" s="9" t="s">
        <v>39</v>
      </c>
      <c r="D5255" s="8">
        <v>3.7839999999999998</v>
      </c>
    </row>
    <row r="5256" spans="1:4">
      <c r="A5256" t="str">
        <f t="shared" si="89"/>
        <v>764Total Fees</v>
      </c>
      <c r="B5256">
        <v>764</v>
      </c>
      <c r="C5256" s="9" t="s">
        <v>40</v>
      </c>
      <c r="D5256" s="8">
        <v>0</v>
      </c>
    </row>
    <row r="5257" spans="1:4">
      <c r="A5257" t="str">
        <f t="shared" si="89"/>
        <v>764Estimated Strategy Capacity</v>
      </c>
      <c r="B5257">
        <v>764</v>
      </c>
      <c r="C5257" s="9" t="s">
        <v>41</v>
      </c>
      <c r="D5257" s="8">
        <v>8000000</v>
      </c>
    </row>
    <row r="5258" spans="1:4">
      <c r="A5258" t="str">
        <f t="shared" si="89"/>
        <v>765PSR</v>
      </c>
      <c r="B5258">
        <v>765</v>
      </c>
      <c r="C5258" s="9" t="s">
        <v>27</v>
      </c>
      <c r="D5258" s="8">
        <v>3.5450000000000002E-2</v>
      </c>
    </row>
    <row r="5259" spans="1:4">
      <c r="A5259" t="str">
        <f t="shared" si="89"/>
        <v>765Sharpe Ratio</v>
      </c>
      <c r="B5259">
        <v>765</v>
      </c>
      <c r="C5259" s="9" t="s">
        <v>1</v>
      </c>
      <c r="D5259" s="8">
        <v>-0.80100000000000005</v>
      </c>
    </row>
    <row r="5260" spans="1:4">
      <c r="A5260" t="str">
        <f t="shared" si="89"/>
        <v>765Total Trades</v>
      </c>
      <c r="B5260">
        <v>765</v>
      </c>
      <c r="C5260" s="9" t="s">
        <v>28</v>
      </c>
      <c r="D5260" s="8">
        <v>567</v>
      </c>
    </row>
    <row r="5261" spans="1:4">
      <c r="A5261" t="str">
        <f t="shared" si="89"/>
        <v>765Average Win</v>
      </c>
      <c r="B5261">
        <v>765</v>
      </c>
      <c r="C5261" s="9" t="s">
        <v>25</v>
      </c>
      <c r="D5261" s="8">
        <v>6.9999999999999999E-4</v>
      </c>
    </row>
    <row r="5262" spans="1:4">
      <c r="A5262" t="str">
        <f t="shared" si="89"/>
        <v>765Average Loss</v>
      </c>
      <c r="B5262">
        <v>765</v>
      </c>
      <c r="C5262" s="9" t="s">
        <v>29</v>
      </c>
      <c r="D5262" s="8">
        <v>-1.5E-3</v>
      </c>
    </row>
    <row r="5263" spans="1:4">
      <c r="A5263" t="str">
        <f t="shared" si="89"/>
        <v>765Compounding Annual Return</v>
      </c>
      <c r="B5263">
        <v>765</v>
      </c>
      <c r="C5263" s="9" t="s">
        <v>30</v>
      </c>
      <c r="D5263" s="8">
        <v>-2.5260000000000001E-2</v>
      </c>
    </row>
    <row r="5264" spans="1:4">
      <c r="A5264" t="str">
        <f t="shared" si="89"/>
        <v>765Drawdown</v>
      </c>
      <c r="B5264">
        <v>765</v>
      </c>
      <c r="C5264" s="9" t="s">
        <v>8</v>
      </c>
      <c r="D5264" s="8">
        <v>3.2000000000000001E-2</v>
      </c>
    </row>
    <row r="5265" spans="1:4">
      <c r="A5265" t="str">
        <f t="shared" si="89"/>
        <v>765Expectancy</v>
      </c>
      <c r="B5265">
        <v>765</v>
      </c>
      <c r="C5265" s="9" t="s">
        <v>31</v>
      </c>
      <c r="D5265" s="8">
        <v>-0.109</v>
      </c>
    </row>
    <row r="5266" spans="1:4">
      <c r="A5266" t="str">
        <f t="shared" si="89"/>
        <v>765Net Profit</v>
      </c>
      <c r="B5266">
        <v>765</v>
      </c>
      <c r="C5266" s="9" t="s">
        <v>32</v>
      </c>
      <c r="D5266" s="8">
        <v>-1.6820000000000002E-2</v>
      </c>
    </row>
    <row r="5267" spans="1:4">
      <c r="A5267" t="str">
        <f t="shared" si="89"/>
        <v>765Loss Rate</v>
      </c>
      <c r="B5267">
        <v>765</v>
      </c>
      <c r="C5267" s="9" t="s">
        <v>33</v>
      </c>
      <c r="D5267" s="8">
        <v>0.38</v>
      </c>
    </row>
    <row r="5268" spans="1:4">
      <c r="A5268" t="str">
        <f t="shared" si="89"/>
        <v>765Win Rate</v>
      </c>
      <c r="B5268">
        <v>765</v>
      </c>
      <c r="C5268" s="9" t="s">
        <v>34</v>
      </c>
      <c r="D5268" s="8">
        <v>0.62</v>
      </c>
    </row>
    <row r="5269" spans="1:4">
      <c r="A5269" t="str">
        <f t="shared" si="89"/>
        <v>765Profit-Loss Ratio</v>
      </c>
      <c r="B5269">
        <v>765</v>
      </c>
      <c r="C5269" s="9" t="s">
        <v>26</v>
      </c>
      <c r="D5269" s="8">
        <v>0.43</v>
      </c>
    </row>
    <row r="5270" spans="1:4">
      <c r="A5270" t="str">
        <f t="shared" si="89"/>
        <v>765Alpha</v>
      </c>
      <c r="B5270">
        <v>765</v>
      </c>
      <c r="C5270" s="9" t="s">
        <v>23</v>
      </c>
      <c r="D5270" s="8">
        <v>-1.7000000000000001E-2</v>
      </c>
    </row>
    <row r="5271" spans="1:4">
      <c r="A5271" t="str">
        <f t="shared" si="89"/>
        <v>765Beta</v>
      </c>
      <c r="B5271">
        <v>765</v>
      </c>
      <c r="C5271" s="9" t="s">
        <v>24</v>
      </c>
      <c r="D5271" s="8">
        <v>-1.4E-2</v>
      </c>
    </row>
    <row r="5272" spans="1:4">
      <c r="A5272" t="str">
        <f t="shared" si="89"/>
        <v>765Annual Standard Deviation</v>
      </c>
      <c r="B5272">
        <v>765</v>
      </c>
      <c r="C5272" s="9" t="s">
        <v>35</v>
      </c>
      <c r="D5272" s="8">
        <v>2.1999999999999999E-2</v>
      </c>
    </row>
    <row r="5273" spans="1:4">
      <c r="A5273" t="str">
        <f t="shared" si="89"/>
        <v>765Annual Variance</v>
      </c>
      <c r="B5273">
        <v>765</v>
      </c>
      <c r="C5273" s="9" t="s">
        <v>36</v>
      </c>
      <c r="D5273" s="8">
        <v>0</v>
      </c>
    </row>
    <row r="5274" spans="1:4">
      <c r="A5274" t="str">
        <f t="shared" si="89"/>
        <v>765Information Ratio</v>
      </c>
      <c r="B5274">
        <v>765</v>
      </c>
      <c r="C5274" s="9" t="s">
        <v>37</v>
      </c>
      <c r="D5274" s="8">
        <v>-0.96899999999999997</v>
      </c>
    </row>
    <row r="5275" spans="1:4">
      <c r="A5275" t="str">
        <f t="shared" si="89"/>
        <v>765Tracking Error</v>
      </c>
      <c r="B5275">
        <v>765</v>
      </c>
      <c r="C5275" s="9" t="s">
        <v>38</v>
      </c>
      <c r="D5275" s="8">
        <v>7.1999999999999995E-2</v>
      </c>
    </row>
    <row r="5276" spans="1:4">
      <c r="A5276" t="str">
        <f t="shared" si="89"/>
        <v>765Treynor Ratio</v>
      </c>
      <c r="B5276">
        <v>765</v>
      </c>
      <c r="C5276" s="9" t="s">
        <v>39</v>
      </c>
      <c r="D5276" s="8">
        <v>1.21</v>
      </c>
    </row>
    <row r="5277" spans="1:4">
      <c r="A5277" t="str">
        <f t="shared" si="89"/>
        <v>765Total Fees</v>
      </c>
      <c r="B5277">
        <v>765</v>
      </c>
      <c r="C5277" s="9" t="s">
        <v>40</v>
      </c>
      <c r="D5277" s="8">
        <v>0</v>
      </c>
    </row>
    <row r="5278" spans="1:4">
      <c r="A5278" t="str">
        <f t="shared" si="89"/>
        <v>765Estimated Strategy Capacity</v>
      </c>
      <c r="B5278">
        <v>765</v>
      </c>
      <c r="C5278" s="9" t="s">
        <v>41</v>
      </c>
      <c r="D5278" s="8">
        <v>8400000</v>
      </c>
    </row>
    <row r="5279" spans="1:4">
      <c r="A5279" t="str">
        <f t="shared" si="89"/>
        <v>784PSR</v>
      </c>
      <c r="B5279">
        <v>784</v>
      </c>
      <c r="C5279" s="9" t="s">
        <v>27</v>
      </c>
      <c r="D5279" s="8">
        <v>5.5300000000000002E-2</v>
      </c>
    </row>
    <row r="5280" spans="1:4">
      <c r="A5280" t="str">
        <f t="shared" si="89"/>
        <v>784Sharpe Ratio</v>
      </c>
      <c r="B5280">
        <v>784</v>
      </c>
      <c r="C5280" s="9" t="s">
        <v>1</v>
      </c>
      <c r="D5280" s="8">
        <v>-0.70099999999999996</v>
      </c>
    </row>
    <row r="5281" spans="1:4">
      <c r="A5281" t="str">
        <f t="shared" si="89"/>
        <v>784Total Trades</v>
      </c>
      <c r="B5281">
        <v>784</v>
      </c>
      <c r="C5281" s="9" t="s">
        <v>28</v>
      </c>
      <c r="D5281" s="8">
        <v>1617</v>
      </c>
    </row>
    <row r="5282" spans="1:4">
      <c r="A5282" t="str">
        <f t="shared" ref="A5282:A5345" si="90">B5282&amp;C5282</f>
        <v>784Average Win</v>
      </c>
      <c r="B5282">
        <v>784</v>
      </c>
      <c r="C5282" s="9" t="s">
        <v>25</v>
      </c>
      <c r="D5282" s="8">
        <v>2.9999999999999997E-4</v>
      </c>
    </row>
    <row r="5283" spans="1:4">
      <c r="A5283" t="str">
        <f t="shared" si="90"/>
        <v>784Average Loss</v>
      </c>
      <c r="B5283">
        <v>784</v>
      </c>
      <c r="C5283" s="9" t="s">
        <v>29</v>
      </c>
      <c r="D5283" s="8">
        <v>-5.9999999999999995E-4</v>
      </c>
    </row>
    <row r="5284" spans="1:4">
      <c r="A5284" t="str">
        <f t="shared" si="90"/>
        <v>784Compounding Annual Return</v>
      </c>
      <c r="B5284">
        <v>784</v>
      </c>
      <c r="C5284" s="9" t="s">
        <v>30</v>
      </c>
      <c r="D5284" s="8">
        <v>-1.0359999999999999E-2</v>
      </c>
    </row>
    <row r="5285" spans="1:4">
      <c r="A5285" t="str">
        <f t="shared" si="90"/>
        <v>784Drawdown</v>
      </c>
      <c r="B5285">
        <v>784</v>
      </c>
      <c r="C5285" s="9" t="s">
        <v>8</v>
      </c>
      <c r="D5285" s="8">
        <v>8.9999999999999993E-3</v>
      </c>
    </row>
    <row r="5286" spans="1:4">
      <c r="A5286" t="str">
        <f t="shared" si="90"/>
        <v>784Expectancy</v>
      </c>
      <c r="B5286">
        <v>784</v>
      </c>
      <c r="C5286" s="9" t="s">
        <v>31</v>
      </c>
      <c r="D5286" s="8">
        <v>-7.9000000000000001E-2</v>
      </c>
    </row>
    <row r="5287" spans="1:4">
      <c r="A5287" t="str">
        <f t="shared" si="90"/>
        <v>784Net Profit</v>
      </c>
      <c r="B5287">
        <v>784</v>
      </c>
      <c r="C5287" s="9" t="s">
        <v>32</v>
      </c>
      <c r="D5287" s="8">
        <v>-6.8799999999999998E-3</v>
      </c>
    </row>
    <row r="5288" spans="1:4">
      <c r="A5288" t="str">
        <f t="shared" si="90"/>
        <v>784Loss Rate</v>
      </c>
      <c r="B5288">
        <v>784</v>
      </c>
      <c r="C5288" s="9" t="s">
        <v>33</v>
      </c>
      <c r="D5288" s="8">
        <v>0.37</v>
      </c>
    </row>
    <row r="5289" spans="1:4">
      <c r="A5289" t="str">
        <f t="shared" si="90"/>
        <v>784Win Rate</v>
      </c>
      <c r="B5289">
        <v>784</v>
      </c>
      <c r="C5289" s="9" t="s">
        <v>34</v>
      </c>
      <c r="D5289" s="8">
        <v>0.63</v>
      </c>
    </row>
    <row r="5290" spans="1:4">
      <c r="A5290" t="str">
        <f t="shared" si="90"/>
        <v>784Profit-Loss Ratio</v>
      </c>
      <c r="B5290">
        <v>784</v>
      </c>
      <c r="C5290" s="9" t="s">
        <v>26</v>
      </c>
      <c r="D5290" s="8">
        <v>0.47</v>
      </c>
    </row>
    <row r="5291" spans="1:4">
      <c r="A5291" t="str">
        <f t="shared" si="90"/>
        <v>784Alpha</v>
      </c>
      <c r="B5291">
        <v>784</v>
      </c>
      <c r="C5291" s="9" t="s">
        <v>23</v>
      </c>
      <c r="D5291" s="8">
        <v>-8.0000000000000002E-3</v>
      </c>
    </row>
    <row r="5292" spans="1:4">
      <c r="A5292" t="str">
        <f t="shared" si="90"/>
        <v>784Beta</v>
      </c>
      <c r="B5292">
        <v>784</v>
      </c>
      <c r="C5292" s="9" t="s">
        <v>24</v>
      </c>
      <c r="D5292" s="8">
        <v>2.1000000000000001E-2</v>
      </c>
    </row>
    <row r="5293" spans="1:4">
      <c r="A5293" t="str">
        <f t="shared" si="90"/>
        <v>784Annual Standard Deviation</v>
      </c>
      <c r="B5293">
        <v>784</v>
      </c>
      <c r="C5293" s="9" t="s">
        <v>35</v>
      </c>
      <c r="D5293" s="8">
        <v>0.01</v>
      </c>
    </row>
    <row r="5294" spans="1:4">
      <c r="A5294" t="str">
        <f t="shared" si="90"/>
        <v>784Annual Variance</v>
      </c>
      <c r="B5294">
        <v>784</v>
      </c>
      <c r="C5294" s="9" t="s">
        <v>36</v>
      </c>
      <c r="D5294" s="8">
        <v>0</v>
      </c>
    </row>
    <row r="5295" spans="1:4">
      <c r="A5295" t="str">
        <f t="shared" si="90"/>
        <v>784Information Ratio</v>
      </c>
      <c r="B5295">
        <v>784</v>
      </c>
      <c r="C5295" s="9" t="s">
        <v>37</v>
      </c>
      <c r="D5295" s="8">
        <v>-0.88800000000000001</v>
      </c>
    </row>
    <row r="5296" spans="1:4">
      <c r="A5296" t="str">
        <f t="shared" si="90"/>
        <v>784Tracking Error</v>
      </c>
      <c r="B5296">
        <v>784</v>
      </c>
      <c r="C5296" s="9" t="s">
        <v>38</v>
      </c>
      <c r="D5296" s="8">
        <v>6.7000000000000004E-2</v>
      </c>
    </row>
    <row r="5297" spans="1:4">
      <c r="A5297" t="str">
        <f t="shared" si="90"/>
        <v>784Treynor Ratio</v>
      </c>
      <c r="B5297">
        <v>784</v>
      </c>
      <c r="C5297" s="9" t="s">
        <v>39</v>
      </c>
      <c r="D5297" s="8">
        <v>-0.34499999999999997</v>
      </c>
    </row>
    <row r="5298" spans="1:4">
      <c r="A5298" t="str">
        <f t="shared" si="90"/>
        <v>784Total Fees</v>
      </c>
      <c r="B5298">
        <v>784</v>
      </c>
      <c r="C5298" s="9" t="s">
        <v>40</v>
      </c>
      <c r="D5298" s="8">
        <v>0</v>
      </c>
    </row>
    <row r="5299" spans="1:4">
      <c r="A5299" t="str">
        <f t="shared" si="90"/>
        <v>784Estimated Strategy Capacity</v>
      </c>
      <c r="B5299">
        <v>784</v>
      </c>
      <c r="C5299" s="9" t="s">
        <v>41</v>
      </c>
      <c r="D5299" s="8">
        <v>3100000</v>
      </c>
    </row>
    <row r="5300" spans="1:4">
      <c r="A5300" t="str">
        <f t="shared" si="90"/>
        <v>785PSR</v>
      </c>
      <c r="B5300">
        <v>785</v>
      </c>
      <c r="C5300" s="9" t="s">
        <v>27</v>
      </c>
      <c r="D5300" s="8">
        <v>4.1700000000000001E-3</v>
      </c>
    </row>
    <row r="5301" spans="1:4">
      <c r="A5301" t="str">
        <f t="shared" si="90"/>
        <v>785Sharpe Ratio</v>
      </c>
      <c r="B5301">
        <v>785</v>
      </c>
      <c r="C5301" s="9" t="s">
        <v>1</v>
      </c>
      <c r="D5301" s="8">
        <v>-1.5920000000000001</v>
      </c>
    </row>
    <row r="5302" spans="1:4">
      <c r="A5302" t="str">
        <f t="shared" si="90"/>
        <v>785Total Trades</v>
      </c>
      <c r="B5302">
        <v>785</v>
      </c>
      <c r="C5302" s="9" t="s">
        <v>28</v>
      </c>
      <c r="D5302" s="8">
        <v>1344</v>
      </c>
    </row>
    <row r="5303" spans="1:4">
      <c r="A5303" t="str">
        <f t="shared" si="90"/>
        <v>785Average Win</v>
      </c>
      <c r="B5303">
        <v>785</v>
      </c>
      <c r="C5303" s="9" t="s">
        <v>25</v>
      </c>
      <c r="D5303" s="8">
        <v>1.1000000000000001E-3</v>
      </c>
    </row>
    <row r="5304" spans="1:4">
      <c r="A5304" t="str">
        <f t="shared" si="90"/>
        <v>785Average Loss</v>
      </c>
      <c r="B5304">
        <v>785</v>
      </c>
      <c r="C5304" s="9" t="s">
        <v>29</v>
      </c>
      <c r="D5304" s="8">
        <v>-3.0999999999999999E-3</v>
      </c>
    </row>
    <row r="5305" spans="1:4">
      <c r="A5305" t="str">
        <f t="shared" si="90"/>
        <v>785Compounding Annual Return</v>
      </c>
      <c r="B5305">
        <v>785</v>
      </c>
      <c r="C5305" s="9" t="s">
        <v>30</v>
      </c>
      <c r="D5305" s="8">
        <v>-8.7029999999999996E-2</v>
      </c>
    </row>
    <row r="5306" spans="1:4">
      <c r="A5306" t="str">
        <f t="shared" si="90"/>
        <v>785Drawdown</v>
      </c>
      <c r="B5306">
        <v>785</v>
      </c>
      <c r="C5306" s="9" t="s">
        <v>8</v>
      </c>
      <c r="D5306" s="8">
        <v>6.6000000000000003E-2</v>
      </c>
    </row>
    <row r="5307" spans="1:4">
      <c r="A5307" t="str">
        <f t="shared" si="90"/>
        <v>785Expectancy</v>
      </c>
      <c r="B5307">
        <v>785</v>
      </c>
      <c r="C5307" s="9" t="s">
        <v>31</v>
      </c>
      <c r="D5307" s="8">
        <v>-0.14000000000000001</v>
      </c>
    </row>
    <row r="5308" spans="1:4">
      <c r="A5308" t="str">
        <f t="shared" si="90"/>
        <v>785Net Profit</v>
      </c>
      <c r="B5308">
        <v>785</v>
      </c>
      <c r="C5308" s="9" t="s">
        <v>32</v>
      </c>
      <c r="D5308" s="8">
        <v>-5.8569999999999997E-2</v>
      </c>
    </row>
    <row r="5309" spans="1:4">
      <c r="A5309" t="str">
        <f t="shared" si="90"/>
        <v>785Loss Rate</v>
      </c>
      <c r="B5309">
        <v>785</v>
      </c>
      <c r="C5309" s="9" t="s">
        <v>33</v>
      </c>
      <c r="D5309" s="8">
        <v>0.37</v>
      </c>
    </row>
    <row r="5310" spans="1:4">
      <c r="A5310" t="str">
        <f t="shared" si="90"/>
        <v>785Win Rate</v>
      </c>
      <c r="B5310">
        <v>785</v>
      </c>
      <c r="C5310" s="9" t="s">
        <v>34</v>
      </c>
      <c r="D5310" s="8">
        <v>0.63</v>
      </c>
    </row>
    <row r="5311" spans="1:4">
      <c r="A5311" t="str">
        <f t="shared" si="90"/>
        <v>785Profit-Loss Ratio</v>
      </c>
      <c r="B5311">
        <v>785</v>
      </c>
      <c r="C5311" s="9" t="s">
        <v>26</v>
      </c>
      <c r="D5311" s="8">
        <v>0.36</v>
      </c>
    </row>
    <row r="5312" spans="1:4">
      <c r="A5312" t="str">
        <f t="shared" si="90"/>
        <v>785Alpha</v>
      </c>
      <c r="B5312">
        <v>785</v>
      </c>
      <c r="C5312" s="9" t="s">
        <v>23</v>
      </c>
      <c r="D5312" s="8">
        <v>-6.4000000000000001E-2</v>
      </c>
    </row>
    <row r="5313" spans="1:4">
      <c r="A5313" t="str">
        <f t="shared" si="90"/>
        <v>785Beta</v>
      </c>
      <c r="B5313">
        <v>785</v>
      </c>
      <c r="C5313" s="9" t="s">
        <v>24</v>
      </c>
      <c r="D5313" s="8">
        <v>7.3999999999999996E-2</v>
      </c>
    </row>
    <row r="5314" spans="1:4">
      <c r="A5314" t="str">
        <f t="shared" si="90"/>
        <v>785Annual Standard Deviation</v>
      </c>
      <c r="B5314">
        <v>785</v>
      </c>
      <c r="C5314" s="9" t="s">
        <v>35</v>
      </c>
      <c r="D5314" s="8">
        <v>3.7999999999999999E-2</v>
      </c>
    </row>
    <row r="5315" spans="1:4">
      <c r="A5315" t="str">
        <f t="shared" si="90"/>
        <v>785Annual Variance</v>
      </c>
      <c r="B5315">
        <v>785</v>
      </c>
      <c r="C5315" s="9" t="s">
        <v>36</v>
      </c>
      <c r="D5315" s="8">
        <v>1E-3</v>
      </c>
    </row>
    <row r="5316" spans="1:4">
      <c r="A5316" t="str">
        <f t="shared" si="90"/>
        <v>785Information Ratio</v>
      </c>
      <c r="B5316">
        <v>785</v>
      </c>
      <c r="C5316" s="9" t="s">
        <v>37</v>
      </c>
      <c r="D5316" s="8">
        <v>-1.5369999999999999</v>
      </c>
    </row>
    <row r="5317" spans="1:4">
      <c r="A5317" t="str">
        <f t="shared" si="90"/>
        <v>785Tracking Error</v>
      </c>
      <c r="B5317">
        <v>785</v>
      </c>
      <c r="C5317" s="9" t="s">
        <v>38</v>
      </c>
      <c r="D5317" s="8">
        <v>7.2999999999999995E-2</v>
      </c>
    </row>
    <row r="5318" spans="1:4">
      <c r="A5318" t="str">
        <f t="shared" si="90"/>
        <v>785Treynor Ratio</v>
      </c>
      <c r="B5318">
        <v>785</v>
      </c>
      <c r="C5318" s="9" t="s">
        <v>39</v>
      </c>
      <c r="D5318" s="8">
        <v>-0.81499999999999995</v>
      </c>
    </row>
    <row r="5319" spans="1:4">
      <c r="A5319" t="str">
        <f t="shared" si="90"/>
        <v>785Total Fees</v>
      </c>
      <c r="B5319">
        <v>785</v>
      </c>
      <c r="C5319" s="9" t="s">
        <v>40</v>
      </c>
      <c r="D5319" s="8">
        <v>0</v>
      </c>
    </row>
    <row r="5320" spans="1:4">
      <c r="A5320" t="str">
        <f t="shared" si="90"/>
        <v>785Estimated Strategy Capacity</v>
      </c>
      <c r="B5320">
        <v>785</v>
      </c>
      <c r="C5320" s="9" t="s">
        <v>41</v>
      </c>
      <c r="D5320" s="8">
        <v>3300000</v>
      </c>
    </row>
    <row r="5321" spans="1:4">
      <c r="A5321" t="str">
        <f t="shared" si="90"/>
        <v>786PSR</v>
      </c>
      <c r="B5321">
        <v>786</v>
      </c>
      <c r="C5321" s="9" t="s">
        <v>27</v>
      </c>
      <c r="D5321" s="8">
        <v>7.6000000000000004E-4</v>
      </c>
    </row>
    <row r="5322" spans="1:4">
      <c r="A5322" t="str">
        <f t="shared" si="90"/>
        <v>786Sharpe Ratio</v>
      </c>
      <c r="B5322">
        <v>786</v>
      </c>
      <c r="C5322" s="9" t="s">
        <v>1</v>
      </c>
      <c r="D5322" s="8">
        <v>-1.958</v>
      </c>
    </row>
    <row r="5323" spans="1:4">
      <c r="A5323" t="str">
        <f t="shared" si="90"/>
        <v>786Total Trades</v>
      </c>
      <c r="B5323">
        <v>786</v>
      </c>
      <c r="C5323" s="9" t="s">
        <v>28</v>
      </c>
      <c r="D5323" s="8">
        <v>1018</v>
      </c>
    </row>
    <row r="5324" spans="1:4">
      <c r="A5324" t="str">
        <f t="shared" si="90"/>
        <v>786Average Win</v>
      </c>
      <c r="B5324">
        <v>786</v>
      </c>
      <c r="C5324" s="9" t="s">
        <v>25</v>
      </c>
      <c r="D5324" s="8">
        <v>1.1999999999999999E-3</v>
      </c>
    </row>
    <row r="5325" spans="1:4">
      <c r="A5325" t="str">
        <f t="shared" si="90"/>
        <v>786Average Loss</v>
      </c>
      <c r="B5325">
        <v>786</v>
      </c>
      <c r="C5325" s="9" t="s">
        <v>29</v>
      </c>
      <c r="D5325" s="8">
        <v>-4.1000000000000003E-3</v>
      </c>
    </row>
    <row r="5326" spans="1:4">
      <c r="A5326" t="str">
        <f t="shared" si="90"/>
        <v>786Compounding Annual Return</v>
      </c>
      <c r="B5326">
        <v>786</v>
      </c>
      <c r="C5326" s="9" t="s">
        <v>30</v>
      </c>
      <c r="D5326" s="8">
        <v>-0.11957</v>
      </c>
    </row>
    <row r="5327" spans="1:4">
      <c r="A5327" t="str">
        <f t="shared" si="90"/>
        <v>786Drawdown</v>
      </c>
      <c r="B5327">
        <v>786</v>
      </c>
      <c r="C5327" s="9" t="s">
        <v>8</v>
      </c>
      <c r="D5327" s="8">
        <v>8.6999999999999994E-2</v>
      </c>
    </row>
    <row r="5328" spans="1:4">
      <c r="A5328" t="str">
        <f t="shared" si="90"/>
        <v>786Expectancy</v>
      </c>
      <c r="B5328">
        <v>786</v>
      </c>
      <c r="C5328" s="9" t="s">
        <v>31</v>
      </c>
      <c r="D5328" s="8">
        <v>-0.159</v>
      </c>
    </row>
    <row r="5329" spans="1:4">
      <c r="A5329" t="str">
        <f t="shared" si="90"/>
        <v>786Net Profit</v>
      </c>
      <c r="B5329">
        <v>786</v>
      </c>
      <c r="C5329" s="9" t="s">
        <v>32</v>
      </c>
      <c r="D5329" s="8">
        <v>-8.0949999999999994E-2</v>
      </c>
    </row>
    <row r="5330" spans="1:4">
      <c r="A5330" t="str">
        <f t="shared" si="90"/>
        <v>786Loss Rate</v>
      </c>
      <c r="B5330">
        <v>786</v>
      </c>
      <c r="C5330" s="9" t="s">
        <v>33</v>
      </c>
      <c r="D5330" s="8">
        <v>0.35</v>
      </c>
    </row>
    <row r="5331" spans="1:4">
      <c r="A5331" t="str">
        <f t="shared" si="90"/>
        <v>786Win Rate</v>
      </c>
      <c r="B5331">
        <v>786</v>
      </c>
      <c r="C5331" s="9" t="s">
        <v>34</v>
      </c>
      <c r="D5331" s="8">
        <v>0.65</v>
      </c>
    </row>
    <row r="5332" spans="1:4">
      <c r="A5332" t="str">
        <f t="shared" si="90"/>
        <v>786Profit-Loss Ratio</v>
      </c>
      <c r="B5332">
        <v>786</v>
      </c>
      <c r="C5332" s="9" t="s">
        <v>26</v>
      </c>
      <c r="D5332" s="8">
        <v>0.3</v>
      </c>
    </row>
    <row r="5333" spans="1:4">
      <c r="A5333" t="str">
        <f t="shared" si="90"/>
        <v>786Alpha</v>
      </c>
      <c r="B5333">
        <v>786</v>
      </c>
      <c r="C5333" s="9" t="s">
        <v>23</v>
      </c>
      <c r="D5333" s="8">
        <v>-8.8999999999999996E-2</v>
      </c>
    </row>
    <row r="5334" spans="1:4">
      <c r="A5334" t="str">
        <f t="shared" si="90"/>
        <v>786Beta</v>
      </c>
      <c r="B5334">
        <v>786</v>
      </c>
      <c r="C5334" s="9" t="s">
        <v>24</v>
      </c>
      <c r="D5334" s="8">
        <v>9.4E-2</v>
      </c>
    </row>
    <row r="5335" spans="1:4">
      <c r="A5335" t="str">
        <f t="shared" si="90"/>
        <v>786Annual Standard Deviation</v>
      </c>
      <c r="B5335">
        <v>786</v>
      </c>
      <c r="C5335" s="9" t="s">
        <v>35</v>
      </c>
      <c r="D5335" s="8">
        <v>4.2999999999999997E-2</v>
      </c>
    </row>
    <row r="5336" spans="1:4">
      <c r="A5336" t="str">
        <f t="shared" si="90"/>
        <v>786Annual Variance</v>
      </c>
      <c r="B5336">
        <v>786</v>
      </c>
      <c r="C5336" s="9" t="s">
        <v>36</v>
      </c>
      <c r="D5336" s="8">
        <v>2E-3</v>
      </c>
    </row>
    <row r="5337" spans="1:4">
      <c r="A5337" t="str">
        <f t="shared" si="90"/>
        <v>786Information Ratio</v>
      </c>
      <c r="B5337">
        <v>786</v>
      </c>
      <c r="C5337" s="9" t="s">
        <v>37</v>
      </c>
      <c r="D5337" s="8">
        <v>-1.829</v>
      </c>
    </row>
    <row r="5338" spans="1:4">
      <c r="A5338" t="str">
        <f t="shared" si="90"/>
        <v>786Tracking Error</v>
      </c>
      <c r="B5338">
        <v>786</v>
      </c>
      <c r="C5338" s="9" t="s">
        <v>38</v>
      </c>
      <c r="D5338" s="8">
        <v>7.3999999999999996E-2</v>
      </c>
    </row>
    <row r="5339" spans="1:4">
      <c r="A5339" t="str">
        <f t="shared" si="90"/>
        <v>786Treynor Ratio</v>
      </c>
      <c r="B5339">
        <v>786</v>
      </c>
      <c r="C5339" s="9" t="s">
        <v>39</v>
      </c>
      <c r="D5339" s="8">
        <v>-0.88700000000000001</v>
      </c>
    </row>
    <row r="5340" spans="1:4">
      <c r="A5340" t="str">
        <f t="shared" si="90"/>
        <v>786Total Fees</v>
      </c>
      <c r="B5340">
        <v>786</v>
      </c>
      <c r="C5340" s="9" t="s">
        <v>40</v>
      </c>
      <c r="D5340" s="8">
        <v>0</v>
      </c>
    </row>
    <row r="5341" spans="1:4">
      <c r="A5341" t="str">
        <f t="shared" si="90"/>
        <v>786Estimated Strategy Capacity</v>
      </c>
      <c r="B5341">
        <v>786</v>
      </c>
      <c r="C5341" s="9" t="s">
        <v>41</v>
      </c>
      <c r="D5341" s="8">
        <v>4300000</v>
      </c>
    </row>
    <row r="5342" spans="1:4">
      <c r="A5342" t="str">
        <f t="shared" si="90"/>
        <v>787PSR</v>
      </c>
      <c r="B5342">
        <v>787</v>
      </c>
      <c r="C5342" s="9" t="s">
        <v>27</v>
      </c>
      <c r="D5342" s="8">
        <v>3.9199999999999999E-3</v>
      </c>
    </row>
    <row r="5343" spans="1:4">
      <c r="A5343" t="str">
        <f t="shared" si="90"/>
        <v>787Sharpe Ratio</v>
      </c>
      <c r="B5343">
        <v>787</v>
      </c>
      <c r="C5343" s="9" t="s">
        <v>1</v>
      </c>
      <c r="D5343" s="8">
        <v>-1.5309999999999999</v>
      </c>
    </row>
    <row r="5344" spans="1:4">
      <c r="A5344" t="str">
        <f t="shared" si="90"/>
        <v>787Total Trades</v>
      </c>
      <c r="B5344">
        <v>787</v>
      </c>
      <c r="C5344" s="9" t="s">
        <v>28</v>
      </c>
      <c r="D5344" s="8">
        <v>1031</v>
      </c>
    </row>
    <row r="5345" spans="1:4">
      <c r="A5345" t="str">
        <f t="shared" si="90"/>
        <v>787Average Win</v>
      </c>
      <c r="B5345">
        <v>787</v>
      </c>
      <c r="C5345" s="9" t="s">
        <v>25</v>
      </c>
      <c r="D5345" s="8">
        <v>2.0000000000000001E-4</v>
      </c>
    </row>
    <row r="5346" spans="1:4">
      <c r="A5346" t="str">
        <f t="shared" ref="A5346:A5409" si="91">B5346&amp;C5346</f>
        <v>787Average Loss</v>
      </c>
      <c r="B5346">
        <v>787</v>
      </c>
      <c r="C5346" s="9" t="s">
        <v>29</v>
      </c>
      <c r="D5346" s="8">
        <v>-5.9999999999999995E-4</v>
      </c>
    </row>
    <row r="5347" spans="1:4">
      <c r="A5347" t="str">
        <f t="shared" si="91"/>
        <v>787Compounding Annual Return</v>
      </c>
      <c r="B5347">
        <v>787</v>
      </c>
      <c r="C5347" s="9" t="s">
        <v>30</v>
      </c>
      <c r="D5347" s="8">
        <v>-1.7610000000000001E-2</v>
      </c>
    </row>
    <row r="5348" spans="1:4">
      <c r="A5348" t="str">
        <f t="shared" si="91"/>
        <v>787Drawdown</v>
      </c>
      <c r="B5348">
        <v>787</v>
      </c>
      <c r="C5348" s="9" t="s">
        <v>8</v>
      </c>
      <c r="D5348" s="8">
        <v>1.6E-2</v>
      </c>
    </row>
    <row r="5349" spans="1:4">
      <c r="A5349" t="str">
        <f t="shared" si="91"/>
        <v>787Expectancy</v>
      </c>
      <c r="B5349">
        <v>787</v>
      </c>
      <c r="C5349" s="9" t="s">
        <v>31</v>
      </c>
      <c r="D5349" s="8">
        <v>-0.20399999999999999</v>
      </c>
    </row>
    <row r="5350" spans="1:4">
      <c r="A5350" t="str">
        <f t="shared" si="91"/>
        <v>787Net Profit</v>
      </c>
      <c r="B5350">
        <v>787</v>
      </c>
      <c r="C5350" s="9" t="s">
        <v>32</v>
      </c>
      <c r="D5350" s="8">
        <v>-1.171E-2</v>
      </c>
    </row>
    <row r="5351" spans="1:4">
      <c r="A5351" t="str">
        <f t="shared" si="91"/>
        <v>787Loss Rate</v>
      </c>
      <c r="B5351">
        <v>787</v>
      </c>
      <c r="C5351" s="9" t="s">
        <v>33</v>
      </c>
      <c r="D5351" s="8">
        <v>0.38</v>
      </c>
    </row>
    <row r="5352" spans="1:4">
      <c r="A5352" t="str">
        <f t="shared" si="91"/>
        <v>787Win Rate</v>
      </c>
      <c r="B5352">
        <v>787</v>
      </c>
      <c r="C5352" s="9" t="s">
        <v>34</v>
      </c>
      <c r="D5352" s="8">
        <v>0.62</v>
      </c>
    </row>
    <row r="5353" spans="1:4">
      <c r="A5353" t="str">
        <f t="shared" si="91"/>
        <v>787Profit-Loss Ratio</v>
      </c>
      <c r="B5353">
        <v>787</v>
      </c>
      <c r="C5353" s="9" t="s">
        <v>26</v>
      </c>
      <c r="D5353" s="8">
        <v>0.28000000000000003</v>
      </c>
    </row>
    <row r="5354" spans="1:4">
      <c r="A5354" t="str">
        <f t="shared" si="91"/>
        <v>787Alpha</v>
      </c>
      <c r="B5354">
        <v>787</v>
      </c>
      <c r="C5354" s="9" t="s">
        <v>23</v>
      </c>
      <c r="D5354" s="8">
        <v>-1.2999999999999999E-2</v>
      </c>
    </row>
    <row r="5355" spans="1:4">
      <c r="A5355" t="str">
        <f t="shared" si="91"/>
        <v>787Beta</v>
      </c>
      <c r="B5355">
        <v>787</v>
      </c>
      <c r="C5355" s="9" t="s">
        <v>24</v>
      </c>
      <c r="D5355" s="8">
        <v>1.6E-2</v>
      </c>
    </row>
    <row r="5356" spans="1:4">
      <c r="A5356" t="str">
        <f t="shared" si="91"/>
        <v>787Annual Standard Deviation</v>
      </c>
      <c r="B5356">
        <v>787</v>
      </c>
      <c r="C5356" s="9" t="s">
        <v>35</v>
      </c>
      <c r="D5356" s="8">
        <v>8.0000000000000002E-3</v>
      </c>
    </row>
    <row r="5357" spans="1:4">
      <c r="A5357" t="str">
        <f t="shared" si="91"/>
        <v>787Annual Variance</v>
      </c>
      <c r="B5357">
        <v>787</v>
      </c>
      <c r="C5357" s="9" t="s">
        <v>36</v>
      </c>
      <c r="D5357" s="8">
        <v>0</v>
      </c>
    </row>
    <row r="5358" spans="1:4">
      <c r="A5358" t="str">
        <f t="shared" si="91"/>
        <v>787Information Ratio</v>
      </c>
      <c r="B5358">
        <v>787</v>
      </c>
      <c r="C5358" s="9" t="s">
        <v>37</v>
      </c>
      <c r="D5358" s="8">
        <v>-0.95399999999999996</v>
      </c>
    </row>
    <row r="5359" spans="1:4">
      <c r="A5359" t="str">
        <f t="shared" si="91"/>
        <v>787Tracking Error</v>
      </c>
      <c r="B5359">
        <v>787</v>
      </c>
      <c r="C5359" s="9" t="s">
        <v>38</v>
      </c>
      <c r="D5359" s="8">
        <v>6.7000000000000004E-2</v>
      </c>
    </row>
    <row r="5360" spans="1:4">
      <c r="A5360" t="str">
        <f t="shared" si="91"/>
        <v>787Treynor Ratio</v>
      </c>
      <c r="B5360">
        <v>787</v>
      </c>
      <c r="C5360" s="9" t="s">
        <v>39</v>
      </c>
      <c r="D5360" s="8">
        <v>-0.74099999999999999</v>
      </c>
    </row>
    <row r="5361" spans="1:4">
      <c r="A5361" t="str">
        <f t="shared" si="91"/>
        <v>787Total Fees</v>
      </c>
      <c r="B5361">
        <v>787</v>
      </c>
      <c r="C5361" s="9" t="s">
        <v>40</v>
      </c>
      <c r="D5361" s="8">
        <v>0</v>
      </c>
    </row>
    <row r="5362" spans="1:4">
      <c r="A5362" t="str">
        <f t="shared" si="91"/>
        <v>787Estimated Strategy Capacity</v>
      </c>
      <c r="B5362">
        <v>787</v>
      </c>
      <c r="C5362" s="9" t="s">
        <v>41</v>
      </c>
      <c r="D5362" s="8">
        <v>4000000000</v>
      </c>
    </row>
    <row r="5363" spans="1:4">
      <c r="A5363" t="str">
        <f t="shared" si="91"/>
        <v>788PSR</v>
      </c>
      <c r="B5363">
        <v>788</v>
      </c>
      <c r="C5363" s="9" t="s">
        <v>27</v>
      </c>
      <c r="D5363" s="8">
        <v>1.21E-2</v>
      </c>
    </row>
    <row r="5364" spans="1:4">
      <c r="A5364" t="str">
        <f t="shared" si="91"/>
        <v>788Sharpe Ratio</v>
      </c>
      <c r="B5364">
        <v>788</v>
      </c>
      <c r="C5364" s="9" t="s">
        <v>1</v>
      </c>
      <c r="D5364" s="8">
        <v>-1.2370000000000001</v>
      </c>
    </row>
    <row r="5365" spans="1:4">
      <c r="A5365" t="str">
        <f t="shared" si="91"/>
        <v>788Total Trades</v>
      </c>
      <c r="B5365">
        <v>788</v>
      </c>
      <c r="C5365" s="9" t="s">
        <v>28</v>
      </c>
      <c r="D5365" s="8">
        <v>858</v>
      </c>
    </row>
    <row r="5366" spans="1:4">
      <c r="A5366" t="str">
        <f t="shared" si="91"/>
        <v>788Average Win</v>
      </c>
      <c r="B5366">
        <v>788</v>
      </c>
      <c r="C5366" s="9" t="s">
        <v>25</v>
      </c>
      <c r="D5366" s="8">
        <v>8.9999999999999998E-4</v>
      </c>
    </row>
    <row r="5367" spans="1:4">
      <c r="A5367" t="str">
        <f t="shared" si="91"/>
        <v>788Average Loss</v>
      </c>
      <c r="B5367">
        <v>788</v>
      </c>
      <c r="C5367" s="9" t="s">
        <v>29</v>
      </c>
      <c r="D5367" s="8">
        <v>-2.3999999999999998E-3</v>
      </c>
    </row>
    <row r="5368" spans="1:4">
      <c r="A5368" t="str">
        <f t="shared" si="91"/>
        <v>788Compounding Annual Return</v>
      </c>
      <c r="B5368">
        <v>788</v>
      </c>
      <c r="C5368" s="9" t="s">
        <v>30</v>
      </c>
      <c r="D5368" s="8">
        <v>-5.8590000000000003E-2</v>
      </c>
    </row>
    <row r="5369" spans="1:4">
      <c r="A5369" t="str">
        <f t="shared" si="91"/>
        <v>788Drawdown</v>
      </c>
      <c r="B5369">
        <v>788</v>
      </c>
      <c r="C5369" s="9" t="s">
        <v>8</v>
      </c>
      <c r="D5369" s="8">
        <v>6.9000000000000006E-2</v>
      </c>
    </row>
    <row r="5370" spans="1:4">
      <c r="A5370" t="str">
        <f t="shared" si="91"/>
        <v>788Expectancy</v>
      </c>
      <c r="B5370">
        <v>788</v>
      </c>
      <c r="C5370" s="9" t="s">
        <v>31</v>
      </c>
      <c r="D5370" s="8">
        <v>-0.16600000000000001</v>
      </c>
    </row>
    <row r="5371" spans="1:4">
      <c r="A5371" t="str">
        <f t="shared" si="91"/>
        <v>788Net Profit</v>
      </c>
      <c r="B5371">
        <v>788</v>
      </c>
      <c r="C5371" s="9" t="s">
        <v>32</v>
      </c>
      <c r="D5371" s="8">
        <v>-3.9239999999999997E-2</v>
      </c>
    </row>
    <row r="5372" spans="1:4">
      <c r="A5372" t="str">
        <f t="shared" si="91"/>
        <v>788Loss Rate</v>
      </c>
      <c r="B5372">
        <v>788</v>
      </c>
      <c r="C5372" s="9" t="s">
        <v>33</v>
      </c>
      <c r="D5372" s="8">
        <v>0.39</v>
      </c>
    </row>
    <row r="5373" spans="1:4">
      <c r="A5373" t="str">
        <f t="shared" si="91"/>
        <v>788Win Rate</v>
      </c>
      <c r="B5373">
        <v>788</v>
      </c>
      <c r="C5373" s="9" t="s">
        <v>34</v>
      </c>
      <c r="D5373" s="8">
        <v>0.61</v>
      </c>
    </row>
    <row r="5374" spans="1:4">
      <c r="A5374" t="str">
        <f t="shared" si="91"/>
        <v>788Profit-Loss Ratio</v>
      </c>
      <c r="B5374">
        <v>788</v>
      </c>
      <c r="C5374" s="9" t="s">
        <v>26</v>
      </c>
      <c r="D5374" s="8">
        <v>0.36</v>
      </c>
    </row>
    <row r="5375" spans="1:4">
      <c r="A5375" t="str">
        <f t="shared" si="91"/>
        <v>788Alpha</v>
      </c>
      <c r="B5375">
        <v>788</v>
      </c>
      <c r="C5375" s="9" t="s">
        <v>23</v>
      </c>
      <c r="D5375" s="8">
        <v>-4.4999999999999998E-2</v>
      </c>
    </row>
    <row r="5376" spans="1:4">
      <c r="A5376" t="str">
        <f t="shared" si="91"/>
        <v>788Beta</v>
      </c>
      <c r="B5376">
        <v>788</v>
      </c>
      <c r="C5376" s="9" t="s">
        <v>24</v>
      </c>
      <c r="D5376" s="8">
        <v>8.3000000000000004E-2</v>
      </c>
    </row>
    <row r="5377" spans="1:4">
      <c r="A5377" t="str">
        <f t="shared" si="91"/>
        <v>788Annual Standard Deviation</v>
      </c>
      <c r="B5377">
        <v>788</v>
      </c>
      <c r="C5377" s="9" t="s">
        <v>35</v>
      </c>
      <c r="D5377" s="8">
        <v>3.3000000000000002E-2</v>
      </c>
    </row>
    <row r="5378" spans="1:4">
      <c r="A5378" t="str">
        <f t="shared" si="91"/>
        <v>788Annual Variance</v>
      </c>
      <c r="B5378">
        <v>788</v>
      </c>
      <c r="C5378" s="9" t="s">
        <v>36</v>
      </c>
      <c r="D5378" s="8">
        <v>1E-3</v>
      </c>
    </row>
    <row r="5379" spans="1:4">
      <c r="A5379" t="str">
        <f t="shared" si="91"/>
        <v>788Information Ratio</v>
      </c>
      <c r="B5379">
        <v>788</v>
      </c>
      <c r="C5379" s="9" t="s">
        <v>37</v>
      </c>
      <c r="D5379" s="8">
        <v>-1.329</v>
      </c>
    </row>
    <row r="5380" spans="1:4">
      <c r="A5380" t="str">
        <f t="shared" si="91"/>
        <v>788Tracking Error</v>
      </c>
      <c r="B5380">
        <v>788</v>
      </c>
      <c r="C5380" s="9" t="s">
        <v>38</v>
      </c>
      <c r="D5380" s="8">
        <v>7.0000000000000007E-2</v>
      </c>
    </row>
    <row r="5381" spans="1:4">
      <c r="A5381" t="str">
        <f t="shared" si="91"/>
        <v>788Treynor Ratio</v>
      </c>
      <c r="B5381">
        <v>788</v>
      </c>
      <c r="C5381" s="9" t="s">
        <v>39</v>
      </c>
      <c r="D5381" s="8">
        <v>-0.48599999999999999</v>
      </c>
    </row>
    <row r="5382" spans="1:4">
      <c r="A5382" t="str">
        <f t="shared" si="91"/>
        <v>788Total Fees</v>
      </c>
      <c r="B5382">
        <v>788</v>
      </c>
      <c r="C5382" s="9" t="s">
        <v>40</v>
      </c>
      <c r="D5382" s="8">
        <v>0</v>
      </c>
    </row>
    <row r="5383" spans="1:4">
      <c r="A5383" t="str">
        <f t="shared" si="91"/>
        <v>788Estimated Strategy Capacity</v>
      </c>
      <c r="B5383">
        <v>788</v>
      </c>
      <c r="C5383" s="9" t="s">
        <v>41</v>
      </c>
      <c r="D5383" s="8">
        <v>390000000</v>
      </c>
    </row>
    <row r="5384" spans="1:4">
      <c r="A5384" t="str">
        <f t="shared" si="91"/>
        <v>789PSR</v>
      </c>
      <c r="B5384">
        <v>789</v>
      </c>
      <c r="C5384" s="9" t="s">
        <v>27</v>
      </c>
      <c r="D5384" s="8">
        <v>8.3000000000000001E-4</v>
      </c>
    </row>
    <row r="5385" spans="1:4">
      <c r="A5385" t="str">
        <f t="shared" si="91"/>
        <v>789Sharpe Ratio</v>
      </c>
      <c r="B5385">
        <v>789</v>
      </c>
      <c r="C5385" s="9" t="s">
        <v>1</v>
      </c>
      <c r="D5385" s="8">
        <v>-1.901</v>
      </c>
    </row>
    <row r="5386" spans="1:4">
      <c r="A5386" t="str">
        <f t="shared" si="91"/>
        <v>789Total Trades</v>
      </c>
      <c r="B5386">
        <v>789</v>
      </c>
      <c r="C5386" s="9" t="s">
        <v>28</v>
      </c>
      <c r="D5386" s="8">
        <v>664</v>
      </c>
    </row>
    <row r="5387" spans="1:4">
      <c r="A5387" t="str">
        <f t="shared" si="91"/>
        <v>789Average Win</v>
      </c>
      <c r="B5387">
        <v>789</v>
      </c>
      <c r="C5387" s="9" t="s">
        <v>25</v>
      </c>
      <c r="D5387" s="8">
        <v>1.1999999999999999E-3</v>
      </c>
    </row>
    <row r="5388" spans="1:4">
      <c r="A5388" t="str">
        <f t="shared" si="91"/>
        <v>789Average Loss</v>
      </c>
      <c r="B5388">
        <v>789</v>
      </c>
      <c r="C5388" s="9" t="s">
        <v>29</v>
      </c>
      <c r="D5388" s="8">
        <v>-3.8999999999999998E-3</v>
      </c>
    </row>
    <row r="5389" spans="1:4">
      <c r="A5389" t="str">
        <f t="shared" si="91"/>
        <v>789Compounding Annual Return</v>
      </c>
      <c r="B5389">
        <v>789</v>
      </c>
      <c r="C5389" s="9" t="s">
        <v>30</v>
      </c>
      <c r="D5389" s="8">
        <v>-0.11274000000000001</v>
      </c>
    </row>
    <row r="5390" spans="1:4">
      <c r="A5390" t="str">
        <f t="shared" si="91"/>
        <v>789Drawdown</v>
      </c>
      <c r="B5390">
        <v>789</v>
      </c>
      <c r="C5390" s="9" t="s">
        <v>8</v>
      </c>
      <c r="D5390" s="8">
        <v>0.1</v>
      </c>
    </row>
    <row r="5391" spans="1:4">
      <c r="A5391" t="str">
        <f t="shared" si="91"/>
        <v>789Expectancy</v>
      </c>
      <c r="B5391">
        <v>789</v>
      </c>
      <c r="C5391" s="9" t="s">
        <v>31</v>
      </c>
      <c r="D5391" s="8">
        <v>-0.22</v>
      </c>
    </row>
    <row r="5392" spans="1:4">
      <c r="A5392" t="str">
        <f t="shared" si="91"/>
        <v>789Net Profit</v>
      </c>
      <c r="B5392">
        <v>789</v>
      </c>
      <c r="C5392" s="9" t="s">
        <v>32</v>
      </c>
      <c r="D5392" s="8">
        <v>-7.6230000000000006E-2</v>
      </c>
    </row>
    <row r="5393" spans="1:4">
      <c r="A5393" t="str">
        <f t="shared" si="91"/>
        <v>789Loss Rate</v>
      </c>
      <c r="B5393">
        <v>789</v>
      </c>
      <c r="C5393" s="9" t="s">
        <v>33</v>
      </c>
      <c r="D5393" s="8">
        <v>0.41</v>
      </c>
    </row>
    <row r="5394" spans="1:4">
      <c r="A5394" t="str">
        <f t="shared" si="91"/>
        <v>789Win Rate</v>
      </c>
      <c r="B5394">
        <v>789</v>
      </c>
      <c r="C5394" s="9" t="s">
        <v>34</v>
      </c>
      <c r="D5394" s="8">
        <v>0.59</v>
      </c>
    </row>
    <row r="5395" spans="1:4">
      <c r="A5395" t="str">
        <f t="shared" si="91"/>
        <v>789Profit-Loss Ratio</v>
      </c>
      <c r="B5395">
        <v>789</v>
      </c>
      <c r="C5395" s="9" t="s">
        <v>26</v>
      </c>
      <c r="D5395" s="8">
        <v>0.31</v>
      </c>
    </row>
    <row r="5396" spans="1:4">
      <c r="A5396" t="str">
        <f t="shared" si="91"/>
        <v>789Alpha</v>
      </c>
      <c r="B5396">
        <v>789</v>
      </c>
      <c r="C5396" s="9" t="s">
        <v>23</v>
      </c>
      <c r="D5396" s="8">
        <v>-8.5000000000000006E-2</v>
      </c>
    </row>
    <row r="5397" spans="1:4">
      <c r="A5397" t="str">
        <f t="shared" si="91"/>
        <v>789Beta</v>
      </c>
      <c r="B5397">
        <v>789</v>
      </c>
      <c r="C5397" s="9" t="s">
        <v>24</v>
      </c>
      <c r="D5397" s="8">
        <v>0.124</v>
      </c>
    </row>
    <row r="5398" spans="1:4">
      <c r="A5398" t="str">
        <f t="shared" si="91"/>
        <v>789Annual Standard Deviation</v>
      </c>
      <c r="B5398">
        <v>789</v>
      </c>
      <c r="C5398" s="9" t="s">
        <v>35</v>
      </c>
      <c r="D5398" s="8">
        <v>4.1000000000000002E-2</v>
      </c>
    </row>
    <row r="5399" spans="1:4">
      <c r="A5399" t="str">
        <f t="shared" si="91"/>
        <v>789Annual Variance</v>
      </c>
      <c r="B5399">
        <v>789</v>
      </c>
      <c r="C5399" s="9" t="s">
        <v>36</v>
      </c>
      <c r="D5399" s="8">
        <v>2E-3</v>
      </c>
    </row>
    <row r="5400" spans="1:4">
      <c r="A5400" t="str">
        <f t="shared" si="91"/>
        <v>789Information Ratio</v>
      </c>
      <c r="B5400">
        <v>789</v>
      </c>
      <c r="C5400" s="9" t="s">
        <v>37</v>
      </c>
      <c r="D5400" s="8">
        <v>-1.8180000000000001</v>
      </c>
    </row>
    <row r="5401" spans="1:4">
      <c r="A5401" t="str">
        <f t="shared" si="91"/>
        <v>789Tracking Error</v>
      </c>
      <c r="B5401">
        <v>789</v>
      </c>
      <c r="C5401" s="9" t="s">
        <v>38</v>
      </c>
      <c r="D5401" s="8">
        <v>7.1999999999999995E-2</v>
      </c>
    </row>
    <row r="5402" spans="1:4">
      <c r="A5402" t="str">
        <f t="shared" si="91"/>
        <v>789Treynor Ratio</v>
      </c>
      <c r="B5402">
        <v>789</v>
      </c>
      <c r="C5402" s="9" t="s">
        <v>39</v>
      </c>
      <c r="D5402" s="8">
        <v>-0.63600000000000001</v>
      </c>
    </row>
    <row r="5403" spans="1:4">
      <c r="A5403" t="str">
        <f t="shared" si="91"/>
        <v>789Total Fees</v>
      </c>
      <c r="B5403">
        <v>789</v>
      </c>
      <c r="C5403" s="9" t="s">
        <v>40</v>
      </c>
      <c r="D5403" s="8">
        <v>0</v>
      </c>
    </row>
    <row r="5404" spans="1:4">
      <c r="A5404" t="str">
        <f t="shared" si="91"/>
        <v>789Estimated Strategy Capacity</v>
      </c>
      <c r="B5404">
        <v>789</v>
      </c>
      <c r="C5404" s="9" t="s">
        <v>41</v>
      </c>
      <c r="D5404" s="8">
        <v>78000000</v>
      </c>
    </row>
    <row r="5405" spans="1:4">
      <c r="A5405" t="str">
        <f t="shared" si="91"/>
        <v>790PSR</v>
      </c>
      <c r="B5405">
        <v>790</v>
      </c>
      <c r="C5405" s="9" t="s">
        <v>27</v>
      </c>
      <c r="D5405" s="8">
        <v>6.6619999999999999E-2</v>
      </c>
    </row>
    <row r="5406" spans="1:4">
      <c r="A5406" t="str">
        <f t="shared" si="91"/>
        <v>790Sharpe Ratio</v>
      </c>
      <c r="B5406">
        <v>790</v>
      </c>
      <c r="C5406" s="9" t="s">
        <v>1</v>
      </c>
      <c r="D5406" s="8">
        <v>-0.56399999999999995</v>
      </c>
    </row>
    <row r="5407" spans="1:4">
      <c r="A5407" t="str">
        <f t="shared" si="91"/>
        <v>790Total Trades</v>
      </c>
      <c r="B5407">
        <v>790</v>
      </c>
      <c r="C5407" s="9" t="s">
        <v>28</v>
      </c>
      <c r="D5407" s="8">
        <v>758</v>
      </c>
    </row>
    <row r="5408" spans="1:4">
      <c r="A5408" t="str">
        <f t="shared" si="91"/>
        <v>790Average Win</v>
      </c>
      <c r="B5408">
        <v>790</v>
      </c>
      <c r="C5408" s="9" t="s">
        <v>25</v>
      </c>
      <c r="D5408" s="8">
        <v>2.0000000000000001E-4</v>
      </c>
    </row>
    <row r="5409" spans="1:4">
      <c r="A5409" t="str">
        <f t="shared" si="91"/>
        <v>790Average Loss</v>
      </c>
      <c r="B5409">
        <v>790</v>
      </c>
      <c r="C5409" s="9" t="s">
        <v>29</v>
      </c>
      <c r="D5409" s="8">
        <v>-5.0000000000000001E-4</v>
      </c>
    </row>
    <row r="5410" spans="1:4">
      <c r="A5410" t="str">
        <f t="shared" ref="A5410:A5473" si="92">B5410&amp;C5410</f>
        <v>790Compounding Annual Return</v>
      </c>
      <c r="B5410">
        <v>790</v>
      </c>
      <c r="C5410" s="9" t="s">
        <v>30</v>
      </c>
      <c r="D5410" s="8">
        <v>-5.5399999999999998E-3</v>
      </c>
    </row>
    <row r="5411" spans="1:4">
      <c r="A5411" t="str">
        <f t="shared" si="92"/>
        <v>790Drawdown</v>
      </c>
      <c r="B5411">
        <v>790</v>
      </c>
      <c r="C5411" s="9" t="s">
        <v>8</v>
      </c>
      <c r="D5411" s="8">
        <v>8.9999999999999993E-3</v>
      </c>
    </row>
    <row r="5412" spans="1:4">
      <c r="A5412" t="str">
        <f t="shared" si="92"/>
        <v>790Expectancy</v>
      </c>
      <c r="B5412">
        <v>790</v>
      </c>
      <c r="C5412" s="9" t="s">
        <v>31</v>
      </c>
      <c r="D5412" s="8">
        <v>-9.6000000000000002E-2</v>
      </c>
    </row>
    <row r="5413" spans="1:4">
      <c r="A5413" t="str">
        <f t="shared" si="92"/>
        <v>790Net Profit</v>
      </c>
      <c r="B5413">
        <v>790</v>
      </c>
      <c r="C5413" s="9" t="s">
        <v>32</v>
      </c>
      <c r="D5413" s="8">
        <v>-3.6700000000000001E-3</v>
      </c>
    </row>
    <row r="5414" spans="1:4">
      <c r="A5414" t="str">
        <f t="shared" si="92"/>
        <v>790Loss Rate</v>
      </c>
      <c r="B5414">
        <v>790</v>
      </c>
      <c r="C5414" s="9" t="s">
        <v>33</v>
      </c>
      <c r="D5414" s="8">
        <v>0.38</v>
      </c>
    </row>
    <row r="5415" spans="1:4">
      <c r="A5415" t="str">
        <f t="shared" si="92"/>
        <v>790Win Rate</v>
      </c>
      <c r="B5415">
        <v>790</v>
      </c>
      <c r="C5415" s="9" t="s">
        <v>34</v>
      </c>
      <c r="D5415" s="8">
        <v>0.62</v>
      </c>
    </row>
    <row r="5416" spans="1:4">
      <c r="A5416" t="str">
        <f t="shared" si="92"/>
        <v>790Profit-Loss Ratio</v>
      </c>
      <c r="B5416">
        <v>790</v>
      </c>
      <c r="C5416" s="9" t="s">
        <v>26</v>
      </c>
      <c r="D5416" s="8">
        <v>0.47</v>
      </c>
    </row>
    <row r="5417" spans="1:4">
      <c r="A5417" t="str">
        <f t="shared" si="92"/>
        <v>790Alpha</v>
      </c>
      <c r="B5417">
        <v>790</v>
      </c>
      <c r="C5417" s="9" t="s">
        <v>23</v>
      </c>
      <c r="D5417" s="8">
        <v>-5.0000000000000001E-3</v>
      </c>
    </row>
    <row r="5418" spans="1:4">
      <c r="A5418" t="str">
        <f t="shared" si="92"/>
        <v>790Beta</v>
      </c>
      <c r="B5418">
        <v>790</v>
      </c>
      <c r="C5418" s="9" t="s">
        <v>24</v>
      </c>
      <c r="D5418" s="8">
        <v>0.02</v>
      </c>
    </row>
    <row r="5419" spans="1:4">
      <c r="A5419" t="str">
        <f t="shared" si="92"/>
        <v>790Annual Standard Deviation</v>
      </c>
      <c r="B5419">
        <v>790</v>
      </c>
      <c r="C5419" s="9" t="s">
        <v>35</v>
      </c>
      <c r="D5419" s="8">
        <v>7.0000000000000001E-3</v>
      </c>
    </row>
    <row r="5420" spans="1:4">
      <c r="A5420" t="str">
        <f t="shared" si="92"/>
        <v>790Annual Variance</v>
      </c>
      <c r="B5420">
        <v>790</v>
      </c>
      <c r="C5420" s="9" t="s">
        <v>36</v>
      </c>
      <c r="D5420" s="8">
        <v>0</v>
      </c>
    </row>
    <row r="5421" spans="1:4">
      <c r="A5421" t="str">
        <f t="shared" si="92"/>
        <v>790Information Ratio</v>
      </c>
      <c r="B5421">
        <v>790</v>
      </c>
      <c r="C5421" s="9" t="s">
        <v>37</v>
      </c>
      <c r="D5421" s="8">
        <v>-0.83299999999999996</v>
      </c>
    </row>
    <row r="5422" spans="1:4">
      <c r="A5422" t="str">
        <f t="shared" si="92"/>
        <v>790Tracking Error</v>
      </c>
      <c r="B5422">
        <v>790</v>
      </c>
      <c r="C5422" s="9" t="s">
        <v>38</v>
      </c>
      <c r="D5422" s="8">
        <v>6.6000000000000003E-2</v>
      </c>
    </row>
    <row r="5423" spans="1:4">
      <c r="A5423" t="str">
        <f t="shared" si="92"/>
        <v>790Treynor Ratio</v>
      </c>
      <c r="B5423">
        <v>790</v>
      </c>
      <c r="C5423" s="9" t="s">
        <v>39</v>
      </c>
      <c r="D5423" s="8">
        <v>-0.19400000000000001</v>
      </c>
    </row>
    <row r="5424" spans="1:4">
      <c r="A5424" t="str">
        <f t="shared" si="92"/>
        <v>790Total Fees</v>
      </c>
      <c r="B5424">
        <v>790</v>
      </c>
      <c r="C5424" s="9" t="s">
        <v>40</v>
      </c>
      <c r="D5424" s="8">
        <v>0</v>
      </c>
    </row>
    <row r="5425" spans="1:4">
      <c r="A5425" t="str">
        <f t="shared" si="92"/>
        <v>790Estimated Strategy Capacity</v>
      </c>
      <c r="B5425">
        <v>790</v>
      </c>
      <c r="C5425" s="9" t="s">
        <v>41</v>
      </c>
      <c r="D5425" s="8">
        <v>5200000</v>
      </c>
    </row>
    <row r="5426" spans="1:4">
      <c r="A5426" t="str">
        <f t="shared" si="92"/>
        <v>791PSR</v>
      </c>
      <c r="B5426">
        <v>791</v>
      </c>
      <c r="C5426" s="9" t="s">
        <v>27</v>
      </c>
      <c r="D5426" s="8">
        <v>3.13E-3</v>
      </c>
    </row>
    <row r="5427" spans="1:4">
      <c r="A5427" t="str">
        <f t="shared" si="92"/>
        <v>791Sharpe Ratio</v>
      </c>
      <c r="B5427">
        <v>791</v>
      </c>
      <c r="C5427" s="9" t="s">
        <v>1</v>
      </c>
      <c r="D5427" s="8">
        <v>-1.5149999999999999</v>
      </c>
    </row>
    <row r="5428" spans="1:4">
      <c r="A5428" t="str">
        <f t="shared" si="92"/>
        <v>791Total Trades</v>
      </c>
      <c r="B5428">
        <v>791</v>
      </c>
      <c r="C5428" s="9" t="s">
        <v>28</v>
      </c>
      <c r="D5428" s="8">
        <v>651</v>
      </c>
    </row>
    <row r="5429" spans="1:4">
      <c r="A5429" t="str">
        <f t="shared" si="92"/>
        <v>791Average Win</v>
      </c>
      <c r="B5429">
        <v>791</v>
      </c>
      <c r="C5429" s="9" t="s">
        <v>25</v>
      </c>
      <c r="D5429" s="8">
        <v>1E-3</v>
      </c>
    </row>
    <row r="5430" spans="1:4">
      <c r="A5430" t="str">
        <f t="shared" si="92"/>
        <v>791Average Loss</v>
      </c>
      <c r="B5430">
        <v>791</v>
      </c>
      <c r="C5430" s="9" t="s">
        <v>29</v>
      </c>
      <c r="D5430" s="8">
        <v>-2.8999999999999998E-3</v>
      </c>
    </row>
    <row r="5431" spans="1:4">
      <c r="A5431" t="str">
        <f t="shared" si="92"/>
        <v>791Compounding Annual Return</v>
      </c>
      <c r="B5431">
        <v>791</v>
      </c>
      <c r="C5431" s="9" t="s">
        <v>30</v>
      </c>
      <c r="D5431" s="8">
        <v>-6.4180000000000001E-2</v>
      </c>
    </row>
    <row r="5432" spans="1:4">
      <c r="A5432" t="str">
        <f t="shared" si="92"/>
        <v>791Drawdown</v>
      </c>
      <c r="B5432">
        <v>791</v>
      </c>
      <c r="C5432" s="9" t="s">
        <v>8</v>
      </c>
      <c r="D5432" s="8">
        <v>5.8999999999999997E-2</v>
      </c>
    </row>
    <row r="5433" spans="1:4">
      <c r="A5433" t="str">
        <f t="shared" si="92"/>
        <v>791Expectancy</v>
      </c>
      <c r="B5433">
        <v>791</v>
      </c>
      <c r="C5433" s="9" t="s">
        <v>31</v>
      </c>
      <c r="D5433" s="8">
        <v>-0.20499999999999999</v>
      </c>
    </row>
    <row r="5434" spans="1:4">
      <c r="A5434" t="str">
        <f t="shared" si="92"/>
        <v>791Net Profit</v>
      </c>
      <c r="B5434">
        <v>791</v>
      </c>
      <c r="C5434" s="9" t="s">
        <v>32</v>
      </c>
      <c r="D5434" s="8">
        <v>-4.3020000000000003E-2</v>
      </c>
    </row>
    <row r="5435" spans="1:4">
      <c r="A5435" t="str">
        <f t="shared" si="92"/>
        <v>791Loss Rate</v>
      </c>
      <c r="B5435">
        <v>791</v>
      </c>
      <c r="C5435" s="9" t="s">
        <v>33</v>
      </c>
      <c r="D5435" s="8">
        <v>0.4</v>
      </c>
    </row>
    <row r="5436" spans="1:4">
      <c r="A5436" t="str">
        <f t="shared" si="92"/>
        <v>791Win Rate</v>
      </c>
      <c r="B5436">
        <v>791</v>
      </c>
      <c r="C5436" s="9" t="s">
        <v>34</v>
      </c>
      <c r="D5436" s="8">
        <v>0.6</v>
      </c>
    </row>
    <row r="5437" spans="1:4">
      <c r="A5437" t="str">
        <f t="shared" si="92"/>
        <v>791Profit-Loss Ratio</v>
      </c>
      <c r="B5437">
        <v>791</v>
      </c>
      <c r="C5437" s="9" t="s">
        <v>26</v>
      </c>
      <c r="D5437" s="8">
        <v>0.33</v>
      </c>
    </row>
    <row r="5438" spans="1:4">
      <c r="A5438" t="str">
        <f t="shared" si="92"/>
        <v>791Alpha</v>
      </c>
      <c r="B5438">
        <v>791</v>
      </c>
      <c r="C5438" s="9" t="s">
        <v>23</v>
      </c>
      <c r="D5438" s="8">
        <v>-0.05</v>
      </c>
    </row>
    <row r="5439" spans="1:4">
      <c r="A5439" t="str">
        <f t="shared" si="92"/>
        <v>791Beta</v>
      </c>
      <c r="B5439">
        <v>791</v>
      </c>
      <c r="C5439" s="9" t="s">
        <v>24</v>
      </c>
      <c r="D5439" s="8">
        <v>0.10100000000000001</v>
      </c>
    </row>
    <row r="5440" spans="1:4">
      <c r="A5440" t="str">
        <f t="shared" si="92"/>
        <v>791Annual Standard Deviation</v>
      </c>
      <c r="B5440">
        <v>791</v>
      </c>
      <c r="C5440" s="9" t="s">
        <v>35</v>
      </c>
      <c r="D5440" s="8">
        <v>2.9000000000000001E-2</v>
      </c>
    </row>
    <row r="5441" spans="1:4">
      <c r="A5441" t="str">
        <f t="shared" si="92"/>
        <v>791Annual Variance</v>
      </c>
      <c r="B5441">
        <v>791</v>
      </c>
      <c r="C5441" s="9" t="s">
        <v>36</v>
      </c>
      <c r="D5441" s="8">
        <v>1E-3</v>
      </c>
    </row>
    <row r="5442" spans="1:4">
      <c r="A5442" t="str">
        <f t="shared" si="92"/>
        <v>791Information Ratio</v>
      </c>
      <c r="B5442">
        <v>791</v>
      </c>
      <c r="C5442" s="9" t="s">
        <v>37</v>
      </c>
      <c r="D5442" s="8">
        <v>-1.444</v>
      </c>
    </row>
    <row r="5443" spans="1:4">
      <c r="A5443" t="str">
        <f t="shared" si="92"/>
        <v>791Tracking Error</v>
      </c>
      <c r="B5443">
        <v>791</v>
      </c>
      <c r="C5443" s="9" t="s">
        <v>38</v>
      </c>
      <c r="D5443" s="8">
        <v>6.7000000000000004E-2</v>
      </c>
    </row>
    <row r="5444" spans="1:4">
      <c r="A5444" t="str">
        <f t="shared" si="92"/>
        <v>791Treynor Ratio</v>
      </c>
      <c r="B5444">
        <v>791</v>
      </c>
      <c r="C5444" s="9" t="s">
        <v>39</v>
      </c>
      <c r="D5444" s="8">
        <v>-0.44</v>
      </c>
    </row>
    <row r="5445" spans="1:4">
      <c r="A5445" t="str">
        <f t="shared" si="92"/>
        <v>791Total Fees</v>
      </c>
      <c r="B5445">
        <v>791</v>
      </c>
      <c r="C5445" s="9" t="s">
        <v>40</v>
      </c>
      <c r="D5445" s="8">
        <v>0</v>
      </c>
    </row>
    <row r="5446" spans="1:4">
      <c r="A5446" t="str">
        <f t="shared" si="92"/>
        <v>791Estimated Strategy Capacity</v>
      </c>
      <c r="B5446">
        <v>791</v>
      </c>
      <c r="C5446" s="9" t="s">
        <v>41</v>
      </c>
      <c r="D5446" s="8">
        <v>5300000</v>
      </c>
    </row>
    <row r="5447" spans="1:4">
      <c r="A5447" t="str">
        <f t="shared" si="92"/>
        <v>792PSR</v>
      </c>
      <c r="B5447">
        <v>792</v>
      </c>
      <c r="C5447" s="9" t="s">
        <v>27</v>
      </c>
      <c r="D5447" s="8">
        <v>3.4499999999999999E-3</v>
      </c>
    </row>
    <row r="5448" spans="1:4">
      <c r="A5448" t="str">
        <f t="shared" si="92"/>
        <v>792Sharpe Ratio</v>
      </c>
      <c r="B5448">
        <v>792</v>
      </c>
      <c r="C5448" s="9" t="s">
        <v>1</v>
      </c>
      <c r="D5448" s="8">
        <v>-1.4930000000000001</v>
      </c>
    </row>
    <row r="5449" spans="1:4">
      <c r="A5449" t="str">
        <f t="shared" si="92"/>
        <v>792Total Trades</v>
      </c>
      <c r="B5449">
        <v>792</v>
      </c>
      <c r="C5449" s="9" t="s">
        <v>28</v>
      </c>
      <c r="D5449" s="8">
        <v>519</v>
      </c>
    </row>
    <row r="5450" spans="1:4">
      <c r="A5450" t="str">
        <f t="shared" si="92"/>
        <v>792Average Win</v>
      </c>
      <c r="B5450">
        <v>792</v>
      </c>
      <c r="C5450" s="9" t="s">
        <v>25</v>
      </c>
      <c r="D5450" s="8">
        <v>1.6000000000000001E-3</v>
      </c>
    </row>
    <row r="5451" spans="1:4">
      <c r="A5451" t="str">
        <f t="shared" si="92"/>
        <v>792Average Loss</v>
      </c>
      <c r="B5451">
        <v>792</v>
      </c>
      <c r="C5451" s="9" t="s">
        <v>29</v>
      </c>
      <c r="D5451" s="8">
        <v>-4.7999999999999996E-3</v>
      </c>
    </row>
    <row r="5452" spans="1:4">
      <c r="A5452" t="str">
        <f t="shared" si="92"/>
        <v>792Compounding Annual Return</v>
      </c>
      <c r="B5452">
        <v>792</v>
      </c>
      <c r="C5452" s="9" t="s">
        <v>30</v>
      </c>
      <c r="D5452" s="8">
        <v>-9.7049999999999997E-2</v>
      </c>
    </row>
    <row r="5453" spans="1:4">
      <c r="A5453" t="str">
        <f t="shared" si="92"/>
        <v>792Drawdown</v>
      </c>
      <c r="B5453">
        <v>792</v>
      </c>
      <c r="C5453" s="9" t="s">
        <v>8</v>
      </c>
      <c r="D5453" s="8">
        <v>9.9000000000000005E-2</v>
      </c>
    </row>
    <row r="5454" spans="1:4">
      <c r="A5454" t="str">
        <f t="shared" si="92"/>
        <v>792Expectancy</v>
      </c>
      <c r="B5454">
        <v>792</v>
      </c>
      <c r="C5454" s="9" t="s">
        <v>31</v>
      </c>
      <c r="D5454" s="8">
        <v>-0.20699999999999999</v>
      </c>
    </row>
    <row r="5455" spans="1:4">
      <c r="A5455" t="str">
        <f t="shared" si="92"/>
        <v>792Net Profit</v>
      </c>
      <c r="B5455">
        <v>792</v>
      </c>
      <c r="C5455" s="9" t="s">
        <v>32</v>
      </c>
      <c r="D5455" s="8">
        <v>-6.5430000000000002E-2</v>
      </c>
    </row>
    <row r="5456" spans="1:4">
      <c r="A5456" t="str">
        <f t="shared" si="92"/>
        <v>792Loss Rate</v>
      </c>
      <c r="B5456">
        <v>792</v>
      </c>
      <c r="C5456" s="9" t="s">
        <v>33</v>
      </c>
      <c r="D5456" s="8">
        <v>0.4</v>
      </c>
    </row>
    <row r="5457" spans="1:4">
      <c r="A5457" t="str">
        <f t="shared" si="92"/>
        <v>792Win Rate</v>
      </c>
      <c r="B5457">
        <v>792</v>
      </c>
      <c r="C5457" s="9" t="s">
        <v>34</v>
      </c>
      <c r="D5457" s="8">
        <v>0.6</v>
      </c>
    </row>
    <row r="5458" spans="1:4">
      <c r="A5458" t="str">
        <f t="shared" si="92"/>
        <v>792Profit-Loss Ratio</v>
      </c>
      <c r="B5458">
        <v>792</v>
      </c>
      <c r="C5458" s="9" t="s">
        <v>26</v>
      </c>
      <c r="D5458" s="8">
        <v>0.33</v>
      </c>
    </row>
    <row r="5459" spans="1:4">
      <c r="A5459" t="str">
        <f t="shared" si="92"/>
        <v>792Alpha</v>
      </c>
      <c r="B5459">
        <v>792</v>
      </c>
      <c r="C5459" s="9" t="s">
        <v>23</v>
      </c>
      <c r="D5459" s="8">
        <v>-7.5999999999999998E-2</v>
      </c>
    </row>
    <row r="5460" spans="1:4">
      <c r="A5460" t="str">
        <f t="shared" si="92"/>
        <v>792Beta</v>
      </c>
      <c r="B5460">
        <v>792</v>
      </c>
      <c r="C5460" s="9" t="s">
        <v>24</v>
      </c>
      <c r="D5460" s="8">
        <v>0.156</v>
      </c>
    </row>
    <row r="5461" spans="1:4">
      <c r="A5461" t="str">
        <f t="shared" si="92"/>
        <v>792Annual Standard Deviation</v>
      </c>
      <c r="B5461">
        <v>792</v>
      </c>
      <c r="C5461" s="9" t="s">
        <v>35</v>
      </c>
      <c r="D5461" s="8">
        <v>4.4999999999999998E-2</v>
      </c>
    </row>
    <row r="5462" spans="1:4">
      <c r="A5462" t="str">
        <f t="shared" si="92"/>
        <v>792Annual Variance</v>
      </c>
      <c r="B5462">
        <v>792</v>
      </c>
      <c r="C5462" s="9" t="s">
        <v>36</v>
      </c>
      <c r="D5462" s="8">
        <v>2E-3</v>
      </c>
    </row>
    <row r="5463" spans="1:4">
      <c r="A5463" t="str">
        <f t="shared" si="92"/>
        <v>792Information Ratio</v>
      </c>
      <c r="B5463">
        <v>792</v>
      </c>
      <c r="C5463" s="9" t="s">
        <v>37</v>
      </c>
      <c r="D5463" s="8">
        <v>-1.6639999999999999</v>
      </c>
    </row>
    <row r="5464" spans="1:4">
      <c r="A5464" t="str">
        <f t="shared" si="92"/>
        <v>792Tracking Error</v>
      </c>
      <c r="B5464">
        <v>792</v>
      </c>
      <c r="C5464" s="9" t="s">
        <v>38</v>
      </c>
      <c r="D5464" s="8">
        <v>7.1999999999999995E-2</v>
      </c>
    </row>
    <row r="5465" spans="1:4">
      <c r="A5465" t="str">
        <f t="shared" si="92"/>
        <v>792Treynor Ratio</v>
      </c>
      <c r="B5465">
        <v>792</v>
      </c>
      <c r="C5465" s="9" t="s">
        <v>39</v>
      </c>
      <c r="D5465" s="8">
        <v>-0.432</v>
      </c>
    </row>
    <row r="5466" spans="1:4">
      <c r="A5466" t="str">
        <f t="shared" si="92"/>
        <v>792Total Fees</v>
      </c>
      <c r="B5466">
        <v>792</v>
      </c>
      <c r="C5466" s="9" t="s">
        <v>40</v>
      </c>
      <c r="D5466" s="8">
        <v>0</v>
      </c>
    </row>
    <row r="5467" spans="1:4">
      <c r="A5467" t="str">
        <f t="shared" si="92"/>
        <v>792Estimated Strategy Capacity</v>
      </c>
      <c r="B5467">
        <v>792</v>
      </c>
      <c r="C5467" s="9" t="s">
        <v>41</v>
      </c>
      <c r="D5467" s="8">
        <v>5200000</v>
      </c>
    </row>
    <row r="5468" spans="1:4">
      <c r="A5468" t="str">
        <f t="shared" si="92"/>
        <v>811PSR</v>
      </c>
      <c r="B5468">
        <v>811</v>
      </c>
      <c r="C5468" s="9" t="s">
        <v>27</v>
      </c>
      <c r="D5468" s="8">
        <v>0.35848999999999998</v>
      </c>
    </row>
    <row r="5469" spans="1:4">
      <c r="A5469" t="str">
        <f t="shared" si="92"/>
        <v>811Sharpe Ratio</v>
      </c>
      <c r="B5469">
        <v>811</v>
      </c>
      <c r="C5469" s="9" t="s">
        <v>1</v>
      </c>
      <c r="D5469" s="8">
        <v>0.64400000000000002</v>
      </c>
    </row>
    <row r="5470" spans="1:4">
      <c r="A5470" t="str">
        <f t="shared" si="92"/>
        <v>811Total Trades</v>
      </c>
      <c r="B5470">
        <v>811</v>
      </c>
      <c r="C5470" s="9" t="s">
        <v>28</v>
      </c>
      <c r="D5470" s="8">
        <v>1435</v>
      </c>
    </row>
    <row r="5471" spans="1:4">
      <c r="A5471" t="str">
        <f t="shared" si="92"/>
        <v>811Average Win</v>
      </c>
      <c r="B5471">
        <v>811</v>
      </c>
      <c r="C5471" s="9" t="s">
        <v>25</v>
      </c>
      <c r="D5471" s="8">
        <v>6.9999999999999999E-4</v>
      </c>
    </row>
    <row r="5472" spans="1:4">
      <c r="A5472" t="str">
        <f t="shared" si="92"/>
        <v>811Average Loss</v>
      </c>
      <c r="B5472">
        <v>811</v>
      </c>
      <c r="C5472" s="9" t="s">
        <v>29</v>
      </c>
      <c r="D5472" s="8">
        <v>-1E-3</v>
      </c>
    </row>
    <row r="5473" spans="1:4">
      <c r="A5473" t="str">
        <f t="shared" si="92"/>
        <v>811Compounding Annual Return</v>
      </c>
      <c r="B5473">
        <v>811</v>
      </c>
      <c r="C5473" s="9" t="s">
        <v>30</v>
      </c>
      <c r="D5473" s="8">
        <v>1.533E-2</v>
      </c>
    </row>
    <row r="5474" spans="1:4">
      <c r="A5474" t="str">
        <f t="shared" ref="A5474:A5537" si="93">B5474&amp;C5474</f>
        <v>811Drawdown</v>
      </c>
      <c r="B5474">
        <v>811</v>
      </c>
      <c r="C5474" s="9" t="s">
        <v>8</v>
      </c>
      <c r="D5474" s="8">
        <v>8.0000000000000002E-3</v>
      </c>
    </row>
    <row r="5475" spans="1:4">
      <c r="A5475" t="str">
        <f t="shared" si="93"/>
        <v>811Expectancy</v>
      </c>
      <c r="B5475">
        <v>811</v>
      </c>
      <c r="C5475" s="9" t="s">
        <v>31</v>
      </c>
      <c r="D5475" s="8">
        <v>0.111</v>
      </c>
    </row>
    <row r="5476" spans="1:4">
      <c r="A5476" t="str">
        <f t="shared" si="93"/>
        <v>811Net Profit</v>
      </c>
      <c r="B5476">
        <v>811</v>
      </c>
      <c r="C5476" s="9" t="s">
        <v>32</v>
      </c>
      <c r="D5476" s="8">
        <v>1.014E-2</v>
      </c>
    </row>
    <row r="5477" spans="1:4">
      <c r="A5477" t="str">
        <f t="shared" si="93"/>
        <v>811Loss Rate</v>
      </c>
      <c r="B5477">
        <v>811</v>
      </c>
      <c r="C5477" s="9" t="s">
        <v>33</v>
      </c>
      <c r="D5477" s="8">
        <v>0.36</v>
      </c>
    </row>
    <row r="5478" spans="1:4">
      <c r="A5478" t="str">
        <f t="shared" si="93"/>
        <v>811Win Rate</v>
      </c>
      <c r="B5478">
        <v>811</v>
      </c>
      <c r="C5478" s="9" t="s">
        <v>34</v>
      </c>
      <c r="D5478" s="8">
        <v>0.64</v>
      </c>
    </row>
    <row r="5479" spans="1:4">
      <c r="A5479" t="str">
        <f t="shared" si="93"/>
        <v>811Profit-Loss Ratio</v>
      </c>
      <c r="B5479">
        <v>811</v>
      </c>
      <c r="C5479" s="9" t="s">
        <v>26</v>
      </c>
      <c r="D5479" s="8">
        <v>0.74</v>
      </c>
    </row>
    <row r="5480" spans="1:4">
      <c r="A5480" t="str">
        <f t="shared" si="93"/>
        <v>811Alpha</v>
      </c>
      <c r="B5480">
        <v>811</v>
      </c>
      <c r="C5480" s="9" t="s">
        <v>23</v>
      </c>
      <c r="D5480" s="8">
        <v>1.0999999999999999E-2</v>
      </c>
    </row>
    <row r="5481" spans="1:4">
      <c r="A5481" t="str">
        <f t="shared" si="93"/>
        <v>811Beta</v>
      </c>
      <c r="B5481">
        <v>811</v>
      </c>
      <c r="C5481" s="9" t="s">
        <v>24</v>
      </c>
      <c r="D5481" s="8">
        <v>-1E-3</v>
      </c>
    </row>
    <row r="5482" spans="1:4">
      <c r="A5482" t="str">
        <f t="shared" si="93"/>
        <v>811Annual Standard Deviation</v>
      </c>
      <c r="B5482">
        <v>811</v>
      </c>
      <c r="C5482" s="9" t="s">
        <v>35</v>
      </c>
      <c r="D5482" s="8">
        <v>1.7000000000000001E-2</v>
      </c>
    </row>
    <row r="5483" spans="1:4">
      <c r="A5483" t="str">
        <f t="shared" si="93"/>
        <v>811Annual Variance</v>
      </c>
      <c r="B5483">
        <v>811</v>
      </c>
      <c r="C5483" s="9" t="s">
        <v>36</v>
      </c>
      <c r="D5483" s="8">
        <v>0</v>
      </c>
    </row>
    <row r="5484" spans="1:4">
      <c r="A5484" t="str">
        <f t="shared" si="93"/>
        <v>811Information Ratio</v>
      </c>
      <c r="B5484">
        <v>811</v>
      </c>
      <c r="C5484" s="9" t="s">
        <v>37</v>
      </c>
      <c r="D5484" s="8">
        <v>-0.58599999999999997</v>
      </c>
    </row>
    <row r="5485" spans="1:4">
      <c r="A5485" t="str">
        <f t="shared" si="93"/>
        <v>811Tracking Error</v>
      </c>
      <c r="B5485">
        <v>811</v>
      </c>
      <c r="C5485" s="9" t="s">
        <v>38</v>
      </c>
      <c r="D5485" s="8">
        <v>7.0000000000000007E-2</v>
      </c>
    </row>
    <row r="5486" spans="1:4">
      <c r="A5486" t="str">
        <f t="shared" si="93"/>
        <v>811Treynor Ratio</v>
      </c>
      <c r="B5486">
        <v>811</v>
      </c>
      <c r="C5486" s="9" t="s">
        <v>39</v>
      </c>
      <c r="D5486" s="8">
        <v>-7.4749999999999996</v>
      </c>
    </row>
    <row r="5487" spans="1:4">
      <c r="A5487" t="str">
        <f t="shared" si="93"/>
        <v>811Total Fees</v>
      </c>
      <c r="B5487">
        <v>811</v>
      </c>
      <c r="C5487" s="9" t="s">
        <v>40</v>
      </c>
      <c r="D5487" s="8">
        <v>0</v>
      </c>
    </row>
    <row r="5488" spans="1:4">
      <c r="A5488" t="str">
        <f t="shared" si="93"/>
        <v>811Estimated Strategy Capacity</v>
      </c>
      <c r="B5488">
        <v>811</v>
      </c>
      <c r="C5488" s="9" t="s">
        <v>41</v>
      </c>
      <c r="D5488" s="8">
        <v>5400000</v>
      </c>
    </row>
    <row r="5489" spans="1:4">
      <c r="A5489" t="str">
        <f t="shared" si="93"/>
        <v>812PSR</v>
      </c>
      <c r="B5489">
        <v>812</v>
      </c>
      <c r="C5489" s="9" t="s">
        <v>27</v>
      </c>
      <c r="D5489" s="8">
        <v>0.56252000000000002</v>
      </c>
    </row>
    <row r="5490" spans="1:4">
      <c r="A5490" t="str">
        <f t="shared" si="93"/>
        <v>812Sharpe Ratio</v>
      </c>
      <c r="B5490">
        <v>812</v>
      </c>
      <c r="C5490" s="9" t="s">
        <v>1</v>
      </c>
      <c r="D5490" s="8">
        <v>1.1739999999999999</v>
      </c>
    </row>
    <row r="5491" spans="1:4">
      <c r="A5491" t="str">
        <f t="shared" si="93"/>
        <v>812Total Trades</v>
      </c>
      <c r="B5491">
        <v>812</v>
      </c>
      <c r="C5491" s="9" t="s">
        <v>28</v>
      </c>
      <c r="D5491" s="8">
        <v>1077</v>
      </c>
    </row>
    <row r="5492" spans="1:4">
      <c r="A5492" t="str">
        <f t="shared" si="93"/>
        <v>812Average Win</v>
      </c>
      <c r="B5492">
        <v>812</v>
      </c>
      <c r="C5492" s="9" t="s">
        <v>25</v>
      </c>
      <c r="D5492" s="8">
        <v>1.9E-3</v>
      </c>
    </row>
    <row r="5493" spans="1:4">
      <c r="A5493" t="str">
        <f t="shared" si="93"/>
        <v>812Average Loss</v>
      </c>
      <c r="B5493">
        <v>812</v>
      </c>
      <c r="C5493" s="9" t="s">
        <v>29</v>
      </c>
      <c r="D5493" s="8">
        <v>-2.5000000000000001E-3</v>
      </c>
    </row>
    <row r="5494" spans="1:4">
      <c r="A5494" t="str">
        <f t="shared" si="93"/>
        <v>812Compounding Annual Return</v>
      </c>
      <c r="B5494">
        <v>812</v>
      </c>
      <c r="C5494" s="9" t="s">
        <v>30</v>
      </c>
      <c r="D5494" s="8">
        <v>6.5040000000000001E-2</v>
      </c>
    </row>
    <row r="5495" spans="1:4">
      <c r="A5495" t="str">
        <f t="shared" si="93"/>
        <v>812Drawdown</v>
      </c>
      <c r="B5495">
        <v>812</v>
      </c>
      <c r="C5495" s="9" t="s">
        <v>8</v>
      </c>
      <c r="D5495" s="8">
        <v>1.7999999999999999E-2</v>
      </c>
    </row>
    <row r="5496" spans="1:4">
      <c r="A5496" t="str">
        <f t="shared" si="93"/>
        <v>812Expectancy</v>
      </c>
      <c r="B5496">
        <v>812</v>
      </c>
      <c r="C5496" s="9" t="s">
        <v>31</v>
      </c>
      <c r="D5496" s="8">
        <v>0.19700000000000001</v>
      </c>
    </row>
    <row r="5497" spans="1:4">
      <c r="A5497" t="str">
        <f t="shared" si="93"/>
        <v>812Net Profit</v>
      </c>
      <c r="B5497">
        <v>812</v>
      </c>
      <c r="C5497" s="9" t="s">
        <v>32</v>
      </c>
      <c r="D5497" s="8">
        <v>4.2659999999999997E-2</v>
      </c>
    </row>
    <row r="5498" spans="1:4">
      <c r="A5498" t="str">
        <f t="shared" si="93"/>
        <v>812Loss Rate</v>
      </c>
      <c r="B5498">
        <v>812</v>
      </c>
      <c r="C5498" s="9" t="s">
        <v>33</v>
      </c>
      <c r="D5498" s="8">
        <v>0.32</v>
      </c>
    </row>
    <row r="5499" spans="1:4">
      <c r="A5499" t="str">
        <f t="shared" si="93"/>
        <v>812Win Rate</v>
      </c>
      <c r="B5499">
        <v>812</v>
      </c>
      <c r="C5499" s="9" t="s">
        <v>34</v>
      </c>
      <c r="D5499" s="8">
        <v>0.68</v>
      </c>
    </row>
    <row r="5500" spans="1:4">
      <c r="A5500" t="str">
        <f t="shared" si="93"/>
        <v>812Profit-Loss Ratio</v>
      </c>
      <c r="B5500">
        <v>812</v>
      </c>
      <c r="C5500" s="9" t="s">
        <v>26</v>
      </c>
      <c r="D5500" s="8">
        <v>0.77</v>
      </c>
    </row>
    <row r="5501" spans="1:4">
      <c r="A5501" t="str">
        <f t="shared" si="93"/>
        <v>812Alpha</v>
      </c>
      <c r="B5501">
        <v>812</v>
      </c>
      <c r="C5501" s="9" t="s">
        <v>23</v>
      </c>
      <c r="D5501" s="8">
        <v>4.3999999999999997E-2</v>
      </c>
    </row>
    <row r="5502" spans="1:4">
      <c r="A5502" t="str">
        <f t="shared" si="93"/>
        <v>812Beta</v>
      </c>
      <c r="B5502">
        <v>812</v>
      </c>
      <c r="C5502" s="9" t="s">
        <v>24</v>
      </c>
      <c r="D5502" s="8">
        <v>2.5000000000000001E-2</v>
      </c>
    </row>
    <row r="5503" spans="1:4">
      <c r="A5503" t="str">
        <f t="shared" si="93"/>
        <v>812Annual Standard Deviation</v>
      </c>
      <c r="B5503">
        <v>812</v>
      </c>
      <c r="C5503" s="9" t="s">
        <v>35</v>
      </c>
      <c r="D5503" s="8">
        <v>3.9E-2</v>
      </c>
    </row>
    <row r="5504" spans="1:4">
      <c r="A5504" t="str">
        <f t="shared" si="93"/>
        <v>812Annual Variance</v>
      </c>
      <c r="B5504">
        <v>812</v>
      </c>
      <c r="C5504" s="9" t="s">
        <v>36</v>
      </c>
      <c r="D5504" s="8">
        <v>1E-3</v>
      </c>
    </row>
    <row r="5505" spans="1:4">
      <c r="A5505" t="str">
        <f t="shared" si="93"/>
        <v>812Information Ratio</v>
      </c>
      <c r="B5505">
        <v>812</v>
      </c>
      <c r="C5505" s="9" t="s">
        <v>37</v>
      </c>
      <c r="D5505" s="8">
        <v>-8.7999999999999995E-2</v>
      </c>
    </row>
    <row r="5506" spans="1:4">
      <c r="A5506" t="str">
        <f t="shared" si="93"/>
        <v>812Tracking Error</v>
      </c>
      <c r="B5506">
        <v>812</v>
      </c>
      <c r="C5506" s="9" t="s">
        <v>38</v>
      </c>
      <c r="D5506" s="8">
        <v>7.5999999999999998E-2</v>
      </c>
    </row>
    <row r="5507" spans="1:4">
      <c r="A5507" t="str">
        <f t="shared" si="93"/>
        <v>812Treynor Ratio</v>
      </c>
      <c r="B5507">
        <v>812</v>
      </c>
      <c r="C5507" s="9" t="s">
        <v>39</v>
      </c>
      <c r="D5507" s="8">
        <v>1.8</v>
      </c>
    </row>
    <row r="5508" spans="1:4">
      <c r="A5508" t="str">
        <f t="shared" si="93"/>
        <v>812Total Fees</v>
      </c>
      <c r="B5508">
        <v>812</v>
      </c>
      <c r="C5508" s="9" t="s">
        <v>40</v>
      </c>
      <c r="D5508" s="8">
        <v>0</v>
      </c>
    </row>
    <row r="5509" spans="1:4">
      <c r="A5509" t="str">
        <f t="shared" si="93"/>
        <v>812Estimated Strategy Capacity</v>
      </c>
      <c r="B5509">
        <v>812</v>
      </c>
      <c r="C5509" s="9" t="s">
        <v>41</v>
      </c>
      <c r="D5509" s="8">
        <v>5800000</v>
      </c>
    </row>
    <row r="5510" spans="1:4">
      <c r="A5510" t="str">
        <f t="shared" si="93"/>
        <v>813PSR</v>
      </c>
      <c r="B5510">
        <v>813</v>
      </c>
      <c r="C5510" s="9" t="s">
        <v>27</v>
      </c>
      <c r="D5510" s="8">
        <v>0.51939999999999997</v>
      </c>
    </row>
    <row r="5511" spans="1:4">
      <c r="A5511" t="str">
        <f t="shared" si="93"/>
        <v>813Sharpe Ratio</v>
      </c>
      <c r="B5511">
        <v>813</v>
      </c>
      <c r="C5511" s="9" t="s">
        <v>1</v>
      </c>
      <c r="D5511" s="8">
        <v>1.069</v>
      </c>
    </row>
    <row r="5512" spans="1:4">
      <c r="A5512" t="str">
        <f t="shared" si="93"/>
        <v>813Total Trades</v>
      </c>
      <c r="B5512">
        <v>813</v>
      </c>
      <c r="C5512" s="9" t="s">
        <v>28</v>
      </c>
      <c r="D5512" s="8">
        <v>788</v>
      </c>
    </row>
    <row r="5513" spans="1:4">
      <c r="A5513" t="str">
        <f t="shared" si="93"/>
        <v>813Average Win</v>
      </c>
      <c r="B5513">
        <v>813</v>
      </c>
      <c r="C5513" s="9" t="s">
        <v>25</v>
      </c>
      <c r="D5513" s="8">
        <v>2.2000000000000001E-3</v>
      </c>
    </row>
    <row r="5514" spans="1:4">
      <c r="A5514" t="str">
        <f t="shared" si="93"/>
        <v>813Average Loss</v>
      </c>
      <c r="B5514">
        <v>813</v>
      </c>
      <c r="C5514" s="9" t="s">
        <v>29</v>
      </c>
      <c r="D5514" s="8">
        <v>-3.0999999999999999E-3</v>
      </c>
    </row>
    <row r="5515" spans="1:4">
      <c r="A5515" t="str">
        <f t="shared" si="93"/>
        <v>813Compounding Annual Return</v>
      </c>
      <c r="B5515">
        <v>813</v>
      </c>
      <c r="C5515" s="9" t="s">
        <v>30</v>
      </c>
      <c r="D5515" s="8">
        <v>6.225E-2</v>
      </c>
    </row>
    <row r="5516" spans="1:4">
      <c r="A5516" t="str">
        <f t="shared" si="93"/>
        <v>813Drawdown</v>
      </c>
      <c r="B5516">
        <v>813</v>
      </c>
      <c r="C5516" s="9" t="s">
        <v>8</v>
      </c>
      <c r="D5516" s="8">
        <v>2.8000000000000001E-2</v>
      </c>
    </row>
    <row r="5517" spans="1:4">
      <c r="A5517" t="str">
        <f t="shared" si="93"/>
        <v>813Expectancy</v>
      </c>
      <c r="B5517">
        <v>813</v>
      </c>
      <c r="C5517" s="9" t="s">
        <v>31</v>
      </c>
      <c r="D5517" s="8">
        <v>0.157</v>
      </c>
    </row>
    <row r="5518" spans="1:4">
      <c r="A5518" t="str">
        <f t="shared" si="93"/>
        <v>813Net Profit</v>
      </c>
      <c r="B5518">
        <v>813</v>
      </c>
      <c r="C5518" s="9" t="s">
        <v>32</v>
      </c>
      <c r="D5518" s="8">
        <v>4.0849999999999997E-2</v>
      </c>
    </row>
    <row r="5519" spans="1:4">
      <c r="A5519" t="str">
        <f t="shared" si="93"/>
        <v>813Loss Rate</v>
      </c>
      <c r="B5519">
        <v>813</v>
      </c>
      <c r="C5519" s="9" t="s">
        <v>33</v>
      </c>
      <c r="D5519" s="8">
        <v>0.33</v>
      </c>
    </row>
    <row r="5520" spans="1:4">
      <c r="A5520" t="str">
        <f t="shared" si="93"/>
        <v>813Win Rate</v>
      </c>
      <c r="B5520">
        <v>813</v>
      </c>
      <c r="C5520" s="9" t="s">
        <v>34</v>
      </c>
      <c r="D5520" s="8">
        <v>0.67</v>
      </c>
    </row>
    <row r="5521" spans="1:4">
      <c r="A5521" t="str">
        <f t="shared" si="93"/>
        <v>813Profit-Loss Ratio</v>
      </c>
      <c r="B5521">
        <v>813</v>
      </c>
      <c r="C5521" s="9" t="s">
        <v>26</v>
      </c>
      <c r="D5521" s="8">
        <v>0.72</v>
      </c>
    </row>
    <row r="5522" spans="1:4">
      <c r="A5522" t="str">
        <f t="shared" si="93"/>
        <v>813Alpha</v>
      </c>
      <c r="B5522">
        <v>813</v>
      </c>
      <c r="C5522" s="9" t="s">
        <v>23</v>
      </c>
      <c r="D5522" s="8">
        <v>4.2000000000000003E-2</v>
      </c>
    </row>
    <row r="5523" spans="1:4">
      <c r="A5523" t="str">
        <f t="shared" si="93"/>
        <v>813Beta</v>
      </c>
      <c r="B5523">
        <v>813</v>
      </c>
      <c r="C5523" s="9" t="s">
        <v>24</v>
      </c>
      <c r="D5523" s="8">
        <v>2.5000000000000001E-2</v>
      </c>
    </row>
    <row r="5524" spans="1:4">
      <c r="A5524" t="str">
        <f t="shared" si="93"/>
        <v>813Annual Standard Deviation</v>
      </c>
      <c r="B5524">
        <v>813</v>
      </c>
      <c r="C5524" s="9" t="s">
        <v>35</v>
      </c>
      <c r="D5524" s="8">
        <v>4.1000000000000002E-2</v>
      </c>
    </row>
    <row r="5525" spans="1:4">
      <c r="A5525" t="str">
        <f t="shared" si="93"/>
        <v>813Annual Variance</v>
      </c>
      <c r="B5525">
        <v>813</v>
      </c>
      <c r="C5525" s="9" t="s">
        <v>36</v>
      </c>
      <c r="D5525" s="8">
        <v>2E-3</v>
      </c>
    </row>
    <row r="5526" spans="1:4">
      <c r="A5526" t="str">
        <f t="shared" si="93"/>
        <v>813Information Ratio</v>
      </c>
      <c r="B5526">
        <v>813</v>
      </c>
      <c r="C5526" s="9" t="s">
        <v>37</v>
      </c>
      <c r="D5526" s="8">
        <v>-0.10199999999999999</v>
      </c>
    </row>
    <row r="5527" spans="1:4">
      <c r="A5527" t="str">
        <f t="shared" si="93"/>
        <v>813Tracking Error</v>
      </c>
      <c r="B5527">
        <v>813</v>
      </c>
      <c r="C5527" s="9" t="s">
        <v>38</v>
      </c>
      <c r="D5527" s="8">
        <v>7.6999999999999999E-2</v>
      </c>
    </row>
    <row r="5528" spans="1:4">
      <c r="A5528" t="str">
        <f t="shared" si="93"/>
        <v>813Treynor Ratio</v>
      </c>
      <c r="B5528">
        <v>813</v>
      </c>
      <c r="C5528" s="9" t="s">
        <v>39</v>
      </c>
      <c r="D5528" s="8">
        <v>1.716</v>
      </c>
    </row>
    <row r="5529" spans="1:4">
      <c r="A5529" t="str">
        <f t="shared" si="93"/>
        <v>813Total Fees</v>
      </c>
      <c r="B5529">
        <v>813</v>
      </c>
      <c r="C5529" s="9" t="s">
        <v>40</v>
      </c>
      <c r="D5529" s="8">
        <v>0</v>
      </c>
    </row>
    <row r="5530" spans="1:4">
      <c r="A5530" t="str">
        <f t="shared" si="93"/>
        <v>813Estimated Strategy Capacity</v>
      </c>
      <c r="B5530">
        <v>813</v>
      </c>
      <c r="C5530" s="9" t="s">
        <v>41</v>
      </c>
      <c r="D5530" s="8">
        <v>5900000</v>
      </c>
    </row>
    <row r="5531" spans="1:4">
      <c r="A5531" t="str">
        <f t="shared" si="93"/>
        <v>814PSR</v>
      </c>
      <c r="B5531">
        <v>814</v>
      </c>
      <c r="C5531" s="9" t="s">
        <v>27</v>
      </c>
      <c r="D5531" s="8">
        <v>0.68003000000000002</v>
      </c>
    </row>
    <row r="5532" spans="1:4">
      <c r="A5532" t="str">
        <f t="shared" si="93"/>
        <v>814Sharpe Ratio</v>
      </c>
      <c r="B5532">
        <v>814</v>
      </c>
      <c r="C5532" s="9" t="s">
        <v>1</v>
      </c>
      <c r="D5532" s="8">
        <v>1.446</v>
      </c>
    </row>
    <row r="5533" spans="1:4">
      <c r="A5533" t="str">
        <f t="shared" si="93"/>
        <v>814Total Trades</v>
      </c>
      <c r="B5533">
        <v>814</v>
      </c>
      <c r="C5533" s="9" t="s">
        <v>28</v>
      </c>
      <c r="D5533" s="8">
        <v>884</v>
      </c>
    </row>
    <row r="5534" spans="1:4">
      <c r="A5534" t="str">
        <f t="shared" si="93"/>
        <v>814Average Win</v>
      </c>
      <c r="B5534">
        <v>814</v>
      </c>
      <c r="C5534" s="9" t="s">
        <v>25</v>
      </c>
      <c r="D5534" s="8">
        <v>6.9999999999999999E-4</v>
      </c>
    </row>
    <row r="5535" spans="1:4">
      <c r="A5535" t="str">
        <f t="shared" si="93"/>
        <v>814Average Loss</v>
      </c>
      <c r="B5535">
        <v>814</v>
      </c>
      <c r="C5535" s="9" t="s">
        <v>29</v>
      </c>
      <c r="D5535" s="8">
        <v>-8.0000000000000004E-4</v>
      </c>
    </row>
    <row r="5536" spans="1:4">
      <c r="A5536" t="str">
        <f t="shared" si="93"/>
        <v>814Compounding Annual Return</v>
      </c>
      <c r="B5536">
        <v>814</v>
      </c>
      <c r="C5536" s="9" t="s">
        <v>30</v>
      </c>
      <c r="D5536" s="8">
        <v>2.6620000000000001E-2</v>
      </c>
    </row>
    <row r="5537" spans="1:4">
      <c r="A5537" t="str">
        <f t="shared" si="93"/>
        <v>814Drawdown</v>
      </c>
      <c r="B5537">
        <v>814</v>
      </c>
      <c r="C5537" s="9" t="s">
        <v>8</v>
      </c>
      <c r="D5537" s="8">
        <v>7.0000000000000001E-3</v>
      </c>
    </row>
    <row r="5538" spans="1:4">
      <c r="A5538" t="str">
        <f t="shared" ref="A5538:A5601" si="94">B5538&amp;C5538</f>
        <v>814Expectancy</v>
      </c>
      <c r="B5538">
        <v>814</v>
      </c>
      <c r="C5538" s="9" t="s">
        <v>31</v>
      </c>
      <c r="D5538" s="8">
        <v>0.32600000000000001</v>
      </c>
    </row>
    <row r="5539" spans="1:4">
      <c r="A5539" t="str">
        <f t="shared" si="94"/>
        <v>814Net Profit</v>
      </c>
      <c r="B5539">
        <v>814</v>
      </c>
      <c r="C5539" s="9" t="s">
        <v>32</v>
      </c>
      <c r="D5539" s="8">
        <v>1.7569999999999999E-2</v>
      </c>
    </row>
    <row r="5540" spans="1:4">
      <c r="A5540" t="str">
        <f t="shared" si="94"/>
        <v>814Loss Rate</v>
      </c>
      <c r="B5540">
        <v>814</v>
      </c>
      <c r="C5540" s="9" t="s">
        <v>33</v>
      </c>
      <c r="D5540" s="8">
        <v>0.31</v>
      </c>
    </row>
    <row r="5541" spans="1:4">
      <c r="A5541" t="str">
        <f t="shared" si="94"/>
        <v>814Win Rate</v>
      </c>
      <c r="B5541">
        <v>814</v>
      </c>
      <c r="C5541" s="9" t="s">
        <v>34</v>
      </c>
      <c r="D5541" s="8">
        <v>0.69</v>
      </c>
    </row>
    <row r="5542" spans="1:4">
      <c r="A5542" t="str">
        <f t="shared" si="94"/>
        <v>814Profit-Loss Ratio</v>
      </c>
      <c r="B5542">
        <v>814</v>
      </c>
      <c r="C5542" s="9" t="s">
        <v>26</v>
      </c>
      <c r="D5542" s="8">
        <v>0.93</v>
      </c>
    </row>
    <row r="5543" spans="1:4">
      <c r="A5543" t="str">
        <f t="shared" si="94"/>
        <v>814Alpha</v>
      </c>
      <c r="B5543">
        <v>814</v>
      </c>
      <c r="C5543" s="9" t="s">
        <v>23</v>
      </c>
      <c r="D5543" s="8">
        <v>1.7999999999999999E-2</v>
      </c>
    </row>
    <row r="5544" spans="1:4">
      <c r="A5544" t="str">
        <f t="shared" si="94"/>
        <v>814Beta</v>
      </c>
      <c r="B5544">
        <v>814</v>
      </c>
      <c r="C5544" s="9" t="s">
        <v>24</v>
      </c>
      <c r="D5544" s="8">
        <v>0</v>
      </c>
    </row>
    <row r="5545" spans="1:4">
      <c r="A5545" t="str">
        <f t="shared" si="94"/>
        <v>814Annual Standard Deviation</v>
      </c>
      <c r="B5545">
        <v>814</v>
      </c>
      <c r="C5545" s="9" t="s">
        <v>35</v>
      </c>
      <c r="D5545" s="8">
        <v>1.2999999999999999E-2</v>
      </c>
    </row>
    <row r="5546" spans="1:4">
      <c r="A5546" t="str">
        <f t="shared" si="94"/>
        <v>814Annual Variance</v>
      </c>
      <c r="B5546">
        <v>814</v>
      </c>
      <c r="C5546" s="9" t="s">
        <v>36</v>
      </c>
      <c r="D5546" s="8">
        <v>0</v>
      </c>
    </row>
    <row r="5547" spans="1:4">
      <c r="A5547" t="str">
        <f t="shared" si="94"/>
        <v>814Information Ratio</v>
      </c>
      <c r="B5547">
        <v>814</v>
      </c>
      <c r="C5547" s="9" t="s">
        <v>37</v>
      </c>
      <c r="D5547" s="8">
        <v>-0.48199999999999998</v>
      </c>
    </row>
    <row r="5548" spans="1:4">
      <c r="A5548" t="str">
        <f t="shared" si="94"/>
        <v>814Tracking Error</v>
      </c>
      <c r="B5548">
        <v>814</v>
      </c>
      <c r="C5548" s="9" t="s">
        <v>38</v>
      </c>
      <c r="D5548" s="8">
        <v>6.9000000000000006E-2</v>
      </c>
    </row>
    <row r="5549" spans="1:4">
      <c r="A5549" t="str">
        <f t="shared" si="94"/>
        <v>814Treynor Ratio</v>
      </c>
      <c r="B5549">
        <v>814</v>
      </c>
      <c r="C5549" s="9" t="s">
        <v>39</v>
      </c>
      <c r="D5549" s="8">
        <v>41.758000000000003</v>
      </c>
    </row>
    <row r="5550" spans="1:4">
      <c r="A5550" t="str">
        <f t="shared" si="94"/>
        <v>814Total Fees</v>
      </c>
      <c r="B5550">
        <v>814</v>
      </c>
      <c r="C5550" s="9" t="s">
        <v>40</v>
      </c>
      <c r="D5550" s="8">
        <v>0</v>
      </c>
    </row>
    <row r="5551" spans="1:4">
      <c r="A5551" t="str">
        <f t="shared" si="94"/>
        <v>814Estimated Strategy Capacity</v>
      </c>
      <c r="B5551">
        <v>814</v>
      </c>
      <c r="C5551" s="9" t="s">
        <v>41</v>
      </c>
      <c r="D5551" s="8">
        <v>200000000</v>
      </c>
    </row>
    <row r="5552" spans="1:4">
      <c r="A5552" t="str">
        <f t="shared" si="94"/>
        <v>815PSR</v>
      </c>
      <c r="B5552">
        <v>815</v>
      </c>
      <c r="C5552" s="9" t="s">
        <v>27</v>
      </c>
      <c r="D5552" s="8">
        <v>0.69784000000000002</v>
      </c>
    </row>
    <row r="5553" spans="1:4">
      <c r="A5553" t="str">
        <f t="shared" si="94"/>
        <v>815Sharpe Ratio</v>
      </c>
      <c r="B5553">
        <v>815</v>
      </c>
      <c r="C5553" s="9" t="s">
        <v>1</v>
      </c>
      <c r="D5553" s="8">
        <v>1.5469999999999999</v>
      </c>
    </row>
    <row r="5554" spans="1:4">
      <c r="A5554" t="str">
        <f t="shared" si="94"/>
        <v>815Total Trades</v>
      </c>
      <c r="B5554">
        <v>815</v>
      </c>
      <c r="C5554" s="9" t="s">
        <v>28</v>
      </c>
      <c r="D5554" s="8">
        <v>676</v>
      </c>
    </row>
    <row r="5555" spans="1:4">
      <c r="A5555" t="str">
        <f t="shared" si="94"/>
        <v>815Average Win</v>
      </c>
      <c r="B5555">
        <v>815</v>
      </c>
      <c r="C5555" s="9" t="s">
        <v>25</v>
      </c>
      <c r="D5555" s="8">
        <v>1.8E-3</v>
      </c>
    </row>
    <row r="5556" spans="1:4">
      <c r="A5556" t="str">
        <f t="shared" si="94"/>
        <v>815Average Loss</v>
      </c>
      <c r="B5556">
        <v>815</v>
      </c>
      <c r="C5556" s="9" t="s">
        <v>29</v>
      </c>
      <c r="D5556" s="8">
        <v>-2.0999999999999999E-3</v>
      </c>
    </row>
    <row r="5557" spans="1:4">
      <c r="A5557" t="str">
        <f t="shared" si="94"/>
        <v>815Compounding Annual Return</v>
      </c>
      <c r="B5557">
        <v>815</v>
      </c>
      <c r="C5557" s="9" t="s">
        <v>30</v>
      </c>
      <c r="D5557" s="8">
        <v>6.5100000000000005E-2</v>
      </c>
    </row>
    <row r="5558" spans="1:4">
      <c r="A5558" t="str">
        <f t="shared" si="94"/>
        <v>815Drawdown</v>
      </c>
      <c r="B5558">
        <v>815</v>
      </c>
      <c r="C5558" s="9" t="s">
        <v>8</v>
      </c>
      <c r="D5558" s="8">
        <v>1.6E-2</v>
      </c>
    </row>
    <row r="5559" spans="1:4">
      <c r="A5559" t="str">
        <f t="shared" si="94"/>
        <v>815Expectancy</v>
      </c>
      <c r="B5559">
        <v>815</v>
      </c>
      <c r="C5559" s="9" t="s">
        <v>31</v>
      </c>
      <c r="D5559" s="8">
        <v>0.30099999999999999</v>
      </c>
    </row>
    <row r="5560" spans="1:4">
      <c r="A5560" t="str">
        <f t="shared" si="94"/>
        <v>815Net Profit</v>
      </c>
      <c r="B5560">
        <v>815</v>
      </c>
      <c r="C5560" s="9" t="s">
        <v>32</v>
      </c>
      <c r="D5560" s="8">
        <v>4.2700000000000002E-2</v>
      </c>
    </row>
    <row r="5561" spans="1:4">
      <c r="A5561" t="str">
        <f t="shared" si="94"/>
        <v>815Loss Rate</v>
      </c>
      <c r="B5561">
        <v>815</v>
      </c>
      <c r="C5561" s="9" t="s">
        <v>33</v>
      </c>
      <c r="D5561" s="8">
        <v>0.3</v>
      </c>
    </row>
    <row r="5562" spans="1:4">
      <c r="A5562" t="str">
        <f t="shared" si="94"/>
        <v>815Win Rate</v>
      </c>
      <c r="B5562">
        <v>815</v>
      </c>
      <c r="C5562" s="9" t="s">
        <v>34</v>
      </c>
      <c r="D5562" s="8">
        <v>0.7</v>
      </c>
    </row>
    <row r="5563" spans="1:4">
      <c r="A5563" t="str">
        <f t="shared" si="94"/>
        <v>815Profit-Loss Ratio</v>
      </c>
      <c r="B5563">
        <v>815</v>
      </c>
      <c r="C5563" s="9" t="s">
        <v>26</v>
      </c>
      <c r="D5563" s="8">
        <v>0.87</v>
      </c>
    </row>
    <row r="5564" spans="1:4">
      <c r="A5564" t="str">
        <f t="shared" si="94"/>
        <v>815Alpha</v>
      </c>
      <c r="B5564">
        <v>815</v>
      </c>
      <c r="C5564" s="9" t="s">
        <v>23</v>
      </c>
      <c r="D5564" s="8">
        <v>4.2000000000000003E-2</v>
      </c>
    </row>
    <row r="5565" spans="1:4">
      <c r="A5565" t="str">
        <f t="shared" si="94"/>
        <v>815Beta</v>
      </c>
      <c r="B5565">
        <v>815</v>
      </c>
      <c r="C5565" s="9" t="s">
        <v>24</v>
      </c>
      <c r="D5565" s="8">
        <v>5.5E-2</v>
      </c>
    </row>
    <row r="5566" spans="1:4">
      <c r="A5566" t="str">
        <f t="shared" si="94"/>
        <v>815Annual Standard Deviation</v>
      </c>
      <c r="B5566">
        <v>815</v>
      </c>
      <c r="C5566" s="9" t="s">
        <v>35</v>
      </c>
      <c r="D5566" s="8">
        <v>2.9000000000000001E-2</v>
      </c>
    </row>
    <row r="5567" spans="1:4">
      <c r="A5567" t="str">
        <f t="shared" si="94"/>
        <v>815Annual Variance</v>
      </c>
      <c r="B5567">
        <v>815</v>
      </c>
      <c r="C5567" s="9" t="s">
        <v>36</v>
      </c>
      <c r="D5567" s="8">
        <v>1E-3</v>
      </c>
    </row>
    <row r="5568" spans="1:4">
      <c r="A5568" t="str">
        <f t="shared" si="94"/>
        <v>815Information Ratio</v>
      </c>
      <c r="B5568">
        <v>815</v>
      </c>
      <c r="C5568" s="9" t="s">
        <v>37</v>
      </c>
      <c r="D5568" s="8">
        <v>-9.0999999999999998E-2</v>
      </c>
    </row>
    <row r="5569" spans="1:4">
      <c r="A5569" t="str">
        <f t="shared" si="94"/>
        <v>815Tracking Error</v>
      </c>
      <c r="B5569">
        <v>815</v>
      </c>
      <c r="C5569" s="9" t="s">
        <v>38</v>
      </c>
      <c r="D5569" s="8">
        <v>7.0000000000000007E-2</v>
      </c>
    </row>
    <row r="5570" spans="1:4">
      <c r="A5570" t="str">
        <f t="shared" si="94"/>
        <v>815Treynor Ratio</v>
      </c>
      <c r="B5570">
        <v>815</v>
      </c>
      <c r="C5570" s="9" t="s">
        <v>39</v>
      </c>
      <c r="D5570" s="8">
        <v>0.82699999999999996</v>
      </c>
    </row>
    <row r="5571" spans="1:4">
      <c r="A5571" t="str">
        <f t="shared" si="94"/>
        <v>815Total Fees</v>
      </c>
      <c r="B5571">
        <v>815</v>
      </c>
      <c r="C5571" s="9" t="s">
        <v>40</v>
      </c>
      <c r="D5571" s="8">
        <v>0</v>
      </c>
    </row>
    <row r="5572" spans="1:4">
      <c r="A5572" t="str">
        <f t="shared" si="94"/>
        <v>815Estimated Strategy Capacity</v>
      </c>
      <c r="B5572">
        <v>815</v>
      </c>
      <c r="C5572" s="9" t="s">
        <v>41</v>
      </c>
      <c r="D5572" s="8">
        <v>25000000</v>
      </c>
    </row>
    <row r="5573" spans="1:4">
      <c r="A5573" t="str">
        <f t="shared" si="94"/>
        <v>816PSR</v>
      </c>
      <c r="B5573">
        <v>816</v>
      </c>
      <c r="C5573" s="9" t="s">
        <v>27</v>
      </c>
      <c r="D5573" s="8">
        <v>0.58718999999999999</v>
      </c>
    </row>
    <row r="5574" spans="1:4">
      <c r="A5574" t="str">
        <f t="shared" si="94"/>
        <v>816Sharpe Ratio</v>
      </c>
      <c r="B5574">
        <v>816</v>
      </c>
      <c r="C5574" s="9" t="s">
        <v>1</v>
      </c>
      <c r="D5574" s="8">
        <v>1.2470000000000001</v>
      </c>
    </row>
    <row r="5575" spans="1:4">
      <c r="A5575" t="str">
        <f t="shared" si="94"/>
        <v>816Total Trades</v>
      </c>
      <c r="B5575">
        <v>816</v>
      </c>
      <c r="C5575" s="9" t="s">
        <v>28</v>
      </c>
      <c r="D5575" s="8">
        <v>506</v>
      </c>
    </row>
    <row r="5576" spans="1:4">
      <c r="A5576" t="str">
        <f t="shared" si="94"/>
        <v>816Average Win</v>
      </c>
      <c r="B5576">
        <v>816</v>
      </c>
      <c r="C5576" s="9" t="s">
        <v>25</v>
      </c>
      <c r="D5576" s="8">
        <v>2.3999999999999998E-3</v>
      </c>
    </row>
    <row r="5577" spans="1:4">
      <c r="A5577" t="str">
        <f t="shared" si="94"/>
        <v>816Average Loss</v>
      </c>
      <c r="B5577">
        <v>816</v>
      </c>
      <c r="C5577" s="9" t="s">
        <v>29</v>
      </c>
      <c r="D5577" s="8">
        <v>-2.5000000000000001E-3</v>
      </c>
    </row>
    <row r="5578" spans="1:4">
      <c r="A5578" t="str">
        <f t="shared" si="94"/>
        <v>816Compounding Annual Return</v>
      </c>
      <c r="B5578">
        <v>816</v>
      </c>
      <c r="C5578" s="9" t="s">
        <v>30</v>
      </c>
      <c r="D5578" s="8">
        <v>6.8180000000000004E-2</v>
      </c>
    </row>
    <row r="5579" spans="1:4">
      <c r="A5579" t="str">
        <f t="shared" si="94"/>
        <v>816Drawdown</v>
      </c>
      <c r="B5579">
        <v>816</v>
      </c>
      <c r="C5579" s="9" t="s">
        <v>8</v>
      </c>
      <c r="D5579" s="8">
        <v>2.1000000000000001E-2</v>
      </c>
    </row>
    <row r="5580" spans="1:4">
      <c r="A5580" t="str">
        <f t="shared" si="94"/>
        <v>816Expectancy</v>
      </c>
      <c r="B5580">
        <v>816</v>
      </c>
      <c r="C5580" s="9" t="s">
        <v>31</v>
      </c>
      <c r="D5580" s="8">
        <v>0.26300000000000001</v>
      </c>
    </row>
    <row r="5581" spans="1:4">
      <c r="A5581" t="str">
        <f t="shared" si="94"/>
        <v>816Net Profit</v>
      </c>
      <c r="B5581">
        <v>816</v>
      </c>
      <c r="C5581" s="9" t="s">
        <v>32</v>
      </c>
      <c r="D5581" s="8">
        <v>4.4690000000000001E-2</v>
      </c>
    </row>
    <row r="5582" spans="1:4">
      <c r="A5582" t="str">
        <f t="shared" si="94"/>
        <v>816Loss Rate</v>
      </c>
      <c r="B5582">
        <v>816</v>
      </c>
      <c r="C5582" s="9" t="s">
        <v>33</v>
      </c>
      <c r="D5582" s="8">
        <v>0.35</v>
      </c>
    </row>
    <row r="5583" spans="1:4">
      <c r="A5583" t="str">
        <f t="shared" si="94"/>
        <v>816Win Rate</v>
      </c>
      <c r="B5583">
        <v>816</v>
      </c>
      <c r="C5583" s="9" t="s">
        <v>34</v>
      </c>
      <c r="D5583" s="8">
        <v>0.65</v>
      </c>
    </row>
    <row r="5584" spans="1:4">
      <c r="A5584" t="str">
        <f t="shared" si="94"/>
        <v>816Profit-Loss Ratio</v>
      </c>
      <c r="B5584">
        <v>816</v>
      </c>
      <c r="C5584" s="9" t="s">
        <v>26</v>
      </c>
      <c r="D5584" s="8">
        <v>0.94</v>
      </c>
    </row>
    <row r="5585" spans="1:4">
      <c r="A5585" t="str">
        <f t="shared" si="94"/>
        <v>816Alpha</v>
      </c>
      <c r="B5585">
        <v>816</v>
      </c>
      <c r="C5585" s="9" t="s">
        <v>23</v>
      </c>
      <c r="D5585" s="8">
        <v>4.5999999999999999E-2</v>
      </c>
    </row>
    <row r="5586" spans="1:4">
      <c r="A5586" t="str">
        <f t="shared" si="94"/>
        <v>816Beta</v>
      </c>
      <c r="B5586">
        <v>816</v>
      </c>
      <c r="C5586" s="9" t="s">
        <v>24</v>
      </c>
      <c r="D5586" s="8">
        <v>2.9000000000000001E-2</v>
      </c>
    </row>
    <row r="5587" spans="1:4">
      <c r="A5587" t="str">
        <f t="shared" si="94"/>
        <v>816Annual Standard Deviation</v>
      </c>
      <c r="B5587">
        <v>816</v>
      </c>
      <c r="C5587" s="9" t="s">
        <v>35</v>
      </c>
      <c r="D5587" s="8">
        <v>3.7999999999999999E-2</v>
      </c>
    </row>
    <row r="5588" spans="1:4">
      <c r="A5588" t="str">
        <f t="shared" si="94"/>
        <v>816Annual Variance</v>
      </c>
      <c r="B5588">
        <v>816</v>
      </c>
      <c r="C5588" s="9" t="s">
        <v>36</v>
      </c>
      <c r="D5588" s="8">
        <v>1E-3</v>
      </c>
    </row>
    <row r="5589" spans="1:4">
      <c r="A5589" t="str">
        <f t="shared" si="94"/>
        <v>816Information Ratio</v>
      </c>
      <c r="B5589">
        <v>816</v>
      </c>
      <c r="C5589" s="9" t="s">
        <v>37</v>
      </c>
      <c r="D5589" s="8">
        <v>-5.1999999999999998E-2</v>
      </c>
    </row>
    <row r="5590" spans="1:4">
      <c r="A5590" t="str">
        <f t="shared" si="94"/>
        <v>816Tracking Error</v>
      </c>
      <c r="B5590">
        <v>816</v>
      </c>
      <c r="C5590" s="9" t="s">
        <v>38</v>
      </c>
      <c r="D5590" s="8">
        <v>7.5999999999999998E-2</v>
      </c>
    </row>
    <row r="5591" spans="1:4">
      <c r="A5591" t="str">
        <f t="shared" si="94"/>
        <v>816Treynor Ratio</v>
      </c>
      <c r="B5591">
        <v>816</v>
      </c>
      <c r="C5591" s="9" t="s">
        <v>39</v>
      </c>
      <c r="D5591" s="8">
        <v>1.6439999999999999</v>
      </c>
    </row>
    <row r="5592" spans="1:4">
      <c r="A5592" t="str">
        <f t="shared" si="94"/>
        <v>816Total Fees</v>
      </c>
      <c r="B5592">
        <v>816</v>
      </c>
      <c r="C5592" s="9" t="s">
        <v>40</v>
      </c>
      <c r="D5592" s="8">
        <v>0</v>
      </c>
    </row>
    <row r="5593" spans="1:4">
      <c r="A5593" t="str">
        <f t="shared" si="94"/>
        <v>816Estimated Strategy Capacity</v>
      </c>
      <c r="B5593">
        <v>816</v>
      </c>
      <c r="C5593" s="9" t="s">
        <v>41</v>
      </c>
      <c r="D5593" s="8">
        <v>8500000</v>
      </c>
    </row>
    <row r="5594" spans="1:4">
      <c r="A5594" t="str">
        <f t="shared" si="94"/>
        <v>817PSR</v>
      </c>
      <c r="B5594">
        <v>817</v>
      </c>
      <c r="C5594" s="9" t="s">
        <v>27</v>
      </c>
      <c r="D5594" s="8">
        <v>0.18404000000000001</v>
      </c>
    </row>
    <row r="5595" spans="1:4">
      <c r="A5595" t="str">
        <f t="shared" si="94"/>
        <v>817Sharpe Ratio</v>
      </c>
      <c r="B5595">
        <v>817</v>
      </c>
      <c r="C5595" s="9" t="s">
        <v>1</v>
      </c>
      <c r="D5595" s="8">
        <v>6.8000000000000005E-2</v>
      </c>
    </row>
    <row r="5596" spans="1:4">
      <c r="A5596" t="str">
        <f t="shared" si="94"/>
        <v>817Total Trades</v>
      </c>
      <c r="B5596">
        <v>817</v>
      </c>
      <c r="C5596" s="9" t="s">
        <v>28</v>
      </c>
      <c r="D5596" s="8">
        <v>714</v>
      </c>
    </row>
    <row r="5597" spans="1:4">
      <c r="A5597" t="str">
        <f t="shared" si="94"/>
        <v>817Average Win</v>
      </c>
      <c r="B5597">
        <v>817</v>
      </c>
      <c r="C5597" s="9" t="s">
        <v>25</v>
      </c>
      <c r="D5597" s="8">
        <v>8.0000000000000004E-4</v>
      </c>
    </row>
    <row r="5598" spans="1:4">
      <c r="A5598" t="str">
        <f t="shared" si="94"/>
        <v>817Average Loss</v>
      </c>
      <c r="B5598">
        <v>817</v>
      </c>
      <c r="C5598" s="9" t="s">
        <v>29</v>
      </c>
      <c r="D5598" s="8">
        <v>-1.4E-3</v>
      </c>
    </row>
    <row r="5599" spans="1:4">
      <c r="A5599" t="str">
        <f t="shared" si="94"/>
        <v>817Compounding Annual Return</v>
      </c>
      <c r="B5599">
        <v>817</v>
      </c>
      <c r="C5599" s="9" t="s">
        <v>30</v>
      </c>
      <c r="D5599" s="8">
        <v>1.6299999999999999E-3</v>
      </c>
    </row>
    <row r="5600" spans="1:4">
      <c r="A5600" t="str">
        <f t="shared" si="94"/>
        <v>817Drawdown</v>
      </c>
      <c r="B5600">
        <v>817</v>
      </c>
      <c r="C5600" s="9" t="s">
        <v>8</v>
      </c>
      <c r="D5600" s="8">
        <v>1.7000000000000001E-2</v>
      </c>
    </row>
    <row r="5601" spans="1:4">
      <c r="A5601" t="str">
        <f t="shared" si="94"/>
        <v>817Expectancy</v>
      </c>
      <c r="B5601">
        <v>817</v>
      </c>
      <c r="C5601" s="9" t="s">
        <v>31</v>
      </c>
      <c r="D5601" s="8">
        <v>5.0000000000000001E-3</v>
      </c>
    </row>
    <row r="5602" spans="1:4">
      <c r="A5602" t="str">
        <f t="shared" ref="A5602:A5665" si="95">B5602&amp;C5602</f>
        <v>817Net Profit</v>
      </c>
      <c r="B5602">
        <v>817</v>
      </c>
      <c r="C5602" s="9" t="s">
        <v>32</v>
      </c>
      <c r="D5602" s="8">
        <v>1.08E-3</v>
      </c>
    </row>
    <row r="5603" spans="1:4">
      <c r="A5603" t="str">
        <f t="shared" si="95"/>
        <v>817Loss Rate</v>
      </c>
      <c r="B5603">
        <v>817</v>
      </c>
      <c r="C5603" s="9" t="s">
        <v>33</v>
      </c>
      <c r="D5603" s="8">
        <v>0.36</v>
      </c>
    </row>
    <row r="5604" spans="1:4">
      <c r="A5604" t="str">
        <f t="shared" si="95"/>
        <v>817Win Rate</v>
      </c>
      <c r="B5604">
        <v>817</v>
      </c>
      <c r="C5604" s="9" t="s">
        <v>34</v>
      </c>
      <c r="D5604" s="8">
        <v>0.64</v>
      </c>
    </row>
    <row r="5605" spans="1:4">
      <c r="A5605" t="str">
        <f t="shared" si="95"/>
        <v>817Profit-Loss Ratio</v>
      </c>
      <c r="B5605">
        <v>817</v>
      </c>
      <c r="C5605" s="9" t="s">
        <v>26</v>
      </c>
      <c r="D5605" s="8">
        <v>0.56000000000000005</v>
      </c>
    </row>
    <row r="5606" spans="1:4">
      <c r="A5606" t="str">
        <f t="shared" si="95"/>
        <v>817Alpha</v>
      </c>
      <c r="B5606">
        <v>817</v>
      </c>
      <c r="C5606" s="9" t="s">
        <v>23</v>
      </c>
      <c r="D5606" s="8">
        <v>0</v>
      </c>
    </row>
    <row r="5607" spans="1:4">
      <c r="A5607" t="str">
        <f t="shared" si="95"/>
        <v>817Beta</v>
      </c>
      <c r="B5607">
        <v>817</v>
      </c>
      <c r="C5607" s="9" t="s">
        <v>24</v>
      </c>
      <c r="D5607" s="8">
        <v>2.9000000000000001E-2</v>
      </c>
    </row>
    <row r="5608" spans="1:4">
      <c r="A5608" t="str">
        <f t="shared" si="95"/>
        <v>817Annual Standard Deviation</v>
      </c>
      <c r="B5608">
        <v>817</v>
      </c>
      <c r="C5608" s="9" t="s">
        <v>35</v>
      </c>
      <c r="D5608" s="8">
        <v>1.9E-2</v>
      </c>
    </row>
    <row r="5609" spans="1:4">
      <c r="A5609" t="str">
        <f t="shared" si="95"/>
        <v>817Annual Variance</v>
      </c>
      <c r="B5609">
        <v>817</v>
      </c>
      <c r="C5609" s="9" t="s">
        <v>36</v>
      </c>
      <c r="D5609" s="8">
        <v>0</v>
      </c>
    </row>
    <row r="5610" spans="1:4">
      <c r="A5610" t="str">
        <f t="shared" si="95"/>
        <v>817Information Ratio</v>
      </c>
      <c r="B5610">
        <v>817</v>
      </c>
      <c r="C5610" s="9" t="s">
        <v>37</v>
      </c>
      <c r="D5610" s="8">
        <v>-0.73599999999999999</v>
      </c>
    </row>
    <row r="5611" spans="1:4">
      <c r="A5611" t="str">
        <f t="shared" si="95"/>
        <v>817Tracking Error</v>
      </c>
      <c r="B5611">
        <v>817</v>
      </c>
      <c r="C5611" s="9" t="s">
        <v>38</v>
      </c>
      <c r="D5611" s="8">
        <v>6.8000000000000005E-2</v>
      </c>
    </row>
    <row r="5612" spans="1:4">
      <c r="A5612" t="str">
        <f t="shared" si="95"/>
        <v>817Treynor Ratio</v>
      </c>
      <c r="B5612">
        <v>817</v>
      </c>
      <c r="C5612" s="9" t="s">
        <v>39</v>
      </c>
      <c r="D5612" s="8">
        <v>4.5999999999999999E-2</v>
      </c>
    </row>
    <row r="5613" spans="1:4">
      <c r="A5613" t="str">
        <f t="shared" si="95"/>
        <v>817Total Fees</v>
      </c>
      <c r="B5613">
        <v>817</v>
      </c>
      <c r="C5613" s="9" t="s">
        <v>40</v>
      </c>
      <c r="D5613" s="8">
        <v>0</v>
      </c>
    </row>
    <row r="5614" spans="1:4">
      <c r="A5614" t="str">
        <f t="shared" si="95"/>
        <v>817Estimated Strategy Capacity</v>
      </c>
      <c r="B5614">
        <v>817</v>
      </c>
      <c r="C5614" s="9" t="s">
        <v>41</v>
      </c>
      <c r="D5614" s="8">
        <v>7300000</v>
      </c>
    </row>
    <row r="5615" spans="1:4">
      <c r="A5615" t="str">
        <f t="shared" si="95"/>
        <v>818PSR</v>
      </c>
      <c r="B5615">
        <v>818</v>
      </c>
      <c r="C5615" s="9" t="s">
        <v>27</v>
      </c>
      <c r="D5615" s="8">
        <v>0.31830000000000003</v>
      </c>
    </row>
    <row r="5616" spans="1:4">
      <c r="A5616" t="str">
        <f t="shared" si="95"/>
        <v>818Sharpe Ratio</v>
      </c>
      <c r="B5616">
        <v>818</v>
      </c>
      <c r="C5616" s="9" t="s">
        <v>1</v>
      </c>
      <c r="D5616" s="8">
        <v>0.496</v>
      </c>
    </row>
    <row r="5617" spans="1:4">
      <c r="A5617" t="str">
        <f t="shared" si="95"/>
        <v>818Total Trades</v>
      </c>
      <c r="B5617">
        <v>818</v>
      </c>
      <c r="C5617" s="9" t="s">
        <v>28</v>
      </c>
      <c r="D5617" s="8">
        <v>531</v>
      </c>
    </row>
    <row r="5618" spans="1:4">
      <c r="A5618" t="str">
        <f t="shared" si="95"/>
        <v>818Average Win</v>
      </c>
      <c r="B5618">
        <v>818</v>
      </c>
      <c r="C5618" s="9" t="s">
        <v>25</v>
      </c>
      <c r="D5618" s="8">
        <v>2.0999999999999999E-3</v>
      </c>
    </row>
    <row r="5619" spans="1:4">
      <c r="A5619" t="str">
        <f t="shared" si="95"/>
        <v>818Average Loss</v>
      </c>
      <c r="B5619">
        <v>818</v>
      </c>
      <c r="C5619" s="9" t="s">
        <v>29</v>
      </c>
      <c r="D5619" s="8">
        <v>-4.0000000000000001E-3</v>
      </c>
    </row>
    <row r="5620" spans="1:4">
      <c r="A5620" t="str">
        <f t="shared" si="95"/>
        <v>818Compounding Annual Return</v>
      </c>
      <c r="B5620">
        <v>818</v>
      </c>
      <c r="C5620" s="9" t="s">
        <v>30</v>
      </c>
      <c r="D5620" s="8">
        <v>2.7060000000000001E-2</v>
      </c>
    </row>
    <row r="5621" spans="1:4">
      <c r="A5621" t="str">
        <f t="shared" si="95"/>
        <v>818Drawdown</v>
      </c>
      <c r="B5621">
        <v>818</v>
      </c>
      <c r="C5621" s="9" t="s">
        <v>8</v>
      </c>
      <c r="D5621" s="8">
        <v>2.8000000000000001E-2</v>
      </c>
    </row>
    <row r="5622" spans="1:4">
      <c r="A5622" t="str">
        <f t="shared" si="95"/>
        <v>818Expectancy</v>
      </c>
      <c r="B5622">
        <v>818</v>
      </c>
      <c r="C5622" s="9" t="s">
        <v>31</v>
      </c>
      <c r="D5622" s="8">
        <v>8.3000000000000004E-2</v>
      </c>
    </row>
    <row r="5623" spans="1:4">
      <c r="A5623" t="str">
        <f t="shared" si="95"/>
        <v>818Net Profit</v>
      </c>
      <c r="B5623">
        <v>818</v>
      </c>
      <c r="C5623" s="9" t="s">
        <v>32</v>
      </c>
      <c r="D5623" s="8">
        <v>1.7860000000000001E-2</v>
      </c>
    </row>
    <row r="5624" spans="1:4">
      <c r="A5624" t="str">
        <f t="shared" si="95"/>
        <v>818Loss Rate</v>
      </c>
      <c r="B5624">
        <v>818</v>
      </c>
      <c r="C5624" s="9" t="s">
        <v>33</v>
      </c>
      <c r="D5624" s="8">
        <v>0.3</v>
      </c>
    </row>
    <row r="5625" spans="1:4">
      <c r="A5625" t="str">
        <f t="shared" si="95"/>
        <v>818Win Rate</v>
      </c>
      <c r="B5625">
        <v>818</v>
      </c>
      <c r="C5625" s="9" t="s">
        <v>34</v>
      </c>
      <c r="D5625" s="8">
        <v>0.7</v>
      </c>
    </row>
    <row r="5626" spans="1:4">
      <c r="A5626" t="str">
        <f t="shared" si="95"/>
        <v>818Profit-Loss Ratio</v>
      </c>
      <c r="B5626">
        <v>818</v>
      </c>
      <c r="C5626" s="9" t="s">
        <v>26</v>
      </c>
      <c r="D5626" s="8">
        <v>0.54</v>
      </c>
    </row>
    <row r="5627" spans="1:4">
      <c r="A5627" t="str">
        <f t="shared" si="95"/>
        <v>818Alpha</v>
      </c>
      <c r="B5627">
        <v>818</v>
      </c>
      <c r="C5627" s="9" t="s">
        <v>23</v>
      </c>
      <c r="D5627" s="8">
        <v>1.6E-2</v>
      </c>
    </row>
    <row r="5628" spans="1:4">
      <c r="A5628" t="str">
        <f t="shared" si="95"/>
        <v>818Beta</v>
      </c>
      <c r="B5628">
        <v>818</v>
      </c>
      <c r="C5628" s="9" t="s">
        <v>24</v>
      </c>
      <c r="D5628" s="8">
        <v>6.4000000000000001E-2</v>
      </c>
    </row>
    <row r="5629" spans="1:4">
      <c r="A5629" t="str">
        <f t="shared" si="95"/>
        <v>818Annual Standard Deviation</v>
      </c>
      <c r="B5629">
        <v>818</v>
      </c>
      <c r="C5629" s="9" t="s">
        <v>35</v>
      </c>
      <c r="D5629" s="8">
        <v>3.9E-2</v>
      </c>
    </row>
    <row r="5630" spans="1:4">
      <c r="A5630" t="str">
        <f t="shared" si="95"/>
        <v>818Annual Variance</v>
      </c>
      <c r="B5630">
        <v>818</v>
      </c>
      <c r="C5630" s="9" t="s">
        <v>36</v>
      </c>
      <c r="D5630" s="8">
        <v>2E-3</v>
      </c>
    </row>
    <row r="5631" spans="1:4">
      <c r="A5631" t="str">
        <f t="shared" si="95"/>
        <v>818Information Ratio</v>
      </c>
      <c r="B5631">
        <v>818</v>
      </c>
      <c r="C5631" s="9" t="s">
        <v>37</v>
      </c>
      <c r="D5631" s="8">
        <v>-0.432</v>
      </c>
    </row>
    <row r="5632" spans="1:4">
      <c r="A5632" t="str">
        <f t="shared" si="95"/>
        <v>818Tracking Error</v>
      </c>
      <c r="B5632">
        <v>818</v>
      </c>
      <c r="C5632" s="9" t="s">
        <v>38</v>
      </c>
      <c r="D5632" s="8">
        <v>7.3999999999999996E-2</v>
      </c>
    </row>
    <row r="5633" spans="1:4">
      <c r="A5633" t="str">
        <f t="shared" si="95"/>
        <v>818Treynor Ratio</v>
      </c>
      <c r="B5633">
        <v>818</v>
      </c>
      <c r="C5633" s="9" t="s">
        <v>39</v>
      </c>
      <c r="D5633" s="8">
        <v>0.30199999999999999</v>
      </c>
    </row>
    <row r="5634" spans="1:4">
      <c r="A5634" t="str">
        <f t="shared" si="95"/>
        <v>818Total Fees</v>
      </c>
      <c r="B5634">
        <v>818</v>
      </c>
      <c r="C5634" s="9" t="s">
        <v>40</v>
      </c>
      <c r="D5634" s="8">
        <v>0</v>
      </c>
    </row>
    <row r="5635" spans="1:4">
      <c r="A5635" t="str">
        <f t="shared" si="95"/>
        <v>818Estimated Strategy Capacity</v>
      </c>
      <c r="B5635">
        <v>818</v>
      </c>
      <c r="C5635" s="9" t="s">
        <v>41</v>
      </c>
      <c r="D5635" s="8">
        <v>7600000</v>
      </c>
    </row>
    <row r="5636" spans="1:4">
      <c r="A5636" t="str">
        <f t="shared" si="95"/>
        <v>819PSR</v>
      </c>
      <c r="B5636">
        <v>819</v>
      </c>
      <c r="C5636" s="9" t="s">
        <v>27</v>
      </c>
      <c r="D5636" s="8">
        <v>0.23036000000000001</v>
      </c>
    </row>
    <row r="5637" spans="1:4">
      <c r="A5637" t="str">
        <f t="shared" si="95"/>
        <v>819Sharpe Ratio</v>
      </c>
      <c r="B5637">
        <v>819</v>
      </c>
      <c r="C5637" s="9" t="s">
        <v>1</v>
      </c>
      <c r="D5637" s="8">
        <v>0.23100000000000001</v>
      </c>
    </row>
    <row r="5638" spans="1:4">
      <c r="A5638" t="str">
        <f t="shared" si="95"/>
        <v>819Total Trades</v>
      </c>
      <c r="B5638">
        <v>819</v>
      </c>
      <c r="C5638" s="9" t="s">
        <v>28</v>
      </c>
      <c r="D5638" s="8">
        <v>393</v>
      </c>
    </row>
    <row r="5639" spans="1:4">
      <c r="A5639" t="str">
        <f t="shared" si="95"/>
        <v>819Average Win</v>
      </c>
      <c r="B5639">
        <v>819</v>
      </c>
      <c r="C5639" s="9" t="s">
        <v>25</v>
      </c>
      <c r="D5639" s="8">
        <v>2.7000000000000001E-3</v>
      </c>
    </row>
    <row r="5640" spans="1:4">
      <c r="A5640" t="str">
        <f t="shared" si="95"/>
        <v>819Average Loss</v>
      </c>
      <c r="B5640">
        <v>819</v>
      </c>
      <c r="C5640" s="9" t="s">
        <v>29</v>
      </c>
      <c r="D5640" s="8">
        <v>-5.4999999999999997E-3</v>
      </c>
    </row>
    <row r="5641" spans="1:4">
      <c r="A5641" t="str">
        <f t="shared" si="95"/>
        <v>819Compounding Annual Return</v>
      </c>
      <c r="B5641">
        <v>819</v>
      </c>
      <c r="C5641" s="9" t="s">
        <v>30</v>
      </c>
      <c r="D5641" s="8">
        <v>1.387E-2</v>
      </c>
    </row>
    <row r="5642" spans="1:4">
      <c r="A5642" t="str">
        <f t="shared" si="95"/>
        <v>819Drawdown</v>
      </c>
      <c r="B5642">
        <v>819</v>
      </c>
      <c r="C5642" s="9" t="s">
        <v>8</v>
      </c>
      <c r="D5642" s="8">
        <v>3.5000000000000003E-2</v>
      </c>
    </row>
    <row r="5643" spans="1:4">
      <c r="A5643" t="str">
        <f t="shared" si="95"/>
        <v>819Expectancy</v>
      </c>
      <c r="B5643">
        <v>819</v>
      </c>
      <c r="C5643" s="9" t="s">
        <v>31</v>
      </c>
      <c r="D5643" s="8">
        <v>3.1E-2</v>
      </c>
    </row>
    <row r="5644" spans="1:4">
      <c r="A5644" t="str">
        <f t="shared" si="95"/>
        <v>819Net Profit</v>
      </c>
      <c r="B5644">
        <v>819</v>
      </c>
      <c r="C5644" s="9" t="s">
        <v>32</v>
      </c>
      <c r="D5644" s="8">
        <v>9.1699999999999993E-3</v>
      </c>
    </row>
    <row r="5645" spans="1:4">
      <c r="A5645" t="str">
        <f t="shared" si="95"/>
        <v>819Loss Rate</v>
      </c>
      <c r="B5645">
        <v>819</v>
      </c>
      <c r="C5645" s="9" t="s">
        <v>33</v>
      </c>
      <c r="D5645" s="8">
        <v>0.31</v>
      </c>
    </row>
    <row r="5646" spans="1:4">
      <c r="A5646" t="str">
        <f t="shared" si="95"/>
        <v>819Win Rate</v>
      </c>
      <c r="B5646">
        <v>819</v>
      </c>
      <c r="C5646" s="9" t="s">
        <v>34</v>
      </c>
      <c r="D5646" s="8">
        <v>0.69</v>
      </c>
    </row>
    <row r="5647" spans="1:4">
      <c r="A5647" t="str">
        <f t="shared" si="95"/>
        <v>819Profit-Loss Ratio</v>
      </c>
      <c r="B5647">
        <v>819</v>
      </c>
      <c r="C5647" s="9" t="s">
        <v>26</v>
      </c>
      <c r="D5647" s="8">
        <v>0.49</v>
      </c>
    </row>
    <row r="5648" spans="1:4">
      <c r="A5648" t="str">
        <f t="shared" si="95"/>
        <v>819Alpha</v>
      </c>
      <c r="B5648">
        <v>819</v>
      </c>
      <c r="C5648" s="9" t="s">
        <v>23</v>
      </c>
      <c r="D5648" s="8">
        <v>6.0000000000000001E-3</v>
      </c>
    </row>
    <row r="5649" spans="1:4">
      <c r="A5649" t="str">
        <f t="shared" si="95"/>
        <v>819Beta</v>
      </c>
      <c r="B5649">
        <v>819</v>
      </c>
      <c r="C5649" s="9" t="s">
        <v>24</v>
      </c>
      <c r="D5649" s="8">
        <v>8.5000000000000006E-2</v>
      </c>
    </row>
    <row r="5650" spans="1:4">
      <c r="A5650" t="str">
        <f t="shared" si="95"/>
        <v>819Annual Standard Deviation</v>
      </c>
      <c r="B5650">
        <v>819</v>
      </c>
      <c r="C5650" s="9" t="s">
        <v>35</v>
      </c>
      <c r="D5650" s="8">
        <v>4.5999999999999999E-2</v>
      </c>
    </row>
    <row r="5651" spans="1:4">
      <c r="A5651" t="str">
        <f t="shared" si="95"/>
        <v>819Annual Variance</v>
      </c>
      <c r="B5651">
        <v>819</v>
      </c>
      <c r="C5651" s="9" t="s">
        <v>36</v>
      </c>
      <c r="D5651" s="8">
        <v>2E-3</v>
      </c>
    </row>
    <row r="5652" spans="1:4">
      <c r="A5652" t="str">
        <f t="shared" si="95"/>
        <v>819Information Ratio</v>
      </c>
      <c r="B5652">
        <v>819</v>
      </c>
      <c r="C5652" s="9" t="s">
        <v>37</v>
      </c>
      <c r="D5652" s="8">
        <v>-0.53100000000000003</v>
      </c>
    </row>
    <row r="5653" spans="1:4">
      <c r="A5653" t="str">
        <f t="shared" si="95"/>
        <v>819Tracking Error</v>
      </c>
      <c r="B5653">
        <v>819</v>
      </c>
      <c r="C5653" s="9" t="s">
        <v>38</v>
      </c>
      <c r="D5653" s="8">
        <v>7.6999999999999999E-2</v>
      </c>
    </row>
    <row r="5654" spans="1:4">
      <c r="A5654" t="str">
        <f t="shared" si="95"/>
        <v>819Treynor Ratio</v>
      </c>
      <c r="B5654">
        <v>819</v>
      </c>
      <c r="C5654" s="9" t="s">
        <v>39</v>
      </c>
      <c r="D5654" s="8">
        <v>0.125</v>
      </c>
    </row>
    <row r="5655" spans="1:4">
      <c r="A5655" t="str">
        <f t="shared" si="95"/>
        <v>819Total Fees</v>
      </c>
      <c r="B5655">
        <v>819</v>
      </c>
      <c r="C5655" s="9" t="s">
        <v>40</v>
      </c>
      <c r="D5655" s="8">
        <v>0</v>
      </c>
    </row>
    <row r="5656" spans="1:4">
      <c r="A5656" t="str">
        <f t="shared" si="95"/>
        <v>819Estimated Strategy Capacity</v>
      </c>
      <c r="B5656">
        <v>819</v>
      </c>
      <c r="C5656" s="9" t="s">
        <v>41</v>
      </c>
      <c r="D5656" s="8">
        <v>8200000</v>
      </c>
    </row>
    <row r="5657" spans="1:4">
      <c r="A5657" t="str">
        <f t="shared" si="95"/>
        <v>838PSR</v>
      </c>
      <c r="B5657">
        <v>838</v>
      </c>
      <c r="C5657" s="9" t="s">
        <v>27</v>
      </c>
      <c r="D5657" s="8">
        <v>0.29382000000000003</v>
      </c>
    </row>
    <row r="5658" spans="1:4">
      <c r="A5658" t="str">
        <f t="shared" si="95"/>
        <v>838Sharpe Ratio</v>
      </c>
      <c r="B5658">
        <v>838</v>
      </c>
      <c r="C5658" s="9" t="s">
        <v>1</v>
      </c>
      <c r="D5658" s="8">
        <v>0.44400000000000001</v>
      </c>
    </row>
    <row r="5659" spans="1:4">
      <c r="A5659" t="str">
        <f t="shared" si="95"/>
        <v>838Total Trades</v>
      </c>
      <c r="B5659">
        <v>838</v>
      </c>
      <c r="C5659" s="9" t="s">
        <v>28</v>
      </c>
      <c r="D5659" s="8">
        <v>1559</v>
      </c>
    </row>
    <row r="5660" spans="1:4">
      <c r="A5660" t="str">
        <f t="shared" si="95"/>
        <v>838Average Win</v>
      </c>
      <c r="B5660">
        <v>838</v>
      </c>
      <c r="C5660" s="9" t="s">
        <v>25</v>
      </c>
      <c r="D5660" s="8">
        <v>5.0000000000000001E-4</v>
      </c>
    </row>
    <row r="5661" spans="1:4">
      <c r="A5661" t="str">
        <f t="shared" si="95"/>
        <v>838Average Loss</v>
      </c>
      <c r="B5661">
        <v>838</v>
      </c>
      <c r="C5661" s="9" t="s">
        <v>29</v>
      </c>
      <c r="D5661" s="8">
        <v>-8.0000000000000004E-4</v>
      </c>
    </row>
    <row r="5662" spans="1:4">
      <c r="A5662" t="str">
        <f t="shared" si="95"/>
        <v>838Compounding Annual Return</v>
      </c>
      <c r="B5662">
        <v>838</v>
      </c>
      <c r="C5662" s="9" t="s">
        <v>30</v>
      </c>
      <c r="D5662" s="8">
        <v>8.0700000000000008E-3</v>
      </c>
    </row>
    <row r="5663" spans="1:4">
      <c r="A5663" t="str">
        <f t="shared" si="95"/>
        <v>838Drawdown</v>
      </c>
      <c r="B5663">
        <v>838</v>
      </c>
      <c r="C5663" s="9" t="s">
        <v>8</v>
      </c>
      <c r="D5663" s="8">
        <v>1.2999999999999999E-2</v>
      </c>
    </row>
    <row r="5664" spans="1:4">
      <c r="A5664" t="str">
        <f t="shared" si="95"/>
        <v>838Expectancy</v>
      </c>
      <c r="B5664">
        <v>838</v>
      </c>
      <c r="C5664" s="9" t="s">
        <v>31</v>
      </c>
      <c r="D5664" s="8">
        <v>0.06</v>
      </c>
    </row>
    <row r="5665" spans="1:4">
      <c r="A5665" t="str">
        <f t="shared" si="95"/>
        <v>838Net Profit</v>
      </c>
      <c r="B5665">
        <v>838</v>
      </c>
      <c r="C5665" s="9" t="s">
        <v>32</v>
      </c>
      <c r="D5665" s="8">
        <v>5.3400000000000001E-3</v>
      </c>
    </row>
    <row r="5666" spans="1:4">
      <c r="A5666" t="str">
        <f t="shared" ref="A5666:A5729" si="96">B5666&amp;C5666</f>
        <v>838Loss Rate</v>
      </c>
      <c r="B5666">
        <v>838</v>
      </c>
      <c r="C5666" s="9" t="s">
        <v>33</v>
      </c>
      <c r="D5666" s="8">
        <v>0.35</v>
      </c>
    </row>
    <row r="5667" spans="1:4">
      <c r="A5667" t="str">
        <f t="shared" si="96"/>
        <v>838Win Rate</v>
      </c>
      <c r="B5667">
        <v>838</v>
      </c>
      <c r="C5667" s="9" t="s">
        <v>34</v>
      </c>
      <c r="D5667" s="8">
        <v>0.65</v>
      </c>
    </row>
    <row r="5668" spans="1:4">
      <c r="A5668" t="str">
        <f t="shared" si="96"/>
        <v>838Profit-Loss Ratio</v>
      </c>
      <c r="B5668">
        <v>838</v>
      </c>
      <c r="C5668" s="9" t="s">
        <v>26</v>
      </c>
      <c r="D5668" s="8">
        <v>0.64</v>
      </c>
    </row>
    <row r="5669" spans="1:4">
      <c r="A5669" t="str">
        <f t="shared" si="96"/>
        <v>838Alpha</v>
      </c>
      <c r="B5669">
        <v>838</v>
      </c>
      <c r="C5669" s="9" t="s">
        <v>23</v>
      </c>
      <c r="D5669" s="8">
        <v>5.0000000000000001E-3</v>
      </c>
    </row>
    <row r="5670" spans="1:4">
      <c r="A5670" t="str">
        <f t="shared" si="96"/>
        <v>838Beta</v>
      </c>
      <c r="B5670">
        <v>838</v>
      </c>
      <c r="C5670" s="9" t="s">
        <v>24</v>
      </c>
      <c r="D5670" s="8">
        <v>1.7999999999999999E-2</v>
      </c>
    </row>
    <row r="5671" spans="1:4">
      <c r="A5671" t="str">
        <f t="shared" si="96"/>
        <v>838Annual Standard Deviation</v>
      </c>
      <c r="B5671">
        <v>838</v>
      </c>
      <c r="C5671" s="9" t="s">
        <v>35</v>
      </c>
      <c r="D5671" s="8">
        <v>1.2999999999999999E-2</v>
      </c>
    </row>
    <row r="5672" spans="1:4">
      <c r="A5672" t="str">
        <f t="shared" si="96"/>
        <v>838Annual Variance</v>
      </c>
      <c r="B5672">
        <v>838</v>
      </c>
      <c r="C5672" s="9" t="s">
        <v>36</v>
      </c>
      <c r="D5672" s="8">
        <v>0</v>
      </c>
    </row>
    <row r="5673" spans="1:4">
      <c r="A5673" t="str">
        <f t="shared" si="96"/>
        <v>838Information Ratio</v>
      </c>
      <c r="B5673">
        <v>838</v>
      </c>
      <c r="C5673" s="9" t="s">
        <v>37</v>
      </c>
      <c r="D5673" s="8">
        <v>-0.68</v>
      </c>
    </row>
    <row r="5674" spans="1:4">
      <c r="A5674" t="str">
        <f t="shared" si="96"/>
        <v>838Tracking Error</v>
      </c>
      <c r="B5674">
        <v>838</v>
      </c>
      <c r="C5674" s="9" t="s">
        <v>38</v>
      </c>
      <c r="D5674" s="8">
        <v>6.7000000000000004E-2</v>
      </c>
    </row>
    <row r="5675" spans="1:4">
      <c r="A5675" t="str">
        <f t="shared" si="96"/>
        <v>838Treynor Ratio</v>
      </c>
      <c r="B5675">
        <v>838</v>
      </c>
      <c r="C5675" s="9" t="s">
        <v>39</v>
      </c>
      <c r="D5675" s="8">
        <v>0.32400000000000001</v>
      </c>
    </row>
    <row r="5676" spans="1:4">
      <c r="A5676" t="str">
        <f t="shared" si="96"/>
        <v>838Total Fees</v>
      </c>
      <c r="B5676">
        <v>838</v>
      </c>
      <c r="C5676" s="9" t="s">
        <v>40</v>
      </c>
      <c r="D5676" s="8">
        <v>0</v>
      </c>
    </row>
    <row r="5677" spans="1:4">
      <c r="A5677" t="str">
        <f t="shared" si="96"/>
        <v>838Estimated Strategy Capacity</v>
      </c>
      <c r="B5677">
        <v>838</v>
      </c>
      <c r="C5677" s="9" t="s">
        <v>41</v>
      </c>
      <c r="D5677" s="8">
        <v>32000000</v>
      </c>
    </row>
    <row r="5678" spans="1:4">
      <c r="A5678" t="str">
        <f t="shared" si="96"/>
        <v>839PSR</v>
      </c>
      <c r="B5678">
        <v>839</v>
      </c>
      <c r="C5678" s="9" t="s">
        <v>27</v>
      </c>
      <c r="D5678" s="8">
        <v>0.18518000000000001</v>
      </c>
    </row>
    <row r="5679" spans="1:4">
      <c r="A5679" t="str">
        <f t="shared" si="96"/>
        <v>839Sharpe Ratio</v>
      </c>
      <c r="B5679">
        <v>839</v>
      </c>
      <c r="C5679" s="9" t="s">
        <v>1</v>
      </c>
      <c r="D5679" s="8">
        <v>8.2000000000000003E-2</v>
      </c>
    </row>
    <row r="5680" spans="1:4">
      <c r="A5680" t="str">
        <f t="shared" si="96"/>
        <v>839Total Trades</v>
      </c>
      <c r="B5680">
        <v>839</v>
      </c>
      <c r="C5680" s="9" t="s">
        <v>28</v>
      </c>
      <c r="D5680" s="8">
        <v>1174</v>
      </c>
    </row>
    <row r="5681" spans="1:4">
      <c r="A5681" t="str">
        <f t="shared" si="96"/>
        <v>839Average Win</v>
      </c>
      <c r="B5681">
        <v>839</v>
      </c>
      <c r="C5681" s="9" t="s">
        <v>25</v>
      </c>
      <c r="D5681" s="8">
        <v>1.5E-3</v>
      </c>
    </row>
    <row r="5682" spans="1:4">
      <c r="A5682" t="str">
        <f t="shared" si="96"/>
        <v>839Average Loss</v>
      </c>
      <c r="B5682">
        <v>839</v>
      </c>
      <c r="C5682" s="9" t="s">
        <v>29</v>
      </c>
      <c r="D5682" s="8">
        <v>-2.3E-3</v>
      </c>
    </row>
    <row r="5683" spans="1:4">
      <c r="A5683" t="str">
        <f t="shared" si="96"/>
        <v>839Compounding Annual Return</v>
      </c>
      <c r="B5683">
        <v>839</v>
      </c>
      <c r="C5683" s="9" t="s">
        <v>30</v>
      </c>
      <c r="D5683" s="8">
        <v>2.8500000000000001E-3</v>
      </c>
    </row>
    <row r="5684" spans="1:4">
      <c r="A5684" t="str">
        <f t="shared" si="96"/>
        <v>839Drawdown</v>
      </c>
      <c r="B5684">
        <v>839</v>
      </c>
      <c r="C5684" s="9" t="s">
        <v>8</v>
      </c>
      <c r="D5684" s="8">
        <v>3.7999999999999999E-2</v>
      </c>
    </row>
    <row r="5685" spans="1:4">
      <c r="A5685" t="str">
        <f t="shared" si="96"/>
        <v>839Expectancy</v>
      </c>
      <c r="B5685">
        <v>839</v>
      </c>
      <c r="C5685" s="9" t="s">
        <v>31</v>
      </c>
      <c r="D5685" s="8">
        <v>0.01</v>
      </c>
    </row>
    <row r="5686" spans="1:4">
      <c r="A5686" t="str">
        <f t="shared" si="96"/>
        <v>839Net Profit</v>
      </c>
      <c r="B5686">
        <v>839</v>
      </c>
      <c r="C5686" s="9" t="s">
        <v>32</v>
      </c>
      <c r="D5686" s="8">
        <v>1.89E-3</v>
      </c>
    </row>
    <row r="5687" spans="1:4">
      <c r="A5687" t="str">
        <f t="shared" si="96"/>
        <v>839Loss Rate</v>
      </c>
      <c r="B5687">
        <v>839</v>
      </c>
      <c r="C5687" s="9" t="s">
        <v>33</v>
      </c>
      <c r="D5687" s="8">
        <v>0.39</v>
      </c>
    </row>
    <row r="5688" spans="1:4">
      <c r="A5688" t="str">
        <f t="shared" si="96"/>
        <v>839Win Rate</v>
      </c>
      <c r="B5688">
        <v>839</v>
      </c>
      <c r="C5688" s="9" t="s">
        <v>34</v>
      </c>
      <c r="D5688" s="8">
        <v>0.61</v>
      </c>
    </row>
    <row r="5689" spans="1:4">
      <c r="A5689" t="str">
        <f t="shared" si="96"/>
        <v>839Profit-Loss Ratio</v>
      </c>
      <c r="B5689">
        <v>839</v>
      </c>
      <c r="C5689" s="9" t="s">
        <v>26</v>
      </c>
      <c r="D5689" s="8">
        <v>0.65</v>
      </c>
    </row>
    <row r="5690" spans="1:4">
      <c r="A5690" t="str">
        <f t="shared" si="96"/>
        <v>839Alpha</v>
      </c>
      <c r="B5690">
        <v>839</v>
      </c>
      <c r="C5690" s="9" t="s">
        <v>23</v>
      </c>
      <c r="D5690" s="8">
        <v>-1E-3</v>
      </c>
    </row>
    <row r="5691" spans="1:4">
      <c r="A5691" t="str">
        <f t="shared" si="96"/>
        <v>839Beta</v>
      </c>
      <c r="B5691">
        <v>839</v>
      </c>
      <c r="C5691" s="9" t="s">
        <v>24</v>
      </c>
      <c r="D5691" s="8">
        <v>7.1999999999999995E-2</v>
      </c>
    </row>
    <row r="5692" spans="1:4">
      <c r="A5692" t="str">
        <f t="shared" si="96"/>
        <v>839Annual Standard Deviation</v>
      </c>
      <c r="B5692">
        <v>839</v>
      </c>
      <c r="C5692" s="9" t="s">
        <v>35</v>
      </c>
      <c r="D5692" s="8">
        <v>2.9000000000000001E-2</v>
      </c>
    </row>
    <row r="5693" spans="1:4">
      <c r="A5693" t="str">
        <f t="shared" si="96"/>
        <v>839Annual Variance</v>
      </c>
      <c r="B5693">
        <v>839</v>
      </c>
      <c r="C5693" s="9" t="s">
        <v>36</v>
      </c>
      <c r="D5693" s="8">
        <v>1E-3</v>
      </c>
    </row>
    <row r="5694" spans="1:4">
      <c r="A5694" t="str">
        <f t="shared" si="96"/>
        <v>839Information Ratio</v>
      </c>
      <c r="B5694">
        <v>839</v>
      </c>
      <c r="C5694" s="9" t="s">
        <v>37</v>
      </c>
      <c r="D5694" s="8">
        <v>-0.71399999999999997</v>
      </c>
    </row>
    <row r="5695" spans="1:4">
      <c r="A5695" t="str">
        <f t="shared" si="96"/>
        <v>839Tracking Error</v>
      </c>
      <c r="B5695">
        <v>839</v>
      </c>
      <c r="C5695" s="9" t="s">
        <v>38</v>
      </c>
      <c r="D5695" s="8">
        <v>6.9000000000000006E-2</v>
      </c>
    </row>
    <row r="5696" spans="1:4">
      <c r="A5696" t="str">
        <f t="shared" si="96"/>
        <v>839Treynor Ratio</v>
      </c>
      <c r="B5696">
        <v>839</v>
      </c>
      <c r="C5696" s="9" t="s">
        <v>39</v>
      </c>
      <c r="D5696" s="8">
        <v>3.3000000000000002E-2</v>
      </c>
    </row>
    <row r="5697" spans="1:4">
      <c r="A5697" t="str">
        <f t="shared" si="96"/>
        <v>839Total Fees</v>
      </c>
      <c r="B5697">
        <v>839</v>
      </c>
      <c r="C5697" s="9" t="s">
        <v>40</v>
      </c>
      <c r="D5697" s="8">
        <v>0</v>
      </c>
    </row>
    <row r="5698" spans="1:4">
      <c r="A5698" t="str">
        <f t="shared" si="96"/>
        <v>839Estimated Strategy Capacity</v>
      </c>
      <c r="B5698">
        <v>839</v>
      </c>
      <c r="C5698" s="9" t="s">
        <v>41</v>
      </c>
      <c r="D5698" s="8">
        <v>6700000</v>
      </c>
    </row>
    <row r="5699" spans="1:4">
      <c r="A5699" t="str">
        <f t="shared" si="96"/>
        <v>840PSR</v>
      </c>
      <c r="B5699">
        <v>840</v>
      </c>
      <c r="C5699" s="9" t="s">
        <v>27</v>
      </c>
      <c r="D5699" s="8">
        <v>4.4260000000000001E-2</v>
      </c>
    </row>
    <row r="5700" spans="1:4">
      <c r="A5700" t="str">
        <f t="shared" si="96"/>
        <v>840Sharpe Ratio</v>
      </c>
      <c r="B5700">
        <v>840</v>
      </c>
      <c r="C5700" s="9" t="s">
        <v>1</v>
      </c>
      <c r="D5700" s="8">
        <v>-0.69699999999999995</v>
      </c>
    </row>
    <row r="5701" spans="1:4">
      <c r="A5701" t="str">
        <f t="shared" si="96"/>
        <v>840Total Trades</v>
      </c>
      <c r="B5701">
        <v>840</v>
      </c>
      <c r="C5701" s="9" t="s">
        <v>28</v>
      </c>
      <c r="D5701" s="8">
        <v>848</v>
      </c>
    </row>
    <row r="5702" spans="1:4">
      <c r="A5702" t="str">
        <f t="shared" si="96"/>
        <v>840Average Win</v>
      </c>
      <c r="B5702">
        <v>840</v>
      </c>
      <c r="C5702" s="9" t="s">
        <v>25</v>
      </c>
      <c r="D5702" s="8">
        <v>1.8E-3</v>
      </c>
    </row>
    <row r="5703" spans="1:4">
      <c r="A5703" t="str">
        <f t="shared" si="96"/>
        <v>840Average Loss</v>
      </c>
      <c r="B5703">
        <v>840</v>
      </c>
      <c r="C5703" s="9" t="s">
        <v>29</v>
      </c>
      <c r="D5703" s="8">
        <v>-3.5999999999999999E-3</v>
      </c>
    </row>
    <row r="5704" spans="1:4">
      <c r="A5704" t="str">
        <f t="shared" si="96"/>
        <v>840Compounding Annual Return</v>
      </c>
      <c r="B5704">
        <v>840</v>
      </c>
      <c r="C5704" s="9" t="s">
        <v>30</v>
      </c>
      <c r="D5704" s="8">
        <v>-3.687E-2</v>
      </c>
    </row>
    <row r="5705" spans="1:4">
      <c r="A5705" t="str">
        <f t="shared" si="96"/>
        <v>840Drawdown</v>
      </c>
      <c r="B5705">
        <v>840</v>
      </c>
      <c r="C5705" s="9" t="s">
        <v>8</v>
      </c>
      <c r="D5705" s="8">
        <v>5.6000000000000001E-2</v>
      </c>
    </row>
    <row r="5706" spans="1:4">
      <c r="A5706" t="str">
        <f t="shared" si="96"/>
        <v>840Expectancy</v>
      </c>
      <c r="B5706">
        <v>840</v>
      </c>
      <c r="C5706" s="9" t="s">
        <v>31</v>
      </c>
      <c r="D5706" s="8">
        <v>-7.2999999999999995E-2</v>
      </c>
    </row>
    <row r="5707" spans="1:4">
      <c r="A5707" t="str">
        <f t="shared" si="96"/>
        <v>840Net Profit</v>
      </c>
      <c r="B5707">
        <v>840</v>
      </c>
      <c r="C5707" s="9" t="s">
        <v>32</v>
      </c>
      <c r="D5707" s="8">
        <v>-2.46E-2</v>
      </c>
    </row>
    <row r="5708" spans="1:4">
      <c r="A5708" t="str">
        <f t="shared" si="96"/>
        <v>840Loss Rate</v>
      </c>
      <c r="B5708">
        <v>840</v>
      </c>
      <c r="C5708" s="9" t="s">
        <v>33</v>
      </c>
      <c r="D5708" s="8">
        <v>0.39</v>
      </c>
    </row>
    <row r="5709" spans="1:4">
      <c r="A5709" t="str">
        <f t="shared" si="96"/>
        <v>840Win Rate</v>
      </c>
      <c r="B5709">
        <v>840</v>
      </c>
      <c r="C5709" s="9" t="s">
        <v>34</v>
      </c>
      <c r="D5709" s="8">
        <v>0.61</v>
      </c>
    </row>
    <row r="5710" spans="1:4">
      <c r="A5710" t="str">
        <f t="shared" si="96"/>
        <v>840Profit-Loss Ratio</v>
      </c>
      <c r="B5710">
        <v>840</v>
      </c>
      <c r="C5710" s="9" t="s">
        <v>26</v>
      </c>
      <c r="D5710" s="8">
        <v>0.51</v>
      </c>
    </row>
    <row r="5711" spans="1:4">
      <c r="A5711" t="str">
        <f t="shared" si="96"/>
        <v>840Alpha</v>
      </c>
      <c r="B5711">
        <v>840</v>
      </c>
      <c r="C5711" s="9" t="s">
        <v>23</v>
      </c>
      <c r="D5711" s="8">
        <v>-3.3000000000000002E-2</v>
      </c>
    </row>
    <row r="5712" spans="1:4">
      <c r="A5712" t="str">
        <f t="shared" si="96"/>
        <v>840Beta</v>
      </c>
      <c r="B5712">
        <v>840</v>
      </c>
      <c r="C5712" s="9" t="s">
        <v>24</v>
      </c>
      <c r="D5712" s="8">
        <v>0.153</v>
      </c>
    </row>
    <row r="5713" spans="1:4">
      <c r="A5713" t="str">
        <f t="shared" si="96"/>
        <v>840Annual Standard Deviation</v>
      </c>
      <c r="B5713">
        <v>840</v>
      </c>
      <c r="C5713" s="9" t="s">
        <v>35</v>
      </c>
      <c r="D5713" s="8">
        <v>3.5999999999999997E-2</v>
      </c>
    </row>
    <row r="5714" spans="1:4">
      <c r="A5714" t="str">
        <f t="shared" si="96"/>
        <v>840Annual Variance</v>
      </c>
      <c r="B5714">
        <v>840</v>
      </c>
      <c r="C5714" s="9" t="s">
        <v>36</v>
      </c>
      <c r="D5714" s="8">
        <v>1E-3</v>
      </c>
    </row>
    <row r="5715" spans="1:4">
      <c r="A5715" t="str">
        <f t="shared" si="96"/>
        <v>840Information Ratio</v>
      </c>
      <c r="B5715">
        <v>840</v>
      </c>
      <c r="C5715" s="9" t="s">
        <v>37</v>
      </c>
      <c r="D5715" s="8">
        <v>-1.1479999999999999</v>
      </c>
    </row>
    <row r="5716" spans="1:4">
      <c r="A5716" t="str">
        <f t="shared" si="96"/>
        <v>840Tracking Error</v>
      </c>
      <c r="B5716">
        <v>840</v>
      </c>
      <c r="C5716" s="9" t="s">
        <v>38</v>
      </c>
      <c r="D5716" s="8">
        <v>6.7000000000000004E-2</v>
      </c>
    </row>
    <row r="5717" spans="1:4">
      <c r="A5717" t="str">
        <f t="shared" si="96"/>
        <v>840Treynor Ratio</v>
      </c>
      <c r="B5717">
        <v>840</v>
      </c>
      <c r="C5717" s="9" t="s">
        <v>39</v>
      </c>
      <c r="D5717" s="8">
        <v>-0.16400000000000001</v>
      </c>
    </row>
    <row r="5718" spans="1:4">
      <c r="A5718" t="str">
        <f t="shared" si="96"/>
        <v>840Total Fees</v>
      </c>
      <c r="B5718">
        <v>840</v>
      </c>
      <c r="C5718" s="9" t="s">
        <v>40</v>
      </c>
      <c r="D5718" s="8">
        <v>0</v>
      </c>
    </row>
    <row r="5719" spans="1:4">
      <c r="A5719" t="str">
        <f t="shared" si="96"/>
        <v>840Estimated Strategy Capacity</v>
      </c>
      <c r="B5719">
        <v>840</v>
      </c>
      <c r="C5719" s="9" t="s">
        <v>41</v>
      </c>
      <c r="D5719" s="8">
        <v>6100000</v>
      </c>
    </row>
    <row r="5720" spans="1:4">
      <c r="A5720" t="str">
        <f t="shared" si="96"/>
        <v>841PSR</v>
      </c>
      <c r="B5720">
        <v>841</v>
      </c>
      <c r="C5720" s="9" t="s">
        <v>27</v>
      </c>
      <c r="D5720" s="8">
        <v>1.755E-2</v>
      </c>
    </row>
    <row r="5721" spans="1:4">
      <c r="A5721" t="str">
        <f t="shared" si="96"/>
        <v>841Sharpe Ratio</v>
      </c>
      <c r="B5721">
        <v>841</v>
      </c>
      <c r="C5721" s="9" t="s">
        <v>1</v>
      </c>
      <c r="D5721" s="8">
        <v>-1.196</v>
      </c>
    </row>
    <row r="5722" spans="1:4">
      <c r="A5722" t="str">
        <f t="shared" si="96"/>
        <v>841Total Trades</v>
      </c>
      <c r="B5722">
        <v>841</v>
      </c>
      <c r="C5722" s="9" t="s">
        <v>28</v>
      </c>
      <c r="D5722" s="8">
        <v>996</v>
      </c>
    </row>
    <row r="5723" spans="1:4">
      <c r="A5723" t="str">
        <f t="shared" si="96"/>
        <v>841Average Win</v>
      </c>
      <c r="B5723">
        <v>841</v>
      </c>
      <c r="C5723" s="9" t="s">
        <v>25</v>
      </c>
      <c r="D5723" s="8">
        <v>5.0000000000000001E-4</v>
      </c>
    </row>
    <row r="5724" spans="1:4">
      <c r="A5724" t="str">
        <f t="shared" si="96"/>
        <v>841Average Loss</v>
      </c>
      <c r="B5724">
        <v>841</v>
      </c>
      <c r="C5724" s="9" t="s">
        <v>29</v>
      </c>
      <c r="D5724" s="8">
        <v>-1E-3</v>
      </c>
    </row>
    <row r="5725" spans="1:4">
      <c r="A5725" t="str">
        <f t="shared" si="96"/>
        <v>841Compounding Annual Return</v>
      </c>
      <c r="B5725">
        <v>841</v>
      </c>
      <c r="C5725" s="9" t="s">
        <v>30</v>
      </c>
      <c r="D5725" s="8">
        <v>-2.2589999999999999E-2</v>
      </c>
    </row>
    <row r="5726" spans="1:4">
      <c r="A5726" t="str">
        <f t="shared" si="96"/>
        <v>841Drawdown</v>
      </c>
      <c r="B5726">
        <v>841</v>
      </c>
      <c r="C5726" s="9" t="s">
        <v>8</v>
      </c>
      <c r="D5726" s="8">
        <v>0.02</v>
      </c>
    </row>
    <row r="5727" spans="1:4">
      <c r="A5727" t="str">
        <f t="shared" si="96"/>
        <v>841Expectancy</v>
      </c>
      <c r="B5727">
        <v>841</v>
      </c>
      <c r="C5727" s="9" t="s">
        <v>31</v>
      </c>
      <c r="D5727" s="8">
        <v>-0.19800000000000001</v>
      </c>
    </row>
    <row r="5728" spans="1:4">
      <c r="A5728" t="str">
        <f t="shared" si="96"/>
        <v>841Net Profit</v>
      </c>
      <c r="B5728">
        <v>841</v>
      </c>
      <c r="C5728" s="9" t="s">
        <v>32</v>
      </c>
      <c r="D5728" s="8">
        <v>-1.503E-2</v>
      </c>
    </row>
    <row r="5729" spans="1:4">
      <c r="A5729" t="str">
        <f t="shared" si="96"/>
        <v>841Loss Rate</v>
      </c>
      <c r="B5729">
        <v>841</v>
      </c>
      <c r="C5729" s="9" t="s">
        <v>33</v>
      </c>
      <c r="D5729" s="8">
        <v>0.47</v>
      </c>
    </row>
    <row r="5730" spans="1:4">
      <c r="A5730" t="str">
        <f t="shared" ref="A5730:A5793" si="97">B5730&amp;C5730</f>
        <v>841Win Rate</v>
      </c>
      <c r="B5730">
        <v>841</v>
      </c>
      <c r="C5730" s="9" t="s">
        <v>34</v>
      </c>
      <c r="D5730" s="8">
        <v>0.53</v>
      </c>
    </row>
    <row r="5731" spans="1:4">
      <c r="A5731" t="str">
        <f t="shared" si="97"/>
        <v>841Profit-Loss Ratio</v>
      </c>
      <c r="B5731">
        <v>841</v>
      </c>
      <c r="C5731" s="9" t="s">
        <v>26</v>
      </c>
      <c r="D5731" s="8">
        <v>0.51</v>
      </c>
    </row>
    <row r="5732" spans="1:4">
      <c r="A5732" t="str">
        <f t="shared" si="97"/>
        <v>841Alpha</v>
      </c>
      <c r="B5732">
        <v>841</v>
      </c>
      <c r="C5732" s="9" t="s">
        <v>23</v>
      </c>
      <c r="D5732" s="8">
        <v>-1.7999999999999999E-2</v>
      </c>
    </row>
    <row r="5733" spans="1:4">
      <c r="A5733" t="str">
        <f t="shared" si="97"/>
        <v>841Beta</v>
      </c>
      <c r="B5733">
        <v>841</v>
      </c>
      <c r="C5733" s="9" t="s">
        <v>24</v>
      </c>
      <c r="D5733" s="8">
        <v>0.04</v>
      </c>
    </row>
    <row r="5734" spans="1:4">
      <c r="A5734" t="str">
        <f t="shared" si="97"/>
        <v>841Annual Standard Deviation</v>
      </c>
      <c r="B5734">
        <v>841</v>
      </c>
      <c r="C5734" s="9" t="s">
        <v>35</v>
      </c>
      <c r="D5734" s="8">
        <v>1.2999999999999999E-2</v>
      </c>
    </row>
    <row r="5735" spans="1:4">
      <c r="A5735" t="str">
        <f t="shared" si="97"/>
        <v>841Annual Variance</v>
      </c>
      <c r="B5735">
        <v>841</v>
      </c>
      <c r="C5735" s="9" t="s">
        <v>36</v>
      </c>
      <c r="D5735" s="8">
        <v>0</v>
      </c>
    </row>
    <row r="5736" spans="1:4">
      <c r="A5736" t="str">
        <f t="shared" si="97"/>
        <v>841Information Ratio</v>
      </c>
      <c r="B5736">
        <v>841</v>
      </c>
      <c r="C5736" s="9" t="s">
        <v>37</v>
      </c>
      <c r="D5736" s="8">
        <v>-1.018</v>
      </c>
    </row>
    <row r="5737" spans="1:4">
      <c r="A5737" t="str">
        <f t="shared" si="97"/>
        <v>841Tracking Error</v>
      </c>
      <c r="B5737">
        <v>841</v>
      </c>
      <c r="C5737" s="9" t="s">
        <v>38</v>
      </c>
      <c r="D5737" s="8">
        <v>6.6000000000000003E-2</v>
      </c>
    </row>
    <row r="5738" spans="1:4">
      <c r="A5738" t="str">
        <f t="shared" si="97"/>
        <v>841Treynor Ratio</v>
      </c>
      <c r="B5738">
        <v>841</v>
      </c>
      <c r="C5738" s="9" t="s">
        <v>39</v>
      </c>
      <c r="D5738" s="8">
        <v>-0.38800000000000001</v>
      </c>
    </row>
    <row r="5739" spans="1:4">
      <c r="A5739" t="str">
        <f t="shared" si="97"/>
        <v>841Total Fees</v>
      </c>
      <c r="B5739">
        <v>841</v>
      </c>
      <c r="C5739" s="9" t="s">
        <v>40</v>
      </c>
      <c r="D5739" s="8">
        <v>0</v>
      </c>
    </row>
    <row r="5740" spans="1:4">
      <c r="A5740" t="str">
        <f t="shared" si="97"/>
        <v>841Estimated Strategy Capacity</v>
      </c>
      <c r="B5740">
        <v>841</v>
      </c>
      <c r="C5740" s="9" t="s">
        <v>41</v>
      </c>
      <c r="D5740" s="8">
        <v>7700000</v>
      </c>
    </row>
    <row r="5741" spans="1:4">
      <c r="A5741" t="str">
        <f t="shared" si="97"/>
        <v>842PSR</v>
      </c>
      <c r="B5741">
        <v>842</v>
      </c>
      <c r="C5741" s="9" t="s">
        <v>27</v>
      </c>
      <c r="D5741" s="8">
        <v>2.7969999999999998E-2</v>
      </c>
    </row>
    <row r="5742" spans="1:4">
      <c r="A5742" t="str">
        <f t="shared" si="97"/>
        <v>842Sharpe Ratio</v>
      </c>
      <c r="B5742">
        <v>842</v>
      </c>
      <c r="C5742" s="9" t="s">
        <v>1</v>
      </c>
      <c r="D5742" s="8">
        <v>-0.94399999999999995</v>
      </c>
    </row>
    <row r="5743" spans="1:4">
      <c r="A5743" t="str">
        <f t="shared" si="97"/>
        <v>842Total Trades</v>
      </c>
      <c r="B5743">
        <v>842</v>
      </c>
      <c r="C5743" s="9" t="s">
        <v>28</v>
      </c>
      <c r="D5743" s="8">
        <v>747</v>
      </c>
    </row>
    <row r="5744" spans="1:4">
      <c r="A5744" t="str">
        <f t="shared" si="97"/>
        <v>842Average Win</v>
      </c>
      <c r="B5744">
        <v>842</v>
      </c>
      <c r="C5744" s="9" t="s">
        <v>25</v>
      </c>
      <c r="D5744" s="8">
        <v>8.0000000000000004E-4</v>
      </c>
    </row>
    <row r="5745" spans="1:4">
      <c r="A5745" t="str">
        <f t="shared" si="97"/>
        <v>842Average Loss</v>
      </c>
      <c r="B5745">
        <v>842</v>
      </c>
      <c r="C5745" s="9" t="s">
        <v>29</v>
      </c>
      <c r="D5745" s="8">
        <v>-2.2000000000000001E-3</v>
      </c>
    </row>
    <row r="5746" spans="1:4">
      <c r="A5746" t="str">
        <f t="shared" si="97"/>
        <v>842Compounding Annual Return</v>
      </c>
      <c r="B5746">
        <v>842</v>
      </c>
      <c r="C5746" s="9" t="s">
        <v>30</v>
      </c>
      <c r="D5746" s="8">
        <v>-3.6209999999999999E-2</v>
      </c>
    </row>
    <row r="5747" spans="1:4">
      <c r="A5747" t="str">
        <f t="shared" si="97"/>
        <v>842Drawdown</v>
      </c>
      <c r="B5747">
        <v>842</v>
      </c>
      <c r="C5747" s="9" t="s">
        <v>8</v>
      </c>
      <c r="D5747" s="8">
        <v>4.4999999999999998E-2</v>
      </c>
    </row>
    <row r="5748" spans="1:4">
      <c r="A5748" t="str">
        <f t="shared" si="97"/>
        <v>842Expectancy</v>
      </c>
      <c r="B5748">
        <v>842</v>
      </c>
      <c r="C5748" s="9" t="s">
        <v>31</v>
      </c>
      <c r="D5748" s="8">
        <v>-0.14499999999999999</v>
      </c>
    </row>
    <row r="5749" spans="1:4">
      <c r="A5749" t="str">
        <f t="shared" si="97"/>
        <v>842Net Profit</v>
      </c>
      <c r="B5749">
        <v>842</v>
      </c>
      <c r="C5749" s="9" t="s">
        <v>32</v>
      </c>
      <c r="D5749" s="8">
        <v>-2.4150000000000001E-2</v>
      </c>
    </row>
    <row r="5750" spans="1:4">
      <c r="A5750" t="str">
        <f t="shared" si="97"/>
        <v>842Loss Rate</v>
      </c>
      <c r="B5750">
        <v>842</v>
      </c>
      <c r="C5750" s="9" t="s">
        <v>33</v>
      </c>
      <c r="D5750" s="8">
        <v>0.37</v>
      </c>
    </row>
    <row r="5751" spans="1:4">
      <c r="A5751" t="str">
        <f t="shared" si="97"/>
        <v>842Win Rate</v>
      </c>
      <c r="B5751">
        <v>842</v>
      </c>
      <c r="C5751" s="9" t="s">
        <v>34</v>
      </c>
      <c r="D5751" s="8">
        <v>0.63</v>
      </c>
    </row>
    <row r="5752" spans="1:4">
      <c r="A5752" t="str">
        <f t="shared" si="97"/>
        <v>842Profit-Loss Ratio</v>
      </c>
      <c r="B5752">
        <v>842</v>
      </c>
      <c r="C5752" s="9" t="s">
        <v>26</v>
      </c>
      <c r="D5752" s="8">
        <v>0.35</v>
      </c>
    </row>
    <row r="5753" spans="1:4">
      <c r="A5753" t="str">
        <f t="shared" si="97"/>
        <v>842Alpha</v>
      </c>
      <c r="B5753">
        <v>842</v>
      </c>
      <c r="C5753" s="9" t="s">
        <v>23</v>
      </c>
      <c r="D5753" s="8">
        <v>-3.2000000000000001E-2</v>
      </c>
    </row>
    <row r="5754" spans="1:4">
      <c r="A5754" t="str">
        <f t="shared" si="97"/>
        <v>842Beta</v>
      </c>
      <c r="B5754">
        <v>842</v>
      </c>
      <c r="C5754" s="9" t="s">
        <v>24</v>
      </c>
      <c r="D5754" s="8">
        <v>0.13</v>
      </c>
    </row>
    <row r="5755" spans="1:4">
      <c r="A5755" t="str">
        <f t="shared" si="97"/>
        <v>842Annual Standard Deviation</v>
      </c>
      <c r="B5755">
        <v>842</v>
      </c>
      <c r="C5755" s="9" t="s">
        <v>35</v>
      </c>
      <c r="D5755" s="8">
        <v>2.5999999999999999E-2</v>
      </c>
    </row>
    <row r="5756" spans="1:4">
      <c r="A5756" t="str">
        <f t="shared" si="97"/>
        <v>842Annual Variance</v>
      </c>
      <c r="B5756">
        <v>842</v>
      </c>
      <c r="C5756" s="9" t="s">
        <v>36</v>
      </c>
      <c r="D5756" s="8">
        <v>1E-3</v>
      </c>
    </row>
    <row r="5757" spans="1:4">
      <c r="A5757" t="str">
        <f t="shared" si="97"/>
        <v>842Information Ratio</v>
      </c>
      <c r="B5757">
        <v>842</v>
      </c>
      <c r="C5757" s="9" t="s">
        <v>37</v>
      </c>
      <c r="D5757" s="8">
        <v>-1.2</v>
      </c>
    </row>
    <row r="5758" spans="1:4">
      <c r="A5758" t="str">
        <f t="shared" si="97"/>
        <v>842Tracking Error</v>
      </c>
      <c r="B5758">
        <v>842</v>
      </c>
      <c r="C5758" s="9" t="s">
        <v>38</v>
      </c>
      <c r="D5758" s="8">
        <v>6.4000000000000001E-2</v>
      </c>
    </row>
    <row r="5759" spans="1:4">
      <c r="A5759" t="str">
        <f t="shared" si="97"/>
        <v>842Treynor Ratio</v>
      </c>
      <c r="B5759">
        <v>842</v>
      </c>
      <c r="C5759" s="9" t="s">
        <v>39</v>
      </c>
      <c r="D5759" s="8">
        <v>-0.191</v>
      </c>
    </row>
    <row r="5760" spans="1:4">
      <c r="A5760" t="str">
        <f t="shared" si="97"/>
        <v>842Total Fees</v>
      </c>
      <c r="B5760">
        <v>842</v>
      </c>
      <c r="C5760" s="9" t="s">
        <v>40</v>
      </c>
      <c r="D5760" s="8">
        <v>0</v>
      </c>
    </row>
    <row r="5761" spans="1:4">
      <c r="A5761" t="str">
        <f t="shared" si="97"/>
        <v>842Estimated Strategy Capacity</v>
      </c>
      <c r="B5761">
        <v>842</v>
      </c>
      <c r="C5761" s="9" t="s">
        <v>41</v>
      </c>
      <c r="D5761" s="8">
        <v>7900000</v>
      </c>
    </row>
    <row r="5762" spans="1:4">
      <c r="A5762" t="str">
        <f t="shared" si="97"/>
        <v>843PSR</v>
      </c>
      <c r="B5762">
        <v>843</v>
      </c>
      <c r="C5762" s="9" t="s">
        <v>27</v>
      </c>
      <c r="D5762" s="8">
        <v>8.7900000000000006E-2</v>
      </c>
    </row>
    <row r="5763" spans="1:4">
      <c r="A5763" t="str">
        <f t="shared" si="97"/>
        <v>843Sharpe Ratio</v>
      </c>
      <c r="B5763">
        <v>843</v>
      </c>
      <c r="C5763" s="9" t="s">
        <v>1</v>
      </c>
      <c r="D5763" s="8">
        <v>-0.39600000000000002</v>
      </c>
    </row>
    <row r="5764" spans="1:4">
      <c r="A5764" t="str">
        <f t="shared" si="97"/>
        <v>843Total Trades</v>
      </c>
      <c r="B5764">
        <v>843</v>
      </c>
      <c r="C5764" s="9" t="s">
        <v>28</v>
      </c>
      <c r="D5764" s="8">
        <v>551</v>
      </c>
    </row>
    <row r="5765" spans="1:4">
      <c r="A5765" t="str">
        <f t="shared" si="97"/>
        <v>843Average Win</v>
      </c>
      <c r="B5765">
        <v>843</v>
      </c>
      <c r="C5765" s="9" t="s">
        <v>25</v>
      </c>
      <c r="D5765" s="8">
        <v>1.5E-3</v>
      </c>
    </row>
    <row r="5766" spans="1:4">
      <c r="A5766" t="str">
        <f t="shared" si="97"/>
        <v>843Average Loss</v>
      </c>
      <c r="B5766">
        <v>843</v>
      </c>
      <c r="C5766" s="9" t="s">
        <v>29</v>
      </c>
      <c r="D5766" s="8">
        <v>-3.0000000000000001E-3</v>
      </c>
    </row>
    <row r="5767" spans="1:4">
      <c r="A5767" t="str">
        <f t="shared" si="97"/>
        <v>843Compounding Annual Return</v>
      </c>
      <c r="B5767">
        <v>843</v>
      </c>
      <c r="C5767" s="9" t="s">
        <v>30</v>
      </c>
      <c r="D5767" s="8">
        <v>-1.788E-2</v>
      </c>
    </row>
    <row r="5768" spans="1:4">
      <c r="A5768" t="str">
        <f t="shared" si="97"/>
        <v>843Drawdown</v>
      </c>
      <c r="B5768">
        <v>843</v>
      </c>
      <c r="C5768" s="9" t="s">
        <v>8</v>
      </c>
      <c r="D5768" s="8">
        <v>5.2999999999999999E-2</v>
      </c>
    </row>
    <row r="5769" spans="1:4">
      <c r="A5769" t="str">
        <f t="shared" si="97"/>
        <v>843Expectancy</v>
      </c>
      <c r="B5769">
        <v>843</v>
      </c>
      <c r="C5769" s="9" t="s">
        <v>31</v>
      </c>
      <c r="D5769" s="8">
        <v>-5.3999999999999999E-2</v>
      </c>
    </row>
    <row r="5770" spans="1:4">
      <c r="A5770" t="str">
        <f t="shared" si="97"/>
        <v>843Net Profit</v>
      </c>
      <c r="B5770">
        <v>843</v>
      </c>
      <c r="C5770" s="9" t="s">
        <v>32</v>
      </c>
      <c r="D5770" s="8">
        <v>-1.189E-2</v>
      </c>
    </row>
    <row r="5771" spans="1:4">
      <c r="A5771" t="str">
        <f t="shared" si="97"/>
        <v>843Loss Rate</v>
      </c>
      <c r="B5771">
        <v>843</v>
      </c>
      <c r="C5771" s="9" t="s">
        <v>33</v>
      </c>
      <c r="D5771" s="8">
        <v>0.37</v>
      </c>
    </row>
    <row r="5772" spans="1:4">
      <c r="A5772" t="str">
        <f t="shared" si="97"/>
        <v>843Win Rate</v>
      </c>
      <c r="B5772">
        <v>843</v>
      </c>
      <c r="C5772" s="9" t="s">
        <v>34</v>
      </c>
      <c r="D5772" s="8">
        <v>0.63</v>
      </c>
    </row>
    <row r="5773" spans="1:4">
      <c r="A5773" t="str">
        <f t="shared" si="97"/>
        <v>843Profit-Loss Ratio</v>
      </c>
      <c r="B5773">
        <v>843</v>
      </c>
      <c r="C5773" s="9" t="s">
        <v>26</v>
      </c>
      <c r="D5773" s="8">
        <v>0.49</v>
      </c>
    </row>
    <row r="5774" spans="1:4">
      <c r="A5774" t="str">
        <f t="shared" si="97"/>
        <v>843Alpha</v>
      </c>
      <c r="B5774">
        <v>843</v>
      </c>
      <c r="C5774" s="9" t="s">
        <v>23</v>
      </c>
      <c r="D5774" s="8">
        <v>-0.02</v>
      </c>
    </row>
    <row r="5775" spans="1:4">
      <c r="A5775" t="str">
        <f t="shared" si="97"/>
        <v>843Beta</v>
      </c>
      <c r="B5775">
        <v>843</v>
      </c>
      <c r="C5775" s="9" t="s">
        <v>24</v>
      </c>
      <c r="D5775" s="8">
        <v>0.157</v>
      </c>
    </row>
    <row r="5776" spans="1:4">
      <c r="A5776" t="str">
        <f t="shared" si="97"/>
        <v>843Annual Standard Deviation</v>
      </c>
      <c r="B5776">
        <v>843</v>
      </c>
      <c r="C5776" s="9" t="s">
        <v>35</v>
      </c>
      <c r="D5776" s="8">
        <v>0.03</v>
      </c>
    </row>
    <row r="5777" spans="1:4">
      <c r="A5777" t="str">
        <f t="shared" si="97"/>
        <v>843Annual Variance</v>
      </c>
      <c r="B5777">
        <v>843</v>
      </c>
      <c r="C5777" s="9" t="s">
        <v>36</v>
      </c>
      <c r="D5777" s="8">
        <v>1E-3</v>
      </c>
    </row>
    <row r="5778" spans="1:4">
      <c r="A5778" t="str">
        <f t="shared" si="97"/>
        <v>843Information Ratio</v>
      </c>
      <c r="B5778">
        <v>843</v>
      </c>
      <c r="C5778" s="9" t="s">
        <v>37</v>
      </c>
      <c r="D5778" s="8">
        <v>-0.999</v>
      </c>
    </row>
    <row r="5779" spans="1:4">
      <c r="A5779" t="str">
        <f t="shared" si="97"/>
        <v>843Tracking Error</v>
      </c>
      <c r="B5779">
        <v>843</v>
      </c>
      <c r="C5779" s="9" t="s">
        <v>38</v>
      </c>
      <c r="D5779" s="8">
        <v>6.3E-2</v>
      </c>
    </row>
    <row r="5780" spans="1:4">
      <c r="A5780" t="str">
        <f t="shared" si="97"/>
        <v>843Treynor Ratio</v>
      </c>
      <c r="B5780">
        <v>843</v>
      </c>
      <c r="C5780" s="9" t="s">
        <v>39</v>
      </c>
      <c r="D5780" s="8">
        <v>-7.6999999999999999E-2</v>
      </c>
    </row>
    <row r="5781" spans="1:4">
      <c r="A5781" t="str">
        <f t="shared" si="97"/>
        <v>843Total Fees</v>
      </c>
      <c r="B5781">
        <v>843</v>
      </c>
      <c r="C5781" s="9" t="s">
        <v>40</v>
      </c>
      <c r="D5781" s="8">
        <v>0</v>
      </c>
    </row>
    <row r="5782" spans="1:4">
      <c r="A5782" t="str">
        <f t="shared" si="97"/>
        <v>843Estimated Strategy Capacity</v>
      </c>
      <c r="B5782">
        <v>843</v>
      </c>
      <c r="C5782" s="9" t="s">
        <v>41</v>
      </c>
      <c r="D5782" s="8">
        <v>8100000</v>
      </c>
    </row>
    <row r="5783" spans="1:4">
      <c r="A5783" t="str">
        <f t="shared" si="97"/>
        <v>844PSR</v>
      </c>
      <c r="B5783">
        <v>844</v>
      </c>
      <c r="C5783" s="9" t="s">
        <v>27</v>
      </c>
      <c r="D5783" s="8">
        <v>1.014E-2</v>
      </c>
    </row>
    <row r="5784" spans="1:4">
      <c r="A5784" t="str">
        <f t="shared" si="97"/>
        <v>844Sharpe Ratio</v>
      </c>
      <c r="B5784">
        <v>844</v>
      </c>
      <c r="C5784" s="9" t="s">
        <v>1</v>
      </c>
      <c r="D5784" s="8">
        <v>-1.2490000000000001</v>
      </c>
    </row>
    <row r="5785" spans="1:4">
      <c r="A5785" t="str">
        <f t="shared" si="97"/>
        <v>844Total Trades</v>
      </c>
      <c r="B5785">
        <v>844</v>
      </c>
      <c r="C5785" s="9" t="s">
        <v>28</v>
      </c>
      <c r="D5785" s="8">
        <v>707</v>
      </c>
    </row>
    <row r="5786" spans="1:4">
      <c r="A5786" t="str">
        <f t="shared" si="97"/>
        <v>844Average Win</v>
      </c>
      <c r="B5786">
        <v>844</v>
      </c>
      <c r="C5786" s="9" t="s">
        <v>25</v>
      </c>
      <c r="D5786" s="8">
        <v>5.0000000000000001E-4</v>
      </c>
    </row>
    <row r="5787" spans="1:4">
      <c r="A5787" t="str">
        <f t="shared" si="97"/>
        <v>844Average Loss</v>
      </c>
      <c r="B5787">
        <v>844</v>
      </c>
      <c r="C5787" s="9" t="s">
        <v>29</v>
      </c>
      <c r="D5787" s="8">
        <v>-1.1000000000000001E-3</v>
      </c>
    </row>
    <row r="5788" spans="1:4">
      <c r="A5788" t="str">
        <f t="shared" si="97"/>
        <v>844Compounding Annual Return</v>
      </c>
      <c r="B5788">
        <v>844</v>
      </c>
      <c r="C5788" s="9" t="s">
        <v>30</v>
      </c>
      <c r="D5788" s="8">
        <v>-2.0990000000000002E-2</v>
      </c>
    </row>
    <row r="5789" spans="1:4">
      <c r="A5789" t="str">
        <f t="shared" si="97"/>
        <v>844Drawdown</v>
      </c>
      <c r="B5789">
        <v>844</v>
      </c>
      <c r="C5789" s="9" t="s">
        <v>8</v>
      </c>
      <c r="D5789" s="8">
        <v>2.5000000000000001E-2</v>
      </c>
    </row>
    <row r="5790" spans="1:4">
      <c r="A5790" t="str">
        <f t="shared" si="97"/>
        <v>844Expectancy</v>
      </c>
      <c r="B5790">
        <v>844</v>
      </c>
      <c r="C5790" s="9" t="s">
        <v>31</v>
      </c>
      <c r="D5790" s="8">
        <v>-0.223</v>
      </c>
    </row>
    <row r="5791" spans="1:4">
      <c r="A5791" t="str">
        <f t="shared" si="97"/>
        <v>844Net Profit</v>
      </c>
      <c r="B5791">
        <v>844</v>
      </c>
      <c r="C5791" s="9" t="s">
        <v>32</v>
      </c>
      <c r="D5791" s="8">
        <v>-1.397E-2</v>
      </c>
    </row>
    <row r="5792" spans="1:4">
      <c r="A5792" t="str">
        <f t="shared" si="97"/>
        <v>844Loss Rate</v>
      </c>
      <c r="B5792">
        <v>844</v>
      </c>
      <c r="C5792" s="9" t="s">
        <v>33</v>
      </c>
      <c r="D5792" s="8">
        <v>0.45</v>
      </c>
    </row>
    <row r="5793" spans="1:4">
      <c r="A5793" t="str">
        <f t="shared" si="97"/>
        <v>844Win Rate</v>
      </c>
      <c r="B5793">
        <v>844</v>
      </c>
      <c r="C5793" s="9" t="s">
        <v>34</v>
      </c>
      <c r="D5793" s="8">
        <v>0.55000000000000004</v>
      </c>
    </row>
    <row r="5794" spans="1:4">
      <c r="A5794" t="str">
        <f t="shared" ref="A5794:A5857" si="98">B5794&amp;C5794</f>
        <v>844Profit-Loss Ratio</v>
      </c>
      <c r="B5794">
        <v>844</v>
      </c>
      <c r="C5794" s="9" t="s">
        <v>26</v>
      </c>
      <c r="D5794" s="8">
        <v>0.42</v>
      </c>
    </row>
    <row r="5795" spans="1:4">
      <c r="A5795" t="str">
        <f t="shared" si="98"/>
        <v>844Alpha</v>
      </c>
      <c r="B5795">
        <v>844</v>
      </c>
      <c r="C5795" s="9" t="s">
        <v>23</v>
      </c>
      <c r="D5795" s="8">
        <v>-1.4999999999999999E-2</v>
      </c>
    </row>
    <row r="5796" spans="1:4">
      <c r="A5796" t="str">
        <f t="shared" si="98"/>
        <v>844Beta</v>
      </c>
      <c r="B5796">
        <v>844</v>
      </c>
      <c r="C5796" s="9" t="s">
        <v>24</v>
      </c>
      <c r="D5796" s="8">
        <v>1.7000000000000001E-2</v>
      </c>
    </row>
    <row r="5797" spans="1:4">
      <c r="A5797" t="str">
        <f t="shared" si="98"/>
        <v>844Annual Standard Deviation</v>
      </c>
      <c r="B5797">
        <v>844</v>
      </c>
      <c r="C5797" s="9" t="s">
        <v>35</v>
      </c>
      <c r="D5797" s="8">
        <v>1.2E-2</v>
      </c>
    </row>
    <row r="5798" spans="1:4">
      <c r="A5798" t="str">
        <f t="shared" si="98"/>
        <v>844Annual Variance</v>
      </c>
      <c r="B5798">
        <v>844</v>
      </c>
      <c r="C5798" s="9" t="s">
        <v>36</v>
      </c>
      <c r="D5798" s="8">
        <v>0</v>
      </c>
    </row>
    <row r="5799" spans="1:4">
      <c r="A5799" t="str">
        <f t="shared" si="98"/>
        <v>844Information Ratio</v>
      </c>
      <c r="B5799">
        <v>844</v>
      </c>
      <c r="C5799" s="9" t="s">
        <v>37</v>
      </c>
      <c r="D5799" s="8">
        <v>-0.98199999999999998</v>
      </c>
    </row>
    <row r="5800" spans="1:4">
      <c r="A5800" t="str">
        <f t="shared" si="98"/>
        <v>844Tracking Error</v>
      </c>
      <c r="B5800">
        <v>844</v>
      </c>
      <c r="C5800" s="9" t="s">
        <v>38</v>
      </c>
      <c r="D5800" s="8">
        <v>6.7000000000000004E-2</v>
      </c>
    </row>
    <row r="5801" spans="1:4">
      <c r="A5801" t="str">
        <f t="shared" si="98"/>
        <v>844Treynor Ratio</v>
      </c>
      <c r="B5801">
        <v>844</v>
      </c>
      <c r="C5801" s="9" t="s">
        <v>39</v>
      </c>
      <c r="D5801" s="8">
        <v>-0.85399999999999998</v>
      </c>
    </row>
    <row r="5802" spans="1:4">
      <c r="A5802" t="str">
        <f t="shared" si="98"/>
        <v>844Total Fees</v>
      </c>
      <c r="B5802">
        <v>844</v>
      </c>
      <c r="C5802" s="9" t="s">
        <v>40</v>
      </c>
      <c r="D5802" s="8">
        <v>0</v>
      </c>
    </row>
    <row r="5803" spans="1:4">
      <c r="A5803" t="str">
        <f t="shared" si="98"/>
        <v>844Estimated Strategy Capacity</v>
      </c>
      <c r="B5803">
        <v>844</v>
      </c>
      <c r="C5803" s="9" t="s">
        <v>41</v>
      </c>
      <c r="D5803" s="8">
        <v>1000000000</v>
      </c>
    </row>
    <row r="5804" spans="1:4">
      <c r="A5804" t="str">
        <f t="shared" si="98"/>
        <v>845PSR</v>
      </c>
      <c r="B5804">
        <v>845</v>
      </c>
      <c r="C5804" s="9" t="s">
        <v>27</v>
      </c>
      <c r="D5804" s="8">
        <v>4.0169999999999997E-2</v>
      </c>
    </row>
    <row r="5805" spans="1:4">
      <c r="A5805" t="str">
        <f t="shared" si="98"/>
        <v>845Sharpe Ratio</v>
      </c>
      <c r="B5805">
        <v>845</v>
      </c>
      <c r="C5805" s="9" t="s">
        <v>1</v>
      </c>
      <c r="D5805" s="8">
        <v>-0.74099999999999999</v>
      </c>
    </row>
    <row r="5806" spans="1:4">
      <c r="A5806" t="str">
        <f t="shared" si="98"/>
        <v>845Total Trades</v>
      </c>
      <c r="B5806">
        <v>845</v>
      </c>
      <c r="C5806" s="9" t="s">
        <v>28</v>
      </c>
      <c r="D5806" s="8">
        <v>535</v>
      </c>
    </row>
    <row r="5807" spans="1:4">
      <c r="A5807" t="str">
        <f t="shared" si="98"/>
        <v>845Average Win</v>
      </c>
      <c r="B5807">
        <v>845</v>
      </c>
      <c r="C5807" s="9" t="s">
        <v>25</v>
      </c>
      <c r="D5807" s="8">
        <v>1.4E-3</v>
      </c>
    </row>
    <row r="5808" spans="1:4">
      <c r="A5808" t="str">
        <f t="shared" si="98"/>
        <v>845Average Loss</v>
      </c>
      <c r="B5808">
        <v>845</v>
      </c>
      <c r="C5808" s="9" t="s">
        <v>29</v>
      </c>
      <c r="D5808" s="8">
        <v>-2.3E-3</v>
      </c>
    </row>
    <row r="5809" spans="1:4">
      <c r="A5809" t="str">
        <f t="shared" si="98"/>
        <v>845Compounding Annual Return</v>
      </c>
      <c r="B5809">
        <v>845</v>
      </c>
      <c r="C5809" s="9" t="s">
        <v>30</v>
      </c>
      <c r="D5809" s="8">
        <v>-3.0980000000000001E-2</v>
      </c>
    </row>
    <row r="5810" spans="1:4">
      <c r="A5810" t="str">
        <f t="shared" si="98"/>
        <v>845Drawdown</v>
      </c>
      <c r="B5810">
        <v>845</v>
      </c>
      <c r="C5810" s="9" t="s">
        <v>8</v>
      </c>
      <c r="D5810" s="8">
        <v>5.2999999999999999E-2</v>
      </c>
    </row>
    <row r="5811" spans="1:4">
      <c r="A5811" t="str">
        <f t="shared" si="98"/>
        <v>845Expectancy</v>
      </c>
      <c r="B5811">
        <v>845</v>
      </c>
      <c r="C5811" s="9" t="s">
        <v>31</v>
      </c>
      <c r="D5811" s="8">
        <v>-0.16500000000000001</v>
      </c>
    </row>
    <row r="5812" spans="1:4">
      <c r="A5812" t="str">
        <f t="shared" si="98"/>
        <v>845Net Profit</v>
      </c>
      <c r="B5812">
        <v>845</v>
      </c>
      <c r="C5812" s="9" t="s">
        <v>32</v>
      </c>
      <c r="D5812" s="8">
        <v>-2.0650000000000002E-2</v>
      </c>
    </row>
    <row r="5813" spans="1:4">
      <c r="A5813" t="str">
        <f t="shared" si="98"/>
        <v>845Loss Rate</v>
      </c>
      <c r="B5813">
        <v>845</v>
      </c>
      <c r="C5813" s="9" t="s">
        <v>33</v>
      </c>
      <c r="D5813" s="8">
        <v>0.48</v>
      </c>
    </row>
    <row r="5814" spans="1:4">
      <c r="A5814" t="str">
        <f t="shared" si="98"/>
        <v>845Win Rate</v>
      </c>
      <c r="B5814">
        <v>845</v>
      </c>
      <c r="C5814" s="9" t="s">
        <v>34</v>
      </c>
      <c r="D5814" s="8">
        <v>0.52</v>
      </c>
    </row>
    <row r="5815" spans="1:4">
      <c r="A5815" t="str">
        <f t="shared" si="98"/>
        <v>845Profit-Loss Ratio</v>
      </c>
      <c r="B5815">
        <v>845</v>
      </c>
      <c r="C5815" s="9" t="s">
        <v>26</v>
      </c>
      <c r="D5815" s="8">
        <v>0.61</v>
      </c>
    </row>
    <row r="5816" spans="1:4">
      <c r="A5816" t="str">
        <f t="shared" si="98"/>
        <v>845Alpha</v>
      </c>
      <c r="B5816">
        <v>845</v>
      </c>
      <c r="C5816" s="9" t="s">
        <v>23</v>
      </c>
      <c r="D5816" s="8">
        <v>-2.5999999999999999E-2</v>
      </c>
    </row>
    <row r="5817" spans="1:4">
      <c r="A5817" t="str">
        <f t="shared" si="98"/>
        <v>845Beta</v>
      </c>
      <c r="B5817">
        <v>845</v>
      </c>
      <c r="C5817" s="9" t="s">
        <v>24</v>
      </c>
      <c r="D5817" s="8">
        <v>8.5999999999999993E-2</v>
      </c>
    </row>
    <row r="5818" spans="1:4">
      <c r="A5818" t="str">
        <f t="shared" si="98"/>
        <v>845Annual Standard Deviation</v>
      </c>
      <c r="B5818">
        <v>845</v>
      </c>
      <c r="C5818" s="9" t="s">
        <v>35</v>
      </c>
      <c r="D5818" s="8">
        <v>2.9000000000000001E-2</v>
      </c>
    </row>
    <row r="5819" spans="1:4">
      <c r="A5819" t="str">
        <f t="shared" si="98"/>
        <v>845Annual Variance</v>
      </c>
      <c r="B5819">
        <v>845</v>
      </c>
      <c r="C5819" s="9" t="s">
        <v>36</v>
      </c>
      <c r="D5819" s="8">
        <v>1E-3</v>
      </c>
    </row>
    <row r="5820" spans="1:4">
      <c r="A5820" t="str">
        <f t="shared" si="98"/>
        <v>845Information Ratio</v>
      </c>
      <c r="B5820">
        <v>845</v>
      </c>
      <c r="C5820" s="9" t="s">
        <v>37</v>
      </c>
      <c r="D5820" s="8">
        <v>-1.0740000000000001</v>
      </c>
    </row>
    <row r="5821" spans="1:4">
      <c r="A5821" t="str">
        <f t="shared" si="98"/>
        <v>845Tracking Error</v>
      </c>
      <c r="B5821">
        <v>845</v>
      </c>
      <c r="C5821" s="9" t="s">
        <v>38</v>
      </c>
      <c r="D5821" s="8">
        <v>6.8000000000000005E-2</v>
      </c>
    </row>
    <row r="5822" spans="1:4">
      <c r="A5822" t="str">
        <f t="shared" si="98"/>
        <v>845Treynor Ratio</v>
      </c>
      <c r="B5822">
        <v>845</v>
      </c>
      <c r="C5822" s="9" t="s">
        <v>39</v>
      </c>
      <c r="D5822" s="8">
        <v>-0.246</v>
      </c>
    </row>
    <row r="5823" spans="1:4">
      <c r="A5823" t="str">
        <f t="shared" si="98"/>
        <v>845Total Fees</v>
      </c>
      <c r="B5823">
        <v>845</v>
      </c>
      <c r="C5823" s="9" t="s">
        <v>40</v>
      </c>
      <c r="D5823" s="8">
        <v>0</v>
      </c>
    </row>
    <row r="5824" spans="1:4">
      <c r="A5824" t="str">
        <f t="shared" si="98"/>
        <v>845Estimated Strategy Capacity</v>
      </c>
      <c r="B5824">
        <v>845</v>
      </c>
      <c r="C5824" s="9" t="s">
        <v>41</v>
      </c>
      <c r="D5824" s="8">
        <v>110000000</v>
      </c>
    </row>
    <row r="5825" spans="1:4">
      <c r="A5825" t="str">
        <f t="shared" si="98"/>
        <v>846PSR</v>
      </c>
      <c r="B5825">
        <v>846</v>
      </c>
      <c r="C5825" s="9" t="s">
        <v>27</v>
      </c>
      <c r="D5825" s="8">
        <v>9.9239999999999995E-2</v>
      </c>
    </row>
    <row r="5826" spans="1:4">
      <c r="A5826" t="str">
        <f t="shared" si="98"/>
        <v>846Sharpe Ratio</v>
      </c>
      <c r="B5826">
        <v>846</v>
      </c>
      <c r="C5826" s="9" t="s">
        <v>1</v>
      </c>
      <c r="D5826" s="8">
        <v>-0.309</v>
      </c>
    </row>
    <row r="5827" spans="1:4">
      <c r="A5827" t="str">
        <f t="shared" si="98"/>
        <v>846Total Trades</v>
      </c>
      <c r="B5827">
        <v>846</v>
      </c>
      <c r="C5827" s="9" t="s">
        <v>28</v>
      </c>
      <c r="D5827" s="8">
        <v>400</v>
      </c>
    </row>
    <row r="5828" spans="1:4">
      <c r="A5828" t="str">
        <f t="shared" si="98"/>
        <v>846Average Win</v>
      </c>
      <c r="B5828">
        <v>846</v>
      </c>
      <c r="C5828" s="9" t="s">
        <v>25</v>
      </c>
      <c r="D5828" s="8">
        <v>1.6999999999999999E-3</v>
      </c>
    </row>
    <row r="5829" spans="1:4">
      <c r="A5829" t="str">
        <f t="shared" si="98"/>
        <v>846Average Loss</v>
      </c>
      <c r="B5829">
        <v>846</v>
      </c>
      <c r="C5829" s="9" t="s">
        <v>29</v>
      </c>
      <c r="D5829" s="8">
        <v>-2.8E-3</v>
      </c>
    </row>
    <row r="5830" spans="1:4">
      <c r="A5830" t="str">
        <f t="shared" si="98"/>
        <v>846Compounding Annual Return</v>
      </c>
      <c r="B5830">
        <v>846</v>
      </c>
      <c r="C5830" s="9" t="s">
        <v>30</v>
      </c>
      <c r="D5830" s="8">
        <v>-1.5010000000000001E-2</v>
      </c>
    </row>
    <row r="5831" spans="1:4">
      <c r="A5831" t="str">
        <f t="shared" si="98"/>
        <v>846Drawdown</v>
      </c>
      <c r="B5831">
        <v>846</v>
      </c>
      <c r="C5831" s="9" t="s">
        <v>8</v>
      </c>
      <c r="D5831" s="8">
        <v>4.2000000000000003E-2</v>
      </c>
    </row>
    <row r="5832" spans="1:4">
      <c r="A5832" t="str">
        <f t="shared" si="98"/>
        <v>846Expectancy</v>
      </c>
      <c r="B5832">
        <v>846</v>
      </c>
      <c r="C5832" s="9" t="s">
        <v>31</v>
      </c>
      <c r="D5832" s="8">
        <v>-6.6000000000000003E-2</v>
      </c>
    </row>
    <row r="5833" spans="1:4">
      <c r="A5833" t="str">
        <f t="shared" si="98"/>
        <v>846Net Profit</v>
      </c>
      <c r="B5833">
        <v>846</v>
      </c>
      <c r="C5833" s="9" t="s">
        <v>32</v>
      </c>
      <c r="D5833" s="8">
        <v>-9.9799999999999993E-3</v>
      </c>
    </row>
    <row r="5834" spans="1:4">
      <c r="A5834" t="str">
        <f t="shared" si="98"/>
        <v>846Loss Rate</v>
      </c>
      <c r="B5834">
        <v>846</v>
      </c>
      <c r="C5834" s="9" t="s">
        <v>33</v>
      </c>
      <c r="D5834" s="8">
        <v>0.42</v>
      </c>
    </row>
    <row r="5835" spans="1:4">
      <c r="A5835" t="str">
        <f t="shared" si="98"/>
        <v>846Win Rate</v>
      </c>
      <c r="B5835">
        <v>846</v>
      </c>
      <c r="C5835" s="9" t="s">
        <v>34</v>
      </c>
      <c r="D5835" s="8">
        <v>0.57999999999999996</v>
      </c>
    </row>
    <row r="5836" spans="1:4">
      <c r="A5836" t="str">
        <f t="shared" si="98"/>
        <v>846Profit-Loss Ratio</v>
      </c>
      <c r="B5836">
        <v>846</v>
      </c>
      <c r="C5836" s="9" t="s">
        <v>26</v>
      </c>
      <c r="D5836" s="8">
        <v>0.62</v>
      </c>
    </row>
    <row r="5837" spans="1:4">
      <c r="A5837" t="str">
        <f t="shared" si="98"/>
        <v>846Alpha</v>
      </c>
      <c r="B5837">
        <v>846</v>
      </c>
      <c r="C5837" s="9" t="s">
        <v>23</v>
      </c>
      <c r="D5837" s="8">
        <v>-1.9E-2</v>
      </c>
    </row>
    <row r="5838" spans="1:4">
      <c r="A5838" t="str">
        <f t="shared" si="98"/>
        <v>846Beta</v>
      </c>
      <c r="B5838">
        <v>846</v>
      </c>
      <c r="C5838" s="9" t="s">
        <v>24</v>
      </c>
      <c r="D5838" s="8">
        <v>0.17</v>
      </c>
    </row>
    <row r="5839" spans="1:4">
      <c r="A5839" t="str">
        <f t="shared" si="98"/>
        <v>846Annual Standard Deviation</v>
      </c>
      <c r="B5839">
        <v>846</v>
      </c>
      <c r="C5839" s="9" t="s">
        <v>35</v>
      </c>
      <c r="D5839" s="8">
        <v>3.2000000000000001E-2</v>
      </c>
    </row>
    <row r="5840" spans="1:4">
      <c r="A5840" t="str">
        <f t="shared" si="98"/>
        <v>846Annual Variance</v>
      </c>
      <c r="B5840">
        <v>846</v>
      </c>
      <c r="C5840" s="9" t="s">
        <v>36</v>
      </c>
      <c r="D5840" s="8">
        <v>1E-3</v>
      </c>
    </row>
    <row r="5841" spans="1:4">
      <c r="A5841" t="str">
        <f t="shared" si="98"/>
        <v>846Information Ratio</v>
      </c>
      <c r="B5841">
        <v>846</v>
      </c>
      <c r="C5841" s="9" t="s">
        <v>37</v>
      </c>
      <c r="D5841" s="8">
        <v>-0.96699999999999997</v>
      </c>
    </row>
    <row r="5842" spans="1:4">
      <c r="A5842" t="str">
        <f t="shared" si="98"/>
        <v>846Tracking Error</v>
      </c>
      <c r="B5842">
        <v>846</v>
      </c>
      <c r="C5842" s="9" t="s">
        <v>38</v>
      </c>
      <c r="D5842" s="8">
        <v>6.3E-2</v>
      </c>
    </row>
    <row r="5843" spans="1:4">
      <c r="A5843" t="str">
        <f t="shared" si="98"/>
        <v>846Treynor Ratio</v>
      </c>
      <c r="B5843">
        <v>846</v>
      </c>
      <c r="C5843" s="9" t="s">
        <v>39</v>
      </c>
      <c r="D5843" s="8">
        <v>-5.8000000000000003E-2</v>
      </c>
    </row>
    <row r="5844" spans="1:4">
      <c r="A5844" t="str">
        <f t="shared" si="98"/>
        <v>846Total Fees</v>
      </c>
      <c r="B5844">
        <v>846</v>
      </c>
      <c r="C5844" s="9" t="s">
        <v>40</v>
      </c>
      <c r="D5844" s="8">
        <v>0</v>
      </c>
    </row>
    <row r="5845" spans="1:4">
      <c r="A5845" t="str">
        <f t="shared" si="98"/>
        <v>846Estimated Strategy Capacity</v>
      </c>
      <c r="B5845">
        <v>846</v>
      </c>
      <c r="C5845" s="9" t="s">
        <v>41</v>
      </c>
      <c r="D5845" s="8">
        <v>26000000</v>
      </c>
    </row>
    <row r="5846" spans="1:4">
      <c r="A5846" t="str">
        <f t="shared" si="98"/>
        <v>865PSR</v>
      </c>
      <c r="B5846">
        <v>865</v>
      </c>
      <c r="C5846" s="9" t="s">
        <v>27</v>
      </c>
      <c r="D5846" s="8">
        <v>3.1E-4</v>
      </c>
    </row>
    <row r="5847" spans="1:4">
      <c r="A5847" t="str">
        <f t="shared" si="98"/>
        <v>865Sharpe Ratio</v>
      </c>
      <c r="B5847">
        <v>865</v>
      </c>
      <c r="C5847" s="9" t="s">
        <v>1</v>
      </c>
      <c r="D5847" s="8">
        <v>-2.6840000000000002</v>
      </c>
    </row>
    <row r="5848" spans="1:4">
      <c r="A5848" t="str">
        <f t="shared" si="98"/>
        <v>865Total Trades</v>
      </c>
      <c r="B5848">
        <v>865</v>
      </c>
      <c r="C5848" s="9" t="s">
        <v>28</v>
      </c>
      <c r="D5848" s="8">
        <v>1490</v>
      </c>
    </row>
    <row r="5849" spans="1:4">
      <c r="A5849" t="str">
        <f t="shared" si="98"/>
        <v>865Average Win</v>
      </c>
      <c r="B5849">
        <v>865</v>
      </c>
      <c r="C5849" s="9" t="s">
        <v>25</v>
      </c>
      <c r="D5849" s="8">
        <v>1E-4</v>
      </c>
    </row>
    <row r="5850" spans="1:4">
      <c r="A5850" t="str">
        <f t="shared" si="98"/>
        <v>865Average Loss</v>
      </c>
      <c r="B5850">
        <v>865</v>
      </c>
      <c r="C5850" s="9" t="s">
        <v>29</v>
      </c>
      <c r="D5850" s="8">
        <v>-5.0000000000000001E-4</v>
      </c>
    </row>
    <row r="5851" spans="1:4">
      <c r="A5851" t="str">
        <f t="shared" si="98"/>
        <v>865Compounding Annual Return</v>
      </c>
      <c r="B5851">
        <v>865</v>
      </c>
      <c r="C5851" s="9" t="s">
        <v>30</v>
      </c>
      <c r="D5851" s="8">
        <v>-2.4680000000000001E-2</v>
      </c>
    </row>
    <row r="5852" spans="1:4">
      <c r="A5852" t="str">
        <f t="shared" si="98"/>
        <v>865Drawdown</v>
      </c>
      <c r="B5852">
        <v>865</v>
      </c>
      <c r="C5852" s="9" t="s">
        <v>8</v>
      </c>
      <c r="D5852" s="8">
        <v>1.9E-2</v>
      </c>
    </row>
    <row r="5853" spans="1:4">
      <c r="A5853" t="str">
        <f t="shared" si="98"/>
        <v>865Expectancy</v>
      </c>
      <c r="B5853">
        <v>865</v>
      </c>
      <c r="C5853" s="9" t="s">
        <v>31</v>
      </c>
      <c r="D5853" s="8">
        <v>-0.23100000000000001</v>
      </c>
    </row>
    <row r="5854" spans="1:4">
      <c r="A5854" t="str">
        <f t="shared" si="98"/>
        <v>865Net Profit</v>
      </c>
      <c r="B5854">
        <v>865</v>
      </c>
      <c r="C5854" s="9" t="s">
        <v>32</v>
      </c>
      <c r="D5854" s="8">
        <v>-1.643E-2</v>
      </c>
    </row>
    <row r="5855" spans="1:4">
      <c r="A5855" t="str">
        <f t="shared" si="98"/>
        <v>865Loss Rate</v>
      </c>
      <c r="B5855">
        <v>865</v>
      </c>
      <c r="C5855" s="9" t="s">
        <v>33</v>
      </c>
      <c r="D5855" s="8">
        <v>0.35</v>
      </c>
    </row>
    <row r="5856" spans="1:4">
      <c r="A5856" t="str">
        <f t="shared" si="98"/>
        <v>865Win Rate</v>
      </c>
      <c r="B5856">
        <v>865</v>
      </c>
      <c r="C5856" s="9" t="s">
        <v>34</v>
      </c>
      <c r="D5856" s="8">
        <v>0.65</v>
      </c>
    </row>
    <row r="5857" spans="1:4">
      <c r="A5857" t="str">
        <f t="shared" si="98"/>
        <v>865Profit-Loss Ratio</v>
      </c>
      <c r="B5857">
        <v>865</v>
      </c>
      <c r="C5857" s="9" t="s">
        <v>26</v>
      </c>
      <c r="D5857" s="8">
        <v>0.18</v>
      </c>
    </row>
    <row r="5858" spans="1:4">
      <c r="A5858" t="str">
        <f t="shared" ref="A5858:A5921" si="99">B5858&amp;C5858</f>
        <v>865Alpha</v>
      </c>
      <c r="B5858">
        <v>865</v>
      </c>
      <c r="C5858" s="9" t="s">
        <v>23</v>
      </c>
      <c r="D5858" s="8">
        <v>-1.7000000000000001E-2</v>
      </c>
    </row>
    <row r="5859" spans="1:4">
      <c r="A5859" t="str">
        <f t="shared" si="99"/>
        <v>865Beta</v>
      </c>
      <c r="B5859">
        <v>865</v>
      </c>
      <c r="C5859" s="9" t="s">
        <v>24</v>
      </c>
      <c r="D5859" s="8">
        <v>-4.0000000000000001E-3</v>
      </c>
    </row>
    <row r="5860" spans="1:4">
      <c r="A5860" t="str">
        <f t="shared" si="99"/>
        <v>865Annual Standard Deviation</v>
      </c>
      <c r="B5860">
        <v>865</v>
      </c>
      <c r="C5860" s="9" t="s">
        <v>35</v>
      </c>
      <c r="D5860" s="8">
        <v>6.0000000000000001E-3</v>
      </c>
    </row>
    <row r="5861" spans="1:4">
      <c r="A5861" t="str">
        <f t="shared" si="99"/>
        <v>865Annual Variance</v>
      </c>
      <c r="B5861">
        <v>865</v>
      </c>
      <c r="C5861" s="9" t="s">
        <v>36</v>
      </c>
      <c r="D5861" s="8">
        <v>0</v>
      </c>
    </row>
    <row r="5862" spans="1:4">
      <c r="A5862" t="str">
        <f t="shared" si="99"/>
        <v>865Information Ratio</v>
      </c>
      <c r="B5862">
        <v>865</v>
      </c>
      <c r="C5862" s="9" t="s">
        <v>37</v>
      </c>
      <c r="D5862" s="8">
        <v>-1.01</v>
      </c>
    </row>
    <row r="5863" spans="1:4">
      <c r="A5863" t="str">
        <f t="shared" si="99"/>
        <v>865Tracking Error</v>
      </c>
      <c r="B5863">
        <v>865</v>
      </c>
      <c r="C5863" s="9" t="s">
        <v>38</v>
      </c>
      <c r="D5863" s="8">
        <v>6.8000000000000005E-2</v>
      </c>
    </row>
    <row r="5864" spans="1:4">
      <c r="A5864" t="str">
        <f t="shared" si="99"/>
        <v>865Treynor Ratio</v>
      </c>
      <c r="B5864">
        <v>865</v>
      </c>
      <c r="C5864" s="9" t="s">
        <v>39</v>
      </c>
      <c r="D5864" s="8">
        <v>4.3879999999999999</v>
      </c>
    </row>
    <row r="5865" spans="1:4">
      <c r="A5865" t="str">
        <f t="shared" si="99"/>
        <v>865Total Fees</v>
      </c>
      <c r="B5865">
        <v>865</v>
      </c>
      <c r="C5865" s="9" t="s">
        <v>40</v>
      </c>
      <c r="D5865" s="8">
        <v>0</v>
      </c>
    </row>
    <row r="5866" spans="1:4">
      <c r="A5866" t="str">
        <f t="shared" si="99"/>
        <v>865Estimated Strategy Capacity</v>
      </c>
      <c r="B5866">
        <v>865</v>
      </c>
      <c r="C5866" s="9" t="s">
        <v>41</v>
      </c>
      <c r="D5866" s="8">
        <v>19000000</v>
      </c>
    </row>
    <row r="5867" spans="1:4">
      <c r="A5867" t="str">
        <f t="shared" si="99"/>
        <v>866PSR</v>
      </c>
      <c r="B5867">
        <v>866</v>
      </c>
      <c r="C5867" s="9" t="s">
        <v>27</v>
      </c>
      <c r="D5867" s="8">
        <v>3.2000000000000003E-4</v>
      </c>
    </row>
    <row r="5868" spans="1:4">
      <c r="A5868" t="str">
        <f t="shared" si="99"/>
        <v>866Sharpe Ratio</v>
      </c>
      <c r="B5868">
        <v>866</v>
      </c>
      <c r="C5868" s="9" t="s">
        <v>1</v>
      </c>
      <c r="D5868" s="8">
        <v>-2.343</v>
      </c>
    </row>
    <row r="5869" spans="1:4">
      <c r="A5869" t="str">
        <f t="shared" si="99"/>
        <v>866Total Trades</v>
      </c>
      <c r="B5869">
        <v>866</v>
      </c>
      <c r="C5869" s="9" t="s">
        <v>28</v>
      </c>
      <c r="D5869" s="8">
        <v>1155</v>
      </c>
    </row>
    <row r="5870" spans="1:4">
      <c r="A5870" t="str">
        <f t="shared" si="99"/>
        <v>866Average Win</v>
      </c>
      <c r="B5870">
        <v>866</v>
      </c>
      <c r="C5870" s="9" t="s">
        <v>25</v>
      </c>
      <c r="D5870" s="8">
        <v>4.0000000000000002E-4</v>
      </c>
    </row>
    <row r="5871" spans="1:4">
      <c r="A5871" t="str">
        <f t="shared" si="99"/>
        <v>866Average Loss</v>
      </c>
      <c r="B5871">
        <v>866</v>
      </c>
      <c r="C5871" s="9" t="s">
        <v>29</v>
      </c>
      <c r="D5871" s="8">
        <v>-1.6000000000000001E-3</v>
      </c>
    </row>
    <row r="5872" spans="1:4">
      <c r="A5872" t="str">
        <f t="shared" si="99"/>
        <v>866Compounding Annual Return</v>
      </c>
      <c r="B5872">
        <v>866</v>
      </c>
      <c r="C5872" s="9" t="s">
        <v>30</v>
      </c>
      <c r="D5872" s="8">
        <v>-6.7849999999999994E-2</v>
      </c>
    </row>
    <row r="5873" spans="1:4">
      <c r="A5873" t="str">
        <f t="shared" si="99"/>
        <v>866Drawdown</v>
      </c>
      <c r="B5873">
        <v>866</v>
      </c>
      <c r="C5873" s="9" t="s">
        <v>8</v>
      </c>
      <c r="D5873" s="8">
        <v>5.3999999999999999E-2</v>
      </c>
    </row>
    <row r="5874" spans="1:4">
      <c r="A5874" t="str">
        <f t="shared" si="99"/>
        <v>866Expectancy</v>
      </c>
      <c r="B5874">
        <v>866</v>
      </c>
      <c r="C5874" s="9" t="s">
        <v>31</v>
      </c>
      <c r="D5874" s="8">
        <v>-0.20899999999999999</v>
      </c>
    </row>
    <row r="5875" spans="1:4">
      <c r="A5875" t="str">
        <f t="shared" si="99"/>
        <v>866Net Profit</v>
      </c>
      <c r="B5875">
        <v>866</v>
      </c>
      <c r="C5875" s="9" t="s">
        <v>32</v>
      </c>
      <c r="D5875" s="8">
        <v>-4.5510000000000002E-2</v>
      </c>
    </row>
    <row r="5876" spans="1:4">
      <c r="A5876" t="str">
        <f t="shared" si="99"/>
        <v>866Loss Rate</v>
      </c>
      <c r="B5876">
        <v>866</v>
      </c>
      <c r="C5876" s="9" t="s">
        <v>33</v>
      </c>
      <c r="D5876" s="8">
        <v>0.35</v>
      </c>
    </row>
    <row r="5877" spans="1:4">
      <c r="A5877" t="str">
        <f t="shared" si="99"/>
        <v>866Win Rate</v>
      </c>
      <c r="B5877">
        <v>866</v>
      </c>
      <c r="C5877" s="9" t="s">
        <v>34</v>
      </c>
      <c r="D5877" s="8">
        <v>0.65</v>
      </c>
    </row>
    <row r="5878" spans="1:4">
      <c r="A5878" t="str">
        <f t="shared" si="99"/>
        <v>866Profit-Loss Ratio</v>
      </c>
      <c r="B5878">
        <v>866</v>
      </c>
      <c r="C5878" s="9" t="s">
        <v>26</v>
      </c>
      <c r="D5878" s="8">
        <v>0.22</v>
      </c>
    </row>
    <row r="5879" spans="1:4">
      <c r="A5879" t="str">
        <f t="shared" si="99"/>
        <v>866Alpha</v>
      </c>
      <c r="B5879">
        <v>866</v>
      </c>
      <c r="C5879" s="9" t="s">
        <v>23</v>
      </c>
      <c r="D5879" s="8">
        <v>-4.5999999999999999E-2</v>
      </c>
    </row>
    <row r="5880" spans="1:4">
      <c r="A5880" t="str">
        <f t="shared" si="99"/>
        <v>866Beta</v>
      </c>
      <c r="B5880">
        <v>866</v>
      </c>
      <c r="C5880" s="9" t="s">
        <v>24</v>
      </c>
      <c r="D5880" s="8">
        <v>-2.5999999999999999E-2</v>
      </c>
    </row>
    <row r="5881" spans="1:4">
      <c r="A5881" t="str">
        <f t="shared" si="99"/>
        <v>866Annual Standard Deviation</v>
      </c>
      <c r="B5881">
        <v>866</v>
      </c>
      <c r="C5881" s="9" t="s">
        <v>35</v>
      </c>
      <c r="D5881" s="8">
        <v>0.02</v>
      </c>
    </row>
    <row r="5882" spans="1:4">
      <c r="A5882" t="str">
        <f t="shared" si="99"/>
        <v>866Annual Variance</v>
      </c>
      <c r="B5882">
        <v>866</v>
      </c>
      <c r="C5882" s="9" t="s">
        <v>36</v>
      </c>
      <c r="D5882" s="8">
        <v>0</v>
      </c>
    </row>
    <row r="5883" spans="1:4">
      <c r="A5883" t="str">
        <f t="shared" si="99"/>
        <v>866Information Ratio</v>
      </c>
      <c r="B5883">
        <v>866</v>
      </c>
      <c r="C5883" s="9" t="s">
        <v>37</v>
      </c>
      <c r="D5883" s="8">
        <v>-1.3720000000000001</v>
      </c>
    </row>
    <row r="5884" spans="1:4">
      <c r="A5884" t="str">
        <f t="shared" si="99"/>
        <v>866Tracking Error</v>
      </c>
      <c r="B5884">
        <v>866</v>
      </c>
      <c r="C5884" s="9" t="s">
        <v>38</v>
      </c>
      <c r="D5884" s="8">
        <v>7.1999999999999995E-2</v>
      </c>
    </row>
    <row r="5885" spans="1:4">
      <c r="A5885" t="str">
        <f t="shared" si="99"/>
        <v>866Treynor Ratio</v>
      </c>
      <c r="B5885">
        <v>866</v>
      </c>
      <c r="C5885" s="9" t="s">
        <v>39</v>
      </c>
      <c r="D5885" s="8">
        <v>1.8160000000000001</v>
      </c>
    </row>
    <row r="5886" spans="1:4">
      <c r="A5886" t="str">
        <f t="shared" si="99"/>
        <v>866Total Fees</v>
      </c>
      <c r="B5886">
        <v>866</v>
      </c>
      <c r="C5886" s="9" t="s">
        <v>40</v>
      </c>
      <c r="D5886" s="8">
        <v>0</v>
      </c>
    </row>
    <row r="5887" spans="1:4">
      <c r="A5887" t="str">
        <f t="shared" si="99"/>
        <v>866Estimated Strategy Capacity</v>
      </c>
      <c r="B5887">
        <v>866</v>
      </c>
      <c r="C5887" s="9" t="s">
        <v>41</v>
      </c>
      <c r="D5887" s="8">
        <v>4700000</v>
      </c>
    </row>
    <row r="5888" spans="1:4">
      <c r="A5888" t="str">
        <f t="shared" si="99"/>
        <v>867PSR</v>
      </c>
      <c r="B5888">
        <v>867</v>
      </c>
      <c r="C5888" s="9" t="s">
        <v>27</v>
      </c>
      <c r="D5888" s="8">
        <v>2.99E-3</v>
      </c>
    </row>
    <row r="5889" spans="1:4">
      <c r="A5889" t="str">
        <f t="shared" si="99"/>
        <v>867Sharpe Ratio</v>
      </c>
      <c r="B5889">
        <v>867</v>
      </c>
      <c r="C5889" s="9" t="s">
        <v>1</v>
      </c>
      <c r="D5889" s="8">
        <v>-1.702</v>
      </c>
    </row>
    <row r="5890" spans="1:4">
      <c r="A5890" t="str">
        <f t="shared" si="99"/>
        <v>867Total Trades</v>
      </c>
      <c r="B5890">
        <v>867</v>
      </c>
      <c r="C5890" s="9" t="s">
        <v>28</v>
      </c>
      <c r="D5890" s="8">
        <v>878</v>
      </c>
    </row>
    <row r="5891" spans="1:4">
      <c r="A5891" t="str">
        <f t="shared" si="99"/>
        <v>867Average Win</v>
      </c>
      <c r="B5891">
        <v>867</v>
      </c>
      <c r="C5891" s="9" t="s">
        <v>25</v>
      </c>
      <c r="D5891" s="8">
        <v>5.9999999999999995E-4</v>
      </c>
    </row>
    <row r="5892" spans="1:4">
      <c r="A5892" t="str">
        <f t="shared" si="99"/>
        <v>867Average Loss</v>
      </c>
      <c r="B5892">
        <v>867</v>
      </c>
      <c r="C5892" s="9" t="s">
        <v>29</v>
      </c>
      <c r="D5892" s="8">
        <v>-2.3E-3</v>
      </c>
    </row>
    <row r="5893" spans="1:4">
      <c r="A5893" t="str">
        <f t="shared" si="99"/>
        <v>867Compounding Annual Return</v>
      </c>
      <c r="B5893">
        <v>867</v>
      </c>
      <c r="C5893" s="9" t="s">
        <v>30</v>
      </c>
      <c r="D5893" s="8">
        <v>-7.0599999999999996E-2</v>
      </c>
    </row>
    <row r="5894" spans="1:4">
      <c r="A5894" t="str">
        <f t="shared" si="99"/>
        <v>867Drawdown</v>
      </c>
      <c r="B5894">
        <v>867</v>
      </c>
      <c r="C5894" s="9" t="s">
        <v>8</v>
      </c>
      <c r="D5894" s="8">
        <v>6.5000000000000002E-2</v>
      </c>
    </row>
    <row r="5895" spans="1:4">
      <c r="A5895" t="str">
        <f t="shared" si="99"/>
        <v>867Expectancy</v>
      </c>
      <c r="B5895">
        <v>867</v>
      </c>
      <c r="C5895" s="9" t="s">
        <v>31</v>
      </c>
      <c r="D5895" s="8">
        <v>-0.158</v>
      </c>
    </row>
    <row r="5896" spans="1:4">
      <c r="A5896" t="str">
        <f t="shared" si="99"/>
        <v>867Net Profit</v>
      </c>
      <c r="B5896">
        <v>867</v>
      </c>
      <c r="C5896" s="9" t="s">
        <v>32</v>
      </c>
      <c r="D5896" s="8">
        <v>-4.7379999999999999E-2</v>
      </c>
    </row>
    <row r="5897" spans="1:4">
      <c r="A5897" t="str">
        <f t="shared" si="99"/>
        <v>867Loss Rate</v>
      </c>
      <c r="B5897">
        <v>867</v>
      </c>
      <c r="C5897" s="9" t="s">
        <v>33</v>
      </c>
      <c r="D5897" s="8">
        <v>0.32</v>
      </c>
    </row>
    <row r="5898" spans="1:4">
      <c r="A5898" t="str">
        <f t="shared" si="99"/>
        <v>867Win Rate</v>
      </c>
      <c r="B5898">
        <v>867</v>
      </c>
      <c r="C5898" s="9" t="s">
        <v>34</v>
      </c>
      <c r="D5898" s="8">
        <v>0.68</v>
      </c>
    </row>
    <row r="5899" spans="1:4">
      <c r="A5899" t="str">
        <f t="shared" si="99"/>
        <v>867Profit-Loss Ratio</v>
      </c>
      <c r="B5899">
        <v>867</v>
      </c>
      <c r="C5899" s="9" t="s">
        <v>26</v>
      </c>
      <c r="D5899" s="8">
        <v>0.24</v>
      </c>
    </row>
    <row r="5900" spans="1:4">
      <c r="A5900" t="str">
        <f t="shared" si="99"/>
        <v>867Alpha</v>
      </c>
      <c r="B5900">
        <v>867</v>
      </c>
      <c r="C5900" s="9" t="s">
        <v>23</v>
      </c>
      <c r="D5900" s="8">
        <v>-4.8000000000000001E-2</v>
      </c>
    </row>
    <row r="5901" spans="1:4">
      <c r="A5901" t="str">
        <f t="shared" si="99"/>
        <v>867Beta</v>
      </c>
      <c r="B5901">
        <v>867</v>
      </c>
      <c r="C5901" s="9" t="s">
        <v>24</v>
      </c>
      <c r="D5901" s="8">
        <v>-1.2999999999999999E-2</v>
      </c>
    </row>
    <row r="5902" spans="1:4">
      <c r="A5902" t="str">
        <f t="shared" si="99"/>
        <v>867Annual Standard Deviation</v>
      </c>
      <c r="B5902">
        <v>867</v>
      </c>
      <c r="C5902" s="9" t="s">
        <v>35</v>
      </c>
      <c r="D5902" s="8">
        <v>2.9000000000000001E-2</v>
      </c>
    </row>
    <row r="5903" spans="1:4">
      <c r="A5903" t="str">
        <f t="shared" si="99"/>
        <v>867Annual Variance</v>
      </c>
      <c r="B5903">
        <v>867</v>
      </c>
      <c r="C5903" s="9" t="s">
        <v>36</v>
      </c>
      <c r="D5903" s="8">
        <v>1E-3</v>
      </c>
    </row>
    <row r="5904" spans="1:4">
      <c r="A5904" t="str">
        <f t="shared" si="99"/>
        <v>867Information Ratio</v>
      </c>
      <c r="B5904">
        <v>867</v>
      </c>
      <c r="C5904" s="9" t="s">
        <v>37</v>
      </c>
      <c r="D5904" s="8">
        <v>-1.357</v>
      </c>
    </row>
    <row r="5905" spans="1:4">
      <c r="A5905" t="str">
        <f t="shared" si="99"/>
        <v>867Tracking Error</v>
      </c>
      <c r="B5905">
        <v>867</v>
      </c>
      <c r="C5905" s="9" t="s">
        <v>38</v>
      </c>
      <c r="D5905" s="8">
        <v>7.3999999999999996E-2</v>
      </c>
    </row>
    <row r="5906" spans="1:4">
      <c r="A5906" t="str">
        <f t="shared" si="99"/>
        <v>867Treynor Ratio</v>
      </c>
      <c r="B5906">
        <v>867</v>
      </c>
      <c r="C5906" s="9" t="s">
        <v>39</v>
      </c>
      <c r="D5906" s="8">
        <v>3.798</v>
      </c>
    </row>
    <row r="5907" spans="1:4">
      <c r="A5907" t="str">
        <f t="shared" si="99"/>
        <v>867Total Fees</v>
      </c>
      <c r="B5907">
        <v>867</v>
      </c>
      <c r="C5907" s="9" t="s">
        <v>40</v>
      </c>
      <c r="D5907" s="8">
        <v>0</v>
      </c>
    </row>
    <row r="5908" spans="1:4">
      <c r="A5908" t="str">
        <f t="shared" si="99"/>
        <v>867Estimated Strategy Capacity</v>
      </c>
      <c r="B5908">
        <v>867</v>
      </c>
      <c r="C5908" s="9" t="s">
        <v>41</v>
      </c>
      <c r="D5908" s="8">
        <v>4600000</v>
      </c>
    </row>
    <row r="5909" spans="1:4">
      <c r="A5909" t="str">
        <f t="shared" si="99"/>
        <v>868PSR</v>
      </c>
      <c r="B5909">
        <v>868</v>
      </c>
      <c r="C5909" s="9" t="s">
        <v>27</v>
      </c>
      <c r="D5909" s="8">
        <v>0.2077</v>
      </c>
    </row>
    <row r="5910" spans="1:4">
      <c r="A5910" t="str">
        <f t="shared" si="99"/>
        <v>868Sharpe Ratio</v>
      </c>
      <c r="B5910">
        <v>868</v>
      </c>
      <c r="C5910" s="9" t="s">
        <v>1</v>
      </c>
      <c r="D5910" s="8">
        <v>0.16900000000000001</v>
      </c>
    </row>
    <row r="5911" spans="1:4">
      <c r="A5911" t="str">
        <f t="shared" si="99"/>
        <v>868Total Trades</v>
      </c>
      <c r="B5911">
        <v>868</v>
      </c>
      <c r="C5911" s="9" t="s">
        <v>28</v>
      </c>
      <c r="D5911" s="8">
        <v>1144</v>
      </c>
    </row>
    <row r="5912" spans="1:4">
      <c r="A5912" t="str">
        <f t="shared" si="99"/>
        <v>868Average Win</v>
      </c>
      <c r="B5912">
        <v>868</v>
      </c>
      <c r="C5912" s="9" t="s">
        <v>25</v>
      </c>
      <c r="D5912" s="8">
        <v>2.0000000000000001E-4</v>
      </c>
    </row>
    <row r="5913" spans="1:4">
      <c r="A5913" t="str">
        <f t="shared" si="99"/>
        <v>868Average Loss</v>
      </c>
      <c r="B5913">
        <v>868</v>
      </c>
      <c r="C5913" s="9" t="s">
        <v>29</v>
      </c>
      <c r="D5913" s="8">
        <v>-4.0000000000000002E-4</v>
      </c>
    </row>
    <row r="5914" spans="1:4">
      <c r="A5914" t="str">
        <f t="shared" si="99"/>
        <v>868Compounding Annual Return</v>
      </c>
      <c r="B5914">
        <v>868</v>
      </c>
      <c r="C5914" s="9" t="s">
        <v>30</v>
      </c>
      <c r="D5914" s="8">
        <v>1.7600000000000001E-3</v>
      </c>
    </row>
    <row r="5915" spans="1:4">
      <c r="A5915" t="str">
        <f t="shared" si="99"/>
        <v>868Drawdown</v>
      </c>
      <c r="B5915">
        <v>868</v>
      </c>
      <c r="C5915" s="9" t="s">
        <v>8</v>
      </c>
      <c r="D5915" s="8">
        <v>8.0000000000000002E-3</v>
      </c>
    </row>
    <row r="5916" spans="1:4">
      <c r="A5916" t="str">
        <f t="shared" si="99"/>
        <v>868Expectancy</v>
      </c>
      <c r="B5916">
        <v>868</v>
      </c>
      <c r="C5916" s="9" t="s">
        <v>31</v>
      </c>
      <c r="D5916" s="8">
        <v>0.02</v>
      </c>
    </row>
    <row r="5917" spans="1:4">
      <c r="A5917" t="str">
        <f t="shared" si="99"/>
        <v>868Net Profit</v>
      </c>
      <c r="B5917">
        <v>868</v>
      </c>
      <c r="C5917" s="9" t="s">
        <v>32</v>
      </c>
      <c r="D5917" s="8">
        <v>1.17E-3</v>
      </c>
    </row>
    <row r="5918" spans="1:4">
      <c r="A5918" t="str">
        <f t="shared" si="99"/>
        <v>868Loss Rate</v>
      </c>
      <c r="B5918">
        <v>868</v>
      </c>
      <c r="C5918" s="9" t="s">
        <v>33</v>
      </c>
      <c r="D5918" s="8">
        <v>0.33</v>
      </c>
    </row>
    <row r="5919" spans="1:4">
      <c r="A5919" t="str">
        <f t="shared" si="99"/>
        <v>868Win Rate</v>
      </c>
      <c r="B5919">
        <v>868</v>
      </c>
      <c r="C5919" s="9" t="s">
        <v>34</v>
      </c>
      <c r="D5919" s="8">
        <v>0.67</v>
      </c>
    </row>
    <row r="5920" spans="1:4">
      <c r="A5920" t="str">
        <f t="shared" si="99"/>
        <v>868Profit-Loss Ratio</v>
      </c>
      <c r="B5920">
        <v>868</v>
      </c>
      <c r="C5920" s="9" t="s">
        <v>26</v>
      </c>
      <c r="D5920" s="8">
        <v>0.52</v>
      </c>
    </row>
    <row r="5921" spans="1:4">
      <c r="A5921" t="str">
        <f t="shared" si="99"/>
        <v>868Alpha</v>
      </c>
      <c r="B5921">
        <v>868</v>
      </c>
      <c r="C5921" s="9" t="s">
        <v>23</v>
      </c>
      <c r="D5921" s="8">
        <v>2E-3</v>
      </c>
    </row>
    <row r="5922" spans="1:4">
      <c r="A5922" t="str">
        <f t="shared" ref="A5922:A5985" si="100">B5922&amp;C5922</f>
        <v>868Beta</v>
      </c>
      <c r="B5922">
        <v>868</v>
      </c>
      <c r="C5922" s="9" t="s">
        <v>24</v>
      </c>
      <c r="D5922" s="8">
        <v>-0.02</v>
      </c>
    </row>
    <row r="5923" spans="1:4">
      <c r="A5923" t="str">
        <f t="shared" si="100"/>
        <v>868Annual Standard Deviation</v>
      </c>
      <c r="B5923">
        <v>868</v>
      </c>
      <c r="C5923" s="9" t="s">
        <v>35</v>
      </c>
      <c r="D5923" s="8">
        <v>7.0000000000000001E-3</v>
      </c>
    </row>
    <row r="5924" spans="1:4">
      <c r="A5924" t="str">
        <f t="shared" si="100"/>
        <v>868Annual Variance</v>
      </c>
      <c r="B5924">
        <v>868</v>
      </c>
      <c r="C5924" s="9" t="s">
        <v>36</v>
      </c>
      <c r="D5924" s="8">
        <v>0</v>
      </c>
    </row>
    <row r="5925" spans="1:4">
      <c r="A5925" t="str">
        <f t="shared" si="100"/>
        <v>868Information Ratio</v>
      </c>
      <c r="B5925">
        <v>868</v>
      </c>
      <c r="C5925" s="9" t="s">
        <v>37</v>
      </c>
      <c r="D5925" s="8">
        <v>-0.72699999999999998</v>
      </c>
    </row>
    <row r="5926" spans="1:4">
      <c r="A5926" t="str">
        <f t="shared" si="100"/>
        <v>868Tracking Error</v>
      </c>
      <c r="B5926">
        <v>868</v>
      </c>
      <c r="C5926" s="9" t="s">
        <v>38</v>
      </c>
      <c r="D5926" s="8">
        <v>6.9000000000000006E-2</v>
      </c>
    </row>
    <row r="5927" spans="1:4">
      <c r="A5927" t="str">
        <f t="shared" si="100"/>
        <v>868Treynor Ratio</v>
      </c>
      <c r="B5927">
        <v>868</v>
      </c>
      <c r="C5927" s="9" t="s">
        <v>39</v>
      </c>
      <c r="D5927" s="8">
        <v>-6.2E-2</v>
      </c>
    </row>
    <row r="5928" spans="1:4">
      <c r="A5928" t="str">
        <f t="shared" si="100"/>
        <v>868Total Fees</v>
      </c>
      <c r="B5928">
        <v>868</v>
      </c>
      <c r="C5928" s="9" t="s">
        <v>40</v>
      </c>
      <c r="D5928" s="8">
        <v>0</v>
      </c>
    </row>
    <row r="5929" spans="1:4">
      <c r="A5929" t="str">
        <f t="shared" si="100"/>
        <v>868Estimated Strategy Capacity</v>
      </c>
      <c r="B5929">
        <v>868</v>
      </c>
      <c r="C5929" s="9" t="s">
        <v>41</v>
      </c>
      <c r="D5929" s="8">
        <v>170000000</v>
      </c>
    </row>
    <row r="5930" spans="1:4">
      <c r="A5930" t="str">
        <f t="shared" si="100"/>
        <v>869PSR</v>
      </c>
      <c r="B5930">
        <v>869</v>
      </c>
      <c r="C5930" s="9" t="s">
        <v>27</v>
      </c>
      <c r="D5930" s="8">
        <v>0.254</v>
      </c>
    </row>
    <row r="5931" spans="1:4">
      <c r="A5931" t="str">
        <f t="shared" si="100"/>
        <v>869Sharpe Ratio</v>
      </c>
      <c r="B5931">
        <v>869</v>
      </c>
      <c r="C5931" s="9" t="s">
        <v>1</v>
      </c>
      <c r="D5931" s="8">
        <v>0.33200000000000002</v>
      </c>
    </row>
    <row r="5932" spans="1:4">
      <c r="A5932" t="str">
        <f t="shared" si="100"/>
        <v>869Total Trades</v>
      </c>
      <c r="B5932">
        <v>869</v>
      </c>
      <c r="C5932" s="9" t="s">
        <v>28</v>
      </c>
      <c r="D5932" s="8">
        <v>896</v>
      </c>
    </row>
    <row r="5933" spans="1:4">
      <c r="A5933" t="str">
        <f t="shared" si="100"/>
        <v>869Average Win</v>
      </c>
      <c r="B5933">
        <v>869</v>
      </c>
      <c r="C5933" s="9" t="s">
        <v>25</v>
      </c>
      <c r="D5933" s="8">
        <v>6.9999999999999999E-4</v>
      </c>
    </row>
    <row r="5934" spans="1:4">
      <c r="A5934" t="str">
        <f t="shared" si="100"/>
        <v>869Average Loss</v>
      </c>
      <c r="B5934">
        <v>869</v>
      </c>
      <c r="C5934" s="9" t="s">
        <v>29</v>
      </c>
      <c r="D5934" s="8">
        <v>-1.2999999999999999E-3</v>
      </c>
    </row>
    <row r="5935" spans="1:4">
      <c r="A5935" t="str">
        <f t="shared" si="100"/>
        <v>869Compounding Annual Return</v>
      </c>
      <c r="B5935">
        <v>869</v>
      </c>
      <c r="C5935" s="9" t="s">
        <v>30</v>
      </c>
      <c r="D5935" s="8">
        <v>1.0460000000000001E-2</v>
      </c>
    </row>
    <row r="5936" spans="1:4">
      <c r="A5936" t="str">
        <f t="shared" si="100"/>
        <v>869Drawdown</v>
      </c>
      <c r="B5936">
        <v>869</v>
      </c>
      <c r="C5936" s="9" t="s">
        <v>8</v>
      </c>
      <c r="D5936" s="8">
        <v>3.1E-2</v>
      </c>
    </row>
    <row r="5937" spans="1:4">
      <c r="A5937" t="str">
        <f t="shared" si="100"/>
        <v>869Expectancy</v>
      </c>
      <c r="B5937">
        <v>869</v>
      </c>
      <c r="C5937" s="9" t="s">
        <v>31</v>
      </c>
      <c r="D5937" s="8">
        <v>0.04</v>
      </c>
    </row>
    <row r="5938" spans="1:4">
      <c r="A5938" t="str">
        <f t="shared" si="100"/>
        <v>869Net Profit</v>
      </c>
      <c r="B5938">
        <v>869</v>
      </c>
      <c r="C5938" s="9" t="s">
        <v>32</v>
      </c>
      <c r="D5938" s="8">
        <v>6.9199999999999999E-3</v>
      </c>
    </row>
    <row r="5939" spans="1:4">
      <c r="A5939" t="str">
        <f t="shared" si="100"/>
        <v>869Loss Rate</v>
      </c>
      <c r="B5939">
        <v>869</v>
      </c>
      <c r="C5939" s="9" t="s">
        <v>33</v>
      </c>
      <c r="D5939" s="8">
        <v>0.33</v>
      </c>
    </row>
    <row r="5940" spans="1:4">
      <c r="A5940" t="str">
        <f t="shared" si="100"/>
        <v>869Win Rate</v>
      </c>
      <c r="B5940">
        <v>869</v>
      </c>
      <c r="C5940" s="9" t="s">
        <v>34</v>
      </c>
      <c r="D5940" s="8">
        <v>0.67</v>
      </c>
    </row>
    <row r="5941" spans="1:4">
      <c r="A5941" t="str">
        <f t="shared" si="100"/>
        <v>869Profit-Loss Ratio</v>
      </c>
      <c r="B5941">
        <v>869</v>
      </c>
      <c r="C5941" s="9" t="s">
        <v>26</v>
      </c>
      <c r="D5941" s="8">
        <v>0.55000000000000004</v>
      </c>
    </row>
    <row r="5942" spans="1:4">
      <c r="A5942" t="str">
        <f t="shared" si="100"/>
        <v>869Alpha</v>
      </c>
      <c r="B5942">
        <v>869</v>
      </c>
      <c r="C5942" s="9" t="s">
        <v>23</v>
      </c>
      <c r="D5942" s="8">
        <v>1.2E-2</v>
      </c>
    </row>
    <row r="5943" spans="1:4">
      <c r="A5943" t="str">
        <f t="shared" si="100"/>
        <v>869Beta</v>
      </c>
      <c r="B5943">
        <v>869</v>
      </c>
      <c r="C5943" s="9" t="s">
        <v>24</v>
      </c>
      <c r="D5943" s="8">
        <v>-8.1000000000000003E-2</v>
      </c>
    </row>
    <row r="5944" spans="1:4">
      <c r="A5944" t="str">
        <f t="shared" si="100"/>
        <v>869Annual Standard Deviation</v>
      </c>
      <c r="B5944">
        <v>869</v>
      </c>
      <c r="C5944" s="9" t="s">
        <v>35</v>
      </c>
      <c r="D5944" s="8">
        <v>2.3E-2</v>
      </c>
    </row>
    <row r="5945" spans="1:4">
      <c r="A5945" t="str">
        <f t="shared" si="100"/>
        <v>869Annual Variance</v>
      </c>
      <c r="B5945">
        <v>869</v>
      </c>
      <c r="C5945" s="9" t="s">
        <v>36</v>
      </c>
      <c r="D5945" s="8">
        <v>1E-3</v>
      </c>
    </row>
    <row r="5946" spans="1:4">
      <c r="A5946" t="str">
        <f t="shared" si="100"/>
        <v>869Information Ratio</v>
      </c>
      <c r="B5946">
        <v>869</v>
      </c>
      <c r="C5946" s="9" t="s">
        <v>37</v>
      </c>
      <c r="D5946" s="8">
        <v>-0.58699999999999997</v>
      </c>
    </row>
    <row r="5947" spans="1:4">
      <c r="A5947" t="str">
        <f t="shared" si="100"/>
        <v>869Tracking Error</v>
      </c>
      <c r="B5947">
        <v>869</v>
      </c>
      <c r="C5947" s="9" t="s">
        <v>38</v>
      </c>
      <c r="D5947" s="8">
        <v>7.5999999999999998E-2</v>
      </c>
    </row>
    <row r="5948" spans="1:4">
      <c r="A5948" t="str">
        <f t="shared" si="100"/>
        <v>869Treynor Ratio</v>
      </c>
      <c r="B5948">
        <v>869</v>
      </c>
      <c r="C5948" s="9" t="s">
        <v>39</v>
      </c>
      <c r="D5948" s="8">
        <v>-9.1999999999999998E-2</v>
      </c>
    </row>
    <row r="5949" spans="1:4">
      <c r="A5949" t="str">
        <f t="shared" si="100"/>
        <v>869Total Fees</v>
      </c>
      <c r="B5949">
        <v>869</v>
      </c>
      <c r="C5949" s="9" t="s">
        <v>40</v>
      </c>
      <c r="D5949" s="8">
        <v>0</v>
      </c>
    </row>
    <row r="5950" spans="1:4">
      <c r="A5950" t="str">
        <f t="shared" si="100"/>
        <v>869Estimated Strategy Capacity</v>
      </c>
      <c r="B5950">
        <v>869</v>
      </c>
      <c r="C5950" s="9" t="s">
        <v>41</v>
      </c>
      <c r="D5950" s="8">
        <v>23000000</v>
      </c>
    </row>
    <row r="5951" spans="1:4">
      <c r="A5951" t="str">
        <f t="shared" si="100"/>
        <v>870PSR</v>
      </c>
      <c r="B5951">
        <v>870</v>
      </c>
      <c r="C5951" s="9" t="s">
        <v>27</v>
      </c>
      <c r="D5951" s="8">
        <v>4.4729999999999999E-2</v>
      </c>
    </row>
    <row r="5952" spans="1:4">
      <c r="A5952" t="str">
        <f t="shared" si="100"/>
        <v>870Sharpe Ratio</v>
      </c>
      <c r="B5952">
        <v>870</v>
      </c>
      <c r="C5952" s="9" t="s">
        <v>1</v>
      </c>
      <c r="D5952" s="8">
        <v>-0.71199999999999997</v>
      </c>
    </row>
    <row r="5953" spans="1:4">
      <c r="A5953" t="str">
        <f t="shared" si="100"/>
        <v>870Total Trades</v>
      </c>
      <c r="B5953">
        <v>870</v>
      </c>
      <c r="C5953" s="9" t="s">
        <v>28</v>
      </c>
      <c r="D5953" s="8">
        <v>677</v>
      </c>
    </row>
    <row r="5954" spans="1:4">
      <c r="A5954" t="str">
        <f t="shared" si="100"/>
        <v>870Average Win</v>
      </c>
      <c r="B5954">
        <v>870</v>
      </c>
      <c r="C5954" s="9" t="s">
        <v>25</v>
      </c>
      <c r="D5954" s="8">
        <v>8.0000000000000004E-4</v>
      </c>
    </row>
    <row r="5955" spans="1:4">
      <c r="A5955" t="str">
        <f t="shared" si="100"/>
        <v>870Average Loss</v>
      </c>
      <c r="B5955">
        <v>870</v>
      </c>
      <c r="C5955" s="9" t="s">
        <v>29</v>
      </c>
      <c r="D5955" s="8">
        <v>-2.0999999999999999E-3</v>
      </c>
    </row>
    <row r="5956" spans="1:4">
      <c r="A5956" t="str">
        <f t="shared" si="100"/>
        <v>870Compounding Annual Return</v>
      </c>
      <c r="B5956">
        <v>870</v>
      </c>
      <c r="C5956" s="9" t="s">
        <v>30</v>
      </c>
      <c r="D5956" s="8">
        <v>-2.7390000000000001E-2</v>
      </c>
    </row>
    <row r="5957" spans="1:4">
      <c r="A5957" t="str">
        <f t="shared" si="100"/>
        <v>870Drawdown</v>
      </c>
      <c r="B5957">
        <v>870</v>
      </c>
      <c r="C5957" s="9" t="s">
        <v>8</v>
      </c>
      <c r="D5957" s="8">
        <v>4.4999999999999998E-2</v>
      </c>
    </row>
    <row r="5958" spans="1:4">
      <c r="A5958" t="str">
        <f t="shared" si="100"/>
        <v>870Expectancy</v>
      </c>
      <c r="B5958">
        <v>870</v>
      </c>
      <c r="C5958" s="9" t="s">
        <v>31</v>
      </c>
      <c r="D5958" s="8">
        <v>-7.6999999999999999E-2</v>
      </c>
    </row>
    <row r="5959" spans="1:4">
      <c r="A5959" t="str">
        <f t="shared" si="100"/>
        <v>870Net Profit</v>
      </c>
      <c r="B5959">
        <v>870</v>
      </c>
      <c r="C5959" s="9" t="s">
        <v>32</v>
      </c>
      <c r="D5959" s="8">
        <v>-1.8239999999999999E-2</v>
      </c>
    </row>
    <row r="5960" spans="1:4">
      <c r="A5960" t="str">
        <f t="shared" si="100"/>
        <v>870Loss Rate</v>
      </c>
      <c r="B5960">
        <v>870</v>
      </c>
      <c r="C5960" s="9" t="s">
        <v>33</v>
      </c>
      <c r="D5960" s="8">
        <v>0.32</v>
      </c>
    </row>
    <row r="5961" spans="1:4">
      <c r="A5961" t="str">
        <f t="shared" si="100"/>
        <v>870Win Rate</v>
      </c>
      <c r="B5961">
        <v>870</v>
      </c>
      <c r="C5961" s="9" t="s">
        <v>34</v>
      </c>
      <c r="D5961" s="8">
        <v>0.68</v>
      </c>
    </row>
    <row r="5962" spans="1:4">
      <c r="A5962" t="str">
        <f t="shared" si="100"/>
        <v>870Profit-Loss Ratio</v>
      </c>
      <c r="B5962">
        <v>870</v>
      </c>
      <c r="C5962" s="9" t="s">
        <v>26</v>
      </c>
      <c r="D5962" s="8">
        <v>0.36</v>
      </c>
    </row>
    <row r="5963" spans="1:4">
      <c r="A5963" t="str">
        <f t="shared" si="100"/>
        <v>870Alpha</v>
      </c>
      <c r="B5963">
        <v>870</v>
      </c>
      <c r="C5963" s="9" t="s">
        <v>23</v>
      </c>
      <c r="D5963" s="8">
        <v>-1.4E-2</v>
      </c>
    </row>
    <row r="5964" spans="1:4">
      <c r="A5964" t="str">
        <f t="shared" si="100"/>
        <v>870Beta</v>
      </c>
      <c r="B5964">
        <v>870</v>
      </c>
      <c r="C5964" s="9" t="s">
        <v>24</v>
      </c>
      <c r="D5964" s="8">
        <v>-9.5000000000000001E-2</v>
      </c>
    </row>
    <row r="5965" spans="1:4">
      <c r="A5965" t="str">
        <f t="shared" si="100"/>
        <v>870Annual Standard Deviation</v>
      </c>
      <c r="B5965">
        <v>870</v>
      </c>
      <c r="C5965" s="9" t="s">
        <v>35</v>
      </c>
      <c r="D5965" s="8">
        <v>2.5999999999999999E-2</v>
      </c>
    </row>
    <row r="5966" spans="1:4">
      <c r="A5966" t="str">
        <f t="shared" si="100"/>
        <v>870Annual Variance</v>
      </c>
      <c r="B5966">
        <v>870</v>
      </c>
      <c r="C5966" s="9" t="s">
        <v>36</v>
      </c>
      <c r="D5966" s="8">
        <v>1E-3</v>
      </c>
    </row>
    <row r="5967" spans="1:4">
      <c r="A5967" t="str">
        <f t="shared" si="100"/>
        <v>870Information Ratio</v>
      </c>
      <c r="B5967">
        <v>870</v>
      </c>
      <c r="C5967" s="9" t="s">
        <v>37</v>
      </c>
      <c r="D5967" s="8">
        <v>-0.9</v>
      </c>
    </row>
    <row r="5968" spans="1:4">
      <c r="A5968" t="str">
        <f t="shared" si="100"/>
        <v>870Tracking Error</v>
      </c>
      <c r="B5968">
        <v>870</v>
      </c>
      <c r="C5968" s="9" t="s">
        <v>38</v>
      </c>
      <c r="D5968" s="8">
        <v>7.8E-2</v>
      </c>
    </row>
    <row r="5969" spans="1:4">
      <c r="A5969" t="str">
        <f t="shared" si="100"/>
        <v>870Treynor Ratio</v>
      </c>
      <c r="B5969">
        <v>870</v>
      </c>
      <c r="C5969" s="9" t="s">
        <v>39</v>
      </c>
      <c r="D5969" s="8">
        <v>0.19800000000000001</v>
      </c>
    </row>
    <row r="5970" spans="1:4">
      <c r="A5970" t="str">
        <f t="shared" si="100"/>
        <v>870Total Fees</v>
      </c>
      <c r="B5970">
        <v>870</v>
      </c>
      <c r="C5970" s="9" t="s">
        <v>40</v>
      </c>
      <c r="D5970" s="8">
        <v>0</v>
      </c>
    </row>
    <row r="5971" spans="1:4">
      <c r="A5971" t="str">
        <f t="shared" si="100"/>
        <v>870Estimated Strategy Capacity</v>
      </c>
      <c r="B5971">
        <v>870</v>
      </c>
      <c r="C5971" s="9" t="s">
        <v>41</v>
      </c>
      <c r="D5971" s="8">
        <v>7100000</v>
      </c>
    </row>
    <row r="5972" spans="1:4">
      <c r="A5972" t="str">
        <f t="shared" si="100"/>
        <v>871PSR</v>
      </c>
      <c r="B5972">
        <v>871</v>
      </c>
      <c r="C5972" s="9" t="s">
        <v>27</v>
      </c>
      <c r="D5972" s="8">
        <v>0.63544</v>
      </c>
    </row>
    <row r="5973" spans="1:4">
      <c r="A5973" t="str">
        <f t="shared" si="100"/>
        <v>871Sharpe Ratio</v>
      </c>
      <c r="B5973">
        <v>871</v>
      </c>
      <c r="C5973" s="9" t="s">
        <v>1</v>
      </c>
      <c r="D5973" s="8">
        <v>1.3440000000000001</v>
      </c>
    </row>
    <row r="5974" spans="1:4">
      <c r="A5974" t="str">
        <f t="shared" si="100"/>
        <v>871Total Trades</v>
      </c>
      <c r="B5974">
        <v>871</v>
      </c>
      <c r="C5974" s="9" t="s">
        <v>28</v>
      </c>
      <c r="D5974" s="8">
        <v>830</v>
      </c>
    </row>
    <row r="5975" spans="1:4">
      <c r="A5975" t="str">
        <f t="shared" si="100"/>
        <v>871Average Win</v>
      </c>
      <c r="B5975">
        <v>871</v>
      </c>
      <c r="C5975" s="9" t="s">
        <v>25</v>
      </c>
      <c r="D5975" s="8">
        <v>2.9999999999999997E-4</v>
      </c>
    </row>
    <row r="5976" spans="1:4">
      <c r="A5976" t="str">
        <f t="shared" si="100"/>
        <v>871Average Loss</v>
      </c>
      <c r="B5976">
        <v>871</v>
      </c>
      <c r="C5976" s="9" t="s">
        <v>29</v>
      </c>
      <c r="D5976" s="8">
        <v>-4.0000000000000002E-4</v>
      </c>
    </row>
    <row r="5977" spans="1:4">
      <c r="A5977" t="str">
        <f t="shared" si="100"/>
        <v>871Compounding Annual Return</v>
      </c>
      <c r="B5977">
        <v>871</v>
      </c>
      <c r="C5977" s="9" t="s">
        <v>30</v>
      </c>
      <c r="D5977" s="8">
        <v>1.8970000000000001E-2</v>
      </c>
    </row>
    <row r="5978" spans="1:4">
      <c r="A5978" t="str">
        <f t="shared" si="100"/>
        <v>871Drawdown</v>
      </c>
      <c r="B5978">
        <v>871</v>
      </c>
      <c r="C5978" s="9" t="s">
        <v>8</v>
      </c>
      <c r="D5978" s="8">
        <v>5.0000000000000001E-3</v>
      </c>
    </row>
    <row r="5979" spans="1:4">
      <c r="A5979" t="str">
        <f t="shared" si="100"/>
        <v>871Expectancy</v>
      </c>
      <c r="B5979">
        <v>871</v>
      </c>
      <c r="C5979" s="9" t="s">
        <v>31</v>
      </c>
      <c r="D5979" s="8">
        <v>0.32500000000000001</v>
      </c>
    </row>
    <row r="5980" spans="1:4">
      <c r="A5980" t="str">
        <f t="shared" si="100"/>
        <v>871Net Profit</v>
      </c>
      <c r="B5980">
        <v>871</v>
      </c>
      <c r="C5980" s="9" t="s">
        <v>32</v>
      </c>
      <c r="D5980" s="8">
        <v>1.2529999999999999E-2</v>
      </c>
    </row>
    <row r="5981" spans="1:4">
      <c r="A5981" t="str">
        <f t="shared" si="100"/>
        <v>871Loss Rate</v>
      </c>
      <c r="B5981">
        <v>871</v>
      </c>
      <c r="C5981" s="9" t="s">
        <v>33</v>
      </c>
      <c r="D5981" s="8">
        <v>0.24</v>
      </c>
    </row>
    <row r="5982" spans="1:4">
      <c r="A5982" t="str">
        <f t="shared" si="100"/>
        <v>871Win Rate</v>
      </c>
      <c r="B5982">
        <v>871</v>
      </c>
      <c r="C5982" s="9" t="s">
        <v>34</v>
      </c>
      <c r="D5982" s="8">
        <v>0.76</v>
      </c>
    </row>
    <row r="5983" spans="1:4">
      <c r="A5983" t="str">
        <f t="shared" si="100"/>
        <v>871Profit-Loss Ratio</v>
      </c>
      <c r="B5983">
        <v>871</v>
      </c>
      <c r="C5983" s="9" t="s">
        <v>26</v>
      </c>
      <c r="D5983" s="8">
        <v>0.73</v>
      </c>
    </row>
    <row r="5984" spans="1:4">
      <c r="A5984" t="str">
        <f t="shared" si="100"/>
        <v>871Alpha</v>
      </c>
      <c r="B5984">
        <v>871</v>
      </c>
      <c r="C5984" s="9" t="s">
        <v>23</v>
      </c>
      <c r="D5984" s="8">
        <v>1.4E-2</v>
      </c>
    </row>
    <row r="5985" spans="1:4">
      <c r="A5985" t="str">
        <f t="shared" si="100"/>
        <v>871Beta</v>
      </c>
      <c r="B5985">
        <v>871</v>
      </c>
      <c r="C5985" s="9" t="s">
        <v>24</v>
      </c>
      <c r="D5985" s="8">
        <v>-1.0999999999999999E-2</v>
      </c>
    </row>
    <row r="5986" spans="1:4">
      <c r="A5986" t="str">
        <f t="shared" ref="A5986:A6049" si="101">B5986&amp;C5986</f>
        <v>871Annual Standard Deviation</v>
      </c>
      <c r="B5986">
        <v>871</v>
      </c>
      <c r="C5986" s="9" t="s">
        <v>35</v>
      </c>
      <c r="D5986" s="8">
        <v>0.01</v>
      </c>
    </row>
    <row r="5987" spans="1:4">
      <c r="A5987" t="str">
        <f t="shared" si="101"/>
        <v>871Annual Variance</v>
      </c>
      <c r="B5987">
        <v>871</v>
      </c>
      <c r="C5987" s="9" t="s">
        <v>36</v>
      </c>
      <c r="D5987" s="8">
        <v>0</v>
      </c>
    </row>
    <row r="5988" spans="1:4">
      <c r="A5988" t="str">
        <f t="shared" si="101"/>
        <v>871Information Ratio</v>
      </c>
      <c r="B5988">
        <v>871</v>
      </c>
      <c r="C5988" s="9" t="s">
        <v>37</v>
      </c>
      <c r="D5988" s="8">
        <v>-0.55700000000000005</v>
      </c>
    </row>
    <row r="5989" spans="1:4">
      <c r="A5989" t="str">
        <f t="shared" si="101"/>
        <v>871Tracking Error</v>
      </c>
      <c r="B5989">
        <v>871</v>
      </c>
      <c r="C5989" s="9" t="s">
        <v>38</v>
      </c>
      <c r="D5989" s="8">
        <v>6.9000000000000006E-2</v>
      </c>
    </row>
    <row r="5990" spans="1:4">
      <c r="A5990" t="str">
        <f t="shared" si="101"/>
        <v>871Treynor Ratio</v>
      </c>
      <c r="B5990">
        <v>871</v>
      </c>
      <c r="C5990" s="9" t="s">
        <v>39</v>
      </c>
      <c r="D5990" s="8">
        <v>-1.161</v>
      </c>
    </row>
    <row r="5991" spans="1:4">
      <c r="A5991" t="str">
        <f t="shared" si="101"/>
        <v>871Total Fees</v>
      </c>
      <c r="B5991">
        <v>871</v>
      </c>
      <c r="C5991" s="9" t="s">
        <v>40</v>
      </c>
      <c r="D5991" s="8">
        <v>0</v>
      </c>
    </row>
    <row r="5992" spans="1:4">
      <c r="A5992" t="str">
        <f t="shared" si="101"/>
        <v>871Estimated Strategy Capacity</v>
      </c>
      <c r="B5992">
        <v>871</v>
      </c>
      <c r="C5992" s="9" t="s">
        <v>41</v>
      </c>
      <c r="D5992" s="8">
        <v>43000000</v>
      </c>
    </row>
    <row r="5993" spans="1:4">
      <c r="A5993" t="str">
        <f t="shared" si="101"/>
        <v>872PSR</v>
      </c>
      <c r="B5993">
        <v>872</v>
      </c>
      <c r="C5993" s="9" t="s">
        <v>27</v>
      </c>
      <c r="D5993" s="8">
        <v>0.43635000000000002</v>
      </c>
    </row>
    <row r="5994" spans="1:4">
      <c r="A5994" t="str">
        <f t="shared" si="101"/>
        <v>872Sharpe Ratio</v>
      </c>
      <c r="B5994">
        <v>872</v>
      </c>
      <c r="C5994" s="9" t="s">
        <v>1</v>
      </c>
      <c r="D5994" s="8">
        <v>0.85</v>
      </c>
    </row>
    <row r="5995" spans="1:4">
      <c r="A5995" t="str">
        <f t="shared" si="101"/>
        <v>872Total Trades</v>
      </c>
      <c r="B5995">
        <v>872</v>
      </c>
      <c r="C5995" s="9" t="s">
        <v>28</v>
      </c>
      <c r="D5995" s="8">
        <v>663</v>
      </c>
    </row>
    <row r="5996" spans="1:4">
      <c r="A5996" t="str">
        <f t="shared" si="101"/>
        <v>872Average Win</v>
      </c>
      <c r="B5996">
        <v>872</v>
      </c>
      <c r="C5996" s="9" t="s">
        <v>25</v>
      </c>
      <c r="D5996" s="8">
        <v>6.9999999999999999E-4</v>
      </c>
    </row>
    <row r="5997" spans="1:4">
      <c r="A5997" t="str">
        <f t="shared" si="101"/>
        <v>872Average Loss</v>
      </c>
      <c r="B5997">
        <v>872</v>
      </c>
      <c r="C5997" s="9" t="s">
        <v>29</v>
      </c>
      <c r="D5997" s="8">
        <v>-1.2999999999999999E-3</v>
      </c>
    </row>
    <row r="5998" spans="1:4">
      <c r="A5998" t="str">
        <f t="shared" si="101"/>
        <v>872Compounding Annual Return</v>
      </c>
      <c r="B5998">
        <v>872</v>
      </c>
      <c r="C5998" s="9" t="s">
        <v>30</v>
      </c>
      <c r="D5998" s="8">
        <v>2.3619999999999999E-2</v>
      </c>
    </row>
    <row r="5999" spans="1:4">
      <c r="A5999" t="str">
        <f t="shared" si="101"/>
        <v>872Drawdown</v>
      </c>
      <c r="B5999">
        <v>872</v>
      </c>
      <c r="C5999" s="9" t="s">
        <v>8</v>
      </c>
      <c r="D5999" s="8">
        <v>1.9E-2</v>
      </c>
    </row>
    <row r="6000" spans="1:4">
      <c r="A6000" t="str">
        <f t="shared" si="101"/>
        <v>872Expectancy</v>
      </c>
      <c r="B6000">
        <v>872</v>
      </c>
      <c r="C6000" s="9" t="s">
        <v>31</v>
      </c>
      <c r="D6000" s="8">
        <v>0.13500000000000001</v>
      </c>
    </row>
    <row r="6001" spans="1:4">
      <c r="A6001" t="str">
        <f t="shared" si="101"/>
        <v>872Net Profit</v>
      </c>
      <c r="B6001">
        <v>872</v>
      </c>
      <c r="C6001" s="9" t="s">
        <v>32</v>
      </c>
      <c r="D6001" s="8">
        <v>1.559E-2</v>
      </c>
    </row>
    <row r="6002" spans="1:4">
      <c r="A6002" t="str">
        <f t="shared" si="101"/>
        <v>872Loss Rate</v>
      </c>
      <c r="B6002">
        <v>872</v>
      </c>
      <c r="C6002" s="9" t="s">
        <v>33</v>
      </c>
      <c r="D6002" s="8">
        <v>0.26</v>
      </c>
    </row>
    <row r="6003" spans="1:4">
      <c r="A6003" t="str">
        <f t="shared" si="101"/>
        <v>872Win Rate</v>
      </c>
      <c r="B6003">
        <v>872</v>
      </c>
      <c r="C6003" s="9" t="s">
        <v>34</v>
      </c>
      <c r="D6003" s="8">
        <v>0.74</v>
      </c>
    </row>
    <row r="6004" spans="1:4">
      <c r="A6004" t="str">
        <f t="shared" si="101"/>
        <v>872Profit-Loss Ratio</v>
      </c>
      <c r="B6004">
        <v>872</v>
      </c>
      <c r="C6004" s="9" t="s">
        <v>26</v>
      </c>
      <c r="D6004" s="8">
        <v>0.53</v>
      </c>
    </row>
    <row r="6005" spans="1:4">
      <c r="A6005" t="str">
        <f t="shared" si="101"/>
        <v>872Alpha</v>
      </c>
      <c r="B6005">
        <v>872</v>
      </c>
      <c r="C6005" s="9" t="s">
        <v>23</v>
      </c>
      <c r="D6005" s="8">
        <v>1.7999999999999999E-2</v>
      </c>
    </row>
    <row r="6006" spans="1:4">
      <c r="A6006" t="str">
        <f t="shared" si="101"/>
        <v>872Beta</v>
      </c>
      <c r="B6006">
        <v>872</v>
      </c>
      <c r="C6006" s="9" t="s">
        <v>24</v>
      </c>
      <c r="D6006" s="8">
        <v>-2.3E-2</v>
      </c>
    </row>
    <row r="6007" spans="1:4">
      <c r="A6007" t="str">
        <f t="shared" si="101"/>
        <v>872Annual Standard Deviation</v>
      </c>
      <c r="B6007">
        <v>872</v>
      </c>
      <c r="C6007" s="9" t="s">
        <v>35</v>
      </c>
      <c r="D6007" s="8">
        <v>1.9E-2</v>
      </c>
    </row>
    <row r="6008" spans="1:4">
      <c r="A6008" t="str">
        <f t="shared" si="101"/>
        <v>872Annual Variance</v>
      </c>
      <c r="B6008">
        <v>872</v>
      </c>
      <c r="C6008" s="9" t="s">
        <v>36</v>
      </c>
      <c r="D6008" s="8">
        <v>0</v>
      </c>
    </row>
    <row r="6009" spans="1:4">
      <c r="A6009" t="str">
        <f t="shared" si="101"/>
        <v>872Information Ratio</v>
      </c>
      <c r="B6009">
        <v>872</v>
      </c>
      <c r="C6009" s="9" t="s">
        <v>37</v>
      </c>
      <c r="D6009" s="8">
        <v>-0.48799999999999999</v>
      </c>
    </row>
    <row r="6010" spans="1:4">
      <c r="A6010" t="str">
        <f t="shared" si="101"/>
        <v>872Tracking Error</v>
      </c>
      <c r="B6010">
        <v>872</v>
      </c>
      <c r="C6010" s="9" t="s">
        <v>38</v>
      </c>
      <c r="D6010" s="8">
        <v>7.1999999999999995E-2</v>
      </c>
    </row>
    <row r="6011" spans="1:4">
      <c r="A6011" t="str">
        <f t="shared" si="101"/>
        <v>872Treynor Ratio</v>
      </c>
      <c r="B6011">
        <v>872</v>
      </c>
      <c r="C6011" s="9" t="s">
        <v>39</v>
      </c>
      <c r="D6011" s="8">
        <v>-0.70799999999999996</v>
      </c>
    </row>
    <row r="6012" spans="1:4">
      <c r="A6012" t="str">
        <f t="shared" si="101"/>
        <v>872Total Fees</v>
      </c>
      <c r="B6012">
        <v>872</v>
      </c>
      <c r="C6012" s="9" t="s">
        <v>40</v>
      </c>
      <c r="D6012" s="8">
        <v>0</v>
      </c>
    </row>
    <row r="6013" spans="1:4">
      <c r="A6013" t="str">
        <f t="shared" si="101"/>
        <v>872Estimated Strategy Capacity</v>
      </c>
      <c r="B6013">
        <v>872</v>
      </c>
      <c r="C6013" s="9" t="s">
        <v>41</v>
      </c>
      <c r="D6013" s="8">
        <v>7800000</v>
      </c>
    </row>
    <row r="6014" spans="1:4">
      <c r="A6014" t="str">
        <f t="shared" si="101"/>
        <v>873PSR</v>
      </c>
      <c r="B6014">
        <v>873</v>
      </c>
      <c r="C6014" s="9" t="s">
        <v>27</v>
      </c>
      <c r="D6014" s="8">
        <v>0.31566</v>
      </c>
    </row>
    <row r="6015" spans="1:4">
      <c r="A6015" t="str">
        <f t="shared" si="101"/>
        <v>873Sharpe Ratio</v>
      </c>
      <c r="B6015">
        <v>873</v>
      </c>
      <c r="C6015" s="9" t="s">
        <v>1</v>
      </c>
      <c r="D6015" s="8">
        <v>0.52200000000000002</v>
      </c>
    </row>
    <row r="6016" spans="1:4">
      <c r="A6016" t="str">
        <f t="shared" si="101"/>
        <v>873Total Trades</v>
      </c>
      <c r="B6016">
        <v>873</v>
      </c>
      <c r="C6016" s="9" t="s">
        <v>28</v>
      </c>
      <c r="D6016" s="8">
        <v>507</v>
      </c>
    </row>
    <row r="6017" spans="1:4">
      <c r="A6017" t="str">
        <f t="shared" si="101"/>
        <v>873Average Win</v>
      </c>
      <c r="B6017">
        <v>873</v>
      </c>
      <c r="C6017" s="9" t="s">
        <v>25</v>
      </c>
      <c r="D6017" s="8">
        <v>6.9999999999999999E-4</v>
      </c>
    </row>
    <row r="6018" spans="1:4">
      <c r="A6018" t="str">
        <f t="shared" si="101"/>
        <v>873Average Loss</v>
      </c>
      <c r="B6018">
        <v>873</v>
      </c>
      <c r="C6018" s="9" t="s">
        <v>29</v>
      </c>
      <c r="D6018" s="8">
        <v>-1.8E-3</v>
      </c>
    </row>
    <row r="6019" spans="1:4">
      <c r="A6019" t="str">
        <f t="shared" si="101"/>
        <v>873Compounding Annual Return</v>
      </c>
      <c r="B6019">
        <v>873</v>
      </c>
      <c r="C6019" s="9" t="s">
        <v>30</v>
      </c>
      <c r="D6019" s="8">
        <v>1.8380000000000001E-2</v>
      </c>
    </row>
    <row r="6020" spans="1:4">
      <c r="A6020" t="str">
        <f t="shared" si="101"/>
        <v>873Drawdown</v>
      </c>
      <c r="B6020">
        <v>873</v>
      </c>
      <c r="C6020" s="9" t="s">
        <v>8</v>
      </c>
      <c r="D6020" s="8">
        <v>2.3E-2</v>
      </c>
    </row>
    <row r="6021" spans="1:4">
      <c r="A6021" t="str">
        <f t="shared" si="101"/>
        <v>873Expectancy</v>
      </c>
      <c r="B6021">
        <v>873</v>
      </c>
      <c r="C6021" s="9" t="s">
        <v>31</v>
      </c>
      <c r="D6021" s="8">
        <v>9.5000000000000001E-2</v>
      </c>
    </row>
    <row r="6022" spans="1:4">
      <c r="A6022" t="str">
        <f t="shared" si="101"/>
        <v>873Net Profit</v>
      </c>
      <c r="B6022">
        <v>873</v>
      </c>
      <c r="C6022" s="9" t="s">
        <v>32</v>
      </c>
      <c r="D6022" s="8">
        <v>1.2149999999999999E-2</v>
      </c>
    </row>
    <row r="6023" spans="1:4">
      <c r="A6023" t="str">
        <f t="shared" si="101"/>
        <v>873Loss Rate</v>
      </c>
      <c r="B6023">
        <v>873</v>
      </c>
      <c r="C6023" s="9" t="s">
        <v>33</v>
      </c>
      <c r="D6023" s="8">
        <v>0.23</v>
      </c>
    </row>
    <row r="6024" spans="1:4">
      <c r="A6024" t="str">
        <f t="shared" si="101"/>
        <v>873Win Rate</v>
      </c>
      <c r="B6024">
        <v>873</v>
      </c>
      <c r="C6024" s="9" t="s">
        <v>34</v>
      </c>
      <c r="D6024" s="8">
        <v>0.77</v>
      </c>
    </row>
    <row r="6025" spans="1:4">
      <c r="A6025" t="str">
        <f t="shared" si="101"/>
        <v>873Profit-Loss Ratio</v>
      </c>
      <c r="B6025">
        <v>873</v>
      </c>
      <c r="C6025" s="9" t="s">
        <v>26</v>
      </c>
      <c r="D6025" s="8">
        <v>0.42</v>
      </c>
    </row>
    <row r="6026" spans="1:4">
      <c r="A6026" t="str">
        <f t="shared" si="101"/>
        <v>873Alpha</v>
      </c>
      <c r="B6026">
        <v>873</v>
      </c>
      <c r="C6026" s="9" t="s">
        <v>23</v>
      </c>
      <c r="D6026" s="8">
        <v>1.6E-2</v>
      </c>
    </row>
    <row r="6027" spans="1:4">
      <c r="A6027" t="str">
        <f t="shared" si="101"/>
        <v>873Beta</v>
      </c>
      <c r="B6027">
        <v>873</v>
      </c>
      <c r="C6027" s="9" t="s">
        <v>24</v>
      </c>
      <c r="D6027" s="8">
        <v>-0.06</v>
      </c>
    </row>
    <row r="6028" spans="1:4">
      <c r="A6028" t="str">
        <f t="shared" si="101"/>
        <v>873Annual Standard Deviation</v>
      </c>
      <c r="B6028">
        <v>873</v>
      </c>
      <c r="C6028" s="9" t="s">
        <v>35</v>
      </c>
      <c r="D6028" s="8">
        <v>2.5000000000000001E-2</v>
      </c>
    </row>
    <row r="6029" spans="1:4">
      <c r="A6029" t="str">
        <f t="shared" si="101"/>
        <v>873Annual Variance</v>
      </c>
      <c r="B6029">
        <v>873</v>
      </c>
      <c r="C6029" s="9" t="s">
        <v>36</v>
      </c>
      <c r="D6029" s="8">
        <v>1E-3</v>
      </c>
    </row>
    <row r="6030" spans="1:4">
      <c r="A6030" t="str">
        <f t="shared" si="101"/>
        <v>873Information Ratio</v>
      </c>
      <c r="B6030">
        <v>873</v>
      </c>
      <c r="C6030" s="9" t="s">
        <v>37</v>
      </c>
      <c r="D6030" s="8">
        <v>-0.50900000000000001</v>
      </c>
    </row>
    <row r="6031" spans="1:4">
      <c r="A6031" t="str">
        <f t="shared" si="101"/>
        <v>873Tracking Error</v>
      </c>
      <c r="B6031">
        <v>873</v>
      </c>
      <c r="C6031" s="9" t="s">
        <v>38</v>
      </c>
      <c r="D6031" s="8">
        <v>7.5999999999999998E-2</v>
      </c>
    </row>
    <row r="6032" spans="1:4">
      <c r="A6032" t="str">
        <f t="shared" si="101"/>
        <v>873Treynor Ratio</v>
      </c>
      <c r="B6032">
        <v>873</v>
      </c>
      <c r="C6032" s="9" t="s">
        <v>39</v>
      </c>
      <c r="D6032" s="8">
        <v>-0.218</v>
      </c>
    </row>
    <row r="6033" spans="1:4">
      <c r="A6033" t="str">
        <f t="shared" si="101"/>
        <v>873Total Fees</v>
      </c>
      <c r="B6033">
        <v>873</v>
      </c>
      <c r="C6033" s="9" t="s">
        <v>40</v>
      </c>
      <c r="D6033" s="8">
        <v>0</v>
      </c>
    </row>
    <row r="6034" spans="1:4">
      <c r="A6034" t="str">
        <f t="shared" si="101"/>
        <v>873Estimated Strategy Capacity</v>
      </c>
      <c r="B6034">
        <v>873</v>
      </c>
      <c r="C6034" s="9" t="s">
        <v>41</v>
      </c>
      <c r="D6034" s="8">
        <v>6500000</v>
      </c>
    </row>
    <row r="6035" spans="1:4">
      <c r="A6035" t="str">
        <f t="shared" si="101"/>
        <v>892PSR</v>
      </c>
      <c r="B6035">
        <v>892</v>
      </c>
      <c r="C6035" s="9" t="s">
        <v>27</v>
      </c>
      <c r="D6035" s="8">
        <v>5.7029999999999997E-2</v>
      </c>
    </row>
    <row r="6036" spans="1:4">
      <c r="A6036" t="str">
        <f t="shared" si="101"/>
        <v>892Sharpe Ratio</v>
      </c>
      <c r="B6036">
        <v>892</v>
      </c>
      <c r="C6036" s="9" t="s">
        <v>1</v>
      </c>
      <c r="D6036" s="8">
        <v>-0.66900000000000004</v>
      </c>
    </row>
    <row r="6037" spans="1:4">
      <c r="A6037" t="str">
        <f t="shared" si="101"/>
        <v>892Total Trades</v>
      </c>
      <c r="B6037">
        <v>892</v>
      </c>
      <c r="C6037" s="9" t="s">
        <v>28</v>
      </c>
      <c r="D6037" s="8">
        <v>1495</v>
      </c>
    </row>
    <row r="6038" spans="1:4">
      <c r="A6038" t="str">
        <f t="shared" si="101"/>
        <v>892Average Win</v>
      </c>
      <c r="B6038">
        <v>892</v>
      </c>
      <c r="C6038" s="9" t="s">
        <v>25</v>
      </c>
      <c r="D6038" s="8">
        <v>2.0000000000000001E-4</v>
      </c>
    </row>
    <row r="6039" spans="1:4">
      <c r="A6039" t="str">
        <f t="shared" si="101"/>
        <v>892Average Loss</v>
      </c>
      <c r="B6039">
        <v>892</v>
      </c>
      <c r="C6039" s="9" t="s">
        <v>29</v>
      </c>
      <c r="D6039" s="8">
        <v>-4.0000000000000002E-4</v>
      </c>
    </row>
    <row r="6040" spans="1:4">
      <c r="A6040" t="str">
        <f t="shared" si="101"/>
        <v>892Compounding Annual Return</v>
      </c>
      <c r="B6040">
        <v>892</v>
      </c>
      <c r="C6040" s="9" t="s">
        <v>30</v>
      </c>
      <c r="D6040" s="8">
        <v>-9.6200000000000001E-3</v>
      </c>
    </row>
    <row r="6041" spans="1:4">
      <c r="A6041" t="str">
        <f t="shared" si="101"/>
        <v>892Drawdown</v>
      </c>
      <c r="B6041">
        <v>892</v>
      </c>
      <c r="C6041" s="9" t="s">
        <v>8</v>
      </c>
      <c r="D6041" s="8">
        <v>1.7000000000000001E-2</v>
      </c>
    </row>
    <row r="6042" spans="1:4">
      <c r="A6042" t="str">
        <f t="shared" si="101"/>
        <v>892Expectancy</v>
      </c>
      <c r="B6042">
        <v>892</v>
      </c>
      <c r="C6042" s="9" t="s">
        <v>31</v>
      </c>
      <c r="D6042" s="8">
        <v>-8.4000000000000005E-2</v>
      </c>
    </row>
    <row r="6043" spans="1:4">
      <c r="A6043" t="str">
        <f t="shared" si="101"/>
        <v>892Net Profit</v>
      </c>
      <c r="B6043">
        <v>892</v>
      </c>
      <c r="C6043" s="9" t="s">
        <v>32</v>
      </c>
      <c r="D6043" s="8">
        <v>-6.3800000000000003E-3</v>
      </c>
    </row>
    <row r="6044" spans="1:4">
      <c r="A6044" t="str">
        <f t="shared" si="101"/>
        <v>892Loss Rate</v>
      </c>
      <c r="B6044">
        <v>892</v>
      </c>
      <c r="C6044" s="9" t="s">
        <v>33</v>
      </c>
      <c r="D6044" s="8">
        <v>0.36</v>
      </c>
    </row>
    <row r="6045" spans="1:4">
      <c r="A6045" t="str">
        <f t="shared" si="101"/>
        <v>892Win Rate</v>
      </c>
      <c r="B6045">
        <v>892</v>
      </c>
      <c r="C6045" s="9" t="s">
        <v>34</v>
      </c>
      <c r="D6045" s="8">
        <v>0.64</v>
      </c>
    </row>
    <row r="6046" spans="1:4">
      <c r="A6046" t="str">
        <f t="shared" si="101"/>
        <v>892Profit-Loss Ratio</v>
      </c>
      <c r="B6046">
        <v>892</v>
      </c>
      <c r="C6046" s="9" t="s">
        <v>26</v>
      </c>
      <c r="D6046" s="8">
        <v>0.44</v>
      </c>
    </row>
    <row r="6047" spans="1:4">
      <c r="A6047" t="str">
        <f t="shared" si="101"/>
        <v>892Alpha</v>
      </c>
      <c r="B6047">
        <v>892</v>
      </c>
      <c r="C6047" s="9" t="s">
        <v>23</v>
      </c>
      <c r="D6047" s="8">
        <v>-7.0000000000000001E-3</v>
      </c>
    </row>
    <row r="6048" spans="1:4">
      <c r="A6048" t="str">
        <f t="shared" si="101"/>
        <v>892Beta</v>
      </c>
      <c r="B6048">
        <v>892</v>
      </c>
      <c r="C6048" s="9" t="s">
        <v>24</v>
      </c>
      <c r="D6048" s="8">
        <v>2E-3</v>
      </c>
    </row>
    <row r="6049" spans="1:4">
      <c r="A6049" t="str">
        <f t="shared" si="101"/>
        <v>892Annual Standard Deviation</v>
      </c>
      <c r="B6049">
        <v>892</v>
      </c>
      <c r="C6049" s="9" t="s">
        <v>35</v>
      </c>
      <c r="D6049" s="8">
        <v>0.01</v>
      </c>
    </row>
    <row r="6050" spans="1:4">
      <c r="A6050" t="str">
        <f t="shared" ref="A6050:A6113" si="102">B6050&amp;C6050</f>
        <v>892Annual Variance</v>
      </c>
      <c r="B6050">
        <v>892</v>
      </c>
      <c r="C6050" s="9" t="s">
        <v>36</v>
      </c>
      <c r="D6050" s="8">
        <v>0</v>
      </c>
    </row>
    <row r="6051" spans="1:4">
      <c r="A6051" t="str">
        <f t="shared" si="102"/>
        <v>892Information Ratio</v>
      </c>
      <c r="B6051">
        <v>892</v>
      </c>
      <c r="C6051" s="9" t="s">
        <v>37</v>
      </c>
      <c r="D6051" s="8">
        <v>-0.85499999999999998</v>
      </c>
    </row>
    <row r="6052" spans="1:4">
      <c r="A6052" t="str">
        <f t="shared" si="102"/>
        <v>892Tracking Error</v>
      </c>
      <c r="B6052">
        <v>892</v>
      </c>
      <c r="C6052" s="9" t="s">
        <v>38</v>
      </c>
      <c r="D6052" s="8">
        <v>6.8000000000000005E-2</v>
      </c>
    </row>
    <row r="6053" spans="1:4">
      <c r="A6053" t="str">
        <f t="shared" si="102"/>
        <v>892Treynor Ratio</v>
      </c>
      <c r="B6053">
        <v>892</v>
      </c>
      <c r="C6053" s="9" t="s">
        <v>39</v>
      </c>
      <c r="D6053" s="8">
        <v>-4.34</v>
      </c>
    </row>
    <row r="6054" spans="1:4">
      <c r="A6054" t="str">
        <f t="shared" si="102"/>
        <v>892Total Fees</v>
      </c>
      <c r="B6054">
        <v>892</v>
      </c>
      <c r="C6054" s="9" t="s">
        <v>40</v>
      </c>
      <c r="D6054" s="8">
        <v>0</v>
      </c>
    </row>
    <row r="6055" spans="1:4">
      <c r="A6055" t="str">
        <f t="shared" si="102"/>
        <v>892Estimated Strategy Capacity</v>
      </c>
      <c r="B6055">
        <v>892</v>
      </c>
      <c r="C6055" s="9" t="s">
        <v>41</v>
      </c>
      <c r="D6055" s="8">
        <v>180000000</v>
      </c>
    </row>
    <row r="6056" spans="1:4">
      <c r="A6056" t="str">
        <f t="shared" si="102"/>
        <v>893PSR</v>
      </c>
      <c r="B6056">
        <v>893</v>
      </c>
      <c r="C6056" s="9" t="s">
        <v>27</v>
      </c>
      <c r="D6056" s="8">
        <v>5.3E-3</v>
      </c>
    </row>
    <row r="6057" spans="1:4">
      <c r="A6057" t="str">
        <f t="shared" si="102"/>
        <v>893Sharpe Ratio</v>
      </c>
      <c r="B6057">
        <v>893</v>
      </c>
      <c r="C6057" s="9" t="s">
        <v>1</v>
      </c>
      <c r="D6057" s="8">
        <v>-1.75</v>
      </c>
    </row>
    <row r="6058" spans="1:4">
      <c r="A6058" t="str">
        <f t="shared" si="102"/>
        <v>893Total Trades</v>
      </c>
      <c r="B6058">
        <v>893</v>
      </c>
      <c r="C6058" s="9" t="s">
        <v>28</v>
      </c>
      <c r="D6058" s="8">
        <v>1173</v>
      </c>
    </row>
    <row r="6059" spans="1:4">
      <c r="A6059" t="str">
        <f t="shared" si="102"/>
        <v>893Average Win</v>
      </c>
      <c r="B6059">
        <v>893</v>
      </c>
      <c r="C6059" s="9" t="s">
        <v>25</v>
      </c>
      <c r="D6059" s="8">
        <v>5.9999999999999995E-4</v>
      </c>
    </row>
    <row r="6060" spans="1:4">
      <c r="A6060" t="str">
        <f t="shared" si="102"/>
        <v>893Average Loss</v>
      </c>
      <c r="B6060">
        <v>893</v>
      </c>
      <c r="C6060" s="9" t="s">
        <v>29</v>
      </c>
      <c r="D6060" s="8">
        <v>-1.6999999999999999E-3</v>
      </c>
    </row>
    <row r="6061" spans="1:4">
      <c r="A6061" t="str">
        <f t="shared" si="102"/>
        <v>893Compounding Annual Return</v>
      </c>
      <c r="B6061">
        <v>893</v>
      </c>
      <c r="C6061" s="9" t="s">
        <v>30</v>
      </c>
      <c r="D6061" s="8">
        <v>-6.6140000000000004E-2</v>
      </c>
    </row>
    <row r="6062" spans="1:4">
      <c r="A6062" t="str">
        <f t="shared" si="102"/>
        <v>893Drawdown</v>
      </c>
      <c r="B6062">
        <v>893</v>
      </c>
      <c r="C6062" s="9" t="s">
        <v>8</v>
      </c>
      <c r="D6062" s="8">
        <v>5.8000000000000003E-2</v>
      </c>
    </row>
    <row r="6063" spans="1:4">
      <c r="A6063" t="str">
        <f t="shared" si="102"/>
        <v>893Expectancy</v>
      </c>
      <c r="B6063">
        <v>893</v>
      </c>
      <c r="C6063" s="9" t="s">
        <v>31</v>
      </c>
      <c r="D6063" s="8">
        <v>-0.16500000000000001</v>
      </c>
    </row>
    <row r="6064" spans="1:4">
      <c r="A6064" t="str">
        <f t="shared" si="102"/>
        <v>893Net Profit</v>
      </c>
      <c r="B6064">
        <v>893</v>
      </c>
      <c r="C6064" s="9" t="s">
        <v>32</v>
      </c>
      <c r="D6064" s="8">
        <v>-4.4350000000000001E-2</v>
      </c>
    </row>
    <row r="6065" spans="1:4">
      <c r="A6065" t="str">
        <f t="shared" si="102"/>
        <v>893Loss Rate</v>
      </c>
      <c r="B6065">
        <v>893</v>
      </c>
      <c r="C6065" s="9" t="s">
        <v>33</v>
      </c>
      <c r="D6065" s="8">
        <v>0.37</v>
      </c>
    </row>
    <row r="6066" spans="1:4">
      <c r="A6066" t="str">
        <f t="shared" si="102"/>
        <v>893Win Rate</v>
      </c>
      <c r="B6066">
        <v>893</v>
      </c>
      <c r="C6066" s="9" t="s">
        <v>34</v>
      </c>
      <c r="D6066" s="8">
        <v>0.63</v>
      </c>
    </row>
    <row r="6067" spans="1:4">
      <c r="A6067" t="str">
        <f t="shared" si="102"/>
        <v>893Profit-Loss Ratio</v>
      </c>
      <c r="B6067">
        <v>893</v>
      </c>
      <c r="C6067" s="9" t="s">
        <v>26</v>
      </c>
      <c r="D6067" s="8">
        <v>0.33</v>
      </c>
    </row>
    <row r="6068" spans="1:4">
      <c r="A6068" t="str">
        <f t="shared" si="102"/>
        <v>893Alpha</v>
      </c>
      <c r="B6068">
        <v>893</v>
      </c>
      <c r="C6068" s="9" t="s">
        <v>23</v>
      </c>
      <c r="D6068" s="8">
        <v>-4.8000000000000001E-2</v>
      </c>
    </row>
    <row r="6069" spans="1:4">
      <c r="A6069" t="str">
        <f t="shared" si="102"/>
        <v>893Beta</v>
      </c>
      <c r="B6069">
        <v>893</v>
      </c>
      <c r="C6069" s="9" t="s">
        <v>24</v>
      </c>
      <c r="D6069" s="8">
        <v>0.04</v>
      </c>
    </row>
    <row r="6070" spans="1:4">
      <c r="A6070" t="str">
        <f t="shared" si="102"/>
        <v>893Annual Standard Deviation</v>
      </c>
      <c r="B6070">
        <v>893</v>
      </c>
      <c r="C6070" s="9" t="s">
        <v>35</v>
      </c>
      <c r="D6070" s="8">
        <v>2.5999999999999999E-2</v>
      </c>
    </row>
    <row r="6071" spans="1:4">
      <c r="A6071" t="str">
        <f t="shared" si="102"/>
        <v>893Annual Variance</v>
      </c>
      <c r="B6071">
        <v>893</v>
      </c>
      <c r="C6071" s="9" t="s">
        <v>36</v>
      </c>
      <c r="D6071" s="8">
        <v>1E-3</v>
      </c>
    </row>
    <row r="6072" spans="1:4">
      <c r="A6072" t="str">
        <f t="shared" si="102"/>
        <v>893Information Ratio</v>
      </c>
      <c r="B6072">
        <v>893</v>
      </c>
      <c r="C6072" s="9" t="s">
        <v>37</v>
      </c>
      <c r="D6072" s="8">
        <v>-1.3979999999999999</v>
      </c>
    </row>
    <row r="6073" spans="1:4">
      <c r="A6073" t="str">
        <f t="shared" si="102"/>
        <v>893Tracking Error</v>
      </c>
      <c r="B6073">
        <v>893</v>
      </c>
      <c r="C6073" s="9" t="s">
        <v>38</v>
      </c>
      <c r="D6073" s="8">
        <v>7.0000000000000007E-2</v>
      </c>
    </row>
    <row r="6074" spans="1:4">
      <c r="A6074" t="str">
        <f t="shared" si="102"/>
        <v>893Treynor Ratio</v>
      </c>
      <c r="B6074">
        <v>893</v>
      </c>
      <c r="C6074" s="9" t="s">
        <v>39</v>
      </c>
      <c r="D6074" s="8">
        <v>-1.1379999999999999</v>
      </c>
    </row>
    <row r="6075" spans="1:4">
      <c r="A6075" t="str">
        <f t="shared" si="102"/>
        <v>893Total Fees</v>
      </c>
      <c r="B6075">
        <v>893</v>
      </c>
      <c r="C6075" s="9" t="s">
        <v>40</v>
      </c>
      <c r="D6075" s="8">
        <v>0</v>
      </c>
    </row>
    <row r="6076" spans="1:4">
      <c r="A6076" t="str">
        <f t="shared" si="102"/>
        <v>893Estimated Strategy Capacity</v>
      </c>
      <c r="B6076">
        <v>893</v>
      </c>
      <c r="C6076" s="9" t="s">
        <v>41</v>
      </c>
      <c r="D6076" s="8">
        <v>25000000</v>
      </c>
    </row>
    <row r="6077" spans="1:4">
      <c r="A6077" t="str">
        <f t="shared" si="102"/>
        <v>894PSR</v>
      </c>
      <c r="B6077">
        <v>894</v>
      </c>
      <c r="C6077" s="9" t="s">
        <v>27</v>
      </c>
      <c r="D6077" s="8">
        <v>8.0000000000000007E-5</v>
      </c>
    </row>
    <row r="6078" spans="1:4">
      <c r="A6078" t="str">
        <f t="shared" si="102"/>
        <v>894Sharpe Ratio</v>
      </c>
      <c r="B6078">
        <v>894</v>
      </c>
      <c r="C6078" s="9" t="s">
        <v>1</v>
      </c>
      <c r="D6078" s="8">
        <v>-2.4990000000000001</v>
      </c>
    </row>
    <row r="6079" spans="1:4">
      <c r="A6079" t="str">
        <f t="shared" si="102"/>
        <v>894Total Trades</v>
      </c>
      <c r="B6079">
        <v>894</v>
      </c>
      <c r="C6079" s="9" t="s">
        <v>28</v>
      </c>
      <c r="D6079" s="8">
        <v>896</v>
      </c>
    </row>
    <row r="6080" spans="1:4">
      <c r="A6080" t="str">
        <f t="shared" si="102"/>
        <v>894Average Win</v>
      </c>
      <c r="B6080">
        <v>894</v>
      </c>
      <c r="C6080" s="9" t="s">
        <v>25</v>
      </c>
      <c r="D6080" s="8">
        <v>6.9999999999999999E-4</v>
      </c>
    </row>
    <row r="6081" spans="1:4">
      <c r="A6081" t="str">
        <f t="shared" si="102"/>
        <v>894Average Loss</v>
      </c>
      <c r="B6081">
        <v>894</v>
      </c>
      <c r="C6081" s="9" t="s">
        <v>29</v>
      </c>
      <c r="D6081" s="8">
        <v>-2.5000000000000001E-3</v>
      </c>
    </row>
    <row r="6082" spans="1:4">
      <c r="A6082" t="str">
        <f t="shared" si="102"/>
        <v>894Compounding Annual Return</v>
      </c>
      <c r="B6082">
        <v>894</v>
      </c>
      <c r="C6082" s="9" t="s">
        <v>30</v>
      </c>
      <c r="D6082" s="8">
        <v>-0.11194999999999999</v>
      </c>
    </row>
    <row r="6083" spans="1:4">
      <c r="A6083" t="str">
        <f t="shared" si="102"/>
        <v>894Drawdown</v>
      </c>
      <c r="B6083">
        <v>894</v>
      </c>
      <c r="C6083" s="9" t="s">
        <v>8</v>
      </c>
      <c r="D6083" s="8">
        <v>7.9000000000000001E-2</v>
      </c>
    </row>
    <row r="6084" spans="1:4">
      <c r="A6084" t="str">
        <f t="shared" si="102"/>
        <v>894Expectancy</v>
      </c>
      <c r="B6084">
        <v>894</v>
      </c>
      <c r="C6084" s="9" t="s">
        <v>31</v>
      </c>
      <c r="D6084" s="8">
        <v>-0.20799999999999999</v>
      </c>
    </row>
    <row r="6085" spans="1:4">
      <c r="A6085" t="str">
        <f t="shared" si="102"/>
        <v>894Net Profit</v>
      </c>
      <c r="B6085">
        <v>894</v>
      </c>
      <c r="C6085" s="9" t="s">
        <v>32</v>
      </c>
      <c r="D6085" s="8">
        <v>-7.5689999999999993E-2</v>
      </c>
    </row>
    <row r="6086" spans="1:4">
      <c r="A6086" t="str">
        <f t="shared" si="102"/>
        <v>894Loss Rate</v>
      </c>
      <c r="B6086">
        <v>894</v>
      </c>
      <c r="C6086" s="9" t="s">
        <v>33</v>
      </c>
      <c r="D6086" s="8">
        <v>0.38</v>
      </c>
    </row>
    <row r="6087" spans="1:4">
      <c r="A6087" t="str">
        <f t="shared" si="102"/>
        <v>894Win Rate</v>
      </c>
      <c r="B6087">
        <v>894</v>
      </c>
      <c r="C6087" s="9" t="s">
        <v>34</v>
      </c>
      <c r="D6087" s="8">
        <v>0.62</v>
      </c>
    </row>
    <row r="6088" spans="1:4">
      <c r="A6088" t="str">
        <f t="shared" si="102"/>
        <v>894Profit-Loss Ratio</v>
      </c>
      <c r="B6088">
        <v>894</v>
      </c>
      <c r="C6088" s="9" t="s">
        <v>26</v>
      </c>
      <c r="D6088" s="8">
        <v>0.27</v>
      </c>
    </row>
    <row r="6089" spans="1:4">
      <c r="A6089" t="str">
        <f t="shared" si="102"/>
        <v>894Alpha</v>
      </c>
      <c r="B6089">
        <v>894</v>
      </c>
      <c r="C6089" s="9" t="s">
        <v>23</v>
      </c>
      <c r="D6089" s="8">
        <v>-8.1000000000000003E-2</v>
      </c>
    </row>
    <row r="6090" spans="1:4">
      <c r="A6090" t="str">
        <f t="shared" si="102"/>
        <v>894Beta</v>
      </c>
      <c r="B6090">
        <v>894</v>
      </c>
      <c r="C6090" s="9" t="s">
        <v>24</v>
      </c>
      <c r="D6090" s="8">
        <v>0.05</v>
      </c>
    </row>
    <row r="6091" spans="1:4">
      <c r="A6091" t="str">
        <f t="shared" si="102"/>
        <v>894Annual Standard Deviation</v>
      </c>
      <c r="B6091">
        <v>894</v>
      </c>
      <c r="C6091" s="9" t="s">
        <v>35</v>
      </c>
      <c r="D6091" s="8">
        <v>3.1E-2</v>
      </c>
    </row>
    <row r="6092" spans="1:4">
      <c r="A6092" t="str">
        <f t="shared" si="102"/>
        <v>894Annual Variance</v>
      </c>
      <c r="B6092">
        <v>894</v>
      </c>
      <c r="C6092" s="9" t="s">
        <v>36</v>
      </c>
      <c r="D6092" s="8">
        <v>1E-3</v>
      </c>
    </row>
    <row r="6093" spans="1:4">
      <c r="A6093" t="str">
        <f t="shared" si="102"/>
        <v>894Information Ratio</v>
      </c>
      <c r="B6093">
        <v>894</v>
      </c>
      <c r="C6093" s="9" t="s">
        <v>37</v>
      </c>
      <c r="D6093" s="8">
        <v>-1.825</v>
      </c>
    </row>
    <row r="6094" spans="1:4">
      <c r="A6094" t="str">
        <f t="shared" si="102"/>
        <v>894Tracking Error</v>
      </c>
      <c r="B6094">
        <v>894</v>
      </c>
      <c r="C6094" s="9" t="s">
        <v>38</v>
      </c>
      <c r="D6094" s="8">
        <v>7.0999999999999994E-2</v>
      </c>
    </row>
    <row r="6095" spans="1:4">
      <c r="A6095" t="str">
        <f t="shared" si="102"/>
        <v>894Treynor Ratio</v>
      </c>
      <c r="B6095">
        <v>894</v>
      </c>
      <c r="C6095" s="9" t="s">
        <v>39</v>
      </c>
      <c r="D6095" s="8">
        <v>-1.581</v>
      </c>
    </row>
    <row r="6096" spans="1:4">
      <c r="A6096" t="str">
        <f t="shared" si="102"/>
        <v>894Total Fees</v>
      </c>
      <c r="B6096">
        <v>894</v>
      </c>
      <c r="C6096" s="9" t="s">
        <v>40</v>
      </c>
      <c r="D6096" s="8">
        <v>0</v>
      </c>
    </row>
    <row r="6097" spans="1:4">
      <c r="A6097" t="str">
        <f t="shared" si="102"/>
        <v>894Estimated Strategy Capacity</v>
      </c>
      <c r="B6097">
        <v>894</v>
      </c>
      <c r="C6097" s="9" t="s">
        <v>41</v>
      </c>
      <c r="D6097" s="8">
        <v>8000000</v>
      </c>
    </row>
    <row r="6098" spans="1:4">
      <c r="A6098" t="str">
        <f t="shared" si="102"/>
        <v>895PSR</v>
      </c>
      <c r="B6098">
        <v>895</v>
      </c>
      <c r="C6098" s="9" t="s">
        <v>27</v>
      </c>
      <c r="D6098" s="8">
        <v>2.0039999999999999E-2</v>
      </c>
    </row>
    <row r="6099" spans="1:4">
      <c r="A6099" t="str">
        <f t="shared" si="102"/>
        <v>895Sharpe Ratio</v>
      </c>
      <c r="B6099">
        <v>895</v>
      </c>
      <c r="C6099" s="9" t="s">
        <v>1</v>
      </c>
      <c r="D6099" s="8">
        <v>-1.1890000000000001</v>
      </c>
    </row>
    <row r="6100" spans="1:4">
      <c r="A6100" t="str">
        <f t="shared" si="102"/>
        <v>895Total Trades</v>
      </c>
      <c r="B6100">
        <v>895</v>
      </c>
      <c r="C6100" s="9" t="s">
        <v>28</v>
      </c>
      <c r="D6100" s="8">
        <v>1226</v>
      </c>
    </row>
    <row r="6101" spans="1:4">
      <c r="A6101" t="str">
        <f t="shared" si="102"/>
        <v>895Average Win</v>
      </c>
      <c r="B6101">
        <v>895</v>
      </c>
      <c r="C6101" s="9" t="s">
        <v>25</v>
      </c>
      <c r="D6101" s="8">
        <v>1E-4</v>
      </c>
    </row>
    <row r="6102" spans="1:4">
      <c r="A6102" t="str">
        <f t="shared" si="102"/>
        <v>895Average Loss</v>
      </c>
      <c r="B6102">
        <v>895</v>
      </c>
      <c r="C6102" s="9" t="s">
        <v>29</v>
      </c>
      <c r="D6102" s="8">
        <v>-2.9999999999999997E-4</v>
      </c>
    </row>
    <row r="6103" spans="1:4">
      <c r="A6103" t="str">
        <f t="shared" si="102"/>
        <v>895Compounding Annual Return</v>
      </c>
      <c r="B6103">
        <v>895</v>
      </c>
      <c r="C6103" s="9" t="s">
        <v>30</v>
      </c>
      <c r="D6103" s="8">
        <v>-1.166E-2</v>
      </c>
    </row>
    <row r="6104" spans="1:4">
      <c r="A6104" t="str">
        <f t="shared" si="102"/>
        <v>895Drawdown</v>
      </c>
      <c r="B6104">
        <v>895</v>
      </c>
      <c r="C6104" s="9" t="s">
        <v>8</v>
      </c>
      <c r="D6104" s="8">
        <v>1.4E-2</v>
      </c>
    </row>
    <row r="6105" spans="1:4">
      <c r="A6105" t="str">
        <f t="shared" si="102"/>
        <v>895Expectancy</v>
      </c>
      <c r="B6105">
        <v>895</v>
      </c>
      <c r="C6105" s="9" t="s">
        <v>31</v>
      </c>
      <c r="D6105" s="8">
        <v>-0.157</v>
      </c>
    </row>
    <row r="6106" spans="1:4">
      <c r="A6106" t="str">
        <f t="shared" si="102"/>
        <v>895Net Profit</v>
      </c>
      <c r="B6106">
        <v>895</v>
      </c>
      <c r="C6106" s="9" t="s">
        <v>32</v>
      </c>
      <c r="D6106" s="8">
        <v>-7.7499999999999999E-3</v>
      </c>
    </row>
    <row r="6107" spans="1:4">
      <c r="A6107" t="str">
        <f t="shared" si="102"/>
        <v>895Loss Rate</v>
      </c>
      <c r="B6107">
        <v>895</v>
      </c>
      <c r="C6107" s="9" t="s">
        <v>33</v>
      </c>
      <c r="D6107" s="8">
        <v>0.39</v>
      </c>
    </row>
    <row r="6108" spans="1:4">
      <c r="A6108" t="str">
        <f t="shared" si="102"/>
        <v>895Win Rate</v>
      </c>
      <c r="B6108">
        <v>895</v>
      </c>
      <c r="C6108" s="9" t="s">
        <v>34</v>
      </c>
      <c r="D6108" s="8">
        <v>0.61</v>
      </c>
    </row>
    <row r="6109" spans="1:4">
      <c r="A6109" t="str">
        <f t="shared" si="102"/>
        <v>895Profit-Loss Ratio</v>
      </c>
      <c r="B6109">
        <v>895</v>
      </c>
      <c r="C6109" s="9" t="s">
        <v>26</v>
      </c>
      <c r="D6109" s="8">
        <v>0.37</v>
      </c>
    </row>
    <row r="6110" spans="1:4">
      <c r="A6110" t="str">
        <f t="shared" si="102"/>
        <v>895Alpha</v>
      </c>
      <c r="B6110">
        <v>895</v>
      </c>
      <c r="C6110" s="9" t="s">
        <v>23</v>
      </c>
      <c r="D6110" s="8">
        <v>-8.0000000000000002E-3</v>
      </c>
    </row>
    <row r="6111" spans="1:4">
      <c r="A6111" t="str">
        <f t="shared" si="102"/>
        <v>895Beta</v>
      </c>
      <c r="B6111">
        <v>895</v>
      </c>
      <c r="C6111" s="9" t="s">
        <v>24</v>
      </c>
      <c r="D6111" s="8">
        <v>4.0000000000000001E-3</v>
      </c>
    </row>
    <row r="6112" spans="1:4">
      <c r="A6112" t="str">
        <f t="shared" si="102"/>
        <v>895Annual Standard Deviation</v>
      </c>
      <c r="B6112">
        <v>895</v>
      </c>
      <c r="C6112" s="9" t="s">
        <v>35</v>
      </c>
      <c r="D6112" s="8">
        <v>7.0000000000000001E-3</v>
      </c>
    </row>
    <row r="6113" spans="1:4">
      <c r="A6113" t="str">
        <f t="shared" si="102"/>
        <v>895Annual Variance</v>
      </c>
      <c r="B6113">
        <v>895</v>
      </c>
      <c r="C6113" s="9" t="s">
        <v>36</v>
      </c>
      <c r="D6113" s="8">
        <v>0</v>
      </c>
    </row>
    <row r="6114" spans="1:4">
      <c r="A6114" t="str">
        <f t="shared" ref="A6114:A6177" si="103">B6114&amp;C6114</f>
        <v>895Information Ratio</v>
      </c>
      <c r="B6114">
        <v>895</v>
      </c>
      <c r="C6114" s="9" t="s">
        <v>37</v>
      </c>
      <c r="D6114" s="8">
        <v>-0.88300000000000001</v>
      </c>
    </row>
    <row r="6115" spans="1:4">
      <c r="A6115" t="str">
        <f t="shared" si="103"/>
        <v>895Tracking Error</v>
      </c>
      <c r="B6115">
        <v>895</v>
      </c>
      <c r="C6115" s="9" t="s">
        <v>38</v>
      </c>
      <c r="D6115" s="8">
        <v>6.7000000000000004E-2</v>
      </c>
    </row>
    <row r="6116" spans="1:4">
      <c r="A6116" t="str">
        <f t="shared" si="103"/>
        <v>895Treynor Ratio</v>
      </c>
      <c r="B6116">
        <v>895</v>
      </c>
      <c r="C6116" s="9" t="s">
        <v>39</v>
      </c>
      <c r="D6116" s="8">
        <v>-1.8120000000000001</v>
      </c>
    </row>
    <row r="6117" spans="1:4">
      <c r="A6117" t="str">
        <f t="shared" si="103"/>
        <v>895Total Fees</v>
      </c>
      <c r="B6117">
        <v>895</v>
      </c>
      <c r="C6117" s="9" t="s">
        <v>40</v>
      </c>
      <c r="D6117" s="8">
        <v>0</v>
      </c>
    </row>
    <row r="6118" spans="1:4">
      <c r="A6118" t="str">
        <f t="shared" si="103"/>
        <v>895Estimated Strategy Capacity</v>
      </c>
      <c r="B6118">
        <v>895</v>
      </c>
      <c r="C6118" s="9" t="s">
        <v>41</v>
      </c>
      <c r="D6118" s="8">
        <v>160000000</v>
      </c>
    </row>
    <row r="6119" spans="1:4">
      <c r="A6119" t="str">
        <f t="shared" si="103"/>
        <v>896PSR</v>
      </c>
      <c r="B6119">
        <v>896</v>
      </c>
      <c r="C6119" s="9" t="s">
        <v>27</v>
      </c>
      <c r="D6119" s="8">
        <v>1.7690000000000001E-2</v>
      </c>
    </row>
    <row r="6120" spans="1:4">
      <c r="A6120" t="str">
        <f t="shared" si="103"/>
        <v>896Sharpe Ratio</v>
      </c>
      <c r="B6120">
        <v>896</v>
      </c>
      <c r="C6120" s="9" t="s">
        <v>1</v>
      </c>
      <c r="D6120" s="8">
        <v>-1.0509999999999999</v>
      </c>
    </row>
    <row r="6121" spans="1:4">
      <c r="A6121" t="str">
        <f t="shared" si="103"/>
        <v>896Total Trades</v>
      </c>
      <c r="B6121">
        <v>896</v>
      </c>
      <c r="C6121" s="9" t="s">
        <v>28</v>
      </c>
      <c r="D6121" s="8">
        <v>970</v>
      </c>
    </row>
    <row r="6122" spans="1:4">
      <c r="A6122" t="str">
        <f t="shared" si="103"/>
        <v>896Average Win</v>
      </c>
      <c r="B6122">
        <v>896</v>
      </c>
      <c r="C6122" s="9" t="s">
        <v>25</v>
      </c>
      <c r="D6122" s="8">
        <v>5.0000000000000001E-4</v>
      </c>
    </row>
    <row r="6123" spans="1:4">
      <c r="A6123" t="str">
        <f t="shared" si="103"/>
        <v>896Average Loss</v>
      </c>
      <c r="B6123">
        <v>896</v>
      </c>
      <c r="C6123" s="9" t="s">
        <v>29</v>
      </c>
      <c r="D6123" s="8">
        <v>-1.1000000000000001E-3</v>
      </c>
    </row>
    <row r="6124" spans="1:4">
      <c r="A6124" t="str">
        <f t="shared" si="103"/>
        <v>896Compounding Annual Return</v>
      </c>
      <c r="B6124">
        <v>896</v>
      </c>
      <c r="C6124" s="9" t="s">
        <v>30</v>
      </c>
      <c r="D6124" s="8">
        <v>-3.0020000000000002E-2</v>
      </c>
    </row>
    <row r="6125" spans="1:4">
      <c r="A6125" t="str">
        <f t="shared" si="103"/>
        <v>896Drawdown</v>
      </c>
      <c r="B6125">
        <v>896</v>
      </c>
      <c r="C6125" s="9" t="s">
        <v>8</v>
      </c>
      <c r="D6125" s="8">
        <v>2.9000000000000001E-2</v>
      </c>
    </row>
    <row r="6126" spans="1:4">
      <c r="A6126" t="str">
        <f t="shared" si="103"/>
        <v>896Expectancy</v>
      </c>
      <c r="B6126">
        <v>896</v>
      </c>
      <c r="C6126" s="9" t="s">
        <v>31</v>
      </c>
      <c r="D6126" s="8">
        <v>-0.13300000000000001</v>
      </c>
    </row>
    <row r="6127" spans="1:4">
      <c r="A6127" t="str">
        <f t="shared" si="103"/>
        <v>896Net Profit</v>
      </c>
      <c r="B6127">
        <v>896</v>
      </c>
      <c r="C6127" s="9" t="s">
        <v>32</v>
      </c>
      <c r="D6127" s="8">
        <v>-0.02</v>
      </c>
    </row>
    <row r="6128" spans="1:4">
      <c r="A6128" t="str">
        <f t="shared" si="103"/>
        <v>896Loss Rate</v>
      </c>
      <c r="B6128">
        <v>896</v>
      </c>
      <c r="C6128" s="9" t="s">
        <v>33</v>
      </c>
      <c r="D6128" s="8">
        <v>0.41</v>
      </c>
    </row>
    <row r="6129" spans="1:4">
      <c r="A6129" t="str">
        <f t="shared" si="103"/>
        <v>896Win Rate</v>
      </c>
      <c r="B6129">
        <v>896</v>
      </c>
      <c r="C6129" s="9" t="s">
        <v>34</v>
      </c>
      <c r="D6129" s="8">
        <v>0.59</v>
      </c>
    </row>
    <row r="6130" spans="1:4">
      <c r="A6130" t="str">
        <f t="shared" si="103"/>
        <v>896Profit-Loss Ratio</v>
      </c>
      <c r="B6130">
        <v>896</v>
      </c>
      <c r="C6130" s="9" t="s">
        <v>26</v>
      </c>
      <c r="D6130" s="8">
        <v>0.46</v>
      </c>
    </row>
    <row r="6131" spans="1:4">
      <c r="A6131" t="str">
        <f t="shared" si="103"/>
        <v>896Alpha</v>
      </c>
      <c r="B6131">
        <v>896</v>
      </c>
      <c r="C6131" s="9" t="s">
        <v>23</v>
      </c>
      <c r="D6131" s="8">
        <v>-2.1000000000000001E-2</v>
      </c>
    </row>
    <row r="6132" spans="1:4">
      <c r="A6132" t="str">
        <f t="shared" si="103"/>
        <v>896Beta</v>
      </c>
      <c r="B6132">
        <v>896</v>
      </c>
      <c r="C6132" s="9" t="s">
        <v>24</v>
      </c>
      <c r="D6132" s="8">
        <v>-3.0000000000000001E-3</v>
      </c>
    </row>
    <row r="6133" spans="1:4">
      <c r="A6133" t="str">
        <f t="shared" si="103"/>
        <v>896Annual Standard Deviation</v>
      </c>
      <c r="B6133">
        <v>896</v>
      </c>
      <c r="C6133" s="9" t="s">
        <v>35</v>
      </c>
      <c r="D6133" s="8">
        <v>0.02</v>
      </c>
    </row>
    <row r="6134" spans="1:4">
      <c r="A6134" t="str">
        <f t="shared" si="103"/>
        <v>896Annual Variance</v>
      </c>
      <c r="B6134">
        <v>896</v>
      </c>
      <c r="C6134" s="9" t="s">
        <v>36</v>
      </c>
      <c r="D6134" s="8">
        <v>0</v>
      </c>
    </row>
    <row r="6135" spans="1:4">
      <c r="A6135" t="str">
        <f t="shared" si="103"/>
        <v>896Information Ratio</v>
      </c>
      <c r="B6135">
        <v>896</v>
      </c>
      <c r="C6135" s="9" t="s">
        <v>37</v>
      </c>
      <c r="D6135" s="8">
        <v>-1.026</v>
      </c>
    </row>
    <row r="6136" spans="1:4">
      <c r="A6136" t="str">
        <f t="shared" si="103"/>
        <v>896Tracking Error</v>
      </c>
      <c r="B6136">
        <v>896</v>
      </c>
      <c r="C6136" s="9" t="s">
        <v>38</v>
      </c>
      <c r="D6136" s="8">
        <v>7.0000000000000007E-2</v>
      </c>
    </row>
    <row r="6137" spans="1:4">
      <c r="A6137" t="str">
        <f t="shared" si="103"/>
        <v>896Treynor Ratio</v>
      </c>
      <c r="B6137">
        <v>896</v>
      </c>
      <c r="C6137" s="9" t="s">
        <v>39</v>
      </c>
      <c r="D6137" s="8">
        <v>7.6669999999999998</v>
      </c>
    </row>
    <row r="6138" spans="1:4">
      <c r="A6138" t="str">
        <f t="shared" si="103"/>
        <v>896Total Fees</v>
      </c>
      <c r="B6138">
        <v>896</v>
      </c>
      <c r="C6138" s="9" t="s">
        <v>40</v>
      </c>
      <c r="D6138" s="8">
        <v>0</v>
      </c>
    </row>
    <row r="6139" spans="1:4">
      <c r="A6139" t="str">
        <f t="shared" si="103"/>
        <v>896Estimated Strategy Capacity</v>
      </c>
      <c r="B6139">
        <v>896</v>
      </c>
      <c r="C6139" s="9" t="s">
        <v>41</v>
      </c>
      <c r="D6139" s="8">
        <v>19000000</v>
      </c>
    </row>
    <row r="6140" spans="1:4">
      <c r="A6140" t="str">
        <f t="shared" si="103"/>
        <v>897PSR</v>
      </c>
      <c r="B6140">
        <v>897</v>
      </c>
      <c r="C6140" s="9" t="s">
        <v>27</v>
      </c>
      <c r="D6140" s="8">
        <v>6.9999999999999994E-5</v>
      </c>
    </row>
    <row r="6141" spans="1:4">
      <c r="A6141" t="str">
        <f t="shared" si="103"/>
        <v>897Sharpe Ratio</v>
      </c>
      <c r="B6141">
        <v>897</v>
      </c>
      <c r="C6141" s="9" t="s">
        <v>1</v>
      </c>
      <c r="D6141" s="8">
        <v>-2.2749999999999999</v>
      </c>
    </row>
    <row r="6142" spans="1:4">
      <c r="A6142" t="str">
        <f t="shared" si="103"/>
        <v>897Total Trades</v>
      </c>
      <c r="B6142">
        <v>897</v>
      </c>
      <c r="C6142" s="9" t="s">
        <v>28</v>
      </c>
      <c r="D6142" s="8">
        <v>757</v>
      </c>
    </row>
    <row r="6143" spans="1:4">
      <c r="A6143" t="str">
        <f t="shared" si="103"/>
        <v>897Average Win</v>
      </c>
      <c r="B6143">
        <v>897</v>
      </c>
      <c r="C6143" s="9" t="s">
        <v>25</v>
      </c>
      <c r="D6143" s="8">
        <v>5.0000000000000001E-4</v>
      </c>
    </row>
    <row r="6144" spans="1:4">
      <c r="A6144" t="str">
        <f t="shared" si="103"/>
        <v>897Average Loss</v>
      </c>
      <c r="B6144">
        <v>897</v>
      </c>
      <c r="C6144" s="9" t="s">
        <v>29</v>
      </c>
      <c r="D6144" s="8">
        <v>-1.9E-3</v>
      </c>
    </row>
    <row r="6145" spans="1:4">
      <c r="A6145" t="str">
        <f t="shared" si="103"/>
        <v>897Compounding Annual Return</v>
      </c>
      <c r="B6145">
        <v>897</v>
      </c>
      <c r="C6145" s="9" t="s">
        <v>30</v>
      </c>
      <c r="D6145" s="8">
        <v>-8.7809999999999999E-2</v>
      </c>
    </row>
    <row r="6146" spans="1:4">
      <c r="A6146" t="str">
        <f t="shared" si="103"/>
        <v>897Drawdown</v>
      </c>
      <c r="B6146">
        <v>897</v>
      </c>
      <c r="C6146" s="9" t="s">
        <v>8</v>
      </c>
      <c r="D6146" s="8">
        <v>6.5000000000000002E-2</v>
      </c>
    </row>
    <row r="6147" spans="1:4">
      <c r="A6147" t="str">
        <f t="shared" si="103"/>
        <v>897Expectancy</v>
      </c>
      <c r="B6147">
        <v>897</v>
      </c>
      <c r="C6147" s="9" t="s">
        <v>31</v>
      </c>
      <c r="D6147" s="8">
        <v>-0.24199999999999999</v>
      </c>
    </row>
    <row r="6148" spans="1:4">
      <c r="A6148" t="str">
        <f t="shared" si="103"/>
        <v>897Net Profit</v>
      </c>
      <c r="B6148">
        <v>897</v>
      </c>
      <c r="C6148" s="9" t="s">
        <v>32</v>
      </c>
      <c r="D6148" s="8">
        <v>-5.9110000000000003E-2</v>
      </c>
    </row>
    <row r="6149" spans="1:4">
      <c r="A6149" t="str">
        <f t="shared" si="103"/>
        <v>897Loss Rate</v>
      </c>
      <c r="B6149">
        <v>897</v>
      </c>
      <c r="C6149" s="9" t="s">
        <v>33</v>
      </c>
      <c r="D6149" s="8">
        <v>0.39</v>
      </c>
    </row>
    <row r="6150" spans="1:4">
      <c r="A6150" t="str">
        <f t="shared" si="103"/>
        <v>897Win Rate</v>
      </c>
      <c r="B6150">
        <v>897</v>
      </c>
      <c r="C6150" s="9" t="s">
        <v>34</v>
      </c>
      <c r="D6150" s="8">
        <v>0.61</v>
      </c>
    </row>
    <row r="6151" spans="1:4">
      <c r="A6151" t="str">
        <f t="shared" si="103"/>
        <v>897Profit-Loss Ratio</v>
      </c>
      <c r="B6151">
        <v>897</v>
      </c>
      <c r="C6151" s="9" t="s">
        <v>26</v>
      </c>
      <c r="D6151" s="8">
        <v>0.24</v>
      </c>
    </row>
    <row r="6152" spans="1:4">
      <c r="A6152" t="str">
        <f t="shared" si="103"/>
        <v>897Alpha</v>
      </c>
      <c r="B6152">
        <v>897</v>
      </c>
      <c r="C6152" s="9" t="s">
        <v>23</v>
      </c>
      <c r="D6152" s="8">
        <v>-5.8999999999999997E-2</v>
      </c>
    </row>
    <row r="6153" spans="1:4">
      <c r="A6153" t="str">
        <f t="shared" si="103"/>
        <v>897Beta</v>
      </c>
      <c r="B6153">
        <v>897</v>
      </c>
      <c r="C6153" s="9" t="s">
        <v>24</v>
      </c>
      <c r="D6153" s="8">
        <v>-4.7E-2</v>
      </c>
    </row>
    <row r="6154" spans="1:4">
      <c r="A6154" t="str">
        <f t="shared" si="103"/>
        <v>897Annual Standard Deviation</v>
      </c>
      <c r="B6154">
        <v>897</v>
      </c>
      <c r="C6154" s="9" t="s">
        <v>35</v>
      </c>
      <c r="D6154" s="8">
        <v>2.7E-2</v>
      </c>
    </row>
    <row r="6155" spans="1:4">
      <c r="A6155" t="str">
        <f t="shared" si="103"/>
        <v>897Annual Variance</v>
      </c>
      <c r="B6155">
        <v>897</v>
      </c>
      <c r="C6155" s="9" t="s">
        <v>36</v>
      </c>
      <c r="D6155" s="8">
        <v>1E-3</v>
      </c>
    </row>
    <row r="6156" spans="1:4">
      <c r="A6156" t="str">
        <f t="shared" si="103"/>
        <v>897Information Ratio</v>
      </c>
      <c r="B6156">
        <v>897</v>
      </c>
      <c r="C6156" s="9" t="s">
        <v>37</v>
      </c>
      <c r="D6156" s="8">
        <v>-1.4950000000000001</v>
      </c>
    </row>
    <row r="6157" spans="1:4">
      <c r="A6157" t="str">
        <f t="shared" si="103"/>
        <v>897Tracking Error</v>
      </c>
      <c r="B6157">
        <v>897</v>
      </c>
      <c r="C6157" s="9" t="s">
        <v>38</v>
      </c>
      <c r="D6157" s="8">
        <v>7.4999999999999997E-2</v>
      </c>
    </row>
    <row r="6158" spans="1:4">
      <c r="A6158" t="str">
        <f t="shared" si="103"/>
        <v>897Treynor Ratio</v>
      </c>
      <c r="B6158">
        <v>897</v>
      </c>
      <c r="C6158" s="9" t="s">
        <v>39</v>
      </c>
      <c r="D6158" s="8">
        <v>1.3</v>
      </c>
    </row>
    <row r="6159" spans="1:4">
      <c r="A6159" t="str">
        <f t="shared" si="103"/>
        <v>897Total Fees</v>
      </c>
      <c r="B6159">
        <v>897</v>
      </c>
      <c r="C6159" s="9" t="s">
        <v>40</v>
      </c>
      <c r="D6159" s="8">
        <v>0</v>
      </c>
    </row>
    <row r="6160" spans="1:4">
      <c r="A6160" t="str">
        <f t="shared" si="103"/>
        <v>897Estimated Strategy Capacity</v>
      </c>
      <c r="B6160">
        <v>897</v>
      </c>
      <c r="C6160" s="9" t="s">
        <v>41</v>
      </c>
      <c r="D6160" s="8">
        <v>6700000</v>
      </c>
    </row>
    <row r="6161" spans="1:4">
      <c r="A6161" t="str">
        <f t="shared" si="103"/>
        <v>898PSR</v>
      </c>
      <c r="B6161">
        <v>898</v>
      </c>
      <c r="C6161" s="9" t="s">
        <v>27</v>
      </c>
      <c r="D6161" s="8">
        <v>5.3460000000000001E-2</v>
      </c>
    </row>
    <row r="6162" spans="1:4">
      <c r="A6162" t="str">
        <f t="shared" si="103"/>
        <v>898Sharpe Ratio</v>
      </c>
      <c r="B6162">
        <v>898</v>
      </c>
      <c r="C6162" s="9" t="s">
        <v>1</v>
      </c>
      <c r="D6162" s="8">
        <v>-0.70599999999999996</v>
      </c>
    </row>
    <row r="6163" spans="1:4">
      <c r="A6163" t="str">
        <f t="shared" si="103"/>
        <v>898Total Trades</v>
      </c>
      <c r="B6163">
        <v>898</v>
      </c>
      <c r="C6163" s="9" t="s">
        <v>28</v>
      </c>
      <c r="D6163" s="8">
        <v>806</v>
      </c>
    </row>
    <row r="6164" spans="1:4">
      <c r="A6164" t="str">
        <f t="shared" si="103"/>
        <v>898Average Win</v>
      </c>
      <c r="B6164">
        <v>898</v>
      </c>
      <c r="C6164" s="9" t="s">
        <v>25</v>
      </c>
      <c r="D6164" s="8">
        <v>1E-4</v>
      </c>
    </row>
    <row r="6165" spans="1:4">
      <c r="A6165" t="str">
        <f t="shared" si="103"/>
        <v>898Average Loss</v>
      </c>
      <c r="B6165">
        <v>898</v>
      </c>
      <c r="C6165" s="9" t="s">
        <v>29</v>
      </c>
      <c r="D6165" s="8">
        <v>-2.9999999999999997E-4</v>
      </c>
    </row>
    <row r="6166" spans="1:4">
      <c r="A6166" t="str">
        <f t="shared" si="103"/>
        <v>898Compounding Annual Return</v>
      </c>
      <c r="B6166">
        <v>898</v>
      </c>
      <c r="C6166" s="9" t="s">
        <v>30</v>
      </c>
      <c r="D6166" s="8">
        <v>-6.5700000000000003E-3</v>
      </c>
    </row>
    <row r="6167" spans="1:4">
      <c r="A6167" t="str">
        <f t="shared" si="103"/>
        <v>898Drawdown</v>
      </c>
      <c r="B6167">
        <v>898</v>
      </c>
      <c r="C6167" s="9" t="s">
        <v>8</v>
      </c>
      <c r="D6167" s="8">
        <v>8.0000000000000002E-3</v>
      </c>
    </row>
    <row r="6168" spans="1:4">
      <c r="A6168" t="str">
        <f t="shared" si="103"/>
        <v>898Expectancy</v>
      </c>
      <c r="B6168">
        <v>898</v>
      </c>
      <c r="C6168" s="9" t="s">
        <v>31</v>
      </c>
      <c r="D6168" s="8">
        <v>-0.11899999999999999</v>
      </c>
    </row>
    <row r="6169" spans="1:4">
      <c r="A6169" t="str">
        <f t="shared" si="103"/>
        <v>898Net Profit</v>
      </c>
      <c r="B6169">
        <v>898</v>
      </c>
      <c r="C6169" s="9" t="s">
        <v>32</v>
      </c>
      <c r="D6169" s="8">
        <v>-4.3600000000000002E-3</v>
      </c>
    </row>
    <row r="6170" spans="1:4">
      <c r="A6170" t="str">
        <f t="shared" si="103"/>
        <v>898Loss Rate</v>
      </c>
      <c r="B6170">
        <v>898</v>
      </c>
      <c r="C6170" s="9" t="s">
        <v>33</v>
      </c>
      <c r="D6170" s="8">
        <v>0.36</v>
      </c>
    </row>
    <row r="6171" spans="1:4">
      <c r="A6171" t="str">
        <f t="shared" si="103"/>
        <v>898Win Rate</v>
      </c>
      <c r="B6171">
        <v>898</v>
      </c>
      <c r="C6171" s="9" t="s">
        <v>34</v>
      </c>
      <c r="D6171" s="8">
        <v>0.64</v>
      </c>
    </row>
    <row r="6172" spans="1:4">
      <c r="A6172" t="str">
        <f t="shared" si="103"/>
        <v>898Profit-Loss Ratio</v>
      </c>
      <c r="B6172">
        <v>898</v>
      </c>
      <c r="C6172" s="9" t="s">
        <v>26</v>
      </c>
      <c r="D6172" s="8">
        <v>0.37</v>
      </c>
    </row>
    <row r="6173" spans="1:4">
      <c r="A6173" t="str">
        <f t="shared" si="103"/>
        <v>898Alpha</v>
      </c>
      <c r="B6173">
        <v>898</v>
      </c>
      <c r="C6173" s="9" t="s">
        <v>23</v>
      </c>
      <c r="D6173" s="8">
        <v>-4.0000000000000001E-3</v>
      </c>
    </row>
    <row r="6174" spans="1:4">
      <c r="A6174" t="str">
        <f t="shared" si="103"/>
        <v>898Beta</v>
      </c>
      <c r="B6174">
        <v>898</v>
      </c>
      <c r="C6174" s="9" t="s">
        <v>24</v>
      </c>
      <c r="D6174" s="8">
        <v>-3.0000000000000001E-3</v>
      </c>
    </row>
    <row r="6175" spans="1:4">
      <c r="A6175" t="str">
        <f t="shared" si="103"/>
        <v>898Annual Standard Deviation</v>
      </c>
      <c r="B6175">
        <v>898</v>
      </c>
      <c r="C6175" s="9" t="s">
        <v>35</v>
      </c>
      <c r="D6175" s="8">
        <v>6.0000000000000001E-3</v>
      </c>
    </row>
    <row r="6176" spans="1:4">
      <c r="A6176" t="str">
        <f t="shared" si="103"/>
        <v>898Annual Variance</v>
      </c>
      <c r="B6176">
        <v>898</v>
      </c>
      <c r="C6176" s="9" t="s">
        <v>36</v>
      </c>
      <c r="D6176" s="8">
        <v>0</v>
      </c>
    </row>
    <row r="6177" spans="1:4">
      <c r="A6177" t="str">
        <f t="shared" si="103"/>
        <v>898Information Ratio</v>
      </c>
      <c r="B6177">
        <v>898</v>
      </c>
      <c r="C6177" s="9" t="s">
        <v>37</v>
      </c>
      <c r="D6177" s="8">
        <v>-0.82499999999999996</v>
      </c>
    </row>
    <row r="6178" spans="1:4">
      <c r="A6178" t="str">
        <f t="shared" ref="A6178:A6241" si="104">B6178&amp;C6178</f>
        <v>898Tracking Error</v>
      </c>
      <c r="B6178">
        <v>898</v>
      </c>
      <c r="C6178" s="9" t="s">
        <v>38</v>
      </c>
      <c r="D6178" s="8">
        <v>6.8000000000000005E-2</v>
      </c>
    </row>
    <row r="6179" spans="1:4">
      <c r="A6179" t="str">
        <f t="shared" si="104"/>
        <v>898Treynor Ratio</v>
      </c>
      <c r="B6179">
        <v>898</v>
      </c>
      <c r="C6179" s="9" t="s">
        <v>39</v>
      </c>
      <c r="D6179" s="8">
        <v>1.4570000000000001</v>
      </c>
    </row>
    <row r="6180" spans="1:4">
      <c r="A6180" t="str">
        <f t="shared" si="104"/>
        <v>898Total Fees</v>
      </c>
      <c r="B6180">
        <v>898</v>
      </c>
      <c r="C6180" s="9" t="s">
        <v>40</v>
      </c>
      <c r="D6180" s="8">
        <v>0</v>
      </c>
    </row>
    <row r="6181" spans="1:4">
      <c r="A6181" t="str">
        <f t="shared" si="104"/>
        <v>898Estimated Strategy Capacity</v>
      </c>
      <c r="B6181">
        <v>898</v>
      </c>
      <c r="C6181" s="9" t="s">
        <v>41</v>
      </c>
      <c r="D6181" s="8">
        <v>28000000</v>
      </c>
    </row>
    <row r="6182" spans="1:4">
      <c r="A6182" t="str">
        <f t="shared" si="104"/>
        <v>899PSR</v>
      </c>
      <c r="B6182">
        <v>899</v>
      </c>
      <c r="C6182" s="9" t="s">
        <v>27</v>
      </c>
      <c r="D6182" s="8">
        <v>5.6699999999999997E-3</v>
      </c>
    </row>
    <row r="6183" spans="1:4">
      <c r="A6183" t="str">
        <f t="shared" si="104"/>
        <v>899Sharpe Ratio</v>
      </c>
      <c r="B6183">
        <v>899</v>
      </c>
      <c r="C6183" s="9" t="s">
        <v>1</v>
      </c>
      <c r="D6183" s="8">
        <v>-1.343</v>
      </c>
    </row>
    <row r="6184" spans="1:4">
      <c r="A6184" t="str">
        <f t="shared" si="104"/>
        <v>899Total Trades</v>
      </c>
      <c r="B6184">
        <v>899</v>
      </c>
      <c r="C6184" s="9" t="s">
        <v>28</v>
      </c>
      <c r="D6184" s="8">
        <v>655</v>
      </c>
    </row>
    <row r="6185" spans="1:4">
      <c r="A6185" t="str">
        <f t="shared" si="104"/>
        <v>899Average Win</v>
      </c>
      <c r="B6185">
        <v>899</v>
      </c>
      <c r="C6185" s="9" t="s">
        <v>25</v>
      </c>
      <c r="D6185" s="8">
        <v>4.0000000000000002E-4</v>
      </c>
    </row>
    <row r="6186" spans="1:4">
      <c r="A6186" t="str">
        <f t="shared" si="104"/>
        <v>899Average Loss</v>
      </c>
      <c r="B6186">
        <v>899</v>
      </c>
      <c r="C6186" s="9" t="s">
        <v>29</v>
      </c>
      <c r="D6186" s="8">
        <v>-1.6000000000000001E-3</v>
      </c>
    </row>
    <row r="6187" spans="1:4">
      <c r="A6187" t="str">
        <f t="shared" si="104"/>
        <v>899Compounding Annual Return</v>
      </c>
      <c r="B6187">
        <v>899</v>
      </c>
      <c r="C6187" s="9" t="s">
        <v>30</v>
      </c>
      <c r="D6187" s="8">
        <v>-4.6240000000000003E-2</v>
      </c>
    </row>
    <row r="6188" spans="1:4">
      <c r="A6188" t="str">
        <f t="shared" si="104"/>
        <v>899Drawdown</v>
      </c>
      <c r="B6188">
        <v>899</v>
      </c>
      <c r="C6188" s="9" t="s">
        <v>8</v>
      </c>
      <c r="D6188" s="8">
        <v>3.4000000000000002E-2</v>
      </c>
    </row>
    <row r="6189" spans="1:4">
      <c r="A6189" t="str">
        <f t="shared" si="104"/>
        <v>899Expectancy</v>
      </c>
      <c r="B6189">
        <v>899</v>
      </c>
      <c r="C6189" s="9" t="s">
        <v>31</v>
      </c>
      <c r="D6189" s="8">
        <v>-0.17599999999999999</v>
      </c>
    </row>
    <row r="6190" spans="1:4">
      <c r="A6190" t="str">
        <f t="shared" si="104"/>
        <v>899Net Profit</v>
      </c>
      <c r="B6190">
        <v>899</v>
      </c>
      <c r="C6190" s="9" t="s">
        <v>32</v>
      </c>
      <c r="D6190" s="8">
        <v>-3.0890000000000001E-2</v>
      </c>
    </row>
    <row r="6191" spans="1:4">
      <c r="A6191" t="str">
        <f t="shared" si="104"/>
        <v>899Loss Rate</v>
      </c>
      <c r="B6191">
        <v>899</v>
      </c>
      <c r="C6191" s="9" t="s">
        <v>33</v>
      </c>
      <c r="D6191" s="8">
        <v>0.34</v>
      </c>
    </row>
    <row r="6192" spans="1:4">
      <c r="A6192" t="str">
        <f t="shared" si="104"/>
        <v>899Win Rate</v>
      </c>
      <c r="B6192">
        <v>899</v>
      </c>
      <c r="C6192" s="9" t="s">
        <v>34</v>
      </c>
      <c r="D6192" s="8">
        <v>0.66</v>
      </c>
    </row>
    <row r="6193" spans="1:4">
      <c r="A6193" t="str">
        <f t="shared" si="104"/>
        <v>899Profit-Loss Ratio</v>
      </c>
      <c r="B6193">
        <v>899</v>
      </c>
      <c r="C6193" s="9" t="s">
        <v>26</v>
      </c>
      <c r="D6193" s="8">
        <v>0.25</v>
      </c>
    </row>
    <row r="6194" spans="1:4">
      <c r="A6194" t="str">
        <f t="shared" si="104"/>
        <v>899Alpha</v>
      </c>
      <c r="B6194">
        <v>899</v>
      </c>
      <c r="C6194" s="9" t="s">
        <v>23</v>
      </c>
      <c r="D6194" s="8">
        <v>-3.1E-2</v>
      </c>
    </row>
    <row r="6195" spans="1:4">
      <c r="A6195" t="str">
        <f t="shared" si="104"/>
        <v>899Beta</v>
      </c>
      <c r="B6195">
        <v>899</v>
      </c>
      <c r="C6195" s="9" t="s">
        <v>24</v>
      </c>
      <c r="D6195" s="8">
        <v>-2.3E-2</v>
      </c>
    </row>
    <row r="6196" spans="1:4">
      <c r="A6196" t="str">
        <f t="shared" si="104"/>
        <v>899Annual Standard Deviation</v>
      </c>
      <c r="B6196">
        <v>899</v>
      </c>
      <c r="C6196" s="9" t="s">
        <v>35</v>
      </c>
      <c r="D6196" s="8">
        <v>2.4E-2</v>
      </c>
    </row>
    <row r="6197" spans="1:4">
      <c r="A6197" t="str">
        <f t="shared" si="104"/>
        <v>899Annual Variance</v>
      </c>
      <c r="B6197">
        <v>899</v>
      </c>
      <c r="C6197" s="9" t="s">
        <v>36</v>
      </c>
      <c r="D6197" s="8">
        <v>1E-3</v>
      </c>
    </row>
    <row r="6198" spans="1:4">
      <c r="A6198" t="str">
        <f t="shared" si="104"/>
        <v>899Information Ratio</v>
      </c>
      <c r="B6198">
        <v>899</v>
      </c>
      <c r="C6198" s="9" t="s">
        <v>37</v>
      </c>
      <c r="D6198" s="8">
        <v>-1.145</v>
      </c>
    </row>
    <row r="6199" spans="1:4">
      <c r="A6199" t="str">
        <f t="shared" si="104"/>
        <v>899Tracking Error</v>
      </c>
      <c r="B6199">
        <v>899</v>
      </c>
      <c r="C6199" s="9" t="s">
        <v>38</v>
      </c>
      <c r="D6199" s="8">
        <v>7.2999999999999995E-2</v>
      </c>
    </row>
    <row r="6200" spans="1:4">
      <c r="A6200" t="str">
        <f t="shared" si="104"/>
        <v>899Treynor Ratio</v>
      </c>
      <c r="B6200">
        <v>899</v>
      </c>
      <c r="C6200" s="9" t="s">
        <v>39</v>
      </c>
      <c r="D6200" s="8">
        <v>1.4059999999999999</v>
      </c>
    </row>
    <row r="6201" spans="1:4">
      <c r="A6201" t="str">
        <f t="shared" si="104"/>
        <v>899Total Fees</v>
      </c>
      <c r="B6201">
        <v>899</v>
      </c>
      <c r="C6201" s="9" t="s">
        <v>40</v>
      </c>
      <c r="D6201" s="8">
        <v>0</v>
      </c>
    </row>
    <row r="6202" spans="1:4">
      <c r="A6202" t="str">
        <f t="shared" si="104"/>
        <v>899Estimated Strategy Capacity</v>
      </c>
      <c r="B6202">
        <v>899</v>
      </c>
      <c r="C6202" s="9" t="s">
        <v>41</v>
      </c>
      <c r="D6202" s="8">
        <v>6500000</v>
      </c>
    </row>
    <row r="6203" spans="1:4">
      <c r="A6203" t="str">
        <f t="shared" si="104"/>
        <v>900PSR</v>
      </c>
      <c r="B6203">
        <v>900</v>
      </c>
      <c r="C6203" s="9" t="s">
        <v>27</v>
      </c>
      <c r="D6203" s="8">
        <v>1.086E-2</v>
      </c>
    </row>
    <row r="6204" spans="1:4">
      <c r="A6204" t="str">
        <f t="shared" si="104"/>
        <v>900Sharpe Ratio</v>
      </c>
      <c r="B6204">
        <v>900</v>
      </c>
      <c r="C6204" s="9" t="s">
        <v>1</v>
      </c>
      <c r="D6204" s="8">
        <v>-1.149</v>
      </c>
    </row>
    <row r="6205" spans="1:4">
      <c r="A6205" t="str">
        <f t="shared" si="104"/>
        <v>900Total Trades</v>
      </c>
      <c r="B6205">
        <v>900</v>
      </c>
      <c r="C6205" s="9" t="s">
        <v>28</v>
      </c>
      <c r="D6205" s="8">
        <v>503</v>
      </c>
    </row>
    <row r="6206" spans="1:4">
      <c r="A6206" t="str">
        <f t="shared" si="104"/>
        <v>900Average Win</v>
      </c>
      <c r="B6206">
        <v>900</v>
      </c>
      <c r="C6206" s="9" t="s">
        <v>25</v>
      </c>
      <c r="D6206" s="8">
        <v>5.9999999999999995E-4</v>
      </c>
    </row>
    <row r="6207" spans="1:4">
      <c r="A6207" t="str">
        <f t="shared" si="104"/>
        <v>900Average Loss</v>
      </c>
      <c r="B6207">
        <v>900</v>
      </c>
      <c r="C6207" s="9" t="s">
        <v>29</v>
      </c>
      <c r="D6207" s="8">
        <v>-2E-3</v>
      </c>
    </row>
    <row r="6208" spans="1:4">
      <c r="A6208" t="str">
        <f t="shared" si="104"/>
        <v>900Compounding Annual Return</v>
      </c>
      <c r="B6208">
        <v>900</v>
      </c>
      <c r="C6208" s="9" t="s">
        <v>30</v>
      </c>
      <c r="D6208" s="8">
        <v>-3.8080000000000003E-2</v>
      </c>
    </row>
    <row r="6209" spans="1:4">
      <c r="A6209" t="str">
        <f t="shared" si="104"/>
        <v>900Drawdown</v>
      </c>
      <c r="B6209">
        <v>900</v>
      </c>
      <c r="C6209" s="9" t="s">
        <v>8</v>
      </c>
      <c r="D6209" s="8">
        <v>3.2000000000000001E-2</v>
      </c>
    </row>
    <row r="6210" spans="1:4">
      <c r="A6210" t="str">
        <f t="shared" si="104"/>
        <v>900Expectancy</v>
      </c>
      <c r="B6210">
        <v>900</v>
      </c>
      <c r="C6210" s="9" t="s">
        <v>31</v>
      </c>
      <c r="D6210" s="8">
        <v>-0.13200000000000001</v>
      </c>
    </row>
    <row r="6211" spans="1:4">
      <c r="A6211" t="str">
        <f t="shared" si="104"/>
        <v>900Net Profit</v>
      </c>
      <c r="B6211">
        <v>900</v>
      </c>
      <c r="C6211" s="9" t="s">
        <v>32</v>
      </c>
      <c r="D6211" s="8">
        <v>-2.5409999999999999E-2</v>
      </c>
    </row>
    <row r="6212" spans="1:4">
      <c r="A6212" t="str">
        <f t="shared" si="104"/>
        <v>900Loss Rate</v>
      </c>
      <c r="B6212">
        <v>900</v>
      </c>
      <c r="C6212" s="9" t="s">
        <v>33</v>
      </c>
      <c r="D6212" s="8">
        <v>0.33</v>
      </c>
    </row>
    <row r="6213" spans="1:4">
      <c r="A6213" t="str">
        <f t="shared" si="104"/>
        <v>900Win Rate</v>
      </c>
      <c r="B6213">
        <v>900</v>
      </c>
      <c r="C6213" s="9" t="s">
        <v>34</v>
      </c>
      <c r="D6213" s="8">
        <v>0.67</v>
      </c>
    </row>
    <row r="6214" spans="1:4">
      <c r="A6214" t="str">
        <f t="shared" si="104"/>
        <v>900Profit-Loss Ratio</v>
      </c>
      <c r="B6214">
        <v>900</v>
      </c>
      <c r="C6214" s="9" t="s">
        <v>26</v>
      </c>
      <c r="D6214" s="8">
        <v>0.3</v>
      </c>
    </row>
    <row r="6215" spans="1:4">
      <c r="A6215" t="str">
        <f t="shared" si="104"/>
        <v>900Alpha</v>
      </c>
      <c r="B6215">
        <v>900</v>
      </c>
      <c r="C6215" s="9" t="s">
        <v>23</v>
      </c>
      <c r="D6215" s="8">
        <v>-2.5000000000000001E-2</v>
      </c>
    </row>
    <row r="6216" spans="1:4">
      <c r="A6216" t="str">
        <f t="shared" si="104"/>
        <v>900Beta</v>
      </c>
      <c r="B6216">
        <v>900</v>
      </c>
      <c r="C6216" s="9" t="s">
        <v>24</v>
      </c>
      <c r="D6216" s="8">
        <v>-1.9E-2</v>
      </c>
    </row>
    <row r="6217" spans="1:4">
      <c r="A6217" t="str">
        <f t="shared" si="104"/>
        <v>900Annual Standard Deviation</v>
      </c>
      <c r="B6217">
        <v>900</v>
      </c>
      <c r="C6217" s="9" t="s">
        <v>35</v>
      </c>
      <c r="D6217" s="8">
        <v>2.3E-2</v>
      </c>
    </row>
    <row r="6218" spans="1:4">
      <c r="A6218" t="str">
        <f t="shared" si="104"/>
        <v>900Annual Variance</v>
      </c>
      <c r="B6218">
        <v>900</v>
      </c>
      <c r="C6218" s="9" t="s">
        <v>36</v>
      </c>
      <c r="D6218" s="8">
        <v>1E-3</v>
      </c>
    </row>
    <row r="6219" spans="1:4">
      <c r="A6219" t="str">
        <f t="shared" si="104"/>
        <v>900Information Ratio</v>
      </c>
      <c r="B6219">
        <v>900</v>
      </c>
      <c r="C6219" s="9" t="s">
        <v>37</v>
      </c>
      <c r="D6219" s="8">
        <v>-1.0840000000000001</v>
      </c>
    </row>
    <row r="6220" spans="1:4">
      <c r="A6220" t="str">
        <f t="shared" si="104"/>
        <v>900Tracking Error</v>
      </c>
      <c r="B6220">
        <v>900</v>
      </c>
      <c r="C6220" s="9" t="s">
        <v>38</v>
      </c>
      <c r="D6220" s="8">
        <v>7.1999999999999995E-2</v>
      </c>
    </row>
    <row r="6221" spans="1:4">
      <c r="A6221" t="str">
        <f t="shared" si="104"/>
        <v>900Treynor Ratio</v>
      </c>
      <c r="B6221">
        <v>900</v>
      </c>
      <c r="C6221" s="9" t="s">
        <v>39</v>
      </c>
      <c r="D6221" s="8">
        <v>1.385</v>
      </c>
    </row>
    <row r="6222" spans="1:4">
      <c r="A6222" t="str">
        <f t="shared" si="104"/>
        <v>900Total Fees</v>
      </c>
      <c r="B6222">
        <v>900</v>
      </c>
      <c r="C6222" s="9" t="s">
        <v>40</v>
      </c>
      <c r="D6222" s="8">
        <v>0</v>
      </c>
    </row>
    <row r="6223" spans="1:4">
      <c r="A6223" t="str">
        <f t="shared" si="104"/>
        <v>900Estimated Strategy Capacity</v>
      </c>
      <c r="B6223">
        <v>900</v>
      </c>
      <c r="C6223" s="9" t="s">
        <v>41</v>
      </c>
      <c r="D6223" s="8">
        <v>6400000</v>
      </c>
    </row>
    <row r="6224" spans="1:4">
      <c r="A6224" t="str">
        <f t="shared" si="104"/>
        <v>919PSR</v>
      </c>
      <c r="B6224">
        <v>919</v>
      </c>
      <c r="C6224" s="9" t="s">
        <v>27</v>
      </c>
      <c r="D6224" s="8">
        <v>0.12928999999999999</v>
      </c>
    </row>
    <row r="6225" spans="1:4">
      <c r="A6225" t="str">
        <f t="shared" si="104"/>
        <v>919Sharpe Ratio</v>
      </c>
      <c r="B6225">
        <v>919</v>
      </c>
      <c r="C6225" s="9" t="s">
        <v>1</v>
      </c>
      <c r="D6225" s="8">
        <v>-0.16</v>
      </c>
    </row>
    <row r="6226" spans="1:4">
      <c r="A6226" t="str">
        <f t="shared" si="104"/>
        <v>919Total Trades</v>
      </c>
      <c r="B6226">
        <v>919</v>
      </c>
      <c r="C6226" s="9" t="s">
        <v>28</v>
      </c>
      <c r="D6226" s="8">
        <v>1771</v>
      </c>
    </row>
    <row r="6227" spans="1:4">
      <c r="A6227" t="str">
        <f t="shared" si="104"/>
        <v>919Average Win</v>
      </c>
      <c r="B6227">
        <v>919</v>
      </c>
      <c r="C6227" s="9" t="s">
        <v>25</v>
      </c>
      <c r="D6227" s="8">
        <v>4.0000000000000002E-4</v>
      </c>
    </row>
    <row r="6228" spans="1:4">
      <c r="A6228" t="str">
        <f t="shared" si="104"/>
        <v>919Average Loss</v>
      </c>
      <c r="B6228">
        <v>919</v>
      </c>
      <c r="C6228" s="9" t="s">
        <v>29</v>
      </c>
      <c r="D6228" s="8">
        <v>-8.0000000000000004E-4</v>
      </c>
    </row>
    <row r="6229" spans="1:4">
      <c r="A6229" t="str">
        <f t="shared" si="104"/>
        <v>919Compounding Annual Return</v>
      </c>
      <c r="B6229">
        <v>919</v>
      </c>
      <c r="C6229" s="9" t="s">
        <v>30</v>
      </c>
      <c r="D6229" s="8">
        <v>-3.0400000000000002E-3</v>
      </c>
    </row>
    <row r="6230" spans="1:4">
      <c r="A6230" t="str">
        <f t="shared" si="104"/>
        <v>919Drawdown</v>
      </c>
      <c r="B6230">
        <v>919</v>
      </c>
      <c r="C6230" s="9" t="s">
        <v>8</v>
      </c>
      <c r="D6230" s="8">
        <v>1.7000000000000001E-2</v>
      </c>
    </row>
    <row r="6231" spans="1:4">
      <c r="A6231" t="str">
        <f t="shared" si="104"/>
        <v>919Expectancy</v>
      </c>
      <c r="B6231">
        <v>919</v>
      </c>
      <c r="C6231" s="9" t="s">
        <v>31</v>
      </c>
      <c r="D6231" s="8">
        <v>-2.1000000000000001E-2</v>
      </c>
    </row>
    <row r="6232" spans="1:4">
      <c r="A6232" t="str">
        <f t="shared" si="104"/>
        <v>919Net Profit</v>
      </c>
      <c r="B6232">
        <v>919</v>
      </c>
      <c r="C6232" s="9" t="s">
        <v>32</v>
      </c>
      <c r="D6232" s="8">
        <v>-2.0100000000000001E-3</v>
      </c>
    </row>
    <row r="6233" spans="1:4">
      <c r="A6233" t="str">
        <f t="shared" si="104"/>
        <v>919Loss Rate</v>
      </c>
      <c r="B6233">
        <v>919</v>
      </c>
      <c r="C6233" s="9" t="s">
        <v>33</v>
      </c>
      <c r="D6233" s="8">
        <v>0.36</v>
      </c>
    </row>
    <row r="6234" spans="1:4">
      <c r="A6234" t="str">
        <f t="shared" si="104"/>
        <v>919Win Rate</v>
      </c>
      <c r="B6234">
        <v>919</v>
      </c>
      <c r="C6234" s="9" t="s">
        <v>34</v>
      </c>
      <c r="D6234" s="8">
        <v>0.64</v>
      </c>
    </row>
    <row r="6235" spans="1:4">
      <c r="A6235" t="str">
        <f t="shared" si="104"/>
        <v>919Profit-Loss Ratio</v>
      </c>
      <c r="B6235">
        <v>919</v>
      </c>
      <c r="C6235" s="9" t="s">
        <v>26</v>
      </c>
      <c r="D6235" s="8">
        <v>0.53</v>
      </c>
    </row>
    <row r="6236" spans="1:4">
      <c r="A6236" t="str">
        <f t="shared" si="104"/>
        <v>919Alpha</v>
      </c>
      <c r="B6236">
        <v>919</v>
      </c>
      <c r="C6236" s="9" t="s">
        <v>23</v>
      </c>
      <c r="D6236" s="8">
        <v>-2E-3</v>
      </c>
    </row>
    <row r="6237" spans="1:4">
      <c r="A6237" t="str">
        <f t="shared" si="104"/>
        <v>919Beta</v>
      </c>
      <c r="B6237">
        <v>919</v>
      </c>
      <c r="C6237" s="9" t="s">
        <v>24</v>
      </c>
      <c r="D6237" s="8">
        <v>-7.0000000000000001E-3</v>
      </c>
    </row>
    <row r="6238" spans="1:4">
      <c r="A6238" t="str">
        <f t="shared" si="104"/>
        <v>919Annual Standard Deviation</v>
      </c>
      <c r="B6238">
        <v>919</v>
      </c>
      <c r="C6238" s="9" t="s">
        <v>35</v>
      </c>
      <c r="D6238" s="8">
        <v>1.2999999999999999E-2</v>
      </c>
    </row>
    <row r="6239" spans="1:4">
      <c r="A6239" t="str">
        <f t="shared" si="104"/>
        <v>919Annual Variance</v>
      </c>
      <c r="B6239">
        <v>919</v>
      </c>
      <c r="C6239" s="9" t="s">
        <v>36</v>
      </c>
      <c r="D6239" s="8">
        <v>0</v>
      </c>
    </row>
    <row r="6240" spans="1:4">
      <c r="A6240" t="str">
        <f t="shared" si="104"/>
        <v>919Information Ratio</v>
      </c>
      <c r="B6240">
        <v>919</v>
      </c>
      <c r="C6240" s="9" t="s">
        <v>37</v>
      </c>
      <c r="D6240" s="8">
        <v>-0.77600000000000002</v>
      </c>
    </row>
    <row r="6241" spans="1:4">
      <c r="A6241" t="str">
        <f t="shared" si="104"/>
        <v>919Tracking Error</v>
      </c>
      <c r="B6241">
        <v>919</v>
      </c>
      <c r="C6241" s="9" t="s">
        <v>38</v>
      </c>
      <c r="D6241" s="8">
        <v>6.9000000000000006E-2</v>
      </c>
    </row>
    <row r="6242" spans="1:4">
      <c r="A6242" t="str">
        <f t="shared" ref="A6242:A6305" si="105">B6242&amp;C6242</f>
        <v>919Treynor Ratio</v>
      </c>
      <c r="B6242">
        <v>919</v>
      </c>
      <c r="C6242" s="9" t="s">
        <v>39</v>
      </c>
      <c r="D6242" s="8">
        <v>0.307</v>
      </c>
    </row>
    <row r="6243" spans="1:4">
      <c r="A6243" t="str">
        <f t="shared" si="105"/>
        <v>919Total Fees</v>
      </c>
      <c r="B6243">
        <v>919</v>
      </c>
      <c r="C6243" s="9" t="s">
        <v>40</v>
      </c>
      <c r="D6243" s="8">
        <v>0</v>
      </c>
    </row>
    <row r="6244" spans="1:4">
      <c r="A6244" t="str">
        <f t="shared" si="105"/>
        <v>919Estimated Strategy Capacity</v>
      </c>
      <c r="B6244">
        <v>919</v>
      </c>
      <c r="C6244" s="9" t="s">
        <v>41</v>
      </c>
      <c r="D6244" s="8">
        <v>66000000</v>
      </c>
    </row>
    <row r="6245" spans="1:4">
      <c r="A6245" t="str">
        <f t="shared" si="105"/>
        <v>920PSR</v>
      </c>
      <c r="B6245">
        <v>920</v>
      </c>
      <c r="C6245" s="9" t="s">
        <v>27</v>
      </c>
      <c r="D6245" s="8">
        <v>6.4659999999999995E-2</v>
      </c>
    </row>
    <row r="6246" spans="1:4">
      <c r="A6246" t="str">
        <f t="shared" si="105"/>
        <v>920Sharpe Ratio</v>
      </c>
      <c r="B6246">
        <v>920</v>
      </c>
      <c r="C6246" s="9" t="s">
        <v>1</v>
      </c>
      <c r="D6246" s="8">
        <v>-0.54300000000000004</v>
      </c>
    </row>
    <row r="6247" spans="1:4">
      <c r="A6247" t="str">
        <f t="shared" si="105"/>
        <v>920Total Trades</v>
      </c>
      <c r="B6247">
        <v>920</v>
      </c>
      <c r="C6247" s="9" t="s">
        <v>28</v>
      </c>
      <c r="D6247" s="8">
        <v>1353</v>
      </c>
    </row>
    <row r="6248" spans="1:4">
      <c r="A6248" t="str">
        <f t="shared" si="105"/>
        <v>920Average Win</v>
      </c>
      <c r="B6248">
        <v>920</v>
      </c>
      <c r="C6248" s="9" t="s">
        <v>25</v>
      </c>
      <c r="D6248" s="8">
        <v>1.1000000000000001E-3</v>
      </c>
    </row>
    <row r="6249" spans="1:4">
      <c r="A6249" t="str">
        <f t="shared" si="105"/>
        <v>920Average Loss</v>
      </c>
      <c r="B6249">
        <v>920</v>
      </c>
      <c r="C6249" s="9" t="s">
        <v>29</v>
      </c>
      <c r="D6249" s="8">
        <v>-2.5999999999999999E-3</v>
      </c>
    </row>
    <row r="6250" spans="1:4">
      <c r="A6250" t="str">
        <f t="shared" si="105"/>
        <v>920Compounding Annual Return</v>
      </c>
      <c r="B6250">
        <v>920</v>
      </c>
      <c r="C6250" s="9" t="s">
        <v>30</v>
      </c>
      <c r="D6250" s="8">
        <v>-2.886E-2</v>
      </c>
    </row>
    <row r="6251" spans="1:4">
      <c r="A6251" t="str">
        <f t="shared" si="105"/>
        <v>920Drawdown</v>
      </c>
      <c r="B6251">
        <v>920</v>
      </c>
      <c r="C6251" s="9" t="s">
        <v>8</v>
      </c>
      <c r="D6251" s="8">
        <v>5.2999999999999999E-2</v>
      </c>
    </row>
    <row r="6252" spans="1:4">
      <c r="A6252" t="str">
        <f t="shared" si="105"/>
        <v>920Expectancy</v>
      </c>
      <c r="B6252">
        <v>920</v>
      </c>
      <c r="C6252" s="9" t="s">
        <v>31</v>
      </c>
      <c r="D6252" s="8">
        <v>-6.0999999999999999E-2</v>
      </c>
    </row>
    <row r="6253" spans="1:4">
      <c r="A6253" t="str">
        <f t="shared" si="105"/>
        <v>920Net Profit</v>
      </c>
      <c r="B6253">
        <v>920</v>
      </c>
      <c r="C6253" s="9" t="s">
        <v>32</v>
      </c>
      <c r="D6253" s="8">
        <v>-1.9230000000000001E-2</v>
      </c>
    </row>
    <row r="6254" spans="1:4">
      <c r="A6254" t="str">
        <f t="shared" si="105"/>
        <v>920Loss Rate</v>
      </c>
      <c r="B6254">
        <v>920</v>
      </c>
      <c r="C6254" s="9" t="s">
        <v>33</v>
      </c>
      <c r="D6254" s="8">
        <v>0.35</v>
      </c>
    </row>
    <row r="6255" spans="1:4">
      <c r="A6255" t="str">
        <f t="shared" si="105"/>
        <v>920Win Rate</v>
      </c>
      <c r="B6255">
        <v>920</v>
      </c>
      <c r="C6255" s="9" t="s">
        <v>34</v>
      </c>
      <c r="D6255" s="8">
        <v>0.65</v>
      </c>
    </row>
    <row r="6256" spans="1:4">
      <c r="A6256" t="str">
        <f t="shared" si="105"/>
        <v>920Profit-Loss Ratio</v>
      </c>
      <c r="B6256">
        <v>920</v>
      </c>
      <c r="C6256" s="9" t="s">
        <v>26</v>
      </c>
      <c r="D6256" s="8">
        <v>0.45</v>
      </c>
    </row>
    <row r="6257" spans="1:4">
      <c r="A6257" t="str">
        <f t="shared" si="105"/>
        <v>920Alpha</v>
      </c>
      <c r="B6257">
        <v>920</v>
      </c>
      <c r="C6257" s="9" t="s">
        <v>23</v>
      </c>
      <c r="D6257" s="8">
        <v>-1.6E-2</v>
      </c>
    </row>
    <row r="6258" spans="1:4">
      <c r="A6258" t="str">
        <f t="shared" si="105"/>
        <v>920Beta</v>
      </c>
      <c r="B6258">
        <v>920</v>
      </c>
      <c r="C6258" s="9" t="s">
        <v>24</v>
      </c>
      <c r="D6258" s="8">
        <v>-6.9000000000000006E-2</v>
      </c>
    </row>
    <row r="6259" spans="1:4">
      <c r="A6259" t="str">
        <f t="shared" si="105"/>
        <v>920Annual Standard Deviation</v>
      </c>
      <c r="B6259">
        <v>920</v>
      </c>
      <c r="C6259" s="9" t="s">
        <v>35</v>
      </c>
      <c r="D6259" s="8">
        <v>3.5999999999999997E-2</v>
      </c>
    </row>
    <row r="6260" spans="1:4">
      <c r="A6260" t="str">
        <f t="shared" si="105"/>
        <v>920Annual Variance</v>
      </c>
      <c r="B6260">
        <v>920</v>
      </c>
      <c r="C6260" s="9" t="s">
        <v>36</v>
      </c>
      <c r="D6260" s="8">
        <v>1E-3</v>
      </c>
    </row>
    <row r="6261" spans="1:4">
      <c r="A6261" t="str">
        <f t="shared" si="105"/>
        <v>920Information Ratio</v>
      </c>
      <c r="B6261">
        <v>920</v>
      </c>
      <c r="C6261" s="9" t="s">
        <v>37</v>
      </c>
      <c r="D6261" s="8">
        <v>-0.88300000000000001</v>
      </c>
    </row>
    <row r="6262" spans="1:4">
      <c r="A6262" t="str">
        <f t="shared" si="105"/>
        <v>920Tracking Error</v>
      </c>
      <c r="B6262">
        <v>920</v>
      </c>
      <c r="C6262" s="9" t="s">
        <v>38</v>
      </c>
      <c r="D6262" s="8">
        <v>0.08</v>
      </c>
    </row>
    <row r="6263" spans="1:4">
      <c r="A6263" t="str">
        <f t="shared" si="105"/>
        <v>920Treynor Ratio</v>
      </c>
      <c r="B6263">
        <v>920</v>
      </c>
      <c r="C6263" s="9" t="s">
        <v>39</v>
      </c>
      <c r="D6263" s="8">
        <v>0.28100000000000003</v>
      </c>
    </row>
    <row r="6264" spans="1:4">
      <c r="A6264" t="str">
        <f t="shared" si="105"/>
        <v>920Total Fees</v>
      </c>
      <c r="B6264">
        <v>920</v>
      </c>
      <c r="C6264" s="9" t="s">
        <v>40</v>
      </c>
      <c r="D6264" s="8">
        <v>0</v>
      </c>
    </row>
    <row r="6265" spans="1:4">
      <c r="A6265" t="str">
        <f t="shared" si="105"/>
        <v>920Estimated Strategy Capacity</v>
      </c>
      <c r="B6265">
        <v>920</v>
      </c>
      <c r="C6265" s="9" t="s">
        <v>41</v>
      </c>
      <c r="D6265" s="8">
        <v>9300000</v>
      </c>
    </row>
    <row r="6266" spans="1:4">
      <c r="A6266" t="str">
        <f t="shared" si="105"/>
        <v>921PSR</v>
      </c>
      <c r="B6266">
        <v>921</v>
      </c>
      <c r="C6266" s="9" t="s">
        <v>27</v>
      </c>
      <c r="D6266" s="8">
        <v>0.33106000000000002</v>
      </c>
    </row>
    <row r="6267" spans="1:4">
      <c r="A6267" t="str">
        <f t="shared" si="105"/>
        <v>921Sharpe Ratio</v>
      </c>
      <c r="B6267">
        <v>921</v>
      </c>
      <c r="C6267" s="9" t="s">
        <v>1</v>
      </c>
      <c r="D6267" s="8">
        <v>0.56100000000000005</v>
      </c>
    </row>
    <row r="6268" spans="1:4">
      <c r="A6268" t="str">
        <f t="shared" si="105"/>
        <v>921Total Trades</v>
      </c>
      <c r="B6268">
        <v>921</v>
      </c>
      <c r="C6268" s="9" t="s">
        <v>28</v>
      </c>
      <c r="D6268" s="8">
        <v>1025</v>
      </c>
    </row>
    <row r="6269" spans="1:4">
      <c r="A6269" t="str">
        <f t="shared" si="105"/>
        <v>921Average Win</v>
      </c>
      <c r="B6269">
        <v>921</v>
      </c>
      <c r="C6269" s="9" t="s">
        <v>25</v>
      </c>
      <c r="D6269" s="8">
        <v>1.6999999999999999E-3</v>
      </c>
    </row>
    <row r="6270" spans="1:4">
      <c r="A6270" t="str">
        <f t="shared" si="105"/>
        <v>921Average Loss</v>
      </c>
      <c r="B6270">
        <v>921</v>
      </c>
      <c r="C6270" s="9" t="s">
        <v>29</v>
      </c>
      <c r="D6270" s="8">
        <v>-3.0000000000000001E-3</v>
      </c>
    </row>
    <row r="6271" spans="1:4">
      <c r="A6271" t="str">
        <f t="shared" si="105"/>
        <v>921Compounding Annual Return</v>
      </c>
      <c r="B6271">
        <v>921</v>
      </c>
      <c r="C6271" s="9" t="s">
        <v>30</v>
      </c>
      <c r="D6271" s="8">
        <v>3.3360000000000001E-2</v>
      </c>
    </row>
    <row r="6272" spans="1:4">
      <c r="A6272" t="str">
        <f t="shared" si="105"/>
        <v>921Drawdown</v>
      </c>
      <c r="B6272">
        <v>921</v>
      </c>
      <c r="C6272" s="9" t="s">
        <v>8</v>
      </c>
      <c r="D6272" s="8">
        <v>0.05</v>
      </c>
    </row>
    <row r="6273" spans="1:4">
      <c r="A6273" t="str">
        <f t="shared" si="105"/>
        <v>921Expectancy</v>
      </c>
      <c r="B6273">
        <v>921</v>
      </c>
      <c r="C6273" s="9" t="s">
        <v>31</v>
      </c>
      <c r="D6273" s="8">
        <v>5.6000000000000001E-2</v>
      </c>
    </row>
    <row r="6274" spans="1:4">
      <c r="A6274" t="str">
        <f t="shared" si="105"/>
        <v>921Net Profit</v>
      </c>
      <c r="B6274">
        <v>921</v>
      </c>
      <c r="C6274" s="9" t="s">
        <v>32</v>
      </c>
      <c r="D6274" s="8">
        <v>2.1989999999999999E-2</v>
      </c>
    </row>
    <row r="6275" spans="1:4">
      <c r="A6275" t="str">
        <f t="shared" si="105"/>
        <v>921Loss Rate</v>
      </c>
      <c r="B6275">
        <v>921</v>
      </c>
      <c r="C6275" s="9" t="s">
        <v>33</v>
      </c>
      <c r="D6275" s="8">
        <v>0.32</v>
      </c>
    </row>
    <row r="6276" spans="1:4">
      <c r="A6276" t="str">
        <f t="shared" si="105"/>
        <v>921Win Rate</v>
      </c>
      <c r="B6276">
        <v>921</v>
      </c>
      <c r="C6276" s="9" t="s">
        <v>34</v>
      </c>
      <c r="D6276" s="8">
        <v>0.68</v>
      </c>
    </row>
    <row r="6277" spans="1:4">
      <c r="A6277" t="str">
        <f t="shared" si="105"/>
        <v>921Profit-Loss Ratio</v>
      </c>
      <c r="B6277">
        <v>921</v>
      </c>
      <c r="C6277" s="9" t="s">
        <v>26</v>
      </c>
      <c r="D6277" s="8">
        <v>0.55000000000000004</v>
      </c>
    </row>
    <row r="6278" spans="1:4">
      <c r="A6278" t="str">
        <f t="shared" si="105"/>
        <v>921Alpha</v>
      </c>
      <c r="B6278">
        <v>921</v>
      </c>
      <c r="C6278" s="9" t="s">
        <v>23</v>
      </c>
      <c r="D6278" s="8">
        <v>3.2000000000000001E-2</v>
      </c>
    </row>
    <row r="6279" spans="1:4">
      <c r="A6279" t="str">
        <f t="shared" si="105"/>
        <v>921Beta</v>
      </c>
      <c r="B6279">
        <v>921</v>
      </c>
      <c r="C6279" s="9" t="s">
        <v>24</v>
      </c>
      <c r="D6279" s="8">
        <v>-0.151</v>
      </c>
    </row>
    <row r="6280" spans="1:4">
      <c r="A6280" t="str">
        <f t="shared" si="105"/>
        <v>921Annual Standard Deviation</v>
      </c>
      <c r="B6280">
        <v>921</v>
      </c>
      <c r="C6280" s="9" t="s">
        <v>35</v>
      </c>
      <c r="D6280" s="8">
        <v>4.2999999999999997E-2</v>
      </c>
    </row>
    <row r="6281" spans="1:4">
      <c r="A6281" t="str">
        <f t="shared" si="105"/>
        <v>921Annual Variance</v>
      </c>
      <c r="B6281">
        <v>921</v>
      </c>
      <c r="C6281" s="9" t="s">
        <v>36</v>
      </c>
      <c r="D6281" s="8">
        <v>2E-3</v>
      </c>
    </row>
    <row r="6282" spans="1:4">
      <c r="A6282" t="str">
        <f t="shared" si="105"/>
        <v>921Information Ratio</v>
      </c>
      <c r="B6282">
        <v>921</v>
      </c>
      <c r="C6282" s="9" t="s">
        <v>37</v>
      </c>
      <c r="D6282" s="8">
        <v>-0.313</v>
      </c>
    </row>
    <row r="6283" spans="1:4">
      <c r="A6283" t="str">
        <f t="shared" si="105"/>
        <v>921Tracking Error</v>
      </c>
      <c r="B6283">
        <v>921</v>
      </c>
      <c r="C6283" s="9" t="s">
        <v>38</v>
      </c>
      <c r="D6283" s="8">
        <v>8.7999999999999995E-2</v>
      </c>
    </row>
    <row r="6284" spans="1:4">
      <c r="A6284" t="str">
        <f t="shared" si="105"/>
        <v>921Treynor Ratio</v>
      </c>
      <c r="B6284">
        <v>921</v>
      </c>
      <c r="C6284" s="9" t="s">
        <v>39</v>
      </c>
      <c r="D6284" s="8">
        <v>-0.158</v>
      </c>
    </row>
    <row r="6285" spans="1:4">
      <c r="A6285" t="str">
        <f t="shared" si="105"/>
        <v>921Total Fees</v>
      </c>
      <c r="B6285">
        <v>921</v>
      </c>
      <c r="C6285" s="9" t="s">
        <v>40</v>
      </c>
      <c r="D6285" s="8">
        <v>0</v>
      </c>
    </row>
    <row r="6286" spans="1:4">
      <c r="A6286" t="str">
        <f t="shared" si="105"/>
        <v>921Estimated Strategy Capacity</v>
      </c>
      <c r="B6286">
        <v>921</v>
      </c>
      <c r="C6286" s="9" t="s">
        <v>41</v>
      </c>
      <c r="D6286" s="8">
        <v>4700000</v>
      </c>
    </row>
    <row r="6287" spans="1:4">
      <c r="A6287" t="str">
        <f t="shared" si="105"/>
        <v>922PSR</v>
      </c>
      <c r="B6287">
        <v>922</v>
      </c>
      <c r="C6287" s="9" t="s">
        <v>27</v>
      </c>
      <c r="D6287" s="8">
        <v>0.18081</v>
      </c>
    </row>
    <row r="6288" spans="1:4">
      <c r="A6288" t="str">
        <f t="shared" si="105"/>
        <v>922Sharpe Ratio</v>
      </c>
      <c r="B6288">
        <v>922</v>
      </c>
      <c r="C6288" s="9" t="s">
        <v>1</v>
      </c>
      <c r="D6288" s="8">
        <v>7.0999999999999994E-2</v>
      </c>
    </row>
    <row r="6289" spans="1:4">
      <c r="A6289" t="str">
        <f t="shared" si="105"/>
        <v>922Total Trades</v>
      </c>
      <c r="B6289">
        <v>922</v>
      </c>
      <c r="C6289" s="9" t="s">
        <v>28</v>
      </c>
      <c r="D6289" s="8">
        <v>983</v>
      </c>
    </row>
    <row r="6290" spans="1:4">
      <c r="A6290" t="str">
        <f t="shared" si="105"/>
        <v>922Average Win</v>
      </c>
      <c r="B6290">
        <v>922</v>
      </c>
      <c r="C6290" s="9" t="s">
        <v>25</v>
      </c>
      <c r="D6290" s="8">
        <v>5.0000000000000001E-4</v>
      </c>
    </row>
    <row r="6291" spans="1:4">
      <c r="A6291" t="str">
        <f t="shared" si="105"/>
        <v>922Average Loss</v>
      </c>
      <c r="B6291">
        <v>922</v>
      </c>
      <c r="C6291" s="9" t="s">
        <v>29</v>
      </c>
      <c r="D6291" s="8">
        <v>-1E-3</v>
      </c>
    </row>
    <row r="6292" spans="1:4">
      <c r="A6292" t="str">
        <f t="shared" si="105"/>
        <v>922Compounding Annual Return</v>
      </c>
      <c r="B6292">
        <v>922</v>
      </c>
      <c r="C6292" s="9" t="s">
        <v>30</v>
      </c>
      <c r="D6292" s="8">
        <v>1.3699999999999999E-3</v>
      </c>
    </row>
    <row r="6293" spans="1:4">
      <c r="A6293" t="str">
        <f t="shared" si="105"/>
        <v>922Drawdown</v>
      </c>
      <c r="B6293">
        <v>922</v>
      </c>
      <c r="C6293" s="9" t="s">
        <v>8</v>
      </c>
      <c r="D6293" s="8">
        <v>1.0999999999999999E-2</v>
      </c>
    </row>
    <row r="6294" spans="1:4">
      <c r="A6294" t="str">
        <f t="shared" si="105"/>
        <v>922Expectancy</v>
      </c>
      <c r="B6294">
        <v>922</v>
      </c>
      <c r="C6294" s="9" t="s">
        <v>31</v>
      </c>
      <c r="D6294" s="8">
        <v>1.6E-2</v>
      </c>
    </row>
    <row r="6295" spans="1:4">
      <c r="A6295" t="str">
        <f t="shared" si="105"/>
        <v>922Net Profit</v>
      </c>
      <c r="B6295">
        <v>922</v>
      </c>
      <c r="C6295" s="9" t="s">
        <v>32</v>
      </c>
      <c r="D6295" s="8">
        <v>9.1E-4</v>
      </c>
    </row>
    <row r="6296" spans="1:4">
      <c r="A6296" t="str">
        <f t="shared" si="105"/>
        <v>922Loss Rate</v>
      </c>
      <c r="B6296">
        <v>922</v>
      </c>
      <c r="C6296" s="9" t="s">
        <v>33</v>
      </c>
      <c r="D6296" s="8">
        <v>0.32</v>
      </c>
    </row>
    <row r="6297" spans="1:4">
      <c r="A6297" t="str">
        <f t="shared" si="105"/>
        <v>922Win Rate</v>
      </c>
      <c r="B6297">
        <v>922</v>
      </c>
      <c r="C6297" s="9" t="s">
        <v>34</v>
      </c>
      <c r="D6297" s="8">
        <v>0.68</v>
      </c>
    </row>
    <row r="6298" spans="1:4">
      <c r="A6298" t="str">
        <f t="shared" si="105"/>
        <v>922Profit-Loss Ratio</v>
      </c>
      <c r="B6298">
        <v>922</v>
      </c>
      <c r="C6298" s="9" t="s">
        <v>26</v>
      </c>
      <c r="D6298" s="8">
        <v>0.51</v>
      </c>
    </row>
    <row r="6299" spans="1:4">
      <c r="A6299" t="str">
        <f t="shared" si="105"/>
        <v>922Alpha</v>
      </c>
      <c r="B6299">
        <v>922</v>
      </c>
      <c r="C6299" s="9" t="s">
        <v>23</v>
      </c>
      <c r="D6299" s="8">
        <v>1E-3</v>
      </c>
    </row>
    <row r="6300" spans="1:4">
      <c r="A6300" t="str">
        <f t="shared" si="105"/>
        <v>922Beta</v>
      </c>
      <c r="B6300">
        <v>922</v>
      </c>
      <c r="C6300" s="9" t="s">
        <v>24</v>
      </c>
      <c r="D6300" s="8">
        <v>0</v>
      </c>
    </row>
    <row r="6301" spans="1:4">
      <c r="A6301" t="str">
        <f t="shared" si="105"/>
        <v>922Annual Standard Deviation</v>
      </c>
      <c r="B6301">
        <v>922</v>
      </c>
      <c r="C6301" s="9" t="s">
        <v>35</v>
      </c>
      <c r="D6301" s="8">
        <v>1.4999999999999999E-2</v>
      </c>
    </row>
    <row r="6302" spans="1:4">
      <c r="A6302" t="str">
        <f t="shared" si="105"/>
        <v>922Annual Variance</v>
      </c>
      <c r="B6302">
        <v>922</v>
      </c>
      <c r="C6302" s="9" t="s">
        <v>36</v>
      </c>
      <c r="D6302" s="8">
        <v>0</v>
      </c>
    </row>
    <row r="6303" spans="1:4">
      <c r="A6303" t="str">
        <f t="shared" si="105"/>
        <v>922Information Ratio</v>
      </c>
      <c r="B6303">
        <v>922</v>
      </c>
      <c r="C6303" s="9" t="s">
        <v>37</v>
      </c>
      <c r="D6303" s="8">
        <v>-0.73099999999999998</v>
      </c>
    </row>
    <row r="6304" spans="1:4">
      <c r="A6304" t="str">
        <f t="shared" si="105"/>
        <v>922Tracking Error</v>
      </c>
      <c r="B6304">
        <v>922</v>
      </c>
      <c r="C6304" s="9" t="s">
        <v>38</v>
      </c>
      <c r="D6304" s="8">
        <v>6.9000000000000006E-2</v>
      </c>
    </row>
    <row r="6305" spans="1:4">
      <c r="A6305" t="str">
        <f t="shared" si="105"/>
        <v>922Treynor Ratio</v>
      </c>
      <c r="B6305">
        <v>922</v>
      </c>
      <c r="C6305" s="9" t="s">
        <v>39</v>
      </c>
      <c r="D6305" s="8">
        <v>-3.1709999999999998</v>
      </c>
    </row>
    <row r="6306" spans="1:4">
      <c r="A6306" t="str">
        <f t="shared" ref="A6306:A6369" si="106">B6306&amp;C6306</f>
        <v>922Total Fees</v>
      </c>
      <c r="B6306">
        <v>922</v>
      </c>
      <c r="C6306" s="9" t="s">
        <v>40</v>
      </c>
      <c r="D6306" s="8">
        <v>0</v>
      </c>
    </row>
    <row r="6307" spans="1:4">
      <c r="A6307" t="str">
        <f t="shared" si="106"/>
        <v>922Estimated Strategy Capacity</v>
      </c>
      <c r="B6307">
        <v>922</v>
      </c>
      <c r="C6307" s="9" t="s">
        <v>41</v>
      </c>
      <c r="D6307" s="8">
        <v>24000000</v>
      </c>
    </row>
    <row r="6308" spans="1:4">
      <c r="A6308" t="str">
        <f t="shared" si="106"/>
        <v>923PSR</v>
      </c>
      <c r="B6308">
        <v>923</v>
      </c>
      <c r="C6308" s="9" t="s">
        <v>27</v>
      </c>
      <c r="D6308" s="8">
        <v>3.2469999999999999E-2</v>
      </c>
    </row>
    <row r="6309" spans="1:4">
      <c r="A6309" t="str">
        <f t="shared" si="106"/>
        <v>923Sharpe Ratio</v>
      </c>
      <c r="B6309">
        <v>923</v>
      </c>
      <c r="C6309" s="9" t="s">
        <v>1</v>
      </c>
      <c r="D6309" s="8">
        <v>-0.84</v>
      </c>
    </row>
    <row r="6310" spans="1:4">
      <c r="A6310" t="str">
        <f t="shared" si="106"/>
        <v>923Total Trades</v>
      </c>
      <c r="B6310">
        <v>923</v>
      </c>
      <c r="C6310" s="9" t="s">
        <v>28</v>
      </c>
      <c r="D6310" s="8">
        <v>748</v>
      </c>
    </row>
    <row r="6311" spans="1:4">
      <c r="A6311" t="str">
        <f t="shared" si="106"/>
        <v>923Average Win</v>
      </c>
      <c r="B6311">
        <v>923</v>
      </c>
      <c r="C6311" s="9" t="s">
        <v>25</v>
      </c>
      <c r="D6311" s="8">
        <v>1.1000000000000001E-3</v>
      </c>
    </row>
    <row r="6312" spans="1:4">
      <c r="A6312" t="str">
        <f t="shared" si="106"/>
        <v>923Average Loss</v>
      </c>
      <c r="B6312">
        <v>923</v>
      </c>
      <c r="C6312" s="9" t="s">
        <v>29</v>
      </c>
      <c r="D6312" s="8">
        <v>-3.3999999999999998E-3</v>
      </c>
    </row>
    <row r="6313" spans="1:4">
      <c r="A6313" t="str">
        <f t="shared" si="106"/>
        <v>923Compounding Annual Return</v>
      </c>
      <c r="B6313">
        <v>923</v>
      </c>
      <c r="C6313" s="9" t="s">
        <v>30</v>
      </c>
      <c r="D6313" s="8">
        <v>-5.0389999999999997E-2</v>
      </c>
    </row>
    <row r="6314" spans="1:4">
      <c r="A6314" t="str">
        <f t="shared" si="106"/>
        <v>923Drawdown</v>
      </c>
      <c r="B6314">
        <v>923</v>
      </c>
      <c r="C6314" s="9" t="s">
        <v>8</v>
      </c>
      <c r="D6314" s="8">
        <v>4.1000000000000002E-2</v>
      </c>
    </row>
    <row r="6315" spans="1:4">
      <c r="A6315" t="str">
        <f t="shared" si="106"/>
        <v>923Expectancy</v>
      </c>
      <c r="B6315">
        <v>923</v>
      </c>
      <c r="C6315" s="9" t="s">
        <v>31</v>
      </c>
      <c r="D6315" s="8">
        <v>-0.14099999999999999</v>
      </c>
    </row>
    <row r="6316" spans="1:4">
      <c r="A6316" t="str">
        <f t="shared" si="106"/>
        <v>923Net Profit</v>
      </c>
      <c r="B6316">
        <v>923</v>
      </c>
      <c r="C6316" s="9" t="s">
        <v>32</v>
      </c>
      <c r="D6316" s="8">
        <v>-3.3689999999999998E-2</v>
      </c>
    </row>
    <row r="6317" spans="1:4">
      <c r="A6317" t="str">
        <f t="shared" si="106"/>
        <v>923Loss Rate</v>
      </c>
      <c r="B6317">
        <v>923</v>
      </c>
      <c r="C6317" s="9" t="s">
        <v>33</v>
      </c>
      <c r="D6317" s="8">
        <v>0.35</v>
      </c>
    </row>
    <row r="6318" spans="1:4">
      <c r="A6318" t="str">
        <f t="shared" si="106"/>
        <v>923Win Rate</v>
      </c>
      <c r="B6318">
        <v>923</v>
      </c>
      <c r="C6318" s="9" t="s">
        <v>34</v>
      </c>
      <c r="D6318" s="8">
        <v>0.65</v>
      </c>
    </row>
    <row r="6319" spans="1:4">
      <c r="A6319" t="str">
        <f t="shared" si="106"/>
        <v>923Profit-Loss Ratio</v>
      </c>
      <c r="B6319">
        <v>923</v>
      </c>
      <c r="C6319" s="9" t="s">
        <v>26</v>
      </c>
      <c r="D6319" s="8">
        <v>0.31</v>
      </c>
    </row>
    <row r="6320" spans="1:4">
      <c r="A6320" t="str">
        <f t="shared" si="106"/>
        <v>923Alpha</v>
      </c>
      <c r="B6320">
        <v>923</v>
      </c>
      <c r="C6320" s="9" t="s">
        <v>23</v>
      </c>
      <c r="D6320" s="8">
        <v>-3.3000000000000002E-2</v>
      </c>
    </row>
    <row r="6321" spans="1:4">
      <c r="A6321" t="str">
        <f t="shared" si="106"/>
        <v>923Beta</v>
      </c>
      <c r="B6321">
        <v>923</v>
      </c>
      <c r="C6321" s="9" t="s">
        <v>24</v>
      </c>
      <c r="D6321" s="8">
        <v>-3.2000000000000001E-2</v>
      </c>
    </row>
    <row r="6322" spans="1:4">
      <c r="A6322" t="str">
        <f t="shared" si="106"/>
        <v>923Annual Standard Deviation</v>
      </c>
      <c r="B6322">
        <v>923</v>
      </c>
      <c r="C6322" s="9" t="s">
        <v>35</v>
      </c>
      <c r="D6322" s="8">
        <v>4.1000000000000002E-2</v>
      </c>
    </row>
    <row r="6323" spans="1:4">
      <c r="A6323" t="str">
        <f t="shared" si="106"/>
        <v>923Annual Variance</v>
      </c>
      <c r="B6323">
        <v>923</v>
      </c>
      <c r="C6323" s="9" t="s">
        <v>36</v>
      </c>
      <c r="D6323" s="8">
        <v>2E-3</v>
      </c>
    </row>
    <row r="6324" spans="1:4">
      <c r="A6324" t="str">
        <f t="shared" si="106"/>
        <v>923Information Ratio</v>
      </c>
      <c r="B6324">
        <v>923</v>
      </c>
      <c r="C6324" s="9" t="s">
        <v>37</v>
      </c>
      <c r="D6324" s="8">
        <v>-1.0649999999999999</v>
      </c>
    </row>
    <row r="6325" spans="1:4">
      <c r="A6325" t="str">
        <f t="shared" si="106"/>
        <v>923Tracking Error</v>
      </c>
      <c r="B6325">
        <v>923</v>
      </c>
      <c r="C6325" s="9" t="s">
        <v>38</v>
      </c>
      <c r="D6325" s="8">
        <v>8.1000000000000003E-2</v>
      </c>
    </row>
    <row r="6326" spans="1:4">
      <c r="A6326" t="str">
        <f t="shared" si="106"/>
        <v>923Treynor Ratio</v>
      </c>
      <c r="B6326">
        <v>923</v>
      </c>
      <c r="C6326" s="9" t="s">
        <v>39</v>
      </c>
      <c r="D6326" s="8">
        <v>1.087</v>
      </c>
    </row>
    <row r="6327" spans="1:4">
      <c r="A6327" t="str">
        <f t="shared" si="106"/>
        <v>923Total Fees</v>
      </c>
      <c r="B6327">
        <v>923</v>
      </c>
      <c r="C6327" s="9" t="s">
        <v>40</v>
      </c>
      <c r="D6327" s="8">
        <v>0</v>
      </c>
    </row>
    <row r="6328" spans="1:4">
      <c r="A6328" t="str">
        <f t="shared" si="106"/>
        <v>923Estimated Strategy Capacity</v>
      </c>
      <c r="B6328">
        <v>923</v>
      </c>
      <c r="C6328" s="9" t="s">
        <v>41</v>
      </c>
      <c r="D6328" s="8">
        <v>5700000</v>
      </c>
    </row>
    <row r="6329" spans="1:4">
      <c r="A6329" t="str">
        <f t="shared" si="106"/>
        <v>924PSR</v>
      </c>
      <c r="B6329">
        <v>924</v>
      </c>
      <c r="C6329" s="9" t="s">
        <v>27</v>
      </c>
      <c r="D6329" s="8">
        <v>4.0509999999999997E-2</v>
      </c>
    </row>
    <row r="6330" spans="1:4">
      <c r="A6330" t="str">
        <f t="shared" si="106"/>
        <v>924Sharpe Ratio</v>
      </c>
      <c r="B6330">
        <v>924</v>
      </c>
      <c r="C6330" s="9" t="s">
        <v>1</v>
      </c>
      <c r="D6330" s="8">
        <v>-0.77</v>
      </c>
    </row>
    <row r="6331" spans="1:4">
      <c r="A6331" t="str">
        <f t="shared" si="106"/>
        <v>924Total Trades</v>
      </c>
      <c r="B6331">
        <v>924</v>
      </c>
      <c r="C6331" s="9" t="s">
        <v>28</v>
      </c>
      <c r="D6331" s="8">
        <v>551</v>
      </c>
    </row>
    <row r="6332" spans="1:4">
      <c r="A6332" t="str">
        <f t="shared" si="106"/>
        <v>924Average Win</v>
      </c>
      <c r="B6332">
        <v>924</v>
      </c>
      <c r="C6332" s="9" t="s">
        <v>25</v>
      </c>
      <c r="D6332" s="8">
        <v>1.6000000000000001E-3</v>
      </c>
    </row>
    <row r="6333" spans="1:4">
      <c r="A6333" t="str">
        <f t="shared" si="106"/>
        <v>924Average Loss</v>
      </c>
      <c r="B6333">
        <v>924</v>
      </c>
      <c r="C6333" s="9" t="s">
        <v>29</v>
      </c>
      <c r="D6333" s="8">
        <v>-5.0000000000000001E-3</v>
      </c>
    </row>
    <row r="6334" spans="1:4">
      <c r="A6334" t="str">
        <f t="shared" si="106"/>
        <v>924Compounding Annual Return</v>
      </c>
      <c r="B6334">
        <v>924</v>
      </c>
      <c r="C6334" s="9" t="s">
        <v>30</v>
      </c>
      <c r="D6334" s="8">
        <v>-4.5569999999999999E-2</v>
      </c>
    </row>
    <row r="6335" spans="1:4">
      <c r="A6335" t="str">
        <f t="shared" si="106"/>
        <v>924Drawdown</v>
      </c>
      <c r="B6335">
        <v>924</v>
      </c>
      <c r="C6335" s="9" t="s">
        <v>8</v>
      </c>
      <c r="D6335" s="8">
        <v>5.5E-2</v>
      </c>
    </row>
    <row r="6336" spans="1:4">
      <c r="A6336" t="str">
        <f t="shared" si="106"/>
        <v>924Expectancy</v>
      </c>
      <c r="B6336">
        <v>924</v>
      </c>
      <c r="C6336" s="9" t="s">
        <v>31</v>
      </c>
      <c r="D6336" s="8">
        <v>-9.2999999999999999E-2</v>
      </c>
    </row>
    <row r="6337" spans="1:4">
      <c r="A6337" t="str">
        <f t="shared" si="106"/>
        <v>924Net Profit</v>
      </c>
      <c r="B6337">
        <v>924</v>
      </c>
      <c r="C6337" s="9" t="s">
        <v>32</v>
      </c>
      <c r="D6337" s="8">
        <v>-3.0439999999999998E-2</v>
      </c>
    </row>
    <row r="6338" spans="1:4">
      <c r="A6338" t="str">
        <f t="shared" si="106"/>
        <v>924Loss Rate</v>
      </c>
      <c r="B6338">
        <v>924</v>
      </c>
      <c r="C6338" s="9" t="s">
        <v>33</v>
      </c>
      <c r="D6338" s="8">
        <v>0.31</v>
      </c>
    </row>
    <row r="6339" spans="1:4">
      <c r="A6339" t="str">
        <f t="shared" si="106"/>
        <v>924Win Rate</v>
      </c>
      <c r="B6339">
        <v>924</v>
      </c>
      <c r="C6339" s="9" t="s">
        <v>34</v>
      </c>
      <c r="D6339" s="8">
        <v>0.69</v>
      </c>
    </row>
    <row r="6340" spans="1:4">
      <c r="A6340" t="str">
        <f t="shared" si="106"/>
        <v>924Profit-Loss Ratio</v>
      </c>
      <c r="B6340">
        <v>924</v>
      </c>
      <c r="C6340" s="9" t="s">
        <v>26</v>
      </c>
      <c r="D6340" s="8">
        <v>0.32</v>
      </c>
    </row>
    <row r="6341" spans="1:4">
      <c r="A6341" t="str">
        <f t="shared" si="106"/>
        <v>924Alpha</v>
      </c>
      <c r="B6341">
        <v>924</v>
      </c>
      <c r="C6341" s="9" t="s">
        <v>23</v>
      </c>
      <c r="D6341" s="8">
        <v>-2.4E-2</v>
      </c>
    </row>
    <row r="6342" spans="1:4">
      <c r="A6342" t="str">
        <f t="shared" si="106"/>
        <v>924Beta</v>
      </c>
      <c r="B6342">
        <v>924</v>
      </c>
      <c r="C6342" s="9" t="s">
        <v>24</v>
      </c>
      <c r="D6342" s="8">
        <v>-0.13300000000000001</v>
      </c>
    </row>
    <row r="6343" spans="1:4">
      <c r="A6343" t="str">
        <f t="shared" si="106"/>
        <v>924Annual Standard Deviation</v>
      </c>
      <c r="B6343">
        <v>924</v>
      </c>
      <c r="C6343" s="9" t="s">
        <v>35</v>
      </c>
      <c r="D6343" s="8">
        <v>0.04</v>
      </c>
    </row>
    <row r="6344" spans="1:4">
      <c r="A6344" t="str">
        <f t="shared" si="106"/>
        <v>924Annual Variance</v>
      </c>
      <c r="B6344">
        <v>924</v>
      </c>
      <c r="C6344" s="9" t="s">
        <v>36</v>
      </c>
      <c r="D6344" s="8">
        <v>2E-3</v>
      </c>
    </row>
    <row r="6345" spans="1:4">
      <c r="A6345" t="str">
        <f t="shared" si="106"/>
        <v>924Information Ratio</v>
      </c>
      <c r="B6345">
        <v>924</v>
      </c>
      <c r="C6345" s="9" t="s">
        <v>37</v>
      </c>
      <c r="D6345" s="8">
        <v>-0.96099999999999997</v>
      </c>
    </row>
    <row r="6346" spans="1:4">
      <c r="A6346" t="str">
        <f t="shared" si="106"/>
        <v>924Tracking Error</v>
      </c>
      <c r="B6346">
        <v>924</v>
      </c>
      <c r="C6346" s="9" t="s">
        <v>38</v>
      </c>
      <c r="D6346" s="8">
        <v>8.5999999999999993E-2</v>
      </c>
    </row>
    <row r="6347" spans="1:4">
      <c r="A6347" t="str">
        <f t="shared" si="106"/>
        <v>924Treynor Ratio</v>
      </c>
      <c r="B6347">
        <v>924</v>
      </c>
      <c r="C6347" s="9" t="s">
        <v>39</v>
      </c>
      <c r="D6347" s="8">
        <v>0.23300000000000001</v>
      </c>
    </row>
    <row r="6348" spans="1:4">
      <c r="A6348" t="str">
        <f t="shared" si="106"/>
        <v>924Total Fees</v>
      </c>
      <c r="B6348">
        <v>924</v>
      </c>
      <c r="C6348" s="9" t="s">
        <v>40</v>
      </c>
      <c r="D6348" s="8">
        <v>0</v>
      </c>
    </row>
    <row r="6349" spans="1:4">
      <c r="A6349" t="str">
        <f t="shared" si="106"/>
        <v>924Estimated Strategy Capacity</v>
      </c>
      <c r="B6349">
        <v>924</v>
      </c>
      <c r="C6349" s="9" t="s">
        <v>41</v>
      </c>
      <c r="D6349" s="8">
        <v>6100000</v>
      </c>
    </row>
    <row r="6350" spans="1:4">
      <c r="A6350" t="str">
        <f t="shared" si="106"/>
        <v>925PSR</v>
      </c>
      <c r="B6350">
        <v>925</v>
      </c>
      <c r="C6350" s="9" t="s">
        <v>27</v>
      </c>
      <c r="D6350" s="8">
        <v>0.16808000000000001</v>
      </c>
    </row>
    <row r="6351" spans="1:4">
      <c r="A6351" t="str">
        <f t="shared" si="106"/>
        <v>925Sharpe Ratio</v>
      </c>
      <c r="B6351">
        <v>925</v>
      </c>
      <c r="C6351" s="9" t="s">
        <v>1</v>
      </c>
      <c r="D6351" s="8">
        <v>1.6E-2</v>
      </c>
    </row>
    <row r="6352" spans="1:4">
      <c r="A6352" t="str">
        <f t="shared" si="106"/>
        <v>925Total Trades</v>
      </c>
      <c r="B6352">
        <v>925</v>
      </c>
      <c r="C6352" s="9" t="s">
        <v>28</v>
      </c>
      <c r="D6352" s="8">
        <v>722</v>
      </c>
    </row>
    <row r="6353" spans="1:4">
      <c r="A6353" t="str">
        <f t="shared" si="106"/>
        <v>925Average Win</v>
      </c>
      <c r="B6353">
        <v>925</v>
      </c>
      <c r="C6353" s="9" t="s">
        <v>25</v>
      </c>
      <c r="D6353" s="8">
        <v>4.0000000000000002E-4</v>
      </c>
    </row>
    <row r="6354" spans="1:4">
      <c r="A6354" t="str">
        <f t="shared" si="106"/>
        <v>925Average Loss</v>
      </c>
      <c r="B6354">
        <v>925</v>
      </c>
      <c r="C6354" s="9" t="s">
        <v>29</v>
      </c>
      <c r="D6354" s="8">
        <v>-8.0000000000000004E-4</v>
      </c>
    </row>
    <row r="6355" spans="1:4">
      <c r="A6355" t="str">
        <f t="shared" si="106"/>
        <v>925Compounding Annual Return</v>
      </c>
      <c r="B6355">
        <v>925</v>
      </c>
      <c r="C6355" s="9" t="s">
        <v>30</v>
      </c>
      <c r="D6355" s="8">
        <v>1.8000000000000001E-4</v>
      </c>
    </row>
    <row r="6356" spans="1:4">
      <c r="A6356" t="str">
        <f t="shared" si="106"/>
        <v>925Drawdown</v>
      </c>
      <c r="B6356">
        <v>925</v>
      </c>
      <c r="C6356" s="9" t="s">
        <v>8</v>
      </c>
      <c r="D6356" s="8">
        <v>1.2999999999999999E-2</v>
      </c>
    </row>
    <row r="6357" spans="1:4">
      <c r="A6357" t="str">
        <f t="shared" si="106"/>
        <v>925Expectancy</v>
      </c>
      <c r="B6357">
        <v>925</v>
      </c>
      <c r="C6357" s="9" t="s">
        <v>31</v>
      </c>
      <c r="D6357" s="8">
        <v>-4.0000000000000001E-3</v>
      </c>
    </row>
    <row r="6358" spans="1:4">
      <c r="A6358" t="str">
        <f t="shared" si="106"/>
        <v>925Net Profit</v>
      </c>
      <c r="B6358">
        <v>925</v>
      </c>
      <c r="C6358" s="9" t="s">
        <v>32</v>
      </c>
      <c r="D6358" s="8">
        <v>1.2E-4</v>
      </c>
    </row>
    <row r="6359" spans="1:4">
      <c r="A6359" t="str">
        <f t="shared" si="106"/>
        <v>925Loss Rate</v>
      </c>
      <c r="B6359">
        <v>925</v>
      </c>
      <c r="C6359" s="9" t="s">
        <v>33</v>
      </c>
      <c r="D6359" s="8">
        <v>0.33</v>
      </c>
    </row>
    <row r="6360" spans="1:4">
      <c r="A6360" t="str">
        <f t="shared" si="106"/>
        <v>925Win Rate</v>
      </c>
      <c r="B6360">
        <v>925</v>
      </c>
      <c r="C6360" s="9" t="s">
        <v>34</v>
      </c>
      <c r="D6360" s="8">
        <v>0.67</v>
      </c>
    </row>
    <row r="6361" spans="1:4">
      <c r="A6361" t="str">
        <f t="shared" si="106"/>
        <v>925Profit-Loss Ratio</v>
      </c>
      <c r="B6361">
        <v>925</v>
      </c>
      <c r="C6361" s="9" t="s">
        <v>26</v>
      </c>
      <c r="D6361" s="8">
        <v>0.48</v>
      </c>
    </row>
    <row r="6362" spans="1:4">
      <c r="A6362" t="str">
        <f t="shared" si="106"/>
        <v>925Alpha</v>
      </c>
      <c r="B6362">
        <v>925</v>
      </c>
      <c r="C6362" s="9" t="s">
        <v>23</v>
      </c>
      <c r="D6362" s="8">
        <v>2E-3</v>
      </c>
    </row>
    <row r="6363" spans="1:4">
      <c r="A6363" t="str">
        <f t="shared" si="106"/>
        <v>925Beta</v>
      </c>
      <c r="B6363">
        <v>925</v>
      </c>
      <c r="C6363" s="9" t="s">
        <v>24</v>
      </c>
      <c r="D6363" s="8">
        <v>-3.4000000000000002E-2</v>
      </c>
    </row>
    <row r="6364" spans="1:4">
      <c r="A6364" t="str">
        <f t="shared" si="106"/>
        <v>925Annual Standard Deviation</v>
      </c>
      <c r="B6364">
        <v>925</v>
      </c>
      <c r="C6364" s="9" t="s">
        <v>35</v>
      </c>
      <c r="D6364" s="8">
        <v>1.4E-2</v>
      </c>
    </row>
    <row r="6365" spans="1:4">
      <c r="A6365" t="str">
        <f t="shared" si="106"/>
        <v>925Annual Variance</v>
      </c>
      <c r="B6365">
        <v>925</v>
      </c>
      <c r="C6365" s="9" t="s">
        <v>36</v>
      </c>
      <c r="D6365" s="8">
        <v>0</v>
      </c>
    </row>
    <row r="6366" spans="1:4">
      <c r="A6366" t="str">
        <f t="shared" si="106"/>
        <v>925Information Ratio</v>
      </c>
      <c r="B6366">
        <v>925</v>
      </c>
      <c r="C6366" s="9" t="s">
        <v>37</v>
      </c>
      <c r="D6366" s="8">
        <v>-0.72099999999999997</v>
      </c>
    </row>
    <row r="6367" spans="1:4">
      <c r="A6367" t="str">
        <f t="shared" si="106"/>
        <v>925Tracking Error</v>
      </c>
      <c r="B6367">
        <v>925</v>
      </c>
      <c r="C6367" s="9" t="s">
        <v>38</v>
      </c>
      <c r="D6367" s="8">
        <v>7.0999999999999994E-2</v>
      </c>
    </row>
    <row r="6368" spans="1:4">
      <c r="A6368" t="str">
        <f t="shared" si="106"/>
        <v>925Treynor Ratio</v>
      </c>
      <c r="B6368">
        <v>925</v>
      </c>
      <c r="C6368" s="9" t="s">
        <v>39</v>
      </c>
      <c r="D6368" s="8">
        <v>-6.0000000000000001E-3</v>
      </c>
    </row>
    <row r="6369" spans="1:4">
      <c r="A6369" t="str">
        <f t="shared" si="106"/>
        <v>925Total Fees</v>
      </c>
      <c r="B6369">
        <v>925</v>
      </c>
      <c r="C6369" s="9" t="s">
        <v>40</v>
      </c>
      <c r="D6369" s="8">
        <v>0</v>
      </c>
    </row>
    <row r="6370" spans="1:4">
      <c r="A6370" t="str">
        <f t="shared" ref="A6370:A6433" si="107">B6370&amp;C6370</f>
        <v>925Estimated Strategy Capacity</v>
      </c>
      <c r="B6370">
        <v>925</v>
      </c>
      <c r="C6370" s="9" t="s">
        <v>41</v>
      </c>
      <c r="D6370" s="8">
        <v>18000000</v>
      </c>
    </row>
    <row r="6371" spans="1:4">
      <c r="A6371" t="str">
        <f t="shared" si="107"/>
        <v>926PSR</v>
      </c>
      <c r="B6371">
        <v>926</v>
      </c>
      <c r="C6371" s="9" t="s">
        <v>27</v>
      </c>
      <c r="D6371" s="8">
        <v>8.8230000000000003E-2</v>
      </c>
    </row>
    <row r="6372" spans="1:4">
      <c r="A6372" t="str">
        <f t="shared" si="107"/>
        <v>926Sharpe Ratio</v>
      </c>
      <c r="B6372">
        <v>926</v>
      </c>
      <c r="C6372" s="9" t="s">
        <v>1</v>
      </c>
      <c r="D6372" s="8">
        <v>-0.39700000000000002</v>
      </c>
    </row>
    <row r="6373" spans="1:4">
      <c r="A6373" t="str">
        <f t="shared" si="107"/>
        <v>926Total Trades</v>
      </c>
      <c r="B6373">
        <v>926</v>
      </c>
      <c r="C6373" s="9" t="s">
        <v>28</v>
      </c>
      <c r="D6373" s="8">
        <v>571</v>
      </c>
    </row>
    <row r="6374" spans="1:4">
      <c r="A6374" t="str">
        <f t="shared" si="107"/>
        <v>926Average Win</v>
      </c>
      <c r="B6374">
        <v>926</v>
      </c>
      <c r="C6374" s="9" t="s">
        <v>25</v>
      </c>
      <c r="D6374" s="8">
        <v>6.9999999999999999E-4</v>
      </c>
    </row>
    <row r="6375" spans="1:4">
      <c r="A6375" t="str">
        <f t="shared" si="107"/>
        <v>926Average Loss</v>
      </c>
      <c r="B6375">
        <v>926</v>
      </c>
      <c r="C6375" s="9" t="s">
        <v>29</v>
      </c>
      <c r="D6375" s="8">
        <v>-2.0999999999999999E-3</v>
      </c>
    </row>
    <row r="6376" spans="1:4">
      <c r="A6376" t="str">
        <f t="shared" si="107"/>
        <v>926Compounding Annual Return</v>
      </c>
      <c r="B6376">
        <v>926</v>
      </c>
      <c r="C6376" s="9" t="s">
        <v>30</v>
      </c>
      <c r="D6376" s="8">
        <v>-2.1760000000000002E-2</v>
      </c>
    </row>
    <row r="6377" spans="1:4">
      <c r="A6377" t="str">
        <f t="shared" si="107"/>
        <v>926Drawdown</v>
      </c>
      <c r="B6377">
        <v>926</v>
      </c>
      <c r="C6377" s="9" t="s">
        <v>8</v>
      </c>
      <c r="D6377" s="8">
        <v>3.7999999999999999E-2</v>
      </c>
    </row>
    <row r="6378" spans="1:4">
      <c r="A6378" t="str">
        <f t="shared" si="107"/>
        <v>926Expectancy</v>
      </c>
      <c r="B6378">
        <v>926</v>
      </c>
      <c r="C6378" s="9" t="s">
        <v>31</v>
      </c>
      <c r="D6378" s="8">
        <v>-0.13900000000000001</v>
      </c>
    </row>
    <row r="6379" spans="1:4">
      <c r="A6379" t="str">
        <f t="shared" si="107"/>
        <v>926Net Profit</v>
      </c>
      <c r="B6379">
        <v>926</v>
      </c>
      <c r="C6379" s="9" t="s">
        <v>32</v>
      </c>
      <c r="D6379" s="8">
        <v>-1.448E-2</v>
      </c>
    </row>
    <row r="6380" spans="1:4">
      <c r="A6380" t="str">
        <f t="shared" si="107"/>
        <v>926Loss Rate</v>
      </c>
      <c r="B6380">
        <v>926</v>
      </c>
      <c r="C6380" s="9" t="s">
        <v>33</v>
      </c>
      <c r="D6380" s="8">
        <v>0.36</v>
      </c>
    </row>
    <row r="6381" spans="1:4">
      <c r="A6381" t="str">
        <f t="shared" si="107"/>
        <v>926Win Rate</v>
      </c>
      <c r="B6381">
        <v>926</v>
      </c>
      <c r="C6381" s="9" t="s">
        <v>34</v>
      </c>
      <c r="D6381" s="8">
        <v>0.64</v>
      </c>
    </row>
    <row r="6382" spans="1:4">
      <c r="A6382" t="str">
        <f t="shared" si="107"/>
        <v>926Profit-Loss Ratio</v>
      </c>
      <c r="B6382">
        <v>926</v>
      </c>
      <c r="C6382" s="9" t="s">
        <v>26</v>
      </c>
      <c r="D6382" s="8">
        <v>0.34</v>
      </c>
    </row>
    <row r="6383" spans="1:4">
      <c r="A6383" t="str">
        <f t="shared" si="107"/>
        <v>926Alpha</v>
      </c>
      <c r="B6383">
        <v>926</v>
      </c>
      <c r="C6383" s="9" t="s">
        <v>23</v>
      </c>
      <c r="D6383" s="8">
        <v>-1.0999999999999999E-2</v>
      </c>
    </row>
    <row r="6384" spans="1:4">
      <c r="A6384" t="str">
        <f t="shared" si="107"/>
        <v>926Beta</v>
      </c>
      <c r="B6384">
        <v>926</v>
      </c>
      <c r="C6384" s="9" t="s">
        <v>24</v>
      </c>
      <c r="D6384" s="8">
        <v>-6.8000000000000005E-2</v>
      </c>
    </row>
    <row r="6385" spans="1:4">
      <c r="A6385" t="str">
        <f t="shared" si="107"/>
        <v>926Annual Standard Deviation</v>
      </c>
      <c r="B6385">
        <v>926</v>
      </c>
      <c r="C6385" s="9" t="s">
        <v>35</v>
      </c>
      <c r="D6385" s="8">
        <v>3.5999999999999997E-2</v>
      </c>
    </row>
    <row r="6386" spans="1:4">
      <c r="A6386" t="str">
        <f t="shared" si="107"/>
        <v>926Annual Variance</v>
      </c>
      <c r="B6386">
        <v>926</v>
      </c>
      <c r="C6386" s="9" t="s">
        <v>36</v>
      </c>
      <c r="D6386" s="8">
        <v>1E-3</v>
      </c>
    </row>
    <row r="6387" spans="1:4">
      <c r="A6387" t="str">
        <f t="shared" si="107"/>
        <v>926Information Ratio</v>
      </c>
      <c r="B6387">
        <v>926</v>
      </c>
      <c r="C6387" s="9" t="s">
        <v>37</v>
      </c>
      <c r="D6387" s="8">
        <v>-0.81899999999999995</v>
      </c>
    </row>
    <row r="6388" spans="1:4">
      <c r="A6388" t="str">
        <f t="shared" si="107"/>
        <v>926Tracking Error</v>
      </c>
      <c r="B6388">
        <v>926</v>
      </c>
      <c r="C6388" s="9" t="s">
        <v>38</v>
      </c>
      <c r="D6388" s="8">
        <v>8.1000000000000003E-2</v>
      </c>
    </row>
    <row r="6389" spans="1:4">
      <c r="A6389" t="str">
        <f t="shared" si="107"/>
        <v>926Treynor Ratio</v>
      </c>
      <c r="B6389">
        <v>926</v>
      </c>
      <c r="C6389" s="9" t="s">
        <v>39</v>
      </c>
      <c r="D6389" s="8">
        <v>0.214</v>
      </c>
    </row>
    <row r="6390" spans="1:4">
      <c r="A6390" t="str">
        <f t="shared" si="107"/>
        <v>926Total Fees</v>
      </c>
      <c r="B6390">
        <v>926</v>
      </c>
      <c r="C6390" s="9" t="s">
        <v>40</v>
      </c>
      <c r="D6390" s="8">
        <v>0</v>
      </c>
    </row>
    <row r="6391" spans="1:4">
      <c r="A6391" t="str">
        <f t="shared" si="107"/>
        <v>926Estimated Strategy Capacity</v>
      </c>
      <c r="B6391">
        <v>926</v>
      </c>
      <c r="C6391" s="9" t="s">
        <v>41</v>
      </c>
      <c r="D6391" s="8">
        <v>6400000</v>
      </c>
    </row>
    <row r="6392" spans="1:4">
      <c r="A6392" t="str">
        <f t="shared" si="107"/>
        <v>927PSR</v>
      </c>
      <c r="B6392">
        <v>927</v>
      </c>
      <c r="C6392" s="9" t="s">
        <v>27</v>
      </c>
      <c r="D6392" s="8">
        <v>9.7339999999999996E-2</v>
      </c>
    </row>
    <row r="6393" spans="1:4">
      <c r="A6393" t="str">
        <f t="shared" si="107"/>
        <v>927Sharpe Ratio</v>
      </c>
      <c r="B6393">
        <v>927</v>
      </c>
      <c r="C6393" s="9" t="s">
        <v>1</v>
      </c>
      <c r="D6393" s="8">
        <v>-0.33400000000000002</v>
      </c>
    </row>
    <row r="6394" spans="1:4">
      <c r="A6394" t="str">
        <f t="shared" si="107"/>
        <v>927Total Trades</v>
      </c>
      <c r="B6394">
        <v>927</v>
      </c>
      <c r="C6394" s="9" t="s">
        <v>28</v>
      </c>
      <c r="D6394" s="8">
        <v>443</v>
      </c>
    </row>
    <row r="6395" spans="1:4">
      <c r="A6395" t="str">
        <f t="shared" si="107"/>
        <v>927Average Win</v>
      </c>
      <c r="B6395">
        <v>927</v>
      </c>
      <c r="C6395" s="9" t="s">
        <v>25</v>
      </c>
      <c r="D6395" s="8">
        <v>1.5E-3</v>
      </c>
    </row>
    <row r="6396" spans="1:4">
      <c r="A6396" t="str">
        <f t="shared" si="107"/>
        <v>927Average Loss</v>
      </c>
      <c r="B6396">
        <v>927</v>
      </c>
      <c r="C6396" s="9" t="s">
        <v>29</v>
      </c>
      <c r="D6396" s="8">
        <v>-3.8999999999999998E-3</v>
      </c>
    </row>
    <row r="6397" spans="1:4">
      <c r="A6397" t="str">
        <f t="shared" si="107"/>
        <v>927Compounding Annual Return</v>
      </c>
      <c r="B6397">
        <v>927</v>
      </c>
      <c r="C6397" s="9" t="s">
        <v>30</v>
      </c>
      <c r="D6397" s="8">
        <v>-2.2450000000000001E-2</v>
      </c>
    </row>
    <row r="6398" spans="1:4">
      <c r="A6398" t="str">
        <f t="shared" si="107"/>
        <v>927Drawdown</v>
      </c>
      <c r="B6398">
        <v>927</v>
      </c>
      <c r="C6398" s="9" t="s">
        <v>8</v>
      </c>
      <c r="D6398" s="8">
        <v>4.8000000000000001E-2</v>
      </c>
    </row>
    <row r="6399" spans="1:4">
      <c r="A6399" t="str">
        <f t="shared" si="107"/>
        <v>927Expectancy</v>
      </c>
      <c r="B6399">
        <v>927</v>
      </c>
      <c r="C6399" s="9" t="s">
        <v>31</v>
      </c>
      <c r="D6399" s="8">
        <v>-7.6999999999999999E-2</v>
      </c>
    </row>
    <row r="6400" spans="1:4">
      <c r="A6400" t="str">
        <f t="shared" si="107"/>
        <v>927Net Profit</v>
      </c>
      <c r="B6400">
        <v>927</v>
      </c>
      <c r="C6400" s="9" t="s">
        <v>32</v>
      </c>
      <c r="D6400" s="8">
        <v>-1.494E-2</v>
      </c>
    </row>
    <row r="6401" spans="1:4">
      <c r="A6401" t="str">
        <f t="shared" si="107"/>
        <v>927Loss Rate</v>
      </c>
      <c r="B6401">
        <v>927</v>
      </c>
      <c r="C6401" s="9" t="s">
        <v>33</v>
      </c>
      <c r="D6401" s="8">
        <v>0.33</v>
      </c>
    </row>
    <row r="6402" spans="1:4">
      <c r="A6402" t="str">
        <f t="shared" si="107"/>
        <v>927Win Rate</v>
      </c>
      <c r="B6402">
        <v>927</v>
      </c>
      <c r="C6402" s="9" t="s">
        <v>34</v>
      </c>
      <c r="D6402" s="8">
        <v>0.67</v>
      </c>
    </row>
    <row r="6403" spans="1:4">
      <c r="A6403" t="str">
        <f t="shared" si="107"/>
        <v>927Profit-Loss Ratio</v>
      </c>
      <c r="B6403">
        <v>927</v>
      </c>
      <c r="C6403" s="9" t="s">
        <v>26</v>
      </c>
      <c r="D6403" s="8">
        <v>0.38</v>
      </c>
    </row>
    <row r="6404" spans="1:4">
      <c r="A6404" t="str">
        <f t="shared" si="107"/>
        <v>927Alpha</v>
      </c>
      <c r="B6404">
        <v>927</v>
      </c>
      <c r="C6404" s="9" t="s">
        <v>23</v>
      </c>
      <c r="D6404" s="8">
        <v>-0.01</v>
      </c>
    </row>
    <row r="6405" spans="1:4">
      <c r="A6405" t="str">
        <f t="shared" si="107"/>
        <v>927Beta</v>
      </c>
      <c r="B6405">
        <v>927</v>
      </c>
      <c r="C6405" s="9" t="s">
        <v>24</v>
      </c>
      <c r="D6405" s="8">
        <v>-8.3000000000000004E-2</v>
      </c>
    </row>
    <row r="6406" spans="1:4">
      <c r="A6406" t="str">
        <f t="shared" si="107"/>
        <v>927Annual Standard Deviation</v>
      </c>
      <c r="B6406">
        <v>927</v>
      </c>
      <c r="C6406" s="9" t="s">
        <v>35</v>
      </c>
      <c r="D6406" s="8">
        <v>4.3999999999999997E-2</v>
      </c>
    </row>
    <row r="6407" spans="1:4">
      <c r="A6407" t="str">
        <f t="shared" si="107"/>
        <v>927Annual Variance</v>
      </c>
      <c r="B6407">
        <v>927</v>
      </c>
      <c r="C6407" s="9" t="s">
        <v>36</v>
      </c>
      <c r="D6407" s="8">
        <v>2E-3</v>
      </c>
    </row>
    <row r="6408" spans="1:4">
      <c r="A6408" t="str">
        <f t="shared" si="107"/>
        <v>927Information Ratio</v>
      </c>
      <c r="B6408">
        <v>927</v>
      </c>
      <c r="C6408" s="9" t="s">
        <v>37</v>
      </c>
      <c r="D6408" s="8">
        <v>-0.77800000000000002</v>
      </c>
    </row>
    <row r="6409" spans="1:4">
      <c r="A6409" t="str">
        <f t="shared" si="107"/>
        <v>927Tracking Error</v>
      </c>
      <c r="B6409">
        <v>927</v>
      </c>
      <c r="C6409" s="9" t="s">
        <v>38</v>
      </c>
      <c r="D6409" s="8">
        <v>8.5000000000000006E-2</v>
      </c>
    </row>
    <row r="6410" spans="1:4">
      <c r="A6410" t="str">
        <f t="shared" si="107"/>
        <v>927Treynor Ratio</v>
      </c>
      <c r="B6410">
        <v>927</v>
      </c>
      <c r="C6410" s="9" t="s">
        <v>39</v>
      </c>
      <c r="D6410" s="8">
        <v>0.17599999999999999</v>
      </c>
    </row>
    <row r="6411" spans="1:4">
      <c r="A6411" t="str">
        <f t="shared" si="107"/>
        <v>927Total Fees</v>
      </c>
      <c r="B6411">
        <v>927</v>
      </c>
      <c r="C6411" s="9" t="s">
        <v>40</v>
      </c>
      <c r="D6411" s="8">
        <v>0</v>
      </c>
    </row>
    <row r="6412" spans="1:4">
      <c r="A6412" t="str">
        <f t="shared" si="107"/>
        <v>927Estimated Strategy Capacity</v>
      </c>
      <c r="B6412">
        <v>927</v>
      </c>
      <c r="C6412" s="9" t="s">
        <v>41</v>
      </c>
      <c r="D6412" s="8">
        <v>9400000</v>
      </c>
    </row>
    <row r="6413" spans="1:4">
      <c r="A6413" t="str">
        <f t="shared" si="107"/>
        <v>946PSR</v>
      </c>
      <c r="B6413">
        <v>946</v>
      </c>
      <c r="C6413" s="9" t="s">
        <v>27</v>
      </c>
      <c r="D6413" s="8">
        <v>5.5500000000000001E-2</v>
      </c>
    </row>
    <row r="6414" spans="1:4">
      <c r="A6414" t="str">
        <f t="shared" si="107"/>
        <v>946Sharpe Ratio</v>
      </c>
      <c r="B6414">
        <v>946</v>
      </c>
      <c r="C6414" s="9" t="s">
        <v>1</v>
      </c>
      <c r="D6414" s="8">
        <v>-0.61399999999999999</v>
      </c>
    </row>
    <row r="6415" spans="1:4">
      <c r="A6415" t="str">
        <f t="shared" si="107"/>
        <v>946Total Trades</v>
      </c>
      <c r="B6415">
        <v>946</v>
      </c>
      <c r="C6415" s="9" t="s">
        <v>28</v>
      </c>
      <c r="D6415" s="8">
        <v>1026</v>
      </c>
    </row>
    <row r="6416" spans="1:4">
      <c r="A6416" t="str">
        <f t="shared" si="107"/>
        <v>946Average Win</v>
      </c>
      <c r="B6416">
        <v>946</v>
      </c>
      <c r="C6416" s="9" t="s">
        <v>25</v>
      </c>
      <c r="D6416" s="8">
        <v>0</v>
      </c>
    </row>
    <row r="6417" spans="1:4">
      <c r="A6417" t="str">
        <f t="shared" si="107"/>
        <v>946Average Loss</v>
      </c>
      <c r="B6417">
        <v>946</v>
      </c>
      <c r="C6417" s="9" t="s">
        <v>29</v>
      </c>
      <c r="D6417" s="8">
        <v>0</v>
      </c>
    </row>
    <row r="6418" spans="1:4">
      <c r="A6418" t="str">
        <f t="shared" si="107"/>
        <v>946Compounding Annual Return</v>
      </c>
      <c r="B6418">
        <v>946</v>
      </c>
      <c r="C6418" s="9" t="s">
        <v>30</v>
      </c>
      <c r="D6418" s="8">
        <v>-5.8E-4</v>
      </c>
    </row>
    <row r="6419" spans="1:4">
      <c r="A6419" t="str">
        <f t="shared" si="107"/>
        <v>946Drawdown</v>
      </c>
      <c r="B6419">
        <v>946</v>
      </c>
      <c r="C6419" s="9" t="s">
        <v>8</v>
      </c>
      <c r="D6419" s="8">
        <v>1E-3</v>
      </c>
    </row>
    <row r="6420" spans="1:4">
      <c r="A6420" t="str">
        <f t="shared" si="107"/>
        <v>946Expectancy</v>
      </c>
      <c r="B6420">
        <v>946</v>
      </c>
      <c r="C6420" s="9" t="s">
        <v>31</v>
      </c>
      <c r="D6420" s="8">
        <v>-8.2000000000000003E-2</v>
      </c>
    </row>
    <row r="6421" spans="1:4">
      <c r="A6421" t="str">
        <f t="shared" si="107"/>
        <v>946Net Profit</v>
      </c>
      <c r="B6421">
        <v>946</v>
      </c>
      <c r="C6421" s="9" t="s">
        <v>32</v>
      </c>
      <c r="D6421" s="8">
        <v>-3.8000000000000002E-4</v>
      </c>
    </row>
    <row r="6422" spans="1:4">
      <c r="A6422" t="str">
        <f t="shared" si="107"/>
        <v>946Loss Rate</v>
      </c>
      <c r="B6422">
        <v>946</v>
      </c>
      <c r="C6422" s="9" t="s">
        <v>33</v>
      </c>
      <c r="D6422" s="8">
        <v>0.39</v>
      </c>
    </row>
    <row r="6423" spans="1:4">
      <c r="A6423" t="str">
        <f t="shared" si="107"/>
        <v>946Win Rate</v>
      </c>
      <c r="B6423">
        <v>946</v>
      </c>
      <c r="C6423" s="9" t="s">
        <v>34</v>
      </c>
      <c r="D6423" s="8">
        <v>0.61</v>
      </c>
    </row>
    <row r="6424" spans="1:4">
      <c r="A6424" t="str">
        <f t="shared" si="107"/>
        <v>946Profit-Loss Ratio</v>
      </c>
      <c r="B6424">
        <v>946</v>
      </c>
      <c r="C6424" s="9" t="s">
        <v>26</v>
      </c>
      <c r="D6424" s="8">
        <v>0.5</v>
      </c>
    </row>
    <row r="6425" spans="1:4">
      <c r="A6425" t="str">
        <f t="shared" si="107"/>
        <v>946Alpha</v>
      </c>
      <c r="B6425">
        <v>946</v>
      </c>
      <c r="C6425" s="9" t="s">
        <v>23</v>
      </c>
      <c r="D6425" s="8">
        <v>0</v>
      </c>
    </row>
    <row r="6426" spans="1:4">
      <c r="A6426" t="str">
        <f t="shared" si="107"/>
        <v>946Beta</v>
      </c>
      <c r="B6426">
        <v>946</v>
      </c>
      <c r="C6426" s="9" t="s">
        <v>24</v>
      </c>
      <c r="D6426" s="8">
        <v>-1E-3</v>
      </c>
    </row>
    <row r="6427" spans="1:4">
      <c r="A6427" t="str">
        <f t="shared" si="107"/>
        <v>946Annual Standard Deviation</v>
      </c>
      <c r="B6427">
        <v>946</v>
      </c>
      <c r="C6427" s="9" t="s">
        <v>35</v>
      </c>
      <c r="D6427" s="8">
        <v>1E-3</v>
      </c>
    </row>
    <row r="6428" spans="1:4">
      <c r="A6428" t="str">
        <f t="shared" si="107"/>
        <v>946Annual Variance</v>
      </c>
      <c r="B6428">
        <v>946</v>
      </c>
      <c r="C6428" s="9" t="s">
        <v>36</v>
      </c>
      <c r="D6428" s="8">
        <v>0</v>
      </c>
    </row>
    <row r="6429" spans="1:4">
      <c r="A6429" t="str">
        <f t="shared" si="107"/>
        <v>946Information Ratio</v>
      </c>
      <c r="B6429">
        <v>946</v>
      </c>
      <c r="C6429" s="9" t="s">
        <v>37</v>
      </c>
      <c r="D6429" s="8">
        <v>-0.76900000000000002</v>
      </c>
    </row>
    <row r="6430" spans="1:4">
      <c r="A6430" t="str">
        <f t="shared" si="107"/>
        <v>946Tracking Error</v>
      </c>
      <c r="B6430">
        <v>946</v>
      </c>
      <c r="C6430" s="9" t="s">
        <v>38</v>
      </c>
      <c r="D6430" s="8">
        <v>6.7000000000000004E-2</v>
      </c>
    </row>
    <row r="6431" spans="1:4">
      <c r="A6431" t="str">
        <f t="shared" si="107"/>
        <v>946Treynor Ratio</v>
      </c>
      <c r="B6431">
        <v>946</v>
      </c>
      <c r="C6431" s="9" t="s">
        <v>39</v>
      </c>
      <c r="D6431" s="8">
        <v>0.49</v>
      </c>
    </row>
    <row r="6432" spans="1:4">
      <c r="A6432" t="str">
        <f t="shared" si="107"/>
        <v>946Total Fees</v>
      </c>
      <c r="B6432">
        <v>946</v>
      </c>
      <c r="C6432" s="9" t="s">
        <v>40</v>
      </c>
      <c r="D6432" s="8">
        <v>0</v>
      </c>
    </row>
    <row r="6433" spans="1:4">
      <c r="A6433" t="str">
        <f t="shared" si="107"/>
        <v>946Estimated Strategy Capacity</v>
      </c>
      <c r="B6433">
        <v>946</v>
      </c>
      <c r="C6433" s="9" t="s">
        <v>41</v>
      </c>
      <c r="D6433" s="8">
        <v>120000000</v>
      </c>
    </row>
    <row r="6434" spans="1:4">
      <c r="A6434" t="str">
        <f t="shared" ref="A6434:A6497" si="108">B6434&amp;C6434</f>
        <v>947PSR</v>
      </c>
      <c r="B6434">
        <v>947</v>
      </c>
      <c r="C6434" s="9" t="s">
        <v>27</v>
      </c>
      <c r="D6434" s="8">
        <v>5.5829999999999998E-2</v>
      </c>
    </row>
    <row r="6435" spans="1:4">
      <c r="A6435" t="str">
        <f t="shared" si="108"/>
        <v>947Sharpe Ratio</v>
      </c>
      <c r="B6435">
        <v>947</v>
      </c>
      <c r="C6435" s="9" t="s">
        <v>1</v>
      </c>
      <c r="D6435" s="8">
        <v>-0.61</v>
      </c>
    </row>
    <row r="6436" spans="1:4">
      <c r="A6436" t="str">
        <f t="shared" si="108"/>
        <v>947Total Trades</v>
      </c>
      <c r="B6436">
        <v>947</v>
      </c>
      <c r="C6436" s="9" t="s">
        <v>28</v>
      </c>
      <c r="D6436" s="8">
        <v>1026</v>
      </c>
    </row>
    <row r="6437" spans="1:4">
      <c r="A6437" t="str">
        <f t="shared" si="108"/>
        <v>947Average Win</v>
      </c>
      <c r="B6437">
        <v>947</v>
      </c>
      <c r="C6437" s="9" t="s">
        <v>25</v>
      </c>
      <c r="D6437" s="8">
        <v>2.0000000000000001E-4</v>
      </c>
    </row>
    <row r="6438" spans="1:4">
      <c r="A6438" t="str">
        <f t="shared" si="108"/>
        <v>947Average Loss</v>
      </c>
      <c r="B6438">
        <v>947</v>
      </c>
      <c r="C6438" s="9" t="s">
        <v>29</v>
      </c>
      <c r="D6438" s="8">
        <v>-4.0000000000000002E-4</v>
      </c>
    </row>
    <row r="6439" spans="1:4">
      <c r="A6439" t="str">
        <f t="shared" si="108"/>
        <v>947Compounding Annual Return</v>
      </c>
      <c r="B6439">
        <v>947</v>
      </c>
      <c r="C6439" s="9" t="s">
        <v>30</v>
      </c>
      <c r="D6439" s="8">
        <v>-5.7499999999999999E-3</v>
      </c>
    </row>
    <row r="6440" spans="1:4">
      <c r="A6440" t="str">
        <f t="shared" si="108"/>
        <v>947Drawdown</v>
      </c>
      <c r="B6440">
        <v>947</v>
      </c>
      <c r="C6440" s="9" t="s">
        <v>8</v>
      </c>
      <c r="D6440" s="8">
        <v>1.0999999999999999E-2</v>
      </c>
    </row>
    <row r="6441" spans="1:4">
      <c r="A6441" t="str">
        <f t="shared" si="108"/>
        <v>947Expectancy</v>
      </c>
      <c r="B6441">
        <v>947</v>
      </c>
      <c r="C6441" s="9" t="s">
        <v>31</v>
      </c>
      <c r="D6441" s="8">
        <v>-8.1000000000000003E-2</v>
      </c>
    </row>
    <row r="6442" spans="1:4">
      <c r="A6442" t="str">
        <f t="shared" si="108"/>
        <v>947Net Profit</v>
      </c>
      <c r="B6442">
        <v>947</v>
      </c>
      <c r="C6442" s="9" t="s">
        <v>32</v>
      </c>
      <c r="D6442" s="8">
        <v>-3.81E-3</v>
      </c>
    </row>
    <row r="6443" spans="1:4">
      <c r="A6443" t="str">
        <f t="shared" si="108"/>
        <v>947Loss Rate</v>
      </c>
      <c r="B6443">
        <v>947</v>
      </c>
      <c r="C6443" s="9" t="s">
        <v>33</v>
      </c>
      <c r="D6443" s="8">
        <v>0.39</v>
      </c>
    </row>
    <row r="6444" spans="1:4">
      <c r="A6444" t="str">
        <f t="shared" si="108"/>
        <v>947Win Rate</v>
      </c>
      <c r="B6444">
        <v>947</v>
      </c>
      <c r="C6444" s="9" t="s">
        <v>34</v>
      </c>
      <c r="D6444" s="8">
        <v>0.61</v>
      </c>
    </row>
    <row r="6445" spans="1:4">
      <c r="A6445" t="str">
        <f t="shared" si="108"/>
        <v>947Profit-Loss Ratio</v>
      </c>
      <c r="B6445">
        <v>947</v>
      </c>
      <c r="C6445" s="9" t="s">
        <v>26</v>
      </c>
      <c r="D6445" s="8">
        <v>0.5</v>
      </c>
    </row>
    <row r="6446" spans="1:4">
      <c r="A6446" t="str">
        <f t="shared" si="108"/>
        <v>947Alpha</v>
      </c>
      <c r="B6446">
        <v>947</v>
      </c>
      <c r="C6446" s="9" t="s">
        <v>23</v>
      </c>
      <c r="D6446" s="8">
        <v>-4.0000000000000001E-3</v>
      </c>
    </row>
    <row r="6447" spans="1:4">
      <c r="A6447" t="str">
        <f t="shared" si="108"/>
        <v>947Beta</v>
      </c>
      <c r="B6447">
        <v>947</v>
      </c>
      <c r="C6447" s="9" t="s">
        <v>24</v>
      </c>
      <c r="D6447" s="8">
        <v>-8.0000000000000002E-3</v>
      </c>
    </row>
    <row r="6448" spans="1:4">
      <c r="A6448" t="str">
        <f t="shared" si="108"/>
        <v>947Annual Standard Deviation</v>
      </c>
      <c r="B6448">
        <v>947</v>
      </c>
      <c r="C6448" s="9" t="s">
        <v>35</v>
      </c>
      <c r="D6448" s="8">
        <v>7.0000000000000001E-3</v>
      </c>
    </row>
    <row r="6449" spans="1:4">
      <c r="A6449" t="str">
        <f t="shared" si="108"/>
        <v>947Annual Variance</v>
      </c>
      <c r="B6449">
        <v>947</v>
      </c>
      <c r="C6449" s="9" t="s">
        <v>36</v>
      </c>
      <c r="D6449" s="8">
        <v>0</v>
      </c>
    </row>
    <row r="6450" spans="1:4">
      <c r="A6450" t="str">
        <f t="shared" si="108"/>
        <v>947Information Ratio</v>
      </c>
      <c r="B6450">
        <v>947</v>
      </c>
      <c r="C6450" s="9" t="s">
        <v>37</v>
      </c>
      <c r="D6450" s="8">
        <v>-0.81299999999999994</v>
      </c>
    </row>
    <row r="6451" spans="1:4">
      <c r="A6451" t="str">
        <f t="shared" si="108"/>
        <v>947Tracking Error</v>
      </c>
      <c r="B6451">
        <v>947</v>
      </c>
      <c r="C6451" s="9" t="s">
        <v>38</v>
      </c>
      <c r="D6451" s="8">
        <v>6.8000000000000005E-2</v>
      </c>
    </row>
    <row r="6452" spans="1:4">
      <c r="A6452" t="str">
        <f t="shared" si="108"/>
        <v>947Treynor Ratio</v>
      </c>
      <c r="B6452">
        <v>947</v>
      </c>
      <c r="C6452" s="9" t="s">
        <v>39</v>
      </c>
      <c r="D6452" s="8">
        <v>0.48699999999999999</v>
      </c>
    </row>
    <row r="6453" spans="1:4">
      <c r="A6453" t="str">
        <f t="shared" si="108"/>
        <v>947Total Fees</v>
      </c>
      <c r="B6453">
        <v>947</v>
      </c>
      <c r="C6453" s="9" t="s">
        <v>40</v>
      </c>
      <c r="D6453" s="8">
        <v>0</v>
      </c>
    </row>
    <row r="6454" spans="1:4">
      <c r="A6454" t="str">
        <f t="shared" si="108"/>
        <v>947Estimated Strategy Capacity</v>
      </c>
      <c r="B6454">
        <v>947</v>
      </c>
      <c r="C6454" s="9" t="s">
        <v>41</v>
      </c>
      <c r="D6454" s="8">
        <v>15000000</v>
      </c>
    </row>
    <row r="6455" spans="1:4">
      <c r="A6455" t="str">
        <f t="shared" si="108"/>
        <v>948PSR</v>
      </c>
      <c r="B6455">
        <v>948</v>
      </c>
      <c r="C6455" s="9" t="s">
        <v>27</v>
      </c>
      <c r="D6455" s="8">
        <v>8.0049999999999996E-2</v>
      </c>
    </row>
    <row r="6456" spans="1:4">
      <c r="A6456" t="str">
        <f t="shared" si="108"/>
        <v>948Sharpe Ratio</v>
      </c>
      <c r="B6456">
        <v>948</v>
      </c>
      <c r="C6456" s="9" t="s">
        <v>1</v>
      </c>
      <c r="D6456" s="8">
        <v>-0.433</v>
      </c>
    </row>
    <row r="6457" spans="1:4">
      <c r="A6457" t="str">
        <f t="shared" si="108"/>
        <v>948Total Trades</v>
      </c>
      <c r="B6457">
        <v>948</v>
      </c>
      <c r="C6457" s="9" t="s">
        <v>28</v>
      </c>
      <c r="D6457" s="8">
        <v>978</v>
      </c>
    </row>
    <row r="6458" spans="1:4">
      <c r="A6458" t="str">
        <f t="shared" si="108"/>
        <v>948Average Win</v>
      </c>
      <c r="B6458">
        <v>948</v>
      </c>
      <c r="C6458" s="9" t="s">
        <v>25</v>
      </c>
      <c r="D6458" s="8">
        <v>2.9999999999999997E-4</v>
      </c>
    </row>
    <row r="6459" spans="1:4">
      <c r="A6459" t="str">
        <f t="shared" si="108"/>
        <v>948Average Loss</v>
      </c>
      <c r="B6459">
        <v>948</v>
      </c>
      <c r="C6459" s="9" t="s">
        <v>29</v>
      </c>
      <c r="D6459" s="8">
        <v>-5.9999999999999995E-4</v>
      </c>
    </row>
    <row r="6460" spans="1:4">
      <c r="A6460" t="str">
        <f t="shared" si="108"/>
        <v>948Compounding Annual Return</v>
      </c>
      <c r="B6460">
        <v>948</v>
      </c>
      <c r="C6460" s="9" t="s">
        <v>30</v>
      </c>
      <c r="D6460" s="8">
        <v>-7.3699999999999998E-3</v>
      </c>
    </row>
    <row r="6461" spans="1:4">
      <c r="A6461" t="str">
        <f t="shared" si="108"/>
        <v>948Drawdown</v>
      </c>
      <c r="B6461">
        <v>948</v>
      </c>
      <c r="C6461" s="9" t="s">
        <v>8</v>
      </c>
      <c r="D6461" s="8">
        <v>1.9E-2</v>
      </c>
    </row>
    <row r="6462" spans="1:4">
      <c r="A6462" t="str">
        <f t="shared" si="108"/>
        <v>948Expectancy</v>
      </c>
      <c r="B6462">
        <v>948</v>
      </c>
      <c r="C6462" s="9" t="s">
        <v>31</v>
      </c>
      <c r="D6462" s="8">
        <v>-5.8000000000000003E-2</v>
      </c>
    </row>
    <row r="6463" spans="1:4">
      <c r="A6463" t="str">
        <f t="shared" si="108"/>
        <v>948Net Profit</v>
      </c>
      <c r="B6463">
        <v>948</v>
      </c>
      <c r="C6463" s="9" t="s">
        <v>32</v>
      </c>
      <c r="D6463" s="8">
        <v>-4.8900000000000002E-3</v>
      </c>
    </row>
    <row r="6464" spans="1:4">
      <c r="A6464" t="str">
        <f t="shared" si="108"/>
        <v>948Loss Rate</v>
      </c>
      <c r="B6464">
        <v>948</v>
      </c>
      <c r="C6464" s="9" t="s">
        <v>33</v>
      </c>
      <c r="D6464" s="8">
        <v>0.39</v>
      </c>
    </row>
    <row r="6465" spans="1:4">
      <c r="A6465" t="str">
        <f t="shared" si="108"/>
        <v>948Win Rate</v>
      </c>
      <c r="B6465">
        <v>948</v>
      </c>
      <c r="C6465" s="9" t="s">
        <v>34</v>
      </c>
      <c r="D6465" s="8">
        <v>0.61</v>
      </c>
    </row>
    <row r="6466" spans="1:4">
      <c r="A6466" t="str">
        <f t="shared" si="108"/>
        <v>948Profit-Loss Ratio</v>
      </c>
      <c r="B6466">
        <v>948</v>
      </c>
      <c r="C6466" s="9" t="s">
        <v>26</v>
      </c>
      <c r="D6466" s="8">
        <v>0.53</v>
      </c>
    </row>
    <row r="6467" spans="1:4">
      <c r="A6467" t="str">
        <f t="shared" si="108"/>
        <v>948Alpha</v>
      </c>
      <c r="B6467">
        <v>948</v>
      </c>
      <c r="C6467" s="9" t="s">
        <v>23</v>
      </c>
      <c r="D6467" s="8">
        <v>-4.0000000000000001E-3</v>
      </c>
    </row>
    <row r="6468" spans="1:4">
      <c r="A6468" t="str">
        <f t="shared" si="108"/>
        <v>948Beta</v>
      </c>
      <c r="B6468">
        <v>948</v>
      </c>
      <c r="C6468" s="9" t="s">
        <v>24</v>
      </c>
      <c r="D6468" s="8">
        <v>-1.4E-2</v>
      </c>
    </row>
    <row r="6469" spans="1:4">
      <c r="A6469" t="str">
        <f t="shared" si="108"/>
        <v>948Annual Standard Deviation</v>
      </c>
      <c r="B6469">
        <v>948</v>
      </c>
      <c r="C6469" s="9" t="s">
        <v>35</v>
      </c>
      <c r="D6469" s="8">
        <v>1.2E-2</v>
      </c>
    </row>
    <row r="6470" spans="1:4">
      <c r="A6470" t="str">
        <f t="shared" si="108"/>
        <v>948Annual Variance</v>
      </c>
      <c r="B6470">
        <v>948</v>
      </c>
      <c r="C6470" s="9" t="s">
        <v>36</v>
      </c>
      <c r="D6470" s="8">
        <v>0</v>
      </c>
    </row>
    <row r="6471" spans="1:4">
      <c r="A6471" t="str">
        <f t="shared" si="108"/>
        <v>948Information Ratio</v>
      </c>
      <c r="B6471">
        <v>948</v>
      </c>
      <c r="C6471" s="9" t="s">
        <v>37</v>
      </c>
      <c r="D6471" s="8">
        <v>-0.81499999999999995</v>
      </c>
    </row>
    <row r="6472" spans="1:4">
      <c r="A6472" t="str">
        <f t="shared" si="108"/>
        <v>948Tracking Error</v>
      </c>
      <c r="B6472">
        <v>948</v>
      </c>
      <c r="C6472" s="9" t="s">
        <v>38</v>
      </c>
      <c r="D6472" s="8">
        <v>6.9000000000000006E-2</v>
      </c>
    </row>
    <row r="6473" spans="1:4">
      <c r="A6473" t="str">
        <f t="shared" si="108"/>
        <v>948Treynor Ratio</v>
      </c>
      <c r="B6473">
        <v>948</v>
      </c>
      <c r="C6473" s="9" t="s">
        <v>39</v>
      </c>
      <c r="D6473" s="8">
        <v>0.35099999999999998</v>
      </c>
    </row>
    <row r="6474" spans="1:4">
      <c r="A6474" t="str">
        <f t="shared" si="108"/>
        <v>948Total Fees</v>
      </c>
      <c r="B6474">
        <v>948</v>
      </c>
      <c r="C6474" s="9" t="s">
        <v>40</v>
      </c>
      <c r="D6474" s="8">
        <v>0</v>
      </c>
    </row>
    <row r="6475" spans="1:4">
      <c r="A6475" t="str">
        <f t="shared" si="108"/>
        <v>948Estimated Strategy Capacity</v>
      </c>
      <c r="B6475">
        <v>948</v>
      </c>
      <c r="C6475" s="9" t="s">
        <v>41</v>
      </c>
      <c r="D6475" s="8">
        <v>9500000</v>
      </c>
    </row>
    <row r="6476" spans="1:4">
      <c r="A6476" t="str">
        <f t="shared" si="108"/>
        <v>949PSR</v>
      </c>
      <c r="B6476">
        <v>949</v>
      </c>
      <c r="C6476" s="9" t="s">
        <v>27</v>
      </c>
      <c r="D6476" s="8">
        <v>2.0000000000000002E-5</v>
      </c>
    </row>
    <row r="6477" spans="1:4">
      <c r="A6477" t="str">
        <f t="shared" si="108"/>
        <v>949Sharpe Ratio</v>
      </c>
      <c r="B6477">
        <v>949</v>
      </c>
      <c r="C6477" s="9" t="s">
        <v>1</v>
      </c>
      <c r="D6477" s="8">
        <v>-2.14</v>
      </c>
    </row>
    <row r="6478" spans="1:4">
      <c r="A6478" t="str">
        <f t="shared" si="108"/>
        <v>949Total Trades</v>
      </c>
      <c r="B6478">
        <v>949</v>
      </c>
      <c r="C6478" s="9" t="s">
        <v>28</v>
      </c>
      <c r="D6478" s="8">
        <v>1141</v>
      </c>
    </row>
    <row r="6479" spans="1:4">
      <c r="A6479" t="str">
        <f t="shared" si="108"/>
        <v>949Average Win</v>
      </c>
      <c r="B6479">
        <v>949</v>
      </c>
      <c r="C6479" s="9" t="s">
        <v>25</v>
      </c>
      <c r="D6479" s="8">
        <v>0</v>
      </c>
    </row>
    <row r="6480" spans="1:4">
      <c r="A6480" t="str">
        <f t="shared" si="108"/>
        <v>949Average Loss</v>
      </c>
      <c r="B6480">
        <v>949</v>
      </c>
      <c r="C6480" s="9" t="s">
        <v>29</v>
      </c>
      <c r="D6480" s="8">
        <v>0</v>
      </c>
    </row>
    <row r="6481" spans="1:4">
      <c r="A6481" t="str">
        <f t="shared" si="108"/>
        <v>949Compounding Annual Return</v>
      </c>
      <c r="B6481">
        <v>949</v>
      </c>
      <c r="C6481" s="9" t="s">
        <v>30</v>
      </c>
      <c r="D6481" s="8">
        <v>-2.0400000000000001E-3</v>
      </c>
    </row>
    <row r="6482" spans="1:4">
      <c r="A6482" t="str">
        <f t="shared" si="108"/>
        <v>949Drawdown</v>
      </c>
      <c r="B6482">
        <v>949</v>
      </c>
      <c r="C6482" s="9" t="s">
        <v>8</v>
      </c>
      <c r="D6482" s="8">
        <v>1E-3</v>
      </c>
    </row>
    <row r="6483" spans="1:4">
      <c r="A6483" t="str">
        <f t="shared" si="108"/>
        <v>949Expectancy</v>
      </c>
      <c r="B6483">
        <v>949</v>
      </c>
      <c r="C6483" s="9" t="s">
        <v>31</v>
      </c>
      <c r="D6483" s="8">
        <v>-0.26500000000000001</v>
      </c>
    </row>
    <row r="6484" spans="1:4">
      <c r="A6484" t="str">
        <f t="shared" si="108"/>
        <v>949Net Profit</v>
      </c>
      <c r="B6484">
        <v>949</v>
      </c>
      <c r="C6484" s="9" t="s">
        <v>32</v>
      </c>
      <c r="D6484" s="8">
        <v>-1.3500000000000001E-3</v>
      </c>
    </row>
    <row r="6485" spans="1:4">
      <c r="A6485" t="str">
        <f t="shared" si="108"/>
        <v>949Loss Rate</v>
      </c>
      <c r="B6485">
        <v>949</v>
      </c>
      <c r="C6485" s="9" t="s">
        <v>33</v>
      </c>
      <c r="D6485" s="8">
        <v>0.4</v>
      </c>
    </row>
    <row r="6486" spans="1:4">
      <c r="A6486" t="str">
        <f t="shared" si="108"/>
        <v>949Win Rate</v>
      </c>
      <c r="B6486">
        <v>949</v>
      </c>
      <c r="C6486" s="9" t="s">
        <v>34</v>
      </c>
      <c r="D6486" s="8">
        <v>0.6</v>
      </c>
    </row>
    <row r="6487" spans="1:4">
      <c r="A6487" t="str">
        <f t="shared" si="108"/>
        <v>949Profit-Loss Ratio</v>
      </c>
      <c r="B6487">
        <v>949</v>
      </c>
      <c r="C6487" s="9" t="s">
        <v>26</v>
      </c>
      <c r="D6487" s="8">
        <v>0.23</v>
      </c>
    </row>
    <row r="6488" spans="1:4">
      <c r="A6488" t="str">
        <f t="shared" si="108"/>
        <v>949Alpha</v>
      </c>
      <c r="B6488">
        <v>949</v>
      </c>
      <c r="C6488" s="9" t="s">
        <v>23</v>
      </c>
      <c r="D6488" s="8">
        <v>-1E-3</v>
      </c>
    </row>
    <row r="6489" spans="1:4">
      <c r="A6489" t="str">
        <f t="shared" si="108"/>
        <v>949Beta</v>
      </c>
      <c r="B6489">
        <v>949</v>
      </c>
      <c r="C6489" s="9" t="s">
        <v>24</v>
      </c>
      <c r="D6489" s="8">
        <v>0</v>
      </c>
    </row>
    <row r="6490" spans="1:4">
      <c r="A6490" t="str">
        <f t="shared" si="108"/>
        <v>949Annual Standard Deviation</v>
      </c>
      <c r="B6490">
        <v>949</v>
      </c>
      <c r="C6490" s="9" t="s">
        <v>35</v>
      </c>
      <c r="D6490" s="8">
        <v>1E-3</v>
      </c>
    </row>
    <row r="6491" spans="1:4">
      <c r="A6491" t="str">
        <f t="shared" si="108"/>
        <v>949Annual Variance</v>
      </c>
      <c r="B6491">
        <v>949</v>
      </c>
      <c r="C6491" s="9" t="s">
        <v>36</v>
      </c>
      <c r="D6491" s="8">
        <v>0</v>
      </c>
    </row>
    <row r="6492" spans="1:4">
      <c r="A6492" t="str">
        <f t="shared" si="108"/>
        <v>949Information Ratio</v>
      </c>
      <c r="B6492">
        <v>949</v>
      </c>
      <c r="C6492" s="9" t="s">
        <v>37</v>
      </c>
      <c r="D6492" s="8">
        <v>-0.78500000000000003</v>
      </c>
    </row>
    <row r="6493" spans="1:4">
      <c r="A6493" t="str">
        <f t="shared" si="108"/>
        <v>949Tracking Error</v>
      </c>
      <c r="B6493">
        <v>949</v>
      </c>
      <c r="C6493" s="9" t="s">
        <v>38</v>
      </c>
      <c r="D6493" s="8">
        <v>6.7000000000000004E-2</v>
      </c>
    </row>
    <row r="6494" spans="1:4">
      <c r="A6494" t="str">
        <f t="shared" si="108"/>
        <v>949Treynor Ratio</v>
      </c>
      <c r="B6494">
        <v>949</v>
      </c>
      <c r="C6494" s="9" t="s">
        <v>39</v>
      </c>
      <c r="D6494" s="8">
        <v>-3.879</v>
      </c>
    </row>
    <row r="6495" spans="1:4">
      <c r="A6495" t="str">
        <f t="shared" si="108"/>
        <v>949Total Fees</v>
      </c>
      <c r="B6495">
        <v>949</v>
      </c>
      <c r="C6495" s="9" t="s">
        <v>40</v>
      </c>
      <c r="D6495" s="8">
        <v>0</v>
      </c>
    </row>
    <row r="6496" spans="1:4">
      <c r="A6496" t="str">
        <f t="shared" si="108"/>
        <v>949Estimated Strategy Capacity</v>
      </c>
      <c r="B6496">
        <v>949</v>
      </c>
      <c r="C6496" s="9" t="s">
        <v>41</v>
      </c>
      <c r="D6496" s="8">
        <v>6400000</v>
      </c>
    </row>
    <row r="6497" spans="1:4">
      <c r="A6497" t="str">
        <f t="shared" si="108"/>
        <v>950PSR</v>
      </c>
      <c r="B6497">
        <v>950</v>
      </c>
      <c r="C6497" s="9" t="s">
        <v>27</v>
      </c>
      <c r="D6497" s="8">
        <v>2.0000000000000002E-5</v>
      </c>
    </row>
    <row r="6498" spans="1:4">
      <c r="A6498" t="str">
        <f t="shared" ref="A6498:A6561" si="109">B6498&amp;C6498</f>
        <v>950Sharpe Ratio</v>
      </c>
      <c r="B6498">
        <v>950</v>
      </c>
      <c r="C6498" s="9" t="s">
        <v>1</v>
      </c>
      <c r="D6498" s="8">
        <v>-2.1240000000000001</v>
      </c>
    </row>
    <row r="6499" spans="1:4">
      <c r="A6499" t="str">
        <f t="shared" si="109"/>
        <v>950Total Trades</v>
      </c>
      <c r="B6499">
        <v>950</v>
      </c>
      <c r="C6499" s="9" t="s">
        <v>28</v>
      </c>
      <c r="D6499" s="8">
        <v>1141</v>
      </c>
    </row>
    <row r="6500" spans="1:4">
      <c r="A6500" t="str">
        <f t="shared" si="109"/>
        <v>950Average Win</v>
      </c>
      <c r="B6500">
        <v>950</v>
      </c>
      <c r="C6500" s="9" t="s">
        <v>25</v>
      </c>
      <c r="D6500" s="8">
        <v>1E-4</v>
      </c>
    </row>
    <row r="6501" spans="1:4">
      <c r="A6501" t="str">
        <f t="shared" si="109"/>
        <v>950Average Loss</v>
      </c>
      <c r="B6501">
        <v>950</v>
      </c>
      <c r="C6501" s="9" t="s">
        <v>29</v>
      </c>
      <c r="D6501" s="8">
        <v>-4.0000000000000002E-4</v>
      </c>
    </row>
    <row r="6502" spans="1:4">
      <c r="A6502" t="str">
        <f t="shared" si="109"/>
        <v>950Compounding Annual Return</v>
      </c>
      <c r="B6502">
        <v>950</v>
      </c>
      <c r="C6502" s="9" t="s">
        <v>30</v>
      </c>
      <c r="D6502" s="8">
        <v>-2.034E-2</v>
      </c>
    </row>
    <row r="6503" spans="1:4">
      <c r="A6503" t="str">
        <f t="shared" si="109"/>
        <v>950Drawdown</v>
      </c>
      <c r="B6503">
        <v>950</v>
      </c>
      <c r="C6503" s="9" t="s">
        <v>8</v>
      </c>
      <c r="D6503" s="8">
        <v>1.4E-2</v>
      </c>
    </row>
    <row r="6504" spans="1:4">
      <c r="A6504" t="str">
        <f t="shared" si="109"/>
        <v>950Expectancy</v>
      </c>
      <c r="B6504">
        <v>950</v>
      </c>
      <c r="C6504" s="9" t="s">
        <v>31</v>
      </c>
      <c r="D6504" s="8">
        <v>-0.26500000000000001</v>
      </c>
    </row>
    <row r="6505" spans="1:4">
      <c r="A6505" t="str">
        <f t="shared" si="109"/>
        <v>950Net Profit</v>
      </c>
      <c r="B6505">
        <v>950</v>
      </c>
      <c r="C6505" s="9" t="s">
        <v>32</v>
      </c>
      <c r="D6505" s="8">
        <v>-1.353E-2</v>
      </c>
    </row>
    <row r="6506" spans="1:4">
      <c r="A6506" t="str">
        <f t="shared" si="109"/>
        <v>950Loss Rate</v>
      </c>
      <c r="B6506">
        <v>950</v>
      </c>
      <c r="C6506" s="9" t="s">
        <v>33</v>
      </c>
      <c r="D6506" s="8">
        <v>0.4</v>
      </c>
    </row>
    <row r="6507" spans="1:4">
      <c r="A6507" t="str">
        <f t="shared" si="109"/>
        <v>950Win Rate</v>
      </c>
      <c r="B6507">
        <v>950</v>
      </c>
      <c r="C6507" s="9" t="s">
        <v>34</v>
      </c>
      <c r="D6507" s="8">
        <v>0.6</v>
      </c>
    </row>
    <row r="6508" spans="1:4">
      <c r="A6508" t="str">
        <f t="shared" si="109"/>
        <v>950Profit-Loss Ratio</v>
      </c>
      <c r="B6508">
        <v>950</v>
      </c>
      <c r="C6508" s="9" t="s">
        <v>26</v>
      </c>
      <c r="D6508" s="8">
        <v>0.23</v>
      </c>
    </row>
    <row r="6509" spans="1:4">
      <c r="A6509" t="str">
        <f t="shared" si="109"/>
        <v>950Alpha</v>
      </c>
      <c r="B6509">
        <v>950</v>
      </c>
      <c r="C6509" s="9" t="s">
        <v>23</v>
      </c>
      <c r="D6509" s="8">
        <v>-1.4E-2</v>
      </c>
    </row>
    <row r="6510" spans="1:4">
      <c r="A6510" t="str">
        <f t="shared" si="109"/>
        <v>950Beta</v>
      </c>
      <c r="B6510">
        <v>950</v>
      </c>
      <c r="C6510" s="9" t="s">
        <v>24</v>
      </c>
      <c r="D6510" s="8">
        <v>4.0000000000000001E-3</v>
      </c>
    </row>
    <row r="6511" spans="1:4">
      <c r="A6511" t="str">
        <f t="shared" si="109"/>
        <v>950Annual Standard Deviation</v>
      </c>
      <c r="B6511">
        <v>950</v>
      </c>
      <c r="C6511" s="9" t="s">
        <v>35</v>
      </c>
      <c r="D6511" s="8">
        <v>7.0000000000000001E-3</v>
      </c>
    </row>
    <row r="6512" spans="1:4">
      <c r="A6512" t="str">
        <f t="shared" si="109"/>
        <v>950Annual Variance</v>
      </c>
      <c r="B6512">
        <v>950</v>
      </c>
      <c r="C6512" s="9" t="s">
        <v>36</v>
      </c>
      <c r="D6512" s="8">
        <v>0</v>
      </c>
    </row>
    <row r="6513" spans="1:4">
      <c r="A6513" t="str">
        <f t="shared" si="109"/>
        <v>950Information Ratio</v>
      </c>
      <c r="B6513">
        <v>950</v>
      </c>
      <c r="C6513" s="9" t="s">
        <v>37</v>
      </c>
      <c r="D6513" s="8">
        <v>-0.97199999999999998</v>
      </c>
    </row>
    <row r="6514" spans="1:4">
      <c r="A6514" t="str">
        <f t="shared" si="109"/>
        <v>950Tracking Error</v>
      </c>
      <c r="B6514">
        <v>950</v>
      </c>
      <c r="C6514" s="9" t="s">
        <v>38</v>
      </c>
      <c r="D6514" s="8">
        <v>6.7000000000000004E-2</v>
      </c>
    </row>
    <row r="6515" spans="1:4">
      <c r="A6515" t="str">
        <f t="shared" si="109"/>
        <v>950Treynor Ratio</v>
      </c>
      <c r="B6515">
        <v>950</v>
      </c>
      <c r="C6515" s="9" t="s">
        <v>39</v>
      </c>
      <c r="D6515" s="8">
        <v>-3.8559999999999999</v>
      </c>
    </row>
    <row r="6516" spans="1:4">
      <c r="A6516" t="str">
        <f t="shared" si="109"/>
        <v>950Total Fees</v>
      </c>
      <c r="B6516">
        <v>950</v>
      </c>
      <c r="C6516" s="9" t="s">
        <v>40</v>
      </c>
      <c r="D6516" s="8">
        <v>0</v>
      </c>
    </row>
    <row r="6517" spans="1:4">
      <c r="A6517" t="str">
        <f t="shared" si="109"/>
        <v>950Estimated Strategy Capacity</v>
      </c>
      <c r="B6517">
        <v>950</v>
      </c>
      <c r="C6517" s="9" t="s">
        <v>41</v>
      </c>
      <c r="D6517" s="8">
        <v>6400000</v>
      </c>
    </row>
    <row r="6518" spans="1:4">
      <c r="A6518" t="str">
        <f t="shared" si="109"/>
        <v>951PSR</v>
      </c>
      <c r="B6518">
        <v>951</v>
      </c>
      <c r="C6518" s="9" t="s">
        <v>27</v>
      </c>
      <c r="D6518" s="8">
        <v>9.0000000000000006E-5</v>
      </c>
    </row>
    <row r="6519" spans="1:4">
      <c r="A6519" t="str">
        <f t="shared" si="109"/>
        <v>951Sharpe Ratio</v>
      </c>
      <c r="B6519">
        <v>951</v>
      </c>
      <c r="C6519" s="9" t="s">
        <v>1</v>
      </c>
      <c r="D6519" s="8">
        <v>-1.9770000000000001</v>
      </c>
    </row>
    <row r="6520" spans="1:4">
      <c r="A6520" t="str">
        <f t="shared" si="109"/>
        <v>951Total Trades</v>
      </c>
      <c r="B6520">
        <v>951</v>
      </c>
      <c r="C6520" s="9" t="s">
        <v>28</v>
      </c>
      <c r="D6520" s="8">
        <v>1095</v>
      </c>
    </row>
    <row r="6521" spans="1:4">
      <c r="A6521" t="str">
        <f t="shared" si="109"/>
        <v>951Average Win</v>
      </c>
      <c r="B6521">
        <v>951</v>
      </c>
      <c r="C6521" s="9" t="s">
        <v>25</v>
      </c>
      <c r="D6521" s="8">
        <v>2.0000000000000001E-4</v>
      </c>
    </row>
    <row r="6522" spans="1:4">
      <c r="A6522" t="str">
        <f t="shared" si="109"/>
        <v>951Average Loss</v>
      </c>
      <c r="B6522">
        <v>951</v>
      </c>
      <c r="C6522" s="9" t="s">
        <v>29</v>
      </c>
      <c r="D6522" s="8">
        <v>-6.9999999999999999E-4</v>
      </c>
    </row>
    <row r="6523" spans="1:4">
      <c r="A6523" t="str">
        <f t="shared" si="109"/>
        <v>951Compounding Annual Return</v>
      </c>
      <c r="B6523">
        <v>951</v>
      </c>
      <c r="C6523" s="9" t="s">
        <v>30</v>
      </c>
      <c r="D6523" s="8">
        <v>-3.3610000000000001E-2</v>
      </c>
    </row>
    <row r="6524" spans="1:4">
      <c r="A6524" t="str">
        <f t="shared" si="109"/>
        <v>951Drawdown</v>
      </c>
      <c r="B6524">
        <v>951</v>
      </c>
      <c r="C6524" s="9" t="s">
        <v>8</v>
      </c>
      <c r="D6524" s="8">
        <v>2.3E-2</v>
      </c>
    </row>
    <row r="6525" spans="1:4">
      <c r="A6525" t="str">
        <f t="shared" si="109"/>
        <v>951Expectancy</v>
      </c>
      <c r="B6525">
        <v>951</v>
      </c>
      <c r="C6525" s="9" t="s">
        <v>31</v>
      </c>
      <c r="D6525" s="8">
        <v>-0.23599999999999999</v>
      </c>
    </row>
    <row r="6526" spans="1:4">
      <c r="A6526" t="str">
        <f t="shared" si="109"/>
        <v>951Net Profit</v>
      </c>
      <c r="B6526">
        <v>951</v>
      </c>
      <c r="C6526" s="9" t="s">
        <v>32</v>
      </c>
      <c r="D6526" s="8">
        <v>-2.2409999999999999E-2</v>
      </c>
    </row>
    <row r="6527" spans="1:4">
      <c r="A6527" t="str">
        <f t="shared" si="109"/>
        <v>951Loss Rate</v>
      </c>
      <c r="B6527">
        <v>951</v>
      </c>
      <c r="C6527" s="9" t="s">
        <v>33</v>
      </c>
      <c r="D6527" s="8">
        <v>0.38</v>
      </c>
    </row>
    <row r="6528" spans="1:4">
      <c r="A6528" t="str">
        <f t="shared" si="109"/>
        <v>951Win Rate</v>
      </c>
      <c r="B6528">
        <v>951</v>
      </c>
      <c r="C6528" s="9" t="s">
        <v>34</v>
      </c>
      <c r="D6528" s="8">
        <v>0.62</v>
      </c>
    </row>
    <row r="6529" spans="1:4">
      <c r="A6529" t="str">
        <f t="shared" si="109"/>
        <v>951Profit-Loss Ratio</v>
      </c>
      <c r="B6529">
        <v>951</v>
      </c>
      <c r="C6529" s="9" t="s">
        <v>26</v>
      </c>
      <c r="D6529" s="8">
        <v>0.23</v>
      </c>
    </row>
    <row r="6530" spans="1:4">
      <c r="A6530" t="str">
        <f t="shared" si="109"/>
        <v>951Alpha</v>
      </c>
      <c r="B6530">
        <v>951</v>
      </c>
      <c r="C6530" s="9" t="s">
        <v>23</v>
      </c>
      <c r="D6530" s="8">
        <v>-2.4E-2</v>
      </c>
    </row>
    <row r="6531" spans="1:4">
      <c r="A6531" t="str">
        <f t="shared" si="109"/>
        <v>951Beta</v>
      </c>
      <c r="B6531">
        <v>951</v>
      </c>
      <c r="C6531" s="9" t="s">
        <v>24</v>
      </c>
      <c r="D6531" s="8">
        <v>4.0000000000000001E-3</v>
      </c>
    </row>
    <row r="6532" spans="1:4">
      <c r="A6532" t="str">
        <f t="shared" si="109"/>
        <v>951Annual Standard Deviation</v>
      </c>
      <c r="B6532">
        <v>951</v>
      </c>
      <c r="C6532" s="9" t="s">
        <v>35</v>
      </c>
      <c r="D6532" s="8">
        <v>1.2E-2</v>
      </c>
    </row>
    <row r="6533" spans="1:4">
      <c r="A6533" t="str">
        <f t="shared" si="109"/>
        <v>951Annual Variance</v>
      </c>
      <c r="B6533">
        <v>951</v>
      </c>
      <c r="C6533" s="9" t="s">
        <v>36</v>
      </c>
      <c r="D6533" s="8">
        <v>0</v>
      </c>
    </row>
    <row r="6534" spans="1:4">
      <c r="A6534" t="str">
        <f t="shared" si="109"/>
        <v>951Information Ratio</v>
      </c>
      <c r="B6534">
        <v>951</v>
      </c>
      <c r="C6534" s="9" t="s">
        <v>37</v>
      </c>
      <c r="D6534" s="8">
        <v>-1.0980000000000001</v>
      </c>
    </row>
    <row r="6535" spans="1:4">
      <c r="A6535" t="str">
        <f t="shared" si="109"/>
        <v>951Tracking Error</v>
      </c>
      <c r="B6535">
        <v>951</v>
      </c>
      <c r="C6535" s="9" t="s">
        <v>38</v>
      </c>
      <c r="D6535" s="8">
        <v>6.8000000000000005E-2</v>
      </c>
    </row>
    <row r="6536" spans="1:4">
      <c r="A6536" t="str">
        <f t="shared" si="109"/>
        <v>951Treynor Ratio</v>
      </c>
      <c r="B6536">
        <v>951</v>
      </c>
      <c r="C6536" s="9" t="s">
        <v>39</v>
      </c>
      <c r="D6536" s="8">
        <v>-5.7619999999999996</v>
      </c>
    </row>
    <row r="6537" spans="1:4">
      <c r="A6537" t="str">
        <f t="shared" si="109"/>
        <v>951Total Fees</v>
      </c>
      <c r="B6537">
        <v>951</v>
      </c>
      <c r="C6537" s="9" t="s">
        <v>40</v>
      </c>
      <c r="D6537" s="8">
        <v>0</v>
      </c>
    </row>
    <row r="6538" spans="1:4">
      <c r="A6538" t="str">
        <f t="shared" si="109"/>
        <v>951Estimated Strategy Capacity</v>
      </c>
      <c r="B6538">
        <v>951</v>
      </c>
      <c r="C6538" s="9" t="s">
        <v>41</v>
      </c>
      <c r="D6538" s="8">
        <v>6400000</v>
      </c>
    </row>
    <row r="6539" spans="1:4">
      <c r="A6539" t="str">
        <f t="shared" si="109"/>
        <v>952PSR</v>
      </c>
      <c r="B6539">
        <v>952</v>
      </c>
      <c r="C6539" s="9" t="s">
        <v>27</v>
      </c>
      <c r="D6539" s="8">
        <v>5.3539999999999997E-2</v>
      </c>
    </row>
    <row r="6540" spans="1:4">
      <c r="A6540" t="str">
        <f t="shared" si="109"/>
        <v>952Sharpe Ratio</v>
      </c>
      <c r="B6540">
        <v>952</v>
      </c>
      <c r="C6540" s="9" t="s">
        <v>1</v>
      </c>
      <c r="D6540" s="8">
        <v>-0.66100000000000003</v>
      </c>
    </row>
    <row r="6541" spans="1:4">
      <c r="A6541" t="str">
        <f t="shared" si="109"/>
        <v>952Total Trades</v>
      </c>
      <c r="B6541">
        <v>952</v>
      </c>
      <c r="C6541" s="9" t="s">
        <v>28</v>
      </c>
      <c r="D6541" s="8">
        <v>873</v>
      </c>
    </row>
    <row r="6542" spans="1:4">
      <c r="A6542" t="str">
        <f t="shared" si="109"/>
        <v>952Average Win</v>
      </c>
      <c r="B6542">
        <v>952</v>
      </c>
      <c r="C6542" s="9" t="s">
        <v>25</v>
      </c>
      <c r="D6542" s="8">
        <v>0</v>
      </c>
    </row>
    <row r="6543" spans="1:4">
      <c r="A6543" t="str">
        <f t="shared" si="109"/>
        <v>952Average Loss</v>
      </c>
      <c r="B6543">
        <v>952</v>
      </c>
      <c r="C6543" s="9" t="s">
        <v>29</v>
      </c>
      <c r="D6543" s="8">
        <v>0</v>
      </c>
    </row>
    <row r="6544" spans="1:4">
      <c r="A6544" t="str">
        <f t="shared" si="109"/>
        <v>952Compounding Annual Return</v>
      </c>
      <c r="B6544">
        <v>952</v>
      </c>
      <c r="C6544" s="9" t="s">
        <v>30</v>
      </c>
      <c r="D6544" s="8">
        <v>-7.1000000000000002E-4</v>
      </c>
    </row>
    <row r="6545" spans="1:4">
      <c r="A6545" t="str">
        <f t="shared" si="109"/>
        <v>952Drawdown</v>
      </c>
      <c r="B6545">
        <v>952</v>
      </c>
      <c r="C6545" s="9" t="s">
        <v>8</v>
      </c>
      <c r="D6545" s="8">
        <v>1E-3</v>
      </c>
    </row>
    <row r="6546" spans="1:4">
      <c r="A6546" t="str">
        <f t="shared" si="109"/>
        <v>952Expectancy</v>
      </c>
      <c r="B6546">
        <v>952</v>
      </c>
      <c r="C6546" s="9" t="s">
        <v>31</v>
      </c>
      <c r="D6546" s="8">
        <v>-0.105</v>
      </c>
    </row>
    <row r="6547" spans="1:4">
      <c r="A6547" t="str">
        <f t="shared" si="109"/>
        <v>952Net Profit</v>
      </c>
      <c r="B6547">
        <v>952</v>
      </c>
      <c r="C6547" s="9" t="s">
        <v>32</v>
      </c>
      <c r="D6547" s="8">
        <v>-4.6999999999999999E-4</v>
      </c>
    </row>
    <row r="6548" spans="1:4">
      <c r="A6548" t="str">
        <f t="shared" si="109"/>
        <v>952Loss Rate</v>
      </c>
      <c r="B6548">
        <v>952</v>
      </c>
      <c r="C6548" s="9" t="s">
        <v>33</v>
      </c>
      <c r="D6548" s="8">
        <v>0.37</v>
      </c>
    </row>
    <row r="6549" spans="1:4">
      <c r="A6549" t="str">
        <f t="shared" si="109"/>
        <v>952Win Rate</v>
      </c>
      <c r="B6549">
        <v>952</v>
      </c>
      <c r="C6549" s="9" t="s">
        <v>34</v>
      </c>
      <c r="D6549" s="8">
        <v>0.63</v>
      </c>
    </row>
    <row r="6550" spans="1:4">
      <c r="A6550" t="str">
        <f t="shared" si="109"/>
        <v>952Profit-Loss Ratio</v>
      </c>
      <c r="B6550">
        <v>952</v>
      </c>
      <c r="C6550" s="9" t="s">
        <v>26</v>
      </c>
      <c r="D6550" s="8">
        <v>0.43</v>
      </c>
    </row>
    <row r="6551" spans="1:4">
      <c r="A6551" t="str">
        <f t="shared" si="109"/>
        <v>952Alpha</v>
      </c>
      <c r="B6551">
        <v>952</v>
      </c>
      <c r="C6551" s="9" t="s">
        <v>23</v>
      </c>
      <c r="D6551" s="8">
        <v>0</v>
      </c>
    </row>
    <row r="6552" spans="1:4">
      <c r="A6552" t="str">
        <f t="shared" si="109"/>
        <v>952Beta</v>
      </c>
      <c r="B6552">
        <v>952</v>
      </c>
      <c r="C6552" s="9" t="s">
        <v>24</v>
      </c>
      <c r="D6552" s="8">
        <v>-1E-3</v>
      </c>
    </row>
    <row r="6553" spans="1:4">
      <c r="A6553" t="str">
        <f t="shared" si="109"/>
        <v>952Annual Standard Deviation</v>
      </c>
      <c r="B6553">
        <v>952</v>
      </c>
      <c r="C6553" s="9" t="s">
        <v>35</v>
      </c>
      <c r="D6553" s="8">
        <v>1E-3</v>
      </c>
    </row>
    <row r="6554" spans="1:4">
      <c r="A6554" t="str">
        <f t="shared" si="109"/>
        <v>952Annual Variance</v>
      </c>
      <c r="B6554">
        <v>952</v>
      </c>
      <c r="C6554" s="9" t="s">
        <v>36</v>
      </c>
      <c r="D6554" s="8">
        <v>0</v>
      </c>
    </row>
    <row r="6555" spans="1:4">
      <c r="A6555" t="str">
        <f t="shared" si="109"/>
        <v>952Information Ratio</v>
      </c>
      <c r="B6555">
        <v>952</v>
      </c>
      <c r="C6555" s="9" t="s">
        <v>37</v>
      </c>
      <c r="D6555" s="8">
        <v>-0.78</v>
      </c>
    </row>
    <row r="6556" spans="1:4">
      <c r="A6556" t="str">
        <f t="shared" si="109"/>
        <v>952Tracking Error</v>
      </c>
      <c r="B6556">
        <v>952</v>
      </c>
      <c r="C6556" s="9" t="s">
        <v>38</v>
      </c>
      <c r="D6556" s="8">
        <v>6.7000000000000004E-2</v>
      </c>
    </row>
    <row r="6557" spans="1:4">
      <c r="A6557" t="str">
        <f t="shared" si="109"/>
        <v>952Treynor Ratio</v>
      </c>
      <c r="B6557">
        <v>952</v>
      </c>
      <c r="C6557" s="9" t="s">
        <v>39</v>
      </c>
      <c r="D6557" s="8">
        <v>0.68100000000000005</v>
      </c>
    </row>
    <row r="6558" spans="1:4">
      <c r="A6558" t="str">
        <f t="shared" si="109"/>
        <v>952Total Fees</v>
      </c>
      <c r="B6558">
        <v>952</v>
      </c>
      <c r="C6558" s="9" t="s">
        <v>40</v>
      </c>
      <c r="D6558" s="8">
        <v>0</v>
      </c>
    </row>
    <row r="6559" spans="1:4">
      <c r="A6559" t="str">
        <f t="shared" si="109"/>
        <v>952Estimated Strategy Capacity</v>
      </c>
      <c r="B6559">
        <v>952</v>
      </c>
      <c r="C6559" s="9" t="s">
        <v>41</v>
      </c>
      <c r="D6559" s="8">
        <v>190000000</v>
      </c>
    </row>
    <row r="6560" spans="1:4">
      <c r="A6560" t="str">
        <f t="shared" si="109"/>
        <v>953PSR</v>
      </c>
      <c r="B6560">
        <v>953</v>
      </c>
      <c r="C6560" s="9" t="s">
        <v>27</v>
      </c>
      <c r="D6560" s="8">
        <v>5.3659999999999999E-2</v>
      </c>
    </row>
    <row r="6561" spans="1:4">
      <c r="A6561" t="str">
        <f t="shared" si="109"/>
        <v>953Sharpe Ratio</v>
      </c>
      <c r="B6561">
        <v>953</v>
      </c>
      <c r="C6561" s="9" t="s">
        <v>1</v>
      </c>
      <c r="D6561" s="8">
        <v>-0.65900000000000003</v>
      </c>
    </row>
    <row r="6562" spans="1:4">
      <c r="A6562" t="str">
        <f t="shared" ref="A6562:A6625" si="110">B6562&amp;C6562</f>
        <v>953Total Trades</v>
      </c>
      <c r="B6562">
        <v>953</v>
      </c>
      <c r="C6562" s="9" t="s">
        <v>28</v>
      </c>
      <c r="D6562" s="8">
        <v>873</v>
      </c>
    </row>
    <row r="6563" spans="1:4">
      <c r="A6563" t="str">
        <f t="shared" si="110"/>
        <v>953Average Win</v>
      </c>
      <c r="B6563">
        <v>953</v>
      </c>
      <c r="C6563" s="9" t="s">
        <v>25</v>
      </c>
      <c r="D6563" s="8">
        <v>2.0000000000000001E-4</v>
      </c>
    </row>
    <row r="6564" spans="1:4">
      <c r="A6564" t="str">
        <f t="shared" si="110"/>
        <v>953Average Loss</v>
      </c>
      <c r="B6564">
        <v>953</v>
      </c>
      <c r="C6564" s="9" t="s">
        <v>29</v>
      </c>
      <c r="D6564" s="8">
        <v>-4.0000000000000002E-4</v>
      </c>
    </row>
    <row r="6565" spans="1:4">
      <c r="A6565" t="str">
        <f t="shared" si="110"/>
        <v>953Compounding Annual Return</v>
      </c>
      <c r="B6565">
        <v>953</v>
      </c>
      <c r="C6565" s="9" t="s">
        <v>30</v>
      </c>
      <c r="D6565" s="8">
        <v>-7.1000000000000004E-3</v>
      </c>
    </row>
    <row r="6566" spans="1:4">
      <c r="A6566" t="str">
        <f t="shared" si="110"/>
        <v>953Drawdown</v>
      </c>
      <c r="B6566">
        <v>953</v>
      </c>
      <c r="C6566" s="9" t="s">
        <v>8</v>
      </c>
      <c r="D6566" s="8">
        <v>1.4E-2</v>
      </c>
    </row>
    <row r="6567" spans="1:4">
      <c r="A6567" t="str">
        <f t="shared" si="110"/>
        <v>953Expectancy</v>
      </c>
      <c r="B6567">
        <v>953</v>
      </c>
      <c r="C6567" s="9" t="s">
        <v>31</v>
      </c>
      <c r="D6567" s="8">
        <v>-0.105</v>
      </c>
    </row>
    <row r="6568" spans="1:4">
      <c r="A6568" t="str">
        <f t="shared" si="110"/>
        <v>953Net Profit</v>
      </c>
      <c r="B6568">
        <v>953</v>
      </c>
      <c r="C6568" s="9" t="s">
        <v>32</v>
      </c>
      <c r="D6568" s="8">
        <v>-4.7099999999999998E-3</v>
      </c>
    </row>
    <row r="6569" spans="1:4">
      <c r="A6569" t="str">
        <f t="shared" si="110"/>
        <v>953Loss Rate</v>
      </c>
      <c r="B6569">
        <v>953</v>
      </c>
      <c r="C6569" s="9" t="s">
        <v>33</v>
      </c>
      <c r="D6569" s="8">
        <v>0.37</v>
      </c>
    </row>
    <row r="6570" spans="1:4">
      <c r="A6570" t="str">
        <f t="shared" si="110"/>
        <v>953Win Rate</v>
      </c>
      <c r="B6570">
        <v>953</v>
      </c>
      <c r="C6570" s="9" t="s">
        <v>34</v>
      </c>
      <c r="D6570" s="8">
        <v>0.63</v>
      </c>
    </row>
    <row r="6571" spans="1:4">
      <c r="A6571" t="str">
        <f t="shared" si="110"/>
        <v>953Profit-Loss Ratio</v>
      </c>
      <c r="B6571">
        <v>953</v>
      </c>
      <c r="C6571" s="9" t="s">
        <v>26</v>
      </c>
      <c r="D6571" s="8">
        <v>0.43</v>
      </c>
    </row>
    <row r="6572" spans="1:4">
      <c r="A6572" t="str">
        <f t="shared" si="110"/>
        <v>953Alpha</v>
      </c>
      <c r="B6572">
        <v>953</v>
      </c>
      <c r="C6572" s="9" t="s">
        <v>23</v>
      </c>
      <c r="D6572" s="8">
        <v>-5.0000000000000001E-3</v>
      </c>
    </row>
    <row r="6573" spans="1:4">
      <c r="A6573" t="str">
        <f t="shared" si="110"/>
        <v>953Beta</v>
      </c>
      <c r="B6573">
        <v>953</v>
      </c>
      <c r="C6573" s="9" t="s">
        <v>24</v>
      </c>
      <c r="D6573" s="8">
        <v>-7.0000000000000001E-3</v>
      </c>
    </row>
    <row r="6574" spans="1:4">
      <c r="A6574" t="str">
        <f t="shared" si="110"/>
        <v>953Annual Standard Deviation</v>
      </c>
      <c r="B6574">
        <v>953</v>
      </c>
      <c r="C6574" s="9" t="s">
        <v>35</v>
      </c>
      <c r="D6574" s="8">
        <v>7.0000000000000001E-3</v>
      </c>
    </row>
    <row r="6575" spans="1:4">
      <c r="A6575" t="str">
        <f t="shared" si="110"/>
        <v>953Annual Variance</v>
      </c>
      <c r="B6575">
        <v>953</v>
      </c>
      <c r="C6575" s="9" t="s">
        <v>36</v>
      </c>
      <c r="D6575" s="8">
        <v>0</v>
      </c>
    </row>
    <row r="6576" spans="1:4">
      <c r="A6576" t="str">
        <f t="shared" si="110"/>
        <v>953Information Ratio</v>
      </c>
      <c r="B6576">
        <v>953</v>
      </c>
      <c r="C6576" s="9" t="s">
        <v>37</v>
      </c>
      <c r="D6576" s="8">
        <v>-0.83499999999999996</v>
      </c>
    </row>
    <row r="6577" spans="1:4">
      <c r="A6577" t="str">
        <f t="shared" si="110"/>
        <v>953Tracking Error</v>
      </c>
      <c r="B6577">
        <v>953</v>
      </c>
      <c r="C6577" s="9" t="s">
        <v>38</v>
      </c>
      <c r="D6577" s="8">
        <v>6.8000000000000005E-2</v>
      </c>
    </row>
    <row r="6578" spans="1:4">
      <c r="A6578" t="str">
        <f t="shared" si="110"/>
        <v>953Treynor Ratio</v>
      </c>
      <c r="B6578">
        <v>953</v>
      </c>
      <c r="C6578" s="9" t="s">
        <v>39</v>
      </c>
      <c r="D6578" s="8">
        <v>0.68100000000000005</v>
      </c>
    </row>
    <row r="6579" spans="1:4">
      <c r="A6579" t="str">
        <f t="shared" si="110"/>
        <v>953Total Fees</v>
      </c>
      <c r="B6579">
        <v>953</v>
      </c>
      <c r="C6579" s="9" t="s">
        <v>40</v>
      </c>
      <c r="D6579" s="8">
        <v>0</v>
      </c>
    </row>
    <row r="6580" spans="1:4">
      <c r="A6580" t="str">
        <f t="shared" si="110"/>
        <v>953Estimated Strategy Capacity</v>
      </c>
      <c r="B6580">
        <v>953</v>
      </c>
      <c r="C6580" s="9" t="s">
        <v>41</v>
      </c>
      <c r="D6580" s="8">
        <v>22000000</v>
      </c>
    </row>
    <row r="6581" spans="1:4">
      <c r="A6581" t="str">
        <f t="shared" si="110"/>
        <v>954PSR</v>
      </c>
      <c r="B6581">
        <v>954</v>
      </c>
      <c r="C6581" s="9" t="s">
        <v>27</v>
      </c>
      <c r="D6581" s="8">
        <v>5.6460000000000003E-2</v>
      </c>
    </row>
    <row r="6582" spans="1:4">
      <c r="A6582" t="str">
        <f t="shared" si="110"/>
        <v>954Sharpe Ratio</v>
      </c>
      <c r="B6582">
        <v>954</v>
      </c>
      <c r="C6582" s="9" t="s">
        <v>1</v>
      </c>
      <c r="D6582" s="8">
        <v>-0.66600000000000004</v>
      </c>
    </row>
    <row r="6583" spans="1:4">
      <c r="A6583" t="str">
        <f t="shared" si="110"/>
        <v>954Total Trades</v>
      </c>
      <c r="B6583">
        <v>954</v>
      </c>
      <c r="C6583" s="9" t="s">
        <v>28</v>
      </c>
      <c r="D6583" s="8">
        <v>844</v>
      </c>
    </row>
    <row r="6584" spans="1:4">
      <c r="A6584" t="str">
        <f t="shared" si="110"/>
        <v>954Average Win</v>
      </c>
      <c r="B6584">
        <v>954</v>
      </c>
      <c r="C6584" s="9" t="s">
        <v>25</v>
      </c>
      <c r="D6584" s="8">
        <v>2.9999999999999997E-4</v>
      </c>
    </row>
    <row r="6585" spans="1:4">
      <c r="A6585" t="str">
        <f t="shared" si="110"/>
        <v>954Average Loss</v>
      </c>
      <c r="B6585">
        <v>954</v>
      </c>
      <c r="C6585" s="9" t="s">
        <v>29</v>
      </c>
      <c r="D6585" s="8">
        <v>-6.9999999999999999E-4</v>
      </c>
    </row>
    <row r="6586" spans="1:4">
      <c r="A6586" t="str">
        <f t="shared" si="110"/>
        <v>954Compounding Annual Return</v>
      </c>
      <c r="B6586">
        <v>954</v>
      </c>
      <c r="C6586" s="9" t="s">
        <v>30</v>
      </c>
      <c r="D6586" s="8">
        <v>-1.2670000000000001E-2</v>
      </c>
    </row>
    <row r="6587" spans="1:4">
      <c r="A6587" t="str">
        <f t="shared" si="110"/>
        <v>954Drawdown</v>
      </c>
      <c r="B6587">
        <v>954</v>
      </c>
      <c r="C6587" s="9" t="s">
        <v>8</v>
      </c>
      <c r="D6587" s="8">
        <v>2.3E-2</v>
      </c>
    </row>
    <row r="6588" spans="1:4">
      <c r="A6588" t="str">
        <f t="shared" si="110"/>
        <v>954Expectancy</v>
      </c>
      <c r="B6588">
        <v>954</v>
      </c>
      <c r="C6588" s="9" t="s">
        <v>31</v>
      </c>
      <c r="D6588" s="8">
        <v>-0.108</v>
      </c>
    </row>
    <row r="6589" spans="1:4">
      <c r="A6589" t="str">
        <f t="shared" si="110"/>
        <v>954Net Profit</v>
      </c>
      <c r="B6589">
        <v>954</v>
      </c>
      <c r="C6589" s="9" t="s">
        <v>32</v>
      </c>
      <c r="D6589" s="8">
        <v>-8.4200000000000004E-3</v>
      </c>
    </row>
    <row r="6590" spans="1:4">
      <c r="A6590" t="str">
        <f t="shared" si="110"/>
        <v>954Loss Rate</v>
      </c>
      <c r="B6590">
        <v>954</v>
      </c>
      <c r="C6590" s="9" t="s">
        <v>33</v>
      </c>
      <c r="D6590" s="8">
        <v>0.39</v>
      </c>
    </row>
    <row r="6591" spans="1:4">
      <c r="A6591" t="str">
        <f t="shared" si="110"/>
        <v>954Win Rate</v>
      </c>
      <c r="B6591">
        <v>954</v>
      </c>
      <c r="C6591" s="9" t="s">
        <v>34</v>
      </c>
      <c r="D6591" s="8">
        <v>0.61</v>
      </c>
    </row>
    <row r="6592" spans="1:4">
      <c r="A6592" t="str">
        <f t="shared" si="110"/>
        <v>954Profit-Loss Ratio</v>
      </c>
      <c r="B6592">
        <v>954</v>
      </c>
      <c r="C6592" s="9" t="s">
        <v>26</v>
      </c>
      <c r="D6592" s="8">
        <v>0.47</v>
      </c>
    </row>
    <row r="6593" spans="1:4">
      <c r="A6593" t="str">
        <f t="shared" si="110"/>
        <v>954Alpha</v>
      </c>
      <c r="B6593">
        <v>954</v>
      </c>
      <c r="C6593" s="9" t="s">
        <v>23</v>
      </c>
      <c r="D6593" s="8">
        <v>-8.0000000000000002E-3</v>
      </c>
    </row>
    <row r="6594" spans="1:4">
      <c r="A6594" t="str">
        <f t="shared" si="110"/>
        <v>954Beta</v>
      </c>
      <c r="B6594">
        <v>954</v>
      </c>
      <c r="C6594" s="9" t="s">
        <v>24</v>
      </c>
      <c r="D6594" s="8">
        <v>-6.0000000000000001E-3</v>
      </c>
    </row>
    <row r="6595" spans="1:4">
      <c r="A6595" t="str">
        <f t="shared" si="110"/>
        <v>954Annual Standard Deviation</v>
      </c>
      <c r="B6595">
        <v>954</v>
      </c>
      <c r="C6595" s="9" t="s">
        <v>35</v>
      </c>
      <c r="D6595" s="8">
        <v>1.2999999999999999E-2</v>
      </c>
    </row>
    <row r="6596" spans="1:4">
      <c r="A6596" t="str">
        <f t="shared" si="110"/>
        <v>954Annual Variance</v>
      </c>
      <c r="B6596">
        <v>954</v>
      </c>
      <c r="C6596" s="9" t="s">
        <v>36</v>
      </c>
      <c r="D6596" s="8">
        <v>0</v>
      </c>
    </row>
    <row r="6597" spans="1:4">
      <c r="A6597" t="str">
        <f t="shared" si="110"/>
        <v>954Information Ratio</v>
      </c>
      <c r="B6597">
        <v>954</v>
      </c>
      <c r="C6597" s="9" t="s">
        <v>37</v>
      </c>
      <c r="D6597" s="8">
        <v>-0.88100000000000001</v>
      </c>
    </row>
    <row r="6598" spans="1:4">
      <c r="A6598" t="str">
        <f t="shared" si="110"/>
        <v>954Tracking Error</v>
      </c>
      <c r="B6598">
        <v>954</v>
      </c>
      <c r="C6598" s="9" t="s">
        <v>38</v>
      </c>
      <c r="D6598" s="8">
        <v>6.9000000000000006E-2</v>
      </c>
    </row>
    <row r="6599" spans="1:4">
      <c r="A6599" t="str">
        <f t="shared" si="110"/>
        <v>954Treynor Ratio</v>
      </c>
      <c r="B6599">
        <v>954</v>
      </c>
      <c r="C6599" s="9" t="s">
        <v>39</v>
      </c>
      <c r="D6599" s="8">
        <v>1.359</v>
      </c>
    </row>
    <row r="6600" spans="1:4">
      <c r="A6600" t="str">
        <f t="shared" si="110"/>
        <v>954Total Fees</v>
      </c>
      <c r="B6600">
        <v>954</v>
      </c>
      <c r="C6600" s="9" t="s">
        <v>40</v>
      </c>
      <c r="D6600" s="8">
        <v>0</v>
      </c>
    </row>
    <row r="6601" spans="1:4">
      <c r="A6601" t="str">
        <f t="shared" si="110"/>
        <v>954Estimated Strategy Capacity</v>
      </c>
      <c r="B6601">
        <v>954</v>
      </c>
      <c r="C6601" s="9" t="s">
        <v>41</v>
      </c>
      <c r="D6601" s="8">
        <v>12000000</v>
      </c>
    </row>
    <row r="6602" spans="1:4">
      <c r="A6602" t="str">
        <f t="shared" si="110"/>
        <v>973PSR</v>
      </c>
      <c r="B6602">
        <v>973</v>
      </c>
      <c r="C6602" s="9" t="s">
        <v>27</v>
      </c>
      <c r="D6602" s="8">
        <v>5.475E-2</v>
      </c>
    </row>
    <row r="6603" spans="1:4">
      <c r="A6603" t="str">
        <f t="shared" si="110"/>
        <v>973Sharpe Ratio</v>
      </c>
      <c r="B6603">
        <v>973</v>
      </c>
      <c r="C6603" s="9" t="s">
        <v>1</v>
      </c>
      <c r="D6603" s="8">
        <v>-0.70799999999999996</v>
      </c>
    </row>
    <row r="6604" spans="1:4">
      <c r="A6604" t="str">
        <f t="shared" si="110"/>
        <v>973Total Trades</v>
      </c>
      <c r="B6604">
        <v>973</v>
      </c>
      <c r="C6604" s="9" t="s">
        <v>28</v>
      </c>
      <c r="D6604" s="8">
        <v>1617</v>
      </c>
    </row>
    <row r="6605" spans="1:4">
      <c r="A6605" t="str">
        <f t="shared" si="110"/>
        <v>973Average Win</v>
      </c>
      <c r="B6605">
        <v>973</v>
      </c>
      <c r="C6605" s="9" t="s">
        <v>25</v>
      </c>
      <c r="D6605" s="8">
        <v>0</v>
      </c>
    </row>
    <row r="6606" spans="1:4">
      <c r="A6606" t="str">
        <f t="shared" si="110"/>
        <v>973Average Loss</v>
      </c>
      <c r="B6606">
        <v>973</v>
      </c>
      <c r="C6606" s="9" t="s">
        <v>29</v>
      </c>
      <c r="D6606" s="8">
        <v>-1E-4</v>
      </c>
    </row>
    <row r="6607" spans="1:4">
      <c r="A6607" t="str">
        <f t="shared" si="110"/>
        <v>973Compounding Annual Return</v>
      </c>
      <c r="B6607">
        <v>973</v>
      </c>
      <c r="C6607" s="9" t="s">
        <v>30</v>
      </c>
      <c r="D6607" s="8">
        <v>-1.0399999999999999E-3</v>
      </c>
    </row>
    <row r="6608" spans="1:4">
      <c r="A6608" t="str">
        <f t="shared" si="110"/>
        <v>973Drawdown</v>
      </c>
      <c r="B6608">
        <v>973</v>
      </c>
      <c r="C6608" s="9" t="s">
        <v>8</v>
      </c>
      <c r="D6608" s="8">
        <v>1E-3</v>
      </c>
    </row>
    <row r="6609" spans="1:4">
      <c r="A6609" t="str">
        <f t="shared" si="110"/>
        <v>973Expectancy</v>
      </c>
      <c r="B6609">
        <v>973</v>
      </c>
      <c r="C6609" s="9" t="s">
        <v>31</v>
      </c>
      <c r="D6609" s="8">
        <v>-0.08</v>
      </c>
    </row>
    <row r="6610" spans="1:4">
      <c r="A6610" t="str">
        <f t="shared" si="110"/>
        <v>973Net Profit</v>
      </c>
      <c r="B6610">
        <v>973</v>
      </c>
      <c r="C6610" s="9" t="s">
        <v>32</v>
      </c>
      <c r="D6610" s="8">
        <v>-6.8999999999999997E-4</v>
      </c>
    </row>
    <row r="6611" spans="1:4">
      <c r="A6611" t="str">
        <f t="shared" si="110"/>
        <v>973Loss Rate</v>
      </c>
      <c r="B6611">
        <v>973</v>
      </c>
      <c r="C6611" s="9" t="s">
        <v>33</v>
      </c>
      <c r="D6611" s="8">
        <v>0.37</v>
      </c>
    </row>
    <row r="6612" spans="1:4">
      <c r="A6612" t="str">
        <f t="shared" si="110"/>
        <v>973Win Rate</v>
      </c>
      <c r="B6612">
        <v>973</v>
      </c>
      <c r="C6612" s="9" t="s">
        <v>34</v>
      </c>
      <c r="D6612" s="8">
        <v>0.63</v>
      </c>
    </row>
    <row r="6613" spans="1:4">
      <c r="A6613" t="str">
        <f t="shared" si="110"/>
        <v>973Profit-Loss Ratio</v>
      </c>
      <c r="B6613">
        <v>973</v>
      </c>
      <c r="C6613" s="9" t="s">
        <v>26</v>
      </c>
      <c r="D6613" s="8">
        <v>0.47</v>
      </c>
    </row>
    <row r="6614" spans="1:4">
      <c r="A6614" t="str">
        <f t="shared" si="110"/>
        <v>973Alpha</v>
      </c>
      <c r="B6614">
        <v>973</v>
      </c>
      <c r="C6614" s="9" t="s">
        <v>23</v>
      </c>
      <c r="D6614" s="8">
        <v>-1E-3</v>
      </c>
    </row>
    <row r="6615" spans="1:4">
      <c r="A6615" t="str">
        <f t="shared" si="110"/>
        <v>973Beta</v>
      </c>
      <c r="B6615">
        <v>973</v>
      </c>
      <c r="C6615" s="9" t="s">
        <v>24</v>
      </c>
      <c r="D6615" s="8">
        <v>2E-3</v>
      </c>
    </row>
    <row r="6616" spans="1:4">
      <c r="A6616" t="str">
        <f t="shared" si="110"/>
        <v>973Annual Standard Deviation</v>
      </c>
      <c r="B6616">
        <v>973</v>
      </c>
      <c r="C6616" s="9" t="s">
        <v>35</v>
      </c>
      <c r="D6616" s="8">
        <v>1E-3</v>
      </c>
    </row>
    <row r="6617" spans="1:4">
      <c r="A6617" t="str">
        <f t="shared" si="110"/>
        <v>973Annual Variance</v>
      </c>
      <c r="B6617">
        <v>973</v>
      </c>
      <c r="C6617" s="9" t="s">
        <v>36</v>
      </c>
      <c r="D6617" s="8">
        <v>0</v>
      </c>
    </row>
    <row r="6618" spans="1:4">
      <c r="A6618" t="str">
        <f t="shared" si="110"/>
        <v>973Information Ratio</v>
      </c>
      <c r="B6618">
        <v>973</v>
      </c>
      <c r="C6618" s="9" t="s">
        <v>37</v>
      </c>
      <c r="D6618" s="8">
        <v>-0.77600000000000002</v>
      </c>
    </row>
    <row r="6619" spans="1:4">
      <c r="A6619" t="str">
        <f t="shared" si="110"/>
        <v>973Tracking Error</v>
      </c>
      <c r="B6619">
        <v>973</v>
      </c>
      <c r="C6619" s="9" t="s">
        <v>38</v>
      </c>
      <c r="D6619" s="8">
        <v>6.7000000000000004E-2</v>
      </c>
    </row>
    <row r="6620" spans="1:4">
      <c r="A6620" t="str">
        <f t="shared" si="110"/>
        <v>973Treynor Ratio</v>
      </c>
      <c r="B6620">
        <v>973</v>
      </c>
      <c r="C6620" s="9" t="s">
        <v>39</v>
      </c>
      <c r="D6620" s="8">
        <v>-0.34899999999999998</v>
      </c>
    </row>
    <row r="6621" spans="1:4">
      <c r="A6621" t="str">
        <f t="shared" si="110"/>
        <v>973Total Fees</v>
      </c>
      <c r="B6621">
        <v>973</v>
      </c>
      <c r="C6621" s="9" t="s">
        <v>40</v>
      </c>
      <c r="D6621" s="8">
        <v>0</v>
      </c>
    </row>
    <row r="6622" spans="1:4">
      <c r="A6622" t="str">
        <f t="shared" si="110"/>
        <v>973Estimated Strategy Capacity</v>
      </c>
      <c r="B6622">
        <v>973</v>
      </c>
      <c r="C6622" s="9" t="s">
        <v>41</v>
      </c>
      <c r="D6622" s="8">
        <v>3100000</v>
      </c>
    </row>
    <row r="6623" spans="1:4">
      <c r="A6623" t="str">
        <f t="shared" si="110"/>
        <v>974PSR</v>
      </c>
      <c r="B6623">
        <v>974</v>
      </c>
      <c r="C6623" s="9" t="s">
        <v>27</v>
      </c>
      <c r="D6623" s="8">
        <v>5.5300000000000002E-2</v>
      </c>
    </row>
    <row r="6624" spans="1:4">
      <c r="A6624" t="str">
        <f t="shared" si="110"/>
        <v>974Sharpe Ratio</v>
      </c>
      <c r="B6624">
        <v>974</v>
      </c>
      <c r="C6624" s="9" t="s">
        <v>1</v>
      </c>
      <c r="D6624" s="8">
        <v>-0.70099999999999996</v>
      </c>
    </row>
    <row r="6625" spans="1:4">
      <c r="A6625" t="str">
        <f t="shared" si="110"/>
        <v>974Total Trades</v>
      </c>
      <c r="B6625">
        <v>974</v>
      </c>
      <c r="C6625" s="9" t="s">
        <v>28</v>
      </c>
      <c r="D6625" s="8">
        <v>1617</v>
      </c>
    </row>
    <row r="6626" spans="1:4">
      <c r="A6626" t="str">
        <f t="shared" ref="A6626:A6689" si="111">B6626&amp;C6626</f>
        <v>974Average Win</v>
      </c>
      <c r="B6626">
        <v>974</v>
      </c>
      <c r="C6626" s="9" t="s">
        <v>25</v>
      </c>
      <c r="D6626" s="8">
        <v>2.9999999999999997E-4</v>
      </c>
    </row>
    <row r="6627" spans="1:4">
      <c r="A6627" t="str">
        <f t="shared" si="111"/>
        <v>974Average Loss</v>
      </c>
      <c r="B6627">
        <v>974</v>
      </c>
      <c r="C6627" s="9" t="s">
        <v>29</v>
      </c>
      <c r="D6627" s="8">
        <v>-5.9999999999999995E-4</v>
      </c>
    </row>
    <row r="6628" spans="1:4">
      <c r="A6628" t="str">
        <f t="shared" si="111"/>
        <v>974Compounding Annual Return</v>
      </c>
      <c r="B6628">
        <v>974</v>
      </c>
      <c r="C6628" s="9" t="s">
        <v>30</v>
      </c>
      <c r="D6628" s="8">
        <v>-1.0359999999999999E-2</v>
      </c>
    </row>
    <row r="6629" spans="1:4">
      <c r="A6629" t="str">
        <f t="shared" si="111"/>
        <v>974Drawdown</v>
      </c>
      <c r="B6629">
        <v>974</v>
      </c>
      <c r="C6629" s="9" t="s">
        <v>8</v>
      </c>
      <c r="D6629" s="8">
        <v>8.9999999999999993E-3</v>
      </c>
    </row>
    <row r="6630" spans="1:4">
      <c r="A6630" t="str">
        <f t="shared" si="111"/>
        <v>974Expectancy</v>
      </c>
      <c r="B6630">
        <v>974</v>
      </c>
      <c r="C6630" s="9" t="s">
        <v>31</v>
      </c>
      <c r="D6630" s="8">
        <v>-7.9000000000000001E-2</v>
      </c>
    </row>
    <row r="6631" spans="1:4">
      <c r="A6631" t="str">
        <f t="shared" si="111"/>
        <v>974Net Profit</v>
      </c>
      <c r="B6631">
        <v>974</v>
      </c>
      <c r="C6631" s="9" t="s">
        <v>32</v>
      </c>
      <c r="D6631" s="8">
        <v>-6.8799999999999998E-3</v>
      </c>
    </row>
    <row r="6632" spans="1:4">
      <c r="A6632" t="str">
        <f t="shared" si="111"/>
        <v>974Loss Rate</v>
      </c>
      <c r="B6632">
        <v>974</v>
      </c>
      <c r="C6632" s="9" t="s">
        <v>33</v>
      </c>
      <c r="D6632" s="8">
        <v>0.37</v>
      </c>
    </row>
    <row r="6633" spans="1:4">
      <c r="A6633" t="str">
        <f t="shared" si="111"/>
        <v>974Win Rate</v>
      </c>
      <c r="B6633">
        <v>974</v>
      </c>
      <c r="C6633" s="9" t="s">
        <v>34</v>
      </c>
      <c r="D6633" s="8">
        <v>0.63</v>
      </c>
    </row>
    <row r="6634" spans="1:4">
      <c r="A6634" t="str">
        <f t="shared" si="111"/>
        <v>974Profit-Loss Ratio</v>
      </c>
      <c r="B6634">
        <v>974</v>
      </c>
      <c r="C6634" s="9" t="s">
        <v>26</v>
      </c>
      <c r="D6634" s="8">
        <v>0.47</v>
      </c>
    </row>
    <row r="6635" spans="1:4">
      <c r="A6635" t="str">
        <f t="shared" si="111"/>
        <v>974Alpha</v>
      </c>
      <c r="B6635">
        <v>974</v>
      </c>
      <c r="C6635" s="9" t="s">
        <v>23</v>
      </c>
      <c r="D6635" s="8">
        <v>-8.0000000000000002E-3</v>
      </c>
    </row>
    <row r="6636" spans="1:4">
      <c r="A6636" t="str">
        <f t="shared" si="111"/>
        <v>974Beta</v>
      </c>
      <c r="B6636">
        <v>974</v>
      </c>
      <c r="C6636" s="9" t="s">
        <v>24</v>
      </c>
      <c r="D6636" s="8">
        <v>2.1000000000000001E-2</v>
      </c>
    </row>
    <row r="6637" spans="1:4">
      <c r="A6637" t="str">
        <f t="shared" si="111"/>
        <v>974Annual Standard Deviation</v>
      </c>
      <c r="B6637">
        <v>974</v>
      </c>
      <c r="C6637" s="9" t="s">
        <v>35</v>
      </c>
      <c r="D6637" s="8">
        <v>0.01</v>
      </c>
    </row>
    <row r="6638" spans="1:4">
      <c r="A6638" t="str">
        <f t="shared" si="111"/>
        <v>974Annual Variance</v>
      </c>
      <c r="B6638">
        <v>974</v>
      </c>
      <c r="C6638" s="9" t="s">
        <v>36</v>
      </c>
      <c r="D6638" s="8">
        <v>0</v>
      </c>
    </row>
    <row r="6639" spans="1:4">
      <c r="A6639" t="str">
        <f t="shared" si="111"/>
        <v>974Information Ratio</v>
      </c>
      <c r="B6639">
        <v>974</v>
      </c>
      <c r="C6639" s="9" t="s">
        <v>37</v>
      </c>
      <c r="D6639" s="8">
        <v>-0.878</v>
      </c>
    </row>
    <row r="6640" spans="1:4">
      <c r="A6640" t="str">
        <f t="shared" si="111"/>
        <v>974Tracking Error</v>
      </c>
      <c r="B6640">
        <v>974</v>
      </c>
      <c r="C6640" s="9" t="s">
        <v>38</v>
      </c>
      <c r="D6640" s="8">
        <v>6.7000000000000004E-2</v>
      </c>
    </row>
    <row r="6641" spans="1:4">
      <c r="A6641" t="str">
        <f t="shared" si="111"/>
        <v>974Treynor Ratio</v>
      </c>
      <c r="B6641">
        <v>974</v>
      </c>
      <c r="C6641" s="9" t="s">
        <v>39</v>
      </c>
      <c r="D6641" s="8">
        <v>-0.34499999999999997</v>
      </c>
    </row>
    <row r="6642" spans="1:4">
      <c r="A6642" t="str">
        <f t="shared" si="111"/>
        <v>974Total Fees</v>
      </c>
      <c r="B6642">
        <v>974</v>
      </c>
      <c r="C6642" s="9" t="s">
        <v>40</v>
      </c>
      <c r="D6642" s="8">
        <v>0</v>
      </c>
    </row>
    <row r="6643" spans="1:4">
      <c r="A6643" t="str">
        <f t="shared" si="111"/>
        <v>974Estimated Strategy Capacity</v>
      </c>
      <c r="B6643">
        <v>974</v>
      </c>
      <c r="C6643" s="9" t="s">
        <v>41</v>
      </c>
      <c r="D6643" s="8">
        <v>3100000</v>
      </c>
    </row>
    <row r="6644" spans="1:4">
      <c r="A6644" t="str">
        <f t="shared" si="111"/>
        <v>975PSR</v>
      </c>
      <c r="B6644">
        <v>975</v>
      </c>
      <c r="C6644" s="9" t="s">
        <v>27</v>
      </c>
      <c r="D6644" s="8">
        <v>5.5899999999999998E-2</v>
      </c>
    </row>
    <row r="6645" spans="1:4">
      <c r="A6645" t="str">
        <f t="shared" si="111"/>
        <v>975Sharpe Ratio</v>
      </c>
      <c r="B6645">
        <v>975</v>
      </c>
      <c r="C6645" s="9" t="s">
        <v>1</v>
      </c>
      <c r="D6645" s="8">
        <v>-0.69299999999999995</v>
      </c>
    </row>
    <row r="6646" spans="1:4">
      <c r="A6646" t="str">
        <f t="shared" si="111"/>
        <v>975Total Trades</v>
      </c>
      <c r="B6646">
        <v>975</v>
      </c>
      <c r="C6646" s="9" t="s">
        <v>28</v>
      </c>
      <c r="D6646" s="8">
        <v>1617</v>
      </c>
    </row>
    <row r="6647" spans="1:4">
      <c r="A6647" t="str">
        <f t="shared" si="111"/>
        <v>975Average Win</v>
      </c>
      <c r="B6647">
        <v>975</v>
      </c>
      <c r="C6647" s="9" t="s">
        <v>25</v>
      </c>
      <c r="D6647" s="8">
        <v>5.9999999999999995E-4</v>
      </c>
    </row>
    <row r="6648" spans="1:4">
      <c r="A6648" t="str">
        <f t="shared" si="111"/>
        <v>975Average Loss</v>
      </c>
      <c r="B6648">
        <v>975</v>
      </c>
      <c r="C6648" s="9" t="s">
        <v>29</v>
      </c>
      <c r="D6648" s="8">
        <v>-1.1999999999999999E-3</v>
      </c>
    </row>
    <row r="6649" spans="1:4">
      <c r="A6649" t="str">
        <f t="shared" si="111"/>
        <v>975Compounding Annual Return</v>
      </c>
      <c r="B6649">
        <v>975</v>
      </c>
      <c r="C6649" s="9" t="s">
        <v>30</v>
      </c>
      <c r="D6649" s="8">
        <v>-2.0670000000000001E-2</v>
      </c>
    </row>
    <row r="6650" spans="1:4">
      <c r="A6650" t="str">
        <f t="shared" si="111"/>
        <v>975Drawdown</v>
      </c>
      <c r="B6650">
        <v>975</v>
      </c>
      <c r="C6650" s="9" t="s">
        <v>8</v>
      </c>
      <c r="D6650" s="8">
        <v>1.7999999999999999E-2</v>
      </c>
    </row>
    <row r="6651" spans="1:4">
      <c r="A6651" t="str">
        <f t="shared" si="111"/>
        <v>975Expectancy</v>
      </c>
      <c r="B6651">
        <v>975</v>
      </c>
      <c r="C6651" s="9" t="s">
        <v>31</v>
      </c>
      <c r="D6651" s="8">
        <v>-7.9000000000000001E-2</v>
      </c>
    </row>
    <row r="6652" spans="1:4">
      <c r="A6652" t="str">
        <f t="shared" si="111"/>
        <v>975Net Profit</v>
      </c>
      <c r="B6652">
        <v>975</v>
      </c>
      <c r="C6652" s="9" t="s">
        <v>32</v>
      </c>
      <c r="D6652" s="8">
        <v>-1.375E-2</v>
      </c>
    </row>
    <row r="6653" spans="1:4">
      <c r="A6653" t="str">
        <f t="shared" si="111"/>
        <v>975Loss Rate</v>
      </c>
      <c r="B6653">
        <v>975</v>
      </c>
      <c r="C6653" s="9" t="s">
        <v>33</v>
      </c>
      <c r="D6653" s="8">
        <v>0.37</v>
      </c>
    </row>
    <row r="6654" spans="1:4">
      <c r="A6654" t="str">
        <f t="shared" si="111"/>
        <v>975Win Rate</v>
      </c>
      <c r="B6654">
        <v>975</v>
      </c>
      <c r="C6654" s="9" t="s">
        <v>34</v>
      </c>
      <c r="D6654" s="8">
        <v>0.63</v>
      </c>
    </row>
    <row r="6655" spans="1:4">
      <c r="A6655" t="str">
        <f t="shared" si="111"/>
        <v>975Profit-Loss Ratio</v>
      </c>
      <c r="B6655">
        <v>975</v>
      </c>
      <c r="C6655" s="9" t="s">
        <v>26</v>
      </c>
      <c r="D6655" s="8">
        <v>0.47</v>
      </c>
    </row>
    <row r="6656" spans="1:4">
      <c r="A6656" t="str">
        <f t="shared" si="111"/>
        <v>975Alpha</v>
      </c>
      <c r="B6656">
        <v>975</v>
      </c>
      <c r="C6656" s="9" t="s">
        <v>23</v>
      </c>
      <c r="D6656" s="8">
        <v>-1.6E-2</v>
      </c>
    </row>
    <row r="6657" spans="1:4">
      <c r="A6657" t="str">
        <f t="shared" si="111"/>
        <v>975Beta</v>
      </c>
      <c r="B6657">
        <v>975</v>
      </c>
      <c r="C6657" s="9" t="s">
        <v>24</v>
      </c>
      <c r="D6657" s="8">
        <v>4.2000000000000003E-2</v>
      </c>
    </row>
    <row r="6658" spans="1:4">
      <c r="A6658" t="str">
        <f t="shared" si="111"/>
        <v>975Annual Standard Deviation</v>
      </c>
      <c r="B6658">
        <v>975</v>
      </c>
      <c r="C6658" s="9" t="s">
        <v>35</v>
      </c>
      <c r="D6658" s="8">
        <v>0.02</v>
      </c>
    </row>
    <row r="6659" spans="1:4">
      <c r="A6659" t="str">
        <f t="shared" si="111"/>
        <v>975Annual Variance</v>
      </c>
      <c r="B6659">
        <v>975</v>
      </c>
      <c r="C6659" s="9" t="s">
        <v>36</v>
      </c>
      <c r="D6659" s="8">
        <v>0</v>
      </c>
    </row>
    <row r="6660" spans="1:4">
      <c r="A6660" t="str">
        <f t="shared" si="111"/>
        <v>975Information Ratio</v>
      </c>
      <c r="B6660">
        <v>975</v>
      </c>
      <c r="C6660" s="9" t="s">
        <v>37</v>
      </c>
      <c r="D6660" s="8">
        <v>-0.97</v>
      </c>
    </row>
    <row r="6661" spans="1:4">
      <c r="A6661" t="str">
        <f t="shared" si="111"/>
        <v>975Tracking Error</v>
      </c>
      <c r="B6661">
        <v>975</v>
      </c>
      <c r="C6661" s="9" t="s">
        <v>38</v>
      </c>
      <c r="D6661" s="8">
        <v>6.8000000000000005E-2</v>
      </c>
    </row>
    <row r="6662" spans="1:4">
      <c r="A6662" t="str">
        <f t="shared" si="111"/>
        <v>975Treynor Ratio</v>
      </c>
      <c r="B6662">
        <v>975</v>
      </c>
      <c r="C6662" s="9" t="s">
        <v>39</v>
      </c>
      <c r="D6662" s="8">
        <v>-0.34100000000000003</v>
      </c>
    </row>
    <row r="6663" spans="1:4">
      <c r="A6663" t="str">
        <f t="shared" si="111"/>
        <v>975Total Fees</v>
      </c>
      <c r="B6663">
        <v>975</v>
      </c>
      <c r="C6663" s="9" t="s">
        <v>40</v>
      </c>
      <c r="D6663" s="8">
        <v>0</v>
      </c>
    </row>
    <row r="6664" spans="1:4">
      <c r="A6664" t="str">
        <f t="shared" si="111"/>
        <v>975Estimated Strategy Capacity</v>
      </c>
      <c r="B6664">
        <v>975</v>
      </c>
      <c r="C6664" s="9" t="s">
        <v>41</v>
      </c>
      <c r="D6664" s="8">
        <v>3100000</v>
      </c>
    </row>
    <row r="6665" spans="1:4">
      <c r="A6665" t="str">
        <f t="shared" si="111"/>
        <v>976PSR</v>
      </c>
      <c r="B6665">
        <v>976</v>
      </c>
      <c r="C6665" s="9" t="s">
        <v>27</v>
      </c>
      <c r="D6665" s="8">
        <v>3.9300000000000003E-3</v>
      </c>
    </row>
    <row r="6666" spans="1:4">
      <c r="A6666" t="str">
        <f t="shared" si="111"/>
        <v>976Sharpe Ratio</v>
      </c>
      <c r="B6666">
        <v>976</v>
      </c>
      <c r="C6666" s="9" t="s">
        <v>1</v>
      </c>
      <c r="D6666" s="8">
        <v>-1.54</v>
      </c>
    </row>
    <row r="6667" spans="1:4">
      <c r="A6667" t="str">
        <f t="shared" si="111"/>
        <v>976Total Trades</v>
      </c>
      <c r="B6667">
        <v>976</v>
      </c>
      <c r="C6667" s="9" t="s">
        <v>28</v>
      </c>
      <c r="D6667" s="8">
        <v>1031</v>
      </c>
    </row>
    <row r="6668" spans="1:4">
      <c r="A6668" t="str">
        <f t="shared" si="111"/>
        <v>976Average Win</v>
      </c>
      <c r="B6668">
        <v>976</v>
      </c>
      <c r="C6668" s="9" t="s">
        <v>25</v>
      </c>
      <c r="D6668" s="8">
        <v>0</v>
      </c>
    </row>
    <row r="6669" spans="1:4">
      <c r="A6669" t="str">
        <f t="shared" si="111"/>
        <v>976Average Loss</v>
      </c>
      <c r="B6669">
        <v>976</v>
      </c>
      <c r="C6669" s="9" t="s">
        <v>29</v>
      </c>
      <c r="D6669" s="8">
        <v>-1E-4</v>
      </c>
    </row>
    <row r="6670" spans="1:4">
      <c r="A6670" t="str">
        <f t="shared" si="111"/>
        <v>976Compounding Annual Return</v>
      </c>
      <c r="B6670">
        <v>976</v>
      </c>
      <c r="C6670" s="9" t="s">
        <v>30</v>
      </c>
      <c r="D6670" s="8">
        <v>-1.7700000000000001E-3</v>
      </c>
    </row>
    <row r="6671" spans="1:4">
      <c r="A6671" t="str">
        <f t="shared" si="111"/>
        <v>976Drawdown</v>
      </c>
      <c r="B6671">
        <v>976</v>
      </c>
      <c r="C6671" s="9" t="s">
        <v>8</v>
      </c>
      <c r="D6671" s="8">
        <v>2E-3</v>
      </c>
    </row>
    <row r="6672" spans="1:4">
      <c r="A6672" t="str">
        <f t="shared" si="111"/>
        <v>976Expectancy</v>
      </c>
      <c r="B6672">
        <v>976</v>
      </c>
      <c r="C6672" s="9" t="s">
        <v>31</v>
      </c>
      <c r="D6672" s="8">
        <v>-0.20399999999999999</v>
      </c>
    </row>
    <row r="6673" spans="1:4">
      <c r="A6673" t="str">
        <f t="shared" si="111"/>
        <v>976Net Profit</v>
      </c>
      <c r="B6673">
        <v>976</v>
      </c>
      <c r="C6673" s="9" t="s">
        <v>32</v>
      </c>
      <c r="D6673" s="8">
        <v>-1.17E-3</v>
      </c>
    </row>
    <row r="6674" spans="1:4">
      <c r="A6674" t="str">
        <f t="shared" si="111"/>
        <v>976Loss Rate</v>
      </c>
      <c r="B6674">
        <v>976</v>
      </c>
      <c r="C6674" s="9" t="s">
        <v>33</v>
      </c>
      <c r="D6674" s="8">
        <v>0.38</v>
      </c>
    </row>
    <row r="6675" spans="1:4">
      <c r="A6675" t="str">
        <f t="shared" si="111"/>
        <v>976Win Rate</v>
      </c>
      <c r="B6675">
        <v>976</v>
      </c>
      <c r="C6675" s="9" t="s">
        <v>34</v>
      </c>
      <c r="D6675" s="8">
        <v>0.62</v>
      </c>
    </row>
    <row r="6676" spans="1:4">
      <c r="A6676" t="str">
        <f t="shared" si="111"/>
        <v>976Profit-Loss Ratio</v>
      </c>
      <c r="B6676">
        <v>976</v>
      </c>
      <c r="C6676" s="9" t="s">
        <v>26</v>
      </c>
      <c r="D6676" s="8">
        <v>0.28000000000000003</v>
      </c>
    </row>
    <row r="6677" spans="1:4">
      <c r="A6677" t="str">
        <f t="shared" si="111"/>
        <v>976Alpha</v>
      </c>
      <c r="B6677">
        <v>976</v>
      </c>
      <c r="C6677" s="9" t="s">
        <v>23</v>
      </c>
      <c r="D6677" s="8">
        <v>-1E-3</v>
      </c>
    </row>
    <row r="6678" spans="1:4">
      <c r="A6678" t="str">
        <f t="shared" si="111"/>
        <v>976Beta</v>
      </c>
      <c r="B6678">
        <v>976</v>
      </c>
      <c r="C6678" s="9" t="s">
        <v>24</v>
      </c>
      <c r="D6678" s="8">
        <v>2E-3</v>
      </c>
    </row>
    <row r="6679" spans="1:4">
      <c r="A6679" t="str">
        <f t="shared" si="111"/>
        <v>976Annual Standard Deviation</v>
      </c>
      <c r="B6679">
        <v>976</v>
      </c>
      <c r="C6679" s="9" t="s">
        <v>35</v>
      </c>
      <c r="D6679" s="8">
        <v>1E-3</v>
      </c>
    </row>
    <row r="6680" spans="1:4">
      <c r="A6680" t="str">
        <f t="shared" si="111"/>
        <v>976Annual Variance</v>
      </c>
      <c r="B6680">
        <v>976</v>
      </c>
      <c r="C6680" s="9" t="s">
        <v>36</v>
      </c>
      <c r="D6680" s="8">
        <v>0</v>
      </c>
    </row>
    <row r="6681" spans="1:4">
      <c r="A6681" t="str">
        <f t="shared" si="111"/>
        <v>976Information Ratio</v>
      </c>
      <c r="B6681">
        <v>976</v>
      </c>
      <c r="C6681" s="9" t="s">
        <v>37</v>
      </c>
      <c r="D6681" s="8">
        <v>-0.78300000000000003</v>
      </c>
    </row>
    <row r="6682" spans="1:4">
      <c r="A6682" t="str">
        <f t="shared" si="111"/>
        <v>976Tracking Error</v>
      </c>
      <c r="B6682">
        <v>976</v>
      </c>
      <c r="C6682" s="9" t="s">
        <v>38</v>
      </c>
      <c r="D6682" s="8">
        <v>6.7000000000000004E-2</v>
      </c>
    </row>
    <row r="6683" spans="1:4">
      <c r="A6683" t="str">
        <f t="shared" si="111"/>
        <v>976Treynor Ratio</v>
      </c>
      <c r="B6683">
        <v>976</v>
      </c>
      <c r="C6683" s="9" t="s">
        <v>39</v>
      </c>
      <c r="D6683" s="8">
        <v>-0.74299999999999999</v>
      </c>
    </row>
    <row r="6684" spans="1:4">
      <c r="A6684" t="str">
        <f t="shared" si="111"/>
        <v>976Total Fees</v>
      </c>
      <c r="B6684">
        <v>976</v>
      </c>
      <c r="C6684" s="9" t="s">
        <v>40</v>
      </c>
      <c r="D6684" s="8">
        <v>0</v>
      </c>
    </row>
    <row r="6685" spans="1:4">
      <c r="A6685" t="str">
        <f t="shared" si="111"/>
        <v>976Estimated Strategy Capacity</v>
      </c>
      <c r="B6685">
        <v>976</v>
      </c>
      <c r="C6685" s="9" t="s">
        <v>41</v>
      </c>
      <c r="D6685" s="8">
        <v>40000000000</v>
      </c>
    </row>
    <row r="6686" spans="1:4">
      <c r="A6686" t="str">
        <f t="shared" si="111"/>
        <v>977PSR</v>
      </c>
      <c r="B6686">
        <v>977</v>
      </c>
      <c r="C6686" s="9" t="s">
        <v>27</v>
      </c>
      <c r="D6686" s="8">
        <v>3.9199999999999999E-3</v>
      </c>
    </row>
    <row r="6687" spans="1:4">
      <c r="A6687" t="str">
        <f t="shared" si="111"/>
        <v>977Sharpe Ratio</v>
      </c>
      <c r="B6687">
        <v>977</v>
      </c>
      <c r="C6687" s="9" t="s">
        <v>1</v>
      </c>
      <c r="D6687" s="8">
        <v>-1.5309999999999999</v>
      </c>
    </row>
    <row r="6688" spans="1:4">
      <c r="A6688" t="str">
        <f t="shared" si="111"/>
        <v>977Total Trades</v>
      </c>
      <c r="B6688">
        <v>977</v>
      </c>
      <c r="C6688" s="9" t="s">
        <v>28</v>
      </c>
      <c r="D6688" s="8">
        <v>1031</v>
      </c>
    </row>
    <row r="6689" spans="1:4">
      <c r="A6689" t="str">
        <f t="shared" si="111"/>
        <v>977Average Win</v>
      </c>
      <c r="B6689">
        <v>977</v>
      </c>
      <c r="C6689" s="9" t="s">
        <v>25</v>
      </c>
      <c r="D6689" s="8">
        <v>2.0000000000000001E-4</v>
      </c>
    </row>
    <row r="6690" spans="1:4">
      <c r="A6690" t="str">
        <f t="shared" ref="A6690:A6753" si="112">B6690&amp;C6690</f>
        <v>977Average Loss</v>
      </c>
      <c r="B6690">
        <v>977</v>
      </c>
      <c r="C6690" s="9" t="s">
        <v>29</v>
      </c>
      <c r="D6690" s="8">
        <v>-5.9999999999999995E-4</v>
      </c>
    </row>
    <row r="6691" spans="1:4">
      <c r="A6691" t="str">
        <f t="shared" si="112"/>
        <v>977Compounding Annual Return</v>
      </c>
      <c r="B6691">
        <v>977</v>
      </c>
      <c r="C6691" s="9" t="s">
        <v>30</v>
      </c>
      <c r="D6691" s="8">
        <v>-1.7610000000000001E-2</v>
      </c>
    </row>
    <row r="6692" spans="1:4">
      <c r="A6692" t="str">
        <f t="shared" si="112"/>
        <v>977Drawdown</v>
      </c>
      <c r="B6692">
        <v>977</v>
      </c>
      <c r="C6692" s="9" t="s">
        <v>8</v>
      </c>
      <c r="D6692" s="8">
        <v>1.6E-2</v>
      </c>
    </row>
    <row r="6693" spans="1:4">
      <c r="A6693" t="str">
        <f t="shared" si="112"/>
        <v>977Expectancy</v>
      </c>
      <c r="B6693">
        <v>977</v>
      </c>
      <c r="C6693" s="9" t="s">
        <v>31</v>
      </c>
      <c r="D6693" s="8">
        <v>-0.20399999999999999</v>
      </c>
    </row>
    <row r="6694" spans="1:4">
      <c r="A6694" t="str">
        <f t="shared" si="112"/>
        <v>977Net Profit</v>
      </c>
      <c r="B6694">
        <v>977</v>
      </c>
      <c r="C6694" s="9" t="s">
        <v>32</v>
      </c>
      <c r="D6694" s="8">
        <v>-1.171E-2</v>
      </c>
    </row>
    <row r="6695" spans="1:4">
      <c r="A6695" t="str">
        <f t="shared" si="112"/>
        <v>977Loss Rate</v>
      </c>
      <c r="B6695">
        <v>977</v>
      </c>
      <c r="C6695" s="9" t="s">
        <v>33</v>
      </c>
      <c r="D6695" s="8">
        <v>0.38</v>
      </c>
    </row>
    <row r="6696" spans="1:4">
      <c r="A6696" t="str">
        <f t="shared" si="112"/>
        <v>977Win Rate</v>
      </c>
      <c r="B6696">
        <v>977</v>
      </c>
      <c r="C6696" s="9" t="s">
        <v>34</v>
      </c>
      <c r="D6696" s="8">
        <v>0.62</v>
      </c>
    </row>
    <row r="6697" spans="1:4">
      <c r="A6697" t="str">
        <f t="shared" si="112"/>
        <v>977Profit-Loss Ratio</v>
      </c>
      <c r="B6697">
        <v>977</v>
      </c>
      <c r="C6697" s="9" t="s">
        <v>26</v>
      </c>
      <c r="D6697" s="8">
        <v>0.28000000000000003</v>
      </c>
    </row>
    <row r="6698" spans="1:4">
      <c r="A6698" t="str">
        <f t="shared" si="112"/>
        <v>977Alpha</v>
      </c>
      <c r="B6698">
        <v>977</v>
      </c>
      <c r="C6698" s="9" t="s">
        <v>23</v>
      </c>
      <c r="D6698" s="8">
        <v>-1.2999999999999999E-2</v>
      </c>
    </row>
    <row r="6699" spans="1:4">
      <c r="A6699" t="str">
        <f t="shared" si="112"/>
        <v>977Beta</v>
      </c>
      <c r="B6699">
        <v>977</v>
      </c>
      <c r="C6699" s="9" t="s">
        <v>24</v>
      </c>
      <c r="D6699" s="8">
        <v>1.6E-2</v>
      </c>
    </row>
    <row r="6700" spans="1:4">
      <c r="A6700" t="str">
        <f t="shared" si="112"/>
        <v>977Annual Standard Deviation</v>
      </c>
      <c r="B6700">
        <v>977</v>
      </c>
      <c r="C6700" s="9" t="s">
        <v>35</v>
      </c>
      <c r="D6700" s="8">
        <v>8.0000000000000002E-3</v>
      </c>
    </row>
    <row r="6701" spans="1:4">
      <c r="A6701" t="str">
        <f t="shared" si="112"/>
        <v>977Annual Variance</v>
      </c>
      <c r="B6701">
        <v>977</v>
      </c>
      <c r="C6701" s="9" t="s">
        <v>36</v>
      </c>
      <c r="D6701" s="8">
        <v>0</v>
      </c>
    </row>
    <row r="6702" spans="1:4">
      <c r="A6702" t="str">
        <f t="shared" si="112"/>
        <v>977Information Ratio</v>
      </c>
      <c r="B6702">
        <v>977</v>
      </c>
      <c r="C6702" s="9" t="s">
        <v>37</v>
      </c>
      <c r="D6702" s="8">
        <v>-0.95399999999999996</v>
      </c>
    </row>
    <row r="6703" spans="1:4">
      <c r="A6703" t="str">
        <f t="shared" si="112"/>
        <v>977Tracking Error</v>
      </c>
      <c r="B6703">
        <v>977</v>
      </c>
      <c r="C6703" s="9" t="s">
        <v>38</v>
      </c>
      <c r="D6703" s="8">
        <v>6.7000000000000004E-2</v>
      </c>
    </row>
    <row r="6704" spans="1:4">
      <c r="A6704" t="str">
        <f t="shared" si="112"/>
        <v>977Treynor Ratio</v>
      </c>
      <c r="B6704">
        <v>977</v>
      </c>
      <c r="C6704" s="9" t="s">
        <v>39</v>
      </c>
      <c r="D6704" s="8">
        <v>-0.74099999999999999</v>
      </c>
    </row>
    <row r="6705" spans="1:4">
      <c r="A6705" t="str">
        <f t="shared" si="112"/>
        <v>977Total Fees</v>
      </c>
      <c r="B6705">
        <v>977</v>
      </c>
      <c r="C6705" s="9" t="s">
        <v>40</v>
      </c>
      <c r="D6705" s="8">
        <v>0</v>
      </c>
    </row>
    <row r="6706" spans="1:4">
      <c r="A6706" t="str">
        <f t="shared" si="112"/>
        <v>977Estimated Strategy Capacity</v>
      </c>
      <c r="B6706">
        <v>977</v>
      </c>
      <c r="C6706" s="9" t="s">
        <v>41</v>
      </c>
      <c r="D6706" s="8">
        <v>4000000000</v>
      </c>
    </row>
    <row r="6707" spans="1:4">
      <c r="A6707" t="str">
        <f t="shared" si="112"/>
        <v>978PSR</v>
      </c>
      <c r="B6707">
        <v>978</v>
      </c>
      <c r="C6707" s="9" t="s">
        <v>27</v>
      </c>
      <c r="D6707" s="8">
        <v>3.9199999999999999E-3</v>
      </c>
    </row>
    <row r="6708" spans="1:4">
      <c r="A6708" t="str">
        <f t="shared" si="112"/>
        <v>978Sharpe Ratio</v>
      </c>
      <c r="B6708">
        <v>978</v>
      </c>
      <c r="C6708" s="9" t="s">
        <v>1</v>
      </c>
      <c r="D6708" s="8">
        <v>-1.522</v>
      </c>
    </row>
    <row r="6709" spans="1:4">
      <c r="A6709" t="str">
        <f t="shared" si="112"/>
        <v>978Total Trades</v>
      </c>
      <c r="B6709">
        <v>978</v>
      </c>
      <c r="C6709" s="9" t="s">
        <v>28</v>
      </c>
      <c r="D6709" s="8">
        <v>1031</v>
      </c>
    </row>
    <row r="6710" spans="1:4">
      <c r="A6710" t="str">
        <f t="shared" si="112"/>
        <v>978Average Win</v>
      </c>
      <c r="B6710">
        <v>978</v>
      </c>
      <c r="C6710" s="9" t="s">
        <v>25</v>
      </c>
      <c r="D6710" s="8">
        <v>2.9999999999999997E-4</v>
      </c>
    </row>
    <row r="6711" spans="1:4">
      <c r="A6711" t="str">
        <f t="shared" si="112"/>
        <v>978Average Loss</v>
      </c>
      <c r="B6711">
        <v>978</v>
      </c>
      <c r="C6711" s="9" t="s">
        <v>29</v>
      </c>
      <c r="D6711" s="8">
        <v>-1.1000000000000001E-3</v>
      </c>
    </row>
    <row r="6712" spans="1:4">
      <c r="A6712" t="str">
        <f t="shared" si="112"/>
        <v>978Compounding Annual Return</v>
      </c>
      <c r="B6712">
        <v>978</v>
      </c>
      <c r="C6712" s="9" t="s">
        <v>30</v>
      </c>
      <c r="D6712" s="8">
        <v>-3.5110000000000002E-2</v>
      </c>
    </row>
    <row r="6713" spans="1:4">
      <c r="A6713" t="str">
        <f t="shared" si="112"/>
        <v>978Drawdown</v>
      </c>
      <c r="B6713">
        <v>978</v>
      </c>
      <c r="C6713" s="9" t="s">
        <v>8</v>
      </c>
      <c r="D6713" s="8">
        <v>3.2000000000000001E-2</v>
      </c>
    </row>
    <row r="6714" spans="1:4">
      <c r="A6714" t="str">
        <f t="shared" si="112"/>
        <v>978Expectancy</v>
      </c>
      <c r="B6714">
        <v>978</v>
      </c>
      <c r="C6714" s="9" t="s">
        <v>31</v>
      </c>
      <c r="D6714" s="8">
        <v>-0.20399999999999999</v>
      </c>
    </row>
    <row r="6715" spans="1:4">
      <c r="A6715" t="str">
        <f t="shared" si="112"/>
        <v>978Net Profit</v>
      </c>
      <c r="B6715">
        <v>978</v>
      </c>
      <c r="C6715" s="9" t="s">
        <v>32</v>
      </c>
      <c r="D6715" s="8">
        <v>-2.342E-2</v>
      </c>
    </row>
    <row r="6716" spans="1:4">
      <c r="A6716" t="str">
        <f t="shared" si="112"/>
        <v>978Loss Rate</v>
      </c>
      <c r="B6716">
        <v>978</v>
      </c>
      <c r="C6716" s="9" t="s">
        <v>33</v>
      </c>
      <c r="D6716" s="8">
        <v>0.38</v>
      </c>
    </row>
    <row r="6717" spans="1:4">
      <c r="A6717" t="str">
        <f t="shared" si="112"/>
        <v>978Win Rate</v>
      </c>
      <c r="B6717">
        <v>978</v>
      </c>
      <c r="C6717" s="9" t="s">
        <v>34</v>
      </c>
      <c r="D6717" s="8">
        <v>0.62</v>
      </c>
    </row>
    <row r="6718" spans="1:4">
      <c r="A6718" t="str">
        <f t="shared" si="112"/>
        <v>978Profit-Loss Ratio</v>
      </c>
      <c r="B6718">
        <v>978</v>
      </c>
      <c r="C6718" s="9" t="s">
        <v>26</v>
      </c>
      <c r="D6718" s="8">
        <v>0.28000000000000003</v>
      </c>
    </row>
    <row r="6719" spans="1:4">
      <c r="A6719" t="str">
        <f t="shared" si="112"/>
        <v>978Alpha</v>
      </c>
      <c r="B6719">
        <v>978</v>
      </c>
      <c r="C6719" s="9" t="s">
        <v>23</v>
      </c>
      <c r="D6719" s="8">
        <v>-2.5999999999999999E-2</v>
      </c>
    </row>
    <row r="6720" spans="1:4">
      <c r="A6720" t="str">
        <f t="shared" si="112"/>
        <v>978Beta</v>
      </c>
      <c r="B6720">
        <v>978</v>
      </c>
      <c r="C6720" s="9" t="s">
        <v>24</v>
      </c>
      <c r="D6720" s="8">
        <v>3.3000000000000002E-2</v>
      </c>
    </row>
    <row r="6721" spans="1:4">
      <c r="A6721" t="str">
        <f t="shared" si="112"/>
        <v>978Annual Standard Deviation</v>
      </c>
      <c r="B6721">
        <v>978</v>
      </c>
      <c r="C6721" s="9" t="s">
        <v>35</v>
      </c>
      <c r="D6721" s="8">
        <v>1.6E-2</v>
      </c>
    </row>
    <row r="6722" spans="1:4">
      <c r="A6722" t="str">
        <f t="shared" si="112"/>
        <v>978Annual Variance</v>
      </c>
      <c r="B6722">
        <v>978</v>
      </c>
      <c r="C6722" s="9" t="s">
        <v>36</v>
      </c>
      <c r="D6722" s="8">
        <v>0</v>
      </c>
    </row>
    <row r="6723" spans="1:4">
      <c r="A6723" t="str">
        <f t="shared" si="112"/>
        <v>978Information Ratio</v>
      </c>
      <c r="B6723">
        <v>978</v>
      </c>
      <c r="C6723" s="9" t="s">
        <v>37</v>
      </c>
      <c r="D6723" s="8">
        <v>-1.131</v>
      </c>
    </row>
    <row r="6724" spans="1:4">
      <c r="A6724" t="str">
        <f t="shared" si="112"/>
        <v>978Tracking Error</v>
      </c>
      <c r="B6724">
        <v>978</v>
      </c>
      <c r="C6724" s="9" t="s">
        <v>38</v>
      </c>
      <c r="D6724" s="8">
        <v>6.7000000000000004E-2</v>
      </c>
    </row>
    <row r="6725" spans="1:4">
      <c r="A6725" t="str">
        <f t="shared" si="112"/>
        <v>978Treynor Ratio</v>
      </c>
      <c r="B6725">
        <v>978</v>
      </c>
      <c r="C6725" s="9" t="s">
        <v>39</v>
      </c>
      <c r="D6725" s="8">
        <v>-0.73699999999999999</v>
      </c>
    </row>
    <row r="6726" spans="1:4">
      <c r="A6726" t="str">
        <f t="shared" si="112"/>
        <v>978Total Fees</v>
      </c>
      <c r="B6726">
        <v>978</v>
      </c>
      <c r="C6726" s="9" t="s">
        <v>40</v>
      </c>
      <c r="D6726" s="8">
        <v>0</v>
      </c>
    </row>
    <row r="6727" spans="1:4">
      <c r="A6727" t="str">
        <f t="shared" si="112"/>
        <v>978Estimated Strategy Capacity</v>
      </c>
      <c r="B6727">
        <v>978</v>
      </c>
      <c r="C6727" s="9" t="s">
        <v>41</v>
      </c>
      <c r="D6727" s="8">
        <v>2000000000</v>
      </c>
    </row>
    <row r="6728" spans="1:4">
      <c r="A6728" t="str">
        <f t="shared" si="112"/>
        <v>979PSR</v>
      </c>
      <c r="B6728">
        <v>979</v>
      </c>
      <c r="C6728" s="9" t="s">
        <v>27</v>
      </c>
      <c r="D6728" s="8">
        <v>6.6049999999999998E-2</v>
      </c>
    </row>
    <row r="6729" spans="1:4">
      <c r="A6729" t="str">
        <f t="shared" si="112"/>
        <v>979Sharpe Ratio</v>
      </c>
      <c r="B6729">
        <v>979</v>
      </c>
      <c r="C6729" s="9" t="s">
        <v>1</v>
      </c>
      <c r="D6729" s="8">
        <v>-0.56999999999999995</v>
      </c>
    </row>
    <row r="6730" spans="1:4">
      <c r="A6730" t="str">
        <f t="shared" si="112"/>
        <v>979Total Trades</v>
      </c>
      <c r="B6730">
        <v>979</v>
      </c>
      <c r="C6730" s="9" t="s">
        <v>28</v>
      </c>
      <c r="D6730" s="8">
        <v>758</v>
      </c>
    </row>
    <row r="6731" spans="1:4">
      <c r="A6731" t="str">
        <f t="shared" si="112"/>
        <v>979Average Win</v>
      </c>
      <c r="B6731">
        <v>979</v>
      </c>
      <c r="C6731" s="9" t="s">
        <v>25</v>
      </c>
      <c r="D6731" s="8">
        <v>0</v>
      </c>
    </row>
    <row r="6732" spans="1:4">
      <c r="A6732" t="str">
        <f t="shared" si="112"/>
        <v>979Average Loss</v>
      </c>
      <c r="B6732">
        <v>979</v>
      </c>
      <c r="C6732" s="9" t="s">
        <v>29</v>
      </c>
      <c r="D6732" s="8">
        <v>-1E-4</v>
      </c>
    </row>
    <row r="6733" spans="1:4">
      <c r="A6733" t="str">
        <f t="shared" si="112"/>
        <v>979Compounding Annual Return</v>
      </c>
      <c r="B6733">
        <v>979</v>
      </c>
      <c r="C6733" s="9" t="s">
        <v>30</v>
      </c>
      <c r="D6733" s="8">
        <v>-5.5000000000000003E-4</v>
      </c>
    </row>
    <row r="6734" spans="1:4">
      <c r="A6734" t="str">
        <f t="shared" si="112"/>
        <v>979Drawdown</v>
      </c>
      <c r="B6734">
        <v>979</v>
      </c>
      <c r="C6734" s="9" t="s">
        <v>8</v>
      </c>
      <c r="D6734" s="8">
        <v>1E-3</v>
      </c>
    </row>
    <row r="6735" spans="1:4">
      <c r="A6735" t="str">
        <f t="shared" si="112"/>
        <v>979Expectancy</v>
      </c>
      <c r="B6735">
        <v>979</v>
      </c>
      <c r="C6735" s="9" t="s">
        <v>31</v>
      </c>
      <c r="D6735" s="8">
        <v>-9.7000000000000003E-2</v>
      </c>
    </row>
    <row r="6736" spans="1:4">
      <c r="A6736" t="str">
        <f t="shared" si="112"/>
        <v>979Net Profit</v>
      </c>
      <c r="B6736">
        <v>979</v>
      </c>
      <c r="C6736" s="9" t="s">
        <v>32</v>
      </c>
      <c r="D6736" s="8">
        <v>-3.6999999999999999E-4</v>
      </c>
    </row>
    <row r="6737" spans="1:4">
      <c r="A6737" t="str">
        <f t="shared" si="112"/>
        <v>979Loss Rate</v>
      </c>
      <c r="B6737">
        <v>979</v>
      </c>
      <c r="C6737" s="9" t="s">
        <v>33</v>
      </c>
      <c r="D6737" s="8">
        <v>0.38</v>
      </c>
    </row>
    <row r="6738" spans="1:4">
      <c r="A6738" t="str">
        <f t="shared" si="112"/>
        <v>979Win Rate</v>
      </c>
      <c r="B6738">
        <v>979</v>
      </c>
      <c r="C6738" s="9" t="s">
        <v>34</v>
      </c>
      <c r="D6738" s="8">
        <v>0.62</v>
      </c>
    </row>
    <row r="6739" spans="1:4">
      <c r="A6739" t="str">
        <f t="shared" si="112"/>
        <v>979Profit-Loss Ratio</v>
      </c>
      <c r="B6739">
        <v>979</v>
      </c>
      <c r="C6739" s="9" t="s">
        <v>26</v>
      </c>
      <c r="D6739" s="8">
        <v>0.47</v>
      </c>
    </row>
    <row r="6740" spans="1:4">
      <c r="A6740" t="str">
        <f t="shared" si="112"/>
        <v>979Alpha</v>
      </c>
      <c r="B6740">
        <v>979</v>
      </c>
      <c r="C6740" s="9" t="s">
        <v>23</v>
      </c>
      <c r="D6740" s="8">
        <v>0</v>
      </c>
    </row>
    <row r="6741" spans="1:4">
      <c r="A6741" t="str">
        <f t="shared" si="112"/>
        <v>979Beta</v>
      </c>
      <c r="B6741">
        <v>979</v>
      </c>
      <c r="C6741" s="9" t="s">
        <v>24</v>
      </c>
      <c r="D6741" s="8">
        <v>2E-3</v>
      </c>
    </row>
    <row r="6742" spans="1:4">
      <c r="A6742" t="str">
        <f t="shared" si="112"/>
        <v>979Annual Standard Deviation</v>
      </c>
      <c r="B6742">
        <v>979</v>
      </c>
      <c r="C6742" s="9" t="s">
        <v>35</v>
      </c>
      <c r="D6742" s="8">
        <v>1E-3</v>
      </c>
    </row>
    <row r="6743" spans="1:4">
      <c r="A6743" t="str">
        <f t="shared" si="112"/>
        <v>979Annual Variance</v>
      </c>
      <c r="B6743">
        <v>979</v>
      </c>
      <c r="C6743" s="9" t="s">
        <v>36</v>
      </c>
      <c r="D6743" s="8">
        <v>0</v>
      </c>
    </row>
    <row r="6744" spans="1:4">
      <c r="A6744" t="str">
        <f t="shared" si="112"/>
        <v>979Information Ratio</v>
      </c>
      <c r="B6744">
        <v>979</v>
      </c>
      <c r="C6744" s="9" t="s">
        <v>37</v>
      </c>
      <c r="D6744" s="8">
        <v>-0.77100000000000002</v>
      </c>
    </row>
    <row r="6745" spans="1:4">
      <c r="A6745" t="str">
        <f t="shared" si="112"/>
        <v>979Tracking Error</v>
      </c>
      <c r="B6745">
        <v>979</v>
      </c>
      <c r="C6745" s="9" t="s">
        <v>38</v>
      </c>
      <c r="D6745" s="8">
        <v>6.7000000000000004E-2</v>
      </c>
    </row>
    <row r="6746" spans="1:4">
      <c r="A6746" t="str">
        <f t="shared" si="112"/>
        <v>979Treynor Ratio</v>
      </c>
      <c r="B6746">
        <v>979</v>
      </c>
      <c r="C6746" s="9" t="s">
        <v>39</v>
      </c>
      <c r="D6746" s="8">
        <v>-0.19500000000000001</v>
      </c>
    </row>
    <row r="6747" spans="1:4">
      <c r="A6747" t="str">
        <f t="shared" si="112"/>
        <v>979Total Fees</v>
      </c>
      <c r="B6747">
        <v>979</v>
      </c>
      <c r="C6747" s="9" t="s">
        <v>40</v>
      </c>
      <c r="D6747" s="8">
        <v>0</v>
      </c>
    </row>
    <row r="6748" spans="1:4">
      <c r="A6748" t="str">
        <f t="shared" si="112"/>
        <v>979Estimated Strategy Capacity</v>
      </c>
      <c r="B6748">
        <v>979</v>
      </c>
      <c r="C6748" s="9" t="s">
        <v>41</v>
      </c>
      <c r="D6748" s="8">
        <v>5200000</v>
      </c>
    </row>
    <row r="6749" spans="1:4">
      <c r="A6749" t="str">
        <f t="shared" si="112"/>
        <v>980PSR</v>
      </c>
      <c r="B6749">
        <v>980</v>
      </c>
      <c r="C6749" s="9" t="s">
        <v>27</v>
      </c>
      <c r="D6749" s="8">
        <v>6.6619999999999999E-2</v>
      </c>
    </row>
    <row r="6750" spans="1:4">
      <c r="A6750" t="str">
        <f t="shared" si="112"/>
        <v>980Sharpe Ratio</v>
      </c>
      <c r="B6750">
        <v>980</v>
      </c>
      <c r="C6750" s="9" t="s">
        <v>1</v>
      </c>
      <c r="D6750" s="8">
        <v>-0.56399999999999995</v>
      </c>
    </row>
    <row r="6751" spans="1:4">
      <c r="A6751" t="str">
        <f t="shared" si="112"/>
        <v>980Total Trades</v>
      </c>
      <c r="B6751">
        <v>980</v>
      </c>
      <c r="C6751" s="9" t="s">
        <v>28</v>
      </c>
      <c r="D6751" s="8">
        <v>758</v>
      </c>
    </row>
    <row r="6752" spans="1:4">
      <c r="A6752" t="str">
        <f t="shared" si="112"/>
        <v>980Average Win</v>
      </c>
      <c r="B6752">
        <v>980</v>
      </c>
      <c r="C6752" s="9" t="s">
        <v>25</v>
      </c>
      <c r="D6752" s="8">
        <v>2.0000000000000001E-4</v>
      </c>
    </row>
    <row r="6753" spans="1:4">
      <c r="A6753" t="str">
        <f t="shared" si="112"/>
        <v>980Average Loss</v>
      </c>
      <c r="B6753">
        <v>980</v>
      </c>
      <c r="C6753" s="9" t="s">
        <v>29</v>
      </c>
      <c r="D6753" s="8">
        <v>-5.0000000000000001E-4</v>
      </c>
    </row>
    <row r="6754" spans="1:4">
      <c r="A6754" t="str">
        <f t="shared" ref="A6754:A6817" si="113">B6754&amp;C6754</f>
        <v>980Compounding Annual Return</v>
      </c>
      <c r="B6754">
        <v>980</v>
      </c>
      <c r="C6754" s="9" t="s">
        <v>30</v>
      </c>
      <c r="D6754" s="8">
        <v>-5.5399999999999998E-3</v>
      </c>
    </row>
    <row r="6755" spans="1:4">
      <c r="A6755" t="str">
        <f t="shared" si="113"/>
        <v>980Drawdown</v>
      </c>
      <c r="B6755">
        <v>980</v>
      </c>
      <c r="C6755" s="9" t="s">
        <v>8</v>
      </c>
      <c r="D6755" s="8">
        <v>8.9999999999999993E-3</v>
      </c>
    </row>
    <row r="6756" spans="1:4">
      <c r="A6756" t="str">
        <f t="shared" si="113"/>
        <v>980Expectancy</v>
      </c>
      <c r="B6756">
        <v>980</v>
      </c>
      <c r="C6756" s="9" t="s">
        <v>31</v>
      </c>
      <c r="D6756" s="8">
        <v>-9.6000000000000002E-2</v>
      </c>
    </row>
    <row r="6757" spans="1:4">
      <c r="A6757" t="str">
        <f t="shared" si="113"/>
        <v>980Net Profit</v>
      </c>
      <c r="B6757">
        <v>980</v>
      </c>
      <c r="C6757" s="9" t="s">
        <v>32</v>
      </c>
      <c r="D6757" s="8">
        <v>-3.6700000000000001E-3</v>
      </c>
    </row>
    <row r="6758" spans="1:4">
      <c r="A6758" t="str">
        <f t="shared" si="113"/>
        <v>980Loss Rate</v>
      </c>
      <c r="B6758">
        <v>980</v>
      </c>
      <c r="C6758" s="9" t="s">
        <v>33</v>
      </c>
      <c r="D6758" s="8">
        <v>0.38</v>
      </c>
    </row>
    <row r="6759" spans="1:4">
      <c r="A6759" t="str">
        <f t="shared" si="113"/>
        <v>980Win Rate</v>
      </c>
      <c r="B6759">
        <v>980</v>
      </c>
      <c r="C6759" s="9" t="s">
        <v>34</v>
      </c>
      <c r="D6759" s="8">
        <v>0.62</v>
      </c>
    </row>
    <row r="6760" spans="1:4">
      <c r="A6760" t="str">
        <f t="shared" si="113"/>
        <v>980Profit-Loss Ratio</v>
      </c>
      <c r="B6760">
        <v>980</v>
      </c>
      <c r="C6760" s="9" t="s">
        <v>26</v>
      </c>
      <c r="D6760" s="8">
        <v>0.47</v>
      </c>
    </row>
    <row r="6761" spans="1:4">
      <c r="A6761" t="str">
        <f t="shared" si="113"/>
        <v>980Alpha</v>
      </c>
      <c r="B6761">
        <v>980</v>
      </c>
      <c r="C6761" s="9" t="s">
        <v>23</v>
      </c>
      <c r="D6761" s="8">
        <v>-5.0000000000000001E-3</v>
      </c>
    </row>
    <row r="6762" spans="1:4">
      <c r="A6762" t="str">
        <f t="shared" si="113"/>
        <v>980Beta</v>
      </c>
      <c r="B6762">
        <v>980</v>
      </c>
      <c r="C6762" s="9" t="s">
        <v>24</v>
      </c>
      <c r="D6762" s="8">
        <v>0.02</v>
      </c>
    </row>
    <row r="6763" spans="1:4">
      <c r="A6763" t="str">
        <f t="shared" si="113"/>
        <v>980Annual Standard Deviation</v>
      </c>
      <c r="B6763">
        <v>980</v>
      </c>
      <c r="C6763" s="9" t="s">
        <v>35</v>
      </c>
      <c r="D6763" s="8">
        <v>7.0000000000000001E-3</v>
      </c>
    </row>
    <row r="6764" spans="1:4">
      <c r="A6764" t="str">
        <f t="shared" si="113"/>
        <v>980Annual Variance</v>
      </c>
      <c r="B6764">
        <v>980</v>
      </c>
      <c r="C6764" s="9" t="s">
        <v>36</v>
      </c>
      <c r="D6764" s="8">
        <v>0</v>
      </c>
    </row>
    <row r="6765" spans="1:4">
      <c r="A6765" t="str">
        <f t="shared" si="113"/>
        <v>980Information Ratio</v>
      </c>
      <c r="B6765">
        <v>980</v>
      </c>
      <c r="C6765" s="9" t="s">
        <v>37</v>
      </c>
      <c r="D6765" s="8">
        <v>-0.83299999999999996</v>
      </c>
    </row>
    <row r="6766" spans="1:4">
      <c r="A6766" t="str">
        <f t="shared" si="113"/>
        <v>980Tracking Error</v>
      </c>
      <c r="B6766">
        <v>980</v>
      </c>
      <c r="C6766" s="9" t="s">
        <v>38</v>
      </c>
      <c r="D6766" s="8">
        <v>6.6000000000000003E-2</v>
      </c>
    </row>
    <row r="6767" spans="1:4">
      <c r="A6767" t="str">
        <f t="shared" si="113"/>
        <v>980Treynor Ratio</v>
      </c>
      <c r="B6767">
        <v>980</v>
      </c>
      <c r="C6767" s="9" t="s">
        <v>39</v>
      </c>
      <c r="D6767" s="8">
        <v>-0.19400000000000001</v>
      </c>
    </row>
    <row r="6768" spans="1:4">
      <c r="A6768" t="str">
        <f t="shared" si="113"/>
        <v>980Total Fees</v>
      </c>
      <c r="B6768">
        <v>980</v>
      </c>
      <c r="C6768" s="9" t="s">
        <v>40</v>
      </c>
      <c r="D6768" s="8">
        <v>0</v>
      </c>
    </row>
    <row r="6769" spans="1:4">
      <c r="A6769" t="str">
        <f t="shared" si="113"/>
        <v>980Estimated Strategy Capacity</v>
      </c>
      <c r="B6769">
        <v>980</v>
      </c>
      <c r="C6769" s="9" t="s">
        <v>41</v>
      </c>
      <c r="D6769" s="8">
        <v>5200000</v>
      </c>
    </row>
    <row r="6770" spans="1:4">
      <c r="A6770" t="str">
        <f t="shared" si="113"/>
        <v>981PSR</v>
      </c>
      <c r="B6770">
        <v>981</v>
      </c>
      <c r="C6770" s="9" t="s">
        <v>27</v>
      </c>
      <c r="D6770" s="8">
        <v>6.7250000000000004E-2</v>
      </c>
    </row>
    <row r="6771" spans="1:4">
      <c r="A6771" t="str">
        <f t="shared" si="113"/>
        <v>981Sharpe Ratio</v>
      </c>
      <c r="B6771">
        <v>981</v>
      </c>
      <c r="C6771" s="9" t="s">
        <v>1</v>
      </c>
      <c r="D6771" s="8">
        <v>-0.55800000000000005</v>
      </c>
    </row>
    <row r="6772" spans="1:4">
      <c r="A6772" t="str">
        <f t="shared" si="113"/>
        <v>981Total Trades</v>
      </c>
      <c r="B6772">
        <v>981</v>
      </c>
      <c r="C6772" s="9" t="s">
        <v>28</v>
      </c>
      <c r="D6772" s="8">
        <v>758</v>
      </c>
    </row>
    <row r="6773" spans="1:4">
      <c r="A6773" t="str">
        <f t="shared" si="113"/>
        <v>981Average Win</v>
      </c>
      <c r="B6773">
        <v>981</v>
      </c>
      <c r="C6773" s="9" t="s">
        <v>25</v>
      </c>
      <c r="D6773" s="8">
        <v>5.0000000000000001E-4</v>
      </c>
    </row>
    <row r="6774" spans="1:4">
      <c r="A6774" t="str">
        <f t="shared" si="113"/>
        <v>981Average Loss</v>
      </c>
      <c r="B6774">
        <v>981</v>
      </c>
      <c r="C6774" s="9" t="s">
        <v>29</v>
      </c>
      <c r="D6774" s="8">
        <v>-1E-3</v>
      </c>
    </row>
    <row r="6775" spans="1:4">
      <c r="A6775" t="str">
        <f t="shared" si="113"/>
        <v>981Compounding Annual Return</v>
      </c>
      <c r="B6775">
        <v>981</v>
      </c>
      <c r="C6775" s="9" t="s">
        <v>30</v>
      </c>
      <c r="D6775" s="8">
        <v>-1.106E-2</v>
      </c>
    </row>
    <row r="6776" spans="1:4">
      <c r="A6776" t="str">
        <f t="shared" si="113"/>
        <v>981Drawdown</v>
      </c>
      <c r="B6776">
        <v>981</v>
      </c>
      <c r="C6776" s="9" t="s">
        <v>8</v>
      </c>
      <c r="D6776" s="8">
        <v>1.7000000000000001E-2</v>
      </c>
    </row>
    <row r="6777" spans="1:4">
      <c r="A6777" t="str">
        <f t="shared" si="113"/>
        <v>981Expectancy</v>
      </c>
      <c r="B6777">
        <v>981</v>
      </c>
      <c r="C6777" s="9" t="s">
        <v>31</v>
      </c>
      <c r="D6777" s="8">
        <v>-9.5000000000000001E-2</v>
      </c>
    </row>
    <row r="6778" spans="1:4">
      <c r="A6778" t="str">
        <f t="shared" si="113"/>
        <v>981Net Profit</v>
      </c>
      <c r="B6778">
        <v>981</v>
      </c>
      <c r="C6778" s="9" t="s">
        <v>32</v>
      </c>
      <c r="D6778" s="8">
        <v>-7.3499999999999998E-3</v>
      </c>
    </row>
    <row r="6779" spans="1:4">
      <c r="A6779" t="str">
        <f t="shared" si="113"/>
        <v>981Loss Rate</v>
      </c>
      <c r="B6779">
        <v>981</v>
      </c>
      <c r="C6779" s="9" t="s">
        <v>33</v>
      </c>
      <c r="D6779" s="8">
        <v>0.38</v>
      </c>
    </row>
    <row r="6780" spans="1:4">
      <c r="A6780" t="str">
        <f t="shared" si="113"/>
        <v>981Win Rate</v>
      </c>
      <c r="B6780">
        <v>981</v>
      </c>
      <c r="C6780" s="9" t="s">
        <v>34</v>
      </c>
      <c r="D6780" s="8">
        <v>0.62</v>
      </c>
    </row>
    <row r="6781" spans="1:4">
      <c r="A6781" t="str">
        <f t="shared" si="113"/>
        <v>981Profit-Loss Ratio</v>
      </c>
      <c r="B6781">
        <v>981</v>
      </c>
      <c r="C6781" s="9" t="s">
        <v>26</v>
      </c>
      <c r="D6781" s="8">
        <v>0.47</v>
      </c>
    </row>
    <row r="6782" spans="1:4">
      <c r="A6782" t="str">
        <f t="shared" si="113"/>
        <v>981Alpha</v>
      </c>
      <c r="B6782">
        <v>981</v>
      </c>
      <c r="C6782" s="9" t="s">
        <v>23</v>
      </c>
      <c r="D6782" s="8">
        <v>-0.01</v>
      </c>
    </row>
    <row r="6783" spans="1:4">
      <c r="A6783" t="str">
        <f t="shared" si="113"/>
        <v>981Beta</v>
      </c>
      <c r="B6783">
        <v>981</v>
      </c>
      <c r="C6783" s="9" t="s">
        <v>24</v>
      </c>
      <c r="D6783" s="8">
        <v>0.04</v>
      </c>
    </row>
    <row r="6784" spans="1:4">
      <c r="A6784" t="str">
        <f t="shared" si="113"/>
        <v>981Annual Standard Deviation</v>
      </c>
      <c r="B6784">
        <v>981</v>
      </c>
      <c r="C6784" s="9" t="s">
        <v>35</v>
      </c>
      <c r="D6784" s="8">
        <v>1.4E-2</v>
      </c>
    </row>
    <row r="6785" spans="1:4">
      <c r="A6785" t="str">
        <f t="shared" si="113"/>
        <v>981Annual Variance</v>
      </c>
      <c r="B6785">
        <v>981</v>
      </c>
      <c r="C6785" s="9" t="s">
        <v>36</v>
      </c>
      <c r="D6785" s="8">
        <v>0</v>
      </c>
    </row>
    <row r="6786" spans="1:4">
      <c r="A6786" t="str">
        <f t="shared" si="113"/>
        <v>981Information Ratio</v>
      </c>
      <c r="B6786">
        <v>981</v>
      </c>
      <c r="C6786" s="9" t="s">
        <v>37</v>
      </c>
      <c r="D6786" s="8">
        <v>-0.89400000000000002</v>
      </c>
    </row>
    <row r="6787" spans="1:4">
      <c r="A6787" t="str">
        <f t="shared" si="113"/>
        <v>981Tracking Error</v>
      </c>
      <c r="B6787">
        <v>981</v>
      </c>
      <c r="C6787" s="9" t="s">
        <v>38</v>
      </c>
      <c r="D6787" s="8">
        <v>6.6000000000000003E-2</v>
      </c>
    </row>
    <row r="6788" spans="1:4">
      <c r="A6788" t="str">
        <f t="shared" si="113"/>
        <v>981Treynor Ratio</v>
      </c>
      <c r="B6788">
        <v>981</v>
      </c>
      <c r="C6788" s="9" t="s">
        <v>39</v>
      </c>
      <c r="D6788" s="8">
        <v>-0.192</v>
      </c>
    </row>
    <row r="6789" spans="1:4">
      <c r="A6789" t="str">
        <f t="shared" si="113"/>
        <v>981Total Fees</v>
      </c>
      <c r="B6789">
        <v>981</v>
      </c>
      <c r="C6789" s="9" t="s">
        <v>40</v>
      </c>
      <c r="D6789" s="8">
        <v>0</v>
      </c>
    </row>
    <row r="6790" spans="1:4">
      <c r="A6790" t="str">
        <f t="shared" si="113"/>
        <v>981Estimated Strategy Capacity</v>
      </c>
      <c r="B6790">
        <v>981</v>
      </c>
      <c r="C6790" s="9" t="s">
        <v>41</v>
      </c>
      <c r="D6790" s="8">
        <v>5200000</v>
      </c>
    </row>
    <row r="6791" spans="1:4">
      <c r="A6791" t="str">
        <f t="shared" si="113"/>
        <v>1000PSR</v>
      </c>
      <c r="B6791">
        <v>1000</v>
      </c>
      <c r="C6791" s="9" t="s">
        <v>27</v>
      </c>
      <c r="D6791" s="8">
        <v>0.35608000000000001</v>
      </c>
    </row>
    <row r="6792" spans="1:4">
      <c r="A6792" t="str">
        <f t="shared" si="113"/>
        <v>1000Sharpe Ratio</v>
      </c>
      <c r="B6792">
        <v>1000</v>
      </c>
      <c r="C6792" s="9" t="s">
        <v>1</v>
      </c>
      <c r="D6792" s="8">
        <v>0.63500000000000001</v>
      </c>
    </row>
    <row r="6793" spans="1:4">
      <c r="A6793" t="str">
        <f t="shared" si="113"/>
        <v>1000Total Trades</v>
      </c>
      <c r="B6793">
        <v>1000</v>
      </c>
      <c r="C6793" s="9" t="s">
        <v>28</v>
      </c>
      <c r="D6793" s="8">
        <v>1435</v>
      </c>
    </row>
    <row r="6794" spans="1:4">
      <c r="A6794" t="str">
        <f t="shared" si="113"/>
        <v>1000Average Win</v>
      </c>
      <c r="B6794">
        <v>1000</v>
      </c>
      <c r="C6794" s="9" t="s">
        <v>25</v>
      </c>
      <c r="D6794" s="8">
        <v>1E-4</v>
      </c>
    </row>
    <row r="6795" spans="1:4">
      <c r="A6795" t="str">
        <f t="shared" si="113"/>
        <v>1000Average Loss</v>
      </c>
      <c r="B6795">
        <v>1000</v>
      </c>
      <c r="C6795" s="9" t="s">
        <v>29</v>
      </c>
      <c r="D6795" s="8">
        <v>-1E-4</v>
      </c>
    </row>
    <row r="6796" spans="1:4">
      <c r="A6796" t="str">
        <f t="shared" si="113"/>
        <v>1000Compounding Annual Return</v>
      </c>
      <c r="B6796">
        <v>1000</v>
      </c>
      <c r="C6796" s="9" t="s">
        <v>30</v>
      </c>
      <c r="D6796" s="8">
        <v>1.5299999999999999E-3</v>
      </c>
    </row>
    <row r="6797" spans="1:4">
      <c r="A6797" t="str">
        <f t="shared" si="113"/>
        <v>1000Drawdown</v>
      </c>
      <c r="B6797">
        <v>1000</v>
      </c>
      <c r="C6797" s="9" t="s">
        <v>8</v>
      </c>
      <c r="D6797" s="8">
        <v>1E-3</v>
      </c>
    </row>
    <row r="6798" spans="1:4">
      <c r="A6798" t="str">
        <f t="shared" si="113"/>
        <v>1000Expectancy</v>
      </c>
      <c r="B6798">
        <v>1000</v>
      </c>
      <c r="C6798" s="9" t="s">
        <v>31</v>
      </c>
      <c r="D6798" s="8">
        <v>0.109</v>
      </c>
    </row>
    <row r="6799" spans="1:4">
      <c r="A6799" t="str">
        <f t="shared" si="113"/>
        <v>1000Net Profit</v>
      </c>
      <c r="B6799">
        <v>1000</v>
      </c>
      <c r="C6799" s="9" t="s">
        <v>32</v>
      </c>
      <c r="D6799" s="8">
        <v>1.01E-3</v>
      </c>
    </row>
    <row r="6800" spans="1:4">
      <c r="A6800" t="str">
        <f t="shared" si="113"/>
        <v>1000Loss Rate</v>
      </c>
      <c r="B6800">
        <v>1000</v>
      </c>
      <c r="C6800" s="9" t="s">
        <v>33</v>
      </c>
      <c r="D6800" s="8">
        <v>0.36</v>
      </c>
    </row>
    <row r="6801" spans="1:4">
      <c r="A6801" t="str">
        <f t="shared" si="113"/>
        <v>1000Win Rate</v>
      </c>
      <c r="B6801">
        <v>1000</v>
      </c>
      <c r="C6801" s="9" t="s">
        <v>34</v>
      </c>
      <c r="D6801" s="8">
        <v>0.64</v>
      </c>
    </row>
    <row r="6802" spans="1:4">
      <c r="A6802" t="str">
        <f t="shared" si="113"/>
        <v>1000Profit-Loss Ratio</v>
      </c>
      <c r="B6802">
        <v>1000</v>
      </c>
      <c r="C6802" s="9" t="s">
        <v>26</v>
      </c>
      <c r="D6802" s="8">
        <v>0.74</v>
      </c>
    </row>
    <row r="6803" spans="1:4">
      <c r="A6803" t="str">
        <f t="shared" si="113"/>
        <v>1000Alpha</v>
      </c>
      <c r="B6803">
        <v>1000</v>
      </c>
      <c r="C6803" s="9" t="s">
        <v>23</v>
      </c>
      <c r="D6803" s="8">
        <v>1E-3</v>
      </c>
    </row>
    <row r="6804" spans="1:4">
      <c r="A6804" t="str">
        <f t="shared" si="113"/>
        <v>1000Beta</v>
      </c>
      <c r="B6804">
        <v>1000</v>
      </c>
      <c r="C6804" s="9" t="s">
        <v>24</v>
      </c>
      <c r="D6804" s="8">
        <v>0</v>
      </c>
    </row>
    <row r="6805" spans="1:4">
      <c r="A6805" t="str">
        <f t="shared" si="113"/>
        <v>1000Annual Standard Deviation</v>
      </c>
      <c r="B6805">
        <v>1000</v>
      </c>
      <c r="C6805" s="9" t="s">
        <v>35</v>
      </c>
      <c r="D6805" s="8">
        <v>2E-3</v>
      </c>
    </row>
    <row r="6806" spans="1:4">
      <c r="A6806" t="str">
        <f t="shared" si="113"/>
        <v>1000Annual Variance</v>
      </c>
      <c r="B6806">
        <v>1000</v>
      </c>
      <c r="C6806" s="9" t="s">
        <v>36</v>
      </c>
      <c r="D6806" s="8">
        <v>0</v>
      </c>
    </row>
    <row r="6807" spans="1:4">
      <c r="A6807" t="str">
        <f t="shared" si="113"/>
        <v>1000Information Ratio</v>
      </c>
      <c r="B6807">
        <v>1000</v>
      </c>
      <c r="C6807" s="9" t="s">
        <v>37</v>
      </c>
      <c r="D6807" s="8">
        <v>-0.748</v>
      </c>
    </row>
    <row r="6808" spans="1:4">
      <c r="A6808" t="str">
        <f t="shared" si="113"/>
        <v>1000Tracking Error</v>
      </c>
      <c r="B6808">
        <v>1000</v>
      </c>
      <c r="C6808" s="9" t="s">
        <v>38</v>
      </c>
      <c r="D6808" s="8">
        <v>6.7000000000000004E-2</v>
      </c>
    </row>
    <row r="6809" spans="1:4">
      <c r="A6809" t="str">
        <f t="shared" si="113"/>
        <v>1000Treynor Ratio</v>
      </c>
      <c r="B6809">
        <v>1000</v>
      </c>
      <c r="C6809" s="9" t="s">
        <v>39</v>
      </c>
      <c r="D6809" s="8">
        <v>-7.4729999999999999</v>
      </c>
    </row>
    <row r="6810" spans="1:4">
      <c r="A6810" t="str">
        <f t="shared" si="113"/>
        <v>1000Total Fees</v>
      </c>
      <c r="B6810">
        <v>1000</v>
      </c>
      <c r="C6810" s="9" t="s">
        <v>40</v>
      </c>
      <c r="D6810" s="8">
        <v>0</v>
      </c>
    </row>
    <row r="6811" spans="1:4">
      <c r="A6811" t="str">
        <f t="shared" si="113"/>
        <v>1000Estimated Strategy Capacity</v>
      </c>
      <c r="B6811">
        <v>1000</v>
      </c>
      <c r="C6811" s="9" t="s">
        <v>41</v>
      </c>
      <c r="D6811" s="8">
        <v>5400000</v>
      </c>
    </row>
    <row r="6812" spans="1:4">
      <c r="A6812" t="str">
        <f t="shared" si="113"/>
        <v>1001PSR</v>
      </c>
      <c r="B6812">
        <v>1001</v>
      </c>
      <c r="C6812" s="9" t="s">
        <v>27</v>
      </c>
      <c r="D6812" s="8">
        <v>0.35848999999999998</v>
      </c>
    </row>
    <row r="6813" spans="1:4">
      <c r="A6813" t="str">
        <f t="shared" si="113"/>
        <v>1001Sharpe Ratio</v>
      </c>
      <c r="B6813">
        <v>1001</v>
      </c>
      <c r="C6813" s="9" t="s">
        <v>1</v>
      </c>
      <c r="D6813" s="8">
        <v>0.64400000000000002</v>
      </c>
    </row>
    <row r="6814" spans="1:4">
      <c r="A6814" t="str">
        <f t="shared" si="113"/>
        <v>1001Total Trades</v>
      </c>
      <c r="B6814">
        <v>1001</v>
      </c>
      <c r="C6814" s="9" t="s">
        <v>28</v>
      </c>
      <c r="D6814" s="8">
        <v>1435</v>
      </c>
    </row>
    <row r="6815" spans="1:4">
      <c r="A6815" t="str">
        <f t="shared" si="113"/>
        <v>1001Average Win</v>
      </c>
      <c r="B6815">
        <v>1001</v>
      </c>
      <c r="C6815" s="9" t="s">
        <v>25</v>
      </c>
      <c r="D6815" s="8">
        <v>6.9999999999999999E-4</v>
      </c>
    </row>
    <row r="6816" spans="1:4">
      <c r="A6816" t="str">
        <f t="shared" si="113"/>
        <v>1001Average Loss</v>
      </c>
      <c r="B6816">
        <v>1001</v>
      </c>
      <c r="C6816" s="9" t="s">
        <v>29</v>
      </c>
      <c r="D6816" s="8">
        <v>-1E-3</v>
      </c>
    </row>
    <row r="6817" spans="1:4">
      <c r="A6817" t="str">
        <f t="shared" si="113"/>
        <v>1001Compounding Annual Return</v>
      </c>
      <c r="B6817">
        <v>1001</v>
      </c>
      <c r="C6817" s="9" t="s">
        <v>30</v>
      </c>
      <c r="D6817" s="8">
        <v>1.533E-2</v>
      </c>
    </row>
    <row r="6818" spans="1:4">
      <c r="A6818" t="str">
        <f t="shared" ref="A6818:A6881" si="114">B6818&amp;C6818</f>
        <v>1001Drawdown</v>
      </c>
      <c r="B6818">
        <v>1001</v>
      </c>
      <c r="C6818" s="9" t="s">
        <v>8</v>
      </c>
      <c r="D6818" s="8">
        <v>8.0000000000000002E-3</v>
      </c>
    </row>
    <row r="6819" spans="1:4">
      <c r="A6819" t="str">
        <f t="shared" si="114"/>
        <v>1001Expectancy</v>
      </c>
      <c r="B6819">
        <v>1001</v>
      </c>
      <c r="C6819" s="9" t="s">
        <v>31</v>
      </c>
      <c r="D6819" s="8">
        <v>0.111</v>
      </c>
    </row>
    <row r="6820" spans="1:4">
      <c r="A6820" t="str">
        <f t="shared" si="114"/>
        <v>1001Net Profit</v>
      </c>
      <c r="B6820">
        <v>1001</v>
      </c>
      <c r="C6820" s="9" t="s">
        <v>32</v>
      </c>
      <c r="D6820" s="8">
        <v>1.014E-2</v>
      </c>
    </row>
    <row r="6821" spans="1:4">
      <c r="A6821" t="str">
        <f t="shared" si="114"/>
        <v>1001Loss Rate</v>
      </c>
      <c r="B6821">
        <v>1001</v>
      </c>
      <c r="C6821" s="9" t="s">
        <v>33</v>
      </c>
      <c r="D6821" s="8">
        <v>0.36</v>
      </c>
    </row>
    <row r="6822" spans="1:4">
      <c r="A6822" t="str">
        <f t="shared" si="114"/>
        <v>1001Win Rate</v>
      </c>
      <c r="B6822">
        <v>1001</v>
      </c>
      <c r="C6822" s="9" t="s">
        <v>34</v>
      </c>
      <c r="D6822" s="8">
        <v>0.64</v>
      </c>
    </row>
    <row r="6823" spans="1:4">
      <c r="A6823" t="str">
        <f t="shared" si="114"/>
        <v>1001Profit-Loss Ratio</v>
      </c>
      <c r="B6823">
        <v>1001</v>
      </c>
      <c r="C6823" s="9" t="s">
        <v>26</v>
      </c>
      <c r="D6823" s="8">
        <v>0.74</v>
      </c>
    </row>
    <row r="6824" spans="1:4">
      <c r="A6824" t="str">
        <f t="shared" si="114"/>
        <v>1001Alpha</v>
      </c>
      <c r="B6824">
        <v>1001</v>
      </c>
      <c r="C6824" s="9" t="s">
        <v>23</v>
      </c>
      <c r="D6824" s="8">
        <v>1.0999999999999999E-2</v>
      </c>
    </row>
    <row r="6825" spans="1:4">
      <c r="A6825" t="str">
        <f t="shared" si="114"/>
        <v>1001Beta</v>
      </c>
      <c r="B6825">
        <v>1001</v>
      </c>
      <c r="C6825" s="9" t="s">
        <v>24</v>
      </c>
      <c r="D6825" s="8">
        <v>-1E-3</v>
      </c>
    </row>
    <row r="6826" spans="1:4">
      <c r="A6826" t="str">
        <f t="shared" si="114"/>
        <v>1001Annual Standard Deviation</v>
      </c>
      <c r="B6826">
        <v>1001</v>
      </c>
      <c r="C6826" s="9" t="s">
        <v>35</v>
      </c>
      <c r="D6826" s="8">
        <v>1.7000000000000001E-2</v>
      </c>
    </row>
    <row r="6827" spans="1:4">
      <c r="A6827" t="str">
        <f t="shared" si="114"/>
        <v>1001Annual Variance</v>
      </c>
      <c r="B6827">
        <v>1001</v>
      </c>
      <c r="C6827" s="9" t="s">
        <v>36</v>
      </c>
      <c r="D6827" s="8">
        <v>0</v>
      </c>
    </row>
    <row r="6828" spans="1:4">
      <c r="A6828" t="str">
        <f t="shared" si="114"/>
        <v>1001Information Ratio</v>
      </c>
      <c r="B6828">
        <v>1001</v>
      </c>
      <c r="C6828" s="9" t="s">
        <v>37</v>
      </c>
      <c r="D6828" s="8">
        <v>-0.58599999999999997</v>
      </c>
    </row>
    <row r="6829" spans="1:4">
      <c r="A6829" t="str">
        <f t="shared" si="114"/>
        <v>1001Tracking Error</v>
      </c>
      <c r="B6829">
        <v>1001</v>
      </c>
      <c r="C6829" s="9" t="s">
        <v>38</v>
      </c>
      <c r="D6829" s="8">
        <v>7.0000000000000007E-2</v>
      </c>
    </row>
    <row r="6830" spans="1:4">
      <c r="A6830" t="str">
        <f t="shared" si="114"/>
        <v>1001Treynor Ratio</v>
      </c>
      <c r="B6830">
        <v>1001</v>
      </c>
      <c r="C6830" s="9" t="s">
        <v>39</v>
      </c>
      <c r="D6830" s="8">
        <v>-7.4749999999999996</v>
      </c>
    </row>
    <row r="6831" spans="1:4">
      <c r="A6831" t="str">
        <f t="shared" si="114"/>
        <v>1001Total Fees</v>
      </c>
      <c r="B6831">
        <v>1001</v>
      </c>
      <c r="C6831" s="9" t="s">
        <v>40</v>
      </c>
      <c r="D6831" s="8">
        <v>0</v>
      </c>
    </row>
    <row r="6832" spans="1:4">
      <c r="A6832" t="str">
        <f t="shared" si="114"/>
        <v>1001Estimated Strategy Capacity</v>
      </c>
      <c r="B6832">
        <v>1001</v>
      </c>
      <c r="C6832" s="9" t="s">
        <v>41</v>
      </c>
      <c r="D6832" s="8">
        <v>5400000</v>
      </c>
    </row>
    <row r="6833" spans="1:4">
      <c r="A6833" t="str">
        <f t="shared" si="114"/>
        <v>1002PSR</v>
      </c>
      <c r="B6833">
        <v>1002</v>
      </c>
      <c r="C6833" s="9" t="s">
        <v>27</v>
      </c>
      <c r="D6833" s="8">
        <v>0.44795000000000001</v>
      </c>
    </row>
    <row r="6834" spans="1:4">
      <c r="A6834" t="str">
        <f t="shared" si="114"/>
        <v>1002Sharpe Ratio</v>
      </c>
      <c r="B6834">
        <v>1002</v>
      </c>
      <c r="C6834" s="9" t="s">
        <v>1</v>
      </c>
      <c r="D6834" s="8">
        <v>0.88300000000000001</v>
      </c>
    </row>
    <row r="6835" spans="1:4">
      <c r="A6835" t="str">
        <f t="shared" si="114"/>
        <v>1002Total Trades</v>
      </c>
      <c r="B6835">
        <v>1002</v>
      </c>
      <c r="C6835" s="9" t="s">
        <v>28</v>
      </c>
      <c r="D6835" s="8">
        <v>1352</v>
      </c>
    </row>
    <row r="6836" spans="1:4">
      <c r="A6836" t="str">
        <f t="shared" si="114"/>
        <v>1002Average Win</v>
      </c>
      <c r="B6836">
        <v>1002</v>
      </c>
      <c r="C6836" s="9" t="s">
        <v>25</v>
      </c>
      <c r="D6836" s="8">
        <v>1.1999999999999999E-3</v>
      </c>
    </row>
    <row r="6837" spans="1:4">
      <c r="A6837" t="str">
        <f t="shared" si="114"/>
        <v>1002Average Loss</v>
      </c>
      <c r="B6837">
        <v>1002</v>
      </c>
      <c r="C6837" s="9" t="s">
        <v>29</v>
      </c>
      <c r="D6837" s="8">
        <v>-1.5E-3</v>
      </c>
    </row>
    <row r="6838" spans="1:4">
      <c r="A6838" t="str">
        <f t="shared" si="114"/>
        <v>1002Compounding Annual Return</v>
      </c>
      <c r="B6838">
        <v>1002</v>
      </c>
      <c r="C6838" s="9" t="s">
        <v>30</v>
      </c>
      <c r="D6838" s="8">
        <v>3.3099999999999997E-2</v>
      </c>
    </row>
    <row r="6839" spans="1:4">
      <c r="A6839" t="str">
        <f t="shared" si="114"/>
        <v>1002Drawdown</v>
      </c>
      <c r="B6839">
        <v>1002</v>
      </c>
      <c r="C6839" s="9" t="s">
        <v>8</v>
      </c>
      <c r="D6839" s="8">
        <v>1.2E-2</v>
      </c>
    </row>
    <row r="6840" spans="1:4">
      <c r="A6840" t="str">
        <f t="shared" si="114"/>
        <v>1002Expectancy</v>
      </c>
      <c r="B6840">
        <v>1002</v>
      </c>
      <c r="C6840" s="9" t="s">
        <v>31</v>
      </c>
      <c r="D6840" s="8">
        <v>0.158</v>
      </c>
    </row>
    <row r="6841" spans="1:4">
      <c r="A6841" t="str">
        <f t="shared" si="114"/>
        <v>1002Net Profit</v>
      </c>
      <c r="B6841">
        <v>1002</v>
      </c>
      <c r="C6841" s="9" t="s">
        <v>32</v>
      </c>
      <c r="D6841" s="8">
        <v>2.1819999999999999E-2</v>
      </c>
    </row>
    <row r="6842" spans="1:4">
      <c r="A6842" t="str">
        <f t="shared" si="114"/>
        <v>1002Loss Rate</v>
      </c>
      <c r="B6842">
        <v>1002</v>
      </c>
      <c r="C6842" s="9" t="s">
        <v>33</v>
      </c>
      <c r="D6842" s="8">
        <v>0.35</v>
      </c>
    </row>
    <row r="6843" spans="1:4">
      <c r="A6843" t="str">
        <f t="shared" si="114"/>
        <v>1002Win Rate</v>
      </c>
      <c r="B6843">
        <v>1002</v>
      </c>
      <c r="C6843" s="9" t="s">
        <v>34</v>
      </c>
      <c r="D6843" s="8">
        <v>0.65</v>
      </c>
    </row>
    <row r="6844" spans="1:4">
      <c r="A6844" t="str">
        <f t="shared" si="114"/>
        <v>1002Profit-Loss Ratio</v>
      </c>
      <c r="B6844">
        <v>1002</v>
      </c>
      <c r="C6844" s="9" t="s">
        <v>26</v>
      </c>
      <c r="D6844" s="8">
        <v>0.78</v>
      </c>
    </row>
    <row r="6845" spans="1:4">
      <c r="A6845" t="str">
        <f t="shared" si="114"/>
        <v>1002Alpha</v>
      </c>
      <c r="B6845">
        <v>1002</v>
      </c>
      <c r="C6845" s="9" t="s">
        <v>23</v>
      </c>
      <c r="D6845" s="8">
        <v>2.3E-2</v>
      </c>
    </row>
    <row r="6846" spans="1:4">
      <c r="A6846" t="str">
        <f t="shared" si="114"/>
        <v>1002Beta</v>
      </c>
      <c r="B6846">
        <v>1002</v>
      </c>
      <c r="C6846" s="9" t="s">
        <v>24</v>
      </c>
      <c r="D6846" s="8">
        <v>-1E-3</v>
      </c>
    </row>
    <row r="6847" spans="1:4">
      <c r="A6847" t="str">
        <f t="shared" si="114"/>
        <v>1002Annual Standard Deviation</v>
      </c>
      <c r="B6847">
        <v>1002</v>
      </c>
      <c r="C6847" s="9" t="s">
        <v>35</v>
      </c>
      <c r="D6847" s="8">
        <v>2.5999999999999999E-2</v>
      </c>
    </row>
    <row r="6848" spans="1:4">
      <c r="A6848" t="str">
        <f t="shared" si="114"/>
        <v>1002Annual Variance</v>
      </c>
      <c r="B6848">
        <v>1002</v>
      </c>
      <c r="C6848" s="9" t="s">
        <v>36</v>
      </c>
      <c r="D6848" s="8">
        <v>1E-3</v>
      </c>
    </row>
    <row r="6849" spans="1:4">
      <c r="A6849" t="str">
        <f t="shared" si="114"/>
        <v>1002Information Ratio</v>
      </c>
      <c r="B6849">
        <v>1002</v>
      </c>
      <c r="C6849" s="9" t="s">
        <v>37</v>
      </c>
      <c r="D6849" s="8">
        <v>-0.39100000000000001</v>
      </c>
    </row>
    <row r="6850" spans="1:4">
      <c r="A6850" t="str">
        <f t="shared" si="114"/>
        <v>1002Tracking Error</v>
      </c>
      <c r="B6850">
        <v>1002</v>
      </c>
      <c r="C6850" s="9" t="s">
        <v>38</v>
      </c>
      <c r="D6850" s="8">
        <v>7.1999999999999995E-2</v>
      </c>
    </row>
    <row r="6851" spans="1:4">
      <c r="A6851" t="str">
        <f t="shared" si="114"/>
        <v>1002Treynor Ratio</v>
      </c>
      <c r="B6851">
        <v>1002</v>
      </c>
      <c r="C6851" s="9" t="s">
        <v>39</v>
      </c>
      <c r="D6851" s="8">
        <v>-26.847999999999999</v>
      </c>
    </row>
    <row r="6852" spans="1:4">
      <c r="A6852" t="str">
        <f t="shared" si="114"/>
        <v>1002Total Fees</v>
      </c>
      <c r="B6852">
        <v>1002</v>
      </c>
      <c r="C6852" s="9" t="s">
        <v>40</v>
      </c>
      <c r="D6852" s="8">
        <v>0</v>
      </c>
    </row>
    <row r="6853" spans="1:4">
      <c r="A6853" t="str">
        <f t="shared" si="114"/>
        <v>1002Estimated Strategy Capacity</v>
      </c>
      <c r="B6853">
        <v>1002</v>
      </c>
      <c r="C6853" s="9" t="s">
        <v>41</v>
      </c>
      <c r="D6853" s="8">
        <v>5500000</v>
      </c>
    </row>
    <row r="6854" spans="1:4">
      <c r="A6854" t="str">
        <f t="shared" si="114"/>
        <v>1003PSR</v>
      </c>
      <c r="B6854">
        <v>1003</v>
      </c>
      <c r="C6854" s="9" t="s">
        <v>27</v>
      </c>
      <c r="D6854" s="8">
        <v>0.67976000000000003</v>
      </c>
    </row>
    <row r="6855" spans="1:4">
      <c r="A6855" t="str">
        <f t="shared" si="114"/>
        <v>1003Sharpe Ratio</v>
      </c>
      <c r="B6855">
        <v>1003</v>
      </c>
      <c r="C6855" s="9" t="s">
        <v>1</v>
      </c>
      <c r="D6855" s="8">
        <v>1.4330000000000001</v>
      </c>
    </row>
    <row r="6856" spans="1:4">
      <c r="A6856" t="str">
        <f t="shared" si="114"/>
        <v>1003Total Trades</v>
      </c>
      <c r="B6856">
        <v>1003</v>
      </c>
      <c r="C6856" s="9" t="s">
        <v>28</v>
      </c>
      <c r="D6856" s="8">
        <v>884</v>
      </c>
    </row>
    <row r="6857" spans="1:4">
      <c r="A6857" t="str">
        <f t="shared" si="114"/>
        <v>1003Average Win</v>
      </c>
      <c r="B6857">
        <v>1003</v>
      </c>
      <c r="C6857" s="9" t="s">
        <v>25</v>
      </c>
      <c r="D6857" s="8">
        <v>1E-4</v>
      </c>
    </row>
    <row r="6858" spans="1:4">
      <c r="A6858" t="str">
        <f t="shared" si="114"/>
        <v>1003Average Loss</v>
      </c>
      <c r="B6858">
        <v>1003</v>
      </c>
      <c r="C6858" s="9" t="s">
        <v>29</v>
      </c>
      <c r="D6858" s="8">
        <v>-1E-4</v>
      </c>
    </row>
    <row r="6859" spans="1:4">
      <c r="A6859" t="str">
        <f t="shared" si="114"/>
        <v>1003Compounding Annual Return</v>
      </c>
      <c r="B6859">
        <v>1003</v>
      </c>
      <c r="C6859" s="9" t="s">
        <v>30</v>
      </c>
      <c r="D6859" s="8">
        <v>2.65E-3</v>
      </c>
    </row>
    <row r="6860" spans="1:4">
      <c r="A6860" t="str">
        <f t="shared" si="114"/>
        <v>1003Drawdown</v>
      </c>
      <c r="B6860">
        <v>1003</v>
      </c>
      <c r="C6860" s="9" t="s">
        <v>8</v>
      </c>
      <c r="D6860" s="8">
        <v>1E-3</v>
      </c>
    </row>
    <row r="6861" spans="1:4">
      <c r="A6861" t="str">
        <f t="shared" si="114"/>
        <v>1003Expectancy</v>
      </c>
      <c r="B6861">
        <v>1003</v>
      </c>
      <c r="C6861" s="9" t="s">
        <v>31</v>
      </c>
      <c r="D6861" s="8">
        <v>0.32600000000000001</v>
      </c>
    </row>
    <row r="6862" spans="1:4">
      <c r="A6862" t="str">
        <f t="shared" si="114"/>
        <v>1003Net Profit</v>
      </c>
      <c r="B6862">
        <v>1003</v>
      </c>
      <c r="C6862" s="9" t="s">
        <v>32</v>
      </c>
      <c r="D6862" s="8">
        <v>1.7600000000000001E-3</v>
      </c>
    </row>
    <row r="6863" spans="1:4">
      <c r="A6863" t="str">
        <f t="shared" si="114"/>
        <v>1003Loss Rate</v>
      </c>
      <c r="B6863">
        <v>1003</v>
      </c>
      <c r="C6863" s="9" t="s">
        <v>33</v>
      </c>
      <c r="D6863" s="8">
        <v>0.31</v>
      </c>
    </row>
    <row r="6864" spans="1:4">
      <c r="A6864" t="str">
        <f t="shared" si="114"/>
        <v>1003Win Rate</v>
      </c>
      <c r="B6864">
        <v>1003</v>
      </c>
      <c r="C6864" s="9" t="s">
        <v>34</v>
      </c>
      <c r="D6864" s="8">
        <v>0.69</v>
      </c>
    </row>
    <row r="6865" spans="1:4">
      <c r="A6865" t="str">
        <f t="shared" si="114"/>
        <v>1003Profit-Loss Ratio</v>
      </c>
      <c r="B6865">
        <v>1003</v>
      </c>
      <c r="C6865" s="9" t="s">
        <v>26</v>
      </c>
      <c r="D6865" s="8">
        <v>0.93</v>
      </c>
    </row>
    <row r="6866" spans="1:4">
      <c r="A6866" t="str">
        <f t="shared" si="114"/>
        <v>1003Alpha</v>
      </c>
      <c r="B6866">
        <v>1003</v>
      </c>
      <c r="C6866" s="9" t="s">
        <v>23</v>
      </c>
      <c r="D6866" s="8">
        <v>2E-3</v>
      </c>
    </row>
    <row r="6867" spans="1:4">
      <c r="A6867" t="str">
        <f t="shared" si="114"/>
        <v>1003Beta</v>
      </c>
      <c r="B6867">
        <v>1003</v>
      </c>
      <c r="C6867" s="9" t="s">
        <v>24</v>
      </c>
      <c r="D6867" s="8">
        <v>0</v>
      </c>
    </row>
    <row r="6868" spans="1:4">
      <c r="A6868" t="str">
        <f t="shared" si="114"/>
        <v>1003Annual Standard Deviation</v>
      </c>
      <c r="B6868">
        <v>1003</v>
      </c>
      <c r="C6868" s="9" t="s">
        <v>35</v>
      </c>
      <c r="D6868" s="8">
        <v>1E-3</v>
      </c>
    </row>
    <row r="6869" spans="1:4">
      <c r="A6869" t="str">
        <f t="shared" si="114"/>
        <v>1003Annual Variance</v>
      </c>
      <c r="B6869">
        <v>1003</v>
      </c>
      <c r="C6869" s="9" t="s">
        <v>36</v>
      </c>
      <c r="D6869" s="8">
        <v>0</v>
      </c>
    </row>
    <row r="6870" spans="1:4">
      <c r="A6870" t="str">
        <f t="shared" si="114"/>
        <v>1003Information Ratio</v>
      </c>
      <c r="B6870">
        <v>1003</v>
      </c>
      <c r="C6870" s="9" t="s">
        <v>37</v>
      </c>
      <c r="D6870" s="8">
        <v>-0.73699999999999999</v>
      </c>
    </row>
    <row r="6871" spans="1:4">
      <c r="A6871" t="str">
        <f t="shared" si="114"/>
        <v>1003Tracking Error</v>
      </c>
      <c r="B6871">
        <v>1003</v>
      </c>
      <c r="C6871" s="9" t="s">
        <v>38</v>
      </c>
      <c r="D6871" s="8">
        <v>6.7000000000000004E-2</v>
      </c>
    </row>
    <row r="6872" spans="1:4">
      <c r="A6872" t="str">
        <f t="shared" si="114"/>
        <v>1003Treynor Ratio</v>
      </c>
      <c r="B6872">
        <v>1003</v>
      </c>
      <c r="C6872" s="9" t="s">
        <v>39</v>
      </c>
      <c r="D6872" s="8">
        <v>38.823999999999998</v>
      </c>
    </row>
    <row r="6873" spans="1:4">
      <c r="A6873" t="str">
        <f t="shared" si="114"/>
        <v>1003Total Fees</v>
      </c>
      <c r="B6873">
        <v>1003</v>
      </c>
      <c r="C6873" s="9" t="s">
        <v>40</v>
      </c>
      <c r="D6873" s="8">
        <v>0</v>
      </c>
    </row>
    <row r="6874" spans="1:4">
      <c r="A6874" t="str">
        <f t="shared" si="114"/>
        <v>1003Estimated Strategy Capacity</v>
      </c>
      <c r="B6874">
        <v>1003</v>
      </c>
      <c r="C6874" s="9" t="s">
        <v>41</v>
      </c>
      <c r="D6874" s="8">
        <v>2000000000</v>
      </c>
    </row>
    <row r="6875" spans="1:4">
      <c r="A6875" t="str">
        <f t="shared" si="114"/>
        <v>1004PSR</v>
      </c>
      <c r="B6875">
        <v>1004</v>
      </c>
      <c r="C6875" s="9" t="s">
        <v>27</v>
      </c>
      <c r="D6875" s="8">
        <v>0.68003000000000002</v>
      </c>
    </row>
    <row r="6876" spans="1:4">
      <c r="A6876" t="str">
        <f t="shared" si="114"/>
        <v>1004Sharpe Ratio</v>
      </c>
      <c r="B6876">
        <v>1004</v>
      </c>
      <c r="C6876" s="9" t="s">
        <v>1</v>
      </c>
      <c r="D6876" s="8">
        <v>1.446</v>
      </c>
    </row>
    <row r="6877" spans="1:4">
      <c r="A6877" t="str">
        <f t="shared" si="114"/>
        <v>1004Total Trades</v>
      </c>
      <c r="B6877">
        <v>1004</v>
      </c>
      <c r="C6877" s="9" t="s">
        <v>28</v>
      </c>
      <c r="D6877" s="8">
        <v>884</v>
      </c>
    </row>
    <row r="6878" spans="1:4">
      <c r="A6878" t="str">
        <f t="shared" si="114"/>
        <v>1004Average Win</v>
      </c>
      <c r="B6878">
        <v>1004</v>
      </c>
      <c r="C6878" s="9" t="s">
        <v>25</v>
      </c>
      <c r="D6878" s="8">
        <v>6.9999999999999999E-4</v>
      </c>
    </row>
    <row r="6879" spans="1:4">
      <c r="A6879" t="str">
        <f t="shared" si="114"/>
        <v>1004Average Loss</v>
      </c>
      <c r="B6879">
        <v>1004</v>
      </c>
      <c r="C6879" s="9" t="s">
        <v>29</v>
      </c>
      <c r="D6879" s="8">
        <v>-8.0000000000000004E-4</v>
      </c>
    </row>
    <row r="6880" spans="1:4">
      <c r="A6880" t="str">
        <f t="shared" si="114"/>
        <v>1004Compounding Annual Return</v>
      </c>
      <c r="B6880">
        <v>1004</v>
      </c>
      <c r="C6880" s="9" t="s">
        <v>30</v>
      </c>
      <c r="D6880" s="8">
        <v>2.6620000000000001E-2</v>
      </c>
    </row>
    <row r="6881" spans="1:4">
      <c r="A6881" t="str">
        <f t="shared" si="114"/>
        <v>1004Drawdown</v>
      </c>
      <c r="B6881">
        <v>1004</v>
      </c>
      <c r="C6881" s="9" t="s">
        <v>8</v>
      </c>
      <c r="D6881" s="8">
        <v>7.0000000000000001E-3</v>
      </c>
    </row>
    <row r="6882" spans="1:4">
      <c r="A6882" t="str">
        <f t="shared" ref="A6882:A6945" si="115">B6882&amp;C6882</f>
        <v>1004Expectancy</v>
      </c>
      <c r="B6882">
        <v>1004</v>
      </c>
      <c r="C6882" s="9" t="s">
        <v>31</v>
      </c>
      <c r="D6882" s="8">
        <v>0.32600000000000001</v>
      </c>
    </row>
    <row r="6883" spans="1:4">
      <c r="A6883" t="str">
        <f t="shared" si="115"/>
        <v>1004Net Profit</v>
      </c>
      <c r="B6883">
        <v>1004</v>
      </c>
      <c r="C6883" s="9" t="s">
        <v>32</v>
      </c>
      <c r="D6883" s="8">
        <v>1.7569999999999999E-2</v>
      </c>
    </row>
    <row r="6884" spans="1:4">
      <c r="A6884" t="str">
        <f t="shared" si="115"/>
        <v>1004Loss Rate</v>
      </c>
      <c r="B6884">
        <v>1004</v>
      </c>
      <c r="C6884" s="9" t="s">
        <v>33</v>
      </c>
      <c r="D6884" s="8">
        <v>0.31</v>
      </c>
    </row>
    <row r="6885" spans="1:4">
      <c r="A6885" t="str">
        <f t="shared" si="115"/>
        <v>1004Win Rate</v>
      </c>
      <c r="B6885">
        <v>1004</v>
      </c>
      <c r="C6885" s="9" t="s">
        <v>34</v>
      </c>
      <c r="D6885" s="8">
        <v>0.69</v>
      </c>
    </row>
    <row r="6886" spans="1:4">
      <c r="A6886" t="str">
        <f t="shared" si="115"/>
        <v>1004Profit-Loss Ratio</v>
      </c>
      <c r="B6886">
        <v>1004</v>
      </c>
      <c r="C6886" s="9" t="s">
        <v>26</v>
      </c>
      <c r="D6886" s="8">
        <v>0.93</v>
      </c>
    </row>
    <row r="6887" spans="1:4">
      <c r="A6887" t="str">
        <f t="shared" si="115"/>
        <v>1004Alpha</v>
      </c>
      <c r="B6887">
        <v>1004</v>
      </c>
      <c r="C6887" s="9" t="s">
        <v>23</v>
      </c>
      <c r="D6887" s="8">
        <v>1.7999999999999999E-2</v>
      </c>
    </row>
    <row r="6888" spans="1:4">
      <c r="A6888" t="str">
        <f t="shared" si="115"/>
        <v>1004Beta</v>
      </c>
      <c r="B6888">
        <v>1004</v>
      </c>
      <c r="C6888" s="9" t="s">
        <v>24</v>
      </c>
      <c r="D6888" s="8">
        <v>0</v>
      </c>
    </row>
    <row r="6889" spans="1:4">
      <c r="A6889" t="str">
        <f t="shared" si="115"/>
        <v>1004Annual Standard Deviation</v>
      </c>
      <c r="B6889">
        <v>1004</v>
      </c>
      <c r="C6889" s="9" t="s">
        <v>35</v>
      </c>
      <c r="D6889" s="8">
        <v>1.2999999999999999E-2</v>
      </c>
    </row>
    <row r="6890" spans="1:4">
      <c r="A6890" t="str">
        <f t="shared" si="115"/>
        <v>1004Annual Variance</v>
      </c>
      <c r="B6890">
        <v>1004</v>
      </c>
      <c r="C6890" s="9" t="s">
        <v>36</v>
      </c>
      <c r="D6890" s="8">
        <v>0</v>
      </c>
    </row>
    <row r="6891" spans="1:4">
      <c r="A6891" t="str">
        <f t="shared" si="115"/>
        <v>1004Information Ratio</v>
      </c>
      <c r="B6891">
        <v>1004</v>
      </c>
      <c r="C6891" s="9" t="s">
        <v>37</v>
      </c>
      <c r="D6891" s="8">
        <v>-0.48199999999999998</v>
      </c>
    </row>
    <row r="6892" spans="1:4">
      <c r="A6892" t="str">
        <f t="shared" si="115"/>
        <v>1004Tracking Error</v>
      </c>
      <c r="B6892">
        <v>1004</v>
      </c>
      <c r="C6892" s="9" t="s">
        <v>38</v>
      </c>
      <c r="D6892" s="8">
        <v>6.9000000000000006E-2</v>
      </c>
    </row>
    <row r="6893" spans="1:4">
      <c r="A6893" t="str">
        <f t="shared" si="115"/>
        <v>1004Treynor Ratio</v>
      </c>
      <c r="B6893">
        <v>1004</v>
      </c>
      <c r="C6893" s="9" t="s">
        <v>39</v>
      </c>
      <c r="D6893" s="8">
        <v>41.758000000000003</v>
      </c>
    </row>
    <row r="6894" spans="1:4">
      <c r="A6894" t="str">
        <f t="shared" si="115"/>
        <v>1004Total Fees</v>
      </c>
      <c r="B6894">
        <v>1004</v>
      </c>
      <c r="C6894" s="9" t="s">
        <v>40</v>
      </c>
      <c r="D6894" s="8">
        <v>0</v>
      </c>
    </row>
    <row r="6895" spans="1:4">
      <c r="A6895" t="str">
        <f t="shared" si="115"/>
        <v>1004Estimated Strategy Capacity</v>
      </c>
      <c r="B6895">
        <v>1004</v>
      </c>
      <c r="C6895" s="9" t="s">
        <v>41</v>
      </c>
      <c r="D6895" s="8">
        <v>200000000</v>
      </c>
    </row>
    <row r="6896" spans="1:4">
      <c r="A6896" t="str">
        <f t="shared" si="115"/>
        <v>1005PSR</v>
      </c>
      <c r="B6896">
        <v>1005</v>
      </c>
      <c r="C6896" s="9" t="s">
        <v>27</v>
      </c>
      <c r="D6896" s="8">
        <v>0.65488999999999997</v>
      </c>
    </row>
    <row r="6897" spans="1:4">
      <c r="A6897" t="str">
        <f t="shared" si="115"/>
        <v>1005Sharpe Ratio</v>
      </c>
      <c r="B6897">
        <v>1005</v>
      </c>
      <c r="C6897" s="9" t="s">
        <v>1</v>
      </c>
      <c r="D6897" s="8">
        <v>1.4039999999999999</v>
      </c>
    </row>
    <row r="6898" spans="1:4">
      <c r="A6898" t="str">
        <f t="shared" si="115"/>
        <v>1005Total Trades</v>
      </c>
      <c r="B6898">
        <v>1005</v>
      </c>
      <c r="C6898" s="9" t="s">
        <v>28</v>
      </c>
      <c r="D6898" s="8">
        <v>838</v>
      </c>
    </row>
    <row r="6899" spans="1:4">
      <c r="A6899" t="str">
        <f t="shared" si="115"/>
        <v>1005Average Win</v>
      </c>
      <c r="B6899">
        <v>1005</v>
      </c>
      <c r="C6899" s="9" t="s">
        <v>25</v>
      </c>
      <c r="D6899" s="8">
        <v>1.1000000000000001E-3</v>
      </c>
    </row>
    <row r="6900" spans="1:4">
      <c r="A6900" t="str">
        <f t="shared" si="115"/>
        <v>1005Average Loss</v>
      </c>
      <c r="B6900">
        <v>1005</v>
      </c>
      <c r="C6900" s="9" t="s">
        <v>29</v>
      </c>
      <c r="D6900" s="8">
        <v>-1.2999999999999999E-3</v>
      </c>
    </row>
    <row r="6901" spans="1:4">
      <c r="A6901" t="str">
        <f t="shared" si="115"/>
        <v>1005Compounding Annual Return</v>
      </c>
      <c r="B6901">
        <v>1005</v>
      </c>
      <c r="C6901" s="9" t="s">
        <v>30</v>
      </c>
      <c r="D6901" s="8">
        <v>4.0689999999999997E-2</v>
      </c>
    </row>
    <row r="6902" spans="1:4">
      <c r="A6902" t="str">
        <f t="shared" si="115"/>
        <v>1005Drawdown</v>
      </c>
      <c r="B6902">
        <v>1005</v>
      </c>
      <c r="C6902" s="9" t="s">
        <v>8</v>
      </c>
      <c r="D6902" s="8">
        <v>1.0999999999999999E-2</v>
      </c>
    </row>
    <row r="6903" spans="1:4">
      <c r="A6903" t="str">
        <f t="shared" si="115"/>
        <v>1005Expectancy</v>
      </c>
      <c r="B6903">
        <v>1005</v>
      </c>
      <c r="C6903" s="9" t="s">
        <v>31</v>
      </c>
      <c r="D6903" s="8">
        <v>0.29199999999999998</v>
      </c>
    </row>
    <row r="6904" spans="1:4">
      <c r="A6904" t="str">
        <f t="shared" si="115"/>
        <v>1005Net Profit</v>
      </c>
      <c r="B6904">
        <v>1005</v>
      </c>
      <c r="C6904" s="9" t="s">
        <v>32</v>
      </c>
      <c r="D6904" s="8">
        <v>2.6790000000000001E-2</v>
      </c>
    </row>
    <row r="6905" spans="1:4">
      <c r="A6905" t="str">
        <f t="shared" si="115"/>
        <v>1005Loss Rate</v>
      </c>
      <c r="B6905">
        <v>1005</v>
      </c>
      <c r="C6905" s="9" t="s">
        <v>33</v>
      </c>
      <c r="D6905" s="8">
        <v>0.3</v>
      </c>
    </row>
    <row r="6906" spans="1:4">
      <c r="A6906" t="str">
        <f t="shared" si="115"/>
        <v>1005Win Rate</v>
      </c>
      <c r="B6906">
        <v>1005</v>
      </c>
      <c r="C6906" s="9" t="s">
        <v>34</v>
      </c>
      <c r="D6906" s="8">
        <v>0.7</v>
      </c>
    </row>
    <row r="6907" spans="1:4">
      <c r="A6907" t="str">
        <f t="shared" si="115"/>
        <v>1005Profit-Loss Ratio</v>
      </c>
      <c r="B6907">
        <v>1005</v>
      </c>
      <c r="C6907" s="9" t="s">
        <v>26</v>
      </c>
      <c r="D6907" s="8">
        <v>0.85</v>
      </c>
    </row>
    <row r="6908" spans="1:4">
      <c r="A6908" t="str">
        <f t="shared" si="115"/>
        <v>1005Alpha</v>
      </c>
      <c r="B6908">
        <v>1005</v>
      </c>
      <c r="C6908" s="9" t="s">
        <v>23</v>
      </c>
      <c r="D6908" s="8">
        <v>2.8000000000000001E-2</v>
      </c>
    </row>
    <row r="6909" spans="1:4">
      <c r="A6909" t="str">
        <f t="shared" si="115"/>
        <v>1005Beta</v>
      </c>
      <c r="B6909">
        <v>1005</v>
      </c>
      <c r="C6909" s="9" t="s">
        <v>24</v>
      </c>
      <c r="D6909" s="8">
        <v>3.0000000000000001E-3</v>
      </c>
    </row>
    <row r="6910" spans="1:4">
      <c r="A6910" t="str">
        <f t="shared" si="115"/>
        <v>1005Annual Standard Deviation</v>
      </c>
      <c r="B6910">
        <v>1005</v>
      </c>
      <c r="C6910" s="9" t="s">
        <v>35</v>
      </c>
      <c r="D6910" s="8">
        <v>0.02</v>
      </c>
    </row>
    <row r="6911" spans="1:4">
      <c r="A6911" t="str">
        <f t="shared" si="115"/>
        <v>1005Annual Variance</v>
      </c>
      <c r="B6911">
        <v>1005</v>
      </c>
      <c r="C6911" s="9" t="s">
        <v>36</v>
      </c>
      <c r="D6911" s="8">
        <v>0</v>
      </c>
    </row>
    <row r="6912" spans="1:4">
      <c r="A6912" t="str">
        <f t="shared" si="115"/>
        <v>1005Information Ratio</v>
      </c>
      <c r="B6912">
        <v>1005</v>
      </c>
      <c r="C6912" s="9" t="s">
        <v>37</v>
      </c>
      <c r="D6912" s="8">
        <v>-0.34100000000000003</v>
      </c>
    </row>
    <row r="6913" spans="1:4">
      <c r="A6913" t="str">
        <f t="shared" si="115"/>
        <v>1005Tracking Error</v>
      </c>
      <c r="B6913">
        <v>1005</v>
      </c>
      <c r="C6913" s="9" t="s">
        <v>38</v>
      </c>
      <c r="D6913" s="8">
        <v>7.0000000000000007E-2</v>
      </c>
    </row>
    <row r="6914" spans="1:4">
      <c r="A6914" t="str">
        <f t="shared" si="115"/>
        <v>1005Treynor Ratio</v>
      </c>
      <c r="B6914">
        <v>1005</v>
      </c>
      <c r="C6914" s="9" t="s">
        <v>39</v>
      </c>
      <c r="D6914" s="8">
        <v>8.2309999999999999</v>
      </c>
    </row>
    <row r="6915" spans="1:4">
      <c r="A6915" t="str">
        <f t="shared" si="115"/>
        <v>1005Total Fees</v>
      </c>
      <c r="B6915">
        <v>1005</v>
      </c>
      <c r="C6915" s="9" t="s">
        <v>40</v>
      </c>
      <c r="D6915" s="8">
        <v>0</v>
      </c>
    </row>
    <row r="6916" spans="1:4">
      <c r="A6916" t="str">
        <f t="shared" si="115"/>
        <v>1005Estimated Strategy Capacity</v>
      </c>
      <c r="B6916">
        <v>1005</v>
      </c>
      <c r="C6916" s="9" t="s">
        <v>41</v>
      </c>
      <c r="D6916" s="8">
        <v>110000000</v>
      </c>
    </row>
    <row r="6917" spans="1:4">
      <c r="A6917" t="str">
        <f t="shared" si="115"/>
        <v>1006PSR</v>
      </c>
      <c r="B6917">
        <v>1006</v>
      </c>
      <c r="C6917" s="9" t="s">
        <v>27</v>
      </c>
      <c r="D6917" s="8">
        <v>0.18163000000000001</v>
      </c>
    </row>
    <row r="6918" spans="1:4">
      <c r="A6918" t="str">
        <f t="shared" si="115"/>
        <v>1006Sharpe Ratio</v>
      </c>
      <c r="B6918">
        <v>1006</v>
      </c>
      <c r="C6918" s="9" t="s">
        <v>1</v>
      </c>
      <c r="D6918" s="8">
        <v>0.06</v>
      </c>
    </row>
    <row r="6919" spans="1:4">
      <c r="A6919" t="str">
        <f t="shared" si="115"/>
        <v>1006Total Trades</v>
      </c>
      <c r="B6919">
        <v>1006</v>
      </c>
      <c r="C6919" s="9" t="s">
        <v>28</v>
      </c>
      <c r="D6919" s="8">
        <v>714</v>
      </c>
    </row>
    <row r="6920" spans="1:4">
      <c r="A6920" t="str">
        <f t="shared" si="115"/>
        <v>1006Average Win</v>
      </c>
      <c r="B6920">
        <v>1006</v>
      </c>
      <c r="C6920" s="9" t="s">
        <v>25</v>
      </c>
      <c r="D6920" s="8">
        <v>1E-4</v>
      </c>
    </row>
    <row r="6921" spans="1:4">
      <c r="A6921" t="str">
        <f t="shared" si="115"/>
        <v>1006Average Loss</v>
      </c>
      <c r="B6921">
        <v>1006</v>
      </c>
      <c r="C6921" s="9" t="s">
        <v>29</v>
      </c>
      <c r="D6921" s="8">
        <v>-1E-4</v>
      </c>
    </row>
    <row r="6922" spans="1:4">
      <c r="A6922" t="str">
        <f t="shared" si="115"/>
        <v>1006Compounding Annual Return</v>
      </c>
      <c r="B6922">
        <v>1006</v>
      </c>
      <c r="C6922" s="9" t="s">
        <v>30</v>
      </c>
      <c r="D6922" s="8">
        <v>1.6000000000000001E-4</v>
      </c>
    </row>
    <row r="6923" spans="1:4">
      <c r="A6923" t="str">
        <f t="shared" si="115"/>
        <v>1006Drawdown</v>
      </c>
      <c r="B6923">
        <v>1006</v>
      </c>
      <c r="C6923" s="9" t="s">
        <v>8</v>
      </c>
      <c r="D6923" s="8">
        <v>2E-3</v>
      </c>
    </row>
    <row r="6924" spans="1:4">
      <c r="A6924" t="str">
        <f t="shared" si="115"/>
        <v>1006Expectancy</v>
      </c>
      <c r="B6924">
        <v>1006</v>
      </c>
      <c r="C6924" s="9" t="s">
        <v>31</v>
      </c>
      <c r="D6924" s="8">
        <v>3.0000000000000001E-3</v>
      </c>
    </row>
    <row r="6925" spans="1:4">
      <c r="A6925" t="str">
        <f t="shared" si="115"/>
        <v>1006Net Profit</v>
      </c>
      <c r="B6925">
        <v>1006</v>
      </c>
      <c r="C6925" s="9" t="s">
        <v>32</v>
      </c>
      <c r="D6925" s="8">
        <v>1.1E-4</v>
      </c>
    </row>
    <row r="6926" spans="1:4">
      <c r="A6926" t="str">
        <f t="shared" si="115"/>
        <v>1006Loss Rate</v>
      </c>
      <c r="B6926">
        <v>1006</v>
      </c>
      <c r="C6926" s="9" t="s">
        <v>33</v>
      </c>
      <c r="D6926" s="8">
        <v>0.36</v>
      </c>
    </row>
    <row r="6927" spans="1:4">
      <c r="A6927" t="str">
        <f t="shared" si="115"/>
        <v>1006Win Rate</v>
      </c>
      <c r="B6927">
        <v>1006</v>
      </c>
      <c r="C6927" s="9" t="s">
        <v>34</v>
      </c>
      <c r="D6927" s="8">
        <v>0.64</v>
      </c>
    </row>
    <row r="6928" spans="1:4">
      <c r="A6928" t="str">
        <f t="shared" si="115"/>
        <v>1006Profit-Loss Ratio</v>
      </c>
      <c r="B6928">
        <v>1006</v>
      </c>
      <c r="C6928" s="9" t="s">
        <v>26</v>
      </c>
      <c r="D6928" s="8">
        <v>0.56000000000000005</v>
      </c>
    </row>
    <row r="6929" spans="1:4">
      <c r="A6929" t="str">
        <f t="shared" si="115"/>
        <v>1006Alpha</v>
      </c>
      <c r="B6929">
        <v>1006</v>
      </c>
      <c r="C6929" s="9" t="s">
        <v>23</v>
      </c>
      <c r="D6929" s="8">
        <v>0</v>
      </c>
    </row>
    <row r="6930" spans="1:4">
      <c r="A6930" t="str">
        <f t="shared" si="115"/>
        <v>1006Beta</v>
      </c>
      <c r="B6930">
        <v>1006</v>
      </c>
      <c r="C6930" s="9" t="s">
        <v>24</v>
      </c>
      <c r="D6930" s="8">
        <v>3.0000000000000001E-3</v>
      </c>
    </row>
    <row r="6931" spans="1:4">
      <c r="A6931" t="str">
        <f t="shared" si="115"/>
        <v>1006Annual Standard Deviation</v>
      </c>
      <c r="B6931">
        <v>1006</v>
      </c>
      <c r="C6931" s="9" t="s">
        <v>35</v>
      </c>
      <c r="D6931" s="8">
        <v>2E-3</v>
      </c>
    </row>
    <row r="6932" spans="1:4">
      <c r="A6932" t="str">
        <f t="shared" si="115"/>
        <v>1006Annual Variance</v>
      </c>
      <c r="B6932">
        <v>1006</v>
      </c>
      <c r="C6932" s="9" t="s">
        <v>36</v>
      </c>
      <c r="D6932" s="8">
        <v>0</v>
      </c>
    </row>
    <row r="6933" spans="1:4">
      <c r="A6933" t="str">
        <f t="shared" si="115"/>
        <v>1006Information Ratio</v>
      </c>
      <c r="B6933">
        <v>1006</v>
      </c>
      <c r="C6933" s="9" t="s">
        <v>37</v>
      </c>
      <c r="D6933" s="8">
        <v>-0.76400000000000001</v>
      </c>
    </row>
    <row r="6934" spans="1:4">
      <c r="A6934" t="str">
        <f t="shared" si="115"/>
        <v>1006Tracking Error</v>
      </c>
      <c r="B6934">
        <v>1006</v>
      </c>
      <c r="C6934" s="9" t="s">
        <v>38</v>
      </c>
      <c r="D6934" s="8">
        <v>6.7000000000000004E-2</v>
      </c>
    </row>
    <row r="6935" spans="1:4">
      <c r="A6935" t="str">
        <f t="shared" si="115"/>
        <v>1006Treynor Ratio</v>
      </c>
      <c r="B6935">
        <v>1006</v>
      </c>
      <c r="C6935" s="9" t="s">
        <v>39</v>
      </c>
      <c r="D6935" s="8">
        <v>0.04</v>
      </c>
    </row>
    <row r="6936" spans="1:4">
      <c r="A6936" t="str">
        <f t="shared" si="115"/>
        <v>1006Total Fees</v>
      </c>
      <c r="B6936">
        <v>1006</v>
      </c>
      <c r="C6936" s="9" t="s">
        <v>40</v>
      </c>
      <c r="D6936" s="8">
        <v>0</v>
      </c>
    </row>
    <row r="6937" spans="1:4">
      <c r="A6937" t="str">
        <f t="shared" si="115"/>
        <v>1006Estimated Strategy Capacity</v>
      </c>
      <c r="B6937">
        <v>1006</v>
      </c>
      <c r="C6937" s="9" t="s">
        <v>41</v>
      </c>
      <c r="D6937" s="8">
        <v>7300000</v>
      </c>
    </row>
    <row r="6938" spans="1:4">
      <c r="A6938" t="str">
        <f t="shared" si="115"/>
        <v>1007PSR</v>
      </c>
      <c r="B6938">
        <v>1007</v>
      </c>
      <c r="C6938" s="9" t="s">
        <v>27</v>
      </c>
      <c r="D6938" s="8">
        <v>0.18404000000000001</v>
      </c>
    </row>
    <row r="6939" spans="1:4">
      <c r="A6939" t="str">
        <f t="shared" si="115"/>
        <v>1007Sharpe Ratio</v>
      </c>
      <c r="B6939">
        <v>1007</v>
      </c>
      <c r="C6939" s="9" t="s">
        <v>1</v>
      </c>
      <c r="D6939" s="8">
        <v>6.8000000000000005E-2</v>
      </c>
    </row>
    <row r="6940" spans="1:4">
      <c r="A6940" t="str">
        <f t="shared" si="115"/>
        <v>1007Total Trades</v>
      </c>
      <c r="B6940">
        <v>1007</v>
      </c>
      <c r="C6940" s="9" t="s">
        <v>28</v>
      </c>
      <c r="D6940" s="8">
        <v>714</v>
      </c>
    </row>
    <row r="6941" spans="1:4">
      <c r="A6941" t="str">
        <f t="shared" si="115"/>
        <v>1007Average Win</v>
      </c>
      <c r="B6941">
        <v>1007</v>
      </c>
      <c r="C6941" s="9" t="s">
        <v>25</v>
      </c>
      <c r="D6941" s="8">
        <v>8.0000000000000004E-4</v>
      </c>
    </row>
    <row r="6942" spans="1:4">
      <c r="A6942" t="str">
        <f t="shared" si="115"/>
        <v>1007Average Loss</v>
      </c>
      <c r="B6942">
        <v>1007</v>
      </c>
      <c r="C6942" s="9" t="s">
        <v>29</v>
      </c>
      <c r="D6942" s="8">
        <v>-1.4E-3</v>
      </c>
    </row>
    <row r="6943" spans="1:4">
      <c r="A6943" t="str">
        <f t="shared" si="115"/>
        <v>1007Compounding Annual Return</v>
      </c>
      <c r="B6943">
        <v>1007</v>
      </c>
      <c r="C6943" s="9" t="s">
        <v>30</v>
      </c>
      <c r="D6943" s="8">
        <v>1.6299999999999999E-3</v>
      </c>
    </row>
    <row r="6944" spans="1:4">
      <c r="A6944" t="str">
        <f t="shared" si="115"/>
        <v>1007Drawdown</v>
      </c>
      <c r="B6944">
        <v>1007</v>
      </c>
      <c r="C6944" s="9" t="s">
        <v>8</v>
      </c>
      <c r="D6944" s="8">
        <v>1.7000000000000001E-2</v>
      </c>
    </row>
    <row r="6945" spans="1:4">
      <c r="A6945" t="str">
        <f t="shared" si="115"/>
        <v>1007Expectancy</v>
      </c>
      <c r="B6945">
        <v>1007</v>
      </c>
      <c r="C6945" s="9" t="s">
        <v>31</v>
      </c>
      <c r="D6945" s="8">
        <v>5.0000000000000001E-3</v>
      </c>
    </row>
    <row r="6946" spans="1:4">
      <c r="A6946" t="str">
        <f t="shared" ref="A6946:A7009" si="116">B6946&amp;C6946</f>
        <v>1007Net Profit</v>
      </c>
      <c r="B6946">
        <v>1007</v>
      </c>
      <c r="C6946" s="9" t="s">
        <v>32</v>
      </c>
      <c r="D6946" s="8">
        <v>1.08E-3</v>
      </c>
    </row>
    <row r="6947" spans="1:4">
      <c r="A6947" t="str">
        <f t="shared" si="116"/>
        <v>1007Loss Rate</v>
      </c>
      <c r="B6947">
        <v>1007</v>
      </c>
      <c r="C6947" s="9" t="s">
        <v>33</v>
      </c>
      <c r="D6947" s="8">
        <v>0.36</v>
      </c>
    </row>
    <row r="6948" spans="1:4">
      <c r="A6948" t="str">
        <f t="shared" si="116"/>
        <v>1007Win Rate</v>
      </c>
      <c r="B6948">
        <v>1007</v>
      </c>
      <c r="C6948" s="9" t="s">
        <v>34</v>
      </c>
      <c r="D6948" s="8">
        <v>0.64</v>
      </c>
    </row>
    <row r="6949" spans="1:4">
      <c r="A6949" t="str">
        <f t="shared" si="116"/>
        <v>1007Profit-Loss Ratio</v>
      </c>
      <c r="B6949">
        <v>1007</v>
      </c>
      <c r="C6949" s="9" t="s">
        <v>26</v>
      </c>
      <c r="D6949" s="8">
        <v>0.56000000000000005</v>
      </c>
    </row>
    <row r="6950" spans="1:4">
      <c r="A6950" t="str">
        <f t="shared" si="116"/>
        <v>1007Alpha</v>
      </c>
      <c r="B6950">
        <v>1007</v>
      </c>
      <c r="C6950" s="9" t="s">
        <v>23</v>
      </c>
      <c r="D6950" s="8">
        <v>0</v>
      </c>
    </row>
    <row r="6951" spans="1:4">
      <c r="A6951" t="str">
        <f t="shared" si="116"/>
        <v>1007Beta</v>
      </c>
      <c r="B6951">
        <v>1007</v>
      </c>
      <c r="C6951" s="9" t="s">
        <v>24</v>
      </c>
      <c r="D6951" s="8">
        <v>2.9000000000000001E-2</v>
      </c>
    </row>
    <row r="6952" spans="1:4">
      <c r="A6952" t="str">
        <f t="shared" si="116"/>
        <v>1007Annual Standard Deviation</v>
      </c>
      <c r="B6952">
        <v>1007</v>
      </c>
      <c r="C6952" s="9" t="s">
        <v>35</v>
      </c>
      <c r="D6952" s="8">
        <v>1.9E-2</v>
      </c>
    </row>
    <row r="6953" spans="1:4">
      <c r="A6953" t="str">
        <f t="shared" si="116"/>
        <v>1007Annual Variance</v>
      </c>
      <c r="B6953">
        <v>1007</v>
      </c>
      <c r="C6953" s="9" t="s">
        <v>36</v>
      </c>
      <c r="D6953" s="8">
        <v>0</v>
      </c>
    </row>
    <row r="6954" spans="1:4">
      <c r="A6954" t="str">
        <f t="shared" si="116"/>
        <v>1007Information Ratio</v>
      </c>
      <c r="B6954">
        <v>1007</v>
      </c>
      <c r="C6954" s="9" t="s">
        <v>37</v>
      </c>
      <c r="D6954" s="8">
        <v>-0.73599999999999999</v>
      </c>
    </row>
    <row r="6955" spans="1:4">
      <c r="A6955" t="str">
        <f t="shared" si="116"/>
        <v>1007Tracking Error</v>
      </c>
      <c r="B6955">
        <v>1007</v>
      </c>
      <c r="C6955" s="9" t="s">
        <v>38</v>
      </c>
      <c r="D6955" s="8">
        <v>6.8000000000000005E-2</v>
      </c>
    </row>
    <row r="6956" spans="1:4">
      <c r="A6956" t="str">
        <f t="shared" si="116"/>
        <v>1007Treynor Ratio</v>
      </c>
      <c r="B6956">
        <v>1007</v>
      </c>
      <c r="C6956" s="9" t="s">
        <v>39</v>
      </c>
      <c r="D6956" s="8">
        <v>4.5999999999999999E-2</v>
      </c>
    </row>
    <row r="6957" spans="1:4">
      <c r="A6957" t="str">
        <f t="shared" si="116"/>
        <v>1007Total Fees</v>
      </c>
      <c r="B6957">
        <v>1007</v>
      </c>
      <c r="C6957" s="9" t="s">
        <v>40</v>
      </c>
      <c r="D6957" s="8">
        <v>0</v>
      </c>
    </row>
    <row r="6958" spans="1:4">
      <c r="A6958" t="str">
        <f t="shared" si="116"/>
        <v>1007Estimated Strategy Capacity</v>
      </c>
      <c r="B6958">
        <v>1007</v>
      </c>
      <c r="C6958" s="9" t="s">
        <v>41</v>
      </c>
      <c r="D6958" s="8">
        <v>7300000</v>
      </c>
    </row>
    <row r="6959" spans="1:4">
      <c r="A6959" t="str">
        <f t="shared" si="116"/>
        <v>1008PSR</v>
      </c>
      <c r="B6959">
        <v>1008</v>
      </c>
      <c r="C6959" s="9" t="s">
        <v>27</v>
      </c>
      <c r="D6959" s="8">
        <v>0.18975</v>
      </c>
    </row>
    <row r="6960" spans="1:4">
      <c r="A6960" t="str">
        <f t="shared" si="116"/>
        <v>1008Sharpe Ratio</v>
      </c>
      <c r="B6960">
        <v>1008</v>
      </c>
      <c r="C6960" s="9" t="s">
        <v>1</v>
      </c>
      <c r="D6960" s="8">
        <v>8.5000000000000006E-2</v>
      </c>
    </row>
    <row r="6961" spans="1:4">
      <c r="A6961" t="str">
        <f t="shared" si="116"/>
        <v>1008Total Trades</v>
      </c>
      <c r="B6961">
        <v>1008</v>
      </c>
      <c r="C6961" s="9" t="s">
        <v>28</v>
      </c>
      <c r="D6961" s="8">
        <v>669</v>
      </c>
    </row>
    <row r="6962" spans="1:4">
      <c r="A6962" t="str">
        <f t="shared" si="116"/>
        <v>1008Average Win</v>
      </c>
      <c r="B6962">
        <v>1008</v>
      </c>
      <c r="C6962" s="9" t="s">
        <v>25</v>
      </c>
      <c r="D6962" s="8">
        <v>1.1999999999999999E-3</v>
      </c>
    </row>
    <row r="6963" spans="1:4">
      <c r="A6963" t="str">
        <f t="shared" si="116"/>
        <v>1008Average Loss</v>
      </c>
      <c r="B6963">
        <v>1008</v>
      </c>
      <c r="C6963" s="9" t="s">
        <v>29</v>
      </c>
      <c r="D6963" s="8">
        <v>-2.5000000000000001E-3</v>
      </c>
    </row>
    <row r="6964" spans="1:4">
      <c r="A6964" t="str">
        <f t="shared" si="116"/>
        <v>1008Compounding Annual Return</v>
      </c>
      <c r="B6964">
        <v>1008</v>
      </c>
      <c r="C6964" s="9" t="s">
        <v>30</v>
      </c>
      <c r="D6964" s="8">
        <v>3.0899999999999999E-3</v>
      </c>
    </row>
    <row r="6965" spans="1:4">
      <c r="A6965" t="str">
        <f t="shared" si="116"/>
        <v>1008Drawdown</v>
      </c>
      <c r="B6965">
        <v>1008</v>
      </c>
      <c r="C6965" s="9" t="s">
        <v>8</v>
      </c>
      <c r="D6965" s="8">
        <v>2.9000000000000001E-2</v>
      </c>
    </row>
    <row r="6966" spans="1:4">
      <c r="A6966" t="str">
        <f t="shared" si="116"/>
        <v>1008Expectancy</v>
      </c>
      <c r="B6966">
        <v>1008</v>
      </c>
      <c r="C6966" s="9" t="s">
        <v>31</v>
      </c>
      <c r="D6966" s="8">
        <v>7.0000000000000001E-3</v>
      </c>
    </row>
    <row r="6967" spans="1:4">
      <c r="A6967" t="str">
        <f t="shared" si="116"/>
        <v>1008Net Profit</v>
      </c>
      <c r="B6967">
        <v>1008</v>
      </c>
      <c r="C6967" s="9" t="s">
        <v>32</v>
      </c>
      <c r="D6967" s="8">
        <v>2.0500000000000002E-3</v>
      </c>
    </row>
    <row r="6968" spans="1:4">
      <c r="A6968" t="str">
        <f t="shared" si="116"/>
        <v>1008Loss Rate</v>
      </c>
      <c r="B6968">
        <v>1008</v>
      </c>
      <c r="C6968" s="9" t="s">
        <v>33</v>
      </c>
      <c r="D6968" s="8">
        <v>0.32</v>
      </c>
    </row>
    <row r="6969" spans="1:4">
      <c r="A6969" t="str">
        <f t="shared" si="116"/>
        <v>1008Win Rate</v>
      </c>
      <c r="B6969">
        <v>1008</v>
      </c>
      <c r="C6969" s="9" t="s">
        <v>34</v>
      </c>
      <c r="D6969" s="8">
        <v>0.68</v>
      </c>
    </row>
    <row r="6970" spans="1:4">
      <c r="A6970" t="str">
        <f t="shared" si="116"/>
        <v>1008Profit-Loss Ratio</v>
      </c>
      <c r="B6970">
        <v>1008</v>
      </c>
      <c r="C6970" s="9" t="s">
        <v>26</v>
      </c>
      <c r="D6970" s="8">
        <v>0.48</v>
      </c>
    </row>
    <row r="6971" spans="1:4">
      <c r="A6971" t="str">
        <f t="shared" si="116"/>
        <v>1008Alpha</v>
      </c>
      <c r="B6971">
        <v>1008</v>
      </c>
      <c r="C6971" s="9" t="s">
        <v>23</v>
      </c>
      <c r="D6971" s="8">
        <v>0</v>
      </c>
    </row>
    <row r="6972" spans="1:4">
      <c r="A6972" t="str">
        <f t="shared" si="116"/>
        <v>1008Beta</v>
      </c>
      <c r="B6972">
        <v>1008</v>
      </c>
      <c r="C6972" s="9" t="s">
        <v>24</v>
      </c>
      <c r="D6972" s="8">
        <v>4.2999999999999997E-2</v>
      </c>
    </row>
    <row r="6973" spans="1:4">
      <c r="A6973" t="str">
        <f t="shared" si="116"/>
        <v>1008Annual Standard Deviation</v>
      </c>
      <c r="B6973">
        <v>1008</v>
      </c>
      <c r="C6973" s="9" t="s">
        <v>35</v>
      </c>
      <c r="D6973" s="8">
        <v>3.1E-2</v>
      </c>
    </row>
    <row r="6974" spans="1:4">
      <c r="A6974" t="str">
        <f t="shared" si="116"/>
        <v>1008Annual Variance</v>
      </c>
      <c r="B6974">
        <v>1008</v>
      </c>
      <c r="C6974" s="9" t="s">
        <v>36</v>
      </c>
      <c r="D6974" s="8">
        <v>1E-3</v>
      </c>
    </row>
    <row r="6975" spans="1:4">
      <c r="A6975" t="str">
        <f t="shared" si="116"/>
        <v>1008Information Ratio</v>
      </c>
      <c r="B6975">
        <v>1008</v>
      </c>
      <c r="C6975" s="9" t="s">
        <v>37</v>
      </c>
      <c r="D6975" s="8">
        <v>-0.68300000000000005</v>
      </c>
    </row>
    <row r="6976" spans="1:4">
      <c r="A6976" t="str">
        <f t="shared" si="116"/>
        <v>1008Tracking Error</v>
      </c>
      <c r="B6976">
        <v>1008</v>
      </c>
      <c r="C6976" s="9" t="s">
        <v>38</v>
      </c>
      <c r="D6976" s="8">
        <v>7.1999999999999995E-2</v>
      </c>
    </row>
    <row r="6977" spans="1:4">
      <c r="A6977" t="str">
        <f t="shared" si="116"/>
        <v>1008Treynor Ratio</v>
      </c>
      <c r="B6977">
        <v>1008</v>
      </c>
      <c r="C6977" s="9" t="s">
        <v>39</v>
      </c>
      <c r="D6977" s="8">
        <v>6.2E-2</v>
      </c>
    </row>
    <row r="6978" spans="1:4">
      <c r="A6978" t="str">
        <f t="shared" si="116"/>
        <v>1008Total Fees</v>
      </c>
      <c r="B6978">
        <v>1008</v>
      </c>
      <c r="C6978" s="9" t="s">
        <v>40</v>
      </c>
      <c r="D6978" s="8">
        <v>0</v>
      </c>
    </row>
    <row r="6979" spans="1:4">
      <c r="A6979" t="str">
        <f t="shared" si="116"/>
        <v>1008Estimated Strategy Capacity</v>
      </c>
      <c r="B6979">
        <v>1008</v>
      </c>
      <c r="C6979" s="9" t="s">
        <v>41</v>
      </c>
      <c r="D6979" s="8">
        <v>7500000</v>
      </c>
    </row>
    <row r="6980" spans="1:4">
      <c r="A6980" t="str">
        <f t="shared" si="116"/>
        <v>1027PSR</v>
      </c>
      <c r="B6980">
        <v>1027</v>
      </c>
      <c r="C6980" s="9" t="s">
        <v>27</v>
      </c>
      <c r="D6980" s="8">
        <v>0.29222999999999999</v>
      </c>
    </row>
    <row r="6981" spans="1:4">
      <c r="A6981" t="str">
        <f t="shared" si="116"/>
        <v>1027Sharpe Ratio</v>
      </c>
      <c r="B6981">
        <v>1027</v>
      </c>
      <c r="C6981" s="9" t="s">
        <v>1</v>
      </c>
      <c r="D6981" s="8">
        <v>0.438</v>
      </c>
    </row>
    <row r="6982" spans="1:4">
      <c r="A6982" t="str">
        <f t="shared" si="116"/>
        <v>1027Total Trades</v>
      </c>
      <c r="B6982">
        <v>1027</v>
      </c>
      <c r="C6982" s="9" t="s">
        <v>28</v>
      </c>
      <c r="D6982" s="8">
        <v>1559</v>
      </c>
    </row>
    <row r="6983" spans="1:4">
      <c r="A6983" t="str">
        <f t="shared" si="116"/>
        <v>1027Average Win</v>
      </c>
      <c r="B6983">
        <v>1027</v>
      </c>
      <c r="C6983" s="9" t="s">
        <v>25</v>
      </c>
      <c r="D6983" s="8">
        <v>1E-4</v>
      </c>
    </row>
    <row r="6984" spans="1:4">
      <c r="A6984" t="str">
        <f t="shared" si="116"/>
        <v>1027Average Loss</v>
      </c>
      <c r="B6984">
        <v>1027</v>
      </c>
      <c r="C6984" s="9" t="s">
        <v>29</v>
      </c>
      <c r="D6984" s="8">
        <v>-1E-4</v>
      </c>
    </row>
    <row r="6985" spans="1:4">
      <c r="A6985" t="str">
        <f t="shared" si="116"/>
        <v>1027Compounding Annual Return</v>
      </c>
      <c r="B6985">
        <v>1027</v>
      </c>
      <c r="C6985" s="9" t="s">
        <v>30</v>
      </c>
      <c r="D6985" s="8">
        <v>8.0999999999999996E-4</v>
      </c>
    </row>
    <row r="6986" spans="1:4">
      <c r="A6986" t="str">
        <f t="shared" si="116"/>
        <v>1027Drawdown</v>
      </c>
      <c r="B6986">
        <v>1027</v>
      </c>
      <c r="C6986" s="9" t="s">
        <v>8</v>
      </c>
      <c r="D6986" s="8">
        <v>1E-3</v>
      </c>
    </row>
    <row r="6987" spans="1:4">
      <c r="A6987" t="str">
        <f t="shared" si="116"/>
        <v>1027Expectancy</v>
      </c>
      <c r="B6987">
        <v>1027</v>
      </c>
      <c r="C6987" s="9" t="s">
        <v>31</v>
      </c>
      <c r="D6987" s="8">
        <v>5.8999999999999997E-2</v>
      </c>
    </row>
    <row r="6988" spans="1:4">
      <c r="A6988" t="str">
        <f t="shared" si="116"/>
        <v>1027Net Profit</v>
      </c>
      <c r="B6988">
        <v>1027</v>
      </c>
      <c r="C6988" s="9" t="s">
        <v>32</v>
      </c>
      <c r="D6988" s="8">
        <v>5.2999999999999998E-4</v>
      </c>
    </row>
    <row r="6989" spans="1:4">
      <c r="A6989" t="str">
        <f t="shared" si="116"/>
        <v>1027Loss Rate</v>
      </c>
      <c r="B6989">
        <v>1027</v>
      </c>
      <c r="C6989" s="9" t="s">
        <v>33</v>
      </c>
      <c r="D6989" s="8">
        <v>0.35</v>
      </c>
    </row>
    <row r="6990" spans="1:4">
      <c r="A6990" t="str">
        <f t="shared" si="116"/>
        <v>1027Win Rate</v>
      </c>
      <c r="B6990">
        <v>1027</v>
      </c>
      <c r="C6990" s="9" t="s">
        <v>34</v>
      </c>
      <c r="D6990" s="8">
        <v>0.65</v>
      </c>
    </row>
    <row r="6991" spans="1:4">
      <c r="A6991" t="str">
        <f t="shared" si="116"/>
        <v>1027Profit-Loss Ratio</v>
      </c>
      <c r="B6991">
        <v>1027</v>
      </c>
      <c r="C6991" s="9" t="s">
        <v>26</v>
      </c>
      <c r="D6991" s="8">
        <v>0.63</v>
      </c>
    </row>
    <row r="6992" spans="1:4">
      <c r="A6992" t="str">
        <f t="shared" si="116"/>
        <v>1027Alpha</v>
      </c>
      <c r="B6992">
        <v>1027</v>
      </c>
      <c r="C6992" s="9" t="s">
        <v>23</v>
      </c>
      <c r="D6992" s="8">
        <v>0</v>
      </c>
    </row>
    <row r="6993" spans="1:4">
      <c r="A6993" t="str">
        <f t="shared" si="116"/>
        <v>1027Beta</v>
      </c>
      <c r="B6993">
        <v>1027</v>
      </c>
      <c r="C6993" s="9" t="s">
        <v>24</v>
      </c>
      <c r="D6993" s="8">
        <v>2E-3</v>
      </c>
    </row>
    <row r="6994" spans="1:4">
      <c r="A6994" t="str">
        <f t="shared" si="116"/>
        <v>1027Annual Standard Deviation</v>
      </c>
      <c r="B6994">
        <v>1027</v>
      </c>
      <c r="C6994" s="9" t="s">
        <v>35</v>
      </c>
      <c r="D6994" s="8">
        <v>1E-3</v>
      </c>
    </row>
    <row r="6995" spans="1:4">
      <c r="A6995" t="str">
        <f t="shared" si="116"/>
        <v>1027Annual Variance</v>
      </c>
      <c r="B6995">
        <v>1027</v>
      </c>
      <c r="C6995" s="9" t="s">
        <v>36</v>
      </c>
      <c r="D6995" s="8">
        <v>0</v>
      </c>
    </row>
    <row r="6996" spans="1:4">
      <c r="A6996" t="str">
        <f t="shared" si="116"/>
        <v>1027Information Ratio</v>
      </c>
      <c r="B6996">
        <v>1027</v>
      </c>
      <c r="C6996" s="9" t="s">
        <v>37</v>
      </c>
      <c r="D6996" s="8">
        <v>-0.75700000000000001</v>
      </c>
    </row>
    <row r="6997" spans="1:4">
      <c r="A6997" t="str">
        <f t="shared" si="116"/>
        <v>1027Tracking Error</v>
      </c>
      <c r="B6997">
        <v>1027</v>
      </c>
      <c r="C6997" s="9" t="s">
        <v>38</v>
      </c>
      <c r="D6997" s="8">
        <v>6.7000000000000004E-2</v>
      </c>
    </row>
    <row r="6998" spans="1:4">
      <c r="A6998" t="str">
        <f t="shared" si="116"/>
        <v>1027Treynor Ratio</v>
      </c>
      <c r="B6998">
        <v>1027</v>
      </c>
      <c r="C6998" s="9" t="s">
        <v>39</v>
      </c>
      <c r="D6998" s="8">
        <v>0.31900000000000001</v>
      </c>
    </row>
    <row r="6999" spans="1:4">
      <c r="A6999" t="str">
        <f t="shared" si="116"/>
        <v>1027Total Fees</v>
      </c>
      <c r="B6999">
        <v>1027</v>
      </c>
      <c r="C6999" s="9" t="s">
        <v>40</v>
      </c>
      <c r="D6999" s="8">
        <v>0</v>
      </c>
    </row>
    <row r="7000" spans="1:4">
      <c r="A7000" t="str">
        <f t="shared" si="116"/>
        <v>1027Estimated Strategy Capacity</v>
      </c>
      <c r="B7000">
        <v>1027</v>
      </c>
      <c r="C7000" s="9" t="s">
        <v>41</v>
      </c>
      <c r="D7000" s="8">
        <v>280000000</v>
      </c>
    </row>
    <row r="7001" spans="1:4">
      <c r="A7001" t="str">
        <f t="shared" si="116"/>
        <v>1028PSR</v>
      </c>
      <c r="B7001">
        <v>1028</v>
      </c>
      <c r="C7001" s="9" t="s">
        <v>27</v>
      </c>
      <c r="D7001" s="8">
        <v>0.29382000000000003</v>
      </c>
    </row>
    <row r="7002" spans="1:4">
      <c r="A7002" t="str">
        <f t="shared" si="116"/>
        <v>1028Sharpe Ratio</v>
      </c>
      <c r="B7002">
        <v>1028</v>
      </c>
      <c r="C7002" s="9" t="s">
        <v>1</v>
      </c>
      <c r="D7002" s="8">
        <v>0.44400000000000001</v>
      </c>
    </row>
    <row r="7003" spans="1:4">
      <c r="A7003" t="str">
        <f t="shared" si="116"/>
        <v>1028Total Trades</v>
      </c>
      <c r="B7003">
        <v>1028</v>
      </c>
      <c r="C7003" s="9" t="s">
        <v>28</v>
      </c>
      <c r="D7003" s="8">
        <v>1559</v>
      </c>
    </row>
    <row r="7004" spans="1:4">
      <c r="A7004" t="str">
        <f t="shared" si="116"/>
        <v>1028Average Win</v>
      </c>
      <c r="B7004">
        <v>1028</v>
      </c>
      <c r="C7004" s="9" t="s">
        <v>25</v>
      </c>
      <c r="D7004" s="8">
        <v>5.0000000000000001E-4</v>
      </c>
    </row>
    <row r="7005" spans="1:4">
      <c r="A7005" t="str">
        <f t="shared" si="116"/>
        <v>1028Average Loss</v>
      </c>
      <c r="B7005">
        <v>1028</v>
      </c>
      <c r="C7005" s="9" t="s">
        <v>29</v>
      </c>
      <c r="D7005" s="8">
        <v>-8.0000000000000004E-4</v>
      </c>
    </row>
    <row r="7006" spans="1:4">
      <c r="A7006" t="str">
        <f t="shared" si="116"/>
        <v>1028Compounding Annual Return</v>
      </c>
      <c r="B7006">
        <v>1028</v>
      </c>
      <c r="C7006" s="9" t="s">
        <v>30</v>
      </c>
      <c r="D7006" s="8">
        <v>8.0700000000000008E-3</v>
      </c>
    </row>
    <row r="7007" spans="1:4">
      <c r="A7007" t="str">
        <f t="shared" si="116"/>
        <v>1028Drawdown</v>
      </c>
      <c r="B7007">
        <v>1028</v>
      </c>
      <c r="C7007" s="9" t="s">
        <v>8</v>
      </c>
      <c r="D7007" s="8">
        <v>1.2999999999999999E-2</v>
      </c>
    </row>
    <row r="7008" spans="1:4">
      <c r="A7008" t="str">
        <f t="shared" si="116"/>
        <v>1028Expectancy</v>
      </c>
      <c r="B7008">
        <v>1028</v>
      </c>
      <c r="C7008" s="9" t="s">
        <v>31</v>
      </c>
      <c r="D7008" s="8">
        <v>0.06</v>
      </c>
    </row>
    <row r="7009" spans="1:4">
      <c r="A7009" t="str">
        <f t="shared" si="116"/>
        <v>1028Net Profit</v>
      </c>
      <c r="B7009">
        <v>1028</v>
      </c>
      <c r="C7009" s="9" t="s">
        <v>32</v>
      </c>
      <c r="D7009" s="8">
        <v>5.3400000000000001E-3</v>
      </c>
    </row>
    <row r="7010" spans="1:4">
      <c r="A7010" t="str">
        <f t="shared" ref="A7010:A7073" si="117">B7010&amp;C7010</f>
        <v>1028Loss Rate</v>
      </c>
      <c r="B7010">
        <v>1028</v>
      </c>
      <c r="C7010" s="9" t="s">
        <v>33</v>
      </c>
      <c r="D7010" s="8">
        <v>0.35</v>
      </c>
    </row>
    <row r="7011" spans="1:4">
      <c r="A7011" t="str">
        <f t="shared" si="117"/>
        <v>1028Win Rate</v>
      </c>
      <c r="B7011">
        <v>1028</v>
      </c>
      <c r="C7011" s="9" t="s">
        <v>34</v>
      </c>
      <c r="D7011" s="8">
        <v>0.65</v>
      </c>
    </row>
    <row r="7012" spans="1:4">
      <c r="A7012" t="str">
        <f t="shared" si="117"/>
        <v>1028Profit-Loss Ratio</v>
      </c>
      <c r="B7012">
        <v>1028</v>
      </c>
      <c r="C7012" s="9" t="s">
        <v>26</v>
      </c>
      <c r="D7012" s="8">
        <v>0.64</v>
      </c>
    </row>
    <row r="7013" spans="1:4">
      <c r="A7013" t="str">
        <f t="shared" si="117"/>
        <v>1028Alpha</v>
      </c>
      <c r="B7013">
        <v>1028</v>
      </c>
      <c r="C7013" s="9" t="s">
        <v>23</v>
      </c>
      <c r="D7013" s="8">
        <v>5.0000000000000001E-3</v>
      </c>
    </row>
    <row r="7014" spans="1:4">
      <c r="A7014" t="str">
        <f t="shared" si="117"/>
        <v>1028Beta</v>
      </c>
      <c r="B7014">
        <v>1028</v>
      </c>
      <c r="C7014" s="9" t="s">
        <v>24</v>
      </c>
      <c r="D7014" s="8">
        <v>1.7999999999999999E-2</v>
      </c>
    </row>
    <row r="7015" spans="1:4">
      <c r="A7015" t="str">
        <f t="shared" si="117"/>
        <v>1028Annual Standard Deviation</v>
      </c>
      <c r="B7015">
        <v>1028</v>
      </c>
      <c r="C7015" s="9" t="s">
        <v>35</v>
      </c>
      <c r="D7015" s="8">
        <v>1.2999999999999999E-2</v>
      </c>
    </row>
    <row r="7016" spans="1:4">
      <c r="A7016" t="str">
        <f t="shared" si="117"/>
        <v>1028Annual Variance</v>
      </c>
      <c r="B7016">
        <v>1028</v>
      </c>
      <c r="C7016" s="9" t="s">
        <v>36</v>
      </c>
      <c r="D7016" s="8">
        <v>0</v>
      </c>
    </row>
    <row r="7017" spans="1:4">
      <c r="A7017" t="str">
        <f t="shared" si="117"/>
        <v>1028Information Ratio</v>
      </c>
      <c r="B7017">
        <v>1028</v>
      </c>
      <c r="C7017" s="9" t="s">
        <v>37</v>
      </c>
      <c r="D7017" s="8">
        <v>-0.68899999999999995</v>
      </c>
    </row>
    <row r="7018" spans="1:4">
      <c r="A7018" t="str">
        <f t="shared" si="117"/>
        <v>1028Tracking Error</v>
      </c>
      <c r="B7018">
        <v>1028</v>
      </c>
      <c r="C7018" s="9" t="s">
        <v>38</v>
      </c>
      <c r="D7018" s="8">
        <v>6.7000000000000004E-2</v>
      </c>
    </row>
    <row r="7019" spans="1:4">
      <c r="A7019" t="str">
        <f t="shared" si="117"/>
        <v>1028Treynor Ratio</v>
      </c>
      <c r="B7019">
        <v>1028</v>
      </c>
      <c r="C7019" s="9" t="s">
        <v>39</v>
      </c>
      <c r="D7019" s="8">
        <v>0.32400000000000001</v>
      </c>
    </row>
    <row r="7020" spans="1:4">
      <c r="A7020" t="str">
        <f t="shared" si="117"/>
        <v>1028Total Fees</v>
      </c>
      <c r="B7020">
        <v>1028</v>
      </c>
      <c r="C7020" s="9" t="s">
        <v>40</v>
      </c>
      <c r="D7020" s="8">
        <v>0</v>
      </c>
    </row>
    <row r="7021" spans="1:4">
      <c r="A7021" t="str">
        <f t="shared" si="117"/>
        <v>1028Estimated Strategy Capacity</v>
      </c>
      <c r="B7021">
        <v>1028</v>
      </c>
      <c r="C7021" s="9" t="s">
        <v>41</v>
      </c>
      <c r="D7021" s="8">
        <v>32000000</v>
      </c>
    </row>
    <row r="7022" spans="1:4">
      <c r="A7022" t="str">
        <f t="shared" si="117"/>
        <v>1029PSR</v>
      </c>
      <c r="B7022">
        <v>1029</v>
      </c>
      <c r="C7022" s="9" t="s">
        <v>27</v>
      </c>
      <c r="D7022" s="8">
        <v>0.28810000000000002</v>
      </c>
    </row>
    <row r="7023" spans="1:4">
      <c r="A7023" t="str">
        <f t="shared" si="117"/>
        <v>1029Sharpe Ratio</v>
      </c>
      <c r="B7023">
        <v>1029</v>
      </c>
      <c r="C7023" s="9" t="s">
        <v>1</v>
      </c>
      <c r="D7023" s="8">
        <v>0.42499999999999999</v>
      </c>
    </row>
    <row r="7024" spans="1:4">
      <c r="A7024" t="str">
        <f t="shared" si="117"/>
        <v>1029Total Trades</v>
      </c>
      <c r="B7024">
        <v>1029</v>
      </c>
      <c r="C7024" s="9" t="s">
        <v>28</v>
      </c>
      <c r="D7024" s="8">
        <v>1474</v>
      </c>
    </row>
    <row r="7025" spans="1:4">
      <c r="A7025" t="str">
        <f t="shared" si="117"/>
        <v>1029Average Win</v>
      </c>
      <c r="B7025">
        <v>1029</v>
      </c>
      <c r="C7025" s="9" t="s">
        <v>25</v>
      </c>
      <c r="D7025" s="8">
        <v>8.9999999999999998E-4</v>
      </c>
    </row>
    <row r="7026" spans="1:4">
      <c r="A7026" t="str">
        <f t="shared" si="117"/>
        <v>1029Average Loss</v>
      </c>
      <c r="B7026">
        <v>1029</v>
      </c>
      <c r="C7026" s="9" t="s">
        <v>29</v>
      </c>
      <c r="D7026" s="8">
        <v>-1.1999999999999999E-3</v>
      </c>
    </row>
    <row r="7027" spans="1:4">
      <c r="A7027" t="str">
        <f t="shared" si="117"/>
        <v>1029Compounding Annual Return</v>
      </c>
      <c r="B7027">
        <v>1029</v>
      </c>
      <c r="C7027" s="9" t="s">
        <v>30</v>
      </c>
      <c r="D7027" s="8">
        <v>1.188E-2</v>
      </c>
    </row>
    <row r="7028" spans="1:4">
      <c r="A7028" t="str">
        <f t="shared" si="117"/>
        <v>1029Drawdown</v>
      </c>
      <c r="B7028">
        <v>1029</v>
      </c>
      <c r="C7028" s="9" t="s">
        <v>8</v>
      </c>
      <c r="D7028" s="8">
        <v>2.1999999999999999E-2</v>
      </c>
    </row>
    <row r="7029" spans="1:4">
      <c r="A7029" t="str">
        <f t="shared" si="117"/>
        <v>1029Expectancy</v>
      </c>
      <c r="B7029">
        <v>1029</v>
      </c>
      <c r="C7029" s="9" t="s">
        <v>31</v>
      </c>
      <c r="D7029" s="8">
        <v>0.06</v>
      </c>
    </row>
    <row r="7030" spans="1:4">
      <c r="A7030" t="str">
        <f t="shared" si="117"/>
        <v>1029Net Profit</v>
      </c>
      <c r="B7030">
        <v>1029</v>
      </c>
      <c r="C7030" s="9" t="s">
        <v>32</v>
      </c>
      <c r="D7030" s="8">
        <v>7.8600000000000007E-3</v>
      </c>
    </row>
    <row r="7031" spans="1:4">
      <c r="A7031" t="str">
        <f t="shared" si="117"/>
        <v>1029Loss Rate</v>
      </c>
      <c r="B7031">
        <v>1029</v>
      </c>
      <c r="C7031" s="9" t="s">
        <v>33</v>
      </c>
      <c r="D7031" s="8">
        <v>0.38</v>
      </c>
    </row>
    <row r="7032" spans="1:4">
      <c r="A7032" t="str">
        <f t="shared" si="117"/>
        <v>1029Win Rate</v>
      </c>
      <c r="B7032">
        <v>1029</v>
      </c>
      <c r="C7032" s="9" t="s">
        <v>34</v>
      </c>
      <c r="D7032" s="8">
        <v>0.62</v>
      </c>
    </row>
    <row r="7033" spans="1:4">
      <c r="A7033" t="str">
        <f t="shared" si="117"/>
        <v>1029Profit-Loss Ratio</v>
      </c>
      <c r="B7033">
        <v>1029</v>
      </c>
      <c r="C7033" s="9" t="s">
        <v>26</v>
      </c>
      <c r="D7033" s="8">
        <v>0.71</v>
      </c>
    </row>
    <row r="7034" spans="1:4">
      <c r="A7034" t="str">
        <f t="shared" si="117"/>
        <v>1029Alpha</v>
      </c>
      <c r="B7034">
        <v>1029</v>
      </c>
      <c r="C7034" s="9" t="s">
        <v>23</v>
      </c>
      <c r="D7034" s="8">
        <v>6.0000000000000001E-3</v>
      </c>
    </row>
    <row r="7035" spans="1:4">
      <c r="A7035" t="str">
        <f t="shared" si="117"/>
        <v>1029Beta</v>
      </c>
      <c r="B7035">
        <v>1029</v>
      </c>
      <c r="C7035" s="9" t="s">
        <v>24</v>
      </c>
      <c r="D7035" s="8">
        <v>4.1000000000000002E-2</v>
      </c>
    </row>
    <row r="7036" spans="1:4">
      <c r="A7036" t="str">
        <f t="shared" si="117"/>
        <v>1029Annual Standard Deviation</v>
      </c>
      <c r="B7036">
        <v>1029</v>
      </c>
      <c r="C7036" s="9" t="s">
        <v>35</v>
      </c>
      <c r="D7036" s="8">
        <v>0.02</v>
      </c>
    </row>
    <row r="7037" spans="1:4">
      <c r="A7037" t="str">
        <f t="shared" si="117"/>
        <v>1029Annual Variance</v>
      </c>
      <c r="B7037">
        <v>1029</v>
      </c>
      <c r="C7037" s="9" t="s">
        <v>36</v>
      </c>
      <c r="D7037" s="8">
        <v>0</v>
      </c>
    </row>
    <row r="7038" spans="1:4">
      <c r="A7038" t="str">
        <f t="shared" si="117"/>
        <v>1029Information Ratio</v>
      </c>
      <c r="B7038">
        <v>1029</v>
      </c>
      <c r="C7038" s="9" t="s">
        <v>37</v>
      </c>
      <c r="D7038" s="8">
        <v>-0.63700000000000001</v>
      </c>
    </row>
    <row r="7039" spans="1:4">
      <c r="A7039" t="str">
        <f t="shared" si="117"/>
        <v>1029Tracking Error</v>
      </c>
      <c r="B7039">
        <v>1029</v>
      </c>
      <c r="C7039" s="9" t="s">
        <v>38</v>
      </c>
      <c r="D7039" s="8">
        <v>6.8000000000000005E-2</v>
      </c>
    </row>
    <row r="7040" spans="1:4">
      <c r="A7040" t="str">
        <f t="shared" si="117"/>
        <v>1029Treynor Ratio</v>
      </c>
      <c r="B7040">
        <v>1029</v>
      </c>
      <c r="C7040" s="9" t="s">
        <v>39</v>
      </c>
      <c r="D7040" s="8">
        <v>0.20799999999999999</v>
      </c>
    </row>
    <row r="7041" spans="1:4">
      <c r="A7041" t="str">
        <f t="shared" si="117"/>
        <v>1029Total Fees</v>
      </c>
      <c r="B7041">
        <v>1029</v>
      </c>
      <c r="C7041" s="9" t="s">
        <v>40</v>
      </c>
      <c r="D7041" s="8">
        <v>0</v>
      </c>
    </row>
    <row r="7042" spans="1:4">
      <c r="A7042" t="str">
        <f t="shared" si="117"/>
        <v>1029Estimated Strategy Capacity</v>
      </c>
      <c r="B7042">
        <v>1029</v>
      </c>
      <c r="C7042" s="9" t="s">
        <v>41</v>
      </c>
      <c r="D7042" s="8">
        <v>18000000</v>
      </c>
    </row>
    <row r="7043" spans="1:4">
      <c r="A7043" t="str">
        <f t="shared" si="117"/>
        <v>1030PSR</v>
      </c>
      <c r="B7043">
        <v>1030</v>
      </c>
      <c r="C7043" s="9" t="s">
        <v>27</v>
      </c>
      <c r="D7043" s="8">
        <v>1.7069999999999998E-2</v>
      </c>
    </row>
    <row r="7044" spans="1:4">
      <c r="A7044" t="str">
        <f t="shared" si="117"/>
        <v>1030Sharpe Ratio</v>
      </c>
      <c r="B7044">
        <v>1030</v>
      </c>
      <c r="C7044" s="9" t="s">
        <v>1</v>
      </c>
      <c r="D7044" s="8">
        <v>-1.2130000000000001</v>
      </c>
    </row>
    <row r="7045" spans="1:4">
      <c r="A7045" t="str">
        <f t="shared" si="117"/>
        <v>1030Total Trades</v>
      </c>
      <c r="B7045">
        <v>1030</v>
      </c>
      <c r="C7045" s="9" t="s">
        <v>28</v>
      </c>
      <c r="D7045" s="8">
        <v>996</v>
      </c>
    </row>
    <row r="7046" spans="1:4">
      <c r="A7046" t="str">
        <f t="shared" si="117"/>
        <v>1030Average Win</v>
      </c>
      <c r="B7046">
        <v>1030</v>
      </c>
      <c r="C7046" s="9" t="s">
        <v>25</v>
      </c>
      <c r="D7046" s="8">
        <v>0</v>
      </c>
    </row>
    <row r="7047" spans="1:4">
      <c r="A7047" t="str">
        <f t="shared" si="117"/>
        <v>1030Average Loss</v>
      </c>
      <c r="B7047">
        <v>1030</v>
      </c>
      <c r="C7047" s="9" t="s">
        <v>29</v>
      </c>
      <c r="D7047" s="8">
        <v>-1E-4</v>
      </c>
    </row>
    <row r="7048" spans="1:4">
      <c r="A7048" t="str">
        <f t="shared" si="117"/>
        <v>1030Compounding Annual Return</v>
      </c>
      <c r="B7048">
        <v>1030</v>
      </c>
      <c r="C7048" s="9" t="s">
        <v>30</v>
      </c>
      <c r="D7048" s="8">
        <v>-2.2699999999999999E-3</v>
      </c>
    </row>
    <row r="7049" spans="1:4">
      <c r="A7049" t="str">
        <f t="shared" si="117"/>
        <v>1030Drawdown</v>
      </c>
      <c r="B7049">
        <v>1030</v>
      </c>
      <c r="C7049" s="9" t="s">
        <v>8</v>
      </c>
      <c r="D7049" s="8">
        <v>2E-3</v>
      </c>
    </row>
    <row r="7050" spans="1:4">
      <c r="A7050" t="str">
        <f t="shared" si="117"/>
        <v>1030Expectancy</v>
      </c>
      <c r="B7050">
        <v>1030</v>
      </c>
      <c r="C7050" s="9" t="s">
        <v>31</v>
      </c>
      <c r="D7050" s="8">
        <v>-0.19900000000000001</v>
      </c>
    </row>
    <row r="7051" spans="1:4">
      <c r="A7051" t="str">
        <f t="shared" si="117"/>
        <v>1030Net Profit</v>
      </c>
      <c r="B7051">
        <v>1030</v>
      </c>
      <c r="C7051" s="9" t="s">
        <v>32</v>
      </c>
      <c r="D7051" s="8">
        <v>-1.5E-3</v>
      </c>
    </row>
    <row r="7052" spans="1:4">
      <c r="A7052" t="str">
        <f t="shared" si="117"/>
        <v>1030Loss Rate</v>
      </c>
      <c r="B7052">
        <v>1030</v>
      </c>
      <c r="C7052" s="9" t="s">
        <v>33</v>
      </c>
      <c r="D7052" s="8">
        <v>0.47</v>
      </c>
    </row>
    <row r="7053" spans="1:4">
      <c r="A7053" t="str">
        <f t="shared" si="117"/>
        <v>1030Win Rate</v>
      </c>
      <c r="B7053">
        <v>1030</v>
      </c>
      <c r="C7053" s="9" t="s">
        <v>34</v>
      </c>
      <c r="D7053" s="8">
        <v>0.53</v>
      </c>
    </row>
    <row r="7054" spans="1:4">
      <c r="A7054" t="str">
        <f t="shared" si="117"/>
        <v>1030Profit-Loss Ratio</v>
      </c>
      <c r="B7054">
        <v>1030</v>
      </c>
      <c r="C7054" s="9" t="s">
        <v>26</v>
      </c>
      <c r="D7054" s="8">
        <v>0.51</v>
      </c>
    </row>
    <row r="7055" spans="1:4">
      <c r="A7055" t="str">
        <f t="shared" si="117"/>
        <v>1030Alpha</v>
      </c>
      <c r="B7055">
        <v>1030</v>
      </c>
      <c r="C7055" s="9" t="s">
        <v>23</v>
      </c>
      <c r="D7055" s="8">
        <v>-2E-3</v>
      </c>
    </row>
    <row r="7056" spans="1:4">
      <c r="A7056" t="str">
        <f t="shared" si="117"/>
        <v>1030Beta</v>
      </c>
      <c r="B7056">
        <v>1030</v>
      </c>
      <c r="C7056" s="9" t="s">
        <v>24</v>
      </c>
      <c r="D7056" s="8">
        <v>4.0000000000000001E-3</v>
      </c>
    </row>
    <row r="7057" spans="1:4">
      <c r="A7057" t="str">
        <f t="shared" si="117"/>
        <v>1030Annual Standard Deviation</v>
      </c>
      <c r="B7057">
        <v>1030</v>
      </c>
      <c r="C7057" s="9" t="s">
        <v>35</v>
      </c>
      <c r="D7057" s="8">
        <v>1E-3</v>
      </c>
    </row>
    <row r="7058" spans="1:4">
      <c r="A7058" t="str">
        <f t="shared" si="117"/>
        <v>1030Annual Variance</v>
      </c>
      <c r="B7058">
        <v>1030</v>
      </c>
      <c r="C7058" s="9" t="s">
        <v>36</v>
      </c>
      <c r="D7058" s="8">
        <v>0</v>
      </c>
    </row>
    <row r="7059" spans="1:4">
      <c r="A7059" t="str">
        <f t="shared" si="117"/>
        <v>1030Information Ratio</v>
      </c>
      <c r="B7059">
        <v>1030</v>
      </c>
      <c r="C7059" s="9" t="s">
        <v>37</v>
      </c>
      <c r="D7059" s="8">
        <v>-0.79</v>
      </c>
    </row>
    <row r="7060" spans="1:4">
      <c r="A7060" t="str">
        <f t="shared" si="117"/>
        <v>1030Tracking Error</v>
      </c>
      <c r="B7060">
        <v>1030</v>
      </c>
      <c r="C7060" s="9" t="s">
        <v>38</v>
      </c>
      <c r="D7060" s="8">
        <v>6.7000000000000004E-2</v>
      </c>
    </row>
    <row r="7061" spans="1:4">
      <c r="A7061" t="str">
        <f t="shared" si="117"/>
        <v>1030Treynor Ratio</v>
      </c>
      <c r="B7061">
        <v>1030</v>
      </c>
      <c r="C7061" s="9" t="s">
        <v>39</v>
      </c>
      <c r="D7061" s="8">
        <v>-0.39400000000000002</v>
      </c>
    </row>
    <row r="7062" spans="1:4">
      <c r="A7062" t="str">
        <f t="shared" si="117"/>
        <v>1030Total Fees</v>
      </c>
      <c r="B7062">
        <v>1030</v>
      </c>
      <c r="C7062" s="9" t="s">
        <v>40</v>
      </c>
      <c r="D7062" s="8">
        <v>0</v>
      </c>
    </row>
    <row r="7063" spans="1:4">
      <c r="A7063" t="str">
        <f t="shared" si="117"/>
        <v>1030Estimated Strategy Capacity</v>
      </c>
      <c r="B7063">
        <v>1030</v>
      </c>
      <c r="C7063" s="9" t="s">
        <v>41</v>
      </c>
      <c r="D7063" s="8">
        <v>7700000</v>
      </c>
    </row>
    <row r="7064" spans="1:4">
      <c r="A7064" t="str">
        <f t="shared" si="117"/>
        <v>1031PSR</v>
      </c>
      <c r="B7064">
        <v>1031</v>
      </c>
      <c r="C7064" s="9" t="s">
        <v>27</v>
      </c>
      <c r="D7064" s="8">
        <v>1.755E-2</v>
      </c>
    </row>
    <row r="7065" spans="1:4">
      <c r="A7065" t="str">
        <f t="shared" si="117"/>
        <v>1031Sharpe Ratio</v>
      </c>
      <c r="B7065">
        <v>1031</v>
      </c>
      <c r="C7065" s="9" t="s">
        <v>1</v>
      </c>
      <c r="D7065" s="8">
        <v>-1.196</v>
      </c>
    </row>
    <row r="7066" spans="1:4">
      <c r="A7066" t="str">
        <f t="shared" si="117"/>
        <v>1031Total Trades</v>
      </c>
      <c r="B7066">
        <v>1031</v>
      </c>
      <c r="C7066" s="9" t="s">
        <v>28</v>
      </c>
      <c r="D7066" s="8">
        <v>996</v>
      </c>
    </row>
    <row r="7067" spans="1:4">
      <c r="A7067" t="str">
        <f t="shared" si="117"/>
        <v>1031Average Win</v>
      </c>
      <c r="B7067">
        <v>1031</v>
      </c>
      <c r="C7067" s="9" t="s">
        <v>25</v>
      </c>
      <c r="D7067" s="8">
        <v>5.0000000000000001E-4</v>
      </c>
    </row>
    <row r="7068" spans="1:4">
      <c r="A7068" t="str">
        <f t="shared" si="117"/>
        <v>1031Average Loss</v>
      </c>
      <c r="B7068">
        <v>1031</v>
      </c>
      <c r="C7068" s="9" t="s">
        <v>29</v>
      </c>
      <c r="D7068" s="8">
        <v>-1E-3</v>
      </c>
    </row>
    <row r="7069" spans="1:4">
      <c r="A7069" t="str">
        <f t="shared" si="117"/>
        <v>1031Compounding Annual Return</v>
      </c>
      <c r="B7069">
        <v>1031</v>
      </c>
      <c r="C7069" s="9" t="s">
        <v>30</v>
      </c>
      <c r="D7069" s="8">
        <v>-2.2589999999999999E-2</v>
      </c>
    </row>
    <row r="7070" spans="1:4">
      <c r="A7070" t="str">
        <f t="shared" si="117"/>
        <v>1031Drawdown</v>
      </c>
      <c r="B7070">
        <v>1031</v>
      </c>
      <c r="C7070" s="9" t="s">
        <v>8</v>
      </c>
      <c r="D7070" s="8">
        <v>0.02</v>
      </c>
    </row>
    <row r="7071" spans="1:4">
      <c r="A7071" t="str">
        <f t="shared" si="117"/>
        <v>1031Expectancy</v>
      </c>
      <c r="B7071">
        <v>1031</v>
      </c>
      <c r="C7071" s="9" t="s">
        <v>31</v>
      </c>
      <c r="D7071" s="8">
        <v>-0.19800000000000001</v>
      </c>
    </row>
    <row r="7072" spans="1:4">
      <c r="A7072" t="str">
        <f t="shared" si="117"/>
        <v>1031Net Profit</v>
      </c>
      <c r="B7072">
        <v>1031</v>
      </c>
      <c r="C7072" s="9" t="s">
        <v>32</v>
      </c>
      <c r="D7072" s="8">
        <v>-1.503E-2</v>
      </c>
    </row>
    <row r="7073" spans="1:4">
      <c r="A7073" t="str">
        <f t="shared" si="117"/>
        <v>1031Loss Rate</v>
      </c>
      <c r="B7073">
        <v>1031</v>
      </c>
      <c r="C7073" s="9" t="s">
        <v>33</v>
      </c>
      <c r="D7073" s="8">
        <v>0.47</v>
      </c>
    </row>
    <row r="7074" spans="1:4">
      <c r="A7074" t="str">
        <f t="shared" ref="A7074:A7137" si="118">B7074&amp;C7074</f>
        <v>1031Win Rate</v>
      </c>
      <c r="B7074">
        <v>1031</v>
      </c>
      <c r="C7074" s="9" t="s">
        <v>34</v>
      </c>
      <c r="D7074" s="8">
        <v>0.53</v>
      </c>
    </row>
    <row r="7075" spans="1:4">
      <c r="A7075" t="str">
        <f t="shared" si="118"/>
        <v>1031Profit-Loss Ratio</v>
      </c>
      <c r="B7075">
        <v>1031</v>
      </c>
      <c r="C7075" s="9" t="s">
        <v>26</v>
      </c>
      <c r="D7075" s="8">
        <v>0.51</v>
      </c>
    </row>
    <row r="7076" spans="1:4">
      <c r="A7076" t="str">
        <f t="shared" si="118"/>
        <v>1031Alpha</v>
      </c>
      <c r="B7076">
        <v>1031</v>
      </c>
      <c r="C7076" s="9" t="s">
        <v>23</v>
      </c>
      <c r="D7076" s="8">
        <v>-1.7999999999999999E-2</v>
      </c>
    </row>
    <row r="7077" spans="1:4">
      <c r="A7077" t="str">
        <f t="shared" si="118"/>
        <v>1031Beta</v>
      </c>
      <c r="B7077">
        <v>1031</v>
      </c>
      <c r="C7077" s="9" t="s">
        <v>24</v>
      </c>
      <c r="D7077" s="8">
        <v>0.04</v>
      </c>
    </row>
    <row r="7078" spans="1:4">
      <c r="A7078" t="str">
        <f t="shared" si="118"/>
        <v>1031Annual Standard Deviation</v>
      </c>
      <c r="B7078">
        <v>1031</v>
      </c>
      <c r="C7078" s="9" t="s">
        <v>35</v>
      </c>
      <c r="D7078" s="8">
        <v>1.2999999999999999E-2</v>
      </c>
    </row>
    <row r="7079" spans="1:4">
      <c r="A7079" t="str">
        <f t="shared" si="118"/>
        <v>1031Annual Variance</v>
      </c>
      <c r="B7079">
        <v>1031</v>
      </c>
      <c r="C7079" s="9" t="s">
        <v>36</v>
      </c>
      <c r="D7079" s="8">
        <v>0</v>
      </c>
    </row>
    <row r="7080" spans="1:4">
      <c r="A7080" t="str">
        <f t="shared" si="118"/>
        <v>1031Information Ratio</v>
      </c>
      <c r="B7080">
        <v>1031</v>
      </c>
      <c r="C7080" s="9" t="s">
        <v>37</v>
      </c>
      <c r="D7080" s="8">
        <v>-1.018</v>
      </c>
    </row>
    <row r="7081" spans="1:4">
      <c r="A7081" t="str">
        <f t="shared" si="118"/>
        <v>1031Tracking Error</v>
      </c>
      <c r="B7081">
        <v>1031</v>
      </c>
      <c r="C7081" s="9" t="s">
        <v>38</v>
      </c>
      <c r="D7081" s="8">
        <v>6.6000000000000003E-2</v>
      </c>
    </row>
    <row r="7082" spans="1:4">
      <c r="A7082" t="str">
        <f t="shared" si="118"/>
        <v>1031Treynor Ratio</v>
      </c>
      <c r="B7082">
        <v>1031</v>
      </c>
      <c r="C7082" s="9" t="s">
        <v>39</v>
      </c>
      <c r="D7082" s="8">
        <v>-0.38800000000000001</v>
      </c>
    </row>
    <row r="7083" spans="1:4">
      <c r="A7083" t="str">
        <f t="shared" si="118"/>
        <v>1031Total Fees</v>
      </c>
      <c r="B7083">
        <v>1031</v>
      </c>
      <c r="C7083" s="9" t="s">
        <v>40</v>
      </c>
      <c r="D7083" s="8">
        <v>0</v>
      </c>
    </row>
    <row r="7084" spans="1:4">
      <c r="A7084" t="str">
        <f t="shared" si="118"/>
        <v>1031Estimated Strategy Capacity</v>
      </c>
      <c r="B7084">
        <v>1031</v>
      </c>
      <c r="C7084" s="9" t="s">
        <v>41</v>
      </c>
      <c r="D7084" s="8">
        <v>7700000</v>
      </c>
    </row>
    <row r="7085" spans="1:4">
      <c r="A7085" t="str">
        <f t="shared" si="118"/>
        <v>1032PSR</v>
      </c>
      <c r="B7085">
        <v>1032</v>
      </c>
      <c r="C7085" s="9" t="s">
        <v>27</v>
      </c>
      <c r="D7085" s="8">
        <v>9.9900000000000006E-3</v>
      </c>
    </row>
    <row r="7086" spans="1:4">
      <c r="A7086" t="str">
        <f t="shared" si="118"/>
        <v>1032Sharpe Ratio</v>
      </c>
      <c r="B7086">
        <v>1032</v>
      </c>
      <c r="C7086" s="9" t="s">
        <v>1</v>
      </c>
      <c r="D7086" s="8">
        <v>-1.456</v>
      </c>
    </row>
    <row r="7087" spans="1:4">
      <c r="A7087" t="str">
        <f t="shared" si="118"/>
        <v>1032Total Trades</v>
      </c>
      <c r="B7087">
        <v>1032</v>
      </c>
      <c r="C7087" s="9" t="s">
        <v>28</v>
      </c>
      <c r="D7087" s="8">
        <v>929</v>
      </c>
    </row>
    <row r="7088" spans="1:4">
      <c r="A7088" t="str">
        <f t="shared" si="118"/>
        <v>1032Average Win</v>
      </c>
      <c r="B7088">
        <v>1032</v>
      </c>
      <c r="C7088" s="9" t="s">
        <v>25</v>
      </c>
      <c r="D7088" s="8">
        <v>5.9999999999999995E-4</v>
      </c>
    </row>
    <row r="7089" spans="1:4">
      <c r="A7089" t="str">
        <f t="shared" si="118"/>
        <v>1032Average Loss</v>
      </c>
      <c r="B7089">
        <v>1032</v>
      </c>
      <c r="C7089" s="9" t="s">
        <v>29</v>
      </c>
      <c r="D7089" s="8">
        <v>-1.5E-3</v>
      </c>
    </row>
    <row r="7090" spans="1:4">
      <c r="A7090" t="str">
        <f t="shared" si="118"/>
        <v>1032Compounding Annual Return</v>
      </c>
      <c r="B7090">
        <v>1032</v>
      </c>
      <c r="C7090" s="9" t="s">
        <v>30</v>
      </c>
      <c r="D7090" s="8">
        <v>-3.8490000000000003E-2</v>
      </c>
    </row>
    <row r="7091" spans="1:4">
      <c r="A7091" t="str">
        <f t="shared" si="118"/>
        <v>1032Drawdown</v>
      </c>
      <c r="B7091">
        <v>1032</v>
      </c>
      <c r="C7091" s="9" t="s">
        <v>8</v>
      </c>
      <c r="D7091" s="8">
        <v>3.1E-2</v>
      </c>
    </row>
    <row r="7092" spans="1:4">
      <c r="A7092" t="str">
        <f t="shared" si="118"/>
        <v>1032Expectancy</v>
      </c>
      <c r="B7092">
        <v>1032</v>
      </c>
      <c r="C7092" s="9" t="s">
        <v>31</v>
      </c>
      <c r="D7092" s="8">
        <v>-0.218</v>
      </c>
    </row>
    <row r="7093" spans="1:4">
      <c r="A7093" t="str">
        <f t="shared" si="118"/>
        <v>1032Net Profit</v>
      </c>
      <c r="B7093">
        <v>1032</v>
      </c>
      <c r="C7093" s="9" t="s">
        <v>32</v>
      </c>
      <c r="D7093" s="8">
        <v>-2.5680000000000001E-2</v>
      </c>
    </row>
    <row r="7094" spans="1:4">
      <c r="A7094" t="str">
        <f t="shared" si="118"/>
        <v>1032Loss Rate</v>
      </c>
      <c r="B7094">
        <v>1032</v>
      </c>
      <c r="C7094" s="9" t="s">
        <v>33</v>
      </c>
      <c r="D7094" s="8">
        <v>0.43</v>
      </c>
    </row>
    <row r="7095" spans="1:4">
      <c r="A7095" t="str">
        <f t="shared" si="118"/>
        <v>1032Win Rate</v>
      </c>
      <c r="B7095">
        <v>1032</v>
      </c>
      <c r="C7095" s="9" t="s">
        <v>34</v>
      </c>
      <c r="D7095" s="8">
        <v>0.56999999999999995</v>
      </c>
    </row>
    <row r="7096" spans="1:4">
      <c r="A7096" t="str">
        <f t="shared" si="118"/>
        <v>1032Profit-Loss Ratio</v>
      </c>
      <c r="B7096">
        <v>1032</v>
      </c>
      <c r="C7096" s="9" t="s">
        <v>26</v>
      </c>
      <c r="D7096" s="8">
        <v>0.37</v>
      </c>
    </row>
    <row r="7097" spans="1:4">
      <c r="A7097" t="str">
        <f t="shared" si="118"/>
        <v>1032Alpha</v>
      </c>
      <c r="B7097">
        <v>1032</v>
      </c>
      <c r="C7097" s="9" t="s">
        <v>23</v>
      </c>
      <c r="D7097" s="8">
        <v>-0.03</v>
      </c>
    </row>
    <row r="7098" spans="1:4">
      <c r="A7098" t="str">
        <f t="shared" si="118"/>
        <v>1032Beta</v>
      </c>
      <c r="B7098">
        <v>1032</v>
      </c>
      <c r="C7098" s="9" t="s">
        <v>24</v>
      </c>
      <c r="D7098" s="8">
        <v>6.2E-2</v>
      </c>
    </row>
    <row r="7099" spans="1:4">
      <c r="A7099" t="str">
        <f t="shared" si="118"/>
        <v>1032Annual Standard Deviation</v>
      </c>
      <c r="B7099">
        <v>1032</v>
      </c>
      <c r="C7099" s="9" t="s">
        <v>35</v>
      </c>
      <c r="D7099" s="8">
        <v>1.7999999999999999E-2</v>
      </c>
    </row>
    <row r="7100" spans="1:4">
      <c r="A7100" t="str">
        <f t="shared" si="118"/>
        <v>1032Annual Variance</v>
      </c>
      <c r="B7100">
        <v>1032</v>
      </c>
      <c r="C7100" s="9" t="s">
        <v>36</v>
      </c>
      <c r="D7100" s="8">
        <v>0</v>
      </c>
    </row>
    <row r="7101" spans="1:4">
      <c r="A7101" t="str">
        <f t="shared" si="118"/>
        <v>1032Information Ratio</v>
      </c>
      <c r="B7101">
        <v>1032</v>
      </c>
      <c r="C7101" s="9" t="s">
        <v>37</v>
      </c>
      <c r="D7101" s="8">
        <v>-1.1910000000000001</v>
      </c>
    </row>
    <row r="7102" spans="1:4">
      <c r="A7102" t="str">
        <f t="shared" si="118"/>
        <v>1032Tracking Error</v>
      </c>
      <c r="B7102">
        <v>1032</v>
      </c>
      <c r="C7102" s="9" t="s">
        <v>38</v>
      </c>
      <c r="D7102" s="8">
        <v>6.6000000000000003E-2</v>
      </c>
    </row>
    <row r="7103" spans="1:4">
      <c r="A7103" t="str">
        <f t="shared" si="118"/>
        <v>1032Treynor Ratio</v>
      </c>
      <c r="B7103">
        <v>1032</v>
      </c>
      <c r="C7103" s="9" t="s">
        <v>39</v>
      </c>
      <c r="D7103" s="8">
        <v>-0.42799999999999999</v>
      </c>
    </row>
    <row r="7104" spans="1:4">
      <c r="A7104" t="str">
        <f t="shared" si="118"/>
        <v>1032Total Fees</v>
      </c>
      <c r="B7104">
        <v>1032</v>
      </c>
      <c r="C7104" s="9" t="s">
        <v>40</v>
      </c>
      <c r="D7104" s="8">
        <v>0</v>
      </c>
    </row>
    <row r="7105" spans="1:4">
      <c r="A7105" t="str">
        <f t="shared" si="118"/>
        <v>1032Estimated Strategy Capacity</v>
      </c>
      <c r="B7105">
        <v>1032</v>
      </c>
      <c r="C7105" s="9" t="s">
        <v>41</v>
      </c>
      <c r="D7105" s="8">
        <v>7800000</v>
      </c>
    </row>
    <row r="7106" spans="1:4">
      <c r="A7106" t="str">
        <f t="shared" si="118"/>
        <v>1033PSR</v>
      </c>
      <c r="B7106">
        <v>1033</v>
      </c>
      <c r="C7106" s="9" t="s">
        <v>27</v>
      </c>
      <c r="D7106" s="8">
        <v>9.6399999999999993E-3</v>
      </c>
    </row>
    <row r="7107" spans="1:4">
      <c r="A7107" t="str">
        <f t="shared" si="118"/>
        <v>1033Sharpe Ratio</v>
      </c>
      <c r="B7107">
        <v>1033</v>
      </c>
      <c r="C7107" s="9" t="s">
        <v>1</v>
      </c>
      <c r="D7107" s="8">
        <v>-1.2689999999999999</v>
      </c>
    </row>
    <row r="7108" spans="1:4">
      <c r="A7108" t="str">
        <f t="shared" si="118"/>
        <v>1033Total Trades</v>
      </c>
      <c r="B7108">
        <v>1033</v>
      </c>
      <c r="C7108" s="9" t="s">
        <v>28</v>
      </c>
      <c r="D7108" s="8">
        <v>707</v>
      </c>
    </row>
    <row r="7109" spans="1:4">
      <c r="A7109" t="str">
        <f t="shared" si="118"/>
        <v>1033Average Win</v>
      </c>
      <c r="B7109">
        <v>1033</v>
      </c>
      <c r="C7109" s="9" t="s">
        <v>25</v>
      </c>
      <c r="D7109" s="8">
        <v>0</v>
      </c>
    </row>
    <row r="7110" spans="1:4">
      <c r="A7110" t="str">
        <f t="shared" si="118"/>
        <v>1033Average Loss</v>
      </c>
      <c r="B7110">
        <v>1033</v>
      </c>
      <c r="C7110" s="9" t="s">
        <v>29</v>
      </c>
      <c r="D7110" s="8">
        <v>-1E-4</v>
      </c>
    </row>
    <row r="7111" spans="1:4">
      <c r="A7111" t="str">
        <f t="shared" si="118"/>
        <v>1033Compounding Annual Return</v>
      </c>
      <c r="B7111">
        <v>1033</v>
      </c>
      <c r="C7111" s="9" t="s">
        <v>30</v>
      </c>
      <c r="D7111" s="8">
        <v>-2.1099999999999999E-3</v>
      </c>
    </row>
    <row r="7112" spans="1:4">
      <c r="A7112" t="str">
        <f t="shared" si="118"/>
        <v>1033Drawdown</v>
      </c>
      <c r="B7112">
        <v>1033</v>
      </c>
      <c r="C7112" s="9" t="s">
        <v>8</v>
      </c>
      <c r="D7112" s="8">
        <v>2E-3</v>
      </c>
    </row>
    <row r="7113" spans="1:4">
      <c r="A7113" t="str">
        <f t="shared" si="118"/>
        <v>1033Expectancy</v>
      </c>
      <c r="B7113">
        <v>1033</v>
      </c>
      <c r="C7113" s="9" t="s">
        <v>31</v>
      </c>
      <c r="D7113" s="8">
        <v>-0.22500000000000001</v>
      </c>
    </row>
    <row r="7114" spans="1:4">
      <c r="A7114" t="str">
        <f t="shared" si="118"/>
        <v>1033Net Profit</v>
      </c>
      <c r="B7114">
        <v>1033</v>
      </c>
      <c r="C7114" s="9" t="s">
        <v>32</v>
      </c>
      <c r="D7114" s="8">
        <v>-1.4E-3</v>
      </c>
    </row>
    <row r="7115" spans="1:4">
      <c r="A7115" t="str">
        <f t="shared" si="118"/>
        <v>1033Loss Rate</v>
      </c>
      <c r="B7115">
        <v>1033</v>
      </c>
      <c r="C7115" s="9" t="s">
        <v>33</v>
      </c>
      <c r="D7115" s="8">
        <v>0.45</v>
      </c>
    </row>
    <row r="7116" spans="1:4">
      <c r="A7116" t="str">
        <f t="shared" si="118"/>
        <v>1033Win Rate</v>
      </c>
      <c r="B7116">
        <v>1033</v>
      </c>
      <c r="C7116" s="9" t="s">
        <v>34</v>
      </c>
      <c r="D7116" s="8">
        <v>0.55000000000000004</v>
      </c>
    </row>
    <row r="7117" spans="1:4">
      <c r="A7117" t="str">
        <f t="shared" si="118"/>
        <v>1033Profit-Loss Ratio</v>
      </c>
      <c r="B7117">
        <v>1033</v>
      </c>
      <c r="C7117" s="9" t="s">
        <v>26</v>
      </c>
      <c r="D7117" s="8">
        <v>0.42</v>
      </c>
    </row>
    <row r="7118" spans="1:4">
      <c r="A7118" t="str">
        <f t="shared" si="118"/>
        <v>1033Alpha</v>
      </c>
      <c r="B7118">
        <v>1033</v>
      </c>
      <c r="C7118" s="9" t="s">
        <v>23</v>
      </c>
      <c r="D7118" s="8">
        <v>-2E-3</v>
      </c>
    </row>
    <row r="7119" spans="1:4">
      <c r="A7119" t="str">
        <f t="shared" si="118"/>
        <v>1033Beta</v>
      </c>
      <c r="B7119">
        <v>1033</v>
      </c>
      <c r="C7119" s="9" t="s">
        <v>24</v>
      </c>
      <c r="D7119" s="8">
        <v>2E-3</v>
      </c>
    </row>
    <row r="7120" spans="1:4">
      <c r="A7120" t="str">
        <f t="shared" si="118"/>
        <v>1033Annual Standard Deviation</v>
      </c>
      <c r="B7120">
        <v>1033</v>
      </c>
      <c r="C7120" s="9" t="s">
        <v>35</v>
      </c>
      <c r="D7120" s="8">
        <v>1E-3</v>
      </c>
    </row>
    <row r="7121" spans="1:4">
      <c r="A7121" t="str">
        <f t="shared" si="118"/>
        <v>1033Annual Variance</v>
      </c>
      <c r="B7121">
        <v>1033</v>
      </c>
      <c r="C7121" s="9" t="s">
        <v>36</v>
      </c>
      <c r="D7121" s="8">
        <v>0</v>
      </c>
    </row>
    <row r="7122" spans="1:4">
      <c r="A7122" t="str">
        <f t="shared" si="118"/>
        <v>1033Information Ratio</v>
      </c>
      <c r="B7122">
        <v>1033</v>
      </c>
      <c r="C7122" s="9" t="s">
        <v>37</v>
      </c>
      <c r="D7122" s="8">
        <v>-0.78700000000000003</v>
      </c>
    </row>
    <row r="7123" spans="1:4">
      <c r="A7123" t="str">
        <f t="shared" si="118"/>
        <v>1033Tracking Error</v>
      </c>
      <c r="B7123">
        <v>1033</v>
      </c>
      <c r="C7123" s="9" t="s">
        <v>38</v>
      </c>
      <c r="D7123" s="8">
        <v>6.7000000000000004E-2</v>
      </c>
    </row>
    <row r="7124" spans="1:4">
      <c r="A7124" t="str">
        <f t="shared" si="118"/>
        <v>1033Treynor Ratio</v>
      </c>
      <c r="B7124">
        <v>1033</v>
      </c>
      <c r="C7124" s="9" t="s">
        <v>39</v>
      </c>
      <c r="D7124" s="8">
        <v>-0.86499999999999999</v>
      </c>
    </row>
    <row r="7125" spans="1:4">
      <c r="A7125" t="str">
        <f t="shared" si="118"/>
        <v>1033Total Fees</v>
      </c>
      <c r="B7125">
        <v>1033</v>
      </c>
      <c r="C7125" s="9" t="s">
        <v>40</v>
      </c>
      <c r="D7125" s="8">
        <v>0</v>
      </c>
    </row>
    <row r="7126" spans="1:4">
      <c r="A7126" t="str">
        <f t="shared" si="118"/>
        <v>1033Estimated Strategy Capacity</v>
      </c>
      <c r="B7126">
        <v>1033</v>
      </c>
      <c r="C7126" s="9" t="s">
        <v>41</v>
      </c>
      <c r="D7126" s="8">
        <v>10000000000</v>
      </c>
    </row>
    <row r="7127" spans="1:4">
      <c r="A7127" t="str">
        <f t="shared" si="118"/>
        <v>1034PSR</v>
      </c>
      <c r="B7127">
        <v>1034</v>
      </c>
      <c r="C7127" s="9" t="s">
        <v>27</v>
      </c>
      <c r="D7127" s="8">
        <v>1.014E-2</v>
      </c>
    </row>
    <row r="7128" spans="1:4">
      <c r="A7128" t="str">
        <f t="shared" si="118"/>
        <v>1034Sharpe Ratio</v>
      </c>
      <c r="B7128">
        <v>1034</v>
      </c>
      <c r="C7128" s="9" t="s">
        <v>1</v>
      </c>
      <c r="D7128" s="8">
        <v>-1.2490000000000001</v>
      </c>
    </row>
    <row r="7129" spans="1:4">
      <c r="A7129" t="str">
        <f t="shared" si="118"/>
        <v>1034Total Trades</v>
      </c>
      <c r="B7129">
        <v>1034</v>
      </c>
      <c r="C7129" s="9" t="s">
        <v>28</v>
      </c>
      <c r="D7129" s="8">
        <v>707</v>
      </c>
    </row>
    <row r="7130" spans="1:4">
      <c r="A7130" t="str">
        <f t="shared" si="118"/>
        <v>1034Average Win</v>
      </c>
      <c r="B7130">
        <v>1034</v>
      </c>
      <c r="C7130" s="9" t="s">
        <v>25</v>
      </c>
      <c r="D7130" s="8">
        <v>5.0000000000000001E-4</v>
      </c>
    </row>
    <row r="7131" spans="1:4">
      <c r="A7131" t="str">
        <f t="shared" si="118"/>
        <v>1034Average Loss</v>
      </c>
      <c r="B7131">
        <v>1034</v>
      </c>
      <c r="C7131" s="9" t="s">
        <v>29</v>
      </c>
      <c r="D7131" s="8">
        <v>-1.1000000000000001E-3</v>
      </c>
    </row>
    <row r="7132" spans="1:4">
      <c r="A7132" t="str">
        <f t="shared" si="118"/>
        <v>1034Compounding Annual Return</v>
      </c>
      <c r="B7132">
        <v>1034</v>
      </c>
      <c r="C7132" s="9" t="s">
        <v>30</v>
      </c>
      <c r="D7132" s="8">
        <v>-2.0990000000000002E-2</v>
      </c>
    </row>
    <row r="7133" spans="1:4">
      <c r="A7133" t="str">
        <f t="shared" si="118"/>
        <v>1034Drawdown</v>
      </c>
      <c r="B7133">
        <v>1034</v>
      </c>
      <c r="C7133" s="9" t="s">
        <v>8</v>
      </c>
      <c r="D7133" s="8">
        <v>2.5000000000000001E-2</v>
      </c>
    </row>
    <row r="7134" spans="1:4">
      <c r="A7134" t="str">
        <f t="shared" si="118"/>
        <v>1034Expectancy</v>
      </c>
      <c r="B7134">
        <v>1034</v>
      </c>
      <c r="C7134" s="9" t="s">
        <v>31</v>
      </c>
      <c r="D7134" s="8">
        <v>-0.223</v>
      </c>
    </row>
    <row r="7135" spans="1:4">
      <c r="A7135" t="str">
        <f t="shared" si="118"/>
        <v>1034Net Profit</v>
      </c>
      <c r="B7135">
        <v>1034</v>
      </c>
      <c r="C7135" s="9" t="s">
        <v>32</v>
      </c>
      <c r="D7135" s="8">
        <v>-1.397E-2</v>
      </c>
    </row>
    <row r="7136" spans="1:4">
      <c r="A7136" t="str">
        <f t="shared" si="118"/>
        <v>1034Loss Rate</v>
      </c>
      <c r="B7136">
        <v>1034</v>
      </c>
      <c r="C7136" s="9" t="s">
        <v>33</v>
      </c>
      <c r="D7136" s="8">
        <v>0.45</v>
      </c>
    </row>
    <row r="7137" spans="1:4">
      <c r="A7137" t="str">
        <f t="shared" si="118"/>
        <v>1034Win Rate</v>
      </c>
      <c r="B7137">
        <v>1034</v>
      </c>
      <c r="C7137" s="9" t="s">
        <v>34</v>
      </c>
      <c r="D7137" s="8">
        <v>0.55000000000000004</v>
      </c>
    </row>
    <row r="7138" spans="1:4">
      <c r="A7138" t="str">
        <f t="shared" ref="A7138:A7201" si="119">B7138&amp;C7138</f>
        <v>1034Profit-Loss Ratio</v>
      </c>
      <c r="B7138">
        <v>1034</v>
      </c>
      <c r="C7138" s="9" t="s">
        <v>26</v>
      </c>
      <c r="D7138" s="8">
        <v>0.42</v>
      </c>
    </row>
    <row r="7139" spans="1:4">
      <c r="A7139" t="str">
        <f t="shared" si="119"/>
        <v>1034Alpha</v>
      </c>
      <c r="B7139">
        <v>1034</v>
      </c>
      <c r="C7139" s="9" t="s">
        <v>23</v>
      </c>
      <c r="D7139" s="8">
        <v>-1.4999999999999999E-2</v>
      </c>
    </row>
    <row r="7140" spans="1:4">
      <c r="A7140" t="str">
        <f t="shared" si="119"/>
        <v>1034Beta</v>
      </c>
      <c r="B7140">
        <v>1034</v>
      </c>
      <c r="C7140" s="9" t="s">
        <v>24</v>
      </c>
      <c r="D7140" s="8">
        <v>1.7000000000000001E-2</v>
      </c>
    </row>
    <row r="7141" spans="1:4">
      <c r="A7141" t="str">
        <f t="shared" si="119"/>
        <v>1034Annual Standard Deviation</v>
      </c>
      <c r="B7141">
        <v>1034</v>
      </c>
      <c r="C7141" s="9" t="s">
        <v>35</v>
      </c>
      <c r="D7141" s="8">
        <v>1.2E-2</v>
      </c>
    </row>
    <row r="7142" spans="1:4">
      <c r="A7142" t="str">
        <f t="shared" si="119"/>
        <v>1034Annual Variance</v>
      </c>
      <c r="B7142">
        <v>1034</v>
      </c>
      <c r="C7142" s="9" t="s">
        <v>36</v>
      </c>
      <c r="D7142" s="8">
        <v>0</v>
      </c>
    </row>
    <row r="7143" spans="1:4">
      <c r="A7143" t="str">
        <f t="shared" si="119"/>
        <v>1034Information Ratio</v>
      </c>
      <c r="B7143">
        <v>1034</v>
      </c>
      <c r="C7143" s="9" t="s">
        <v>37</v>
      </c>
      <c r="D7143" s="8">
        <v>-0.98199999999999998</v>
      </c>
    </row>
    <row r="7144" spans="1:4">
      <c r="A7144" t="str">
        <f t="shared" si="119"/>
        <v>1034Tracking Error</v>
      </c>
      <c r="B7144">
        <v>1034</v>
      </c>
      <c r="C7144" s="9" t="s">
        <v>38</v>
      </c>
      <c r="D7144" s="8">
        <v>6.7000000000000004E-2</v>
      </c>
    </row>
    <row r="7145" spans="1:4">
      <c r="A7145" t="str">
        <f t="shared" si="119"/>
        <v>1034Treynor Ratio</v>
      </c>
      <c r="B7145">
        <v>1034</v>
      </c>
      <c r="C7145" s="9" t="s">
        <v>39</v>
      </c>
      <c r="D7145" s="8">
        <v>-0.85399999999999998</v>
      </c>
    </row>
    <row r="7146" spans="1:4">
      <c r="A7146" t="str">
        <f t="shared" si="119"/>
        <v>1034Total Fees</v>
      </c>
      <c r="B7146">
        <v>1034</v>
      </c>
      <c r="C7146" s="9" t="s">
        <v>40</v>
      </c>
      <c r="D7146" s="8">
        <v>0</v>
      </c>
    </row>
    <row r="7147" spans="1:4">
      <c r="A7147" t="str">
        <f t="shared" si="119"/>
        <v>1034Estimated Strategy Capacity</v>
      </c>
      <c r="B7147">
        <v>1034</v>
      </c>
      <c r="C7147" s="9" t="s">
        <v>41</v>
      </c>
      <c r="D7147" s="8">
        <v>1000000000</v>
      </c>
    </row>
    <row r="7148" spans="1:4">
      <c r="A7148" t="str">
        <f t="shared" si="119"/>
        <v>1035PSR</v>
      </c>
      <c r="B7148">
        <v>1035</v>
      </c>
      <c r="C7148" s="9" t="s">
        <v>27</v>
      </c>
      <c r="D7148" s="8">
        <v>2.6700000000000001E-3</v>
      </c>
    </row>
    <row r="7149" spans="1:4">
      <c r="A7149" t="str">
        <f t="shared" si="119"/>
        <v>1035Sharpe Ratio</v>
      </c>
      <c r="B7149">
        <v>1035</v>
      </c>
      <c r="C7149" s="9" t="s">
        <v>1</v>
      </c>
      <c r="D7149" s="8">
        <v>-1.5069999999999999</v>
      </c>
    </row>
    <row r="7150" spans="1:4">
      <c r="A7150" t="str">
        <f t="shared" si="119"/>
        <v>1035Total Trades</v>
      </c>
      <c r="B7150">
        <v>1035</v>
      </c>
      <c r="C7150" s="9" t="s">
        <v>28</v>
      </c>
      <c r="D7150" s="8">
        <v>658</v>
      </c>
    </row>
    <row r="7151" spans="1:4">
      <c r="A7151" t="str">
        <f t="shared" si="119"/>
        <v>1035Average Win</v>
      </c>
      <c r="B7151">
        <v>1035</v>
      </c>
      <c r="C7151" s="9" t="s">
        <v>25</v>
      </c>
      <c r="D7151" s="8">
        <v>6.9999999999999999E-4</v>
      </c>
    </row>
    <row r="7152" spans="1:4">
      <c r="A7152" t="str">
        <f t="shared" si="119"/>
        <v>1035Average Loss</v>
      </c>
      <c r="B7152">
        <v>1035</v>
      </c>
      <c r="C7152" s="9" t="s">
        <v>29</v>
      </c>
      <c r="D7152" s="8">
        <v>-1.8E-3</v>
      </c>
    </row>
    <row r="7153" spans="1:4">
      <c r="A7153" t="str">
        <f t="shared" si="119"/>
        <v>1035Compounding Annual Return</v>
      </c>
      <c r="B7153">
        <v>1035</v>
      </c>
      <c r="C7153" s="9" t="s">
        <v>30</v>
      </c>
      <c r="D7153" s="8">
        <v>-3.8019999999999998E-2</v>
      </c>
    </row>
    <row r="7154" spans="1:4">
      <c r="A7154" t="str">
        <f t="shared" si="119"/>
        <v>1035Drawdown</v>
      </c>
      <c r="B7154">
        <v>1035</v>
      </c>
      <c r="C7154" s="9" t="s">
        <v>8</v>
      </c>
      <c r="D7154" s="8">
        <v>0.04</v>
      </c>
    </row>
    <row r="7155" spans="1:4">
      <c r="A7155" t="str">
        <f t="shared" si="119"/>
        <v>1035Expectancy</v>
      </c>
      <c r="B7155">
        <v>1035</v>
      </c>
      <c r="C7155" s="9" t="s">
        <v>31</v>
      </c>
      <c r="D7155" s="8">
        <v>-0.26400000000000001</v>
      </c>
    </row>
    <row r="7156" spans="1:4">
      <c r="A7156" t="str">
        <f t="shared" si="119"/>
        <v>1035Net Profit</v>
      </c>
      <c r="B7156">
        <v>1035</v>
      </c>
      <c r="C7156" s="9" t="s">
        <v>32</v>
      </c>
      <c r="D7156" s="8">
        <v>-2.537E-2</v>
      </c>
    </row>
    <row r="7157" spans="1:4">
      <c r="A7157" t="str">
        <f t="shared" si="119"/>
        <v>1035Loss Rate</v>
      </c>
      <c r="B7157">
        <v>1035</v>
      </c>
      <c r="C7157" s="9" t="s">
        <v>33</v>
      </c>
      <c r="D7157" s="8">
        <v>0.47</v>
      </c>
    </row>
    <row r="7158" spans="1:4">
      <c r="A7158" t="str">
        <f t="shared" si="119"/>
        <v>1035Win Rate</v>
      </c>
      <c r="B7158">
        <v>1035</v>
      </c>
      <c r="C7158" s="9" t="s">
        <v>34</v>
      </c>
      <c r="D7158" s="8">
        <v>0.53</v>
      </c>
    </row>
    <row r="7159" spans="1:4">
      <c r="A7159" t="str">
        <f t="shared" si="119"/>
        <v>1035Profit-Loss Ratio</v>
      </c>
      <c r="B7159">
        <v>1035</v>
      </c>
      <c r="C7159" s="9" t="s">
        <v>26</v>
      </c>
      <c r="D7159" s="8">
        <v>0.4</v>
      </c>
    </row>
    <row r="7160" spans="1:4">
      <c r="A7160" t="str">
        <f t="shared" si="119"/>
        <v>1035Alpha</v>
      </c>
      <c r="B7160">
        <v>1035</v>
      </c>
      <c r="C7160" s="9" t="s">
        <v>23</v>
      </c>
      <c r="D7160" s="8">
        <v>-2.8000000000000001E-2</v>
      </c>
    </row>
    <row r="7161" spans="1:4">
      <c r="A7161" t="str">
        <f t="shared" si="119"/>
        <v>1035Beta</v>
      </c>
      <c r="B7161">
        <v>1035</v>
      </c>
      <c r="C7161" s="9" t="s">
        <v>24</v>
      </c>
      <c r="D7161" s="8">
        <v>2.9000000000000001E-2</v>
      </c>
    </row>
    <row r="7162" spans="1:4">
      <c r="A7162" t="str">
        <f t="shared" si="119"/>
        <v>1035Annual Standard Deviation</v>
      </c>
      <c r="B7162">
        <v>1035</v>
      </c>
      <c r="C7162" s="9" t="s">
        <v>35</v>
      </c>
      <c r="D7162" s="8">
        <v>1.7000000000000001E-2</v>
      </c>
    </row>
    <row r="7163" spans="1:4">
      <c r="A7163" t="str">
        <f t="shared" si="119"/>
        <v>1035Annual Variance</v>
      </c>
      <c r="B7163">
        <v>1035</v>
      </c>
      <c r="C7163" s="9" t="s">
        <v>36</v>
      </c>
      <c r="D7163" s="8">
        <v>0</v>
      </c>
    </row>
    <row r="7164" spans="1:4">
      <c r="A7164" t="str">
        <f t="shared" si="119"/>
        <v>1035Information Ratio</v>
      </c>
      <c r="B7164">
        <v>1035</v>
      </c>
      <c r="C7164" s="9" t="s">
        <v>37</v>
      </c>
      <c r="D7164" s="8">
        <v>-1.1499999999999999</v>
      </c>
    </row>
    <row r="7165" spans="1:4">
      <c r="A7165" t="str">
        <f t="shared" si="119"/>
        <v>1035Tracking Error</v>
      </c>
      <c r="B7165">
        <v>1035</v>
      </c>
      <c r="C7165" s="9" t="s">
        <v>38</v>
      </c>
      <c r="D7165" s="8">
        <v>6.8000000000000005E-2</v>
      </c>
    </row>
    <row r="7166" spans="1:4">
      <c r="A7166" t="str">
        <f t="shared" si="119"/>
        <v>1035Treynor Ratio</v>
      </c>
      <c r="B7166">
        <v>1035</v>
      </c>
      <c r="C7166" s="9" t="s">
        <v>39</v>
      </c>
      <c r="D7166" s="8">
        <v>-0.89500000000000002</v>
      </c>
    </row>
    <row r="7167" spans="1:4">
      <c r="A7167" t="str">
        <f t="shared" si="119"/>
        <v>1035Total Fees</v>
      </c>
      <c r="B7167">
        <v>1035</v>
      </c>
      <c r="C7167" s="9" t="s">
        <v>40</v>
      </c>
      <c r="D7167" s="8">
        <v>0</v>
      </c>
    </row>
    <row r="7168" spans="1:4">
      <c r="A7168" t="str">
        <f t="shared" si="119"/>
        <v>1035Estimated Strategy Capacity</v>
      </c>
      <c r="B7168">
        <v>1035</v>
      </c>
      <c r="C7168" s="9" t="s">
        <v>41</v>
      </c>
      <c r="D7168" s="8">
        <v>510000000</v>
      </c>
    </row>
    <row r="7169" spans="1:4">
      <c r="A7169" t="str">
        <f t="shared" si="119"/>
        <v>1054PSR</v>
      </c>
      <c r="B7169">
        <v>1054</v>
      </c>
      <c r="C7169" s="9" t="s">
        <v>27</v>
      </c>
      <c r="D7169" s="8">
        <v>2.9999999999999997E-4</v>
      </c>
    </row>
    <row r="7170" spans="1:4">
      <c r="A7170" t="str">
        <f t="shared" si="119"/>
        <v>1054Sharpe Ratio</v>
      </c>
      <c r="B7170">
        <v>1054</v>
      </c>
      <c r="C7170" s="9" t="s">
        <v>1</v>
      </c>
      <c r="D7170" s="8">
        <v>-2.7080000000000002</v>
      </c>
    </row>
    <row r="7171" spans="1:4">
      <c r="A7171" t="str">
        <f t="shared" si="119"/>
        <v>1054Total Trades</v>
      </c>
      <c r="B7171">
        <v>1054</v>
      </c>
      <c r="C7171" s="9" t="s">
        <v>28</v>
      </c>
      <c r="D7171" s="8">
        <v>1490</v>
      </c>
    </row>
    <row r="7172" spans="1:4">
      <c r="A7172" t="str">
        <f t="shared" si="119"/>
        <v>1054Average Win</v>
      </c>
      <c r="B7172">
        <v>1054</v>
      </c>
      <c r="C7172" s="9" t="s">
        <v>25</v>
      </c>
      <c r="D7172" s="8">
        <v>0</v>
      </c>
    </row>
    <row r="7173" spans="1:4">
      <c r="A7173" t="str">
        <f t="shared" si="119"/>
        <v>1054Average Loss</v>
      </c>
      <c r="B7173">
        <v>1054</v>
      </c>
      <c r="C7173" s="9" t="s">
        <v>29</v>
      </c>
      <c r="D7173" s="8">
        <v>-1E-4</v>
      </c>
    </row>
    <row r="7174" spans="1:4">
      <c r="A7174" t="str">
        <f t="shared" si="119"/>
        <v>1054Compounding Annual Return</v>
      </c>
      <c r="B7174">
        <v>1054</v>
      </c>
      <c r="C7174" s="9" t="s">
        <v>30</v>
      </c>
      <c r="D7174" s="8">
        <v>-2.48E-3</v>
      </c>
    </row>
    <row r="7175" spans="1:4">
      <c r="A7175" t="str">
        <f t="shared" si="119"/>
        <v>1054Drawdown</v>
      </c>
      <c r="B7175">
        <v>1054</v>
      </c>
      <c r="C7175" s="9" t="s">
        <v>8</v>
      </c>
      <c r="D7175" s="8">
        <v>2E-3</v>
      </c>
    </row>
    <row r="7176" spans="1:4">
      <c r="A7176" t="str">
        <f t="shared" si="119"/>
        <v>1054Expectancy</v>
      </c>
      <c r="B7176">
        <v>1054</v>
      </c>
      <c r="C7176" s="9" t="s">
        <v>31</v>
      </c>
      <c r="D7176" s="8">
        <v>-0.23200000000000001</v>
      </c>
    </row>
    <row r="7177" spans="1:4">
      <c r="A7177" t="str">
        <f t="shared" si="119"/>
        <v>1054Net Profit</v>
      </c>
      <c r="B7177">
        <v>1054</v>
      </c>
      <c r="C7177" s="9" t="s">
        <v>32</v>
      </c>
      <c r="D7177" s="8">
        <v>-1.64E-3</v>
      </c>
    </row>
    <row r="7178" spans="1:4">
      <c r="A7178" t="str">
        <f t="shared" si="119"/>
        <v>1054Loss Rate</v>
      </c>
      <c r="B7178">
        <v>1054</v>
      </c>
      <c r="C7178" s="9" t="s">
        <v>33</v>
      </c>
      <c r="D7178" s="8">
        <v>0.35</v>
      </c>
    </row>
    <row r="7179" spans="1:4">
      <c r="A7179" t="str">
        <f t="shared" si="119"/>
        <v>1054Win Rate</v>
      </c>
      <c r="B7179">
        <v>1054</v>
      </c>
      <c r="C7179" s="9" t="s">
        <v>34</v>
      </c>
      <c r="D7179" s="8">
        <v>0.65</v>
      </c>
    </row>
    <row r="7180" spans="1:4">
      <c r="A7180" t="str">
        <f t="shared" si="119"/>
        <v>1054Profit-Loss Ratio</v>
      </c>
      <c r="B7180">
        <v>1054</v>
      </c>
      <c r="C7180" s="9" t="s">
        <v>26</v>
      </c>
      <c r="D7180" s="8">
        <v>0.18</v>
      </c>
    </row>
    <row r="7181" spans="1:4">
      <c r="A7181" t="str">
        <f t="shared" si="119"/>
        <v>1054Alpha</v>
      </c>
      <c r="B7181">
        <v>1054</v>
      </c>
      <c r="C7181" s="9" t="s">
        <v>23</v>
      </c>
      <c r="D7181" s="8">
        <v>-2E-3</v>
      </c>
    </row>
    <row r="7182" spans="1:4">
      <c r="A7182" t="str">
        <f t="shared" si="119"/>
        <v>1054Beta</v>
      </c>
      <c r="B7182">
        <v>1054</v>
      </c>
      <c r="C7182" s="9" t="s">
        <v>24</v>
      </c>
      <c r="D7182" s="8">
        <v>0</v>
      </c>
    </row>
    <row r="7183" spans="1:4">
      <c r="A7183" t="str">
        <f t="shared" si="119"/>
        <v>1054Annual Standard Deviation</v>
      </c>
      <c r="B7183">
        <v>1054</v>
      </c>
      <c r="C7183" s="9" t="s">
        <v>35</v>
      </c>
      <c r="D7183" s="8">
        <v>1E-3</v>
      </c>
    </row>
    <row r="7184" spans="1:4">
      <c r="A7184" t="str">
        <f t="shared" si="119"/>
        <v>1054Annual Variance</v>
      </c>
      <c r="B7184">
        <v>1054</v>
      </c>
      <c r="C7184" s="9" t="s">
        <v>36</v>
      </c>
      <c r="D7184" s="8">
        <v>0</v>
      </c>
    </row>
    <row r="7185" spans="1:4">
      <c r="A7185" t="str">
        <f t="shared" si="119"/>
        <v>1054Information Ratio</v>
      </c>
      <c r="B7185">
        <v>1054</v>
      </c>
      <c r="C7185" s="9" t="s">
        <v>37</v>
      </c>
      <c r="D7185" s="8">
        <v>-0.78900000000000003</v>
      </c>
    </row>
    <row r="7186" spans="1:4">
      <c r="A7186" t="str">
        <f t="shared" si="119"/>
        <v>1054Tracking Error</v>
      </c>
      <c r="B7186">
        <v>1054</v>
      </c>
      <c r="C7186" s="9" t="s">
        <v>38</v>
      </c>
      <c r="D7186" s="8">
        <v>6.7000000000000004E-2</v>
      </c>
    </row>
    <row r="7187" spans="1:4">
      <c r="A7187" t="str">
        <f t="shared" si="119"/>
        <v>1054Treynor Ratio</v>
      </c>
      <c r="B7187">
        <v>1054</v>
      </c>
      <c r="C7187" s="9" t="s">
        <v>39</v>
      </c>
      <c r="D7187" s="8">
        <v>4.3230000000000004</v>
      </c>
    </row>
    <row r="7188" spans="1:4">
      <c r="A7188" t="str">
        <f t="shared" si="119"/>
        <v>1054Total Fees</v>
      </c>
      <c r="B7188">
        <v>1054</v>
      </c>
      <c r="C7188" s="9" t="s">
        <v>40</v>
      </c>
      <c r="D7188" s="8">
        <v>0</v>
      </c>
    </row>
    <row r="7189" spans="1:4">
      <c r="A7189" t="str">
        <f t="shared" si="119"/>
        <v>1054Estimated Strategy Capacity</v>
      </c>
      <c r="B7189">
        <v>1054</v>
      </c>
      <c r="C7189" s="9" t="s">
        <v>41</v>
      </c>
      <c r="D7189" s="8">
        <v>160000000</v>
      </c>
    </row>
    <row r="7190" spans="1:4">
      <c r="A7190" t="str">
        <f t="shared" si="119"/>
        <v>1055PSR</v>
      </c>
      <c r="B7190">
        <v>1055</v>
      </c>
      <c r="C7190" s="9" t="s">
        <v>27</v>
      </c>
      <c r="D7190" s="8">
        <v>3.1E-4</v>
      </c>
    </row>
    <row r="7191" spans="1:4">
      <c r="A7191" t="str">
        <f t="shared" si="119"/>
        <v>1055Sharpe Ratio</v>
      </c>
      <c r="B7191">
        <v>1055</v>
      </c>
      <c r="C7191" s="9" t="s">
        <v>1</v>
      </c>
      <c r="D7191" s="8">
        <v>-2.6840000000000002</v>
      </c>
    </row>
    <row r="7192" spans="1:4">
      <c r="A7192" t="str">
        <f t="shared" si="119"/>
        <v>1055Total Trades</v>
      </c>
      <c r="B7192">
        <v>1055</v>
      </c>
      <c r="C7192" s="9" t="s">
        <v>28</v>
      </c>
      <c r="D7192" s="8">
        <v>1490</v>
      </c>
    </row>
    <row r="7193" spans="1:4">
      <c r="A7193" t="str">
        <f t="shared" si="119"/>
        <v>1055Average Win</v>
      </c>
      <c r="B7193">
        <v>1055</v>
      </c>
      <c r="C7193" s="9" t="s">
        <v>25</v>
      </c>
      <c r="D7193" s="8">
        <v>1E-4</v>
      </c>
    </row>
    <row r="7194" spans="1:4">
      <c r="A7194" t="str">
        <f t="shared" si="119"/>
        <v>1055Average Loss</v>
      </c>
      <c r="B7194">
        <v>1055</v>
      </c>
      <c r="C7194" s="9" t="s">
        <v>29</v>
      </c>
      <c r="D7194" s="8">
        <v>-5.0000000000000001E-4</v>
      </c>
    </row>
    <row r="7195" spans="1:4">
      <c r="A7195" t="str">
        <f t="shared" si="119"/>
        <v>1055Compounding Annual Return</v>
      </c>
      <c r="B7195">
        <v>1055</v>
      </c>
      <c r="C7195" s="9" t="s">
        <v>30</v>
      </c>
      <c r="D7195" s="8">
        <v>-2.4680000000000001E-2</v>
      </c>
    </row>
    <row r="7196" spans="1:4">
      <c r="A7196" t="str">
        <f t="shared" si="119"/>
        <v>1055Drawdown</v>
      </c>
      <c r="B7196">
        <v>1055</v>
      </c>
      <c r="C7196" s="9" t="s">
        <v>8</v>
      </c>
      <c r="D7196" s="8">
        <v>1.9E-2</v>
      </c>
    </row>
    <row r="7197" spans="1:4">
      <c r="A7197" t="str">
        <f t="shared" si="119"/>
        <v>1055Expectancy</v>
      </c>
      <c r="B7197">
        <v>1055</v>
      </c>
      <c r="C7197" s="9" t="s">
        <v>31</v>
      </c>
      <c r="D7197" s="8">
        <v>-0.23100000000000001</v>
      </c>
    </row>
    <row r="7198" spans="1:4">
      <c r="A7198" t="str">
        <f t="shared" si="119"/>
        <v>1055Net Profit</v>
      </c>
      <c r="B7198">
        <v>1055</v>
      </c>
      <c r="C7198" s="9" t="s">
        <v>32</v>
      </c>
      <c r="D7198" s="8">
        <v>-1.643E-2</v>
      </c>
    </row>
    <row r="7199" spans="1:4">
      <c r="A7199" t="str">
        <f t="shared" si="119"/>
        <v>1055Loss Rate</v>
      </c>
      <c r="B7199">
        <v>1055</v>
      </c>
      <c r="C7199" s="9" t="s">
        <v>33</v>
      </c>
      <c r="D7199" s="8">
        <v>0.35</v>
      </c>
    </row>
    <row r="7200" spans="1:4">
      <c r="A7200" t="str">
        <f t="shared" si="119"/>
        <v>1055Win Rate</v>
      </c>
      <c r="B7200">
        <v>1055</v>
      </c>
      <c r="C7200" s="9" t="s">
        <v>34</v>
      </c>
      <c r="D7200" s="8">
        <v>0.65</v>
      </c>
    </row>
    <row r="7201" spans="1:4">
      <c r="A7201" t="str">
        <f t="shared" si="119"/>
        <v>1055Profit-Loss Ratio</v>
      </c>
      <c r="B7201">
        <v>1055</v>
      </c>
      <c r="C7201" s="9" t="s">
        <v>26</v>
      </c>
      <c r="D7201" s="8">
        <v>0.18</v>
      </c>
    </row>
    <row r="7202" spans="1:4">
      <c r="A7202" t="str">
        <f t="shared" ref="A7202:A7265" si="120">B7202&amp;C7202</f>
        <v>1055Alpha</v>
      </c>
      <c r="B7202">
        <v>1055</v>
      </c>
      <c r="C7202" s="9" t="s">
        <v>23</v>
      </c>
      <c r="D7202" s="8">
        <v>-1.7000000000000001E-2</v>
      </c>
    </row>
    <row r="7203" spans="1:4">
      <c r="A7203" t="str">
        <f t="shared" si="120"/>
        <v>1055Beta</v>
      </c>
      <c r="B7203">
        <v>1055</v>
      </c>
      <c r="C7203" s="9" t="s">
        <v>24</v>
      </c>
      <c r="D7203" s="8">
        <v>-4.0000000000000001E-3</v>
      </c>
    </row>
    <row r="7204" spans="1:4">
      <c r="A7204" t="str">
        <f t="shared" si="120"/>
        <v>1055Annual Standard Deviation</v>
      </c>
      <c r="B7204">
        <v>1055</v>
      </c>
      <c r="C7204" s="9" t="s">
        <v>35</v>
      </c>
      <c r="D7204" s="8">
        <v>6.0000000000000001E-3</v>
      </c>
    </row>
    <row r="7205" spans="1:4">
      <c r="A7205" t="str">
        <f t="shared" si="120"/>
        <v>1055Annual Variance</v>
      </c>
      <c r="B7205">
        <v>1055</v>
      </c>
      <c r="C7205" s="9" t="s">
        <v>36</v>
      </c>
      <c r="D7205" s="8">
        <v>0</v>
      </c>
    </row>
    <row r="7206" spans="1:4">
      <c r="A7206" t="str">
        <f t="shared" si="120"/>
        <v>1055Information Ratio</v>
      </c>
      <c r="B7206">
        <v>1055</v>
      </c>
      <c r="C7206" s="9" t="s">
        <v>37</v>
      </c>
      <c r="D7206" s="8">
        <v>-1.01</v>
      </c>
    </row>
    <row r="7207" spans="1:4">
      <c r="A7207" t="str">
        <f t="shared" si="120"/>
        <v>1055Tracking Error</v>
      </c>
      <c r="B7207">
        <v>1055</v>
      </c>
      <c r="C7207" s="9" t="s">
        <v>38</v>
      </c>
      <c r="D7207" s="8">
        <v>6.8000000000000005E-2</v>
      </c>
    </row>
    <row r="7208" spans="1:4">
      <c r="A7208" t="str">
        <f t="shared" si="120"/>
        <v>1055Treynor Ratio</v>
      </c>
      <c r="B7208">
        <v>1055</v>
      </c>
      <c r="C7208" s="9" t="s">
        <v>39</v>
      </c>
      <c r="D7208" s="8">
        <v>4.3879999999999999</v>
      </c>
    </row>
    <row r="7209" spans="1:4">
      <c r="A7209" t="str">
        <f t="shared" si="120"/>
        <v>1055Total Fees</v>
      </c>
      <c r="B7209">
        <v>1055</v>
      </c>
      <c r="C7209" s="9" t="s">
        <v>40</v>
      </c>
      <c r="D7209" s="8">
        <v>0</v>
      </c>
    </row>
    <row r="7210" spans="1:4">
      <c r="A7210" t="str">
        <f t="shared" si="120"/>
        <v>1055Estimated Strategy Capacity</v>
      </c>
      <c r="B7210">
        <v>1055</v>
      </c>
      <c r="C7210" s="9" t="s">
        <v>41</v>
      </c>
      <c r="D7210" s="8">
        <v>19000000</v>
      </c>
    </row>
    <row r="7211" spans="1:4">
      <c r="A7211" t="str">
        <f t="shared" si="120"/>
        <v>1056PSR</v>
      </c>
      <c r="B7211">
        <v>1056</v>
      </c>
      <c r="C7211" s="9" t="s">
        <v>27</v>
      </c>
      <c r="D7211" s="8">
        <v>1.07E-3</v>
      </c>
    </row>
    <row r="7212" spans="1:4">
      <c r="A7212" t="str">
        <f t="shared" si="120"/>
        <v>1056Sharpe Ratio</v>
      </c>
      <c r="B7212">
        <v>1056</v>
      </c>
      <c r="C7212" s="9" t="s">
        <v>1</v>
      </c>
      <c r="D7212" s="8">
        <v>-2.4489999999999998</v>
      </c>
    </row>
    <row r="7213" spans="1:4">
      <c r="A7213" t="str">
        <f t="shared" si="120"/>
        <v>1056Total Trades</v>
      </c>
      <c r="B7213">
        <v>1056</v>
      </c>
      <c r="C7213" s="9" t="s">
        <v>28</v>
      </c>
      <c r="D7213" s="8">
        <v>1413</v>
      </c>
    </row>
    <row r="7214" spans="1:4">
      <c r="A7214" t="str">
        <f t="shared" si="120"/>
        <v>1056Average Win</v>
      </c>
      <c r="B7214">
        <v>1056</v>
      </c>
      <c r="C7214" s="9" t="s">
        <v>25</v>
      </c>
      <c r="D7214" s="8">
        <v>2.0000000000000001E-4</v>
      </c>
    </row>
    <row r="7215" spans="1:4">
      <c r="A7215" t="str">
        <f t="shared" si="120"/>
        <v>1056Average Loss</v>
      </c>
      <c r="B7215">
        <v>1056</v>
      </c>
      <c r="C7215" s="9" t="s">
        <v>29</v>
      </c>
      <c r="D7215" s="8">
        <v>-8.0000000000000004E-4</v>
      </c>
    </row>
    <row r="7216" spans="1:4">
      <c r="A7216" t="str">
        <f t="shared" si="120"/>
        <v>1056Compounding Annual Return</v>
      </c>
      <c r="B7216">
        <v>1056</v>
      </c>
      <c r="C7216" s="9" t="s">
        <v>30</v>
      </c>
      <c r="D7216" s="8">
        <v>-4.0410000000000001E-2</v>
      </c>
    </row>
    <row r="7217" spans="1:4">
      <c r="A7217" t="str">
        <f t="shared" si="120"/>
        <v>1056Drawdown</v>
      </c>
      <c r="B7217">
        <v>1056</v>
      </c>
      <c r="C7217" s="9" t="s">
        <v>8</v>
      </c>
      <c r="D7217" s="8">
        <v>3.1E-2</v>
      </c>
    </row>
    <row r="7218" spans="1:4">
      <c r="A7218" t="str">
        <f t="shared" si="120"/>
        <v>1056Expectancy</v>
      </c>
      <c r="B7218">
        <v>1056</v>
      </c>
      <c r="C7218" s="9" t="s">
        <v>31</v>
      </c>
      <c r="D7218" s="8">
        <v>-0.22700000000000001</v>
      </c>
    </row>
    <row r="7219" spans="1:4">
      <c r="A7219" t="str">
        <f t="shared" si="120"/>
        <v>1056Net Profit</v>
      </c>
      <c r="B7219">
        <v>1056</v>
      </c>
      <c r="C7219" s="9" t="s">
        <v>32</v>
      </c>
      <c r="D7219" s="8">
        <v>-2.6980000000000001E-2</v>
      </c>
    </row>
    <row r="7220" spans="1:4">
      <c r="A7220" t="str">
        <f t="shared" si="120"/>
        <v>1056Loss Rate</v>
      </c>
      <c r="B7220">
        <v>1056</v>
      </c>
      <c r="C7220" s="9" t="s">
        <v>33</v>
      </c>
      <c r="D7220" s="8">
        <v>0.36</v>
      </c>
    </row>
    <row r="7221" spans="1:4">
      <c r="A7221" t="str">
        <f t="shared" si="120"/>
        <v>1056Win Rate</v>
      </c>
      <c r="B7221">
        <v>1056</v>
      </c>
      <c r="C7221" s="9" t="s">
        <v>34</v>
      </c>
      <c r="D7221" s="8">
        <v>0.64</v>
      </c>
    </row>
    <row r="7222" spans="1:4">
      <c r="A7222" t="str">
        <f t="shared" si="120"/>
        <v>1056Profit-Loss Ratio</v>
      </c>
      <c r="B7222">
        <v>1056</v>
      </c>
      <c r="C7222" s="9" t="s">
        <v>26</v>
      </c>
      <c r="D7222" s="8">
        <v>0.21</v>
      </c>
    </row>
    <row r="7223" spans="1:4">
      <c r="A7223" t="str">
        <f t="shared" si="120"/>
        <v>1056Alpha</v>
      </c>
      <c r="B7223">
        <v>1056</v>
      </c>
      <c r="C7223" s="9" t="s">
        <v>23</v>
      </c>
      <c r="D7223" s="8">
        <v>-2.8000000000000001E-2</v>
      </c>
    </row>
    <row r="7224" spans="1:4">
      <c r="A7224" t="str">
        <f t="shared" si="120"/>
        <v>1056Beta</v>
      </c>
      <c r="B7224">
        <v>1056</v>
      </c>
      <c r="C7224" s="9" t="s">
        <v>24</v>
      </c>
      <c r="D7224" s="8">
        <v>-4.0000000000000001E-3</v>
      </c>
    </row>
    <row r="7225" spans="1:4">
      <c r="A7225" t="str">
        <f t="shared" si="120"/>
        <v>1056Annual Standard Deviation</v>
      </c>
      <c r="B7225">
        <v>1056</v>
      </c>
      <c r="C7225" s="9" t="s">
        <v>35</v>
      </c>
      <c r="D7225" s="8">
        <v>1.0999999999999999E-2</v>
      </c>
    </row>
    <row r="7226" spans="1:4">
      <c r="A7226" t="str">
        <f t="shared" si="120"/>
        <v>1056Annual Variance</v>
      </c>
      <c r="B7226">
        <v>1056</v>
      </c>
      <c r="C7226" s="9" t="s">
        <v>36</v>
      </c>
      <c r="D7226" s="8">
        <v>0</v>
      </c>
    </row>
    <row r="7227" spans="1:4">
      <c r="A7227" t="str">
        <f t="shared" si="120"/>
        <v>1056Information Ratio</v>
      </c>
      <c r="B7227">
        <v>1056</v>
      </c>
      <c r="C7227" s="9" t="s">
        <v>37</v>
      </c>
      <c r="D7227" s="8">
        <v>-1.17</v>
      </c>
    </row>
    <row r="7228" spans="1:4">
      <c r="A7228" t="str">
        <f t="shared" si="120"/>
        <v>1056Tracking Error</v>
      </c>
      <c r="B7228">
        <v>1056</v>
      </c>
      <c r="C7228" s="9" t="s">
        <v>38</v>
      </c>
      <c r="D7228" s="8">
        <v>6.9000000000000006E-2</v>
      </c>
    </row>
    <row r="7229" spans="1:4">
      <c r="A7229" t="str">
        <f t="shared" si="120"/>
        <v>1056Treynor Ratio</v>
      </c>
      <c r="B7229">
        <v>1056</v>
      </c>
      <c r="C7229" s="9" t="s">
        <v>39</v>
      </c>
      <c r="D7229" s="8">
        <v>7.2789999999999999</v>
      </c>
    </row>
    <row r="7230" spans="1:4">
      <c r="A7230" t="str">
        <f t="shared" si="120"/>
        <v>1056Total Fees</v>
      </c>
      <c r="B7230">
        <v>1056</v>
      </c>
      <c r="C7230" s="9" t="s">
        <v>40</v>
      </c>
      <c r="D7230" s="8">
        <v>0</v>
      </c>
    </row>
    <row r="7231" spans="1:4">
      <c r="A7231" t="str">
        <f t="shared" si="120"/>
        <v>1056Estimated Strategy Capacity</v>
      </c>
      <c r="B7231">
        <v>1056</v>
      </c>
      <c r="C7231" s="9" t="s">
        <v>41</v>
      </c>
      <c r="D7231" s="8">
        <v>11000000</v>
      </c>
    </row>
    <row r="7232" spans="1:4">
      <c r="A7232" t="str">
        <f t="shared" si="120"/>
        <v>1057PSR</v>
      </c>
      <c r="B7232">
        <v>1057</v>
      </c>
      <c r="C7232" s="9" t="s">
        <v>27</v>
      </c>
      <c r="D7232" s="8">
        <v>0.20669000000000001</v>
      </c>
    </row>
    <row r="7233" spans="1:4">
      <c r="A7233" t="str">
        <f t="shared" si="120"/>
        <v>1057Sharpe Ratio</v>
      </c>
      <c r="B7233">
        <v>1057</v>
      </c>
      <c r="C7233" s="9" t="s">
        <v>1</v>
      </c>
      <c r="D7233" s="8">
        <v>0.16500000000000001</v>
      </c>
    </row>
    <row r="7234" spans="1:4">
      <c r="A7234" t="str">
        <f t="shared" si="120"/>
        <v>1057Total Trades</v>
      </c>
      <c r="B7234">
        <v>1057</v>
      </c>
      <c r="C7234" s="9" t="s">
        <v>28</v>
      </c>
      <c r="D7234" s="8">
        <v>1144</v>
      </c>
    </row>
    <row r="7235" spans="1:4">
      <c r="A7235" t="str">
        <f t="shared" si="120"/>
        <v>1057Average Win</v>
      </c>
      <c r="B7235">
        <v>1057</v>
      </c>
      <c r="C7235" s="9" t="s">
        <v>25</v>
      </c>
      <c r="D7235" s="8">
        <v>0</v>
      </c>
    </row>
    <row r="7236" spans="1:4">
      <c r="A7236" t="str">
        <f t="shared" si="120"/>
        <v>1057Average Loss</v>
      </c>
      <c r="B7236">
        <v>1057</v>
      </c>
      <c r="C7236" s="9" t="s">
        <v>29</v>
      </c>
      <c r="D7236" s="8">
        <v>0</v>
      </c>
    </row>
    <row r="7237" spans="1:4">
      <c r="A7237" t="str">
        <f t="shared" si="120"/>
        <v>1057Compounding Annual Return</v>
      </c>
      <c r="B7237">
        <v>1057</v>
      </c>
      <c r="C7237" s="9" t="s">
        <v>30</v>
      </c>
      <c r="D7237" s="8">
        <v>1.8000000000000001E-4</v>
      </c>
    </row>
    <row r="7238" spans="1:4">
      <c r="A7238" t="str">
        <f t="shared" si="120"/>
        <v>1057Drawdown</v>
      </c>
      <c r="B7238">
        <v>1057</v>
      </c>
      <c r="C7238" s="9" t="s">
        <v>8</v>
      </c>
      <c r="D7238" s="8">
        <v>1E-3</v>
      </c>
    </row>
    <row r="7239" spans="1:4">
      <c r="A7239" t="str">
        <f t="shared" si="120"/>
        <v>1057Expectancy</v>
      </c>
      <c r="B7239">
        <v>1057</v>
      </c>
      <c r="C7239" s="9" t="s">
        <v>31</v>
      </c>
      <c r="D7239" s="8">
        <v>0.02</v>
      </c>
    </row>
    <row r="7240" spans="1:4">
      <c r="A7240" t="str">
        <f t="shared" si="120"/>
        <v>1057Net Profit</v>
      </c>
      <c r="B7240">
        <v>1057</v>
      </c>
      <c r="C7240" s="9" t="s">
        <v>32</v>
      </c>
      <c r="D7240" s="8">
        <v>1.2E-4</v>
      </c>
    </row>
    <row r="7241" spans="1:4">
      <c r="A7241" t="str">
        <f t="shared" si="120"/>
        <v>1057Loss Rate</v>
      </c>
      <c r="B7241">
        <v>1057</v>
      </c>
      <c r="C7241" s="9" t="s">
        <v>33</v>
      </c>
      <c r="D7241" s="8">
        <v>0.33</v>
      </c>
    </row>
    <row r="7242" spans="1:4">
      <c r="A7242" t="str">
        <f t="shared" si="120"/>
        <v>1057Win Rate</v>
      </c>
      <c r="B7242">
        <v>1057</v>
      </c>
      <c r="C7242" s="9" t="s">
        <v>34</v>
      </c>
      <c r="D7242" s="8">
        <v>0.67</v>
      </c>
    </row>
    <row r="7243" spans="1:4">
      <c r="A7243" t="str">
        <f t="shared" si="120"/>
        <v>1057Profit-Loss Ratio</v>
      </c>
      <c r="B7243">
        <v>1057</v>
      </c>
      <c r="C7243" s="9" t="s">
        <v>26</v>
      </c>
      <c r="D7243" s="8">
        <v>0.52</v>
      </c>
    </row>
    <row r="7244" spans="1:4">
      <c r="A7244" t="str">
        <f t="shared" si="120"/>
        <v>1057Alpha</v>
      </c>
      <c r="B7244">
        <v>1057</v>
      </c>
      <c r="C7244" s="9" t="s">
        <v>23</v>
      </c>
      <c r="D7244" s="8">
        <v>0</v>
      </c>
    </row>
    <row r="7245" spans="1:4">
      <c r="A7245" t="str">
        <f t="shared" si="120"/>
        <v>1057Beta</v>
      </c>
      <c r="B7245">
        <v>1057</v>
      </c>
      <c r="C7245" s="9" t="s">
        <v>24</v>
      </c>
      <c r="D7245" s="8">
        <v>-2E-3</v>
      </c>
    </row>
    <row r="7246" spans="1:4">
      <c r="A7246" t="str">
        <f t="shared" si="120"/>
        <v>1057Annual Standard Deviation</v>
      </c>
      <c r="B7246">
        <v>1057</v>
      </c>
      <c r="C7246" s="9" t="s">
        <v>35</v>
      </c>
      <c r="D7246" s="8">
        <v>1E-3</v>
      </c>
    </row>
    <row r="7247" spans="1:4">
      <c r="A7247" t="str">
        <f t="shared" si="120"/>
        <v>1057Annual Variance</v>
      </c>
      <c r="B7247">
        <v>1057</v>
      </c>
      <c r="C7247" s="9" t="s">
        <v>36</v>
      </c>
      <c r="D7247" s="8">
        <v>0</v>
      </c>
    </row>
    <row r="7248" spans="1:4">
      <c r="A7248" t="str">
        <f t="shared" si="120"/>
        <v>1057Information Ratio</v>
      </c>
      <c r="B7248">
        <v>1057</v>
      </c>
      <c r="C7248" s="9" t="s">
        <v>37</v>
      </c>
      <c r="D7248" s="8">
        <v>-0.76100000000000001</v>
      </c>
    </row>
    <row r="7249" spans="1:4">
      <c r="A7249" t="str">
        <f t="shared" si="120"/>
        <v>1057Tracking Error</v>
      </c>
      <c r="B7249">
        <v>1057</v>
      </c>
      <c r="C7249" s="9" t="s">
        <v>38</v>
      </c>
      <c r="D7249" s="8">
        <v>6.8000000000000005E-2</v>
      </c>
    </row>
    <row r="7250" spans="1:4">
      <c r="A7250" t="str">
        <f t="shared" si="120"/>
        <v>1057Treynor Ratio</v>
      </c>
      <c r="B7250">
        <v>1057</v>
      </c>
      <c r="C7250" s="9" t="s">
        <v>39</v>
      </c>
      <c r="D7250" s="8">
        <v>-0.06</v>
      </c>
    </row>
    <row r="7251" spans="1:4">
      <c r="A7251" t="str">
        <f t="shared" si="120"/>
        <v>1057Total Fees</v>
      </c>
      <c r="B7251">
        <v>1057</v>
      </c>
      <c r="C7251" s="9" t="s">
        <v>40</v>
      </c>
      <c r="D7251" s="8">
        <v>0</v>
      </c>
    </row>
    <row r="7252" spans="1:4">
      <c r="A7252" t="str">
        <f t="shared" si="120"/>
        <v>1057Estimated Strategy Capacity</v>
      </c>
      <c r="B7252">
        <v>1057</v>
      </c>
      <c r="C7252" s="9" t="s">
        <v>41</v>
      </c>
      <c r="D7252" s="8">
        <v>1600000000</v>
      </c>
    </row>
    <row r="7253" spans="1:4">
      <c r="A7253" t="str">
        <f t="shared" si="120"/>
        <v>1058PSR</v>
      </c>
      <c r="B7253">
        <v>1058</v>
      </c>
      <c r="C7253" s="9" t="s">
        <v>27</v>
      </c>
      <c r="D7253" s="8">
        <v>0.2077</v>
      </c>
    </row>
    <row r="7254" spans="1:4">
      <c r="A7254" t="str">
        <f t="shared" si="120"/>
        <v>1058Sharpe Ratio</v>
      </c>
      <c r="B7254">
        <v>1058</v>
      </c>
      <c r="C7254" s="9" t="s">
        <v>1</v>
      </c>
      <c r="D7254" s="8">
        <v>0.16900000000000001</v>
      </c>
    </row>
    <row r="7255" spans="1:4">
      <c r="A7255" t="str">
        <f t="shared" si="120"/>
        <v>1058Total Trades</v>
      </c>
      <c r="B7255">
        <v>1058</v>
      </c>
      <c r="C7255" s="9" t="s">
        <v>28</v>
      </c>
      <c r="D7255" s="8">
        <v>1144</v>
      </c>
    </row>
    <row r="7256" spans="1:4">
      <c r="A7256" t="str">
        <f t="shared" si="120"/>
        <v>1058Average Win</v>
      </c>
      <c r="B7256">
        <v>1058</v>
      </c>
      <c r="C7256" s="9" t="s">
        <v>25</v>
      </c>
      <c r="D7256" s="8">
        <v>2.0000000000000001E-4</v>
      </c>
    </row>
    <row r="7257" spans="1:4">
      <c r="A7257" t="str">
        <f t="shared" si="120"/>
        <v>1058Average Loss</v>
      </c>
      <c r="B7257">
        <v>1058</v>
      </c>
      <c r="C7257" s="9" t="s">
        <v>29</v>
      </c>
      <c r="D7257" s="8">
        <v>-4.0000000000000002E-4</v>
      </c>
    </row>
    <row r="7258" spans="1:4">
      <c r="A7258" t="str">
        <f t="shared" si="120"/>
        <v>1058Compounding Annual Return</v>
      </c>
      <c r="B7258">
        <v>1058</v>
      </c>
      <c r="C7258" s="9" t="s">
        <v>30</v>
      </c>
      <c r="D7258" s="8">
        <v>1.7600000000000001E-3</v>
      </c>
    </row>
    <row r="7259" spans="1:4">
      <c r="A7259" t="str">
        <f t="shared" si="120"/>
        <v>1058Drawdown</v>
      </c>
      <c r="B7259">
        <v>1058</v>
      </c>
      <c r="C7259" s="9" t="s">
        <v>8</v>
      </c>
      <c r="D7259" s="8">
        <v>8.0000000000000002E-3</v>
      </c>
    </row>
    <row r="7260" spans="1:4">
      <c r="A7260" t="str">
        <f t="shared" si="120"/>
        <v>1058Expectancy</v>
      </c>
      <c r="B7260">
        <v>1058</v>
      </c>
      <c r="C7260" s="9" t="s">
        <v>31</v>
      </c>
      <c r="D7260" s="8">
        <v>0.02</v>
      </c>
    </row>
    <row r="7261" spans="1:4">
      <c r="A7261" t="str">
        <f t="shared" si="120"/>
        <v>1058Net Profit</v>
      </c>
      <c r="B7261">
        <v>1058</v>
      </c>
      <c r="C7261" s="9" t="s">
        <v>32</v>
      </c>
      <c r="D7261" s="8">
        <v>1.17E-3</v>
      </c>
    </row>
    <row r="7262" spans="1:4">
      <c r="A7262" t="str">
        <f t="shared" si="120"/>
        <v>1058Loss Rate</v>
      </c>
      <c r="B7262">
        <v>1058</v>
      </c>
      <c r="C7262" s="9" t="s">
        <v>33</v>
      </c>
      <c r="D7262" s="8">
        <v>0.33</v>
      </c>
    </row>
    <row r="7263" spans="1:4">
      <c r="A7263" t="str">
        <f t="shared" si="120"/>
        <v>1058Win Rate</v>
      </c>
      <c r="B7263">
        <v>1058</v>
      </c>
      <c r="C7263" s="9" t="s">
        <v>34</v>
      </c>
      <c r="D7263" s="8">
        <v>0.67</v>
      </c>
    </row>
    <row r="7264" spans="1:4">
      <c r="A7264" t="str">
        <f t="shared" si="120"/>
        <v>1058Profit-Loss Ratio</v>
      </c>
      <c r="B7264">
        <v>1058</v>
      </c>
      <c r="C7264" s="9" t="s">
        <v>26</v>
      </c>
      <c r="D7264" s="8">
        <v>0.52</v>
      </c>
    </row>
    <row r="7265" spans="1:4">
      <c r="A7265" t="str">
        <f t="shared" si="120"/>
        <v>1058Alpha</v>
      </c>
      <c r="B7265">
        <v>1058</v>
      </c>
      <c r="C7265" s="9" t="s">
        <v>23</v>
      </c>
      <c r="D7265" s="8">
        <v>2E-3</v>
      </c>
    </row>
    <row r="7266" spans="1:4">
      <c r="A7266" t="str">
        <f t="shared" ref="A7266:A7329" si="121">B7266&amp;C7266</f>
        <v>1058Beta</v>
      </c>
      <c r="B7266">
        <v>1058</v>
      </c>
      <c r="C7266" s="9" t="s">
        <v>24</v>
      </c>
      <c r="D7266" s="8">
        <v>-0.02</v>
      </c>
    </row>
    <row r="7267" spans="1:4">
      <c r="A7267" t="str">
        <f t="shared" si="121"/>
        <v>1058Annual Standard Deviation</v>
      </c>
      <c r="B7267">
        <v>1058</v>
      </c>
      <c r="C7267" s="9" t="s">
        <v>35</v>
      </c>
      <c r="D7267" s="8">
        <v>7.0000000000000001E-3</v>
      </c>
    </row>
    <row r="7268" spans="1:4">
      <c r="A7268" t="str">
        <f t="shared" si="121"/>
        <v>1058Annual Variance</v>
      </c>
      <c r="B7268">
        <v>1058</v>
      </c>
      <c r="C7268" s="9" t="s">
        <v>36</v>
      </c>
      <c r="D7268" s="8">
        <v>0</v>
      </c>
    </row>
    <row r="7269" spans="1:4">
      <c r="A7269" t="str">
        <f t="shared" si="121"/>
        <v>1058Information Ratio</v>
      </c>
      <c r="B7269">
        <v>1058</v>
      </c>
      <c r="C7269" s="9" t="s">
        <v>37</v>
      </c>
      <c r="D7269" s="8">
        <v>-0.72699999999999998</v>
      </c>
    </row>
    <row r="7270" spans="1:4">
      <c r="A7270" t="str">
        <f t="shared" si="121"/>
        <v>1058Tracking Error</v>
      </c>
      <c r="B7270">
        <v>1058</v>
      </c>
      <c r="C7270" s="9" t="s">
        <v>38</v>
      </c>
      <c r="D7270" s="8">
        <v>6.9000000000000006E-2</v>
      </c>
    </row>
    <row r="7271" spans="1:4">
      <c r="A7271" t="str">
        <f t="shared" si="121"/>
        <v>1058Treynor Ratio</v>
      </c>
      <c r="B7271">
        <v>1058</v>
      </c>
      <c r="C7271" s="9" t="s">
        <v>39</v>
      </c>
      <c r="D7271" s="8">
        <v>-6.2E-2</v>
      </c>
    </row>
    <row r="7272" spans="1:4">
      <c r="A7272" t="str">
        <f t="shared" si="121"/>
        <v>1058Total Fees</v>
      </c>
      <c r="B7272">
        <v>1058</v>
      </c>
      <c r="C7272" s="9" t="s">
        <v>40</v>
      </c>
      <c r="D7272" s="8">
        <v>0</v>
      </c>
    </row>
    <row r="7273" spans="1:4">
      <c r="A7273" t="str">
        <f t="shared" si="121"/>
        <v>1058Estimated Strategy Capacity</v>
      </c>
      <c r="B7273">
        <v>1058</v>
      </c>
      <c r="C7273" s="9" t="s">
        <v>41</v>
      </c>
      <c r="D7273" s="8">
        <v>170000000</v>
      </c>
    </row>
    <row r="7274" spans="1:4">
      <c r="A7274" t="str">
        <f t="shared" si="121"/>
        <v>1059PSR</v>
      </c>
      <c r="B7274">
        <v>1059</v>
      </c>
      <c r="C7274" s="9" t="s">
        <v>27</v>
      </c>
      <c r="D7274" s="8">
        <v>0.28227999999999998</v>
      </c>
    </row>
    <row r="7275" spans="1:4">
      <c r="A7275" t="str">
        <f t="shared" si="121"/>
        <v>1059Sharpe Ratio</v>
      </c>
      <c r="B7275">
        <v>1059</v>
      </c>
      <c r="C7275" s="9" t="s">
        <v>1</v>
      </c>
      <c r="D7275" s="8">
        <v>0.41599999999999998</v>
      </c>
    </row>
    <row r="7276" spans="1:4">
      <c r="A7276" t="str">
        <f t="shared" si="121"/>
        <v>1059Total Trades</v>
      </c>
      <c r="B7276">
        <v>1059</v>
      </c>
      <c r="C7276" s="9" t="s">
        <v>28</v>
      </c>
      <c r="D7276" s="8">
        <v>1101</v>
      </c>
    </row>
    <row r="7277" spans="1:4">
      <c r="A7277" t="str">
        <f t="shared" si="121"/>
        <v>1059Average Win</v>
      </c>
      <c r="B7277">
        <v>1059</v>
      </c>
      <c r="C7277" s="9" t="s">
        <v>25</v>
      </c>
      <c r="D7277" s="8">
        <v>4.0000000000000002E-4</v>
      </c>
    </row>
    <row r="7278" spans="1:4">
      <c r="A7278" t="str">
        <f t="shared" si="121"/>
        <v>1059Average Loss</v>
      </c>
      <c r="B7278">
        <v>1059</v>
      </c>
      <c r="C7278" s="9" t="s">
        <v>29</v>
      </c>
      <c r="D7278" s="8">
        <v>-6.9999999999999999E-4</v>
      </c>
    </row>
    <row r="7279" spans="1:4">
      <c r="A7279" t="str">
        <f t="shared" si="121"/>
        <v>1059Compounding Annual Return</v>
      </c>
      <c r="B7279">
        <v>1059</v>
      </c>
      <c r="C7279" s="9" t="s">
        <v>30</v>
      </c>
      <c r="D7279" s="8">
        <v>7.77E-3</v>
      </c>
    </row>
    <row r="7280" spans="1:4">
      <c r="A7280" t="str">
        <f t="shared" si="121"/>
        <v>1059Drawdown</v>
      </c>
      <c r="B7280">
        <v>1059</v>
      </c>
      <c r="C7280" s="9" t="s">
        <v>8</v>
      </c>
      <c r="D7280" s="8">
        <v>1.2999999999999999E-2</v>
      </c>
    </row>
    <row r="7281" spans="1:4">
      <c r="A7281" t="str">
        <f t="shared" si="121"/>
        <v>1059Expectancy</v>
      </c>
      <c r="B7281">
        <v>1059</v>
      </c>
      <c r="C7281" s="9" t="s">
        <v>31</v>
      </c>
      <c r="D7281" s="8">
        <v>5.6000000000000001E-2</v>
      </c>
    </row>
    <row r="7282" spans="1:4">
      <c r="A7282" t="str">
        <f t="shared" si="121"/>
        <v>1059Net Profit</v>
      </c>
      <c r="B7282">
        <v>1059</v>
      </c>
      <c r="C7282" s="9" t="s">
        <v>32</v>
      </c>
      <c r="D7282" s="8">
        <v>5.1500000000000001E-3</v>
      </c>
    </row>
    <row r="7283" spans="1:4">
      <c r="A7283" t="str">
        <f t="shared" si="121"/>
        <v>1059Loss Rate</v>
      </c>
      <c r="B7283">
        <v>1059</v>
      </c>
      <c r="C7283" s="9" t="s">
        <v>33</v>
      </c>
      <c r="D7283" s="8">
        <v>0.32</v>
      </c>
    </row>
    <row r="7284" spans="1:4">
      <c r="A7284" t="str">
        <f t="shared" si="121"/>
        <v>1059Win Rate</v>
      </c>
      <c r="B7284">
        <v>1059</v>
      </c>
      <c r="C7284" s="9" t="s">
        <v>34</v>
      </c>
      <c r="D7284" s="8">
        <v>0.68</v>
      </c>
    </row>
    <row r="7285" spans="1:4">
      <c r="A7285" t="str">
        <f t="shared" si="121"/>
        <v>1059Profit-Loss Ratio</v>
      </c>
      <c r="B7285">
        <v>1059</v>
      </c>
      <c r="C7285" s="9" t="s">
        <v>26</v>
      </c>
      <c r="D7285" s="8">
        <v>0.56000000000000005</v>
      </c>
    </row>
    <row r="7286" spans="1:4">
      <c r="A7286" t="str">
        <f t="shared" si="121"/>
        <v>1059Alpha</v>
      </c>
      <c r="B7286">
        <v>1059</v>
      </c>
      <c r="C7286" s="9" t="s">
        <v>23</v>
      </c>
      <c r="D7286" s="8">
        <v>7.0000000000000001E-3</v>
      </c>
    </row>
    <row r="7287" spans="1:4">
      <c r="A7287" t="str">
        <f t="shared" si="121"/>
        <v>1059Beta</v>
      </c>
      <c r="B7287">
        <v>1059</v>
      </c>
      <c r="C7287" s="9" t="s">
        <v>24</v>
      </c>
      <c r="D7287" s="8">
        <v>-3.5000000000000003E-2</v>
      </c>
    </row>
    <row r="7288" spans="1:4">
      <c r="A7288" t="str">
        <f t="shared" si="121"/>
        <v>1059Annual Standard Deviation</v>
      </c>
      <c r="B7288">
        <v>1059</v>
      </c>
      <c r="C7288" s="9" t="s">
        <v>35</v>
      </c>
      <c r="D7288" s="8">
        <v>1.2999999999999999E-2</v>
      </c>
    </row>
    <row r="7289" spans="1:4">
      <c r="A7289" t="str">
        <f t="shared" si="121"/>
        <v>1059Annual Variance</v>
      </c>
      <c r="B7289">
        <v>1059</v>
      </c>
      <c r="C7289" s="9" t="s">
        <v>36</v>
      </c>
      <c r="D7289" s="8">
        <v>0</v>
      </c>
    </row>
    <row r="7290" spans="1:4">
      <c r="A7290" t="str">
        <f t="shared" si="121"/>
        <v>1059Information Ratio</v>
      </c>
      <c r="B7290">
        <v>1059</v>
      </c>
      <c r="C7290" s="9" t="s">
        <v>37</v>
      </c>
      <c r="D7290" s="8">
        <v>-0.65800000000000003</v>
      </c>
    </row>
    <row r="7291" spans="1:4">
      <c r="A7291" t="str">
        <f t="shared" si="121"/>
        <v>1059Tracking Error</v>
      </c>
      <c r="B7291">
        <v>1059</v>
      </c>
      <c r="C7291" s="9" t="s">
        <v>38</v>
      </c>
      <c r="D7291" s="8">
        <v>7.0999999999999994E-2</v>
      </c>
    </row>
    <row r="7292" spans="1:4">
      <c r="A7292" t="str">
        <f t="shared" si="121"/>
        <v>1059Treynor Ratio</v>
      </c>
      <c r="B7292">
        <v>1059</v>
      </c>
      <c r="C7292" s="9" t="s">
        <v>39</v>
      </c>
      <c r="D7292" s="8">
        <v>-0.156</v>
      </c>
    </row>
    <row r="7293" spans="1:4">
      <c r="A7293" t="str">
        <f t="shared" si="121"/>
        <v>1059Total Fees</v>
      </c>
      <c r="B7293">
        <v>1059</v>
      </c>
      <c r="C7293" s="9" t="s">
        <v>40</v>
      </c>
      <c r="D7293" s="8">
        <v>0</v>
      </c>
    </row>
    <row r="7294" spans="1:4">
      <c r="A7294" t="str">
        <f t="shared" si="121"/>
        <v>1059Estimated Strategy Capacity</v>
      </c>
      <c r="B7294">
        <v>1059</v>
      </c>
      <c r="C7294" s="9" t="s">
        <v>41</v>
      </c>
      <c r="D7294" s="8">
        <v>84000000</v>
      </c>
    </row>
    <row r="7295" spans="1:4">
      <c r="A7295" t="str">
        <f t="shared" si="121"/>
        <v>1060PSR</v>
      </c>
      <c r="B7295">
        <v>1060</v>
      </c>
      <c r="C7295" s="9" t="s">
        <v>27</v>
      </c>
      <c r="D7295" s="8">
        <v>0.63532</v>
      </c>
    </row>
    <row r="7296" spans="1:4">
      <c r="A7296" t="str">
        <f t="shared" si="121"/>
        <v>1060Sharpe Ratio</v>
      </c>
      <c r="B7296">
        <v>1060</v>
      </c>
      <c r="C7296" s="9" t="s">
        <v>1</v>
      </c>
      <c r="D7296" s="8">
        <v>1.3360000000000001</v>
      </c>
    </row>
    <row r="7297" spans="1:4">
      <c r="A7297" t="str">
        <f t="shared" si="121"/>
        <v>1060Total Trades</v>
      </c>
      <c r="B7297">
        <v>1060</v>
      </c>
      <c r="C7297" s="9" t="s">
        <v>28</v>
      </c>
      <c r="D7297" s="8">
        <v>830</v>
      </c>
    </row>
    <row r="7298" spans="1:4">
      <c r="A7298" t="str">
        <f t="shared" si="121"/>
        <v>1060Average Win</v>
      </c>
      <c r="B7298">
        <v>1060</v>
      </c>
      <c r="C7298" s="9" t="s">
        <v>25</v>
      </c>
      <c r="D7298" s="8">
        <v>0</v>
      </c>
    </row>
    <row r="7299" spans="1:4">
      <c r="A7299" t="str">
        <f t="shared" si="121"/>
        <v>1060Average Loss</v>
      </c>
      <c r="B7299">
        <v>1060</v>
      </c>
      <c r="C7299" s="9" t="s">
        <v>29</v>
      </c>
      <c r="D7299" s="8">
        <v>0</v>
      </c>
    </row>
    <row r="7300" spans="1:4">
      <c r="A7300" t="str">
        <f t="shared" si="121"/>
        <v>1060Compounding Annual Return</v>
      </c>
      <c r="B7300">
        <v>1060</v>
      </c>
      <c r="C7300" s="9" t="s">
        <v>30</v>
      </c>
      <c r="D7300" s="8">
        <v>1.89E-3</v>
      </c>
    </row>
    <row r="7301" spans="1:4">
      <c r="A7301" t="str">
        <f t="shared" si="121"/>
        <v>1060Drawdown</v>
      </c>
      <c r="B7301">
        <v>1060</v>
      </c>
      <c r="C7301" s="9" t="s">
        <v>8</v>
      </c>
      <c r="D7301" s="8">
        <v>0</v>
      </c>
    </row>
    <row r="7302" spans="1:4">
      <c r="A7302" t="str">
        <f t="shared" si="121"/>
        <v>1060Expectancy</v>
      </c>
      <c r="B7302">
        <v>1060</v>
      </c>
      <c r="C7302" s="9" t="s">
        <v>31</v>
      </c>
      <c r="D7302" s="8">
        <v>0.32400000000000001</v>
      </c>
    </row>
    <row r="7303" spans="1:4">
      <c r="A7303" t="str">
        <f t="shared" si="121"/>
        <v>1060Net Profit</v>
      </c>
      <c r="B7303">
        <v>1060</v>
      </c>
      <c r="C7303" s="9" t="s">
        <v>32</v>
      </c>
      <c r="D7303" s="8">
        <v>1.25E-3</v>
      </c>
    </row>
    <row r="7304" spans="1:4">
      <c r="A7304" t="str">
        <f t="shared" si="121"/>
        <v>1060Loss Rate</v>
      </c>
      <c r="B7304">
        <v>1060</v>
      </c>
      <c r="C7304" s="9" t="s">
        <v>33</v>
      </c>
      <c r="D7304" s="8">
        <v>0.24</v>
      </c>
    </row>
    <row r="7305" spans="1:4">
      <c r="A7305" t="str">
        <f t="shared" si="121"/>
        <v>1060Win Rate</v>
      </c>
      <c r="B7305">
        <v>1060</v>
      </c>
      <c r="C7305" s="9" t="s">
        <v>34</v>
      </c>
      <c r="D7305" s="8">
        <v>0.76</v>
      </c>
    </row>
    <row r="7306" spans="1:4">
      <c r="A7306" t="str">
        <f t="shared" si="121"/>
        <v>1060Profit-Loss Ratio</v>
      </c>
      <c r="B7306">
        <v>1060</v>
      </c>
      <c r="C7306" s="9" t="s">
        <v>26</v>
      </c>
      <c r="D7306" s="8">
        <v>0.73</v>
      </c>
    </row>
    <row r="7307" spans="1:4">
      <c r="A7307" t="str">
        <f t="shared" si="121"/>
        <v>1060Alpha</v>
      </c>
      <c r="B7307">
        <v>1060</v>
      </c>
      <c r="C7307" s="9" t="s">
        <v>23</v>
      </c>
      <c r="D7307" s="8">
        <v>1E-3</v>
      </c>
    </row>
    <row r="7308" spans="1:4">
      <c r="A7308" t="str">
        <f t="shared" si="121"/>
        <v>1060Beta</v>
      </c>
      <c r="B7308">
        <v>1060</v>
      </c>
      <c r="C7308" s="9" t="s">
        <v>24</v>
      </c>
      <c r="D7308" s="8">
        <v>-1E-3</v>
      </c>
    </row>
    <row r="7309" spans="1:4">
      <c r="A7309" t="str">
        <f t="shared" si="121"/>
        <v>1060Annual Standard Deviation</v>
      </c>
      <c r="B7309">
        <v>1060</v>
      </c>
      <c r="C7309" s="9" t="s">
        <v>35</v>
      </c>
      <c r="D7309" s="8">
        <v>1E-3</v>
      </c>
    </row>
    <row r="7310" spans="1:4">
      <c r="A7310" t="str">
        <f t="shared" si="121"/>
        <v>1060Annual Variance</v>
      </c>
      <c r="B7310">
        <v>1060</v>
      </c>
      <c r="C7310" s="9" t="s">
        <v>36</v>
      </c>
      <c r="D7310" s="8">
        <v>0</v>
      </c>
    </row>
    <row r="7311" spans="1:4">
      <c r="A7311" t="str">
        <f t="shared" si="121"/>
        <v>1060Information Ratio</v>
      </c>
      <c r="B7311">
        <v>1060</v>
      </c>
      <c r="C7311" s="9" t="s">
        <v>37</v>
      </c>
      <c r="D7311" s="8">
        <v>-0.753</v>
      </c>
    </row>
    <row r="7312" spans="1:4">
      <c r="A7312" t="str">
        <f t="shared" si="121"/>
        <v>1060Tracking Error</v>
      </c>
      <c r="B7312">
        <v>1060</v>
      </c>
      <c r="C7312" s="9" t="s">
        <v>38</v>
      </c>
      <c r="D7312" s="8">
        <v>6.7000000000000004E-2</v>
      </c>
    </row>
    <row r="7313" spans="1:4">
      <c r="A7313" t="str">
        <f t="shared" si="121"/>
        <v>1060Treynor Ratio</v>
      </c>
      <c r="B7313">
        <v>1060</v>
      </c>
      <c r="C7313" s="9" t="s">
        <v>39</v>
      </c>
      <c r="D7313" s="8">
        <v>-1.161</v>
      </c>
    </row>
    <row r="7314" spans="1:4">
      <c r="A7314" t="str">
        <f t="shared" si="121"/>
        <v>1060Total Fees</v>
      </c>
      <c r="B7314">
        <v>1060</v>
      </c>
      <c r="C7314" s="9" t="s">
        <v>40</v>
      </c>
      <c r="D7314" s="8">
        <v>0</v>
      </c>
    </row>
    <row r="7315" spans="1:4">
      <c r="A7315" t="str">
        <f t="shared" si="121"/>
        <v>1060Estimated Strategy Capacity</v>
      </c>
      <c r="B7315">
        <v>1060</v>
      </c>
      <c r="C7315" s="9" t="s">
        <v>41</v>
      </c>
      <c r="D7315" s="8">
        <v>390000000</v>
      </c>
    </row>
    <row r="7316" spans="1:4">
      <c r="A7316" t="str">
        <f t="shared" si="121"/>
        <v>1061PSR</v>
      </c>
      <c r="B7316">
        <v>1061</v>
      </c>
      <c r="C7316" s="9" t="s">
        <v>27</v>
      </c>
      <c r="D7316" s="8">
        <v>0.63544</v>
      </c>
    </row>
    <row r="7317" spans="1:4">
      <c r="A7317" t="str">
        <f t="shared" si="121"/>
        <v>1061Sharpe Ratio</v>
      </c>
      <c r="B7317">
        <v>1061</v>
      </c>
      <c r="C7317" s="9" t="s">
        <v>1</v>
      </c>
      <c r="D7317" s="8">
        <v>1.3440000000000001</v>
      </c>
    </row>
    <row r="7318" spans="1:4">
      <c r="A7318" t="str">
        <f t="shared" si="121"/>
        <v>1061Total Trades</v>
      </c>
      <c r="B7318">
        <v>1061</v>
      </c>
      <c r="C7318" s="9" t="s">
        <v>28</v>
      </c>
      <c r="D7318" s="8">
        <v>830</v>
      </c>
    </row>
    <row r="7319" spans="1:4">
      <c r="A7319" t="str">
        <f t="shared" si="121"/>
        <v>1061Average Win</v>
      </c>
      <c r="B7319">
        <v>1061</v>
      </c>
      <c r="C7319" s="9" t="s">
        <v>25</v>
      </c>
      <c r="D7319" s="8">
        <v>2.9999999999999997E-4</v>
      </c>
    </row>
    <row r="7320" spans="1:4">
      <c r="A7320" t="str">
        <f t="shared" si="121"/>
        <v>1061Average Loss</v>
      </c>
      <c r="B7320">
        <v>1061</v>
      </c>
      <c r="C7320" s="9" t="s">
        <v>29</v>
      </c>
      <c r="D7320" s="8">
        <v>-4.0000000000000002E-4</v>
      </c>
    </row>
    <row r="7321" spans="1:4">
      <c r="A7321" t="str">
        <f t="shared" si="121"/>
        <v>1061Compounding Annual Return</v>
      </c>
      <c r="B7321">
        <v>1061</v>
      </c>
      <c r="C7321" s="9" t="s">
        <v>30</v>
      </c>
      <c r="D7321" s="8">
        <v>1.8970000000000001E-2</v>
      </c>
    </row>
    <row r="7322" spans="1:4">
      <c r="A7322" t="str">
        <f t="shared" si="121"/>
        <v>1061Drawdown</v>
      </c>
      <c r="B7322">
        <v>1061</v>
      </c>
      <c r="C7322" s="9" t="s">
        <v>8</v>
      </c>
      <c r="D7322" s="8">
        <v>5.0000000000000001E-3</v>
      </c>
    </row>
    <row r="7323" spans="1:4">
      <c r="A7323" t="str">
        <f t="shared" si="121"/>
        <v>1061Expectancy</v>
      </c>
      <c r="B7323">
        <v>1061</v>
      </c>
      <c r="C7323" s="9" t="s">
        <v>31</v>
      </c>
      <c r="D7323" s="8">
        <v>0.32500000000000001</v>
      </c>
    </row>
    <row r="7324" spans="1:4">
      <c r="A7324" t="str">
        <f t="shared" si="121"/>
        <v>1061Net Profit</v>
      </c>
      <c r="B7324">
        <v>1061</v>
      </c>
      <c r="C7324" s="9" t="s">
        <v>32</v>
      </c>
      <c r="D7324" s="8">
        <v>1.2529999999999999E-2</v>
      </c>
    </row>
    <row r="7325" spans="1:4">
      <c r="A7325" t="str">
        <f t="shared" si="121"/>
        <v>1061Loss Rate</v>
      </c>
      <c r="B7325">
        <v>1061</v>
      </c>
      <c r="C7325" s="9" t="s">
        <v>33</v>
      </c>
      <c r="D7325" s="8">
        <v>0.24</v>
      </c>
    </row>
    <row r="7326" spans="1:4">
      <c r="A7326" t="str">
        <f t="shared" si="121"/>
        <v>1061Win Rate</v>
      </c>
      <c r="B7326">
        <v>1061</v>
      </c>
      <c r="C7326" s="9" t="s">
        <v>34</v>
      </c>
      <c r="D7326" s="8">
        <v>0.76</v>
      </c>
    </row>
    <row r="7327" spans="1:4">
      <c r="A7327" t="str">
        <f t="shared" si="121"/>
        <v>1061Profit-Loss Ratio</v>
      </c>
      <c r="B7327">
        <v>1061</v>
      </c>
      <c r="C7327" s="9" t="s">
        <v>26</v>
      </c>
      <c r="D7327" s="8">
        <v>0.73</v>
      </c>
    </row>
    <row r="7328" spans="1:4">
      <c r="A7328" t="str">
        <f t="shared" si="121"/>
        <v>1061Alpha</v>
      </c>
      <c r="B7328">
        <v>1061</v>
      </c>
      <c r="C7328" s="9" t="s">
        <v>23</v>
      </c>
      <c r="D7328" s="8">
        <v>1.4E-2</v>
      </c>
    </row>
    <row r="7329" spans="1:4">
      <c r="A7329" t="str">
        <f t="shared" si="121"/>
        <v>1061Beta</v>
      </c>
      <c r="B7329">
        <v>1061</v>
      </c>
      <c r="C7329" s="9" t="s">
        <v>24</v>
      </c>
      <c r="D7329" s="8">
        <v>-1.0999999999999999E-2</v>
      </c>
    </row>
    <row r="7330" spans="1:4">
      <c r="A7330" t="str">
        <f t="shared" ref="A7330:A7393" si="122">B7330&amp;C7330</f>
        <v>1061Annual Standard Deviation</v>
      </c>
      <c r="B7330">
        <v>1061</v>
      </c>
      <c r="C7330" s="9" t="s">
        <v>35</v>
      </c>
      <c r="D7330" s="8">
        <v>0.01</v>
      </c>
    </row>
    <row r="7331" spans="1:4">
      <c r="A7331" t="str">
        <f t="shared" si="122"/>
        <v>1061Annual Variance</v>
      </c>
      <c r="B7331">
        <v>1061</v>
      </c>
      <c r="C7331" s="9" t="s">
        <v>36</v>
      </c>
      <c r="D7331" s="8">
        <v>0</v>
      </c>
    </row>
    <row r="7332" spans="1:4">
      <c r="A7332" t="str">
        <f t="shared" si="122"/>
        <v>1061Information Ratio</v>
      </c>
      <c r="B7332">
        <v>1061</v>
      </c>
      <c r="C7332" s="9" t="s">
        <v>37</v>
      </c>
      <c r="D7332" s="8">
        <v>-0.55700000000000005</v>
      </c>
    </row>
    <row r="7333" spans="1:4">
      <c r="A7333" t="str">
        <f t="shared" si="122"/>
        <v>1061Tracking Error</v>
      </c>
      <c r="B7333">
        <v>1061</v>
      </c>
      <c r="C7333" s="9" t="s">
        <v>38</v>
      </c>
      <c r="D7333" s="8">
        <v>6.9000000000000006E-2</v>
      </c>
    </row>
    <row r="7334" spans="1:4">
      <c r="A7334" t="str">
        <f t="shared" si="122"/>
        <v>1061Treynor Ratio</v>
      </c>
      <c r="B7334">
        <v>1061</v>
      </c>
      <c r="C7334" s="9" t="s">
        <v>39</v>
      </c>
      <c r="D7334" s="8">
        <v>-1.161</v>
      </c>
    </row>
    <row r="7335" spans="1:4">
      <c r="A7335" t="str">
        <f t="shared" si="122"/>
        <v>1061Total Fees</v>
      </c>
      <c r="B7335">
        <v>1061</v>
      </c>
      <c r="C7335" s="9" t="s">
        <v>40</v>
      </c>
      <c r="D7335" s="8">
        <v>0</v>
      </c>
    </row>
    <row r="7336" spans="1:4">
      <c r="A7336" t="str">
        <f t="shared" si="122"/>
        <v>1061Estimated Strategy Capacity</v>
      </c>
      <c r="B7336">
        <v>1061</v>
      </c>
      <c r="C7336" s="9" t="s">
        <v>41</v>
      </c>
      <c r="D7336" s="8">
        <v>43000000</v>
      </c>
    </row>
    <row r="7337" spans="1:4">
      <c r="A7337" t="str">
        <f t="shared" si="122"/>
        <v>1062PSR</v>
      </c>
      <c r="B7337">
        <v>1062</v>
      </c>
      <c r="C7337" s="9" t="s">
        <v>27</v>
      </c>
      <c r="D7337" s="8">
        <v>0.14380000000000001</v>
      </c>
    </row>
    <row r="7338" spans="1:4">
      <c r="A7338" t="str">
        <f t="shared" si="122"/>
        <v>1062Sharpe Ratio</v>
      </c>
      <c r="B7338">
        <v>1062</v>
      </c>
      <c r="C7338" s="9" t="s">
        <v>1</v>
      </c>
      <c r="D7338" s="8">
        <v>-8.4000000000000005E-2</v>
      </c>
    </row>
    <row r="7339" spans="1:4">
      <c r="A7339" t="str">
        <f t="shared" si="122"/>
        <v>1062Total Trades</v>
      </c>
      <c r="B7339">
        <v>1062</v>
      </c>
      <c r="C7339" s="9" t="s">
        <v>28</v>
      </c>
      <c r="D7339" s="8">
        <v>389</v>
      </c>
    </row>
    <row r="7340" spans="1:4">
      <c r="A7340" t="str">
        <f t="shared" si="122"/>
        <v>1062Average Win</v>
      </c>
      <c r="B7340">
        <v>1062</v>
      </c>
      <c r="C7340" s="9" t="s">
        <v>25</v>
      </c>
      <c r="D7340" s="8">
        <v>8.9999999999999998E-4</v>
      </c>
    </row>
    <row r="7341" spans="1:4">
      <c r="A7341" t="str">
        <f t="shared" si="122"/>
        <v>1062Average Loss</v>
      </c>
      <c r="B7341">
        <v>1062</v>
      </c>
      <c r="C7341" s="9" t="s">
        <v>29</v>
      </c>
      <c r="D7341" s="8">
        <v>-2.7000000000000001E-3</v>
      </c>
    </row>
    <row r="7342" spans="1:4">
      <c r="A7342" t="str">
        <f t="shared" si="122"/>
        <v>1062Compounding Annual Return</v>
      </c>
      <c r="B7342">
        <v>1062</v>
      </c>
      <c r="C7342" s="9" t="s">
        <v>30</v>
      </c>
      <c r="D7342" s="8">
        <v>-3.3600000000000001E-3</v>
      </c>
    </row>
    <row r="7343" spans="1:4">
      <c r="A7343" t="str">
        <f t="shared" si="122"/>
        <v>1062Drawdown</v>
      </c>
      <c r="B7343">
        <v>1062</v>
      </c>
      <c r="C7343" s="9" t="s">
        <v>8</v>
      </c>
      <c r="D7343" s="8">
        <v>3.2000000000000001E-2</v>
      </c>
    </row>
    <row r="7344" spans="1:4">
      <c r="A7344" t="str">
        <f t="shared" si="122"/>
        <v>1062Expectancy</v>
      </c>
      <c r="B7344">
        <v>1062</v>
      </c>
      <c r="C7344" s="9" t="s">
        <v>31</v>
      </c>
      <c r="D7344" s="8">
        <v>-0.01</v>
      </c>
    </row>
    <row r="7345" spans="1:4">
      <c r="A7345" t="str">
        <f t="shared" si="122"/>
        <v>1062Net Profit</v>
      </c>
      <c r="B7345">
        <v>1062</v>
      </c>
      <c r="C7345" s="9" t="s">
        <v>32</v>
      </c>
      <c r="D7345" s="8">
        <v>-2.2599999999999999E-3</v>
      </c>
    </row>
    <row r="7346" spans="1:4">
      <c r="A7346" t="str">
        <f t="shared" si="122"/>
        <v>1062Loss Rate</v>
      </c>
      <c r="B7346">
        <v>1062</v>
      </c>
      <c r="C7346" s="9" t="s">
        <v>33</v>
      </c>
      <c r="D7346" s="8">
        <v>0.26</v>
      </c>
    </row>
    <row r="7347" spans="1:4">
      <c r="A7347" t="str">
        <f t="shared" si="122"/>
        <v>1062Win Rate</v>
      </c>
      <c r="B7347">
        <v>1062</v>
      </c>
      <c r="C7347" s="9" t="s">
        <v>34</v>
      </c>
      <c r="D7347" s="8">
        <v>0.74</v>
      </c>
    </row>
    <row r="7348" spans="1:4">
      <c r="A7348" t="str">
        <f t="shared" si="122"/>
        <v>1062Profit-Loss Ratio</v>
      </c>
      <c r="B7348">
        <v>1062</v>
      </c>
      <c r="C7348" s="9" t="s">
        <v>26</v>
      </c>
      <c r="D7348" s="8">
        <v>0.34</v>
      </c>
    </row>
    <row r="7349" spans="1:4">
      <c r="A7349" t="str">
        <f t="shared" si="122"/>
        <v>1062Alpha</v>
      </c>
      <c r="B7349">
        <v>1062</v>
      </c>
      <c r="C7349" s="9" t="s">
        <v>23</v>
      </c>
      <c r="D7349" s="8">
        <v>3.0000000000000001E-3</v>
      </c>
    </row>
    <row r="7350" spans="1:4">
      <c r="A7350" t="str">
        <f t="shared" si="122"/>
        <v>1062Beta</v>
      </c>
      <c r="B7350">
        <v>1062</v>
      </c>
      <c r="C7350" s="9" t="s">
        <v>24</v>
      </c>
      <c r="D7350" s="8">
        <v>-9.6000000000000002E-2</v>
      </c>
    </row>
    <row r="7351" spans="1:4">
      <c r="A7351" t="str">
        <f t="shared" si="122"/>
        <v>1062Annual Standard Deviation</v>
      </c>
      <c r="B7351">
        <v>1062</v>
      </c>
      <c r="C7351" s="9" t="s">
        <v>35</v>
      </c>
      <c r="D7351" s="8">
        <v>2.4E-2</v>
      </c>
    </row>
    <row r="7352" spans="1:4">
      <c r="A7352" t="str">
        <f t="shared" si="122"/>
        <v>1062Annual Variance</v>
      </c>
      <c r="B7352">
        <v>1062</v>
      </c>
      <c r="C7352" s="9" t="s">
        <v>36</v>
      </c>
      <c r="D7352" s="8">
        <v>1E-3</v>
      </c>
    </row>
    <row r="7353" spans="1:4">
      <c r="A7353" t="str">
        <f t="shared" si="122"/>
        <v>1062Information Ratio</v>
      </c>
      <c r="B7353">
        <v>1062</v>
      </c>
      <c r="C7353" s="9" t="s">
        <v>37</v>
      </c>
      <c r="D7353" s="8">
        <v>-0.67300000000000004</v>
      </c>
    </row>
    <row r="7354" spans="1:4">
      <c r="A7354" t="str">
        <f t="shared" si="122"/>
        <v>1062Tracking Error</v>
      </c>
      <c r="B7354">
        <v>1062</v>
      </c>
      <c r="C7354" s="9" t="s">
        <v>38</v>
      </c>
      <c r="D7354" s="8">
        <v>7.6999999999999999E-2</v>
      </c>
    </row>
    <row r="7355" spans="1:4">
      <c r="A7355" t="str">
        <f t="shared" si="122"/>
        <v>1062Treynor Ratio</v>
      </c>
      <c r="B7355">
        <v>1062</v>
      </c>
      <c r="C7355" s="9" t="s">
        <v>39</v>
      </c>
      <c r="D7355" s="8">
        <v>2.1000000000000001E-2</v>
      </c>
    </row>
    <row r="7356" spans="1:4">
      <c r="A7356" t="str">
        <f t="shared" si="122"/>
        <v>1062Total Fees</v>
      </c>
      <c r="B7356">
        <v>1062</v>
      </c>
      <c r="C7356" s="9" t="s">
        <v>40</v>
      </c>
      <c r="D7356" s="8">
        <v>0</v>
      </c>
    </row>
    <row r="7357" spans="1:4">
      <c r="A7357" t="str">
        <f t="shared" si="122"/>
        <v>1062Estimated Strategy Capacity</v>
      </c>
      <c r="B7357">
        <v>1062</v>
      </c>
      <c r="C7357" s="9" t="s">
        <v>41</v>
      </c>
      <c r="D7357" s="8">
        <v>100000000</v>
      </c>
    </row>
    <row r="7358" spans="1:4">
      <c r="A7358" t="str">
        <f t="shared" si="122"/>
        <v>1081PSR</v>
      </c>
      <c r="B7358">
        <v>1081</v>
      </c>
      <c r="C7358" s="9" t="s">
        <v>27</v>
      </c>
      <c r="D7358" s="8">
        <v>5.5980000000000002E-2</v>
      </c>
    </row>
    <row r="7359" spans="1:4">
      <c r="A7359" t="str">
        <f t="shared" si="122"/>
        <v>1081Sharpe Ratio</v>
      </c>
      <c r="B7359">
        <v>1081</v>
      </c>
      <c r="C7359" s="9" t="s">
        <v>1</v>
      </c>
      <c r="D7359" s="8">
        <v>-0.68</v>
      </c>
    </row>
    <row r="7360" spans="1:4">
      <c r="A7360" t="str">
        <f t="shared" si="122"/>
        <v>1081Total Trades</v>
      </c>
      <c r="B7360">
        <v>1081</v>
      </c>
      <c r="C7360" s="9" t="s">
        <v>28</v>
      </c>
      <c r="D7360" s="8">
        <v>1495</v>
      </c>
    </row>
    <row r="7361" spans="1:4">
      <c r="A7361" t="str">
        <f t="shared" si="122"/>
        <v>1081Average Win</v>
      </c>
      <c r="B7361">
        <v>1081</v>
      </c>
      <c r="C7361" s="9" t="s">
        <v>25</v>
      </c>
      <c r="D7361" s="8">
        <v>0</v>
      </c>
    </row>
    <row r="7362" spans="1:4">
      <c r="A7362" t="str">
        <f t="shared" si="122"/>
        <v>1081Average Loss</v>
      </c>
      <c r="B7362">
        <v>1081</v>
      </c>
      <c r="C7362" s="9" t="s">
        <v>29</v>
      </c>
      <c r="D7362" s="8">
        <v>0</v>
      </c>
    </row>
    <row r="7363" spans="1:4">
      <c r="A7363" t="str">
        <f t="shared" si="122"/>
        <v>1081Compounding Annual Return</v>
      </c>
      <c r="B7363">
        <v>1081</v>
      </c>
      <c r="C7363" s="9" t="s">
        <v>30</v>
      </c>
      <c r="D7363" s="8">
        <v>-9.6000000000000002E-4</v>
      </c>
    </row>
    <row r="7364" spans="1:4">
      <c r="A7364" t="str">
        <f t="shared" si="122"/>
        <v>1081Drawdown</v>
      </c>
      <c r="B7364">
        <v>1081</v>
      </c>
      <c r="C7364" s="9" t="s">
        <v>8</v>
      </c>
      <c r="D7364" s="8">
        <v>2E-3</v>
      </c>
    </row>
    <row r="7365" spans="1:4">
      <c r="A7365" t="str">
        <f t="shared" si="122"/>
        <v>1081Expectancy</v>
      </c>
      <c r="B7365">
        <v>1081</v>
      </c>
      <c r="C7365" s="9" t="s">
        <v>31</v>
      </c>
      <c r="D7365" s="8">
        <v>-8.5000000000000006E-2</v>
      </c>
    </row>
    <row r="7366" spans="1:4">
      <c r="A7366" t="str">
        <f t="shared" si="122"/>
        <v>1081Net Profit</v>
      </c>
      <c r="B7366">
        <v>1081</v>
      </c>
      <c r="C7366" s="9" t="s">
        <v>32</v>
      </c>
      <c r="D7366" s="8">
        <v>-6.4000000000000005E-4</v>
      </c>
    </row>
    <row r="7367" spans="1:4">
      <c r="A7367" t="str">
        <f t="shared" si="122"/>
        <v>1081Loss Rate</v>
      </c>
      <c r="B7367">
        <v>1081</v>
      </c>
      <c r="C7367" s="9" t="s">
        <v>33</v>
      </c>
      <c r="D7367" s="8">
        <v>0.36</v>
      </c>
    </row>
    <row r="7368" spans="1:4">
      <c r="A7368" t="str">
        <f t="shared" si="122"/>
        <v>1081Win Rate</v>
      </c>
      <c r="B7368">
        <v>1081</v>
      </c>
      <c r="C7368" s="9" t="s">
        <v>34</v>
      </c>
      <c r="D7368" s="8">
        <v>0.64</v>
      </c>
    </row>
    <row r="7369" spans="1:4">
      <c r="A7369" t="str">
        <f t="shared" si="122"/>
        <v>1081Profit-Loss Ratio</v>
      </c>
      <c r="B7369">
        <v>1081</v>
      </c>
      <c r="C7369" s="9" t="s">
        <v>26</v>
      </c>
      <c r="D7369" s="8">
        <v>0.44</v>
      </c>
    </row>
    <row r="7370" spans="1:4">
      <c r="A7370" t="str">
        <f t="shared" si="122"/>
        <v>1081Alpha</v>
      </c>
      <c r="B7370">
        <v>1081</v>
      </c>
      <c r="C7370" s="9" t="s">
        <v>23</v>
      </c>
      <c r="D7370" s="8">
        <v>-1E-3</v>
      </c>
    </row>
    <row r="7371" spans="1:4">
      <c r="A7371" t="str">
        <f t="shared" si="122"/>
        <v>1081Beta</v>
      </c>
      <c r="B7371">
        <v>1081</v>
      </c>
      <c r="C7371" s="9" t="s">
        <v>24</v>
      </c>
      <c r="D7371" s="8">
        <v>0</v>
      </c>
    </row>
    <row r="7372" spans="1:4">
      <c r="A7372" t="str">
        <f t="shared" si="122"/>
        <v>1081Annual Standard Deviation</v>
      </c>
      <c r="B7372">
        <v>1081</v>
      </c>
      <c r="C7372" s="9" t="s">
        <v>35</v>
      </c>
      <c r="D7372" s="8">
        <v>1E-3</v>
      </c>
    </row>
    <row r="7373" spans="1:4">
      <c r="A7373" t="str">
        <f t="shared" si="122"/>
        <v>1081Annual Variance</v>
      </c>
      <c r="B7373">
        <v>1081</v>
      </c>
      <c r="C7373" s="9" t="s">
        <v>36</v>
      </c>
      <c r="D7373" s="8">
        <v>0</v>
      </c>
    </row>
    <row r="7374" spans="1:4">
      <c r="A7374" t="str">
        <f t="shared" si="122"/>
        <v>1081Information Ratio</v>
      </c>
      <c r="B7374">
        <v>1081</v>
      </c>
      <c r="C7374" s="9" t="s">
        <v>37</v>
      </c>
      <c r="D7374" s="8">
        <v>-0.78400000000000003</v>
      </c>
    </row>
    <row r="7375" spans="1:4">
      <c r="A7375" t="str">
        <f t="shared" si="122"/>
        <v>1081Tracking Error</v>
      </c>
      <c r="B7375">
        <v>1081</v>
      </c>
      <c r="C7375" s="9" t="s">
        <v>38</v>
      </c>
      <c r="D7375" s="8">
        <v>6.7000000000000004E-2</v>
      </c>
    </row>
    <row r="7376" spans="1:4">
      <c r="A7376" t="str">
        <f t="shared" si="122"/>
        <v>1081Treynor Ratio</v>
      </c>
      <c r="B7376">
        <v>1081</v>
      </c>
      <c r="C7376" s="9" t="s">
        <v>39</v>
      </c>
      <c r="D7376" s="8">
        <v>-4.9080000000000004</v>
      </c>
    </row>
    <row r="7377" spans="1:4">
      <c r="A7377" t="str">
        <f t="shared" si="122"/>
        <v>1081Total Fees</v>
      </c>
      <c r="B7377">
        <v>1081</v>
      </c>
      <c r="C7377" s="9" t="s">
        <v>40</v>
      </c>
      <c r="D7377" s="8">
        <v>0</v>
      </c>
    </row>
    <row r="7378" spans="1:4">
      <c r="A7378" t="str">
        <f t="shared" si="122"/>
        <v>1081Estimated Strategy Capacity</v>
      </c>
      <c r="B7378">
        <v>1081</v>
      </c>
      <c r="C7378" s="9" t="s">
        <v>41</v>
      </c>
      <c r="D7378" s="8">
        <v>1800000000</v>
      </c>
    </row>
    <row r="7379" spans="1:4">
      <c r="A7379" t="str">
        <f t="shared" si="122"/>
        <v>1082PSR</v>
      </c>
      <c r="B7379">
        <v>1082</v>
      </c>
      <c r="C7379" s="9" t="s">
        <v>27</v>
      </c>
      <c r="D7379" s="8">
        <v>5.7029999999999997E-2</v>
      </c>
    </row>
    <row r="7380" spans="1:4">
      <c r="A7380" t="str">
        <f t="shared" si="122"/>
        <v>1082Sharpe Ratio</v>
      </c>
      <c r="B7380">
        <v>1082</v>
      </c>
      <c r="C7380" s="9" t="s">
        <v>1</v>
      </c>
      <c r="D7380" s="8">
        <v>-0.66900000000000004</v>
      </c>
    </row>
    <row r="7381" spans="1:4">
      <c r="A7381" t="str">
        <f t="shared" si="122"/>
        <v>1082Total Trades</v>
      </c>
      <c r="B7381">
        <v>1082</v>
      </c>
      <c r="C7381" s="9" t="s">
        <v>28</v>
      </c>
      <c r="D7381" s="8">
        <v>1495</v>
      </c>
    </row>
    <row r="7382" spans="1:4">
      <c r="A7382" t="str">
        <f t="shared" si="122"/>
        <v>1082Average Win</v>
      </c>
      <c r="B7382">
        <v>1082</v>
      </c>
      <c r="C7382" s="9" t="s">
        <v>25</v>
      </c>
      <c r="D7382" s="8">
        <v>2.0000000000000001E-4</v>
      </c>
    </row>
    <row r="7383" spans="1:4">
      <c r="A7383" t="str">
        <f t="shared" si="122"/>
        <v>1082Average Loss</v>
      </c>
      <c r="B7383">
        <v>1082</v>
      </c>
      <c r="C7383" s="9" t="s">
        <v>29</v>
      </c>
      <c r="D7383" s="8">
        <v>-4.0000000000000002E-4</v>
      </c>
    </row>
    <row r="7384" spans="1:4">
      <c r="A7384" t="str">
        <f t="shared" si="122"/>
        <v>1082Compounding Annual Return</v>
      </c>
      <c r="B7384">
        <v>1082</v>
      </c>
      <c r="C7384" s="9" t="s">
        <v>30</v>
      </c>
      <c r="D7384" s="8">
        <v>-9.6200000000000001E-3</v>
      </c>
    </row>
    <row r="7385" spans="1:4">
      <c r="A7385" t="str">
        <f t="shared" si="122"/>
        <v>1082Drawdown</v>
      </c>
      <c r="B7385">
        <v>1082</v>
      </c>
      <c r="C7385" s="9" t="s">
        <v>8</v>
      </c>
      <c r="D7385" s="8">
        <v>1.7000000000000001E-2</v>
      </c>
    </row>
    <row r="7386" spans="1:4">
      <c r="A7386" t="str">
        <f t="shared" si="122"/>
        <v>1082Expectancy</v>
      </c>
      <c r="B7386">
        <v>1082</v>
      </c>
      <c r="C7386" s="9" t="s">
        <v>31</v>
      </c>
      <c r="D7386" s="8">
        <v>-8.4000000000000005E-2</v>
      </c>
    </row>
    <row r="7387" spans="1:4">
      <c r="A7387" t="str">
        <f t="shared" si="122"/>
        <v>1082Net Profit</v>
      </c>
      <c r="B7387">
        <v>1082</v>
      </c>
      <c r="C7387" s="9" t="s">
        <v>32</v>
      </c>
      <c r="D7387" s="8">
        <v>-6.3800000000000003E-3</v>
      </c>
    </row>
    <row r="7388" spans="1:4">
      <c r="A7388" t="str">
        <f t="shared" si="122"/>
        <v>1082Loss Rate</v>
      </c>
      <c r="B7388">
        <v>1082</v>
      </c>
      <c r="C7388" s="9" t="s">
        <v>33</v>
      </c>
      <c r="D7388" s="8">
        <v>0.36</v>
      </c>
    </row>
    <row r="7389" spans="1:4">
      <c r="A7389" t="str">
        <f t="shared" si="122"/>
        <v>1082Win Rate</v>
      </c>
      <c r="B7389">
        <v>1082</v>
      </c>
      <c r="C7389" s="9" t="s">
        <v>34</v>
      </c>
      <c r="D7389" s="8">
        <v>0.64</v>
      </c>
    </row>
    <row r="7390" spans="1:4">
      <c r="A7390" t="str">
        <f t="shared" si="122"/>
        <v>1082Profit-Loss Ratio</v>
      </c>
      <c r="B7390">
        <v>1082</v>
      </c>
      <c r="C7390" s="9" t="s">
        <v>26</v>
      </c>
      <c r="D7390" s="8">
        <v>0.44</v>
      </c>
    </row>
    <row r="7391" spans="1:4">
      <c r="A7391" t="str">
        <f t="shared" si="122"/>
        <v>1082Alpha</v>
      </c>
      <c r="B7391">
        <v>1082</v>
      </c>
      <c r="C7391" s="9" t="s">
        <v>23</v>
      </c>
      <c r="D7391" s="8">
        <v>-7.0000000000000001E-3</v>
      </c>
    </row>
    <row r="7392" spans="1:4">
      <c r="A7392" t="str">
        <f t="shared" si="122"/>
        <v>1082Beta</v>
      </c>
      <c r="B7392">
        <v>1082</v>
      </c>
      <c r="C7392" s="9" t="s">
        <v>24</v>
      </c>
      <c r="D7392" s="8">
        <v>2E-3</v>
      </c>
    </row>
    <row r="7393" spans="1:4">
      <c r="A7393" t="str">
        <f t="shared" si="122"/>
        <v>1082Annual Standard Deviation</v>
      </c>
      <c r="B7393">
        <v>1082</v>
      </c>
      <c r="C7393" s="9" t="s">
        <v>35</v>
      </c>
      <c r="D7393" s="8">
        <v>0.01</v>
      </c>
    </row>
    <row r="7394" spans="1:4">
      <c r="A7394" t="str">
        <f t="shared" ref="A7394:A7457" si="123">B7394&amp;C7394</f>
        <v>1082Annual Variance</v>
      </c>
      <c r="B7394">
        <v>1082</v>
      </c>
      <c r="C7394" s="9" t="s">
        <v>36</v>
      </c>
      <c r="D7394" s="8">
        <v>0</v>
      </c>
    </row>
    <row r="7395" spans="1:4">
      <c r="A7395" t="str">
        <f t="shared" si="123"/>
        <v>1082Information Ratio</v>
      </c>
      <c r="B7395">
        <v>1082</v>
      </c>
      <c r="C7395" s="9" t="s">
        <v>37</v>
      </c>
      <c r="D7395" s="8">
        <v>-0.86399999999999999</v>
      </c>
    </row>
    <row r="7396" spans="1:4">
      <c r="A7396" t="str">
        <f t="shared" si="123"/>
        <v>1082Tracking Error</v>
      </c>
      <c r="B7396">
        <v>1082</v>
      </c>
      <c r="C7396" s="9" t="s">
        <v>38</v>
      </c>
      <c r="D7396" s="8">
        <v>6.8000000000000005E-2</v>
      </c>
    </row>
    <row r="7397" spans="1:4">
      <c r="A7397" t="str">
        <f t="shared" si="123"/>
        <v>1082Treynor Ratio</v>
      </c>
      <c r="B7397">
        <v>1082</v>
      </c>
      <c r="C7397" s="9" t="s">
        <v>39</v>
      </c>
      <c r="D7397" s="8">
        <v>-4.3319999999999999</v>
      </c>
    </row>
    <row r="7398" spans="1:4">
      <c r="A7398" t="str">
        <f t="shared" si="123"/>
        <v>1082Total Fees</v>
      </c>
      <c r="B7398">
        <v>1082</v>
      </c>
      <c r="C7398" s="9" t="s">
        <v>40</v>
      </c>
      <c r="D7398" s="8">
        <v>0</v>
      </c>
    </row>
    <row r="7399" spans="1:4">
      <c r="A7399" t="str">
        <f t="shared" si="123"/>
        <v>1082Estimated Strategy Capacity</v>
      </c>
      <c r="B7399">
        <v>1082</v>
      </c>
      <c r="C7399" s="9" t="s">
        <v>41</v>
      </c>
      <c r="D7399" s="8">
        <v>180000000</v>
      </c>
    </row>
    <row r="7400" spans="1:4">
      <c r="A7400" t="str">
        <f t="shared" si="123"/>
        <v>1083PSR</v>
      </c>
      <c r="B7400">
        <v>1083</v>
      </c>
      <c r="C7400" s="9" t="s">
        <v>27</v>
      </c>
      <c r="D7400" s="8">
        <v>5.8380000000000001E-2</v>
      </c>
    </row>
    <row r="7401" spans="1:4">
      <c r="A7401" t="str">
        <f t="shared" si="123"/>
        <v>1083Sharpe Ratio</v>
      </c>
      <c r="B7401">
        <v>1083</v>
      </c>
      <c r="C7401" s="9" t="s">
        <v>1</v>
      </c>
      <c r="D7401" s="8">
        <v>-0.73799999999999999</v>
      </c>
    </row>
    <row r="7402" spans="1:4">
      <c r="A7402" t="str">
        <f t="shared" si="123"/>
        <v>1083Total Trades</v>
      </c>
      <c r="B7402">
        <v>1083</v>
      </c>
      <c r="C7402" s="9" t="s">
        <v>28</v>
      </c>
      <c r="D7402" s="8">
        <v>1430</v>
      </c>
    </row>
    <row r="7403" spans="1:4">
      <c r="A7403" t="str">
        <f t="shared" si="123"/>
        <v>1083Average Win</v>
      </c>
      <c r="B7403">
        <v>1083</v>
      </c>
      <c r="C7403" s="9" t="s">
        <v>25</v>
      </c>
      <c r="D7403" s="8">
        <v>4.0000000000000002E-4</v>
      </c>
    </row>
    <row r="7404" spans="1:4">
      <c r="A7404" t="str">
        <f t="shared" si="123"/>
        <v>1083Average Loss</v>
      </c>
      <c r="B7404">
        <v>1083</v>
      </c>
      <c r="C7404" s="9" t="s">
        <v>29</v>
      </c>
      <c r="D7404" s="8">
        <v>-8.0000000000000004E-4</v>
      </c>
    </row>
    <row r="7405" spans="1:4">
      <c r="A7405" t="str">
        <f t="shared" si="123"/>
        <v>1083Compounding Annual Return</v>
      </c>
      <c r="B7405">
        <v>1083</v>
      </c>
      <c r="C7405" s="9" t="s">
        <v>30</v>
      </c>
      <c r="D7405" s="8">
        <v>-1.9060000000000001E-2</v>
      </c>
    </row>
    <row r="7406" spans="1:4">
      <c r="A7406" t="str">
        <f t="shared" si="123"/>
        <v>1083Drawdown</v>
      </c>
      <c r="B7406">
        <v>1083</v>
      </c>
      <c r="C7406" s="9" t="s">
        <v>8</v>
      </c>
      <c r="D7406" s="8">
        <v>2.9000000000000001E-2</v>
      </c>
    </row>
    <row r="7407" spans="1:4">
      <c r="A7407" t="str">
        <f t="shared" si="123"/>
        <v>1083Expectancy</v>
      </c>
      <c r="B7407">
        <v>1083</v>
      </c>
      <c r="C7407" s="9" t="s">
        <v>31</v>
      </c>
      <c r="D7407" s="8">
        <v>-8.8999999999999996E-2</v>
      </c>
    </row>
    <row r="7408" spans="1:4">
      <c r="A7408" t="str">
        <f t="shared" si="123"/>
        <v>1083Net Profit</v>
      </c>
      <c r="B7408">
        <v>1083</v>
      </c>
      <c r="C7408" s="9" t="s">
        <v>32</v>
      </c>
      <c r="D7408" s="8">
        <v>-1.268E-2</v>
      </c>
    </row>
    <row r="7409" spans="1:4">
      <c r="A7409" t="str">
        <f t="shared" si="123"/>
        <v>1083Loss Rate</v>
      </c>
      <c r="B7409">
        <v>1083</v>
      </c>
      <c r="C7409" s="9" t="s">
        <v>33</v>
      </c>
      <c r="D7409" s="8">
        <v>0.36</v>
      </c>
    </row>
    <row r="7410" spans="1:4">
      <c r="A7410" t="str">
        <f t="shared" si="123"/>
        <v>1083Win Rate</v>
      </c>
      <c r="B7410">
        <v>1083</v>
      </c>
      <c r="C7410" s="9" t="s">
        <v>34</v>
      </c>
      <c r="D7410" s="8">
        <v>0.64</v>
      </c>
    </row>
    <row r="7411" spans="1:4">
      <c r="A7411" t="str">
        <f t="shared" si="123"/>
        <v>1083Profit-Loss Ratio</v>
      </c>
      <c r="B7411">
        <v>1083</v>
      </c>
      <c r="C7411" s="9" t="s">
        <v>26</v>
      </c>
      <c r="D7411" s="8">
        <v>0.43</v>
      </c>
    </row>
    <row r="7412" spans="1:4">
      <c r="A7412" t="str">
        <f t="shared" si="123"/>
        <v>1083Alpha</v>
      </c>
      <c r="B7412">
        <v>1083</v>
      </c>
      <c r="C7412" s="9" t="s">
        <v>23</v>
      </c>
      <c r="D7412" s="8">
        <v>-1.4E-2</v>
      </c>
    </row>
    <row r="7413" spans="1:4">
      <c r="A7413" t="str">
        <f t="shared" si="123"/>
        <v>1083Beta</v>
      </c>
      <c r="B7413">
        <v>1083</v>
      </c>
      <c r="C7413" s="9" t="s">
        <v>24</v>
      </c>
      <c r="D7413" s="8">
        <v>1.2999999999999999E-2</v>
      </c>
    </row>
    <row r="7414" spans="1:4">
      <c r="A7414" t="str">
        <f t="shared" si="123"/>
        <v>1083Annual Standard Deviation</v>
      </c>
      <c r="B7414">
        <v>1083</v>
      </c>
      <c r="C7414" s="9" t="s">
        <v>35</v>
      </c>
      <c r="D7414" s="8">
        <v>1.7999999999999999E-2</v>
      </c>
    </row>
    <row r="7415" spans="1:4">
      <c r="A7415" t="str">
        <f t="shared" si="123"/>
        <v>1083Annual Variance</v>
      </c>
      <c r="B7415">
        <v>1083</v>
      </c>
      <c r="C7415" s="9" t="s">
        <v>36</v>
      </c>
      <c r="D7415" s="8">
        <v>0</v>
      </c>
    </row>
    <row r="7416" spans="1:4">
      <c r="A7416" t="str">
        <f t="shared" si="123"/>
        <v>1083Information Ratio</v>
      </c>
      <c r="B7416">
        <v>1083</v>
      </c>
      <c r="C7416" s="9" t="s">
        <v>37</v>
      </c>
      <c r="D7416" s="8">
        <v>-0.94799999999999995</v>
      </c>
    </row>
    <row r="7417" spans="1:4">
      <c r="A7417" t="str">
        <f t="shared" si="123"/>
        <v>1083Tracking Error</v>
      </c>
      <c r="B7417">
        <v>1083</v>
      </c>
      <c r="C7417" s="9" t="s">
        <v>38</v>
      </c>
      <c r="D7417" s="8">
        <v>6.9000000000000006E-2</v>
      </c>
    </row>
    <row r="7418" spans="1:4">
      <c r="A7418" t="str">
        <f t="shared" si="123"/>
        <v>1083Treynor Ratio</v>
      </c>
      <c r="B7418">
        <v>1083</v>
      </c>
      <c r="C7418" s="9" t="s">
        <v>39</v>
      </c>
      <c r="D7418" s="8">
        <v>-0.99399999999999999</v>
      </c>
    </row>
    <row r="7419" spans="1:4">
      <c r="A7419" t="str">
        <f t="shared" si="123"/>
        <v>1083Total Fees</v>
      </c>
      <c r="B7419">
        <v>1083</v>
      </c>
      <c r="C7419" s="9" t="s">
        <v>40</v>
      </c>
      <c r="D7419" s="8">
        <v>0</v>
      </c>
    </row>
    <row r="7420" spans="1:4">
      <c r="A7420" t="str">
        <f t="shared" si="123"/>
        <v>1083Estimated Strategy Capacity</v>
      </c>
      <c r="B7420">
        <v>1083</v>
      </c>
      <c r="C7420" s="9" t="s">
        <v>41</v>
      </c>
      <c r="D7420" s="8">
        <v>98000000</v>
      </c>
    </row>
    <row r="7421" spans="1:4">
      <c r="A7421" t="str">
        <f t="shared" si="123"/>
        <v>1084PSR</v>
      </c>
      <c r="B7421">
        <v>1084</v>
      </c>
      <c r="C7421" s="9" t="s">
        <v>27</v>
      </c>
      <c r="D7421" s="8">
        <v>1.9630000000000002E-2</v>
      </c>
    </row>
    <row r="7422" spans="1:4">
      <c r="A7422" t="str">
        <f t="shared" si="123"/>
        <v>1084Sharpe Ratio</v>
      </c>
      <c r="B7422">
        <v>1084</v>
      </c>
      <c r="C7422" s="9" t="s">
        <v>1</v>
      </c>
      <c r="D7422" s="8">
        <v>-1.2010000000000001</v>
      </c>
    </row>
    <row r="7423" spans="1:4">
      <c r="A7423" t="str">
        <f t="shared" si="123"/>
        <v>1084Total Trades</v>
      </c>
      <c r="B7423">
        <v>1084</v>
      </c>
      <c r="C7423" s="9" t="s">
        <v>28</v>
      </c>
      <c r="D7423" s="8">
        <v>1226</v>
      </c>
    </row>
    <row r="7424" spans="1:4">
      <c r="A7424" t="str">
        <f t="shared" si="123"/>
        <v>1084Average Win</v>
      </c>
      <c r="B7424">
        <v>1084</v>
      </c>
      <c r="C7424" s="9" t="s">
        <v>25</v>
      </c>
      <c r="D7424" s="8">
        <v>0</v>
      </c>
    </row>
    <row r="7425" spans="1:4">
      <c r="A7425" t="str">
        <f t="shared" si="123"/>
        <v>1084Average Loss</v>
      </c>
      <c r="B7425">
        <v>1084</v>
      </c>
      <c r="C7425" s="9" t="s">
        <v>29</v>
      </c>
      <c r="D7425" s="8">
        <v>0</v>
      </c>
    </row>
    <row r="7426" spans="1:4">
      <c r="A7426" t="str">
        <f t="shared" si="123"/>
        <v>1084Compounding Annual Return</v>
      </c>
      <c r="B7426">
        <v>1084</v>
      </c>
      <c r="C7426" s="9" t="s">
        <v>30</v>
      </c>
      <c r="D7426" s="8">
        <v>-1.17E-3</v>
      </c>
    </row>
    <row r="7427" spans="1:4">
      <c r="A7427" t="str">
        <f t="shared" si="123"/>
        <v>1084Drawdown</v>
      </c>
      <c r="B7427">
        <v>1084</v>
      </c>
      <c r="C7427" s="9" t="s">
        <v>8</v>
      </c>
      <c r="D7427" s="8">
        <v>1E-3</v>
      </c>
    </row>
    <row r="7428" spans="1:4">
      <c r="A7428" t="str">
        <f t="shared" si="123"/>
        <v>1084Expectancy</v>
      </c>
      <c r="B7428">
        <v>1084</v>
      </c>
      <c r="C7428" s="9" t="s">
        <v>31</v>
      </c>
      <c r="D7428" s="8">
        <v>-0.158</v>
      </c>
    </row>
    <row r="7429" spans="1:4">
      <c r="A7429" t="str">
        <f t="shared" si="123"/>
        <v>1084Net Profit</v>
      </c>
      <c r="B7429">
        <v>1084</v>
      </c>
      <c r="C7429" s="9" t="s">
        <v>32</v>
      </c>
      <c r="D7429" s="8">
        <v>-7.6999999999999996E-4</v>
      </c>
    </row>
    <row r="7430" spans="1:4">
      <c r="A7430" t="str">
        <f t="shared" si="123"/>
        <v>1084Loss Rate</v>
      </c>
      <c r="B7430">
        <v>1084</v>
      </c>
      <c r="C7430" s="9" t="s">
        <v>33</v>
      </c>
      <c r="D7430" s="8">
        <v>0.39</v>
      </c>
    </row>
    <row r="7431" spans="1:4">
      <c r="A7431" t="str">
        <f t="shared" si="123"/>
        <v>1084Win Rate</v>
      </c>
      <c r="B7431">
        <v>1084</v>
      </c>
      <c r="C7431" s="9" t="s">
        <v>34</v>
      </c>
      <c r="D7431" s="8">
        <v>0.61</v>
      </c>
    </row>
    <row r="7432" spans="1:4">
      <c r="A7432" t="str">
        <f t="shared" si="123"/>
        <v>1084Profit-Loss Ratio</v>
      </c>
      <c r="B7432">
        <v>1084</v>
      </c>
      <c r="C7432" s="9" t="s">
        <v>26</v>
      </c>
      <c r="D7432" s="8">
        <v>0.37</v>
      </c>
    </row>
    <row r="7433" spans="1:4">
      <c r="A7433" t="str">
        <f t="shared" si="123"/>
        <v>1084Alpha</v>
      </c>
      <c r="B7433">
        <v>1084</v>
      </c>
      <c r="C7433" s="9" t="s">
        <v>23</v>
      </c>
      <c r="D7433" s="8">
        <v>-1E-3</v>
      </c>
    </row>
    <row r="7434" spans="1:4">
      <c r="A7434" t="str">
        <f t="shared" si="123"/>
        <v>1084Beta</v>
      </c>
      <c r="B7434">
        <v>1084</v>
      </c>
      <c r="C7434" s="9" t="s">
        <v>24</v>
      </c>
      <c r="D7434" s="8">
        <v>0</v>
      </c>
    </row>
    <row r="7435" spans="1:4">
      <c r="A7435" t="str">
        <f t="shared" si="123"/>
        <v>1084Annual Standard Deviation</v>
      </c>
      <c r="B7435">
        <v>1084</v>
      </c>
      <c r="C7435" s="9" t="s">
        <v>35</v>
      </c>
      <c r="D7435" s="8">
        <v>1E-3</v>
      </c>
    </row>
    <row r="7436" spans="1:4">
      <c r="A7436" t="str">
        <f t="shared" si="123"/>
        <v>1084Annual Variance</v>
      </c>
      <c r="B7436">
        <v>1084</v>
      </c>
      <c r="C7436" s="9" t="s">
        <v>36</v>
      </c>
      <c r="D7436" s="8">
        <v>0</v>
      </c>
    </row>
    <row r="7437" spans="1:4">
      <c r="A7437" t="str">
        <f t="shared" si="123"/>
        <v>1084Information Ratio</v>
      </c>
      <c r="B7437">
        <v>1084</v>
      </c>
      <c r="C7437" s="9" t="s">
        <v>37</v>
      </c>
      <c r="D7437" s="8">
        <v>-0.77600000000000002</v>
      </c>
    </row>
    <row r="7438" spans="1:4">
      <c r="A7438" t="str">
        <f t="shared" si="123"/>
        <v>1084Tracking Error</v>
      </c>
      <c r="B7438">
        <v>1084</v>
      </c>
      <c r="C7438" s="9" t="s">
        <v>38</v>
      </c>
      <c r="D7438" s="8">
        <v>6.7000000000000004E-2</v>
      </c>
    </row>
    <row r="7439" spans="1:4">
      <c r="A7439" t="str">
        <f t="shared" si="123"/>
        <v>1084Treynor Ratio</v>
      </c>
      <c r="B7439">
        <v>1084</v>
      </c>
      <c r="C7439" s="9" t="s">
        <v>39</v>
      </c>
      <c r="D7439" s="8">
        <v>-1.825</v>
      </c>
    </row>
    <row r="7440" spans="1:4">
      <c r="A7440" t="str">
        <f t="shared" si="123"/>
        <v>1084Total Fees</v>
      </c>
      <c r="B7440">
        <v>1084</v>
      </c>
      <c r="C7440" s="9" t="s">
        <v>40</v>
      </c>
      <c r="D7440" s="8">
        <v>0</v>
      </c>
    </row>
    <row r="7441" spans="1:4">
      <c r="A7441" t="str">
        <f t="shared" si="123"/>
        <v>1084Estimated Strategy Capacity</v>
      </c>
      <c r="B7441">
        <v>1084</v>
      </c>
      <c r="C7441" s="9" t="s">
        <v>41</v>
      </c>
      <c r="D7441" s="8">
        <v>1500000000</v>
      </c>
    </row>
    <row r="7442" spans="1:4">
      <c r="A7442" t="str">
        <f t="shared" si="123"/>
        <v>1085PSR</v>
      </c>
      <c r="B7442">
        <v>1085</v>
      </c>
      <c r="C7442" s="9" t="s">
        <v>27</v>
      </c>
      <c r="D7442" s="8">
        <v>2.0039999999999999E-2</v>
      </c>
    </row>
    <row r="7443" spans="1:4">
      <c r="A7443" t="str">
        <f t="shared" si="123"/>
        <v>1085Sharpe Ratio</v>
      </c>
      <c r="B7443">
        <v>1085</v>
      </c>
      <c r="C7443" s="9" t="s">
        <v>1</v>
      </c>
      <c r="D7443" s="8">
        <v>-1.1890000000000001</v>
      </c>
    </row>
    <row r="7444" spans="1:4">
      <c r="A7444" t="str">
        <f t="shared" si="123"/>
        <v>1085Total Trades</v>
      </c>
      <c r="B7444">
        <v>1085</v>
      </c>
      <c r="C7444" s="9" t="s">
        <v>28</v>
      </c>
      <c r="D7444" s="8">
        <v>1226</v>
      </c>
    </row>
    <row r="7445" spans="1:4">
      <c r="A7445" t="str">
        <f t="shared" si="123"/>
        <v>1085Average Win</v>
      </c>
      <c r="B7445">
        <v>1085</v>
      </c>
      <c r="C7445" s="9" t="s">
        <v>25</v>
      </c>
      <c r="D7445" s="8">
        <v>1E-4</v>
      </c>
    </row>
    <row r="7446" spans="1:4">
      <c r="A7446" t="str">
        <f t="shared" si="123"/>
        <v>1085Average Loss</v>
      </c>
      <c r="B7446">
        <v>1085</v>
      </c>
      <c r="C7446" s="9" t="s">
        <v>29</v>
      </c>
      <c r="D7446" s="8">
        <v>-2.9999999999999997E-4</v>
      </c>
    </row>
    <row r="7447" spans="1:4">
      <c r="A7447" t="str">
        <f t="shared" si="123"/>
        <v>1085Compounding Annual Return</v>
      </c>
      <c r="B7447">
        <v>1085</v>
      </c>
      <c r="C7447" s="9" t="s">
        <v>30</v>
      </c>
      <c r="D7447" s="8">
        <v>-1.166E-2</v>
      </c>
    </row>
    <row r="7448" spans="1:4">
      <c r="A7448" t="str">
        <f t="shared" si="123"/>
        <v>1085Drawdown</v>
      </c>
      <c r="B7448">
        <v>1085</v>
      </c>
      <c r="C7448" s="9" t="s">
        <v>8</v>
      </c>
      <c r="D7448" s="8">
        <v>1.4E-2</v>
      </c>
    </row>
    <row r="7449" spans="1:4">
      <c r="A7449" t="str">
        <f t="shared" si="123"/>
        <v>1085Expectancy</v>
      </c>
      <c r="B7449">
        <v>1085</v>
      </c>
      <c r="C7449" s="9" t="s">
        <v>31</v>
      </c>
      <c r="D7449" s="8">
        <v>-0.157</v>
      </c>
    </row>
    <row r="7450" spans="1:4">
      <c r="A7450" t="str">
        <f t="shared" si="123"/>
        <v>1085Net Profit</v>
      </c>
      <c r="B7450">
        <v>1085</v>
      </c>
      <c r="C7450" s="9" t="s">
        <v>32</v>
      </c>
      <c r="D7450" s="8">
        <v>-7.7499999999999999E-3</v>
      </c>
    </row>
    <row r="7451" spans="1:4">
      <c r="A7451" t="str">
        <f t="shared" si="123"/>
        <v>1085Loss Rate</v>
      </c>
      <c r="B7451">
        <v>1085</v>
      </c>
      <c r="C7451" s="9" t="s">
        <v>33</v>
      </c>
      <c r="D7451" s="8">
        <v>0.39</v>
      </c>
    </row>
    <row r="7452" spans="1:4">
      <c r="A7452" t="str">
        <f t="shared" si="123"/>
        <v>1085Win Rate</v>
      </c>
      <c r="B7452">
        <v>1085</v>
      </c>
      <c r="C7452" s="9" t="s">
        <v>34</v>
      </c>
      <c r="D7452" s="8">
        <v>0.61</v>
      </c>
    </row>
    <row r="7453" spans="1:4">
      <c r="A7453" t="str">
        <f t="shared" si="123"/>
        <v>1085Profit-Loss Ratio</v>
      </c>
      <c r="B7453">
        <v>1085</v>
      </c>
      <c r="C7453" s="9" t="s">
        <v>26</v>
      </c>
      <c r="D7453" s="8">
        <v>0.37</v>
      </c>
    </row>
    <row r="7454" spans="1:4">
      <c r="A7454" t="str">
        <f t="shared" si="123"/>
        <v>1085Alpha</v>
      </c>
      <c r="B7454">
        <v>1085</v>
      </c>
      <c r="C7454" s="9" t="s">
        <v>23</v>
      </c>
      <c r="D7454" s="8">
        <v>-8.0000000000000002E-3</v>
      </c>
    </row>
    <row r="7455" spans="1:4">
      <c r="A7455" t="str">
        <f t="shared" si="123"/>
        <v>1085Beta</v>
      </c>
      <c r="B7455">
        <v>1085</v>
      </c>
      <c r="C7455" s="9" t="s">
        <v>24</v>
      </c>
      <c r="D7455" s="8">
        <v>4.0000000000000001E-3</v>
      </c>
    </row>
    <row r="7456" spans="1:4">
      <c r="A7456" t="str">
        <f t="shared" si="123"/>
        <v>1085Annual Standard Deviation</v>
      </c>
      <c r="B7456">
        <v>1085</v>
      </c>
      <c r="C7456" s="9" t="s">
        <v>35</v>
      </c>
      <c r="D7456" s="8">
        <v>7.0000000000000001E-3</v>
      </c>
    </row>
    <row r="7457" spans="1:4">
      <c r="A7457" t="str">
        <f t="shared" si="123"/>
        <v>1085Annual Variance</v>
      </c>
      <c r="B7457">
        <v>1085</v>
      </c>
      <c r="C7457" s="9" t="s">
        <v>36</v>
      </c>
      <c r="D7457" s="8">
        <v>0</v>
      </c>
    </row>
    <row r="7458" spans="1:4">
      <c r="A7458" t="str">
        <f t="shared" ref="A7458:A7521" si="124">B7458&amp;C7458</f>
        <v>1085Information Ratio</v>
      </c>
      <c r="B7458">
        <v>1085</v>
      </c>
      <c r="C7458" s="9" t="s">
        <v>37</v>
      </c>
      <c r="D7458" s="8">
        <v>-0.88300000000000001</v>
      </c>
    </row>
    <row r="7459" spans="1:4">
      <c r="A7459" t="str">
        <f t="shared" si="124"/>
        <v>1085Tracking Error</v>
      </c>
      <c r="B7459">
        <v>1085</v>
      </c>
      <c r="C7459" s="9" t="s">
        <v>38</v>
      </c>
      <c r="D7459" s="8">
        <v>6.7000000000000004E-2</v>
      </c>
    </row>
    <row r="7460" spans="1:4">
      <c r="A7460" t="str">
        <f t="shared" si="124"/>
        <v>1085Treynor Ratio</v>
      </c>
      <c r="B7460">
        <v>1085</v>
      </c>
      <c r="C7460" s="9" t="s">
        <v>39</v>
      </c>
      <c r="D7460" s="8">
        <v>-1.8120000000000001</v>
      </c>
    </row>
    <row r="7461" spans="1:4">
      <c r="A7461" t="str">
        <f t="shared" si="124"/>
        <v>1085Total Fees</v>
      </c>
      <c r="B7461">
        <v>1085</v>
      </c>
      <c r="C7461" s="9" t="s">
        <v>40</v>
      </c>
      <c r="D7461" s="8">
        <v>0</v>
      </c>
    </row>
    <row r="7462" spans="1:4">
      <c r="A7462" t="str">
        <f t="shared" si="124"/>
        <v>1085Estimated Strategy Capacity</v>
      </c>
      <c r="B7462">
        <v>1085</v>
      </c>
      <c r="C7462" s="9" t="s">
        <v>41</v>
      </c>
      <c r="D7462" s="8">
        <v>160000000</v>
      </c>
    </row>
    <row r="7463" spans="1:4">
      <c r="A7463" t="str">
        <f t="shared" si="124"/>
        <v>1086PSR</v>
      </c>
      <c r="B7463">
        <v>1086</v>
      </c>
      <c r="C7463" s="9" t="s">
        <v>27</v>
      </c>
      <c r="D7463" s="8">
        <v>8.6700000000000006E-3</v>
      </c>
    </row>
    <row r="7464" spans="1:4">
      <c r="A7464" t="str">
        <f t="shared" si="124"/>
        <v>1086Sharpe Ratio</v>
      </c>
      <c r="B7464">
        <v>1086</v>
      </c>
      <c r="C7464" s="9" t="s">
        <v>1</v>
      </c>
      <c r="D7464" s="8">
        <v>-1.3839999999999999</v>
      </c>
    </row>
    <row r="7465" spans="1:4">
      <c r="A7465" t="str">
        <f t="shared" si="124"/>
        <v>1086Total Trades</v>
      </c>
      <c r="B7465">
        <v>1086</v>
      </c>
      <c r="C7465" s="9" t="s">
        <v>28</v>
      </c>
      <c r="D7465" s="8">
        <v>1170</v>
      </c>
    </row>
    <row r="7466" spans="1:4">
      <c r="A7466" t="str">
        <f t="shared" si="124"/>
        <v>1086Average Win</v>
      </c>
      <c r="B7466">
        <v>1086</v>
      </c>
      <c r="C7466" s="9" t="s">
        <v>25</v>
      </c>
      <c r="D7466" s="8">
        <v>2.0000000000000001E-4</v>
      </c>
    </row>
    <row r="7467" spans="1:4">
      <c r="A7467" t="str">
        <f t="shared" si="124"/>
        <v>1086Average Loss</v>
      </c>
      <c r="B7467">
        <v>1086</v>
      </c>
      <c r="C7467" s="9" t="s">
        <v>29</v>
      </c>
      <c r="D7467" s="8">
        <v>-5.9999999999999995E-4</v>
      </c>
    </row>
    <row r="7468" spans="1:4">
      <c r="A7468" t="str">
        <f t="shared" si="124"/>
        <v>1086Compounding Annual Return</v>
      </c>
      <c r="B7468">
        <v>1086</v>
      </c>
      <c r="C7468" s="9" t="s">
        <v>30</v>
      </c>
      <c r="D7468" s="8">
        <v>-2.044E-2</v>
      </c>
    </row>
    <row r="7469" spans="1:4">
      <c r="A7469" t="str">
        <f t="shared" si="124"/>
        <v>1086Drawdown</v>
      </c>
      <c r="B7469">
        <v>1086</v>
      </c>
      <c r="C7469" s="9" t="s">
        <v>8</v>
      </c>
      <c r="D7469" s="8">
        <v>2.1000000000000001E-2</v>
      </c>
    </row>
    <row r="7470" spans="1:4">
      <c r="A7470" t="str">
        <f t="shared" si="124"/>
        <v>1086Expectancy</v>
      </c>
      <c r="B7470">
        <v>1086</v>
      </c>
      <c r="C7470" s="9" t="s">
        <v>31</v>
      </c>
      <c r="D7470" s="8">
        <v>-0.16800000000000001</v>
      </c>
    </row>
    <row r="7471" spans="1:4">
      <c r="A7471" t="str">
        <f t="shared" si="124"/>
        <v>1086Net Profit</v>
      </c>
      <c r="B7471">
        <v>1086</v>
      </c>
      <c r="C7471" s="9" t="s">
        <v>32</v>
      </c>
      <c r="D7471" s="8">
        <v>-1.359E-2</v>
      </c>
    </row>
    <row r="7472" spans="1:4">
      <c r="A7472" t="str">
        <f t="shared" si="124"/>
        <v>1086Loss Rate</v>
      </c>
      <c r="B7472">
        <v>1086</v>
      </c>
      <c r="C7472" s="9" t="s">
        <v>33</v>
      </c>
      <c r="D7472" s="8">
        <v>0.39</v>
      </c>
    </row>
    <row r="7473" spans="1:4">
      <c r="A7473" t="str">
        <f t="shared" si="124"/>
        <v>1086Win Rate</v>
      </c>
      <c r="B7473">
        <v>1086</v>
      </c>
      <c r="C7473" s="9" t="s">
        <v>34</v>
      </c>
      <c r="D7473" s="8">
        <v>0.61</v>
      </c>
    </row>
    <row r="7474" spans="1:4">
      <c r="A7474" t="str">
        <f t="shared" si="124"/>
        <v>1086Profit-Loss Ratio</v>
      </c>
      <c r="B7474">
        <v>1086</v>
      </c>
      <c r="C7474" s="9" t="s">
        <v>26</v>
      </c>
      <c r="D7474" s="8">
        <v>0.37</v>
      </c>
    </row>
    <row r="7475" spans="1:4">
      <c r="A7475" t="str">
        <f t="shared" si="124"/>
        <v>1086Alpha</v>
      </c>
      <c r="B7475">
        <v>1086</v>
      </c>
      <c r="C7475" s="9" t="s">
        <v>23</v>
      </c>
      <c r="D7475" s="8">
        <v>-1.4E-2</v>
      </c>
    </row>
    <row r="7476" spans="1:4">
      <c r="A7476" t="str">
        <f t="shared" si="124"/>
        <v>1086Beta</v>
      </c>
      <c r="B7476">
        <v>1086</v>
      </c>
      <c r="C7476" s="9" t="s">
        <v>24</v>
      </c>
      <c r="D7476" s="8">
        <v>1E-3</v>
      </c>
    </row>
    <row r="7477" spans="1:4">
      <c r="A7477" t="str">
        <f t="shared" si="124"/>
        <v>1086Annual Standard Deviation</v>
      </c>
      <c r="B7477">
        <v>1086</v>
      </c>
      <c r="C7477" s="9" t="s">
        <v>35</v>
      </c>
      <c r="D7477" s="8">
        <v>0.01</v>
      </c>
    </row>
    <row r="7478" spans="1:4">
      <c r="A7478" t="str">
        <f t="shared" si="124"/>
        <v>1086Annual Variance</v>
      </c>
      <c r="B7478">
        <v>1086</v>
      </c>
      <c r="C7478" s="9" t="s">
        <v>36</v>
      </c>
      <c r="D7478" s="8">
        <v>0</v>
      </c>
    </row>
    <row r="7479" spans="1:4">
      <c r="A7479" t="str">
        <f t="shared" si="124"/>
        <v>1086Information Ratio</v>
      </c>
      <c r="B7479">
        <v>1086</v>
      </c>
      <c r="C7479" s="9" t="s">
        <v>37</v>
      </c>
      <c r="D7479" s="8">
        <v>-0.97399999999999998</v>
      </c>
    </row>
    <row r="7480" spans="1:4">
      <c r="A7480" t="str">
        <f t="shared" si="124"/>
        <v>1086Tracking Error</v>
      </c>
      <c r="B7480">
        <v>1086</v>
      </c>
      <c r="C7480" s="9" t="s">
        <v>38</v>
      </c>
      <c r="D7480" s="8">
        <v>6.8000000000000005E-2</v>
      </c>
    </row>
    <row r="7481" spans="1:4">
      <c r="A7481" t="str">
        <f t="shared" si="124"/>
        <v>1086Treynor Ratio</v>
      </c>
      <c r="B7481">
        <v>1086</v>
      </c>
      <c r="C7481" s="9" t="s">
        <v>39</v>
      </c>
      <c r="D7481" s="8">
        <v>-18.116</v>
      </c>
    </row>
    <row r="7482" spans="1:4">
      <c r="A7482" t="str">
        <f t="shared" si="124"/>
        <v>1086Total Fees</v>
      </c>
      <c r="B7482">
        <v>1086</v>
      </c>
      <c r="C7482" s="9" t="s">
        <v>40</v>
      </c>
      <c r="D7482" s="8">
        <v>0</v>
      </c>
    </row>
    <row r="7483" spans="1:4">
      <c r="A7483" t="str">
        <f t="shared" si="124"/>
        <v>1086Estimated Strategy Capacity</v>
      </c>
      <c r="B7483">
        <v>1086</v>
      </c>
      <c r="C7483" s="9" t="s">
        <v>41</v>
      </c>
      <c r="D7483" s="8">
        <v>79000000</v>
      </c>
    </row>
    <row r="7484" spans="1:4">
      <c r="A7484" t="str">
        <f t="shared" si="124"/>
        <v>1087PSR</v>
      </c>
      <c r="B7484">
        <v>1087</v>
      </c>
      <c r="C7484" s="9" t="s">
        <v>27</v>
      </c>
      <c r="D7484" s="8">
        <v>5.3170000000000002E-2</v>
      </c>
    </row>
    <row r="7485" spans="1:4">
      <c r="A7485" t="str">
        <f t="shared" si="124"/>
        <v>1087Sharpe Ratio</v>
      </c>
      <c r="B7485">
        <v>1087</v>
      </c>
      <c r="C7485" s="9" t="s">
        <v>1</v>
      </c>
      <c r="D7485" s="8">
        <v>-0.71</v>
      </c>
    </row>
    <row r="7486" spans="1:4">
      <c r="A7486" t="str">
        <f t="shared" si="124"/>
        <v>1087Total Trades</v>
      </c>
      <c r="B7486">
        <v>1087</v>
      </c>
      <c r="C7486" s="9" t="s">
        <v>28</v>
      </c>
      <c r="D7486" s="8">
        <v>806</v>
      </c>
    </row>
    <row r="7487" spans="1:4">
      <c r="A7487" t="str">
        <f t="shared" si="124"/>
        <v>1087Average Win</v>
      </c>
      <c r="B7487">
        <v>1087</v>
      </c>
      <c r="C7487" s="9" t="s">
        <v>25</v>
      </c>
      <c r="D7487" s="8">
        <v>0</v>
      </c>
    </row>
    <row r="7488" spans="1:4">
      <c r="A7488" t="str">
        <f t="shared" si="124"/>
        <v>1087Average Loss</v>
      </c>
      <c r="B7488">
        <v>1087</v>
      </c>
      <c r="C7488" s="9" t="s">
        <v>29</v>
      </c>
      <c r="D7488" s="8">
        <v>0</v>
      </c>
    </row>
    <row r="7489" spans="1:4">
      <c r="A7489" t="str">
        <f t="shared" si="124"/>
        <v>1087Compounding Annual Return</v>
      </c>
      <c r="B7489">
        <v>1087</v>
      </c>
      <c r="C7489" s="9" t="s">
        <v>30</v>
      </c>
      <c r="D7489" s="8">
        <v>-6.6E-4</v>
      </c>
    </row>
    <row r="7490" spans="1:4">
      <c r="A7490" t="str">
        <f t="shared" si="124"/>
        <v>1087Drawdown</v>
      </c>
      <c r="B7490">
        <v>1087</v>
      </c>
      <c r="C7490" s="9" t="s">
        <v>8</v>
      </c>
      <c r="D7490" s="8">
        <v>1E-3</v>
      </c>
    </row>
    <row r="7491" spans="1:4">
      <c r="A7491" t="str">
        <f t="shared" si="124"/>
        <v>1087Expectancy</v>
      </c>
      <c r="B7491">
        <v>1087</v>
      </c>
      <c r="C7491" s="9" t="s">
        <v>31</v>
      </c>
      <c r="D7491" s="8">
        <v>-0.12</v>
      </c>
    </row>
    <row r="7492" spans="1:4">
      <c r="A7492" t="str">
        <f t="shared" si="124"/>
        <v>1087Net Profit</v>
      </c>
      <c r="B7492">
        <v>1087</v>
      </c>
      <c r="C7492" s="9" t="s">
        <v>32</v>
      </c>
      <c r="D7492" s="8">
        <v>-4.4000000000000002E-4</v>
      </c>
    </row>
    <row r="7493" spans="1:4">
      <c r="A7493" t="str">
        <f t="shared" si="124"/>
        <v>1087Loss Rate</v>
      </c>
      <c r="B7493">
        <v>1087</v>
      </c>
      <c r="C7493" s="9" t="s">
        <v>33</v>
      </c>
      <c r="D7493" s="8">
        <v>0.36</v>
      </c>
    </row>
    <row r="7494" spans="1:4">
      <c r="A7494" t="str">
        <f t="shared" si="124"/>
        <v>1087Win Rate</v>
      </c>
      <c r="B7494">
        <v>1087</v>
      </c>
      <c r="C7494" s="9" t="s">
        <v>34</v>
      </c>
      <c r="D7494" s="8">
        <v>0.64</v>
      </c>
    </row>
    <row r="7495" spans="1:4">
      <c r="A7495" t="str">
        <f t="shared" si="124"/>
        <v>1087Profit-Loss Ratio</v>
      </c>
      <c r="B7495">
        <v>1087</v>
      </c>
      <c r="C7495" s="9" t="s">
        <v>26</v>
      </c>
      <c r="D7495" s="8">
        <v>0.37</v>
      </c>
    </row>
    <row r="7496" spans="1:4">
      <c r="A7496" t="str">
        <f t="shared" si="124"/>
        <v>1087Alpha</v>
      </c>
      <c r="B7496">
        <v>1087</v>
      </c>
      <c r="C7496" s="9" t="s">
        <v>23</v>
      </c>
      <c r="D7496" s="8">
        <v>0</v>
      </c>
    </row>
    <row r="7497" spans="1:4">
      <c r="A7497" t="str">
        <f t="shared" si="124"/>
        <v>1087Beta</v>
      </c>
      <c r="B7497">
        <v>1087</v>
      </c>
      <c r="C7497" s="9" t="s">
        <v>24</v>
      </c>
      <c r="D7497" s="8">
        <v>0</v>
      </c>
    </row>
    <row r="7498" spans="1:4">
      <c r="A7498" t="str">
        <f t="shared" si="124"/>
        <v>1087Annual Standard Deviation</v>
      </c>
      <c r="B7498">
        <v>1087</v>
      </c>
      <c r="C7498" s="9" t="s">
        <v>35</v>
      </c>
      <c r="D7498" s="8">
        <v>1E-3</v>
      </c>
    </row>
    <row r="7499" spans="1:4">
      <c r="A7499" t="str">
        <f t="shared" si="124"/>
        <v>1087Annual Variance</v>
      </c>
      <c r="B7499">
        <v>1087</v>
      </c>
      <c r="C7499" s="9" t="s">
        <v>36</v>
      </c>
      <c r="D7499" s="8">
        <v>0</v>
      </c>
    </row>
    <row r="7500" spans="1:4">
      <c r="A7500" t="str">
        <f t="shared" si="124"/>
        <v>1087Information Ratio</v>
      </c>
      <c r="B7500">
        <v>1087</v>
      </c>
      <c r="C7500" s="9" t="s">
        <v>37</v>
      </c>
      <c r="D7500" s="8">
        <v>-0.77100000000000002</v>
      </c>
    </row>
    <row r="7501" spans="1:4">
      <c r="A7501" t="str">
        <f t="shared" si="124"/>
        <v>1087Tracking Error</v>
      </c>
      <c r="B7501">
        <v>1087</v>
      </c>
      <c r="C7501" s="9" t="s">
        <v>38</v>
      </c>
      <c r="D7501" s="8">
        <v>6.7000000000000004E-2</v>
      </c>
    </row>
    <row r="7502" spans="1:4">
      <c r="A7502" t="str">
        <f t="shared" si="124"/>
        <v>1087Treynor Ratio</v>
      </c>
      <c r="B7502">
        <v>1087</v>
      </c>
      <c r="C7502" s="9" t="s">
        <v>39</v>
      </c>
      <c r="D7502" s="8">
        <v>1.4590000000000001</v>
      </c>
    </row>
    <row r="7503" spans="1:4">
      <c r="A7503" t="str">
        <f t="shared" si="124"/>
        <v>1087Total Fees</v>
      </c>
      <c r="B7503">
        <v>1087</v>
      </c>
      <c r="C7503" s="9" t="s">
        <v>40</v>
      </c>
      <c r="D7503" s="8">
        <v>0</v>
      </c>
    </row>
    <row r="7504" spans="1:4">
      <c r="A7504" t="str">
        <f t="shared" si="124"/>
        <v>1087Estimated Strategy Capacity</v>
      </c>
      <c r="B7504">
        <v>1087</v>
      </c>
      <c r="C7504" s="9" t="s">
        <v>41</v>
      </c>
      <c r="D7504" s="8">
        <v>250000000</v>
      </c>
    </row>
    <row r="7505" spans="1:4">
      <c r="A7505" t="str">
        <f t="shared" si="124"/>
        <v>1088PSR</v>
      </c>
      <c r="B7505">
        <v>1088</v>
      </c>
      <c r="C7505" s="9" t="s">
        <v>27</v>
      </c>
      <c r="D7505" s="8">
        <v>5.3460000000000001E-2</v>
      </c>
    </row>
    <row r="7506" spans="1:4">
      <c r="A7506" t="str">
        <f t="shared" si="124"/>
        <v>1088Sharpe Ratio</v>
      </c>
      <c r="B7506">
        <v>1088</v>
      </c>
      <c r="C7506" s="9" t="s">
        <v>1</v>
      </c>
      <c r="D7506" s="8">
        <v>-0.70599999999999996</v>
      </c>
    </row>
    <row r="7507" spans="1:4">
      <c r="A7507" t="str">
        <f t="shared" si="124"/>
        <v>1088Total Trades</v>
      </c>
      <c r="B7507">
        <v>1088</v>
      </c>
      <c r="C7507" s="9" t="s">
        <v>28</v>
      </c>
      <c r="D7507" s="8">
        <v>806</v>
      </c>
    </row>
    <row r="7508" spans="1:4">
      <c r="A7508" t="str">
        <f t="shared" si="124"/>
        <v>1088Average Win</v>
      </c>
      <c r="B7508">
        <v>1088</v>
      </c>
      <c r="C7508" s="9" t="s">
        <v>25</v>
      </c>
      <c r="D7508" s="8">
        <v>1E-4</v>
      </c>
    </row>
    <row r="7509" spans="1:4">
      <c r="A7509" t="str">
        <f t="shared" si="124"/>
        <v>1088Average Loss</v>
      </c>
      <c r="B7509">
        <v>1088</v>
      </c>
      <c r="C7509" s="9" t="s">
        <v>29</v>
      </c>
      <c r="D7509" s="8">
        <v>-2.9999999999999997E-4</v>
      </c>
    </row>
    <row r="7510" spans="1:4">
      <c r="A7510" t="str">
        <f t="shared" si="124"/>
        <v>1088Compounding Annual Return</v>
      </c>
      <c r="B7510">
        <v>1088</v>
      </c>
      <c r="C7510" s="9" t="s">
        <v>30</v>
      </c>
      <c r="D7510" s="8">
        <v>-6.5700000000000003E-3</v>
      </c>
    </row>
    <row r="7511" spans="1:4">
      <c r="A7511" t="str">
        <f t="shared" si="124"/>
        <v>1088Drawdown</v>
      </c>
      <c r="B7511">
        <v>1088</v>
      </c>
      <c r="C7511" s="9" t="s">
        <v>8</v>
      </c>
      <c r="D7511" s="8">
        <v>8.0000000000000002E-3</v>
      </c>
    </row>
    <row r="7512" spans="1:4">
      <c r="A7512" t="str">
        <f t="shared" si="124"/>
        <v>1088Expectancy</v>
      </c>
      <c r="B7512">
        <v>1088</v>
      </c>
      <c r="C7512" s="9" t="s">
        <v>31</v>
      </c>
      <c r="D7512" s="8">
        <v>-0.11899999999999999</v>
      </c>
    </row>
    <row r="7513" spans="1:4">
      <c r="A7513" t="str">
        <f t="shared" si="124"/>
        <v>1088Net Profit</v>
      </c>
      <c r="B7513">
        <v>1088</v>
      </c>
      <c r="C7513" s="9" t="s">
        <v>32</v>
      </c>
      <c r="D7513" s="8">
        <v>-4.3600000000000002E-3</v>
      </c>
    </row>
    <row r="7514" spans="1:4">
      <c r="A7514" t="str">
        <f t="shared" si="124"/>
        <v>1088Loss Rate</v>
      </c>
      <c r="B7514">
        <v>1088</v>
      </c>
      <c r="C7514" s="9" t="s">
        <v>33</v>
      </c>
      <c r="D7514" s="8">
        <v>0.36</v>
      </c>
    </row>
    <row r="7515" spans="1:4">
      <c r="A7515" t="str">
        <f t="shared" si="124"/>
        <v>1088Win Rate</v>
      </c>
      <c r="B7515">
        <v>1088</v>
      </c>
      <c r="C7515" s="9" t="s">
        <v>34</v>
      </c>
      <c r="D7515" s="8">
        <v>0.64</v>
      </c>
    </row>
    <row r="7516" spans="1:4">
      <c r="A7516" t="str">
        <f t="shared" si="124"/>
        <v>1088Profit-Loss Ratio</v>
      </c>
      <c r="B7516">
        <v>1088</v>
      </c>
      <c r="C7516" s="9" t="s">
        <v>26</v>
      </c>
      <c r="D7516" s="8">
        <v>0.37</v>
      </c>
    </row>
    <row r="7517" spans="1:4">
      <c r="A7517" t="str">
        <f t="shared" si="124"/>
        <v>1088Alpha</v>
      </c>
      <c r="B7517">
        <v>1088</v>
      </c>
      <c r="C7517" s="9" t="s">
        <v>23</v>
      </c>
      <c r="D7517" s="8">
        <v>-4.0000000000000001E-3</v>
      </c>
    </row>
    <row r="7518" spans="1:4">
      <c r="A7518" t="str">
        <f t="shared" si="124"/>
        <v>1088Beta</v>
      </c>
      <c r="B7518">
        <v>1088</v>
      </c>
      <c r="C7518" s="9" t="s">
        <v>24</v>
      </c>
      <c r="D7518" s="8">
        <v>-3.0000000000000001E-3</v>
      </c>
    </row>
    <row r="7519" spans="1:4">
      <c r="A7519" t="str">
        <f t="shared" si="124"/>
        <v>1088Annual Standard Deviation</v>
      </c>
      <c r="B7519">
        <v>1088</v>
      </c>
      <c r="C7519" s="9" t="s">
        <v>35</v>
      </c>
      <c r="D7519" s="8">
        <v>6.0000000000000001E-3</v>
      </c>
    </row>
    <row r="7520" spans="1:4">
      <c r="A7520" t="str">
        <f t="shared" si="124"/>
        <v>1088Annual Variance</v>
      </c>
      <c r="B7520">
        <v>1088</v>
      </c>
      <c r="C7520" s="9" t="s">
        <v>36</v>
      </c>
      <c r="D7520" s="8">
        <v>0</v>
      </c>
    </row>
    <row r="7521" spans="1:4">
      <c r="A7521" t="str">
        <f t="shared" si="124"/>
        <v>1088Information Ratio</v>
      </c>
      <c r="B7521">
        <v>1088</v>
      </c>
      <c r="C7521" s="9" t="s">
        <v>37</v>
      </c>
      <c r="D7521" s="8">
        <v>-0.82499999999999996</v>
      </c>
    </row>
    <row r="7522" spans="1:4">
      <c r="A7522" t="str">
        <f t="shared" ref="A7522:A7585" si="125">B7522&amp;C7522</f>
        <v>1088Tracking Error</v>
      </c>
      <c r="B7522">
        <v>1088</v>
      </c>
      <c r="C7522" s="9" t="s">
        <v>38</v>
      </c>
      <c r="D7522" s="8">
        <v>6.8000000000000005E-2</v>
      </c>
    </row>
    <row r="7523" spans="1:4">
      <c r="A7523" t="str">
        <f t="shared" si="125"/>
        <v>1088Treynor Ratio</v>
      </c>
      <c r="B7523">
        <v>1088</v>
      </c>
      <c r="C7523" s="9" t="s">
        <v>39</v>
      </c>
      <c r="D7523" s="8">
        <v>1.4570000000000001</v>
      </c>
    </row>
    <row r="7524" spans="1:4">
      <c r="A7524" t="str">
        <f t="shared" si="125"/>
        <v>1088Total Fees</v>
      </c>
      <c r="B7524">
        <v>1088</v>
      </c>
      <c r="C7524" s="9" t="s">
        <v>40</v>
      </c>
      <c r="D7524" s="8">
        <v>0</v>
      </c>
    </row>
    <row r="7525" spans="1:4">
      <c r="A7525" t="str">
        <f t="shared" si="125"/>
        <v>1088Estimated Strategy Capacity</v>
      </c>
      <c r="B7525">
        <v>1088</v>
      </c>
      <c r="C7525" s="9" t="s">
        <v>41</v>
      </c>
      <c r="D7525" s="8">
        <v>28000000</v>
      </c>
    </row>
    <row r="7526" spans="1:4">
      <c r="A7526" t="str">
        <f t="shared" si="125"/>
        <v>1089PSR</v>
      </c>
      <c r="B7526">
        <v>1089</v>
      </c>
      <c r="C7526" s="9" t="s">
        <v>27</v>
      </c>
      <c r="D7526" s="8">
        <v>5.3069999999999999E-2</v>
      </c>
    </row>
    <row r="7527" spans="1:4">
      <c r="A7527" t="str">
        <f t="shared" si="125"/>
        <v>1089Sharpe Ratio</v>
      </c>
      <c r="B7527">
        <v>1089</v>
      </c>
      <c r="C7527" s="9" t="s">
        <v>1</v>
      </c>
      <c r="D7527" s="8">
        <v>-0.67600000000000005</v>
      </c>
    </row>
    <row r="7528" spans="1:4">
      <c r="A7528" t="str">
        <f t="shared" si="125"/>
        <v>1089Total Trades</v>
      </c>
      <c r="B7528">
        <v>1089</v>
      </c>
      <c r="C7528" s="9" t="s">
        <v>28</v>
      </c>
      <c r="D7528" s="8">
        <v>779</v>
      </c>
    </row>
    <row r="7529" spans="1:4">
      <c r="A7529" t="str">
        <f t="shared" si="125"/>
        <v>1089Average Win</v>
      </c>
      <c r="B7529">
        <v>1089</v>
      </c>
      <c r="C7529" s="9" t="s">
        <v>25</v>
      </c>
      <c r="D7529" s="8">
        <v>2.0000000000000001E-4</v>
      </c>
    </row>
    <row r="7530" spans="1:4">
      <c r="A7530" t="str">
        <f t="shared" si="125"/>
        <v>1089Average Loss</v>
      </c>
      <c r="B7530">
        <v>1089</v>
      </c>
      <c r="C7530" s="9" t="s">
        <v>29</v>
      </c>
      <c r="D7530" s="8">
        <v>-5.9999999999999995E-4</v>
      </c>
    </row>
    <row r="7531" spans="1:4">
      <c r="A7531" t="str">
        <f t="shared" si="125"/>
        <v>1089Compounding Annual Return</v>
      </c>
      <c r="B7531">
        <v>1089</v>
      </c>
      <c r="C7531" s="9" t="s">
        <v>30</v>
      </c>
      <c r="D7531" s="8">
        <v>-1.09E-2</v>
      </c>
    </row>
    <row r="7532" spans="1:4">
      <c r="A7532" t="str">
        <f t="shared" si="125"/>
        <v>1089Drawdown</v>
      </c>
      <c r="B7532">
        <v>1089</v>
      </c>
      <c r="C7532" s="9" t="s">
        <v>8</v>
      </c>
      <c r="D7532" s="8">
        <v>1.2E-2</v>
      </c>
    </row>
    <row r="7533" spans="1:4">
      <c r="A7533" t="str">
        <f t="shared" si="125"/>
        <v>1089Expectancy</v>
      </c>
      <c r="B7533">
        <v>1089</v>
      </c>
      <c r="C7533" s="9" t="s">
        <v>31</v>
      </c>
      <c r="D7533" s="8">
        <v>-0.11600000000000001</v>
      </c>
    </row>
    <row r="7534" spans="1:4">
      <c r="A7534" t="str">
        <f t="shared" si="125"/>
        <v>1089Net Profit</v>
      </c>
      <c r="B7534">
        <v>1089</v>
      </c>
      <c r="C7534" s="9" t="s">
        <v>32</v>
      </c>
      <c r="D7534" s="8">
        <v>-7.2399999999999999E-3</v>
      </c>
    </row>
    <row r="7535" spans="1:4">
      <c r="A7535" t="str">
        <f t="shared" si="125"/>
        <v>1089Loss Rate</v>
      </c>
      <c r="B7535">
        <v>1089</v>
      </c>
      <c r="C7535" s="9" t="s">
        <v>33</v>
      </c>
      <c r="D7535" s="8">
        <v>0.37</v>
      </c>
    </row>
    <row r="7536" spans="1:4">
      <c r="A7536" t="str">
        <f t="shared" si="125"/>
        <v>1089Win Rate</v>
      </c>
      <c r="B7536">
        <v>1089</v>
      </c>
      <c r="C7536" s="9" t="s">
        <v>34</v>
      </c>
      <c r="D7536" s="8">
        <v>0.63</v>
      </c>
    </row>
    <row r="7537" spans="1:4">
      <c r="A7537" t="str">
        <f t="shared" si="125"/>
        <v>1089Profit-Loss Ratio</v>
      </c>
      <c r="B7537">
        <v>1089</v>
      </c>
      <c r="C7537" s="9" t="s">
        <v>26</v>
      </c>
      <c r="D7537" s="8">
        <v>0.39</v>
      </c>
    </row>
    <row r="7538" spans="1:4">
      <c r="A7538" t="str">
        <f t="shared" si="125"/>
        <v>1089Alpha</v>
      </c>
      <c r="B7538">
        <v>1089</v>
      </c>
      <c r="C7538" s="9" t="s">
        <v>23</v>
      </c>
      <c r="D7538" s="8">
        <v>-7.0000000000000001E-3</v>
      </c>
    </row>
    <row r="7539" spans="1:4">
      <c r="A7539" t="str">
        <f t="shared" si="125"/>
        <v>1089Beta</v>
      </c>
      <c r="B7539">
        <v>1089</v>
      </c>
      <c r="C7539" s="9" t="s">
        <v>24</v>
      </c>
      <c r="D7539" s="8">
        <v>-7.0000000000000001E-3</v>
      </c>
    </row>
    <row r="7540" spans="1:4">
      <c r="A7540" t="str">
        <f t="shared" si="125"/>
        <v>1089Annual Standard Deviation</v>
      </c>
      <c r="B7540">
        <v>1089</v>
      </c>
      <c r="C7540" s="9" t="s">
        <v>35</v>
      </c>
      <c r="D7540" s="8">
        <v>1.0999999999999999E-2</v>
      </c>
    </row>
    <row r="7541" spans="1:4">
      <c r="A7541" t="str">
        <f t="shared" si="125"/>
        <v>1089Annual Variance</v>
      </c>
      <c r="B7541">
        <v>1089</v>
      </c>
      <c r="C7541" s="9" t="s">
        <v>36</v>
      </c>
      <c r="D7541" s="8">
        <v>0</v>
      </c>
    </row>
    <row r="7542" spans="1:4">
      <c r="A7542" t="str">
        <f t="shared" si="125"/>
        <v>1089Information Ratio</v>
      </c>
      <c r="B7542">
        <v>1089</v>
      </c>
      <c r="C7542" s="9" t="s">
        <v>37</v>
      </c>
      <c r="D7542" s="8">
        <v>-0.85799999999999998</v>
      </c>
    </row>
    <row r="7543" spans="1:4">
      <c r="A7543" t="str">
        <f t="shared" si="125"/>
        <v>1089Tracking Error</v>
      </c>
      <c r="B7543">
        <v>1089</v>
      </c>
      <c r="C7543" s="9" t="s">
        <v>38</v>
      </c>
      <c r="D7543" s="8">
        <v>6.9000000000000006E-2</v>
      </c>
    </row>
    <row r="7544" spans="1:4">
      <c r="A7544" t="str">
        <f t="shared" si="125"/>
        <v>1089Treynor Ratio</v>
      </c>
      <c r="B7544">
        <v>1089</v>
      </c>
      <c r="C7544" s="9" t="s">
        <v>39</v>
      </c>
      <c r="D7544" s="8">
        <v>1.0980000000000001</v>
      </c>
    </row>
    <row r="7545" spans="1:4">
      <c r="A7545" t="str">
        <f t="shared" si="125"/>
        <v>1089Total Fees</v>
      </c>
      <c r="B7545">
        <v>1089</v>
      </c>
      <c r="C7545" s="9" t="s">
        <v>40</v>
      </c>
      <c r="D7545" s="8">
        <v>0</v>
      </c>
    </row>
    <row r="7546" spans="1:4">
      <c r="A7546" t="str">
        <f t="shared" si="125"/>
        <v>1089Estimated Strategy Capacity</v>
      </c>
      <c r="B7546">
        <v>1089</v>
      </c>
      <c r="C7546" s="9" t="s">
        <v>41</v>
      </c>
      <c r="D7546" s="8">
        <v>16000000</v>
      </c>
    </row>
    <row r="7547" spans="1:4">
      <c r="A7547" t="str">
        <f t="shared" si="125"/>
        <v>1108PSR</v>
      </c>
      <c r="B7547">
        <v>1108</v>
      </c>
      <c r="C7547" s="9" t="s">
        <v>27</v>
      </c>
      <c r="D7547" s="8">
        <v>0.12814999999999999</v>
      </c>
    </row>
    <row r="7548" spans="1:4">
      <c r="A7548" t="str">
        <f t="shared" si="125"/>
        <v>1108Sharpe Ratio</v>
      </c>
      <c r="B7548">
        <v>1108</v>
      </c>
      <c r="C7548" s="9" t="s">
        <v>1</v>
      </c>
      <c r="D7548" s="8">
        <v>-0.16600000000000001</v>
      </c>
    </row>
    <row r="7549" spans="1:4">
      <c r="A7549" t="str">
        <f t="shared" si="125"/>
        <v>1108Total Trades</v>
      </c>
      <c r="B7549">
        <v>1108</v>
      </c>
      <c r="C7549" s="9" t="s">
        <v>28</v>
      </c>
      <c r="D7549" s="8">
        <v>1771</v>
      </c>
    </row>
    <row r="7550" spans="1:4">
      <c r="A7550" t="str">
        <f t="shared" si="125"/>
        <v>1108Average Win</v>
      </c>
      <c r="B7550">
        <v>1108</v>
      </c>
      <c r="C7550" s="9" t="s">
        <v>25</v>
      </c>
      <c r="D7550" s="8">
        <v>0</v>
      </c>
    </row>
    <row r="7551" spans="1:4">
      <c r="A7551" t="str">
        <f t="shared" si="125"/>
        <v>1108Average Loss</v>
      </c>
      <c r="B7551">
        <v>1108</v>
      </c>
      <c r="C7551" s="9" t="s">
        <v>29</v>
      </c>
      <c r="D7551" s="8">
        <v>-1E-4</v>
      </c>
    </row>
    <row r="7552" spans="1:4">
      <c r="A7552" t="str">
        <f t="shared" si="125"/>
        <v>1108Compounding Annual Return</v>
      </c>
      <c r="B7552">
        <v>1108</v>
      </c>
      <c r="C7552" s="9" t="s">
        <v>30</v>
      </c>
      <c r="D7552" s="8">
        <v>-2.9999999999999997E-4</v>
      </c>
    </row>
    <row r="7553" spans="1:4">
      <c r="A7553" t="str">
        <f t="shared" si="125"/>
        <v>1108Drawdown</v>
      </c>
      <c r="B7553">
        <v>1108</v>
      </c>
      <c r="C7553" s="9" t="s">
        <v>8</v>
      </c>
      <c r="D7553" s="8">
        <v>2E-3</v>
      </c>
    </row>
    <row r="7554" spans="1:4">
      <c r="A7554" t="str">
        <f t="shared" si="125"/>
        <v>1108Expectancy</v>
      </c>
      <c r="B7554">
        <v>1108</v>
      </c>
      <c r="C7554" s="9" t="s">
        <v>31</v>
      </c>
      <c r="D7554" s="8">
        <v>-2.1000000000000001E-2</v>
      </c>
    </row>
    <row r="7555" spans="1:4">
      <c r="A7555" t="str">
        <f t="shared" si="125"/>
        <v>1108Net Profit</v>
      </c>
      <c r="B7555">
        <v>1108</v>
      </c>
      <c r="C7555" s="9" t="s">
        <v>32</v>
      </c>
      <c r="D7555" s="8">
        <v>-2.0000000000000001E-4</v>
      </c>
    </row>
    <row r="7556" spans="1:4">
      <c r="A7556" t="str">
        <f t="shared" si="125"/>
        <v>1108Loss Rate</v>
      </c>
      <c r="B7556">
        <v>1108</v>
      </c>
      <c r="C7556" s="9" t="s">
        <v>33</v>
      </c>
      <c r="D7556" s="8">
        <v>0.36</v>
      </c>
    </row>
    <row r="7557" spans="1:4">
      <c r="A7557" t="str">
        <f t="shared" si="125"/>
        <v>1108Win Rate</v>
      </c>
      <c r="B7557">
        <v>1108</v>
      </c>
      <c r="C7557" s="9" t="s">
        <v>34</v>
      </c>
      <c r="D7557" s="8">
        <v>0.64</v>
      </c>
    </row>
    <row r="7558" spans="1:4">
      <c r="A7558" t="str">
        <f t="shared" si="125"/>
        <v>1108Profit-Loss Ratio</v>
      </c>
      <c r="B7558">
        <v>1108</v>
      </c>
      <c r="C7558" s="9" t="s">
        <v>26</v>
      </c>
      <c r="D7558" s="8">
        <v>0.53</v>
      </c>
    </row>
    <row r="7559" spans="1:4">
      <c r="A7559" t="str">
        <f t="shared" si="125"/>
        <v>1108Alpha</v>
      </c>
      <c r="B7559">
        <v>1108</v>
      </c>
      <c r="C7559" s="9" t="s">
        <v>23</v>
      </c>
      <c r="D7559" s="8">
        <v>0</v>
      </c>
    </row>
    <row r="7560" spans="1:4">
      <c r="A7560" t="str">
        <f t="shared" si="125"/>
        <v>1108Beta</v>
      </c>
      <c r="B7560">
        <v>1108</v>
      </c>
      <c r="C7560" s="9" t="s">
        <v>24</v>
      </c>
      <c r="D7560" s="8">
        <v>-1E-3</v>
      </c>
    </row>
    <row r="7561" spans="1:4">
      <c r="A7561" t="str">
        <f t="shared" si="125"/>
        <v>1108Annual Standard Deviation</v>
      </c>
      <c r="B7561">
        <v>1108</v>
      </c>
      <c r="C7561" s="9" t="s">
        <v>35</v>
      </c>
      <c r="D7561" s="8">
        <v>1E-3</v>
      </c>
    </row>
    <row r="7562" spans="1:4">
      <c r="A7562" t="str">
        <f t="shared" si="125"/>
        <v>1108Annual Variance</v>
      </c>
      <c r="B7562">
        <v>1108</v>
      </c>
      <c r="C7562" s="9" t="s">
        <v>36</v>
      </c>
      <c r="D7562" s="8">
        <v>0</v>
      </c>
    </row>
    <row r="7563" spans="1:4">
      <c r="A7563" t="str">
        <f t="shared" si="125"/>
        <v>1108Information Ratio</v>
      </c>
      <c r="B7563">
        <v>1108</v>
      </c>
      <c r="C7563" s="9" t="s">
        <v>37</v>
      </c>
      <c r="D7563" s="8">
        <v>-0.76700000000000002</v>
      </c>
    </row>
    <row r="7564" spans="1:4">
      <c r="A7564" t="str">
        <f t="shared" si="125"/>
        <v>1108Tracking Error</v>
      </c>
      <c r="B7564">
        <v>1108</v>
      </c>
      <c r="C7564" s="9" t="s">
        <v>38</v>
      </c>
      <c r="D7564" s="8">
        <v>6.7000000000000004E-2</v>
      </c>
    </row>
    <row r="7565" spans="1:4">
      <c r="A7565" t="str">
        <f t="shared" si="125"/>
        <v>1108Treynor Ratio</v>
      </c>
      <c r="B7565">
        <v>1108</v>
      </c>
      <c r="C7565" s="9" t="s">
        <v>39</v>
      </c>
      <c r="D7565" s="8">
        <v>0.32100000000000001</v>
      </c>
    </row>
    <row r="7566" spans="1:4">
      <c r="A7566" t="str">
        <f t="shared" si="125"/>
        <v>1108Total Fees</v>
      </c>
      <c r="B7566">
        <v>1108</v>
      </c>
      <c r="C7566" s="9" t="s">
        <v>40</v>
      </c>
      <c r="D7566" s="8">
        <v>0</v>
      </c>
    </row>
    <row r="7567" spans="1:4">
      <c r="A7567" t="str">
        <f t="shared" si="125"/>
        <v>1108Estimated Strategy Capacity</v>
      </c>
      <c r="B7567">
        <v>1108</v>
      </c>
      <c r="C7567" s="9" t="s">
        <v>41</v>
      </c>
      <c r="D7567" s="8">
        <v>640000000</v>
      </c>
    </row>
    <row r="7568" spans="1:4">
      <c r="A7568" t="str">
        <f t="shared" si="125"/>
        <v>1109PSR</v>
      </c>
      <c r="B7568">
        <v>1109</v>
      </c>
      <c r="C7568" s="9" t="s">
        <v>27</v>
      </c>
      <c r="D7568" s="8">
        <v>0.12928999999999999</v>
      </c>
    </row>
    <row r="7569" spans="1:4">
      <c r="A7569" t="str">
        <f t="shared" si="125"/>
        <v>1109Sharpe Ratio</v>
      </c>
      <c r="B7569">
        <v>1109</v>
      </c>
      <c r="C7569" s="9" t="s">
        <v>1</v>
      </c>
      <c r="D7569" s="8">
        <v>-0.16</v>
      </c>
    </row>
    <row r="7570" spans="1:4">
      <c r="A7570" t="str">
        <f t="shared" si="125"/>
        <v>1109Total Trades</v>
      </c>
      <c r="B7570">
        <v>1109</v>
      </c>
      <c r="C7570" s="9" t="s">
        <v>28</v>
      </c>
      <c r="D7570" s="8">
        <v>1771</v>
      </c>
    </row>
    <row r="7571" spans="1:4">
      <c r="A7571" t="str">
        <f t="shared" si="125"/>
        <v>1109Average Win</v>
      </c>
      <c r="B7571">
        <v>1109</v>
      </c>
      <c r="C7571" s="9" t="s">
        <v>25</v>
      </c>
      <c r="D7571" s="8">
        <v>4.0000000000000002E-4</v>
      </c>
    </row>
    <row r="7572" spans="1:4">
      <c r="A7572" t="str">
        <f t="shared" si="125"/>
        <v>1109Average Loss</v>
      </c>
      <c r="B7572">
        <v>1109</v>
      </c>
      <c r="C7572" s="9" t="s">
        <v>29</v>
      </c>
      <c r="D7572" s="8">
        <v>-8.0000000000000004E-4</v>
      </c>
    </row>
    <row r="7573" spans="1:4">
      <c r="A7573" t="str">
        <f t="shared" si="125"/>
        <v>1109Compounding Annual Return</v>
      </c>
      <c r="B7573">
        <v>1109</v>
      </c>
      <c r="C7573" s="9" t="s">
        <v>30</v>
      </c>
      <c r="D7573" s="8">
        <v>-3.0400000000000002E-3</v>
      </c>
    </row>
    <row r="7574" spans="1:4">
      <c r="A7574" t="str">
        <f t="shared" si="125"/>
        <v>1109Drawdown</v>
      </c>
      <c r="B7574">
        <v>1109</v>
      </c>
      <c r="C7574" s="9" t="s">
        <v>8</v>
      </c>
      <c r="D7574" s="8">
        <v>1.7000000000000001E-2</v>
      </c>
    </row>
    <row r="7575" spans="1:4">
      <c r="A7575" t="str">
        <f t="shared" si="125"/>
        <v>1109Expectancy</v>
      </c>
      <c r="B7575">
        <v>1109</v>
      </c>
      <c r="C7575" s="9" t="s">
        <v>31</v>
      </c>
      <c r="D7575" s="8">
        <v>-2.1000000000000001E-2</v>
      </c>
    </row>
    <row r="7576" spans="1:4">
      <c r="A7576" t="str">
        <f t="shared" si="125"/>
        <v>1109Net Profit</v>
      </c>
      <c r="B7576">
        <v>1109</v>
      </c>
      <c r="C7576" s="9" t="s">
        <v>32</v>
      </c>
      <c r="D7576" s="8">
        <v>-2.0100000000000001E-3</v>
      </c>
    </row>
    <row r="7577" spans="1:4">
      <c r="A7577" t="str">
        <f t="shared" si="125"/>
        <v>1109Loss Rate</v>
      </c>
      <c r="B7577">
        <v>1109</v>
      </c>
      <c r="C7577" s="9" t="s">
        <v>33</v>
      </c>
      <c r="D7577" s="8">
        <v>0.36</v>
      </c>
    </row>
    <row r="7578" spans="1:4">
      <c r="A7578" t="str">
        <f t="shared" si="125"/>
        <v>1109Win Rate</v>
      </c>
      <c r="B7578">
        <v>1109</v>
      </c>
      <c r="C7578" s="9" t="s">
        <v>34</v>
      </c>
      <c r="D7578" s="8">
        <v>0.64</v>
      </c>
    </row>
    <row r="7579" spans="1:4">
      <c r="A7579" t="str">
        <f t="shared" si="125"/>
        <v>1109Profit-Loss Ratio</v>
      </c>
      <c r="B7579">
        <v>1109</v>
      </c>
      <c r="C7579" s="9" t="s">
        <v>26</v>
      </c>
      <c r="D7579" s="8">
        <v>0.53</v>
      </c>
    </row>
    <row r="7580" spans="1:4">
      <c r="A7580" t="str">
        <f t="shared" si="125"/>
        <v>1109Alpha</v>
      </c>
      <c r="B7580">
        <v>1109</v>
      </c>
      <c r="C7580" s="9" t="s">
        <v>23</v>
      </c>
      <c r="D7580" s="8">
        <v>-2E-3</v>
      </c>
    </row>
    <row r="7581" spans="1:4">
      <c r="A7581" t="str">
        <f t="shared" si="125"/>
        <v>1109Beta</v>
      </c>
      <c r="B7581">
        <v>1109</v>
      </c>
      <c r="C7581" s="9" t="s">
        <v>24</v>
      </c>
      <c r="D7581" s="8">
        <v>-7.0000000000000001E-3</v>
      </c>
    </row>
    <row r="7582" spans="1:4">
      <c r="A7582" t="str">
        <f t="shared" si="125"/>
        <v>1109Annual Standard Deviation</v>
      </c>
      <c r="B7582">
        <v>1109</v>
      </c>
      <c r="C7582" s="9" t="s">
        <v>35</v>
      </c>
      <c r="D7582" s="8">
        <v>1.2999999999999999E-2</v>
      </c>
    </row>
    <row r="7583" spans="1:4">
      <c r="A7583" t="str">
        <f t="shared" si="125"/>
        <v>1109Annual Variance</v>
      </c>
      <c r="B7583">
        <v>1109</v>
      </c>
      <c r="C7583" s="9" t="s">
        <v>36</v>
      </c>
      <c r="D7583" s="8">
        <v>0</v>
      </c>
    </row>
    <row r="7584" spans="1:4">
      <c r="A7584" t="str">
        <f t="shared" si="125"/>
        <v>1109Information Ratio</v>
      </c>
      <c r="B7584">
        <v>1109</v>
      </c>
      <c r="C7584" s="9" t="s">
        <v>37</v>
      </c>
      <c r="D7584" s="8">
        <v>-0.77600000000000002</v>
      </c>
    </row>
    <row r="7585" spans="1:4">
      <c r="A7585" t="str">
        <f t="shared" si="125"/>
        <v>1109Tracking Error</v>
      </c>
      <c r="B7585">
        <v>1109</v>
      </c>
      <c r="C7585" s="9" t="s">
        <v>38</v>
      </c>
      <c r="D7585" s="8">
        <v>6.9000000000000006E-2</v>
      </c>
    </row>
    <row r="7586" spans="1:4">
      <c r="A7586" t="str">
        <f t="shared" ref="A7586:A7649" si="126">B7586&amp;C7586</f>
        <v>1109Treynor Ratio</v>
      </c>
      <c r="B7586">
        <v>1109</v>
      </c>
      <c r="C7586" s="9" t="s">
        <v>39</v>
      </c>
      <c r="D7586" s="8">
        <v>0.307</v>
      </c>
    </row>
    <row r="7587" spans="1:4">
      <c r="A7587" t="str">
        <f t="shared" si="126"/>
        <v>1109Total Fees</v>
      </c>
      <c r="B7587">
        <v>1109</v>
      </c>
      <c r="C7587" s="9" t="s">
        <v>40</v>
      </c>
      <c r="D7587" s="8">
        <v>0</v>
      </c>
    </row>
    <row r="7588" spans="1:4">
      <c r="A7588" t="str">
        <f t="shared" si="126"/>
        <v>1109Estimated Strategy Capacity</v>
      </c>
      <c r="B7588">
        <v>1109</v>
      </c>
      <c r="C7588" s="9" t="s">
        <v>41</v>
      </c>
      <c r="D7588" s="8">
        <v>66000000</v>
      </c>
    </row>
    <row r="7589" spans="1:4">
      <c r="A7589" t="str">
        <f t="shared" si="126"/>
        <v>1110PSR</v>
      </c>
      <c r="B7589">
        <v>1110</v>
      </c>
      <c r="C7589" s="9" t="s">
        <v>27</v>
      </c>
      <c r="D7589" s="8">
        <v>9.6670000000000006E-2</v>
      </c>
    </row>
    <row r="7590" spans="1:4">
      <c r="A7590" t="str">
        <f t="shared" si="126"/>
        <v>1110Sharpe Ratio</v>
      </c>
      <c r="B7590">
        <v>1110</v>
      </c>
      <c r="C7590" s="9" t="s">
        <v>1</v>
      </c>
      <c r="D7590" s="8">
        <v>-0.32800000000000001</v>
      </c>
    </row>
    <row r="7591" spans="1:4">
      <c r="A7591" t="str">
        <f t="shared" si="126"/>
        <v>1110Total Trades</v>
      </c>
      <c r="B7591">
        <v>1110</v>
      </c>
      <c r="C7591" s="9" t="s">
        <v>28</v>
      </c>
      <c r="D7591" s="8">
        <v>1681</v>
      </c>
    </row>
    <row r="7592" spans="1:4">
      <c r="A7592" t="str">
        <f t="shared" si="126"/>
        <v>1110Average Win</v>
      </c>
      <c r="B7592">
        <v>1110</v>
      </c>
      <c r="C7592" s="9" t="s">
        <v>25</v>
      </c>
      <c r="D7592" s="8">
        <v>6.9999999999999999E-4</v>
      </c>
    </row>
    <row r="7593" spans="1:4">
      <c r="A7593" t="str">
        <f t="shared" si="126"/>
        <v>1110Average Loss</v>
      </c>
      <c r="B7593">
        <v>1110</v>
      </c>
      <c r="C7593" s="9" t="s">
        <v>29</v>
      </c>
      <c r="D7593" s="8">
        <v>-1.4E-3</v>
      </c>
    </row>
    <row r="7594" spans="1:4">
      <c r="A7594" t="str">
        <f t="shared" si="126"/>
        <v>1110Compounding Annual Return</v>
      </c>
      <c r="B7594">
        <v>1110</v>
      </c>
      <c r="C7594" s="9" t="s">
        <v>30</v>
      </c>
      <c r="D7594" s="8">
        <v>-1.061E-2</v>
      </c>
    </row>
    <row r="7595" spans="1:4">
      <c r="A7595" t="str">
        <f t="shared" si="126"/>
        <v>1110Drawdown</v>
      </c>
      <c r="B7595">
        <v>1110</v>
      </c>
      <c r="C7595" s="9" t="s">
        <v>8</v>
      </c>
      <c r="D7595" s="8">
        <v>2.9000000000000001E-2</v>
      </c>
    </row>
    <row r="7596" spans="1:4">
      <c r="A7596" t="str">
        <f t="shared" si="126"/>
        <v>1110Expectancy</v>
      </c>
      <c r="B7596">
        <v>1110</v>
      </c>
      <c r="C7596" s="9" t="s">
        <v>31</v>
      </c>
      <c r="D7596" s="8">
        <v>-3.9E-2</v>
      </c>
    </row>
    <row r="7597" spans="1:4">
      <c r="A7597" t="str">
        <f t="shared" si="126"/>
        <v>1110Net Profit</v>
      </c>
      <c r="B7597">
        <v>1110</v>
      </c>
      <c r="C7597" s="9" t="s">
        <v>32</v>
      </c>
      <c r="D7597" s="8">
        <v>-7.0499999999999998E-3</v>
      </c>
    </row>
    <row r="7598" spans="1:4">
      <c r="A7598" t="str">
        <f t="shared" si="126"/>
        <v>1110Loss Rate</v>
      </c>
      <c r="B7598">
        <v>1110</v>
      </c>
      <c r="C7598" s="9" t="s">
        <v>33</v>
      </c>
      <c r="D7598" s="8">
        <v>0.35</v>
      </c>
    </row>
    <row r="7599" spans="1:4">
      <c r="A7599" t="str">
        <f t="shared" si="126"/>
        <v>1110Win Rate</v>
      </c>
      <c r="B7599">
        <v>1110</v>
      </c>
      <c r="C7599" s="9" t="s">
        <v>34</v>
      </c>
      <c r="D7599" s="8">
        <v>0.65</v>
      </c>
    </row>
    <row r="7600" spans="1:4">
      <c r="A7600" t="str">
        <f t="shared" si="126"/>
        <v>1110Profit-Loss Ratio</v>
      </c>
      <c r="B7600">
        <v>1110</v>
      </c>
      <c r="C7600" s="9" t="s">
        <v>26</v>
      </c>
      <c r="D7600" s="8">
        <v>0.47</v>
      </c>
    </row>
    <row r="7601" spans="1:4">
      <c r="A7601" t="str">
        <f t="shared" si="126"/>
        <v>1110Alpha</v>
      </c>
      <c r="B7601">
        <v>1110</v>
      </c>
      <c r="C7601" s="9" t="s">
        <v>23</v>
      </c>
      <c r="D7601" s="8">
        <v>-6.0000000000000001E-3</v>
      </c>
    </row>
    <row r="7602" spans="1:4">
      <c r="A7602" t="str">
        <f t="shared" si="126"/>
        <v>1110Beta</v>
      </c>
      <c r="B7602">
        <v>1110</v>
      </c>
      <c r="C7602" s="9" t="s">
        <v>24</v>
      </c>
      <c r="D7602" s="8">
        <v>-1.7000000000000001E-2</v>
      </c>
    </row>
    <row r="7603" spans="1:4">
      <c r="A7603" t="str">
        <f t="shared" si="126"/>
        <v>1110Annual Standard Deviation</v>
      </c>
      <c r="B7603">
        <v>1110</v>
      </c>
      <c r="C7603" s="9" t="s">
        <v>35</v>
      </c>
      <c r="D7603" s="8">
        <v>2.1999999999999999E-2</v>
      </c>
    </row>
    <row r="7604" spans="1:4">
      <c r="A7604" t="str">
        <f t="shared" si="126"/>
        <v>1110Annual Variance</v>
      </c>
      <c r="B7604">
        <v>1110</v>
      </c>
      <c r="C7604" s="9" t="s">
        <v>36</v>
      </c>
      <c r="D7604" s="8">
        <v>0</v>
      </c>
    </row>
    <row r="7605" spans="1:4">
      <c r="A7605" t="str">
        <f t="shared" si="126"/>
        <v>1110Information Ratio</v>
      </c>
      <c r="B7605">
        <v>1110</v>
      </c>
      <c r="C7605" s="9" t="s">
        <v>37</v>
      </c>
      <c r="D7605" s="8">
        <v>-0.81499999999999995</v>
      </c>
    </row>
    <row r="7606" spans="1:4">
      <c r="A7606" t="str">
        <f t="shared" si="126"/>
        <v>1110Tracking Error</v>
      </c>
      <c r="B7606">
        <v>1110</v>
      </c>
      <c r="C7606" s="9" t="s">
        <v>38</v>
      </c>
      <c r="D7606" s="8">
        <v>7.1999999999999995E-2</v>
      </c>
    </row>
    <row r="7607" spans="1:4">
      <c r="A7607" t="str">
        <f t="shared" si="126"/>
        <v>1110Treynor Ratio</v>
      </c>
      <c r="B7607">
        <v>1110</v>
      </c>
      <c r="C7607" s="9" t="s">
        <v>39</v>
      </c>
      <c r="D7607" s="8">
        <v>0.41099999999999998</v>
      </c>
    </row>
    <row r="7608" spans="1:4">
      <c r="A7608" t="str">
        <f t="shared" si="126"/>
        <v>1110Total Fees</v>
      </c>
      <c r="B7608">
        <v>1110</v>
      </c>
      <c r="C7608" s="9" t="s">
        <v>40</v>
      </c>
      <c r="D7608" s="8">
        <v>0</v>
      </c>
    </row>
    <row r="7609" spans="1:4">
      <c r="A7609" t="str">
        <f t="shared" si="126"/>
        <v>1110Estimated Strategy Capacity</v>
      </c>
      <c r="B7609">
        <v>1110</v>
      </c>
      <c r="C7609" s="9" t="s">
        <v>41</v>
      </c>
      <c r="D7609" s="8">
        <v>34000000</v>
      </c>
    </row>
    <row r="7610" spans="1:4">
      <c r="A7610" t="str">
        <f t="shared" si="126"/>
        <v>1111PSR</v>
      </c>
      <c r="B7610">
        <v>1111</v>
      </c>
      <c r="C7610" s="9" t="s">
        <v>27</v>
      </c>
      <c r="D7610" s="8">
        <v>0.17921999999999999</v>
      </c>
    </row>
    <row r="7611" spans="1:4">
      <c r="A7611" t="str">
        <f t="shared" si="126"/>
        <v>1111Sharpe Ratio</v>
      </c>
      <c r="B7611">
        <v>1111</v>
      </c>
      <c r="C7611" s="9" t="s">
        <v>1</v>
      </c>
      <c r="D7611" s="8">
        <v>6.4000000000000001E-2</v>
      </c>
    </row>
    <row r="7612" spans="1:4">
      <c r="A7612" t="str">
        <f t="shared" si="126"/>
        <v>1111Total Trades</v>
      </c>
      <c r="B7612">
        <v>1111</v>
      </c>
      <c r="C7612" s="9" t="s">
        <v>28</v>
      </c>
      <c r="D7612" s="8">
        <v>983</v>
      </c>
    </row>
    <row r="7613" spans="1:4">
      <c r="A7613" t="str">
        <f t="shared" si="126"/>
        <v>1111Average Win</v>
      </c>
      <c r="B7613">
        <v>1111</v>
      </c>
      <c r="C7613" s="9" t="s">
        <v>25</v>
      </c>
      <c r="D7613" s="8">
        <v>0</v>
      </c>
    </row>
    <row r="7614" spans="1:4">
      <c r="A7614" t="str">
        <f t="shared" si="126"/>
        <v>1111Average Loss</v>
      </c>
      <c r="B7614">
        <v>1111</v>
      </c>
      <c r="C7614" s="9" t="s">
        <v>29</v>
      </c>
      <c r="D7614" s="8">
        <v>-1E-4</v>
      </c>
    </row>
    <row r="7615" spans="1:4">
      <c r="A7615" t="str">
        <f t="shared" si="126"/>
        <v>1111Compounding Annual Return</v>
      </c>
      <c r="B7615">
        <v>1111</v>
      </c>
      <c r="C7615" s="9" t="s">
        <v>30</v>
      </c>
      <c r="D7615" s="8">
        <v>1.3999999999999999E-4</v>
      </c>
    </row>
    <row r="7616" spans="1:4">
      <c r="A7616" t="str">
        <f t="shared" si="126"/>
        <v>1111Drawdown</v>
      </c>
      <c r="B7616">
        <v>1111</v>
      </c>
      <c r="C7616" s="9" t="s">
        <v>8</v>
      </c>
      <c r="D7616" s="8">
        <v>1E-3</v>
      </c>
    </row>
    <row r="7617" spans="1:4">
      <c r="A7617" t="str">
        <f t="shared" si="126"/>
        <v>1111Expectancy</v>
      </c>
      <c r="B7617">
        <v>1111</v>
      </c>
      <c r="C7617" s="9" t="s">
        <v>31</v>
      </c>
      <c r="D7617" s="8">
        <v>1.4999999999999999E-2</v>
      </c>
    </row>
    <row r="7618" spans="1:4">
      <c r="A7618" t="str">
        <f t="shared" si="126"/>
        <v>1111Net Profit</v>
      </c>
      <c r="B7618">
        <v>1111</v>
      </c>
      <c r="C7618" s="9" t="s">
        <v>32</v>
      </c>
      <c r="D7618" s="8">
        <v>9.0000000000000006E-5</v>
      </c>
    </row>
    <row r="7619" spans="1:4">
      <c r="A7619" t="str">
        <f t="shared" si="126"/>
        <v>1111Loss Rate</v>
      </c>
      <c r="B7619">
        <v>1111</v>
      </c>
      <c r="C7619" s="9" t="s">
        <v>33</v>
      </c>
      <c r="D7619" s="8">
        <v>0.32</v>
      </c>
    </row>
    <row r="7620" spans="1:4">
      <c r="A7620" t="str">
        <f t="shared" si="126"/>
        <v>1111Win Rate</v>
      </c>
      <c r="B7620">
        <v>1111</v>
      </c>
      <c r="C7620" s="9" t="s">
        <v>34</v>
      </c>
      <c r="D7620" s="8">
        <v>0.68</v>
      </c>
    </row>
    <row r="7621" spans="1:4">
      <c r="A7621" t="str">
        <f t="shared" si="126"/>
        <v>1111Profit-Loss Ratio</v>
      </c>
      <c r="B7621">
        <v>1111</v>
      </c>
      <c r="C7621" s="9" t="s">
        <v>26</v>
      </c>
      <c r="D7621" s="8">
        <v>0.5</v>
      </c>
    </row>
    <row r="7622" spans="1:4">
      <c r="A7622" t="str">
        <f t="shared" si="126"/>
        <v>1111Alpha</v>
      </c>
      <c r="B7622">
        <v>1111</v>
      </c>
      <c r="C7622" s="9" t="s">
        <v>23</v>
      </c>
      <c r="D7622" s="8">
        <v>0</v>
      </c>
    </row>
    <row r="7623" spans="1:4">
      <c r="A7623" t="str">
        <f t="shared" si="126"/>
        <v>1111Beta</v>
      </c>
      <c r="B7623">
        <v>1111</v>
      </c>
      <c r="C7623" s="9" t="s">
        <v>24</v>
      </c>
      <c r="D7623" s="8">
        <v>0</v>
      </c>
    </row>
    <row r="7624" spans="1:4">
      <c r="A7624" t="str">
        <f t="shared" si="126"/>
        <v>1111Annual Standard Deviation</v>
      </c>
      <c r="B7624">
        <v>1111</v>
      </c>
      <c r="C7624" s="9" t="s">
        <v>35</v>
      </c>
      <c r="D7624" s="8">
        <v>1E-3</v>
      </c>
    </row>
    <row r="7625" spans="1:4">
      <c r="A7625" t="str">
        <f t="shared" si="126"/>
        <v>1111Annual Variance</v>
      </c>
      <c r="B7625">
        <v>1111</v>
      </c>
      <c r="C7625" s="9" t="s">
        <v>36</v>
      </c>
      <c r="D7625" s="8">
        <v>0</v>
      </c>
    </row>
    <row r="7626" spans="1:4">
      <c r="A7626" t="str">
        <f t="shared" si="126"/>
        <v>1111Information Ratio</v>
      </c>
      <c r="B7626">
        <v>1111</v>
      </c>
      <c r="C7626" s="9" t="s">
        <v>37</v>
      </c>
      <c r="D7626" s="8">
        <v>-0.76200000000000001</v>
      </c>
    </row>
    <row r="7627" spans="1:4">
      <c r="A7627" t="str">
        <f t="shared" si="126"/>
        <v>1111Tracking Error</v>
      </c>
      <c r="B7627">
        <v>1111</v>
      </c>
      <c r="C7627" s="9" t="s">
        <v>38</v>
      </c>
      <c r="D7627" s="8">
        <v>6.7000000000000004E-2</v>
      </c>
    </row>
    <row r="7628" spans="1:4">
      <c r="A7628" t="str">
        <f t="shared" si="126"/>
        <v>1111Treynor Ratio</v>
      </c>
      <c r="B7628">
        <v>1111</v>
      </c>
      <c r="C7628" s="9" t="s">
        <v>39</v>
      </c>
      <c r="D7628" s="8">
        <v>-2.577</v>
      </c>
    </row>
    <row r="7629" spans="1:4">
      <c r="A7629" t="str">
        <f t="shared" si="126"/>
        <v>1111Total Fees</v>
      </c>
      <c r="B7629">
        <v>1111</v>
      </c>
      <c r="C7629" s="9" t="s">
        <v>40</v>
      </c>
      <c r="D7629" s="8">
        <v>0</v>
      </c>
    </row>
    <row r="7630" spans="1:4">
      <c r="A7630" t="str">
        <f t="shared" si="126"/>
        <v>1111Estimated Strategy Capacity</v>
      </c>
      <c r="B7630">
        <v>1111</v>
      </c>
      <c r="C7630" s="9" t="s">
        <v>41</v>
      </c>
      <c r="D7630" s="8">
        <v>210000000</v>
      </c>
    </row>
    <row r="7631" spans="1:4">
      <c r="A7631" t="str">
        <f t="shared" si="126"/>
        <v>1112PSR</v>
      </c>
      <c r="B7631">
        <v>1112</v>
      </c>
      <c r="C7631" s="9" t="s">
        <v>27</v>
      </c>
      <c r="D7631" s="8">
        <v>0.18081</v>
      </c>
    </row>
    <row r="7632" spans="1:4">
      <c r="A7632" t="str">
        <f t="shared" si="126"/>
        <v>1112Sharpe Ratio</v>
      </c>
      <c r="B7632">
        <v>1112</v>
      </c>
      <c r="C7632" s="9" t="s">
        <v>1</v>
      </c>
      <c r="D7632" s="8">
        <v>7.0999999999999994E-2</v>
      </c>
    </row>
    <row r="7633" spans="1:4">
      <c r="A7633" t="str">
        <f t="shared" si="126"/>
        <v>1112Total Trades</v>
      </c>
      <c r="B7633">
        <v>1112</v>
      </c>
      <c r="C7633" s="9" t="s">
        <v>28</v>
      </c>
      <c r="D7633" s="8">
        <v>983</v>
      </c>
    </row>
    <row r="7634" spans="1:4">
      <c r="A7634" t="str">
        <f t="shared" si="126"/>
        <v>1112Average Win</v>
      </c>
      <c r="B7634">
        <v>1112</v>
      </c>
      <c r="C7634" s="9" t="s">
        <v>25</v>
      </c>
      <c r="D7634" s="8">
        <v>5.0000000000000001E-4</v>
      </c>
    </row>
    <row r="7635" spans="1:4">
      <c r="A7635" t="str">
        <f t="shared" si="126"/>
        <v>1112Average Loss</v>
      </c>
      <c r="B7635">
        <v>1112</v>
      </c>
      <c r="C7635" s="9" t="s">
        <v>29</v>
      </c>
      <c r="D7635" s="8">
        <v>-1E-3</v>
      </c>
    </row>
    <row r="7636" spans="1:4">
      <c r="A7636" t="str">
        <f t="shared" si="126"/>
        <v>1112Compounding Annual Return</v>
      </c>
      <c r="B7636">
        <v>1112</v>
      </c>
      <c r="C7636" s="9" t="s">
        <v>30</v>
      </c>
      <c r="D7636" s="8">
        <v>1.3699999999999999E-3</v>
      </c>
    </row>
    <row r="7637" spans="1:4">
      <c r="A7637" t="str">
        <f t="shared" si="126"/>
        <v>1112Drawdown</v>
      </c>
      <c r="B7637">
        <v>1112</v>
      </c>
      <c r="C7637" s="9" t="s">
        <v>8</v>
      </c>
      <c r="D7637" s="8">
        <v>1.0999999999999999E-2</v>
      </c>
    </row>
    <row r="7638" spans="1:4">
      <c r="A7638" t="str">
        <f t="shared" si="126"/>
        <v>1112Expectancy</v>
      </c>
      <c r="B7638">
        <v>1112</v>
      </c>
      <c r="C7638" s="9" t="s">
        <v>31</v>
      </c>
      <c r="D7638" s="8">
        <v>1.6E-2</v>
      </c>
    </row>
    <row r="7639" spans="1:4">
      <c r="A7639" t="str">
        <f t="shared" si="126"/>
        <v>1112Net Profit</v>
      </c>
      <c r="B7639">
        <v>1112</v>
      </c>
      <c r="C7639" s="9" t="s">
        <v>32</v>
      </c>
      <c r="D7639" s="8">
        <v>9.1E-4</v>
      </c>
    </row>
    <row r="7640" spans="1:4">
      <c r="A7640" t="str">
        <f t="shared" si="126"/>
        <v>1112Loss Rate</v>
      </c>
      <c r="B7640">
        <v>1112</v>
      </c>
      <c r="C7640" s="9" t="s">
        <v>33</v>
      </c>
      <c r="D7640" s="8">
        <v>0.32</v>
      </c>
    </row>
    <row r="7641" spans="1:4">
      <c r="A7641" t="str">
        <f t="shared" si="126"/>
        <v>1112Win Rate</v>
      </c>
      <c r="B7641">
        <v>1112</v>
      </c>
      <c r="C7641" s="9" t="s">
        <v>34</v>
      </c>
      <c r="D7641" s="8">
        <v>0.68</v>
      </c>
    </row>
    <row r="7642" spans="1:4">
      <c r="A7642" t="str">
        <f t="shared" si="126"/>
        <v>1112Profit-Loss Ratio</v>
      </c>
      <c r="B7642">
        <v>1112</v>
      </c>
      <c r="C7642" s="9" t="s">
        <v>26</v>
      </c>
      <c r="D7642" s="8">
        <v>0.51</v>
      </c>
    </row>
    <row r="7643" spans="1:4">
      <c r="A7643" t="str">
        <f t="shared" si="126"/>
        <v>1112Alpha</v>
      </c>
      <c r="B7643">
        <v>1112</v>
      </c>
      <c r="C7643" s="9" t="s">
        <v>23</v>
      </c>
      <c r="D7643" s="8">
        <v>1E-3</v>
      </c>
    </row>
    <row r="7644" spans="1:4">
      <c r="A7644" t="str">
        <f t="shared" si="126"/>
        <v>1112Beta</v>
      </c>
      <c r="B7644">
        <v>1112</v>
      </c>
      <c r="C7644" s="9" t="s">
        <v>24</v>
      </c>
      <c r="D7644" s="8">
        <v>0</v>
      </c>
    </row>
    <row r="7645" spans="1:4">
      <c r="A7645" t="str">
        <f t="shared" si="126"/>
        <v>1112Annual Standard Deviation</v>
      </c>
      <c r="B7645">
        <v>1112</v>
      </c>
      <c r="C7645" s="9" t="s">
        <v>35</v>
      </c>
      <c r="D7645" s="8">
        <v>1.4999999999999999E-2</v>
      </c>
    </row>
    <row r="7646" spans="1:4">
      <c r="A7646" t="str">
        <f t="shared" si="126"/>
        <v>1112Annual Variance</v>
      </c>
      <c r="B7646">
        <v>1112</v>
      </c>
      <c r="C7646" s="9" t="s">
        <v>36</v>
      </c>
      <c r="D7646" s="8">
        <v>0</v>
      </c>
    </row>
    <row r="7647" spans="1:4">
      <c r="A7647" t="str">
        <f t="shared" si="126"/>
        <v>1112Information Ratio</v>
      </c>
      <c r="B7647">
        <v>1112</v>
      </c>
      <c r="C7647" s="9" t="s">
        <v>37</v>
      </c>
      <c r="D7647" s="8">
        <v>-0.73099999999999998</v>
      </c>
    </row>
    <row r="7648" spans="1:4">
      <c r="A7648" t="str">
        <f t="shared" si="126"/>
        <v>1112Tracking Error</v>
      </c>
      <c r="B7648">
        <v>1112</v>
      </c>
      <c r="C7648" s="9" t="s">
        <v>38</v>
      </c>
      <c r="D7648" s="8">
        <v>6.9000000000000006E-2</v>
      </c>
    </row>
    <row r="7649" spans="1:4">
      <c r="A7649" t="str">
        <f t="shared" si="126"/>
        <v>1112Treynor Ratio</v>
      </c>
      <c r="B7649">
        <v>1112</v>
      </c>
      <c r="C7649" s="9" t="s">
        <v>39</v>
      </c>
      <c r="D7649" s="8">
        <v>-3.1709999999999998</v>
      </c>
    </row>
    <row r="7650" spans="1:4">
      <c r="A7650" t="str">
        <f t="shared" ref="A7650:A7713" si="127">B7650&amp;C7650</f>
        <v>1112Total Fees</v>
      </c>
      <c r="B7650">
        <v>1112</v>
      </c>
      <c r="C7650" s="9" t="s">
        <v>40</v>
      </c>
      <c r="D7650" s="8">
        <v>0</v>
      </c>
    </row>
    <row r="7651" spans="1:4">
      <c r="A7651" t="str">
        <f t="shared" si="127"/>
        <v>1112Estimated Strategy Capacity</v>
      </c>
      <c r="B7651">
        <v>1112</v>
      </c>
      <c r="C7651" s="9" t="s">
        <v>41</v>
      </c>
      <c r="D7651" s="8">
        <v>24000000</v>
      </c>
    </row>
    <row r="7652" spans="1:4">
      <c r="A7652" t="str">
        <f t="shared" si="127"/>
        <v>1113PSR</v>
      </c>
      <c r="B7652">
        <v>1113</v>
      </c>
      <c r="C7652" s="9" t="s">
        <v>27</v>
      </c>
      <c r="D7652" s="8">
        <v>0.14113000000000001</v>
      </c>
    </row>
    <row r="7653" spans="1:4">
      <c r="A7653" t="str">
        <f t="shared" si="127"/>
        <v>1113Sharpe Ratio</v>
      </c>
      <c r="B7653">
        <v>1113</v>
      </c>
      <c r="C7653" s="9" t="s">
        <v>1</v>
      </c>
      <c r="D7653" s="8">
        <v>-0.108</v>
      </c>
    </row>
    <row r="7654" spans="1:4">
      <c r="A7654" t="str">
        <f t="shared" si="127"/>
        <v>1113Total Trades</v>
      </c>
      <c r="B7654">
        <v>1113</v>
      </c>
      <c r="C7654" s="9" t="s">
        <v>28</v>
      </c>
      <c r="D7654" s="8">
        <v>932</v>
      </c>
    </row>
    <row r="7655" spans="1:4">
      <c r="A7655" t="str">
        <f t="shared" si="127"/>
        <v>1113Average Win</v>
      </c>
      <c r="B7655">
        <v>1113</v>
      </c>
      <c r="C7655" s="9" t="s">
        <v>25</v>
      </c>
      <c r="D7655" s="8">
        <v>8.0000000000000004E-4</v>
      </c>
    </row>
    <row r="7656" spans="1:4">
      <c r="A7656" t="str">
        <f t="shared" si="127"/>
        <v>1113Average Loss</v>
      </c>
      <c r="B7656">
        <v>1113</v>
      </c>
      <c r="C7656" s="9" t="s">
        <v>29</v>
      </c>
      <c r="D7656" s="8">
        <v>-1.6999999999999999E-3</v>
      </c>
    </row>
    <row r="7657" spans="1:4">
      <c r="A7657" t="str">
        <f t="shared" si="127"/>
        <v>1113Compounding Annual Return</v>
      </c>
      <c r="B7657">
        <v>1113</v>
      </c>
      <c r="C7657" s="9" t="s">
        <v>30</v>
      </c>
      <c r="D7657" s="8">
        <v>-4.2100000000000002E-3</v>
      </c>
    </row>
    <row r="7658" spans="1:4">
      <c r="A7658" t="str">
        <f t="shared" si="127"/>
        <v>1113Drawdown</v>
      </c>
      <c r="B7658">
        <v>1113</v>
      </c>
      <c r="C7658" s="9" t="s">
        <v>8</v>
      </c>
      <c r="D7658" s="8">
        <v>1.7999999999999999E-2</v>
      </c>
    </row>
    <row r="7659" spans="1:4">
      <c r="A7659" t="str">
        <f t="shared" si="127"/>
        <v>1113Expectancy</v>
      </c>
      <c r="B7659">
        <v>1113</v>
      </c>
      <c r="C7659" s="9" t="s">
        <v>31</v>
      </c>
      <c r="D7659" s="8">
        <v>-0.02</v>
      </c>
    </row>
    <row r="7660" spans="1:4">
      <c r="A7660" t="str">
        <f t="shared" si="127"/>
        <v>1113Net Profit</v>
      </c>
      <c r="B7660">
        <v>1113</v>
      </c>
      <c r="C7660" s="9" t="s">
        <v>32</v>
      </c>
      <c r="D7660" s="8">
        <v>-2.7899999999999999E-3</v>
      </c>
    </row>
    <row r="7661" spans="1:4">
      <c r="A7661" t="str">
        <f t="shared" si="127"/>
        <v>1113Loss Rate</v>
      </c>
      <c r="B7661">
        <v>1113</v>
      </c>
      <c r="C7661" s="9" t="s">
        <v>33</v>
      </c>
      <c r="D7661" s="8">
        <v>0.32</v>
      </c>
    </row>
    <row r="7662" spans="1:4">
      <c r="A7662" t="str">
        <f t="shared" si="127"/>
        <v>1113Win Rate</v>
      </c>
      <c r="B7662">
        <v>1113</v>
      </c>
      <c r="C7662" s="9" t="s">
        <v>34</v>
      </c>
      <c r="D7662" s="8">
        <v>0.68</v>
      </c>
    </row>
    <row r="7663" spans="1:4">
      <c r="A7663" t="str">
        <f t="shared" si="127"/>
        <v>1113Profit-Loss Ratio</v>
      </c>
      <c r="B7663">
        <v>1113</v>
      </c>
      <c r="C7663" s="9" t="s">
        <v>26</v>
      </c>
      <c r="D7663" s="8">
        <v>0.45</v>
      </c>
    </row>
    <row r="7664" spans="1:4">
      <c r="A7664" t="str">
        <f t="shared" si="127"/>
        <v>1113Alpha</v>
      </c>
      <c r="B7664">
        <v>1113</v>
      </c>
      <c r="C7664" s="9" t="s">
        <v>23</v>
      </c>
      <c r="D7664" s="8">
        <v>-2E-3</v>
      </c>
    </row>
    <row r="7665" spans="1:4">
      <c r="A7665" t="str">
        <f t="shared" si="127"/>
        <v>1113Beta</v>
      </c>
      <c r="B7665">
        <v>1113</v>
      </c>
      <c r="C7665" s="9" t="s">
        <v>24</v>
      </c>
      <c r="D7665" s="8">
        <v>-2E-3</v>
      </c>
    </row>
    <row r="7666" spans="1:4">
      <c r="A7666" t="str">
        <f t="shared" si="127"/>
        <v>1113Annual Standard Deviation</v>
      </c>
      <c r="B7666">
        <v>1113</v>
      </c>
      <c r="C7666" s="9" t="s">
        <v>35</v>
      </c>
      <c r="D7666" s="8">
        <v>2.4E-2</v>
      </c>
    </row>
    <row r="7667" spans="1:4">
      <c r="A7667" t="str">
        <f t="shared" si="127"/>
        <v>1113Annual Variance</v>
      </c>
      <c r="B7667">
        <v>1113</v>
      </c>
      <c r="C7667" s="9" t="s">
        <v>36</v>
      </c>
      <c r="D7667" s="8">
        <v>1E-3</v>
      </c>
    </row>
    <row r="7668" spans="1:4">
      <c r="A7668" t="str">
        <f t="shared" si="127"/>
        <v>1113Information Ratio</v>
      </c>
      <c r="B7668">
        <v>1113</v>
      </c>
      <c r="C7668" s="9" t="s">
        <v>37</v>
      </c>
      <c r="D7668" s="8">
        <v>-0.754</v>
      </c>
    </row>
    <row r="7669" spans="1:4">
      <c r="A7669" t="str">
        <f t="shared" si="127"/>
        <v>1113Tracking Error</v>
      </c>
      <c r="B7669">
        <v>1113</v>
      </c>
      <c r="C7669" s="9" t="s">
        <v>38</v>
      </c>
      <c r="D7669" s="8">
        <v>7.1999999999999995E-2</v>
      </c>
    </row>
    <row r="7670" spans="1:4">
      <c r="A7670" t="str">
        <f t="shared" si="127"/>
        <v>1113Treynor Ratio</v>
      </c>
      <c r="B7670">
        <v>1113</v>
      </c>
      <c r="C7670" s="9" t="s">
        <v>39</v>
      </c>
      <c r="D7670" s="8">
        <v>1.054</v>
      </c>
    </row>
    <row r="7671" spans="1:4">
      <c r="A7671" t="str">
        <f t="shared" si="127"/>
        <v>1113Total Fees</v>
      </c>
      <c r="B7671">
        <v>1113</v>
      </c>
      <c r="C7671" s="9" t="s">
        <v>40</v>
      </c>
      <c r="D7671" s="8">
        <v>0</v>
      </c>
    </row>
    <row r="7672" spans="1:4">
      <c r="A7672" t="str">
        <f t="shared" si="127"/>
        <v>1113Estimated Strategy Capacity</v>
      </c>
      <c r="B7672">
        <v>1113</v>
      </c>
      <c r="C7672" s="9" t="s">
        <v>41</v>
      </c>
      <c r="D7672" s="8">
        <v>14000000</v>
      </c>
    </row>
    <row r="7673" spans="1:4">
      <c r="A7673" t="str">
        <f t="shared" si="127"/>
        <v>1114PSR</v>
      </c>
      <c r="B7673">
        <v>1114</v>
      </c>
      <c r="C7673" s="9" t="s">
        <v>27</v>
      </c>
      <c r="D7673" s="8">
        <v>0.16664000000000001</v>
      </c>
    </row>
    <row r="7674" spans="1:4">
      <c r="A7674" t="str">
        <f t="shared" si="127"/>
        <v>1114Sharpe Ratio</v>
      </c>
      <c r="B7674">
        <v>1114</v>
      </c>
      <c r="C7674" s="9" t="s">
        <v>1</v>
      </c>
      <c r="D7674" s="8">
        <v>8.9999999999999993E-3</v>
      </c>
    </row>
    <row r="7675" spans="1:4">
      <c r="A7675" t="str">
        <f t="shared" si="127"/>
        <v>1114Total Trades</v>
      </c>
      <c r="B7675">
        <v>1114</v>
      </c>
      <c r="C7675" s="9" t="s">
        <v>28</v>
      </c>
      <c r="D7675" s="8">
        <v>722</v>
      </c>
    </row>
    <row r="7676" spans="1:4">
      <c r="A7676" t="str">
        <f t="shared" si="127"/>
        <v>1114Average Win</v>
      </c>
      <c r="B7676">
        <v>1114</v>
      </c>
      <c r="C7676" s="9" t="s">
        <v>25</v>
      </c>
      <c r="D7676" s="8">
        <v>0</v>
      </c>
    </row>
    <row r="7677" spans="1:4">
      <c r="A7677" t="str">
        <f t="shared" si="127"/>
        <v>1114Average Loss</v>
      </c>
      <c r="B7677">
        <v>1114</v>
      </c>
      <c r="C7677" s="9" t="s">
        <v>29</v>
      </c>
      <c r="D7677" s="8">
        <v>-1E-4</v>
      </c>
    </row>
    <row r="7678" spans="1:4">
      <c r="A7678" t="str">
        <f t="shared" si="127"/>
        <v>1114Compounding Annual Return</v>
      </c>
      <c r="B7678">
        <v>1114</v>
      </c>
      <c r="C7678" s="9" t="s">
        <v>30</v>
      </c>
      <c r="D7678" s="8">
        <v>2.0000000000000002E-5</v>
      </c>
    </row>
    <row r="7679" spans="1:4">
      <c r="A7679" t="str">
        <f t="shared" si="127"/>
        <v>1114Drawdown</v>
      </c>
      <c r="B7679">
        <v>1114</v>
      </c>
      <c r="C7679" s="9" t="s">
        <v>8</v>
      </c>
      <c r="D7679" s="8">
        <v>1E-3</v>
      </c>
    </row>
    <row r="7680" spans="1:4">
      <c r="A7680" t="str">
        <f t="shared" si="127"/>
        <v>1114Expectancy</v>
      </c>
      <c r="B7680">
        <v>1114</v>
      </c>
      <c r="C7680" s="9" t="s">
        <v>31</v>
      </c>
      <c r="D7680" s="8">
        <v>-5.0000000000000001E-3</v>
      </c>
    </row>
    <row r="7681" spans="1:4">
      <c r="A7681" t="str">
        <f t="shared" si="127"/>
        <v>1114Net Profit</v>
      </c>
      <c r="B7681">
        <v>1114</v>
      </c>
      <c r="C7681" s="9" t="s">
        <v>32</v>
      </c>
      <c r="D7681" s="8">
        <v>1.0000000000000001E-5</v>
      </c>
    </row>
    <row r="7682" spans="1:4">
      <c r="A7682" t="str">
        <f t="shared" si="127"/>
        <v>1114Loss Rate</v>
      </c>
      <c r="B7682">
        <v>1114</v>
      </c>
      <c r="C7682" s="9" t="s">
        <v>33</v>
      </c>
      <c r="D7682" s="8">
        <v>0.33</v>
      </c>
    </row>
    <row r="7683" spans="1:4">
      <c r="A7683" t="str">
        <f t="shared" si="127"/>
        <v>1114Win Rate</v>
      </c>
      <c r="B7683">
        <v>1114</v>
      </c>
      <c r="C7683" s="9" t="s">
        <v>34</v>
      </c>
      <c r="D7683" s="8">
        <v>0.67</v>
      </c>
    </row>
    <row r="7684" spans="1:4">
      <c r="A7684" t="str">
        <f t="shared" si="127"/>
        <v>1114Profit-Loss Ratio</v>
      </c>
      <c r="B7684">
        <v>1114</v>
      </c>
      <c r="C7684" s="9" t="s">
        <v>26</v>
      </c>
      <c r="D7684" s="8">
        <v>0.48</v>
      </c>
    </row>
    <row r="7685" spans="1:4">
      <c r="A7685" t="str">
        <f t="shared" si="127"/>
        <v>1114Alpha</v>
      </c>
      <c r="B7685">
        <v>1114</v>
      </c>
      <c r="C7685" s="9" t="s">
        <v>23</v>
      </c>
      <c r="D7685" s="8">
        <v>0</v>
      </c>
    </row>
    <row r="7686" spans="1:4">
      <c r="A7686" t="str">
        <f t="shared" si="127"/>
        <v>1114Beta</v>
      </c>
      <c r="B7686">
        <v>1114</v>
      </c>
      <c r="C7686" s="9" t="s">
        <v>24</v>
      </c>
      <c r="D7686" s="8">
        <v>-3.0000000000000001E-3</v>
      </c>
    </row>
    <row r="7687" spans="1:4">
      <c r="A7687" t="str">
        <f t="shared" si="127"/>
        <v>1114Annual Standard Deviation</v>
      </c>
      <c r="B7687">
        <v>1114</v>
      </c>
      <c r="C7687" s="9" t="s">
        <v>35</v>
      </c>
      <c r="D7687" s="8">
        <v>1E-3</v>
      </c>
    </row>
    <row r="7688" spans="1:4">
      <c r="A7688" t="str">
        <f t="shared" si="127"/>
        <v>1114Annual Variance</v>
      </c>
      <c r="B7688">
        <v>1114</v>
      </c>
      <c r="C7688" s="9" t="s">
        <v>36</v>
      </c>
      <c r="D7688" s="8">
        <v>0</v>
      </c>
    </row>
    <row r="7689" spans="1:4">
      <c r="A7689" t="str">
        <f t="shared" si="127"/>
        <v>1114Information Ratio</v>
      </c>
      <c r="B7689">
        <v>1114</v>
      </c>
      <c r="C7689" s="9" t="s">
        <v>37</v>
      </c>
      <c r="D7689" s="8">
        <v>-0.76100000000000001</v>
      </c>
    </row>
    <row r="7690" spans="1:4">
      <c r="A7690" t="str">
        <f t="shared" si="127"/>
        <v>1114Tracking Error</v>
      </c>
      <c r="B7690">
        <v>1114</v>
      </c>
      <c r="C7690" s="9" t="s">
        <v>38</v>
      </c>
      <c r="D7690" s="8">
        <v>6.8000000000000005E-2</v>
      </c>
    </row>
    <row r="7691" spans="1:4">
      <c r="A7691" t="str">
        <f t="shared" si="127"/>
        <v>1114Treynor Ratio</v>
      </c>
      <c r="B7691">
        <v>1114</v>
      </c>
      <c r="C7691" s="9" t="s">
        <v>39</v>
      </c>
      <c r="D7691" s="8">
        <v>-4.0000000000000001E-3</v>
      </c>
    </row>
    <row r="7692" spans="1:4">
      <c r="A7692" t="str">
        <f t="shared" si="127"/>
        <v>1114Total Fees</v>
      </c>
      <c r="B7692">
        <v>1114</v>
      </c>
      <c r="C7692" s="9" t="s">
        <v>40</v>
      </c>
      <c r="D7692" s="8">
        <v>0</v>
      </c>
    </row>
    <row r="7693" spans="1:4">
      <c r="A7693" t="str">
        <f t="shared" si="127"/>
        <v>1114Estimated Strategy Capacity</v>
      </c>
      <c r="B7693">
        <v>1114</v>
      </c>
      <c r="C7693" s="9" t="s">
        <v>41</v>
      </c>
      <c r="D7693" s="8">
        <v>150000000</v>
      </c>
    </row>
    <row r="7694" spans="1:4">
      <c r="A7694" t="str">
        <f t="shared" si="127"/>
        <v>1115PSR</v>
      </c>
      <c r="B7694">
        <v>1115</v>
      </c>
      <c r="C7694" s="9" t="s">
        <v>27</v>
      </c>
      <c r="D7694" s="8">
        <v>0.16808000000000001</v>
      </c>
    </row>
    <row r="7695" spans="1:4">
      <c r="A7695" t="str">
        <f t="shared" si="127"/>
        <v>1115Sharpe Ratio</v>
      </c>
      <c r="B7695">
        <v>1115</v>
      </c>
      <c r="C7695" s="9" t="s">
        <v>1</v>
      </c>
      <c r="D7695" s="8">
        <v>1.6E-2</v>
      </c>
    </row>
    <row r="7696" spans="1:4">
      <c r="A7696" t="str">
        <f t="shared" si="127"/>
        <v>1115Total Trades</v>
      </c>
      <c r="B7696">
        <v>1115</v>
      </c>
      <c r="C7696" s="9" t="s">
        <v>28</v>
      </c>
      <c r="D7696" s="8">
        <v>722</v>
      </c>
    </row>
    <row r="7697" spans="1:4">
      <c r="A7697" t="str">
        <f t="shared" si="127"/>
        <v>1115Average Win</v>
      </c>
      <c r="B7697">
        <v>1115</v>
      </c>
      <c r="C7697" s="9" t="s">
        <v>25</v>
      </c>
      <c r="D7697" s="8">
        <v>4.0000000000000002E-4</v>
      </c>
    </row>
    <row r="7698" spans="1:4">
      <c r="A7698" t="str">
        <f t="shared" si="127"/>
        <v>1115Average Loss</v>
      </c>
      <c r="B7698">
        <v>1115</v>
      </c>
      <c r="C7698" s="9" t="s">
        <v>29</v>
      </c>
      <c r="D7698" s="8">
        <v>-8.0000000000000004E-4</v>
      </c>
    </row>
    <row r="7699" spans="1:4">
      <c r="A7699" t="str">
        <f t="shared" si="127"/>
        <v>1115Compounding Annual Return</v>
      </c>
      <c r="B7699">
        <v>1115</v>
      </c>
      <c r="C7699" s="9" t="s">
        <v>30</v>
      </c>
      <c r="D7699" s="8">
        <v>1.8000000000000001E-4</v>
      </c>
    </row>
    <row r="7700" spans="1:4">
      <c r="A7700" t="str">
        <f t="shared" si="127"/>
        <v>1115Drawdown</v>
      </c>
      <c r="B7700">
        <v>1115</v>
      </c>
      <c r="C7700" s="9" t="s">
        <v>8</v>
      </c>
      <c r="D7700" s="8">
        <v>1.2999999999999999E-2</v>
      </c>
    </row>
    <row r="7701" spans="1:4">
      <c r="A7701" t="str">
        <f t="shared" si="127"/>
        <v>1115Expectancy</v>
      </c>
      <c r="B7701">
        <v>1115</v>
      </c>
      <c r="C7701" s="9" t="s">
        <v>31</v>
      </c>
      <c r="D7701" s="8">
        <v>-4.0000000000000001E-3</v>
      </c>
    </row>
    <row r="7702" spans="1:4">
      <c r="A7702" t="str">
        <f t="shared" si="127"/>
        <v>1115Net Profit</v>
      </c>
      <c r="B7702">
        <v>1115</v>
      </c>
      <c r="C7702" s="9" t="s">
        <v>32</v>
      </c>
      <c r="D7702" s="8">
        <v>1.2E-4</v>
      </c>
    </row>
    <row r="7703" spans="1:4">
      <c r="A7703" t="str">
        <f t="shared" si="127"/>
        <v>1115Loss Rate</v>
      </c>
      <c r="B7703">
        <v>1115</v>
      </c>
      <c r="C7703" s="9" t="s">
        <v>33</v>
      </c>
      <c r="D7703" s="8">
        <v>0.33</v>
      </c>
    </row>
    <row r="7704" spans="1:4">
      <c r="A7704" t="str">
        <f t="shared" si="127"/>
        <v>1115Win Rate</v>
      </c>
      <c r="B7704">
        <v>1115</v>
      </c>
      <c r="C7704" s="9" t="s">
        <v>34</v>
      </c>
      <c r="D7704" s="8">
        <v>0.67</v>
      </c>
    </row>
    <row r="7705" spans="1:4">
      <c r="A7705" t="str">
        <f t="shared" si="127"/>
        <v>1115Profit-Loss Ratio</v>
      </c>
      <c r="B7705">
        <v>1115</v>
      </c>
      <c r="C7705" s="9" t="s">
        <v>26</v>
      </c>
      <c r="D7705" s="8">
        <v>0.48</v>
      </c>
    </row>
    <row r="7706" spans="1:4">
      <c r="A7706" t="str">
        <f t="shared" si="127"/>
        <v>1115Alpha</v>
      </c>
      <c r="B7706">
        <v>1115</v>
      </c>
      <c r="C7706" s="9" t="s">
        <v>23</v>
      </c>
      <c r="D7706" s="8">
        <v>2E-3</v>
      </c>
    </row>
    <row r="7707" spans="1:4">
      <c r="A7707" t="str">
        <f t="shared" si="127"/>
        <v>1115Beta</v>
      </c>
      <c r="B7707">
        <v>1115</v>
      </c>
      <c r="C7707" s="9" t="s">
        <v>24</v>
      </c>
      <c r="D7707" s="8">
        <v>-3.4000000000000002E-2</v>
      </c>
    </row>
    <row r="7708" spans="1:4">
      <c r="A7708" t="str">
        <f t="shared" si="127"/>
        <v>1115Annual Standard Deviation</v>
      </c>
      <c r="B7708">
        <v>1115</v>
      </c>
      <c r="C7708" s="9" t="s">
        <v>35</v>
      </c>
      <c r="D7708" s="8">
        <v>1.4E-2</v>
      </c>
    </row>
    <row r="7709" spans="1:4">
      <c r="A7709" t="str">
        <f t="shared" si="127"/>
        <v>1115Annual Variance</v>
      </c>
      <c r="B7709">
        <v>1115</v>
      </c>
      <c r="C7709" s="9" t="s">
        <v>36</v>
      </c>
      <c r="D7709" s="8">
        <v>0</v>
      </c>
    </row>
    <row r="7710" spans="1:4">
      <c r="A7710" t="str">
        <f t="shared" si="127"/>
        <v>1115Information Ratio</v>
      </c>
      <c r="B7710">
        <v>1115</v>
      </c>
      <c r="C7710" s="9" t="s">
        <v>37</v>
      </c>
      <c r="D7710" s="8">
        <v>-0.73</v>
      </c>
    </row>
    <row r="7711" spans="1:4">
      <c r="A7711" t="str">
        <f t="shared" si="127"/>
        <v>1115Tracking Error</v>
      </c>
      <c r="B7711">
        <v>1115</v>
      </c>
      <c r="C7711" s="9" t="s">
        <v>38</v>
      </c>
      <c r="D7711" s="8">
        <v>7.0999999999999994E-2</v>
      </c>
    </row>
    <row r="7712" spans="1:4">
      <c r="A7712" t="str">
        <f t="shared" si="127"/>
        <v>1115Treynor Ratio</v>
      </c>
      <c r="B7712">
        <v>1115</v>
      </c>
      <c r="C7712" s="9" t="s">
        <v>39</v>
      </c>
      <c r="D7712" s="8">
        <v>-7.0000000000000001E-3</v>
      </c>
    </row>
    <row r="7713" spans="1:4">
      <c r="A7713" t="str">
        <f t="shared" si="127"/>
        <v>1115Total Fees</v>
      </c>
      <c r="B7713">
        <v>1115</v>
      </c>
      <c r="C7713" s="9" t="s">
        <v>40</v>
      </c>
      <c r="D7713" s="8">
        <v>0</v>
      </c>
    </row>
    <row r="7714" spans="1:4">
      <c r="A7714" t="str">
        <f t="shared" ref="A7714:A7777" si="128">B7714&amp;C7714</f>
        <v>1115Estimated Strategy Capacity</v>
      </c>
      <c r="B7714">
        <v>1115</v>
      </c>
      <c r="C7714" s="9" t="s">
        <v>41</v>
      </c>
      <c r="D7714" s="8">
        <v>18000000</v>
      </c>
    </row>
    <row r="7715" spans="1:4">
      <c r="A7715" t="str">
        <f t="shared" si="128"/>
        <v>1116PSR</v>
      </c>
      <c r="B7715">
        <v>1116</v>
      </c>
      <c r="C7715" s="9" t="s">
        <v>27</v>
      </c>
      <c r="D7715" s="8">
        <v>0.2177</v>
      </c>
    </row>
    <row r="7716" spans="1:4">
      <c r="A7716" t="str">
        <f t="shared" si="128"/>
        <v>1116Sharpe Ratio</v>
      </c>
      <c r="B7716">
        <v>1116</v>
      </c>
      <c r="C7716" s="9" t="s">
        <v>1</v>
      </c>
      <c r="D7716" s="8">
        <v>0.218</v>
      </c>
    </row>
    <row r="7717" spans="1:4">
      <c r="A7717" t="str">
        <f t="shared" si="128"/>
        <v>1116Total Trades</v>
      </c>
      <c r="B7717">
        <v>1116</v>
      </c>
      <c r="C7717" s="9" t="s">
        <v>28</v>
      </c>
      <c r="D7717" s="8">
        <v>689</v>
      </c>
    </row>
    <row r="7718" spans="1:4">
      <c r="A7718" t="str">
        <f t="shared" si="128"/>
        <v>1116Average Win</v>
      </c>
      <c r="B7718">
        <v>1116</v>
      </c>
      <c r="C7718" s="9" t="s">
        <v>25</v>
      </c>
      <c r="D7718" s="8">
        <v>6.9999999999999999E-4</v>
      </c>
    </row>
    <row r="7719" spans="1:4">
      <c r="A7719" t="str">
        <f t="shared" si="128"/>
        <v>1116Average Loss</v>
      </c>
      <c r="B7719">
        <v>1116</v>
      </c>
      <c r="C7719" s="9" t="s">
        <v>29</v>
      </c>
      <c r="D7719" s="8">
        <v>-1.1000000000000001E-3</v>
      </c>
    </row>
    <row r="7720" spans="1:4">
      <c r="A7720" t="str">
        <f t="shared" si="128"/>
        <v>1116Compounding Annual Return</v>
      </c>
      <c r="B7720">
        <v>1116</v>
      </c>
      <c r="C7720" s="9" t="s">
        <v>30</v>
      </c>
      <c r="D7720" s="8">
        <v>7.4400000000000004E-3</v>
      </c>
    </row>
    <row r="7721" spans="1:4">
      <c r="A7721" t="str">
        <f t="shared" si="128"/>
        <v>1116Drawdown</v>
      </c>
      <c r="B7721">
        <v>1116</v>
      </c>
      <c r="C7721" s="9" t="s">
        <v>8</v>
      </c>
      <c r="D7721" s="8">
        <v>0.02</v>
      </c>
    </row>
    <row r="7722" spans="1:4">
      <c r="A7722" t="str">
        <f t="shared" si="128"/>
        <v>1116Expectancy</v>
      </c>
      <c r="B7722">
        <v>1116</v>
      </c>
      <c r="C7722" s="9" t="s">
        <v>31</v>
      </c>
      <c r="D7722" s="8">
        <v>6.4000000000000001E-2</v>
      </c>
    </row>
    <row r="7723" spans="1:4">
      <c r="A7723" t="str">
        <f t="shared" si="128"/>
        <v>1116Net Profit</v>
      </c>
      <c r="B7723">
        <v>1116</v>
      </c>
      <c r="C7723" s="9" t="s">
        <v>32</v>
      </c>
      <c r="D7723" s="8">
        <v>4.9300000000000004E-3</v>
      </c>
    </row>
    <row r="7724" spans="1:4">
      <c r="A7724" t="str">
        <f t="shared" si="128"/>
        <v>1116Loss Rate</v>
      </c>
      <c r="B7724">
        <v>1116</v>
      </c>
      <c r="C7724" s="9" t="s">
        <v>33</v>
      </c>
      <c r="D7724" s="8">
        <v>0.33</v>
      </c>
    </row>
    <row r="7725" spans="1:4">
      <c r="A7725" t="str">
        <f t="shared" si="128"/>
        <v>1116Win Rate</v>
      </c>
      <c r="B7725">
        <v>1116</v>
      </c>
      <c r="C7725" s="9" t="s">
        <v>34</v>
      </c>
      <c r="D7725" s="8">
        <v>0.67</v>
      </c>
    </row>
    <row r="7726" spans="1:4">
      <c r="A7726" t="str">
        <f t="shared" si="128"/>
        <v>1116Profit-Loss Ratio</v>
      </c>
      <c r="B7726">
        <v>1116</v>
      </c>
      <c r="C7726" s="9" t="s">
        <v>26</v>
      </c>
      <c r="D7726" s="8">
        <v>0.57999999999999996</v>
      </c>
    </row>
    <row r="7727" spans="1:4">
      <c r="A7727" t="str">
        <f t="shared" si="128"/>
        <v>1116Alpha</v>
      </c>
      <c r="B7727">
        <v>1116</v>
      </c>
      <c r="C7727" s="9" t="s">
        <v>23</v>
      </c>
      <c r="D7727" s="8">
        <v>8.0000000000000002E-3</v>
      </c>
    </row>
    <row r="7728" spans="1:4">
      <c r="A7728" t="str">
        <f t="shared" si="128"/>
        <v>1116Beta</v>
      </c>
      <c r="B7728">
        <v>1116</v>
      </c>
      <c r="C7728" s="9" t="s">
        <v>24</v>
      </c>
      <c r="D7728" s="8">
        <v>-0.05</v>
      </c>
    </row>
    <row r="7729" spans="1:4">
      <c r="A7729" t="str">
        <f t="shared" si="128"/>
        <v>1116Annual Standard Deviation</v>
      </c>
      <c r="B7729">
        <v>1116</v>
      </c>
      <c r="C7729" s="9" t="s">
        <v>35</v>
      </c>
      <c r="D7729" s="8">
        <v>2.5000000000000001E-2</v>
      </c>
    </row>
    <row r="7730" spans="1:4">
      <c r="A7730" t="str">
        <f t="shared" si="128"/>
        <v>1116Annual Variance</v>
      </c>
      <c r="B7730">
        <v>1116</v>
      </c>
      <c r="C7730" s="9" t="s">
        <v>36</v>
      </c>
      <c r="D7730" s="8">
        <v>1E-3</v>
      </c>
    </row>
    <row r="7731" spans="1:4">
      <c r="A7731" t="str">
        <f t="shared" si="128"/>
        <v>1116Information Ratio</v>
      </c>
      <c r="B7731">
        <v>1116</v>
      </c>
      <c r="C7731" s="9" t="s">
        <v>37</v>
      </c>
      <c r="D7731" s="8">
        <v>-0.622</v>
      </c>
    </row>
    <row r="7732" spans="1:4">
      <c r="A7732" t="str">
        <f t="shared" si="128"/>
        <v>1116Tracking Error</v>
      </c>
      <c r="B7732">
        <v>1116</v>
      </c>
      <c r="C7732" s="9" t="s">
        <v>38</v>
      </c>
      <c r="D7732" s="8">
        <v>7.4999999999999997E-2</v>
      </c>
    </row>
    <row r="7733" spans="1:4">
      <c r="A7733" t="str">
        <f t="shared" si="128"/>
        <v>1116Treynor Ratio</v>
      </c>
      <c r="B7733">
        <v>1116</v>
      </c>
      <c r="C7733" s="9" t="s">
        <v>39</v>
      </c>
      <c r="D7733" s="8">
        <v>-0.109</v>
      </c>
    </row>
    <row r="7734" spans="1:4">
      <c r="A7734" t="str">
        <f t="shared" si="128"/>
        <v>1116Total Fees</v>
      </c>
      <c r="B7734">
        <v>1116</v>
      </c>
      <c r="C7734" s="9" t="s">
        <v>40</v>
      </c>
      <c r="D7734" s="8">
        <v>0</v>
      </c>
    </row>
    <row r="7735" spans="1:4">
      <c r="A7735" t="str">
        <f t="shared" si="128"/>
        <v>1116Estimated Strategy Capacity</v>
      </c>
      <c r="B7735">
        <v>1116</v>
      </c>
      <c r="C7735" s="9" t="s">
        <v>41</v>
      </c>
      <c r="D7735" s="8">
        <v>11000000</v>
      </c>
    </row>
    <row r="7736" spans="1:4">
      <c r="A7736" t="str">
        <f t="shared" si="128"/>
        <v>766Sharpe Ratio</v>
      </c>
      <c r="B7736">
        <v>766</v>
      </c>
      <c r="C7736" s="19" t="s">
        <v>1</v>
      </c>
      <c r="D7736" s="8">
        <v>-0.61</v>
      </c>
    </row>
    <row r="7737" spans="1:4">
      <c r="A7737" t="str">
        <f t="shared" si="128"/>
        <v>766Total Trades</v>
      </c>
      <c r="B7737">
        <v>766</v>
      </c>
      <c r="C7737" s="19" t="s">
        <v>28</v>
      </c>
      <c r="D7737" s="8">
        <v>1026</v>
      </c>
    </row>
    <row r="7738" spans="1:4">
      <c r="A7738" t="str">
        <f t="shared" si="128"/>
        <v>766Average Win</v>
      </c>
      <c r="B7738">
        <v>766</v>
      </c>
      <c r="C7738" s="19" t="s">
        <v>25</v>
      </c>
      <c r="D7738" s="8">
        <v>2.0000000000000001E-4</v>
      </c>
    </row>
    <row r="7739" spans="1:4">
      <c r="A7739" t="str">
        <f t="shared" si="128"/>
        <v>766Average Loss</v>
      </c>
      <c r="B7739">
        <v>766</v>
      </c>
      <c r="C7739" s="19" t="s">
        <v>29</v>
      </c>
      <c r="D7739" s="8">
        <v>-4.0000000000000002E-4</v>
      </c>
    </row>
    <row r="7740" spans="1:4">
      <c r="A7740" t="str">
        <f t="shared" si="128"/>
        <v>766Compounding Annual Return</v>
      </c>
      <c r="B7740">
        <v>766</v>
      </c>
      <c r="C7740" s="19" t="s">
        <v>30</v>
      </c>
      <c r="D7740" s="8">
        <v>-5.7499999999999999E-3</v>
      </c>
    </row>
    <row r="7741" spans="1:4">
      <c r="A7741" t="str">
        <f t="shared" si="128"/>
        <v>766Drawdown</v>
      </c>
      <c r="B7741">
        <v>766</v>
      </c>
      <c r="C7741" s="19" t="s">
        <v>8</v>
      </c>
      <c r="D7741" s="8">
        <v>1.0999999999999999E-2</v>
      </c>
    </row>
    <row r="7742" spans="1:4">
      <c r="A7742" t="str">
        <f t="shared" si="128"/>
        <v>766Expectancy</v>
      </c>
      <c r="B7742">
        <v>766</v>
      </c>
      <c r="C7742" s="19" t="s">
        <v>31</v>
      </c>
      <c r="D7742" s="8">
        <v>-8.1000000000000003E-2</v>
      </c>
    </row>
    <row r="7743" spans="1:4">
      <c r="A7743" t="str">
        <f t="shared" si="128"/>
        <v>766Net Profit</v>
      </c>
      <c r="B7743">
        <v>766</v>
      </c>
      <c r="C7743" s="19" t="s">
        <v>32</v>
      </c>
      <c r="D7743" s="8">
        <v>-3.81E-3</v>
      </c>
    </row>
    <row r="7744" spans="1:4">
      <c r="A7744" t="str">
        <f t="shared" si="128"/>
        <v>766Loss Rate</v>
      </c>
      <c r="B7744">
        <v>766</v>
      </c>
      <c r="C7744" s="19" t="s">
        <v>33</v>
      </c>
      <c r="D7744" s="8">
        <v>0.39</v>
      </c>
    </row>
    <row r="7745" spans="1:4">
      <c r="A7745" t="str">
        <f t="shared" si="128"/>
        <v>766Win Rate</v>
      </c>
      <c r="B7745">
        <v>766</v>
      </c>
      <c r="C7745" s="19" t="s">
        <v>34</v>
      </c>
      <c r="D7745" s="8">
        <v>0.61</v>
      </c>
    </row>
    <row r="7746" spans="1:4">
      <c r="A7746" t="str">
        <f t="shared" si="128"/>
        <v>766Profit-Loss Ratio</v>
      </c>
      <c r="B7746">
        <v>766</v>
      </c>
      <c r="C7746" s="19" t="s">
        <v>26</v>
      </c>
      <c r="D7746" s="8">
        <v>0.5</v>
      </c>
    </row>
    <row r="7747" spans="1:4">
      <c r="A7747" t="str">
        <f t="shared" si="128"/>
        <v>766Alpha</v>
      </c>
      <c r="B7747">
        <v>766</v>
      </c>
      <c r="C7747" s="19" t="s">
        <v>23</v>
      </c>
      <c r="D7747" s="8">
        <v>-4.0000000000000001E-3</v>
      </c>
    </row>
    <row r="7748" spans="1:4">
      <c r="A7748" t="str">
        <f t="shared" si="128"/>
        <v>766Beta</v>
      </c>
      <c r="B7748">
        <v>766</v>
      </c>
      <c r="C7748" s="19" t="s">
        <v>24</v>
      </c>
      <c r="D7748" s="8">
        <v>-8.0000000000000002E-3</v>
      </c>
    </row>
    <row r="7749" spans="1:4">
      <c r="A7749" t="str">
        <f t="shared" si="128"/>
        <v>766Annual Standard Deviation</v>
      </c>
      <c r="B7749">
        <v>766</v>
      </c>
      <c r="C7749" s="19" t="s">
        <v>35</v>
      </c>
      <c r="D7749" s="8">
        <v>7.0000000000000001E-3</v>
      </c>
    </row>
    <row r="7750" spans="1:4">
      <c r="A7750" t="str">
        <f t="shared" si="128"/>
        <v>766Annual Variance</v>
      </c>
      <c r="B7750">
        <v>766</v>
      </c>
      <c r="C7750" s="19" t="s">
        <v>36</v>
      </c>
      <c r="D7750" s="8">
        <v>0</v>
      </c>
    </row>
    <row r="7751" spans="1:4">
      <c r="A7751" t="str">
        <f t="shared" si="128"/>
        <v>766Information Ratio</v>
      </c>
      <c r="B7751">
        <v>766</v>
      </c>
      <c r="C7751" s="19" t="s">
        <v>37</v>
      </c>
      <c r="D7751" s="8">
        <v>-0.81299999999999994</v>
      </c>
    </row>
    <row r="7752" spans="1:4">
      <c r="A7752" t="str">
        <f t="shared" si="128"/>
        <v>766Tracking Error</v>
      </c>
      <c r="B7752">
        <v>766</v>
      </c>
      <c r="C7752" s="19" t="s">
        <v>38</v>
      </c>
      <c r="D7752" s="8">
        <v>6.8000000000000005E-2</v>
      </c>
    </row>
    <row r="7753" spans="1:4">
      <c r="A7753" t="str">
        <f t="shared" si="128"/>
        <v>766Treynor Ratio</v>
      </c>
      <c r="B7753">
        <v>766</v>
      </c>
      <c r="C7753" s="19" t="s">
        <v>39</v>
      </c>
      <c r="D7753" s="8">
        <v>0.48699999999999999</v>
      </c>
    </row>
    <row r="7754" spans="1:4">
      <c r="A7754" t="str">
        <f t="shared" si="128"/>
        <v>766Total Fees</v>
      </c>
      <c r="B7754">
        <v>766</v>
      </c>
      <c r="C7754" s="19" t="s">
        <v>40</v>
      </c>
      <c r="D7754" s="8">
        <v>0</v>
      </c>
    </row>
    <row r="7755" spans="1:4">
      <c r="A7755" t="str">
        <f t="shared" si="128"/>
        <v>766Estimated Strategy Capacity</v>
      </c>
      <c r="B7755">
        <v>766</v>
      </c>
      <c r="C7755" s="19" t="s">
        <v>41</v>
      </c>
      <c r="D7755" s="8">
        <v>15000000</v>
      </c>
    </row>
    <row r="7756" spans="1:4">
      <c r="A7756" t="str">
        <f t="shared" si="128"/>
        <v>767PSR</v>
      </c>
      <c r="B7756">
        <v>767</v>
      </c>
      <c r="C7756" s="19" t="s">
        <v>27</v>
      </c>
      <c r="D7756" s="8">
        <v>5.5829999999999998E-2</v>
      </c>
    </row>
    <row r="7757" spans="1:4">
      <c r="A7757" t="str">
        <f t="shared" si="128"/>
        <v>767Sharpe Ratio</v>
      </c>
      <c r="B7757">
        <v>767</v>
      </c>
      <c r="C7757" s="19" t="s">
        <v>1</v>
      </c>
      <c r="D7757" s="8">
        <v>-0.61</v>
      </c>
    </row>
    <row r="7758" spans="1:4">
      <c r="A7758" t="str">
        <f t="shared" si="128"/>
        <v>767Total Trades</v>
      </c>
      <c r="B7758">
        <v>767</v>
      </c>
      <c r="C7758" s="19" t="s">
        <v>28</v>
      </c>
      <c r="D7758" s="8">
        <v>1026</v>
      </c>
    </row>
    <row r="7759" spans="1:4">
      <c r="A7759" t="str">
        <f t="shared" si="128"/>
        <v>767Average Win</v>
      </c>
      <c r="B7759">
        <v>767</v>
      </c>
      <c r="C7759" s="19" t="s">
        <v>25</v>
      </c>
      <c r="D7759" s="8">
        <v>2.0000000000000001E-4</v>
      </c>
    </row>
    <row r="7760" spans="1:4">
      <c r="A7760" t="str">
        <f t="shared" si="128"/>
        <v>767Average Loss</v>
      </c>
      <c r="B7760">
        <v>767</v>
      </c>
      <c r="C7760" s="19" t="s">
        <v>29</v>
      </c>
      <c r="D7760" s="8">
        <v>-4.0000000000000002E-4</v>
      </c>
    </row>
    <row r="7761" spans="1:4">
      <c r="A7761" t="str">
        <f t="shared" si="128"/>
        <v>767Compounding Annual Return</v>
      </c>
      <c r="B7761">
        <v>767</v>
      </c>
      <c r="C7761" s="19" t="s">
        <v>30</v>
      </c>
      <c r="D7761" s="8">
        <v>-5.7499999999999999E-3</v>
      </c>
    </row>
    <row r="7762" spans="1:4">
      <c r="A7762" t="str">
        <f t="shared" si="128"/>
        <v>767Drawdown</v>
      </c>
      <c r="B7762">
        <v>767</v>
      </c>
      <c r="C7762" s="19" t="s">
        <v>8</v>
      </c>
      <c r="D7762" s="8">
        <v>1.0999999999999999E-2</v>
      </c>
    </row>
    <row r="7763" spans="1:4">
      <c r="A7763" t="str">
        <f t="shared" si="128"/>
        <v>767Expectancy</v>
      </c>
      <c r="B7763">
        <v>767</v>
      </c>
      <c r="C7763" s="19" t="s">
        <v>31</v>
      </c>
      <c r="D7763" s="8">
        <v>-8.1000000000000003E-2</v>
      </c>
    </row>
    <row r="7764" spans="1:4">
      <c r="A7764" t="str">
        <f t="shared" si="128"/>
        <v>767Net Profit</v>
      </c>
      <c r="B7764">
        <v>767</v>
      </c>
      <c r="C7764" s="19" t="s">
        <v>32</v>
      </c>
      <c r="D7764" s="8">
        <v>-3.81E-3</v>
      </c>
    </row>
    <row r="7765" spans="1:4">
      <c r="A7765" t="str">
        <f t="shared" si="128"/>
        <v>767Loss Rate</v>
      </c>
      <c r="B7765">
        <v>767</v>
      </c>
      <c r="C7765" s="19" t="s">
        <v>33</v>
      </c>
      <c r="D7765" s="8">
        <v>0.39</v>
      </c>
    </row>
    <row r="7766" spans="1:4">
      <c r="A7766" t="str">
        <f t="shared" si="128"/>
        <v>767Win Rate</v>
      </c>
      <c r="B7766">
        <v>767</v>
      </c>
      <c r="C7766" s="19" t="s">
        <v>34</v>
      </c>
      <c r="D7766" s="8">
        <v>0.61</v>
      </c>
    </row>
    <row r="7767" spans="1:4">
      <c r="A7767" t="str">
        <f t="shared" si="128"/>
        <v>767Profit-Loss Ratio</v>
      </c>
      <c r="B7767">
        <v>767</v>
      </c>
      <c r="C7767" s="19" t="s">
        <v>26</v>
      </c>
      <c r="D7767" s="8">
        <v>0.5</v>
      </c>
    </row>
    <row r="7768" spans="1:4">
      <c r="A7768" t="str">
        <f t="shared" si="128"/>
        <v>767Alpha</v>
      </c>
      <c r="B7768">
        <v>767</v>
      </c>
      <c r="C7768" s="19" t="s">
        <v>23</v>
      </c>
      <c r="D7768" s="8">
        <v>-4.0000000000000001E-3</v>
      </c>
    </row>
    <row r="7769" spans="1:4">
      <c r="A7769" t="str">
        <f t="shared" si="128"/>
        <v>767Beta</v>
      </c>
      <c r="B7769">
        <v>767</v>
      </c>
      <c r="C7769" s="19" t="s">
        <v>24</v>
      </c>
      <c r="D7769" s="8">
        <v>-8.0000000000000002E-3</v>
      </c>
    </row>
    <row r="7770" spans="1:4">
      <c r="A7770" t="str">
        <f t="shared" si="128"/>
        <v>767Annual Standard Deviation</v>
      </c>
      <c r="B7770">
        <v>767</v>
      </c>
      <c r="C7770" s="19" t="s">
        <v>35</v>
      </c>
      <c r="D7770" s="8">
        <v>7.0000000000000001E-3</v>
      </c>
    </row>
    <row r="7771" spans="1:4">
      <c r="A7771" t="str">
        <f t="shared" si="128"/>
        <v>767Annual Variance</v>
      </c>
      <c r="B7771">
        <v>767</v>
      </c>
      <c r="C7771" s="19" t="s">
        <v>36</v>
      </c>
      <c r="D7771" s="8">
        <v>0</v>
      </c>
    </row>
    <row r="7772" spans="1:4">
      <c r="A7772" t="str">
        <f t="shared" si="128"/>
        <v>767Information Ratio</v>
      </c>
      <c r="B7772">
        <v>767</v>
      </c>
      <c r="C7772" s="19" t="s">
        <v>37</v>
      </c>
      <c r="D7772" s="8">
        <v>-0.81299999999999994</v>
      </c>
    </row>
    <row r="7773" spans="1:4">
      <c r="A7773" t="str">
        <f t="shared" si="128"/>
        <v>767Tracking Error</v>
      </c>
      <c r="B7773">
        <v>767</v>
      </c>
      <c r="C7773" s="19" t="s">
        <v>38</v>
      </c>
      <c r="D7773" s="8">
        <v>6.8000000000000005E-2</v>
      </c>
    </row>
    <row r="7774" spans="1:4">
      <c r="A7774" t="str">
        <f t="shared" si="128"/>
        <v>767Treynor Ratio</v>
      </c>
      <c r="B7774">
        <v>767</v>
      </c>
      <c r="C7774" s="19" t="s">
        <v>39</v>
      </c>
      <c r="D7774" s="8">
        <v>0.48699999999999999</v>
      </c>
    </row>
    <row r="7775" spans="1:4">
      <c r="A7775" t="str">
        <f t="shared" si="128"/>
        <v>767Total Fees</v>
      </c>
      <c r="B7775">
        <v>767</v>
      </c>
      <c r="C7775" s="19" t="s">
        <v>40</v>
      </c>
      <c r="D7775" s="8">
        <v>0</v>
      </c>
    </row>
    <row r="7776" spans="1:4">
      <c r="A7776" t="str">
        <f t="shared" si="128"/>
        <v>767Estimated Strategy Capacity</v>
      </c>
      <c r="B7776">
        <v>767</v>
      </c>
      <c r="C7776" s="19" t="s">
        <v>41</v>
      </c>
      <c r="D7776" s="8">
        <v>15000000</v>
      </c>
    </row>
    <row r="7777" spans="1:4">
      <c r="A7777" t="str">
        <f t="shared" si="128"/>
        <v>768PSR</v>
      </c>
      <c r="B7777">
        <v>768</v>
      </c>
      <c r="C7777" s="9" t="s">
        <v>27</v>
      </c>
      <c r="D7777" s="8">
        <v>6.1800000000000001E-2</v>
      </c>
    </row>
    <row r="7778" spans="1:4">
      <c r="A7778" t="str">
        <f t="shared" ref="A7778:A7841" si="129">B7778&amp;C7778</f>
        <v>768Sharpe Ratio</v>
      </c>
      <c r="B7778">
        <v>768</v>
      </c>
      <c r="C7778" s="9" t="s">
        <v>1</v>
      </c>
      <c r="D7778" s="8">
        <v>-0.56399999999999995</v>
      </c>
    </row>
    <row r="7779" spans="1:4">
      <c r="A7779" t="str">
        <f t="shared" si="129"/>
        <v>768Total Trades</v>
      </c>
      <c r="B7779">
        <v>768</v>
      </c>
      <c r="C7779" s="9" t="s">
        <v>28</v>
      </c>
      <c r="D7779" s="8">
        <v>1003</v>
      </c>
    </row>
    <row r="7780" spans="1:4">
      <c r="A7780" t="str">
        <f t="shared" si="129"/>
        <v>768Average Win</v>
      </c>
      <c r="B7780">
        <v>768</v>
      </c>
      <c r="C7780" s="9" t="s">
        <v>25</v>
      </c>
      <c r="D7780" s="8">
        <v>6.9999999999999999E-4</v>
      </c>
    </row>
    <row r="7781" spans="1:4">
      <c r="A7781" t="str">
        <f t="shared" si="129"/>
        <v>768Average Loss</v>
      </c>
      <c r="B7781">
        <v>768</v>
      </c>
      <c r="C7781" s="9" t="s">
        <v>29</v>
      </c>
      <c r="D7781" s="8">
        <v>-1.6999999999999999E-3</v>
      </c>
    </row>
    <row r="7782" spans="1:4">
      <c r="A7782" t="str">
        <f t="shared" si="129"/>
        <v>768Compounding Annual Return</v>
      </c>
      <c r="B7782">
        <v>768</v>
      </c>
      <c r="C7782" s="9" t="s">
        <v>30</v>
      </c>
      <c r="D7782" s="8">
        <v>-2.2159999999999999E-2</v>
      </c>
    </row>
    <row r="7783" spans="1:4">
      <c r="A7783" t="str">
        <f t="shared" si="129"/>
        <v>768Drawdown</v>
      </c>
      <c r="B7783">
        <v>768</v>
      </c>
      <c r="C7783" s="9" t="s">
        <v>8</v>
      </c>
      <c r="D7783" s="8">
        <v>3.5000000000000003E-2</v>
      </c>
    </row>
    <row r="7784" spans="1:4">
      <c r="A7784" t="str">
        <f t="shared" si="129"/>
        <v>768Expectancy</v>
      </c>
      <c r="B7784">
        <v>768</v>
      </c>
      <c r="C7784" s="9" t="s">
        <v>31</v>
      </c>
      <c r="D7784" s="8">
        <v>-5.1999999999999998E-2</v>
      </c>
    </row>
    <row r="7785" spans="1:4">
      <c r="A7785" t="str">
        <f t="shared" si="129"/>
        <v>768Net Profit</v>
      </c>
      <c r="B7785">
        <v>768</v>
      </c>
      <c r="C7785" s="9" t="s">
        <v>32</v>
      </c>
      <c r="D7785" s="8">
        <v>-1.474E-2</v>
      </c>
    </row>
    <row r="7786" spans="1:4">
      <c r="A7786" t="str">
        <f t="shared" si="129"/>
        <v>768Loss Rate</v>
      </c>
      <c r="B7786">
        <v>768</v>
      </c>
      <c r="C7786" s="9" t="s">
        <v>33</v>
      </c>
      <c r="D7786" s="8">
        <v>0.33</v>
      </c>
    </row>
    <row r="7787" spans="1:4">
      <c r="A7787" t="str">
        <f t="shared" si="129"/>
        <v>768Win Rate</v>
      </c>
      <c r="B7787">
        <v>768</v>
      </c>
      <c r="C7787" s="9" t="s">
        <v>34</v>
      </c>
      <c r="D7787" s="8">
        <v>0.67</v>
      </c>
    </row>
    <row r="7788" spans="1:4">
      <c r="A7788" t="str">
        <f t="shared" si="129"/>
        <v>768Profit-Loss Ratio</v>
      </c>
      <c r="B7788">
        <v>768</v>
      </c>
      <c r="C7788" s="9" t="s">
        <v>26</v>
      </c>
      <c r="D7788" s="8">
        <v>0.41</v>
      </c>
    </row>
    <row r="7789" spans="1:4">
      <c r="A7789" t="str">
        <f t="shared" si="129"/>
        <v>768Alpha</v>
      </c>
      <c r="B7789">
        <v>768</v>
      </c>
      <c r="C7789" s="9" t="s">
        <v>23</v>
      </c>
      <c r="D7789" s="8">
        <v>-1.2999999999999999E-2</v>
      </c>
    </row>
    <row r="7790" spans="1:4">
      <c r="A7790" t="str">
        <f t="shared" si="129"/>
        <v>768Beta</v>
      </c>
      <c r="B7790">
        <v>768</v>
      </c>
      <c r="C7790" s="9" t="s">
        <v>24</v>
      </c>
      <c r="D7790" s="8">
        <v>-3.7999999999999999E-2</v>
      </c>
    </row>
    <row r="7791" spans="1:4">
      <c r="A7791" t="str">
        <f t="shared" si="129"/>
        <v>768Annual Standard Deviation</v>
      </c>
      <c r="B7791">
        <v>768</v>
      </c>
      <c r="C7791" s="9" t="s">
        <v>35</v>
      </c>
      <c r="D7791" s="8">
        <v>2.7E-2</v>
      </c>
    </row>
    <row r="7792" spans="1:4">
      <c r="A7792" t="str">
        <f t="shared" si="129"/>
        <v>768Annual Variance</v>
      </c>
      <c r="B7792">
        <v>768</v>
      </c>
      <c r="C7792" s="9" t="s">
        <v>36</v>
      </c>
      <c r="D7792" s="8">
        <v>1E-3</v>
      </c>
    </row>
    <row r="7793" spans="1:4">
      <c r="A7793" t="str">
        <f t="shared" si="129"/>
        <v>768Information Ratio</v>
      </c>
      <c r="B7793">
        <v>768</v>
      </c>
      <c r="C7793" s="9" t="s">
        <v>37</v>
      </c>
      <c r="D7793" s="8">
        <v>-0.88900000000000001</v>
      </c>
    </row>
    <row r="7794" spans="1:4">
      <c r="A7794" t="str">
        <f t="shared" si="129"/>
        <v>768Tracking Error</v>
      </c>
      <c r="B7794">
        <v>768</v>
      </c>
      <c r="C7794" s="9" t="s">
        <v>38</v>
      </c>
      <c r="D7794" s="8">
        <v>7.4999999999999997E-2</v>
      </c>
    </row>
    <row r="7795" spans="1:4">
      <c r="A7795" t="str">
        <f t="shared" si="129"/>
        <v>768Treynor Ratio</v>
      </c>
      <c r="B7795">
        <v>768</v>
      </c>
      <c r="C7795" s="9" t="s">
        <v>39</v>
      </c>
      <c r="D7795" s="8">
        <v>0.39500000000000002</v>
      </c>
    </row>
    <row r="7796" spans="1:4">
      <c r="A7796" t="str">
        <f t="shared" si="129"/>
        <v>768Total Fees</v>
      </c>
      <c r="B7796">
        <v>768</v>
      </c>
      <c r="C7796" s="9" t="s">
        <v>40</v>
      </c>
      <c r="D7796" s="8">
        <v>0</v>
      </c>
    </row>
    <row r="7797" spans="1:4">
      <c r="A7797" t="str">
        <f t="shared" si="129"/>
        <v>768Estimated Strategy Capacity</v>
      </c>
      <c r="B7797">
        <v>768</v>
      </c>
      <c r="C7797" s="9" t="s">
        <v>41</v>
      </c>
      <c r="D7797" s="8">
        <v>5600000</v>
      </c>
    </row>
    <row r="7798" spans="1:4">
      <c r="A7798" t="str">
        <f t="shared" si="129"/>
        <v>769PSR</v>
      </c>
      <c r="B7798">
        <v>769</v>
      </c>
      <c r="C7798" s="9" t="s">
        <v>27</v>
      </c>
      <c r="D7798" s="8">
        <v>7.2480000000000003E-2</v>
      </c>
    </row>
    <row r="7799" spans="1:4">
      <c r="A7799" t="str">
        <f t="shared" si="129"/>
        <v>769Sharpe Ratio</v>
      </c>
      <c r="B7799">
        <v>769</v>
      </c>
      <c r="C7799" s="9" t="s">
        <v>1</v>
      </c>
      <c r="D7799" s="8">
        <v>-0.495</v>
      </c>
    </row>
    <row r="7800" spans="1:4">
      <c r="A7800" t="str">
        <f t="shared" si="129"/>
        <v>769Total Trades</v>
      </c>
      <c r="B7800">
        <v>769</v>
      </c>
      <c r="C7800" s="9" t="s">
        <v>28</v>
      </c>
      <c r="D7800" s="8">
        <v>1383</v>
      </c>
    </row>
    <row r="7801" spans="1:4">
      <c r="A7801" t="str">
        <f t="shared" si="129"/>
        <v>769Average Win</v>
      </c>
      <c r="B7801">
        <v>769</v>
      </c>
      <c r="C7801" s="9" t="s">
        <v>25</v>
      </c>
      <c r="D7801" s="8">
        <v>2.0000000000000001E-4</v>
      </c>
    </row>
    <row r="7802" spans="1:4">
      <c r="A7802" t="str">
        <f t="shared" si="129"/>
        <v>769Average Loss</v>
      </c>
      <c r="B7802">
        <v>769</v>
      </c>
      <c r="C7802" s="9" t="s">
        <v>29</v>
      </c>
      <c r="D7802" s="8">
        <v>-2.9999999999999997E-4</v>
      </c>
    </row>
    <row r="7803" spans="1:4">
      <c r="A7803" t="str">
        <f t="shared" si="129"/>
        <v>769Compounding Annual Return</v>
      </c>
      <c r="B7803">
        <v>769</v>
      </c>
      <c r="C7803" s="9" t="s">
        <v>30</v>
      </c>
      <c r="D7803" s="8">
        <v>-5.8500000000000002E-3</v>
      </c>
    </row>
    <row r="7804" spans="1:4">
      <c r="A7804" t="str">
        <f t="shared" si="129"/>
        <v>769Drawdown</v>
      </c>
      <c r="B7804">
        <v>769</v>
      </c>
      <c r="C7804" s="9" t="s">
        <v>8</v>
      </c>
      <c r="D7804" s="8">
        <v>1.2999999999999999E-2</v>
      </c>
    </row>
    <row r="7805" spans="1:4">
      <c r="A7805" t="str">
        <f t="shared" si="129"/>
        <v>769Expectancy</v>
      </c>
      <c r="B7805">
        <v>769</v>
      </c>
      <c r="C7805" s="9" t="s">
        <v>31</v>
      </c>
      <c r="D7805" s="8">
        <v>-6.8000000000000005E-2</v>
      </c>
    </row>
    <row r="7806" spans="1:4">
      <c r="A7806" t="str">
        <f t="shared" si="129"/>
        <v>769Net Profit</v>
      </c>
      <c r="B7806">
        <v>769</v>
      </c>
      <c r="C7806" s="9" t="s">
        <v>32</v>
      </c>
      <c r="D7806" s="8">
        <v>-3.8800000000000002E-3</v>
      </c>
    </row>
    <row r="7807" spans="1:4">
      <c r="A7807" t="str">
        <f t="shared" si="129"/>
        <v>769Loss Rate</v>
      </c>
      <c r="B7807">
        <v>769</v>
      </c>
      <c r="C7807" s="9" t="s">
        <v>33</v>
      </c>
      <c r="D7807" s="8">
        <v>0.41</v>
      </c>
    </row>
    <row r="7808" spans="1:4">
      <c r="A7808" t="str">
        <f t="shared" si="129"/>
        <v>769Win Rate</v>
      </c>
      <c r="B7808">
        <v>769</v>
      </c>
      <c r="C7808" s="9" t="s">
        <v>34</v>
      </c>
      <c r="D7808" s="8">
        <v>0.59</v>
      </c>
    </row>
    <row r="7809" spans="1:4">
      <c r="A7809" t="str">
        <f t="shared" si="129"/>
        <v>769Profit-Loss Ratio</v>
      </c>
      <c r="B7809">
        <v>769</v>
      </c>
      <c r="C7809" s="9" t="s">
        <v>26</v>
      </c>
      <c r="D7809" s="8">
        <v>0.57999999999999996</v>
      </c>
    </row>
    <row r="7810" spans="1:4">
      <c r="A7810" t="str">
        <f t="shared" si="129"/>
        <v>769Alpha</v>
      </c>
      <c r="B7810">
        <v>769</v>
      </c>
      <c r="C7810" s="9" t="s">
        <v>23</v>
      </c>
      <c r="D7810" s="8">
        <v>-4.0000000000000001E-3</v>
      </c>
    </row>
    <row r="7811" spans="1:4">
      <c r="A7811" t="str">
        <f t="shared" si="129"/>
        <v>769Beta</v>
      </c>
      <c r="B7811">
        <v>769</v>
      </c>
      <c r="C7811" s="9" t="s">
        <v>24</v>
      </c>
      <c r="D7811" s="8">
        <v>7.0000000000000001E-3</v>
      </c>
    </row>
    <row r="7812" spans="1:4">
      <c r="A7812" t="str">
        <f t="shared" si="129"/>
        <v>769Annual Standard Deviation</v>
      </c>
      <c r="B7812">
        <v>769</v>
      </c>
      <c r="C7812" s="9" t="s">
        <v>35</v>
      </c>
      <c r="D7812" s="8">
        <v>8.0000000000000002E-3</v>
      </c>
    </row>
    <row r="7813" spans="1:4">
      <c r="A7813" t="str">
        <f t="shared" si="129"/>
        <v>769Annual Variance</v>
      </c>
      <c r="B7813">
        <v>769</v>
      </c>
      <c r="C7813" s="9" t="s">
        <v>36</v>
      </c>
      <c r="D7813" s="8">
        <v>0</v>
      </c>
    </row>
    <row r="7814" spans="1:4">
      <c r="A7814" t="str">
        <f t="shared" si="129"/>
        <v>769Information Ratio</v>
      </c>
      <c r="B7814">
        <v>769</v>
      </c>
      <c r="C7814" s="9" t="s">
        <v>37</v>
      </c>
      <c r="D7814" s="8">
        <v>-0.83299999999999996</v>
      </c>
    </row>
    <row r="7815" spans="1:4">
      <c r="A7815" t="str">
        <f t="shared" si="129"/>
        <v>769Tracking Error</v>
      </c>
      <c r="B7815">
        <v>769</v>
      </c>
      <c r="C7815" s="9" t="s">
        <v>38</v>
      </c>
      <c r="D7815" s="8">
        <v>6.7000000000000004E-2</v>
      </c>
    </row>
    <row r="7816" spans="1:4">
      <c r="A7816" t="str">
        <f t="shared" si="129"/>
        <v>769Treynor Ratio</v>
      </c>
      <c r="B7816">
        <v>769</v>
      </c>
      <c r="C7816" s="9" t="s">
        <v>39</v>
      </c>
      <c r="D7816" s="8">
        <v>-0.56999999999999995</v>
      </c>
    </row>
    <row r="7817" spans="1:4">
      <c r="A7817" t="str">
        <f t="shared" si="129"/>
        <v>769Total Fees</v>
      </c>
      <c r="B7817">
        <v>769</v>
      </c>
      <c r="C7817" s="9" t="s">
        <v>40</v>
      </c>
      <c r="D7817" s="8">
        <v>0</v>
      </c>
    </row>
    <row r="7818" spans="1:4">
      <c r="A7818" t="str">
        <f t="shared" si="129"/>
        <v>769Estimated Strategy Capacity</v>
      </c>
      <c r="B7818">
        <v>769</v>
      </c>
      <c r="C7818" s="9" t="s">
        <v>41</v>
      </c>
      <c r="D7818" s="8">
        <v>1300000000</v>
      </c>
    </row>
    <row r="7819" spans="1:4">
      <c r="A7819" t="str">
        <f t="shared" si="129"/>
        <v>770PSR</v>
      </c>
      <c r="B7819">
        <v>770</v>
      </c>
      <c r="C7819" s="9" t="s">
        <v>27</v>
      </c>
      <c r="D7819" s="8">
        <v>3.6450000000000003E-2</v>
      </c>
    </row>
    <row r="7820" spans="1:4">
      <c r="A7820" t="str">
        <f t="shared" si="129"/>
        <v>770Sharpe Ratio</v>
      </c>
      <c r="B7820">
        <v>770</v>
      </c>
      <c r="C7820" s="9" t="s">
        <v>1</v>
      </c>
      <c r="D7820" s="8">
        <v>-0.78300000000000003</v>
      </c>
    </row>
    <row r="7821" spans="1:4">
      <c r="A7821" t="str">
        <f t="shared" si="129"/>
        <v>770Total Trades</v>
      </c>
      <c r="B7821">
        <v>770</v>
      </c>
      <c r="C7821" s="9" t="s">
        <v>28</v>
      </c>
      <c r="D7821" s="8">
        <v>1085</v>
      </c>
    </row>
    <row r="7822" spans="1:4">
      <c r="A7822" t="str">
        <f t="shared" si="129"/>
        <v>770Average Win</v>
      </c>
      <c r="B7822">
        <v>770</v>
      </c>
      <c r="C7822" s="9" t="s">
        <v>25</v>
      </c>
      <c r="D7822" s="8">
        <v>5.0000000000000001E-4</v>
      </c>
    </row>
    <row r="7823" spans="1:4">
      <c r="A7823" t="str">
        <f t="shared" si="129"/>
        <v>770Average Loss</v>
      </c>
      <c r="B7823">
        <v>770</v>
      </c>
      <c r="C7823" s="9" t="s">
        <v>29</v>
      </c>
      <c r="D7823" s="8">
        <v>-1E-3</v>
      </c>
    </row>
    <row r="7824" spans="1:4">
      <c r="A7824" t="str">
        <f t="shared" si="129"/>
        <v>770Compounding Annual Return</v>
      </c>
      <c r="B7824">
        <v>770</v>
      </c>
      <c r="C7824" s="9" t="s">
        <v>30</v>
      </c>
      <c r="D7824" s="8">
        <v>-2.1999999999999999E-2</v>
      </c>
    </row>
    <row r="7825" spans="1:4">
      <c r="A7825" t="str">
        <f t="shared" si="129"/>
        <v>770Drawdown</v>
      </c>
      <c r="B7825">
        <v>770</v>
      </c>
      <c r="C7825" s="9" t="s">
        <v>8</v>
      </c>
      <c r="D7825" s="8">
        <v>3.7999999999999999E-2</v>
      </c>
    </row>
    <row r="7826" spans="1:4">
      <c r="A7826" t="str">
        <f t="shared" si="129"/>
        <v>770Expectancy</v>
      </c>
      <c r="B7826">
        <v>770</v>
      </c>
      <c r="C7826" s="9" t="s">
        <v>31</v>
      </c>
      <c r="D7826" s="8">
        <v>-9.4E-2</v>
      </c>
    </row>
    <row r="7827" spans="1:4">
      <c r="A7827" t="str">
        <f t="shared" si="129"/>
        <v>770Net Profit</v>
      </c>
      <c r="B7827">
        <v>770</v>
      </c>
      <c r="C7827" s="9" t="s">
        <v>32</v>
      </c>
      <c r="D7827" s="8">
        <v>-1.464E-2</v>
      </c>
    </row>
    <row r="7828" spans="1:4">
      <c r="A7828" t="str">
        <f t="shared" si="129"/>
        <v>770Loss Rate</v>
      </c>
      <c r="B7828">
        <v>770</v>
      </c>
      <c r="C7828" s="9" t="s">
        <v>33</v>
      </c>
      <c r="D7828" s="8">
        <v>0.39</v>
      </c>
    </row>
    <row r="7829" spans="1:4">
      <c r="A7829" t="str">
        <f t="shared" si="129"/>
        <v>770Win Rate</v>
      </c>
      <c r="B7829">
        <v>770</v>
      </c>
      <c r="C7829" s="9" t="s">
        <v>34</v>
      </c>
      <c r="D7829" s="8">
        <v>0.61</v>
      </c>
    </row>
    <row r="7830" spans="1:4">
      <c r="A7830" t="str">
        <f t="shared" si="129"/>
        <v>770Profit-Loss Ratio</v>
      </c>
      <c r="B7830">
        <v>770</v>
      </c>
      <c r="C7830" s="9" t="s">
        <v>26</v>
      </c>
      <c r="D7830" s="8">
        <v>0.49</v>
      </c>
    </row>
    <row r="7831" spans="1:4">
      <c r="A7831" t="str">
        <f t="shared" si="129"/>
        <v>770Alpha</v>
      </c>
      <c r="B7831">
        <v>770</v>
      </c>
      <c r="C7831" s="9" t="s">
        <v>23</v>
      </c>
      <c r="D7831" s="8">
        <v>-1.4999999999999999E-2</v>
      </c>
    </row>
    <row r="7832" spans="1:4">
      <c r="A7832" t="str">
        <f t="shared" si="129"/>
        <v>770Beta</v>
      </c>
      <c r="B7832">
        <v>770</v>
      </c>
      <c r="C7832" s="9" t="s">
        <v>24</v>
      </c>
      <c r="D7832" s="8">
        <v>-1E-3</v>
      </c>
    </row>
    <row r="7833" spans="1:4">
      <c r="A7833" t="str">
        <f t="shared" si="129"/>
        <v>770Annual Standard Deviation</v>
      </c>
      <c r="B7833">
        <v>770</v>
      </c>
      <c r="C7833" s="9" t="s">
        <v>35</v>
      </c>
      <c r="D7833" s="8">
        <v>1.9E-2</v>
      </c>
    </row>
    <row r="7834" spans="1:4">
      <c r="A7834" t="str">
        <f t="shared" si="129"/>
        <v>770Annual Variance</v>
      </c>
      <c r="B7834">
        <v>770</v>
      </c>
      <c r="C7834" s="9" t="s">
        <v>36</v>
      </c>
      <c r="D7834" s="8">
        <v>0</v>
      </c>
    </row>
    <row r="7835" spans="1:4">
      <c r="A7835" t="str">
        <f t="shared" si="129"/>
        <v>770Information Ratio</v>
      </c>
      <c r="B7835">
        <v>770</v>
      </c>
      <c r="C7835" s="9" t="s">
        <v>37</v>
      </c>
      <c r="D7835" s="8">
        <v>-0.94899999999999995</v>
      </c>
    </row>
    <row r="7836" spans="1:4">
      <c r="A7836" t="str">
        <f t="shared" si="129"/>
        <v>770Tracking Error</v>
      </c>
      <c r="B7836">
        <v>770</v>
      </c>
      <c r="C7836" s="9" t="s">
        <v>38</v>
      </c>
      <c r="D7836" s="8">
        <v>7.0000000000000007E-2</v>
      </c>
    </row>
    <row r="7837" spans="1:4">
      <c r="A7837" t="str">
        <f t="shared" si="129"/>
        <v>770Treynor Ratio</v>
      </c>
      <c r="B7837">
        <v>770</v>
      </c>
      <c r="C7837" s="9" t="s">
        <v>39</v>
      </c>
      <c r="D7837" s="8">
        <v>14.757999999999999</v>
      </c>
    </row>
    <row r="7838" spans="1:4">
      <c r="A7838" t="str">
        <f t="shared" si="129"/>
        <v>770Total Fees</v>
      </c>
      <c r="B7838">
        <v>770</v>
      </c>
      <c r="C7838" s="9" t="s">
        <v>40</v>
      </c>
      <c r="D7838" s="8">
        <v>0</v>
      </c>
    </row>
    <row r="7839" spans="1:4">
      <c r="A7839" t="str">
        <f t="shared" si="129"/>
        <v>770Estimated Strategy Capacity</v>
      </c>
      <c r="B7839">
        <v>770</v>
      </c>
      <c r="C7839" s="9" t="s">
        <v>41</v>
      </c>
      <c r="D7839" s="8">
        <v>130000000</v>
      </c>
    </row>
    <row r="7840" spans="1:4">
      <c r="A7840" t="str">
        <f t="shared" si="129"/>
        <v>771PSR</v>
      </c>
      <c r="B7840">
        <v>771</v>
      </c>
      <c r="C7840" s="9" t="s">
        <v>27</v>
      </c>
      <c r="D7840" s="8">
        <v>6.4009999999999997E-2</v>
      </c>
    </row>
    <row r="7841" spans="1:4">
      <c r="A7841" t="str">
        <f t="shared" si="129"/>
        <v>771Sharpe Ratio</v>
      </c>
      <c r="B7841">
        <v>771</v>
      </c>
      <c r="C7841" s="9" t="s">
        <v>1</v>
      </c>
      <c r="D7841" s="8">
        <v>-0.52800000000000002</v>
      </c>
    </row>
    <row r="7842" spans="1:4">
      <c r="A7842" t="str">
        <f t="shared" ref="A7842:A7905" si="130">B7842&amp;C7842</f>
        <v>771Total Trades</v>
      </c>
      <c r="B7842">
        <v>771</v>
      </c>
      <c r="C7842" s="9" t="s">
        <v>28</v>
      </c>
      <c r="D7842" s="8">
        <v>824</v>
      </c>
    </row>
    <row r="7843" spans="1:4">
      <c r="A7843" t="str">
        <f t="shared" si="130"/>
        <v>771Average Win</v>
      </c>
      <c r="B7843">
        <v>771</v>
      </c>
      <c r="C7843" s="9" t="s">
        <v>25</v>
      </c>
      <c r="D7843" s="8">
        <v>5.9999999999999995E-4</v>
      </c>
    </row>
    <row r="7844" spans="1:4">
      <c r="A7844" t="str">
        <f t="shared" si="130"/>
        <v>771Average Loss</v>
      </c>
      <c r="B7844">
        <v>771</v>
      </c>
      <c r="C7844" s="9" t="s">
        <v>29</v>
      </c>
      <c r="D7844" s="8">
        <v>-1.1999999999999999E-3</v>
      </c>
    </row>
    <row r="7845" spans="1:4">
      <c r="A7845" t="str">
        <f t="shared" si="130"/>
        <v>771Compounding Annual Return</v>
      </c>
      <c r="B7845">
        <v>771</v>
      </c>
      <c r="C7845" s="9" t="s">
        <v>30</v>
      </c>
      <c r="D7845" s="8">
        <v>-1.7579999999999998E-2</v>
      </c>
    </row>
    <row r="7846" spans="1:4">
      <c r="A7846" t="str">
        <f t="shared" si="130"/>
        <v>771Drawdown</v>
      </c>
      <c r="B7846">
        <v>771</v>
      </c>
      <c r="C7846" s="9" t="s">
        <v>8</v>
      </c>
      <c r="D7846" s="8">
        <v>4.1000000000000002E-2</v>
      </c>
    </row>
    <row r="7847" spans="1:4">
      <c r="A7847" t="str">
        <f t="shared" si="130"/>
        <v>771Expectancy</v>
      </c>
      <c r="B7847">
        <v>771</v>
      </c>
      <c r="C7847" s="9" t="s">
        <v>31</v>
      </c>
      <c r="D7847" s="8">
        <v>-6.5000000000000002E-2</v>
      </c>
    </row>
    <row r="7848" spans="1:4">
      <c r="A7848" t="str">
        <f t="shared" si="130"/>
        <v>771Net Profit</v>
      </c>
      <c r="B7848">
        <v>771</v>
      </c>
      <c r="C7848" s="9" t="s">
        <v>32</v>
      </c>
      <c r="D7848" s="8">
        <v>-1.1690000000000001E-2</v>
      </c>
    </row>
    <row r="7849" spans="1:4">
      <c r="A7849" t="str">
        <f t="shared" si="130"/>
        <v>771Loss Rate</v>
      </c>
      <c r="B7849">
        <v>771</v>
      </c>
      <c r="C7849" s="9" t="s">
        <v>33</v>
      </c>
      <c r="D7849" s="8">
        <v>0.38</v>
      </c>
    </row>
    <row r="7850" spans="1:4">
      <c r="A7850" t="str">
        <f t="shared" si="130"/>
        <v>771Win Rate</v>
      </c>
      <c r="B7850">
        <v>771</v>
      </c>
      <c r="C7850" s="9" t="s">
        <v>34</v>
      </c>
      <c r="D7850" s="8">
        <v>0.62</v>
      </c>
    </row>
    <row r="7851" spans="1:4">
      <c r="A7851" t="str">
        <f t="shared" si="130"/>
        <v>771Profit-Loss Ratio</v>
      </c>
      <c r="B7851">
        <v>771</v>
      </c>
      <c r="C7851" s="9" t="s">
        <v>26</v>
      </c>
      <c r="D7851" s="8">
        <v>0.51</v>
      </c>
    </row>
    <row r="7852" spans="1:4">
      <c r="A7852" t="str">
        <f t="shared" si="130"/>
        <v>771Alpha</v>
      </c>
      <c r="B7852">
        <v>771</v>
      </c>
      <c r="C7852" s="9" t="s">
        <v>23</v>
      </c>
      <c r="D7852" s="8">
        <v>-1.2E-2</v>
      </c>
    </row>
    <row r="7853" spans="1:4">
      <c r="A7853" t="str">
        <f t="shared" si="130"/>
        <v>771Beta</v>
      </c>
      <c r="B7853">
        <v>771</v>
      </c>
      <c r="C7853" s="9" t="s">
        <v>24</v>
      </c>
      <c r="D7853" s="8">
        <v>6.0000000000000001E-3</v>
      </c>
    </row>
    <row r="7854" spans="1:4">
      <c r="A7854" t="str">
        <f t="shared" si="130"/>
        <v>771Annual Standard Deviation</v>
      </c>
      <c r="B7854">
        <v>771</v>
      </c>
      <c r="C7854" s="9" t="s">
        <v>35</v>
      </c>
      <c r="D7854" s="8">
        <v>2.3E-2</v>
      </c>
    </row>
    <row r="7855" spans="1:4">
      <c r="A7855" t="str">
        <f t="shared" si="130"/>
        <v>771Annual Variance</v>
      </c>
      <c r="B7855">
        <v>771</v>
      </c>
      <c r="C7855" s="9" t="s">
        <v>36</v>
      </c>
      <c r="D7855" s="8">
        <v>1E-3</v>
      </c>
    </row>
    <row r="7856" spans="1:4">
      <c r="A7856" t="str">
        <f t="shared" si="130"/>
        <v>771Information Ratio</v>
      </c>
      <c r="B7856">
        <v>771</v>
      </c>
      <c r="C7856" s="9" t="s">
        <v>37</v>
      </c>
      <c r="D7856" s="8">
        <v>-0.90600000000000003</v>
      </c>
    </row>
    <row r="7857" spans="1:4">
      <c r="A7857" t="str">
        <f t="shared" si="130"/>
        <v>771Tracking Error</v>
      </c>
      <c r="B7857">
        <v>771</v>
      </c>
      <c r="C7857" s="9" t="s">
        <v>38</v>
      </c>
      <c r="D7857" s="8">
        <v>7.0999999999999994E-2</v>
      </c>
    </row>
    <row r="7858" spans="1:4">
      <c r="A7858" t="str">
        <f t="shared" si="130"/>
        <v>771Treynor Ratio</v>
      </c>
      <c r="B7858">
        <v>771</v>
      </c>
      <c r="C7858" s="9" t="s">
        <v>39</v>
      </c>
      <c r="D7858" s="8">
        <v>-2.0979999999999999</v>
      </c>
    </row>
    <row r="7859" spans="1:4">
      <c r="A7859" t="str">
        <f t="shared" si="130"/>
        <v>771Total Fees</v>
      </c>
      <c r="B7859">
        <v>771</v>
      </c>
      <c r="C7859" s="9" t="s">
        <v>40</v>
      </c>
      <c r="D7859" s="8">
        <v>0</v>
      </c>
    </row>
    <row r="7860" spans="1:4">
      <c r="A7860" t="str">
        <f t="shared" si="130"/>
        <v>771Estimated Strategy Capacity</v>
      </c>
      <c r="B7860">
        <v>771</v>
      </c>
      <c r="C7860" s="9" t="s">
        <v>41</v>
      </c>
      <c r="D7860" s="8">
        <v>32000000</v>
      </c>
    </row>
    <row r="7861" spans="1:4">
      <c r="A7861" t="str">
        <f t="shared" si="130"/>
        <v>772PSR</v>
      </c>
      <c r="B7861">
        <v>772</v>
      </c>
      <c r="C7861" s="9" t="s">
        <v>27</v>
      </c>
      <c r="D7861" s="8">
        <v>1.0000000000000001E-5</v>
      </c>
    </row>
    <row r="7862" spans="1:4">
      <c r="A7862" t="str">
        <f t="shared" si="130"/>
        <v>772Sharpe Ratio</v>
      </c>
      <c r="B7862">
        <v>772</v>
      </c>
      <c r="C7862" s="9" t="s">
        <v>1</v>
      </c>
      <c r="D7862" s="8">
        <v>-2.16</v>
      </c>
    </row>
    <row r="7863" spans="1:4">
      <c r="A7863" t="str">
        <f t="shared" si="130"/>
        <v>772Total Trades</v>
      </c>
      <c r="B7863">
        <v>772</v>
      </c>
      <c r="C7863" s="9" t="s">
        <v>28</v>
      </c>
      <c r="D7863" s="8">
        <v>1074</v>
      </c>
    </row>
    <row r="7864" spans="1:4">
      <c r="A7864" t="str">
        <f t="shared" si="130"/>
        <v>772Average Win</v>
      </c>
      <c r="B7864">
        <v>772</v>
      </c>
      <c r="C7864" s="9" t="s">
        <v>25</v>
      </c>
      <c r="D7864" s="8">
        <v>1E-4</v>
      </c>
    </row>
    <row r="7865" spans="1:4">
      <c r="A7865" t="str">
        <f t="shared" si="130"/>
        <v>772Average Loss</v>
      </c>
      <c r="B7865">
        <v>772</v>
      </c>
      <c r="C7865" s="9" t="s">
        <v>29</v>
      </c>
      <c r="D7865" s="8">
        <v>-2.9999999999999997E-4</v>
      </c>
    </row>
    <row r="7866" spans="1:4">
      <c r="A7866" t="str">
        <f t="shared" si="130"/>
        <v>772Compounding Annual Return</v>
      </c>
      <c r="B7866">
        <v>772</v>
      </c>
      <c r="C7866" s="9" t="s">
        <v>30</v>
      </c>
      <c r="D7866" s="8">
        <v>-1.771E-2</v>
      </c>
    </row>
    <row r="7867" spans="1:4">
      <c r="A7867" t="str">
        <f t="shared" si="130"/>
        <v>772Drawdown</v>
      </c>
      <c r="B7867">
        <v>772</v>
      </c>
      <c r="C7867" s="9" t="s">
        <v>8</v>
      </c>
      <c r="D7867" s="8">
        <v>1.2E-2</v>
      </c>
    </row>
    <row r="7868" spans="1:4">
      <c r="A7868" t="str">
        <f t="shared" si="130"/>
        <v>772Expectancy</v>
      </c>
      <c r="B7868">
        <v>772</v>
      </c>
      <c r="C7868" s="9" t="s">
        <v>31</v>
      </c>
      <c r="D7868" s="8">
        <v>-0.28999999999999998</v>
      </c>
    </row>
    <row r="7869" spans="1:4">
      <c r="A7869" t="str">
        <f t="shared" si="130"/>
        <v>772Net Profit</v>
      </c>
      <c r="B7869">
        <v>772</v>
      </c>
      <c r="C7869" s="9" t="s">
        <v>32</v>
      </c>
      <c r="D7869" s="8">
        <v>-1.1780000000000001E-2</v>
      </c>
    </row>
    <row r="7870" spans="1:4">
      <c r="A7870" t="str">
        <f t="shared" si="130"/>
        <v>772Loss Rate</v>
      </c>
      <c r="B7870">
        <v>772</v>
      </c>
      <c r="C7870" s="9" t="s">
        <v>33</v>
      </c>
      <c r="D7870" s="8">
        <v>0.44</v>
      </c>
    </row>
    <row r="7871" spans="1:4">
      <c r="A7871" t="str">
        <f t="shared" si="130"/>
        <v>772Win Rate</v>
      </c>
      <c r="B7871">
        <v>772</v>
      </c>
      <c r="C7871" s="9" t="s">
        <v>34</v>
      </c>
      <c r="D7871" s="8">
        <v>0.56000000000000005</v>
      </c>
    </row>
    <row r="7872" spans="1:4">
      <c r="A7872" t="str">
        <f t="shared" si="130"/>
        <v>772Profit-Loss Ratio</v>
      </c>
      <c r="B7872">
        <v>772</v>
      </c>
      <c r="C7872" s="9" t="s">
        <v>26</v>
      </c>
      <c r="D7872" s="8">
        <v>0.27</v>
      </c>
    </row>
    <row r="7873" spans="1:4">
      <c r="A7873" t="str">
        <f t="shared" si="130"/>
        <v>772Alpha</v>
      </c>
      <c r="B7873">
        <v>772</v>
      </c>
      <c r="C7873" s="9" t="s">
        <v>23</v>
      </c>
      <c r="D7873" s="8">
        <v>-1.2E-2</v>
      </c>
    </row>
    <row r="7874" spans="1:4">
      <c r="A7874" t="str">
        <f t="shared" si="130"/>
        <v>772Beta</v>
      </c>
      <c r="B7874">
        <v>772</v>
      </c>
      <c r="C7874" s="9" t="s">
        <v>24</v>
      </c>
      <c r="D7874" s="8">
        <v>-8.0000000000000002E-3</v>
      </c>
    </row>
    <row r="7875" spans="1:4">
      <c r="A7875" t="str">
        <f t="shared" si="130"/>
        <v>772Annual Standard Deviation</v>
      </c>
      <c r="B7875">
        <v>772</v>
      </c>
      <c r="C7875" s="9" t="s">
        <v>35</v>
      </c>
      <c r="D7875" s="8">
        <v>6.0000000000000001E-3</v>
      </c>
    </row>
    <row r="7876" spans="1:4">
      <c r="A7876" t="str">
        <f t="shared" si="130"/>
        <v>772Annual Variance</v>
      </c>
      <c r="B7876">
        <v>772</v>
      </c>
      <c r="C7876" s="9" t="s">
        <v>36</v>
      </c>
      <c r="D7876" s="8">
        <v>0</v>
      </c>
    </row>
    <row r="7877" spans="1:4">
      <c r="A7877" t="str">
        <f t="shared" si="130"/>
        <v>772Information Ratio</v>
      </c>
      <c r="B7877">
        <v>772</v>
      </c>
      <c r="C7877" s="9" t="s">
        <v>37</v>
      </c>
      <c r="D7877" s="8">
        <v>-0.93600000000000005</v>
      </c>
    </row>
    <row r="7878" spans="1:4">
      <c r="A7878" t="str">
        <f t="shared" si="130"/>
        <v>772Tracking Error</v>
      </c>
      <c r="B7878">
        <v>772</v>
      </c>
      <c r="C7878" s="9" t="s">
        <v>38</v>
      </c>
      <c r="D7878" s="8">
        <v>6.8000000000000005E-2</v>
      </c>
    </row>
    <row r="7879" spans="1:4">
      <c r="A7879" t="str">
        <f t="shared" si="130"/>
        <v>772Treynor Ratio</v>
      </c>
      <c r="B7879">
        <v>772</v>
      </c>
      <c r="C7879" s="9" t="s">
        <v>39</v>
      </c>
      <c r="D7879" s="8">
        <v>1.6060000000000001</v>
      </c>
    </row>
    <row r="7880" spans="1:4">
      <c r="A7880" t="str">
        <f t="shared" si="130"/>
        <v>772Total Fees</v>
      </c>
      <c r="B7880">
        <v>772</v>
      </c>
      <c r="C7880" s="9" t="s">
        <v>40</v>
      </c>
      <c r="D7880" s="8">
        <v>0</v>
      </c>
    </row>
    <row r="7881" spans="1:4">
      <c r="A7881" t="str">
        <f t="shared" si="130"/>
        <v>772Estimated Strategy Capacity</v>
      </c>
      <c r="B7881">
        <v>772</v>
      </c>
      <c r="C7881" s="9" t="s">
        <v>41</v>
      </c>
      <c r="D7881" s="8">
        <v>7400000</v>
      </c>
    </row>
    <row r="7882" spans="1:4">
      <c r="A7882" t="str">
        <f t="shared" si="130"/>
        <v>773PSR</v>
      </c>
      <c r="B7882">
        <v>773</v>
      </c>
      <c r="C7882" s="9" t="s">
        <v>27</v>
      </c>
      <c r="D7882" s="8">
        <v>5.28E-3</v>
      </c>
    </row>
    <row r="7883" spans="1:4">
      <c r="A7883" t="str">
        <f t="shared" si="130"/>
        <v>773Sharpe Ratio</v>
      </c>
      <c r="B7883">
        <v>773</v>
      </c>
      <c r="C7883" s="9" t="s">
        <v>1</v>
      </c>
      <c r="D7883" s="8">
        <v>-1.5469999999999999</v>
      </c>
    </row>
    <row r="7884" spans="1:4">
      <c r="A7884" t="str">
        <f t="shared" si="130"/>
        <v>773Total Trades</v>
      </c>
      <c r="B7884">
        <v>773</v>
      </c>
      <c r="C7884" s="9" t="s">
        <v>28</v>
      </c>
      <c r="D7884" s="8">
        <v>879</v>
      </c>
    </row>
    <row r="7885" spans="1:4">
      <c r="A7885" t="str">
        <f t="shared" si="130"/>
        <v>773Average Win</v>
      </c>
      <c r="B7885">
        <v>773</v>
      </c>
      <c r="C7885" s="9" t="s">
        <v>25</v>
      </c>
      <c r="D7885" s="8">
        <v>5.0000000000000001E-4</v>
      </c>
    </row>
    <row r="7886" spans="1:4">
      <c r="A7886" t="str">
        <f t="shared" si="130"/>
        <v>773Average Loss</v>
      </c>
      <c r="B7886">
        <v>773</v>
      </c>
      <c r="C7886" s="9" t="s">
        <v>29</v>
      </c>
      <c r="D7886" s="8">
        <v>-1.1000000000000001E-3</v>
      </c>
    </row>
    <row r="7887" spans="1:4">
      <c r="A7887" t="str">
        <f t="shared" si="130"/>
        <v>773Compounding Annual Return</v>
      </c>
      <c r="B7887">
        <v>773</v>
      </c>
      <c r="C7887" s="9" t="s">
        <v>30</v>
      </c>
      <c r="D7887" s="8">
        <v>-3.7359999999999997E-2</v>
      </c>
    </row>
    <row r="7888" spans="1:4">
      <c r="A7888" t="str">
        <f t="shared" si="130"/>
        <v>773Drawdown</v>
      </c>
      <c r="B7888">
        <v>773</v>
      </c>
      <c r="C7888" s="9" t="s">
        <v>8</v>
      </c>
      <c r="D7888" s="8">
        <v>2.8000000000000001E-2</v>
      </c>
    </row>
    <row r="7889" spans="1:4">
      <c r="A7889" t="str">
        <f t="shared" si="130"/>
        <v>773Expectancy</v>
      </c>
      <c r="B7889">
        <v>773</v>
      </c>
      <c r="C7889" s="9" t="s">
        <v>31</v>
      </c>
      <c r="D7889" s="8">
        <v>-0.18099999999999999</v>
      </c>
    </row>
    <row r="7890" spans="1:4">
      <c r="A7890" t="str">
        <f t="shared" si="130"/>
        <v>773Net Profit</v>
      </c>
      <c r="B7890">
        <v>773</v>
      </c>
      <c r="C7890" s="9" t="s">
        <v>32</v>
      </c>
      <c r="D7890" s="8">
        <v>-2.4920000000000001E-2</v>
      </c>
    </row>
    <row r="7891" spans="1:4">
      <c r="A7891" t="str">
        <f t="shared" si="130"/>
        <v>773Loss Rate</v>
      </c>
      <c r="B7891">
        <v>773</v>
      </c>
      <c r="C7891" s="9" t="s">
        <v>33</v>
      </c>
      <c r="D7891" s="8">
        <v>0.44</v>
      </c>
    </row>
    <row r="7892" spans="1:4">
      <c r="A7892" t="str">
        <f t="shared" si="130"/>
        <v>773Win Rate</v>
      </c>
      <c r="B7892">
        <v>773</v>
      </c>
      <c r="C7892" s="9" t="s">
        <v>34</v>
      </c>
      <c r="D7892" s="8">
        <v>0.56000000000000005</v>
      </c>
    </row>
    <row r="7893" spans="1:4">
      <c r="A7893" t="str">
        <f t="shared" si="130"/>
        <v>773Profit-Loss Ratio</v>
      </c>
      <c r="B7893">
        <v>773</v>
      </c>
      <c r="C7893" s="9" t="s">
        <v>26</v>
      </c>
      <c r="D7893" s="8">
        <v>0.46</v>
      </c>
    </row>
    <row r="7894" spans="1:4">
      <c r="A7894" t="str">
        <f t="shared" si="130"/>
        <v>773Alpha</v>
      </c>
      <c r="B7894">
        <v>773</v>
      </c>
      <c r="C7894" s="9" t="s">
        <v>23</v>
      </c>
      <c r="D7894" s="8">
        <v>-2.5000000000000001E-2</v>
      </c>
    </row>
    <row r="7895" spans="1:4">
      <c r="A7895" t="str">
        <f t="shared" si="130"/>
        <v>773Beta</v>
      </c>
      <c r="B7895">
        <v>773</v>
      </c>
      <c r="C7895" s="9" t="s">
        <v>24</v>
      </c>
      <c r="D7895" s="8">
        <v>-2.5999999999999999E-2</v>
      </c>
    </row>
    <row r="7896" spans="1:4">
      <c r="A7896" t="str">
        <f t="shared" si="130"/>
        <v>773Annual Standard Deviation</v>
      </c>
      <c r="B7896">
        <v>773</v>
      </c>
      <c r="C7896" s="9" t="s">
        <v>35</v>
      </c>
      <c r="D7896" s="8">
        <v>1.7000000000000001E-2</v>
      </c>
    </row>
    <row r="7897" spans="1:4">
      <c r="A7897" t="str">
        <f t="shared" si="130"/>
        <v>773Annual Variance</v>
      </c>
      <c r="B7897">
        <v>773</v>
      </c>
      <c r="C7897" s="9" t="s">
        <v>36</v>
      </c>
      <c r="D7897" s="8">
        <v>0</v>
      </c>
    </row>
    <row r="7898" spans="1:4">
      <c r="A7898" t="str">
        <f t="shared" si="130"/>
        <v>773Information Ratio</v>
      </c>
      <c r="B7898">
        <v>773</v>
      </c>
      <c r="C7898" s="9" t="s">
        <v>37</v>
      </c>
      <c r="D7898" s="8">
        <v>-1.0980000000000001</v>
      </c>
    </row>
    <row r="7899" spans="1:4">
      <c r="A7899" t="str">
        <f t="shared" si="130"/>
        <v>773Tracking Error</v>
      </c>
      <c r="B7899">
        <v>773</v>
      </c>
      <c r="C7899" s="9" t="s">
        <v>38</v>
      </c>
      <c r="D7899" s="8">
        <v>7.0999999999999994E-2</v>
      </c>
    </row>
    <row r="7900" spans="1:4">
      <c r="A7900" t="str">
        <f t="shared" si="130"/>
        <v>773Treynor Ratio</v>
      </c>
      <c r="B7900">
        <v>773</v>
      </c>
      <c r="C7900" s="9" t="s">
        <v>39</v>
      </c>
      <c r="D7900" s="8">
        <v>0.996</v>
      </c>
    </row>
    <row r="7901" spans="1:4">
      <c r="A7901" t="str">
        <f t="shared" si="130"/>
        <v>773Total Fees</v>
      </c>
      <c r="B7901">
        <v>773</v>
      </c>
      <c r="C7901" s="9" t="s">
        <v>40</v>
      </c>
      <c r="D7901" s="8">
        <v>0</v>
      </c>
    </row>
    <row r="7902" spans="1:4">
      <c r="A7902" t="str">
        <f t="shared" si="130"/>
        <v>773Estimated Strategy Capacity</v>
      </c>
      <c r="B7902">
        <v>773</v>
      </c>
      <c r="C7902" s="9" t="s">
        <v>41</v>
      </c>
      <c r="D7902" s="8">
        <v>7300000</v>
      </c>
    </row>
    <row r="7903" spans="1:4">
      <c r="A7903" t="str">
        <f t="shared" si="130"/>
        <v>774PSR</v>
      </c>
      <c r="B7903">
        <v>774</v>
      </c>
      <c r="C7903" s="9" t="s">
        <v>27</v>
      </c>
      <c r="D7903" s="8">
        <v>6.5100000000000002E-3</v>
      </c>
    </row>
    <row r="7904" spans="1:4">
      <c r="A7904" t="str">
        <f t="shared" si="130"/>
        <v>774Sharpe Ratio</v>
      </c>
      <c r="B7904">
        <v>774</v>
      </c>
      <c r="C7904" s="9" t="s">
        <v>1</v>
      </c>
      <c r="D7904" s="8">
        <v>-1.3979999999999999</v>
      </c>
    </row>
    <row r="7905" spans="1:4">
      <c r="A7905" t="str">
        <f t="shared" si="130"/>
        <v>774Total Trades</v>
      </c>
      <c r="B7905">
        <v>774</v>
      </c>
      <c r="C7905" s="9" t="s">
        <v>28</v>
      </c>
      <c r="D7905" s="8">
        <v>672</v>
      </c>
    </row>
    <row r="7906" spans="1:4">
      <c r="A7906" t="str">
        <f t="shared" ref="A7906:A7969" si="131">B7906&amp;C7906</f>
        <v>774Average Win</v>
      </c>
      <c r="B7906">
        <v>774</v>
      </c>
      <c r="C7906" s="9" t="s">
        <v>25</v>
      </c>
      <c r="D7906" s="8">
        <v>5.0000000000000001E-4</v>
      </c>
    </row>
    <row r="7907" spans="1:4">
      <c r="A7907" t="str">
        <f t="shared" si="131"/>
        <v>774Average Loss</v>
      </c>
      <c r="B7907">
        <v>774</v>
      </c>
      <c r="C7907" s="9" t="s">
        <v>29</v>
      </c>
      <c r="D7907" s="8">
        <v>-1.2999999999999999E-3</v>
      </c>
    </row>
    <row r="7908" spans="1:4">
      <c r="A7908" t="str">
        <f t="shared" si="131"/>
        <v>774Compounding Annual Return</v>
      </c>
      <c r="B7908">
        <v>774</v>
      </c>
      <c r="C7908" s="9" t="s">
        <v>30</v>
      </c>
      <c r="D7908" s="8">
        <v>-4.496E-2</v>
      </c>
    </row>
    <row r="7909" spans="1:4">
      <c r="A7909" t="str">
        <f t="shared" si="131"/>
        <v>774Drawdown</v>
      </c>
      <c r="B7909">
        <v>774</v>
      </c>
      <c r="C7909" s="9" t="s">
        <v>8</v>
      </c>
      <c r="D7909" s="8">
        <v>3.4000000000000002E-2</v>
      </c>
    </row>
    <row r="7910" spans="1:4">
      <c r="A7910" t="str">
        <f t="shared" si="131"/>
        <v>774Expectancy</v>
      </c>
      <c r="B7910">
        <v>774</v>
      </c>
      <c r="C7910" s="9" t="s">
        <v>31</v>
      </c>
      <c r="D7910" s="8">
        <v>-0.20799999999999999</v>
      </c>
    </row>
    <row r="7911" spans="1:4">
      <c r="A7911" t="str">
        <f t="shared" si="131"/>
        <v>774Net Profit</v>
      </c>
      <c r="B7911">
        <v>774</v>
      </c>
      <c r="C7911" s="9" t="s">
        <v>32</v>
      </c>
      <c r="D7911" s="8">
        <v>-3.0030000000000001E-2</v>
      </c>
    </row>
    <row r="7912" spans="1:4">
      <c r="A7912" t="str">
        <f t="shared" si="131"/>
        <v>774Loss Rate</v>
      </c>
      <c r="B7912">
        <v>774</v>
      </c>
      <c r="C7912" s="9" t="s">
        <v>33</v>
      </c>
      <c r="D7912" s="8">
        <v>0.43</v>
      </c>
    </row>
    <row r="7913" spans="1:4">
      <c r="A7913" t="str">
        <f t="shared" si="131"/>
        <v>774Win Rate</v>
      </c>
      <c r="B7913">
        <v>774</v>
      </c>
      <c r="C7913" s="9" t="s">
        <v>34</v>
      </c>
      <c r="D7913" s="8">
        <v>0.56999999999999995</v>
      </c>
    </row>
    <row r="7914" spans="1:4">
      <c r="A7914" t="str">
        <f t="shared" si="131"/>
        <v>774Profit-Loss Ratio</v>
      </c>
      <c r="B7914">
        <v>774</v>
      </c>
      <c r="C7914" s="9" t="s">
        <v>26</v>
      </c>
      <c r="D7914" s="8">
        <v>0.39</v>
      </c>
    </row>
    <row r="7915" spans="1:4">
      <c r="A7915" t="str">
        <f t="shared" si="131"/>
        <v>774Alpha</v>
      </c>
      <c r="B7915">
        <v>774</v>
      </c>
      <c r="C7915" s="9" t="s">
        <v>23</v>
      </c>
      <c r="D7915" s="8">
        <v>-2.8000000000000001E-2</v>
      </c>
    </row>
    <row r="7916" spans="1:4">
      <c r="A7916" t="str">
        <f t="shared" si="131"/>
        <v>774Beta</v>
      </c>
      <c r="B7916">
        <v>774</v>
      </c>
      <c r="C7916" s="9" t="s">
        <v>24</v>
      </c>
      <c r="D7916" s="8">
        <v>-5.2999999999999999E-2</v>
      </c>
    </row>
    <row r="7917" spans="1:4">
      <c r="A7917" t="str">
        <f t="shared" si="131"/>
        <v>774Annual Standard Deviation</v>
      </c>
      <c r="B7917">
        <v>774</v>
      </c>
      <c r="C7917" s="9" t="s">
        <v>35</v>
      </c>
      <c r="D7917" s="8">
        <v>2.1999999999999999E-2</v>
      </c>
    </row>
    <row r="7918" spans="1:4">
      <c r="A7918" t="str">
        <f t="shared" si="131"/>
        <v>774Annual Variance</v>
      </c>
      <c r="B7918">
        <v>774</v>
      </c>
      <c r="C7918" s="9" t="s">
        <v>36</v>
      </c>
      <c r="D7918" s="8">
        <v>0</v>
      </c>
    </row>
    <row r="7919" spans="1:4">
      <c r="A7919" t="str">
        <f t="shared" si="131"/>
        <v>774Information Ratio</v>
      </c>
      <c r="B7919">
        <v>774</v>
      </c>
      <c r="C7919" s="9" t="s">
        <v>37</v>
      </c>
      <c r="D7919" s="8">
        <v>-1.1220000000000001</v>
      </c>
    </row>
    <row r="7920" spans="1:4">
      <c r="A7920" t="str">
        <f t="shared" si="131"/>
        <v>774Tracking Error</v>
      </c>
      <c r="B7920">
        <v>774</v>
      </c>
      <c r="C7920" s="9" t="s">
        <v>38</v>
      </c>
      <c r="D7920" s="8">
        <v>7.3999999999999996E-2</v>
      </c>
    </row>
    <row r="7921" spans="1:4">
      <c r="A7921" t="str">
        <f t="shared" si="131"/>
        <v>774Treynor Ratio</v>
      </c>
      <c r="B7921">
        <v>774</v>
      </c>
      <c r="C7921" s="9" t="s">
        <v>39</v>
      </c>
      <c r="D7921" s="8">
        <v>0.59299999999999997</v>
      </c>
    </row>
    <row r="7922" spans="1:4">
      <c r="A7922" t="str">
        <f t="shared" si="131"/>
        <v>774Total Fees</v>
      </c>
      <c r="B7922">
        <v>774</v>
      </c>
      <c r="C7922" s="9" t="s">
        <v>40</v>
      </c>
      <c r="D7922" s="8">
        <v>0</v>
      </c>
    </row>
    <row r="7923" spans="1:4">
      <c r="A7923" t="str">
        <f t="shared" si="131"/>
        <v>774Estimated Strategy Capacity</v>
      </c>
      <c r="B7923">
        <v>774</v>
      </c>
      <c r="C7923" s="9" t="s">
        <v>41</v>
      </c>
      <c r="D7923" s="8">
        <v>7400000</v>
      </c>
    </row>
    <row r="7924" spans="1:4">
      <c r="A7924" t="str">
        <f t="shared" si="131"/>
        <v>793PSR</v>
      </c>
      <c r="B7924">
        <v>793</v>
      </c>
      <c r="C7924" s="9" t="s">
        <v>27</v>
      </c>
      <c r="D7924" s="8">
        <v>0.10878</v>
      </c>
    </row>
    <row r="7925" spans="1:4">
      <c r="A7925" t="str">
        <f t="shared" si="131"/>
        <v>793Sharpe Ratio</v>
      </c>
      <c r="B7925">
        <v>793</v>
      </c>
      <c r="C7925" s="9" t="s">
        <v>1</v>
      </c>
      <c r="D7925" s="8">
        <v>-0.245</v>
      </c>
    </row>
    <row r="7926" spans="1:4">
      <c r="A7926" t="str">
        <f t="shared" si="131"/>
        <v>793Total Trades</v>
      </c>
      <c r="B7926">
        <v>793</v>
      </c>
      <c r="C7926" s="9" t="s">
        <v>28</v>
      </c>
      <c r="D7926" s="8">
        <v>2105</v>
      </c>
    </row>
    <row r="7927" spans="1:4">
      <c r="A7927" t="str">
        <f t="shared" si="131"/>
        <v>793Average Win</v>
      </c>
      <c r="B7927">
        <v>793</v>
      </c>
      <c r="C7927" s="9" t="s">
        <v>25</v>
      </c>
      <c r="D7927" s="8">
        <v>2.9999999999999997E-4</v>
      </c>
    </row>
    <row r="7928" spans="1:4">
      <c r="A7928" t="str">
        <f t="shared" si="131"/>
        <v>793Average Loss</v>
      </c>
      <c r="B7928">
        <v>793</v>
      </c>
      <c r="C7928" s="9" t="s">
        <v>29</v>
      </c>
      <c r="D7928" s="8">
        <v>-5.9999999999999995E-4</v>
      </c>
    </row>
    <row r="7929" spans="1:4">
      <c r="A7929" t="str">
        <f t="shared" si="131"/>
        <v>793Compounding Annual Return</v>
      </c>
      <c r="B7929">
        <v>793</v>
      </c>
      <c r="C7929" s="9" t="s">
        <v>30</v>
      </c>
      <c r="D7929" s="8">
        <v>-3.8800000000000002E-3</v>
      </c>
    </row>
    <row r="7930" spans="1:4">
      <c r="A7930" t="str">
        <f t="shared" si="131"/>
        <v>793Drawdown</v>
      </c>
      <c r="B7930">
        <v>793</v>
      </c>
      <c r="C7930" s="9" t="s">
        <v>8</v>
      </c>
      <c r="D7930" s="8">
        <v>1.2999999999999999E-2</v>
      </c>
    </row>
    <row r="7931" spans="1:4">
      <c r="A7931" t="str">
        <f t="shared" si="131"/>
        <v>793Expectancy</v>
      </c>
      <c r="B7931">
        <v>793</v>
      </c>
      <c r="C7931" s="9" t="s">
        <v>31</v>
      </c>
      <c r="D7931" s="8">
        <v>-2.5999999999999999E-2</v>
      </c>
    </row>
    <row r="7932" spans="1:4">
      <c r="A7932" t="str">
        <f t="shared" si="131"/>
        <v>793Net Profit</v>
      </c>
      <c r="B7932">
        <v>793</v>
      </c>
      <c r="C7932" s="9" t="s">
        <v>32</v>
      </c>
      <c r="D7932" s="8">
        <v>-2.5699999999999998E-3</v>
      </c>
    </row>
    <row r="7933" spans="1:4">
      <c r="A7933" t="str">
        <f t="shared" si="131"/>
        <v>793Loss Rate</v>
      </c>
      <c r="B7933">
        <v>793</v>
      </c>
      <c r="C7933" s="9" t="s">
        <v>33</v>
      </c>
      <c r="D7933" s="8">
        <v>0.36</v>
      </c>
    </row>
    <row r="7934" spans="1:4">
      <c r="A7934" t="str">
        <f t="shared" si="131"/>
        <v>793Win Rate</v>
      </c>
      <c r="B7934">
        <v>793</v>
      </c>
      <c r="C7934" s="9" t="s">
        <v>34</v>
      </c>
      <c r="D7934" s="8">
        <v>0.64</v>
      </c>
    </row>
    <row r="7935" spans="1:4">
      <c r="A7935" t="str">
        <f t="shared" si="131"/>
        <v>793Profit-Loss Ratio</v>
      </c>
      <c r="B7935">
        <v>793</v>
      </c>
      <c r="C7935" s="9" t="s">
        <v>26</v>
      </c>
      <c r="D7935" s="8">
        <v>0.52</v>
      </c>
    </row>
    <row r="7936" spans="1:4">
      <c r="A7936" t="str">
        <f t="shared" si="131"/>
        <v>793Alpha</v>
      </c>
      <c r="B7936">
        <v>793</v>
      </c>
      <c r="C7936" s="9" t="s">
        <v>23</v>
      </c>
      <c r="D7936" s="8">
        <v>-4.0000000000000001E-3</v>
      </c>
    </row>
    <row r="7937" spans="1:4">
      <c r="A7937" t="str">
        <f t="shared" si="131"/>
        <v>793Beta</v>
      </c>
      <c r="B7937">
        <v>793</v>
      </c>
      <c r="C7937" s="9" t="s">
        <v>24</v>
      </c>
      <c r="D7937" s="8">
        <v>2.4E-2</v>
      </c>
    </row>
    <row r="7938" spans="1:4">
      <c r="A7938" t="str">
        <f t="shared" si="131"/>
        <v>793Annual Standard Deviation</v>
      </c>
      <c r="B7938">
        <v>793</v>
      </c>
      <c r="C7938" s="9" t="s">
        <v>35</v>
      </c>
      <c r="D7938" s="8">
        <v>1.0999999999999999E-2</v>
      </c>
    </row>
    <row r="7939" spans="1:4">
      <c r="A7939" t="str">
        <f t="shared" si="131"/>
        <v>793Annual Variance</v>
      </c>
      <c r="B7939">
        <v>793</v>
      </c>
      <c r="C7939" s="9" t="s">
        <v>36</v>
      </c>
      <c r="D7939" s="8">
        <v>0</v>
      </c>
    </row>
    <row r="7940" spans="1:4">
      <c r="A7940" t="str">
        <f t="shared" si="131"/>
        <v>793Information Ratio</v>
      </c>
      <c r="B7940">
        <v>793</v>
      </c>
      <c r="C7940" s="9" t="s">
        <v>37</v>
      </c>
      <c r="D7940" s="8">
        <v>-0.81299999999999994</v>
      </c>
    </row>
    <row r="7941" spans="1:4">
      <c r="A7941" t="str">
        <f t="shared" si="131"/>
        <v>793Tracking Error</v>
      </c>
      <c r="B7941">
        <v>793</v>
      </c>
      <c r="C7941" s="9" t="s">
        <v>38</v>
      </c>
      <c r="D7941" s="8">
        <v>6.7000000000000004E-2</v>
      </c>
    </row>
    <row r="7942" spans="1:4">
      <c r="A7942" t="str">
        <f t="shared" si="131"/>
        <v>793Treynor Ratio</v>
      </c>
      <c r="B7942">
        <v>793</v>
      </c>
      <c r="C7942" s="9" t="s">
        <v>39</v>
      </c>
      <c r="D7942" s="8">
        <v>-0.109</v>
      </c>
    </row>
    <row r="7943" spans="1:4">
      <c r="A7943" t="str">
        <f t="shared" si="131"/>
        <v>793Total Fees</v>
      </c>
      <c r="B7943">
        <v>793</v>
      </c>
      <c r="C7943" s="9" t="s">
        <v>40</v>
      </c>
      <c r="D7943" s="8">
        <v>0</v>
      </c>
    </row>
    <row r="7944" spans="1:4">
      <c r="A7944" t="str">
        <f t="shared" si="131"/>
        <v>793Estimated Strategy Capacity</v>
      </c>
      <c r="B7944">
        <v>793</v>
      </c>
      <c r="C7944" s="9" t="s">
        <v>41</v>
      </c>
      <c r="D7944" s="8">
        <v>110000000</v>
      </c>
    </row>
    <row r="7945" spans="1:4">
      <c r="A7945" t="str">
        <f t="shared" si="131"/>
        <v>794PSR</v>
      </c>
      <c r="B7945">
        <v>794</v>
      </c>
      <c r="C7945" s="9" t="s">
        <v>27</v>
      </c>
      <c r="D7945" s="8">
        <v>0.13866999999999999</v>
      </c>
    </row>
    <row r="7946" spans="1:4">
      <c r="A7946" t="str">
        <f t="shared" si="131"/>
        <v>794Sharpe Ratio</v>
      </c>
      <c r="B7946">
        <v>794</v>
      </c>
      <c r="C7946" s="9" t="s">
        <v>1</v>
      </c>
      <c r="D7946" s="8">
        <v>-0.111</v>
      </c>
    </row>
    <row r="7947" spans="1:4">
      <c r="A7947" t="str">
        <f t="shared" si="131"/>
        <v>794Total Trades</v>
      </c>
      <c r="B7947">
        <v>794</v>
      </c>
      <c r="C7947" s="9" t="s">
        <v>28</v>
      </c>
      <c r="D7947" s="8">
        <v>1745</v>
      </c>
    </row>
    <row r="7948" spans="1:4">
      <c r="A7948" t="str">
        <f t="shared" si="131"/>
        <v>794Average Win</v>
      </c>
      <c r="B7948">
        <v>794</v>
      </c>
      <c r="C7948" s="9" t="s">
        <v>25</v>
      </c>
      <c r="D7948" s="8">
        <v>8.9999999999999998E-4</v>
      </c>
    </row>
    <row r="7949" spans="1:4">
      <c r="A7949" t="str">
        <f t="shared" si="131"/>
        <v>794Average Loss</v>
      </c>
      <c r="B7949">
        <v>794</v>
      </c>
      <c r="C7949" s="9" t="s">
        <v>29</v>
      </c>
      <c r="D7949" s="8">
        <v>-1.8E-3</v>
      </c>
    </row>
    <row r="7950" spans="1:4">
      <c r="A7950" t="str">
        <f t="shared" si="131"/>
        <v>794Compounding Annual Return</v>
      </c>
      <c r="B7950">
        <v>794</v>
      </c>
      <c r="C7950" s="9" t="s">
        <v>30</v>
      </c>
      <c r="D7950" s="8">
        <v>-6.0299999999999998E-3</v>
      </c>
    </row>
    <row r="7951" spans="1:4">
      <c r="A7951" t="str">
        <f t="shared" si="131"/>
        <v>794Drawdown</v>
      </c>
      <c r="B7951">
        <v>794</v>
      </c>
      <c r="C7951" s="9" t="s">
        <v>8</v>
      </c>
      <c r="D7951" s="8">
        <v>3.5999999999999997E-2</v>
      </c>
    </row>
    <row r="7952" spans="1:4">
      <c r="A7952" t="str">
        <f t="shared" si="131"/>
        <v>794Expectancy</v>
      </c>
      <c r="B7952">
        <v>794</v>
      </c>
      <c r="C7952" s="9" t="s">
        <v>31</v>
      </c>
      <c r="D7952" s="8">
        <v>-1.0999999999999999E-2</v>
      </c>
    </row>
    <row r="7953" spans="1:4">
      <c r="A7953" t="str">
        <f t="shared" si="131"/>
        <v>794Net Profit</v>
      </c>
      <c r="B7953">
        <v>794</v>
      </c>
      <c r="C7953" s="9" t="s">
        <v>32</v>
      </c>
      <c r="D7953" s="8">
        <v>-4.0000000000000001E-3</v>
      </c>
    </row>
    <row r="7954" spans="1:4">
      <c r="A7954" t="str">
        <f t="shared" si="131"/>
        <v>794Loss Rate</v>
      </c>
      <c r="B7954">
        <v>794</v>
      </c>
      <c r="C7954" s="9" t="s">
        <v>33</v>
      </c>
      <c r="D7954" s="8">
        <v>0.35</v>
      </c>
    </row>
    <row r="7955" spans="1:4">
      <c r="A7955" t="str">
        <f t="shared" si="131"/>
        <v>794Win Rate</v>
      </c>
      <c r="B7955">
        <v>794</v>
      </c>
      <c r="C7955" s="9" t="s">
        <v>34</v>
      </c>
      <c r="D7955" s="8">
        <v>0.65</v>
      </c>
    </row>
    <row r="7956" spans="1:4">
      <c r="A7956" t="str">
        <f t="shared" si="131"/>
        <v>794Profit-Loss Ratio</v>
      </c>
      <c r="B7956">
        <v>794</v>
      </c>
      <c r="C7956" s="9" t="s">
        <v>26</v>
      </c>
      <c r="D7956" s="8">
        <v>0.51</v>
      </c>
    </row>
    <row r="7957" spans="1:4">
      <c r="A7957" t="str">
        <f t="shared" si="131"/>
        <v>794Alpha</v>
      </c>
      <c r="B7957">
        <v>794</v>
      </c>
      <c r="C7957" s="9" t="s">
        <v>23</v>
      </c>
      <c r="D7957" s="8">
        <v>-7.0000000000000001E-3</v>
      </c>
    </row>
    <row r="7958" spans="1:4">
      <c r="A7958" t="str">
        <f t="shared" si="131"/>
        <v>794Beta</v>
      </c>
      <c r="B7958">
        <v>794</v>
      </c>
      <c r="C7958" s="9" t="s">
        <v>24</v>
      </c>
      <c r="D7958" s="8">
        <v>6.4000000000000001E-2</v>
      </c>
    </row>
    <row r="7959" spans="1:4">
      <c r="A7959" t="str">
        <f t="shared" si="131"/>
        <v>794Annual Standard Deviation</v>
      </c>
      <c r="B7959">
        <v>794</v>
      </c>
      <c r="C7959" s="9" t="s">
        <v>35</v>
      </c>
      <c r="D7959" s="8">
        <v>3.3000000000000002E-2</v>
      </c>
    </row>
    <row r="7960" spans="1:4">
      <c r="A7960" t="str">
        <f t="shared" si="131"/>
        <v>794Annual Variance</v>
      </c>
      <c r="B7960">
        <v>794</v>
      </c>
      <c r="C7960" s="9" t="s">
        <v>36</v>
      </c>
      <c r="D7960" s="8">
        <v>1E-3</v>
      </c>
    </row>
    <row r="7961" spans="1:4">
      <c r="A7961" t="str">
        <f t="shared" si="131"/>
        <v>794Information Ratio</v>
      </c>
      <c r="B7961">
        <v>794</v>
      </c>
      <c r="C7961" s="9" t="s">
        <v>37</v>
      </c>
      <c r="D7961" s="8">
        <v>-0.78600000000000003</v>
      </c>
    </row>
    <row r="7962" spans="1:4">
      <c r="A7962" t="str">
        <f t="shared" si="131"/>
        <v>794Tracking Error</v>
      </c>
      <c r="B7962">
        <v>794</v>
      </c>
      <c r="C7962" s="9" t="s">
        <v>38</v>
      </c>
      <c r="D7962" s="8">
        <v>7.0999999999999994E-2</v>
      </c>
    </row>
    <row r="7963" spans="1:4">
      <c r="A7963" t="str">
        <f t="shared" si="131"/>
        <v>794Treynor Ratio</v>
      </c>
      <c r="B7963">
        <v>794</v>
      </c>
      <c r="C7963" s="9" t="s">
        <v>39</v>
      </c>
      <c r="D7963" s="8">
        <v>-5.7000000000000002E-2</v>
      </c>
    </row>
    <row r="7964" spans="1:4">
      <c r="A7964" t="str">
        <f t="shared" si="131"/>
        <v>794Total Fees</v>
      </c>
      <c r="B7964">
        <v>794</v>
      </c>
      <c r="C7964" s="9" t="s">
        <v>40</v>
      </c>
      <c r="D7964" s="8">
        <v>0</v>
      </c>
    </row>
    <row r="7965" spans="1:4">
      <c r="A7965" t="str">
        <f t="shared" si="131"/>
        <v>794Estimated Strategy Capacity</v>
      </c>
      <c r="B7965">
        <v>794</v>
      </c>
      <c r="C7965" s="9" t="s">
        <v>41</v>
      </c>
      <c r="D7965" s="8">
        <v>12000000</v>
      </c>
    </row>
    <row r="7966" spans="1:4">
      <c r="A7966" t="str">
        <f t="shared" si="131"/>
        <v>795PSR</v>
      </c>
      <c r="B7966">
        <v>795</v>
      </c>
      <c r="C7966" s="9" t="s">
        <v>27</v>
      </c>
      <c r="D7966" s="8">
        <v>2.2530000000000001E-2</v>
      </c>
    </row>
    <row r="7967" spans="1:4">
      <c r="A7967" t="str">
        <f t="shared" si="131"/>
        <v>795Sharpe Ratio</v>
      </c>
      <c r="B7967">
        <v>795</v>
      </c>
      <c r="C7967" s="9" t="s">
        <v>1</v>
      </c>
      <c r="D7967" s="8">
        <v>-1.0349999999999999</v>
      </c>
    </row>
    <row r="7968" spans="1:4">
      <c r="A7968" t="str">
        <f t="shared" si="131"/>
        <v>795Total Trades</v>
      </c>
      <c r="B7968">
        <v>795</v>
      </c>
      <c r="C7968" s="9" t="s">
        <v>28</v>
      </c>
      <c r="D7968" s="8">
        <v>1331</v>
      </c>
    </row>
    <row r="7969" spans="1:4">
      <c r="A7969" t="str">
        <f t="shared" si="131"/>
        <v>795Average Win</v>
      </c>
      <c r="B7969">
        <v>795</v>
      </c>
      <c r="C7969" s="9" t="s">
        <v>25</v>
      </c>
      <c r="D7969" s="8">
        <v>1.1999999999999999E-3</v>
      </c>
    </row>
    <row r="7970" spans="1:4">
      <c r="A7970" t="str">
        <f t="shared" ref="A7970:A8033" si="132">B7970&amp;C7970</f>
        <v>795Average Loss</v>
      </c>
      <c r="B7970">
        <v>795</v>
      </c>
      <c r="C7970" s="9" t="s">
        <v>29</v>
      </c>
      <c r="D7970" s="8">
        <v>-2.8E-3</v>
      </c>
    </row>
    <row r="7971" spans="1:4">
      <c r="A7971" t="str">
        <f t="shared" si="132"/>
        <v>795Compounding Annual Return</v>
      </c>
      <c r="B7971">
        <v>795</v>
      </c>
      <c r="C7971" s="9" t="s">
        <v>30</v>
      </c>
      <c r="D7971" s="8">
        <v>-6.1859999999999998E-2</v>
      </c>
    </row>
    <row r="7972" spans="1:4">
      <c r="A7972" t="str">
        <f t="shared" si="132"/>
        <v>795Drawdown</v>
      </c>
      <c r="B7972">
        <v>795</v>
      </c>
      <c r="C7972" s="9" t="s">
        <v>8</v>
      </c>
      <c r="D7972" s="8">
        <v>6.4000000000000001E-2</v>
      </c>
    </row>
    <row r="7973" spans="1:4">
      <c r="A7973" t="str">
        <f t="shared" si="132"/>
        <v>795Expectancy</v>
      </c>
      <c r="B7973">
        <v>795</v>
      </c>
      <c r="C7973" s="9" t="s">
        <v>31</v>
      </c>
      <c r="D7973" s="8">
        <v>-9.8000000000000004E-2</v>
      </c>
    </row>
    <row r="7974" spans="1:4">
      <c r="A7974" t="str">
        <f t="shared" si="132"/>
        <v>795Net Profit</v>
      </c>
      <c r="B7974">
        <v>795</v>
      </c>
      <c r="C7974" s="9" t="s">
        <v>32</v>
      </c>
      <c r="D7974" s="8">
        <v>-4.1450000000000001E-2</v>
      </c>
    </row>
    <row r="7975" spans="1:4">
      <c r="A7975" t="str">
        <f t="shared" si="132"/>
        <v>795Loss Rate</v>
      </c>
      <c r="B7975">
        <v>795</v>
      </c>
      <c r="C7975" s="9" t="s">
        <v>33</v>
      </c>
      <c r="D7975" s="8">
        <v>0.37</v>
      </c>
    </row>
    <row r="7976" spans="1:4">
      <c r="A7976" t="str">
        <f t="shared" si="132"/>
        <v>795Win Rate</v>
      </c>
      <c r="B7976">
        <v>795</v>
      </c>
      <c r="C7976" s="9" t="s">
        <v>34</v>
      </c>
      <c r="D7976" s="8">
        <v>0.63</v>
      </c>
    </row>
    <row r="7977" spans="1:4">
      <c r="A7977" t="str">
        <f t="shared" si="132"/>
        <v>795Profit-Loss Ratio</v>
      </c>
      <c r="B7977">
        <v>795</v>
      </c>
      <c r="C7977" s="9" t="s">
        <v>26</v>
      </c>
      <c r="D7977" s="8">
        <v>0.44</v>
      </c>
    </row>
    <row r="7978" spans="1:4">
      <c r="A7978" t="str">
        <f t="shared" si="132"/>
        <v>795Alpha</v>
      </c>
      <c r="B7978">
        <v>795</v>
      </c>
      <c r="C7978" s="9" t="s">
        <v>23</v>
      </c>
      <c r="D7978" s="8">
        <v>-4.7E-2</v>
      </c>
    </row>
    <row r="7979" spans="1:4">
      <c r="A7979" t="str">
        <f t="shared" si="132"/>
        <v>795Beta</v>
      </c>
      <c r="B7979">
        <v>795</v>
      </c>
      <c r="C7979" s="9" t="s">
        <v>24</v>
      </c>
      <c r="D7979" s="8">
        <v>8.2000000000000003E-2</v>
      </c>
    </row>
    <row r="7980" spans="1:4">
      <c r="A7980" t="str">
        <f t="shared" si="132"/>
        <v>795Annual Standard Deviation</v>
      </c>
      <c r="B7980">
        <v>795</v>
      </c>
      <c r="C7980" s="9" t="s">
        <v>35</v>
      </c>
      <c r="D7980" s="8">
        <v>4.1000000000000002E-2</v>
      </c>
    </row>
    <row r="7981" spans="1:4">
      <c r="A7981" t="str">
        <f t="shared" si="132"/>
        <v>795Annual Variance</v>
      </c>
      <c r="B7981">
        <v>795</v>
      </c>
      <c r="C7981" s="9" t="s">
        <v>36</v>
      </c>
      <c r="D7981" s="8">
        <v>2E-3</v>
      </c>
    </row>
    <row r="7982" spans="1:4">
      <c r="A7982" t="str">
        <f t="shared" si="132"/>
        <v>795Information Ratio</v>
      </c>
      <c r="B7982">
        <v>795</v>
      </c>
      <c r="C7982" s="9" t="s">
        <v>37</v>
      </c>
      <c r="D7982" s="8">
        <v>-1.278</v>
      </c>
    </row>
    <row r="7983" spans="1:4">
      <c r="A7983" t="str">
        <f t="shared" si="132"/>
        <v>795Tracking Error</v>
      </c>
      <c r="B7983">
        <v>795</v>
      </c>
      <c r="C7983" s="9" t="s">
        <v>38</v>
      </c>
      <c r="D7983" s="8">
        <v>7.3999999999999996E-2</v>
      </c>
    </row>
    <row r="7984" spans="1:4">
      <c r="A7984" t="str">
        <f t="shared" si="132"/>
        <v>795Treynor Ratio</v>
      </c>
      <c r="B7984">
        <v>795</v>
      </c>
      <c r="C7984" s="9" t="s">
        <v>39</v>
      </c>
      <c r="D7984" s="8">
        <v>-0.52</v>
      </c>
    </row>
    <row r="7985" spans="1:4">
      <c r="A7985" t="str">
        <f t="shared" si="132"/>
        <v>795Total Fees</v>
      </c>
      <c r="B7985">
        <v>795</v>
      </c>
      <c r="C7985" s="9" t="s">
        <v>40</v>
      </c>
      <c r="D7985" s="8">
        <v>0</v>
      </c>
    </row>
    <row r="7986" spans="1:4">
      <c r="A7986" t="str">
        <f t="shared" si="132"/>
        <v>795Estimated Strategy Capacity</v>
      </c>
      <c r="B7986">
        <v>795</v>
      </c>
      <c r="C7986" s="9" t="s">
        <v>41</v>
      </c>
      <c r="D7986" s="8">
        <v>3900000</v>
      </c>
    </row>
    <row r="7987" spans="1:4">
      <c r="A7987" t="str">
        <f t="shared" si="132"/>
        <v>796PSR</v>
      </c>
      <c r="B7987">
        <v>796</v>
      </c>
      <c r="C7987" s="9" t="s">
        <v>27</v>
      </c>
      <c r="D7987" s="8">
        <v>0.15889</v>
      </c>
    </row>
    <row r="7988" spans="1:4">
      <c r="A7988" t="str">
        <f t="shared" si="132"/>
        <v>796Sharpe Ratio</v>
      </c>
      <c r="B7988">
        <v>796</v>
      </c>
      <c r="C7988" s="9" t="s">
        <v>1</v>
      </c>
      <c r="D7988" s="8">
        <v>-2.5000000000000001E-2</v>
      </c>
    </row>
    <row r="7989" spans="1:4">
      <c r="A7989" t="str">
        <f t="shared" si="132"/>
        <v>796Total Trades</v>
      </c>
      <c r="B7989">
        <v>796</v>
      </c>
      <c r="C7989" s="9" t="s">
        <v>28</v>
      </c>
      <c r="D7989" s="8">
        <v>1377</v>
      </c>
    </row>
    <row r="7990" spans="1:4">
      <c r="A7990" t="str">
        <f t="shared" si="132"/>
        <v>796Average Win</v>
      </c>
      <c r="B7990">
        <v>796</v>
      </c>
      <c r="C7990" s="9" t="s">
        <v>25</v>
      </c>
      <c r="D7990" s="8">
        <v>2.9999999999999997E-4</v>
      </c>
    </row>
    <row r="7991" spans="1:4">
      <c r="A7991" t="str">
        <f t="shared" si="132"/>
        <v>796Average Loss</v>
      </c>
      <c r="B7991">
        <v>796</v>
      </c>
      <c r="C7991" s="9" t="s">
        <v>29</v>
      </c>
      <c r="D7991" s="8">
        <v>-5.0000000000000001E-4</v>
      </c>
    </row>
    <row r="7992" spans="1:4">
      <c r="A7992" t="str">
        <f t="shared" si="132"/>
        <v>796Compounding Annual Return</v>
      </c>
      <c r="B7992">
        <v>796</v>
      </c>
      <c r="C7992" s="9" t="s">
        <v>30</v>
      </c>
      <c r="D7992" s="8">
        <v>-3.6999999999999999E-4</v>
      </c>
    </row>
    <row r="7993" spans="1:4">
      <c r="A7993" t="str">
        <f t="shared" si="132"/>
        <v>796Drawdown</v>
      </c>
      <c r="B7993">
        <v>796</v>
      </c>
      <c r="C7993" s="9" t="s">
        <v>8</v>
      </c>
      <c r="D7993" s="8">
        <v>1.2E-2</v>
      </c>
    </row>
    <row r="7994" spans="1:4">
      <c r="A7994" t="str">
        <f t="shared" si="132"/>
        <v>796Expectancy</v>
      </c>
      <c r="B7994">
        <v>796</v>
      </c>
      <c r="C7994" s="9" t="s">
        <v>31</v>
      </c>
      <c r="D7994" s="8">
        <v>-3.0000000000000001E-3</v>
      </c>
    </row>
    <row r="7995" spans="1:4">
      <c r="A7995" t="str">
        <f t="shared" si="132"/>
        <v>796Net Profit</v>
      </c>
      <c r="B7995">
        <v>796</v>
      </c>
      <c r="C7995" s="9" t="s">
        <v>32</v>
      </c>
      <c r="D7995" s="8">
        <v>-2.4000000000000001E-4</v>
      </c>
    </row>
    <row r="7996" spans="1:4">
      <c r="A7996" t="str">
        <f t="shared" si="132"/>
        <v>796Loss Rate</v>
      </c>
      <c r="B7996">
        <v>796</v>
      </c>
      <c r="C7996" s="9" t="s">
        <v>33</v>
      </c>
      <c r="D7996" s="8">
        <v>0.37</v>
      </c>
    </row>
    <row r="7997" spans="1:4">
      <c r="A7997" t="str">
        <f t="shared" si="132"/>
        <v>796Win Rate</v>
      </c>
      <c r="B7997">
        <v>796</v>
      </c>
      <c r="C7997" s="9" t="s">
        <v>34</v>
      </c>
      <c r="D7997" s="8">
        <v>0.63</v>
      </c>
    </row>
    <row r="7998" spans="1:4">
      <c r="A7998" t="str">
        <f t="shared" si="132"/>
        <v>796Profit-Loss Ratio</v>
      </c>
      <c r="B7998">
        <v>796</v>
      </c>
      <c r="C7998" s="9" t="s">
        <v>26</v>
      </c>
      <c r="D7998" s="8">
        <v>0.59</v>
      </c>
    </row>
    <row r="7999" spans="1:4">
      <c r="A7999" t="str">
        <f t="shared" si="132"/>
        <v>796Alpha</v>
      </c>
      <c r="B7999">
        <v>796</v>
      </c>
      <c r="C7999" s="9" t="s">
        <v>23</v>
      </c>
      <c r="D7999" s="8">
        <v>-2E-3</v>
      </c>
    </row>
    <row r="8000" spans="1:4">
      <c r="A8000" t="str">
        <f t="shared" si="132"/>
        <v>796Beta</v>
      </c>
      <c r="B8000">
        <v>796</v>
      </c>
      <c r="C8000" s="9" t="s">
        <v>24</v>
      </c>
      <c r="D8000" s="8">
        <v>2.5999999999999999E-2</v>
      </c>
    </row>
    <row r="8001" spans="1:4">
      <c r="A8001" t="str">
        <f t="shared" si="132"/>
        <v>796Annual Standard Deviation</v>
      </c>
      <c r="B8001">
        <v>796</v>
      </c>
      <c r="C8001" s="9" t="s">
        <v>35</v>
      </c>
      <c r="D8001" s="8">
        <v>8.9999999999999993E-3</v>
      </c>
    </row>
    <row r="8002" spans="1:4">
      <c r="A8002" t="str">
        <f t="shared" si="132"/>
        <v>796Annual Variance</v>
      </c>
      <c r="B8002">
        <v>796</v>
      </c>
      <c r="C8002" s="9" t="s">
        <v>36</v>
      </c>
      <c r="D8002" s="8">
        <v>0</v>
      </c>
    </row>
    <row r="8003" spans="1:4">
      <c r="A8003" t="str">
        <f t="shared" si="132"/>
        <v>796Information Ratio</v>
      </c>
      <c r="B8003">
        <v>796</v>
      </c>
      <c r="C8003" s="9" t="s">
        <v>37</v>
      </c>
      <c r="D8003" s="8">
        <v>-0.79100000000000004</v>
      </c>
    </row>
    <row r="8004" spans="1:4">
      <c r="A8004" t="str">
        <f t="shared" si="132"/>
        <v>796Tracking Error</v>
      </c>
      <c r="B8004">
        <v>796</v>
      </c>
      <c r="C8004" s="9" t="s">
        <v>38</v>
      </c>
      <c r="D8004" s="8">
        <v>6.6000000000000003E-2</v>
      </c>
    </row>
    <row r="8005" spans="1:4">
      <c r="A8005" t="str">
        <f t="shared" si="132"/>
        <v>796Treynor Ratio</v>
      </c>
      <c r="B8005">
        <v>796</v>
      </c>
      <c r="C8005" s="9" t="s">
        <v>39</v>
      </c>
      <c r="D8005" s="8">
        <v>-8.0000000000000002E-3</v>
      </c>
    </row>
    <row r="8006" spans="1:4">
      <c r="A8006" t="str">
        <f t="shared" si="132"/>
        <v>796Total Fees</v>
      </c>
      <c r="B8006">
        <v>796</v>
      </c>
      <c r="C8006" s="9" t="s">
        <v>40</v>
      </c>
      <c r="D8006" s="8">
        <v>0</v>
      </c>
    </row>
    <row r="8007" spans="1:4">
      <c r="A8007" t="str">
        <f t="shared" si="132"/>
        <v>796Estimated Strategy Capacity</v>
      </c>
      <c r="B8007">
        <v>796</v>
      </c>
      <c r="C8007" s="9" t="s">
        <v>41</v>
      </c>
      <c r="D8007" s="8">
        <v>4300000</v>
      </c>
    </row>
    <row r="8008" spans="1:4">
      <c r="A8008" t="str">
        <f t="shared" si="132"/>
        <v>797PSR</v>
      </c>
      <c r="B8008">
        <v>797</v>
      </c>
      <c r="C8008" s="9" t="s">
        <v>27</v>
      </c>
      <c r="D8008" s="8">
        <v>0.46035999999999999</v>
      </c>
    </row>
    <row r="8009" spans="1:4">
      <c r="A8009" t="str">
        <f t="shared" si="132"/>
        <v>797Sharpe Ratio</v>
      </c>
      <c r="B8009">
        <v>797</v>
      </c>
      <c r="C8009" s="9" t="s">
        <v>1</v>
      </c>
      <c r="D8009" s="8">
        <v>0.91300000000000003</v>
      </c>
    </row>
    <row r="8010" spans="1:4">
      <c r="A8010" t="str">
        <f t="shared" si="132"/>
        <v>797Total Trades</v>
      </c>
      <c r="B8010">
        <v>797</v>
      </c>
      <c r="C8010" s="9" t="s">
        <v>28</v>
      </c>
      <c r="D8010" s="8">
        <v>1183</v>
      </c>
    </row>
    <row r="8011" spans="1:4">
      <c r="A8011" t="str">
        <f t="shared" si="132"/>
        <v>797Average Win</v>
      </c>
      <c r="B8011">
        <v>797</v>
      </c>
      <c r="C8011" s="9" t="s">
        <v>25</v>
      </c>
      <c r="D8011" s="8">
        <v>1.1999999999999999E-3</v>
      </c>
    </row>
    <row r="8012" spans="1:4">
      <c r="A8012" t="str">
        <f t="shared" si="132"/>
        <v>797Average Loss</v>
      </c>
      <c r="B8012">
        <v>797</v>
      </c>
      <c r="C8012" s="9" t="s">
        <v>29</v>
      </c>
      <c r="D8012" s="8">
        <v>-1.5E-3</v>
      </c>
    </row>
    <row r="8013" spans="1:4">
      <c r="A8013" t="str">
        <f t="shared" si="132"/>
        <v>797Compounding Annual Return</v>
      </c>
      <c r="B8013">
        <v>797</v>
      </c>
      <c r="C8013" s="9" t="s">
        <v>30</v>
      </c>
      <c r="D8013" s="8">
        <v>3.8589999999999999E-2</v>
      </c>
    </row>
    <row r="8014" spans="1:4">
      <c r="A8014" t="str">
        <f t="shared" si="132"/>
        <v>797Drawdown</v>
      </c>
      <c r="B8014">
        <v>797</v>
      </c>
      <c r="C8014" s="9" t="s">
        <v>8</v>
      </c>
      <c r="D8014" s="8">
        <v>0.02</v>
      </c>
    </row>
    <row r="8015" spans="1:4">
      <c r="A8015" t="str">
        <f t="shared" si="132"/>
        <v>797Expectancy</v>
      </c>
      <c r="B8015">
        <v>797</v>
      </c>
      <c r="C8015" s="9" t="s">
        <v>31</v>
      </c>
      <c r="D8015" s="8">
        <v>0.14199999999999999</v>
      </c>
    </row>
    <row r="8016" spans="1:4">
      <c r="A8016" t="str">
        <f t="shared" si="132"/>
        <v>797Net Profit</v>
      </c>
      <c r="B8016">
        <v>797</v>
      </c>
      <c r="C8016" s="9" t="s">
        <v>32</v>
      </c>
      <c r="D8016" s="8">
        <v>2.5420000000000002E-2</v>
      </c>
    </row>
    <row r="8017" spans="1:4">
      <c r="A8017" t="str">
        <f t="shared" si="132"/>
        <v>797Loss Rate</v>
      </c>
      <c r="B8017">
        <v>797</v>
      </c>
      <c r="C8017" s="9" t="s">
        <v>33</v>
      </c>
      <c r="D8017" s="8">
        <v>0.38</v>
      </c>
    </row>
    <row r="8018" spans="1:4">
      <c r="A8018" t="str">
        <f t="shared" si="132"/>
        <v>797Win Rate</v>
      </c>
      <c r="B8018">
        <v>797</v>
      </c>
      <c r="C8018" s="9" t="s">
        <v>34</v>
      </c>
      <c r="D8018" s="8">
        <v>0.62</v>
      </c>
    </row>
    <row r="8019" spans="1:4">
      <c r="A8019" t="str">
        <f t="shared" si="132"/>
        <v>797Profit-Loss Ratio</v>
      </c>
      <c r="B8019">
        <v>797</v>
      </c>
      <c r="C8019" s="9" t="s">
        <v>26</v>
      </c>
      <c r="D8019" s="8">
        <v>0.85</v>
      </c>
    </row>
    <row r="8020" spans="1:4">
      <c r="A8020" t="str">
        <f t="shared" si="132"/>
        <v>797Alpha</v>
      </c>
      <c r="B8020">
        <v>797</v>
      </c>
      <c r="C8020" s="9" t="s">
        <v>23</v>
      </c>
      <c r="D8020" s="8">
        <v>2.1999999999999999E-2</v>
      </c>
    </row>
    <row r="8021" spans="1:4">
      <c r="A8021" t="str">
        <f t="shared" si="132"/>
        <v>797Beta</v>
      </c>
      <c r="B8021">
        <v>797</v>
      </c>
      <c r="C8021" s="9" t="s">
        <v>24</v>
      </c>
      <c r="D8021" s="8">
        <v>0.10199999999999999</v>
      </c>
    </row>
    <row r="8022" spans="1:4">
      <c r="A8022" t="str">
        <f t="shared" si="132"/>
        <v>797Annual Standard Deviation</v>
      </c>
      <c r="B8022">
        <v>797</v>
      </c>
      <c r="C8022" s="9" t="s">
        <v>35</v>
      </c>
      <c r="D8022" s="8">
        <v>0.03</v>
      </c>
    </row>
    <row r="8023" spans="1:4">
      <c r="A8023" t="str">
        <f t="shared" si="132"/>
        <v>797Annual Variance</v>
      </c>
      <c r="B8023">
        <v>797</v>
      </c>
      <c r="C8023" s="9" t="s">
        <v>36</v>
      </c>
      <c r="D8023" s="8">
        <v>1E-3</v>
      </c>
    </row>
    <row r="8024" spans="1:4">
      <c r="A8024" t="str">
        <f t="shared" si="132"/>
        <v>797Information Ratio</v>
      </c>
      <c r="B8024">
        <v>797</v>
      </c>
      <c r="C8024" s="9" t="s">
        <v>37</v>
      </c>
      <c r="D8024" s="8">
        <v>-0.36499999999999999</v>
      </c>
    </row>
    <row r="8025" spans="1:4">
      <c r="A8025" t="str">
        <f t="shared" si="132"/>
        <v>797Tracking Error</v>
      </c>
      <c r="B8025">
        <v>797</v>
      </c>
      <c r="C8025" s="9" t="s">
        <v>38</v>
      </c>
      <c r="D8025" s="8">
        <v>6.7000000000000004E-2</v>
      </c>
    </row>
    <row r="8026" spans="1:4">
      <c r="A8026" t="str">
        <f t="shared" si="132"/>
        <v>797Treynor Ratio</v>
      </c>
      <c r="B8026">
        <v>797</v>
      </c>
      <c r="C8026" s="9" t="s">
        <v>39</v>
      </c>
      <c r="D8026" s="8">
        <v>0.26600000000000001</v>
      </c>
    </row>
    <row r="8027" spans="1:4">
      <c r="A8027" t="str">
        <f t="shared" si="132"/>
        <v>797Total Fees</v>
      </c>
      <c r="B8027">
        <v>797</v>
      </c>
      <c r="C8027" s="9" t="s">
        <v>40</v>
      </c>
      <c r="D8027" s="8">
        <v>0</v>
      </c>
    </row>
    <row r="8028" spans="1:4">
      <c r="A8028" t="str">
        <f t="shared" si="132"/>
        <v>797Estimated Strategy Capacity</v>
      </c>
      <c r="B8028">
        <v>797</v>
      </c>
      <c r="C8028" s="9" t="s">
        <v>41</v>
      </c>
      <c r="D8028" s="8">
        <v>4400000</v>
      </c>
    </row>
    <row r="8029" spans="1:4">
      <c r="A8029" t="str">
        <f t="shared" si="132"/>
        <v>798PSR</v>
      </c>
      <c r="B8029">
        <v>798</v>
      </c>
      <c r="C8029" s="9" t="s">
        <v>27</v>
      </c>
      <c r="D8029" s="8">
        <v>0.29559000000000002</v>
      </c>
    </row>
    <row r="8030" spans="1:4">
      <c r="A8030" t="str">
        <f t="shared" si="132"/>
        <v>798Sharpe Ratio</v>
      </c>
      <c r="B8030">
        <v>798</v>
      </c>
      <c r="C8030" s="9" t="s">
        <v>1</v>
      </c>
      <c r="D8030" s="8">
        <v>0.45100000000000001</v>
      </c>
    </row>
    <row r="8031" spans="1:4">
      <c r="A8031" t="str">
        <f t="shared" si="132"/>
        <v>798Total Trades</v>
      </c>
      <c r="B8031">
        <v>798</v>
      </c>
      <c r="C8031" s="9" t="s">
        <v>28</v>
      </c>
      <c r="D8031" s="8">
        <v>909</v>
      </c>
    </row>
    <row r="8032" spans="1:4">
      <c r="A8032" t="str">
        <f t="shared" si="132"/>
        <v>798Average Win</v>
      </c>
      <c r="B8032">
        <v>798</v>
      </c>
      <c r="C8032" s="9" t="s">
        <v>25</v>
      </c>
      <c r="D8032" s="8">
        <v>1.6999999999999999E-3</v>
      </c>
    </row>
    <row r="8033" spans="1:4">
      <c r="A8033" t="str">
        <f t="shared" si="132"/>
        <v>798Average Loss</v>
      </c>
      <c r="B8033">
        <v>798</v>
      </c>
      <c r="C8033" s="9" t="s">
        <v>29</v>
      </c>
      <c r="D8033" s="8">
        <v>-2.3999999999999998E-3</v>
      </c>
    </row>
    <row r="8034" spans="1:4">
      <c r="A8034" t="str">
        <f t="shared" ref="A8034:A8097" si="133">B8034&amp;C8034</f>
        <v>798Compounding Annual Return</v>
      </c>
      <c r="B8034">
        <v>798</v>
      </c>
      <c r="C8034" s="9" t="s">
        <v>30</v>
      </c>
      <c r="D8034" s="8">
        <v>2.3210000000000001E-2</v>
      </c>
    </row>
    <row r="8035" spans="1:4">
      <c r="A8035" t="str">
        <f t="shared" si="133"/>
        <v>798Drawdown</v>
      </c>
      <c r="B8035">
        <v>798</v>
      </c>
      <c r="C8035" s="9" t="s">
        <v>8</v>
      </c>
      <c r="D8035" s="8">
        <v>0.03</v>
      </c>
    </row>
    <row r="8036" spans="1:4">
      <c r="A8036" t="str">
        <f t="shared" si="133"/>
        <v>798Expectancy</v>
      </c>
      <c r="B8036">
        <v>798</v>
      </c>
      <c r="C8036" s="9" t="s">
        <v>31</v>
      </c>
      <c r="D8036" s="8">
        <v>6.2E-2</v>
      </c>
    </row>
    <row r="8037" spans="1:4">
      <c r="A8037" t="str">
        <f t="shared" si="133"/>
        <v>798Net Profit</v>
      </c>
      <c r="B8037">
        <v>798</v>
      </c>
      <c r="C8037" s="9" t="s">
        <v>32</v>
      </c>
      <c r="D8037" s="8">
        <v>1.533E-2</v>
      </c>
    </row>
    <row r="8038" spans="1:4">
      <c r="A8038" t="str">
        <f t="shared" si="133"/>
        <v>798Loss Rate</v>
      </c>
      <c r="B8038">
        <v>798</v>
      </c>
      <c r="C8038" s="9" t="s">
        <v>33</v>
      </c>
      <c r="D8038" s="8">
        <v>0.38</v>
      </c>
    </row>
    <row r="8039" spans="1:4">
      <c r="A8039" t="str">
        <f t="shared" si="133"/>
        <v>798Win Rate</v>
      </c>
      <c r="B8039">
        <v>798</v>
      </c>
      <c r="C8039" s="9" t="s">
        <v>34</v>
      </c>
      <c r="D8039" s="8">
        <v>0.62</v>
      </c>
    </row>
    <row r="8040" spans="1:4">
      <c r="A8040" t="str">
        <f t="shared" si="133"/>
        <v>798Profit-Loss Ratio</v>
      </c>
      <c r="B8040">
        <v>798</v>
      </c>
      <c r="C8040" s="9" t="s">
        <v>26</v>
      </c>
      <c r="D8040" s="8">
        <v>0.71</v>
      </c>
    </row>
    <row r="8041" spans="1:4">
      <c r="A8041" t="str">
        <f t="shared" si="133"/>
        <v>798Alpha</v>
      </c>
      <c r="B8041">
        <v>798</v>
      </c>
      <c r="C8041" s="9" t="s">
        <v>23</v>
      </c>
      <c r="D8041" s="8">
        <v>8.0000000000000002E-3</v>
      </c>
    </row>
    <row r="8042" spans="1:4">
      <c r="A8042" t="str">
        <f t="shared" si="133"/>
        <v>798Beta</v>
      </c>
      <c r="B8042">
        <v>798</v>
      </c>
      <c r="C8042" s="9" t="s">
        <v>24</v>
      </c>
      <c r="D8042" s="8">
        <v>0.16700000000000001</v>
      </c>
    </row>
    <row r="8043" spans="1:4">
      <c r="A8043" t="str">
        <f t="shared" si="133"/>
        <v>798Annual Standard Deviation</v>
      </c>
      <c r="B8043">
        <v>798</v>
      </c>
      <c r="C8043" s="9" t="s">
        <v>35</v>
      </c>
      <c r="D8043" s="8">
        <v>3.6999999999999998E-2</v>
      </c>
    </row>
    <row r="8044" spans="1:4">
      <c r="A8044" t="str">
        <f t="shared" si="133"/>
        <v>798Annual Variance</v>
      </c>
      <c r="B8044">
        <v>798</v>
      </c>
      <c r="C8044" s="9" t="s">
        <v>36</v>
      </c>
      <c r="D8044" s="8">
        <v>1E-3</v>
      </c>
    </row>
    <row r="8045" spans="1:4">
      <c r="A8045" t="str">
        <f t="shared" si="133"/>
        <v>798Information Ratio</v>
      </c>
      <c r="B8045">
        <v>798</v>
      </c>
      <c r="C8045" s="9" t="s">
        <v>37</v>
      </c>
      <c r="D8045" s="8">
        <v>-0.52400000000000002</v>
      </c>
    </row>
    <row r="8046" spans="1:4">
      <c r="A8046" t="str">
        <f t="shared" si="133"/>
        <v>798Tracking Error</v>
      </c>
      <c r="B8046">
        <v>798</v>
      </c>
      <c r="C8046" s="9" t="s">
        <v>38</v>
      </c>
      <c r="D8046" s="8">
        <v>6.6000000000000003E-2</v>
      </c>
    </row>
    <row r="8047" spans="1:4">
      <c r="A8047" t="str">
        <f t="shared" si="133"/>
        <v>798Treynor Ratio</v>
      </c>
      <c r="B8047">
        <v>798</v>
      </c>
      <c r="C8047" s="9" t="s">
        <v>39</v>
      </c>
      <c r="D8047" s="8">
        <v>0.1</v>
      </c>
    </row>
    <row r="8048" spans="1:4">
      <c r="A8048" t="str">
        <f t="shared" si="133"/>
        <v>798Total Fees</v>
      </c>
      <c r="B8048">
        <v>798</v>
      </c>
      <c r="C8048" s="9" t="s">
        <v>40</v>
      </c>
      <c r="D8048" s="8">
        <v>0</v>
      </c>
    </row>
    <row r="8049" spans="1:4">
      <c r="A8049" t="str">
        <f t="shared" si="133"/>
        <v>798Estimated Strategy Capacity</v>
      </c>
      <c r="B8049">
        <v>798</v>
      </c>
      <c r="C8049" s="9" t="s">
        <v>41</v>
      </c>
      <c r="D8049" s="8">
        <v>4500000</v>
      </c>
    </row>
    <row r="8050" spans="1:4">
      <c r="A8050" t="str">
        <f t="shared" si="133"/>
        <v>799PSR</v>
      </c>
      <c r="B8050">
        <v>799</v>
      </c>
      <c r="C8050" s="9" t="s">
        <v>27</v>
      </c>
      <c r="D8050" s="8">
        <v>6.8900000000000003E-3</v>
      </c>
    </row>
    <row r="8051" spans="1:4">
      <c r="A8051" t="str">
        <f t="shared" si="133"/>
        <v>799Sharpe Ratio</v>
      </c>
      <c r="B8051">
        <v>799</v>
      </c>
      <c r="C8051" s="9" t="s">
        <v>1</v>
      </c>
      <c r="D8051" s="8">
        <v>-1.1080000000000001</v>
      </c>
    </row>
    <row r="8052" spans="1:4">
      <c r="A8052" t="str">
        <f t="shared" si="133"/>
        <v>799Total Trades</v>
      </c>
      <c r="B8052">
        <v>799</v>
      </c>
      <c r="C8052" s="9" t="s">
        <v>28</v>
      </c>
      <c r="D8052" s="8">
        <v>947</v>
      </c>
    </row>
    <row r="8053" spans="1:4">
      <c r="A8053" t="str">
        <f t="shared" si="133"/>
        <v>799Average Win</v>
      </c>
      <c r="B8053">
        <v>799</v>
      </c>
      <c r="C8053" s="9" t="s">
        <v>25</v>
      </c>
      <c r="D8053" s="8">
        <v>2.9999999999999997E-4</v>
      </c>
    </row>
    <row r="8054" spans="1:4">
      <c r="A8054" t="str">
        <f t="shared" si="133"/>
        <v>799Average Loss</v>
      </c>
      <c r="B8054">
        <v>799</v>
      </c>
      <c r="C8054" s="9" t="s">
        <v>29</v>
      </c>
      <c r="D8054" s="8">
        <v>-8.0000000000000004E-4</v>
      </c>
    </row>
    <row r="8055" spans="1:4">
      <c r="A8055" t="str">
        <f t="shared" si="133"/>
        <v>799Compounding Annual Return</v>
      </c>
      <c r="B8055">
        <v>799</v>
      </c>
      <c r="C8055" s="9" t="s">
        <v>30</v>
      </c>
      <c r="D8055" s="8">
        <v>-1.575E-2</v>
      </c>
    </row>
    <row r="8056" spans="1:4">
      <c r="A8056" t="str">
        <f t="shared" si="133"/>
        <v>799Drawdown</v>
      </c>
      <c r="B8056">
        <v>799</v>
      </c>
      <c r="C8056" s="9" t="s">
        <v>8</v>
      </c>
      <c r="D8056" s="8">
        <v>1.2999999999999999E-2</v>
      </c>
    </row>
    <row r="8057" spans="1:4">
      <c r="A8057" t="str">
        <f t="shared" si="133"/>
        <v>799Expectancy</v>
      </c>
      <c r="B8057">
        <v>799</v>
      </c>
      <c r="C8057" s="9" t="s">
        <v>31</v>
      </c>
      <c r="D8057" s="8">
        <v>-0.16200000000000001</v>
      </c>
    </row>
    <row r="8058" spans="1:4">
      <c r="A8058" t="str">
        <f t="shared" si="133"/>
        <v>799Net Profit</v>
      </c>
      <c r="B8058">
        <v>799</v>
      </c>
      <c r="C8058" s="9" t="s">
        <v>32</v>
      </c>
      <c r="D8058" s="8">
        <v>-1.047E-2</v>
      </c>
    </row>
    <row r="8059" spans="1:4">
      <c r="A8059" t="str">
        <f t="shared" si="133"/>
        <v>799Loss Rate</v>
      </c>
      <c r="B8059">
        <v>799</v>
      </c>
      <c r="C8059" s="9" t="s">
        <v>33</v>
      </c>
      <c r="D8059" s="8">
        <v>0.38</v>
      </c>
    </row>
    <row r="8060" spans="1:4">
      <c r="A8060" t="str">
        <f t="shared" si="133"/>
        <v>799Win Rate</v>
      </c>
      <c r="B8060">
        <v>799</v>
      </c>
      <c r="C8060" s="9" t="s">
        <v>34</v>
      </c>
      <c r="D8060" s="8">
        <v>0.62</v>
      </c>
    </row>
    <row r="8061" spans="1:4">
      <c r="A8061" t="str">
        <f t="shared" si="133"/>
        <v>799Profit-Loss Ratio</v>
      </c>
      <c r="B8061">
        <v>799</v>
      </c>
      <c r="C8061" s="9" t="s">
        <v>26</v>
      </c>
      <c r="D8061" s="8">
        <v>0.34</v>
      </c>
    </row>
    <row r="8062" spans="1:4">
      <c r="A8062" t="str">
        <f t="shared" si="133"/>
        <v>799Alpha</v>
      </c>
      <c r="B8062">
        <v>799</v>
      </c>
      <c r="C8062" s="9" t="s">
        <v>23</v>
      </c>
      <c r="D8062" s="8">
        <v>-1.0999999999999999E-2</v>
      </c>
    </row>
    <row r="8063" spans="1:4">
      <c r="A8063" t="str">
        <f t="shared" si="133"/>
        <v>799Beta</v>
      </c>
      <c r="B8063">
        <v>799</v>
      </c>
      <c r="C8063" s="9" t="s">
        <v>24</v>
      </c>
      <c r="D8063" s="8">
        <v>6.0000000000000001E-3</v>
      </c>
    </row>
    <row r="8064" spans="1:4">
      <c r="A8064" t="str">
        <f t="shared" si="133"/>
        <v>799Annual Standard Deviation</v>
      </c>
      <c r="B8064">
        <v>799</v>
      </c>
      <c r="C8064" s="9" t="s">
        <v>35</v>
      </c>
      <c r="D8064" s="8">
        <v>0.01</v>
      </c>
    </row>
    <row r="8065" spans="1:4">
      <c r="A8065" t="str">
        <f t="shared" si="133"/>
        <v>799Annual Variance</v>
      </c>
      <c r="B8065">
        <v>799</v>
      </c>
      <c r="C8065" s="9" t="s">
        <v>36</v>
      </c>
      <c r="D8065" s="8">
        <v>0</v>
      </c>
    </row>
    <row r="8066" spans="1:4">
      <c r="A8066" t="str">
        <f t="shared" si="133"/>
        <v>799Information Ratio</v>
      </c>
      <c r="B8066">
        <v>799</v>
      </c>
      <c r="C8066" s="9" t="s">
        <v>37</v>
      </c>
      <c r="D8066" s="8">
        <v>-0.93100000000000005</v>
      </c>
    </row>
    <row r="8067" spans="1:4">
      <c r="A8067" t="str">
        <f t="shared" si="133"/>
        <v>799Tracking Error</v>
      </c>
      <c r="B8067">
        <v>799</v>
      </c>
      <c r="C8067" s="9" t="s">
        <v>38</v>
      </c>
      <c r="D8067" s="8">
        <v>6.8000000000000005E-2</v>
      </c>
    </row>
    <row r="8068" spans="1:4">
      <c r="A8068" t="str">
        <f t="shared" si="133"/>
        <v>799Treynor Ratio</v>
      </c>
      <c r="B8068">
        <v>799</v>
      </c>
      <c r="C8068" s="9" t="s">
        <v>39</v>
      </c>
      <c r="D8068" s="8">
        <v>-1.7989999999999999</v>
      </c>
    </row>
    <row r="8069" spans="1:4">
      <c r="A8069" t="str">
        <f t="shared" si="133"/>
        <v>799Total Fees</v>
      </c>
      <c r="B8069">
        <v>799</v>
      </c>
      <c r="C8069" s="9" t="s">
        <v>40</v>
      </c>
      <c r="D8069" s="8">
        <v>0</v>
      </c>
    </row>
    <row r="8070" spans="1:4">
      <c r="A8070" t="str">
        <f t="shared" si="133"/>
        <v>799Estimated Strategy Capacity</v>
      </c>
      <c r="B8070">
        <v>799</v>
      </c>
      <c r="C8070" s="9" t="s">
        <v>41</v>
      </c>
      <c r="D8070" s="8">
        <v>4800000</v>
      </c>
    </row>
    <row r="8071" spans="1:4">
      <c r="A8071" t="str">
        <f t="shared" si="133"/>
        <v>800PSR</v>
      </c>
      <c r="B8071">
        <v>800</v>
      </c>
      <c r="C8071" s="9" t="s">
        <v>27</v>
      </c>
      <c r="D8071" s="8">
        <v>4.7010000000000003E-2</v>
      </c>
    </row>
    <row r="8072" spans="1:4">
      <c r="A8072" t="str">
        <f t="shared" si="133"/>
        <v>800Sharpe Ratio</v>
      </c>
      <c r="B8072">
        <v>800</v>
      </c>
      <c r="C8072" s="9" t="s">
        <v>1</v>
      </c>
      <c r="D8072" s="8">
        <v>-0.64800000000000002</v>
      </c>
    </row>
    <row r="8073" spans="1:4">
      <c r="A8073" t="str">
        <f t="shared" si="133"/>
        <v>800Total Trades</v>
      </c>
      <c r="B8073">
        <v>800</v>
      </c>
      <c r="C8073" s="9" t="s">
        <v>28</v>
      </c>
      <c r="D8073" s="8">
        <v>816</v>
      </c>
    </row>
    <row r="8074" spans="1:4">
      <c r="A8074" t="str">
        <f t="shared" si="133"/>
        <v>800Average Win</v>
      </c>
      <c r="B8074">
        <v>800</v>
      </c>
      <c r="C8074" s="9" t="s">
        <v>25</v>
      </c>
      <c r="D8074" s="8">
        <v>1.4E-3</v>
      </c>
    </row>
    <row r="8075" spans="1:4">
      <c r="A8075" t="str">
        <f t="shared" si="133"/>
        <v>800Average Loss</v>
      </c>
      <c r="B8075">
        <v>800</v>
      </c>
      <c r="C8075" s="9" t="s">
        <v>29</v>
      </c>
      <c r="D8075" s="8">
        <v>-3.0999999999999999E-3</v>
      </c>
    </row>
    <row r="8076" spans="1:4">
      <c r="A8076" t="str">
        <f t="shared" si="133"/>
        <v>800Compounding Annual Return</v>
      </c>
      <c r="B8076">
        <v>800</v>
      </c>
      <c r="C8076" s="9" t="s">
        <v>30</v>
      </c>
      <c r="D8076" s="8">
        <v>-3.3390000000000003E-2</v>
      </c>
    </row>
    <row r="8077" spans="1:4">
      <c r="A8077" t="str">
        <f t="shared" si="133"/>
        <v>800Drawdown</v>
      </c>
      <c r="B8077">
        <v>800</v>
      </c>
      <c r="C8077" s="9" t="s">
        <v>8</v>
      </c>
      <c r="D8077" s="8">
        <v>4.2000000000000003E-2</v>
      </c>
    </row>
    <row r="8078" spans="1:4">
      <c r="A8078" t="str">
        <f t="shared" si="133"/>
        <v>800Expectancy</v>
      </c>
      <c r="B8078">
        <v>800</v>
      </c>
      <c r="C8078" s="9" t="s">
        <v>31</v>
      </c>
      <c r="D8078" s="8">
        <v>-8.5000000000000006E-2</v>
      </c>
    </row>
    <row r="8079" spans="1:4">
      <c r="A8079" t="str">
        <f t="shared" si="133"/>
        <v>800Net Profit</v>
      </c>
      <c r="B8079">
        <v>800</v>
      </c>
      <c r="C8079" s="9" t="s">
        <v>32</v>
      </c>
      <c r="D8079" s="8">
        <v>-2.2259999999999999E-2</v>
      </c>
    </row>
    <row r="8080" spans="1:4">
      <c r="A8080" t="str">
        <f t="shared" si="133"/>
        <v>800Loss Rate</v>
      </c>
      <c r="B8080">
        <v>800</v>
      </c>
      <c r="C8080" s="9" t="s">
        <v>33</v>
      </c>
      <c r="D8080" s="8">
        <v>0.37</v>
      </c>
    </row>
    <row r="8081" spans="1:4">
      <c r="A8081" t="str">
        <f t="shared" si="133"/>
        <v>800Win Rate</v>
      </c>
      <c r="B8081">
        <v>800</v>
      </c>
      <c r="C8081" s="9" t="s">
        <v>34</v>
      </c>
      <c r="D8081" s="8">
        <v>0.63</v>
      </c>
    </row>
    <row r="8082" spans="1:4">
      <c r="A8082" t="str">
        <f t="shared" si="133"/>
        <v>800Profit-Loss Ratio</v>
      </c>
      <c r="B8082">
        <v>800</v>
      </c>
      <c r="C8082" s="9" t="s">
        <v>26</v>
      </c>
      <c r="D8082" s="8">
        <v>0.45</v>
      </c>
    </row>
    <row r="8083" spans="1:4">
      <c r="A8083" t="str">
        <f t="shared" si="133"/>
        <v>800Alpha</v>
      </c>
      <c r="B8083">
        <v>800</v>
      </c>
      <c r="C8083" s="9" t="s">
        <v>23</v>
      </c>
      <c r="D8083" s="8">
        <v>-2.4E-2</v>
      </c>
    </row>
    <row r="8084" spans="1:4">
      <c r="A8084" t="str">
        <f t="shared" si="133"/>
        <v>800Beta</v>
      </c>
      <c r="B8084">
        <v>800</v>
      </c>
      <c r="C8084" s="9" t="s">
        <v>24</v>
      </c>
      <c r="D8084" s="8">
        <v>1.9E-2</v>
      </c>
    </row>
    <row r="8085" spans="1:4">
      <c r="A8085" t="str">
        <f t="shared" si="133"/>
        <v>800Annual Standard Deviation</v>
      </c>
      <c r="B8085">
        <v>800</v>
      </c>
      <c r="C8085" s="9" t="s">
        <v>35</v>
      </c>
      <c r="D8085" s="8">
        <v>3.5000000000000003E-2</v>
      </c>
    </row>
    <row r="8086" spans="1:4">
      <c r="A8086" t="str">
        <f t="shared" si="133"/>
        <v>800Annual Variance</v>
      </c>
      <c r="B8086">
        <v>800</v>
      </c>
      <c r="C8086" s="9" t="s">
        <v>36</v>
      </c>
      <c r="D8086" s="8">
        <v>1E-3</v>
      </c>
    </row>
    <row r="8087" spans="1:4">
      <c r="A8087" t="str">
        <f t="shared" si="133"/>
        <v>800Information Ratio</v>
      </c>
      <c r="B8087">
        <v>800</v>
      </c>
      <c r="C8087" s="9" t="s">
        <v>37</v>
      </c>
      <c r="D8087" s="8">
        <v>-0.99099999999999999</v>
      </c>
    </row>
    <row r="8088" spans="1:4">
      <c r="A8088" t="str">
        <f t="shared" si="133"/>
        <v>800Tracking Error</v>
      </c>
      <c r="B8088">
        <v>800</v>
      </c>
      <c r="C8088" s="9" t="s">
        <v>38</v>
      </c>
      <c r="D8088" s="8">
        <v>7.4999999999999997E-2</v>
      </c>
    </row>
    <row r="8089" spans="1:4">
      <c r="A8089" t="str">
        <f t="shared" si="133"/>
        <v>800Treynor Ratio</v>
      </c>
      <c r="B8089">
        <v>800</v>
      </c>
      <c r="C8089" s="9" t="s">
        <v>39</v>
      </c>
      <c r="D8089" s="8">
        <v>-1.224</v>
      </c>
    </row>
    <row r="8090" spans="1:4">
      <c r="A8090" t="str">
        <f t="shared" si="133"/>
        <v>800Total Fees</v>
      </c>
      <c r="B8090">
        <v>800</v>
      </c>
      <c r="C8090" s="9" t="s">
        <v>40</v>
      </c>
      <c r="D8090" s="8">
        <v>0</v>
      </c>
    </row>
    <row r="8091" spans="1:4">
      <c r="A8091" t="str">
        <f t="shared" si="133"/>
        <v>800Estimated Strategy Capacity</v>
      </c>
      <c r="B8091">
        <v>800</v>
      </c>
      <c r="C8091" s="9" t="s">
        <v>41</v>
      </c>
      <c r="D8091" s="8">
        <v>4700000</v>
      </c>
    </row>
    <row r="8092" spans="1:4">
      <c r="A8092" t="str">
        <f t="shared" si="133"/>
        <v>801PSR</v>
      </c>
      <c r="B8092">
        <v>801</v>
      </c>
      <c r="C8092" s="9" t="s">
        <v>27</v>
      </c>
      <c r="D8092" s="8">
        <v>1.4200000000000001E-2</v>
      </c>
    </row>
    <row r="8093" spans="1:4">
      <c r="A8093" t="str">
        <f t="shared" si="133"/>
        <v>801Sharpe Ratio</v>
      </c>
      <c r="B8093">
        <v>801</v>
      </c>
      <c r="C8093" s="9" t="s">
        <v>1</v>
      </c>
      <c r="D8093" s="8">
        <v>-1.0960000000000001</v>
      </c>
    </row>
    <row r="8094" spans="1:4">
      <c r="A8094" t="str">
        <f t="shared" si="133"/>
        <v>801Total Trades</v>
      </c>
      <c r="B8094">
        <v>801</v>
      </c>
      <c r="C8094" s="9" t="s">
        <v>28</v>
      </c>
      <c r="D8094" s="8">
        <v>632</v>
      </c>
    </row>
    <row r="8095" spans="1:4">
      <c r="A8095" t="str">
        <f t="shared" si="133"/>
        <v>801Average Win</v>
      </c>
      <c r="B8095">
        <v>801</v>
      </c>
      <c r="C8095" s="9" t="s">
        <v>25</v>
      </c>
      <c r="D8095" s="8">
        <v>1.6999999999999999E-3</v>
      </c>
    </row>
    <row r="8096" spans="1:4">
      <c r="A8096" t="str">
        <f t="shared" si="133"/>
        <v>801Average Loss</v>
      </c>
      <c r="B8096">
        <v>801</v>
      </c>
      <c r="C8096" s="9" t="s">
        <v>29</v>
      </c>
      <c r="D8096" s="8">
        <v>-4.3E-3</v>
      </c>
    </row>
    <row r="8097" spans="1:4">
      <c r="A8097" t="str">
        <f t="shared" si="133"/>
        <v>801Compounding Annual Return</v>
      </c>
      <c r="B8097">
        <v>801</v>
      </c>
      <c r="C8097" s="9" t="s">
        <v>30</v>
      </c>
      <c r="D8097" s="8">
        <v>-7.4249999999999997E-2</v>
      </c>
    </row>
    <row r="8098" spans="1:4">
      <c r="A8098" t="str">
        <f t="shared" ref="A8098:A8161" si="134">B8098&amp;C8098</f>
        <v>801Drawdown</v>
      </c>
      <c r="B8098">
        <v>801</v>
      </c>
      <c r="C8098" s="9" t="s">
        <v>8</v>
      </c>
      <c r="D8098" s="8">
        <v>6.8000000000000005E-2</v>
      </c>
    </row>
    <row r="8099" spans="1:4">
      <c r="A8099" t="str">
        <f t="shared" si="134"/>
        <v>801Expectancy</v>
      </c>
      <c r="B8099">
        <v>801</v>
      </c>
      <c r="C8099" s="9" t="s">
        <v>31</v>
      </c>
      <c r="D8099" s="8">
        <v>-0.14799999999999999</v>
      </c>
    </row>
    <row r="8100" spans="1:4">
      <c r="A8100" t="str">
        <f t="shared" si="134"/>
        <v>801Net Profit</v>
      </c>
      <c r="B8100">
        <v>801</v>
      </c>
      <c r="C8100" s="9" t="s">
        <v>32</v>
      </c>
      <c r="D8100" s="8">
        <v>-4.9860000000000002E-2</v>
      </c>
    </row>
    <row r="8101" spans="1:4">
      <c r="A8101" t="str">
        <f t="shared" si="134"/>
        <v>801Loss Rate</v>
      </c>
      <c r="B8101">
        <v>801</v>
      </c>
      <c r="C8101" s="9" t="s">
        <v>33</v>
      </c>
      <c r="D8101" s="8">
        <v>0.38</v>
      </c>
    </row>
    <row r="8102" spans="1:4">
      <c r="A8102" t="str">
        <f t="shared" si="134"/>
        <v>801Win Rate</v>
      </c>
      <c r="B8102">
        <v>801</v>
      </c>
      <c r="C8102" s="9" t="s">
        <v>34</v>
      </c>
      <c r="D8102" s="8">
        <v>0.62</v>
      </c>
    </row>
    <row r="8103" spans="1:4">
      <c r="A8103" t="str">
        <f t="shared" si="134"/>
        <v>801Profit-Loss Ratio</v>
      </c>
      <c r="B8103">
        <v>801</v>
      </c>
      <c r="C8103" s="9" t="s">
        <v>26</v>
      </c>
      <c r="D8103" s="8">
        <v>0.38</v>
      </c>
    </row>
    <row r="8104" spans="1:4">
      <c r="A8104" t="str">
        <f t="shared" si="134"/>
        <v>801Alpha</v>
      </c>
      <c r="B8104">
        <v>801</v>
      </c>
      <c r="C8104" s="9" t="s">
        <v>23</v>
      </c>
      <c r="D8104" s="8">
        <v>-5.2999999999999999E-2</v>
      </c>
    </row>
    <row r="8105" spans="1:4">
      <c r="A8105" t="str">
        <f t="shared" si="134"/>
        <v>801Beta</v>
      </c>
      <c r="B8105">
        <v>801</v>
      </c>
      <c r="C8105" s="9" t="s">
        <v>24</v>
      </c>
      <c r="D8105" s="8">
        <v>4.3999999999999997E-2</v>
      </c>
    </row>
    <row r="8106" spans="1:4">
      <c r="A8106" t="str">
        <f t="shared" si="134"/>
        <v>801Annual Standard Deviation</v>
      </c>
      <c r="B8106">
        <v>801</v>
      </c>
      <c r="C8106" s="9" t="s">
        <v>35</v>
      </c>
      <c r="D8106" s="8">
        <v>4.7E-2</v>
      </c>
    </row>
    <row r="8107" spans="1:4">
      <c r="A8107" t="str">
        <f t="shared" si="134"/>
        <v>801Annual Variance</v>
      </c>
      <c r="B8107">
        <v>801</v>
      </c>
      <c r="C8107" s="9" t="s">
        <v>36</v>
      </c>
      <c r="D8107" s="8">
        <v>2E-3</v>
      </c>
    </row>
    <row r="8108" spans="1:4">
      <c r="A8108" t="str">
        <f t="shared" si="134"/>
        <v>801Information Ratio</v>
      </c>
      <c r="B8108">
        <v>801</v>
      </c>
      <c r="C8108" s="9" t="s">
        <v>37</v>
      </c>
      <c r="D8108" s="8">
        <v>-1.3</v>
      </c>
    </row>
    <row r="8109" spans="1:4">
      <c r="A8109" t="str">
        <f t="shared" si="134"/>
        <v>801Tracking Error</v>
      </c>
      <c r="B8109">
        <v>801</v>
      </c>
      <c r="C8109" s="9" t="s">
        <v>38</v>
      </c>
      <c r="D8109" s="8">
        <v>7.9000000000000001E-2</v>
      </c>
    </row>
    <row r="8110" spans="1:4">
      <c r="A8110" t="str">
        <f t="shared" si="134"/>
        <v>801Treynor Ratio</v>
      </c>
      <c r="B8110">
        <v>801</v>
      </c>
      <c r="C8110" s="9" t="s">
        <v>39</v>
      </c>
      <c r="D8110" s="8">
        <v>-1.149</v>
      </c>
    </row>
    <row r="8111" spans="1:4">
      <c r="A8111" t="str">
        <f t="shared" si="134"/>
        <v>801Total Fees</v>
      </c>
      <c r="B8111">
        <v>801</v>
      </c>
      <c r="C8111" s="9" t="s">
        <v>40</v>
      </c>
      <c r="D8111" s="8">
        <v>0</v>
      </c>
    </row>
    <row r="8112" spans="1:4">
      <c r="A8112" t="str">
        <f t="shared" si="134"/>
        <v>801Estimated Strategy Capacity</v>
      </c>
      <c r="B8112">
        <v>801</v>
      </c>
      <c r="C8112" s="9" t="s">
        <v>41</v>
      </c>
      <c r="D8112" s="8">
        <v>4600000</v>
      </c>
    </row>
    <row r="8113" spans="1:4">
      <c r="A8113" t="str">
        <f t="shared" si="134"/>
        <v>820PSR</v>
      </c>
      <c r="B8113">
        <v>820</v>
      </c>
      <c r="C8113" s="9" t="s">
        <v>27</v>
      </c>
      <c r="D8113" s="8">
        <v>4.5229999999999999E-2</v>
      </c>
    </row>
    <row r="8114" spans="1:4">
      <c r="A8114" t="str">
        <f t="shared" si="134"/>
        <v>820Sharpe Ratio</v>
      </c>
      <c r="B8114">
        <v>820</v>
      </c>
      <c r="C8114" s="9" t="s">
        <v>1</v>
      </c>
      <c r="D8114" s="8">
        <v>-0.69899999999999995</v>
      </c>
    </row>
    <row r="8115" spans="1:4">
      <c r="A8115" t="str">
        <f t="shared" si="134"/>
        <v>820Total Trades</v>
      </c>
      <c r="B8115">
        <v>820</v>
      </c>
      <c r="C8115" s="9" t="s">
        <v>28</v>
      </c>
      <c r="D8115" s="8">
        <v>1789</v>
      </c>
    </row>
    <row r="8116" spans="1:4">
      <c r="A8116" t="str">
        <f t="shared" si="134"/>
        <v>820Average Win</v>
      </c>
      <c r="B8116">
        <v>820</v>
      </c>
      <c r="C8116" s="9" t="s">
        <v>25</v>
      </c>
      <c r="D8116" s="8">
        <v>5.0000000000000001E-4</v>
      </c>
    </row>
    <row r="8117" spans="1:4">
      <c r="A8117" t="str">
        <f t="shared" si="134"/>
        <v>820Average Loss</v>
      </c>
      <c r="B8117">
        <v>820</v>
      </c>
      <c r="C8117" s="9" t="s">
        <v>29</v>
      </c>
      <c r="D8117" s="8">
        <v>-1.2999999999999999E-3</v>
      </c>
    </row>
    <row r="8118" spans="1:4">
      <c r="A8118" t="str">
        <f t="shared" si="134"/>
        <v>820Compounding Annual Return</v>
      </c>
      <c r="B8118">
        <v>820</v>
      </c>
      <c r="C8118" s="9" t="s">
        <v>30</v>
      </c>
      <c r="D8118" s="8">
        <v>-1.797E-2</v>
      </c>
    </row>
    <row r="8119" spans="1:4">
      <c r="A8119" t="str">
        <f t="shared" si="134"/>
        <v>820Drawdown</v>
      </c>
      <c r="B8119">
        <v>820</v>
      </c>
      <c r="C8119" s="9" t="s">
        <v>8</v>
      </c>
      <c r="D8119" s="8">
        <v>2.3E-2</v>
      </c>
    </row>
    <row r="8120" spans="1:4">
      <c r="A8120" t="str">
        <f t="shared" si="134"/>
        <v>820Expectancy</v>
      </c>
      <c r="B8120">
        <v>820</v>
      </c>
      <c r="C8120" s="9" t="s">
        <v>31</v>
      </c>
      <c r="D8120" s="8">
        <v>-8.5000000000000006E-2</v>
      </c>
    </row>
    <row r="8121" spans="1:4">
      <c r="A8121" t="str">
        <f t="shared" si="134"/>
        <v>820Net Profit</v>
      </c>
      <c r="B8121">
        <v>820</v>
      </c>
      <c r="C8121" s="9" t="s">
        <v>32</v>
      </c>
      <c r="D8121" s="8">
        <v>-1.1950000000000001E-2</v>
      </c>
    </row>
    <row r="8122" spans="1:4">
      <c r="A8122" t="str">
        <f t="shared" si="134"/>
        <v>820Loss Rate</v>
      </c>
      <c r="B8122">
        <v>820</v>
      </c>
      <c r="C8122" s="9" t="s">
        <v>33</v>
      </c>
      <c r="D8122" s="8">
        <v>0.33</v>
      </c>
    </row>
    <row r="8123" spans="1:4">
      <c r="A8123" t="str">
        <f t="shared" si="134"/>
        <v>820Win Rate</v>
      </c>
      <c r="B8123">
        <v>820</v>
      </c>
      <c r="C8123" s="9" t="s">
        <v>34</v>
      </c>
      <c r="D8123" s="8">
        <v>0.67</v>
      </c>
    </row>
    <row r="8124" spans="1:4">
      <c r="A8124" t="str">
        <f t="shared" si="134"/>
        <v>820Profit-Loss Ratio</v>
      </c>
      <c r="B8124">
        <v>820</v>
      </c>
      <c r="C8124" s="9" t="s">
        <v>26</v>
      </c>
      <c r="D8124" s="8">
        <v>0.37</v>
      </c>
    </row>
    <row r="8125" spans="1:4">
      <c r="A8125" t="str">
        <f t="shared" si="134"/>
        <v>820Alpha</v>
      </c>
      <c r="B8125">
        <v>820</v>
      </c>
      <c r="C8125" s="9" t="s">
        <v>23</v>
      </c>
      <c r="D8125" s="8">
        <v>-1.2E-2</v>
      </c>
    </row>
    <row r="8126" spans="1:4">
      <c r="A8126" t="str">
        <f t="shared" si="134"/>
        <v>820Beta</v>
      </c>
      <c r="B8126">
        <v>820</v>
      </c>
      <c r="C8126" s="9" t="s">
        <v>24</v>
      </c>
      <c r="D8126" s="8">
        <v>-5.0000000000000001E-3</v>
      </c>
    </row>
    <row r="8127" spans="1:4">
      <c r="A8127" t="str">
        <f t="shared" si="134"/>
        <v>820Annual Standard Deviation</v>
      </c>
      <c r="B8127">
        <v>820</v>
      </c>
      <c r="C8127" s="9" t="s">
        <v>35</v>
      </c>
      <c r="D8127" s="8">
        <v>1.7999999999999999E-2</v>
      </c>
    </row>
    <row r="8128" spans="1:4">
      <c r="A8128" t="str">
        <f t="shared" si="134"/>
        <v>820Annual Variance</v>
      </c>
      <c r="B8128">
        <v>820</v>
      </c>
      <c r="C8128" s="9" t="s">
        <v>36</v>
      </c>
      <c r="D8128" s="8">
        <v>0</v>
      </c>
    </row>
    <row r="8129" spans="1:4">
      <c r="A8129" t="str">
        <f t="shared" si="134"/>
        <v>820Information Ratio</v>
      </c>
      <c r="B8129">
        <v>820</v>
      </c>
      <c r="C8129" s="9" t="s">
        <v>37</v>
      </c>
      <c r="D8129" s="8">
        <v>-0.92100000000000004</v>
      </c>
    </row>
    <row r="8130" spans="1:4">
      <c r="A8130" t="str">
        <f t="shared" si="134"/>
        <v>820Tracking Error</v>
      </c>
      <c r="B8130">
        <v>820</v>
      </c>
      <c r="C8130" s="9" t="s">
        <v>38</v>
      </c>
      <c r="D8130" s="8">
        <v>7.0000000000000007E-2</v>
      </c>
    </row>
    <row r="8131" spans="1:4">
      <c r="A8131" t="str">
        <f t="shared" si="134"/>
        <v>820Treynor Ratio</v>
      </c>
      <c r="B8131">
        <v>820</v>
      </c>
      <c r="C8131" s="9" t="s">
        <v>39</v>
      </c>
      <c r="D8131" s="8">
        <v>2.2639999999999998</v>
      </c>
    </row>
    <row r="8132" spans="1:4">
      <c r="A8132" t="str">
        <f t="shared" si="134"/>
        <v>820Total Fees</v>
      </c>
      <c r="B8132">
        <v>820</v>
      </c>
      <c r="C8132" s="9" t="s">
        <v>40</v>
      </c>
      <c r="D8132" s="8">
        <v>0</v>
      </c>
    </row>
    <row r="8133" spans="1:4">
      <c r="A8133" t="str">
        <f t="shared" si="134"/>
        <v>820Estimated Strategy Capacity</v>
      </c>
      <c r="B8133">
        <v>820</v>
      </c>
      <c r="C8133" s="9" t="s">
        <v>41</v>
      </c>
      <c r="D8133" s="8">
        <v>4700000</v>
      </c>
    </row>
    <row r="8134" spans="1:4">
      <c r="A8134" t="str">
        <f t="shared" si="134"/>
        <v>821PSR</v>
      </c>
      <c r="B8134">
        <v>821</v>
      </c>
      <c r="C8134" s="9" t="s">
        <v>27</v>
      </c>
      <c r="D8134" s="8">
        <v>2.2349999999999998E-2</v>
      </c>
    </row>
    <row r="8135" spans="1:4">
      <c r="A8135" t="str">
        <f t="shared" si="134"/>
        <v>821Sharpe Ratio</v>
      </c>
      <c r="B8135">
        <v>821</v>
      </c>
      <c r="C8135" s="9" t="s">
        <v>1</v>
      </c>
      <c r="D8135" s="8">
        <v>-0.89500000000000002</v>
      </c>
    </row>
    <row r="8136" spans="1:4">
      <c r="A8136" t="str">
        <f t="shared" si="134"/>
        <v>821Total Trades</v>
      </c>
      <c r="B8136">
        <v>821</v>
      </c>
      <c r="C8136" s="9" t="s">
        <v>28</v>
      </c>
      <c r="D8136" s="8">
        <v>1301</v>
      </c>
    </row>
    <row r="8137" spans="1:4">
      <c r="A8137" t="str">
        <f t="shared" si="134"/>
        <v>821Average Win</v>
      </c>
      <c r="B8137">
        <v>821</v>
      </c>
      <c r="C8137" s="9" t="s">
        <v>25</v>
      </c>
      <c r="D8137" s="8">
        <v>1E-3</v>
      </c>
    </row>
    <row r="8138" spans="1:4">
      <c r="A8138" t="str">
        <f t="shared" si="134"/>
        <v>821Average Loss</v>
      </c>
      <c r="B8138">
        <v>821</v>
      </c>
      <c r="C8138" s="9" t="s">
        <v>29</v>
      </c>
      <c r="D8138" s="8">
        <v>-2.7000000000000001E-3</v>
      </c>
    </row>
    <row r="8139" spans="1:4">
      <c r="A8139" t="str">
        <f t="shared" si="134"/>
        <v>821Compounding Annual Return</v>
      </c>
      <c r="B8139">
        <v>821</v>
      </c>
      <c r="C8139" s="9" t="s">
        <v>30</v>
      </c>
      <c r="D8139" s="8">
        <v>-4.2470000000000001E-2</v>
      </c>
    </row>
    <row r="8140" spans="1:4">
      <c r="A8140" t="str">
        <f t="shared" si="134"/>
        <v>821Drawdown</v>
      </c>
      <c r="B8140">
        <v>821</v>
      </c>
      <c r="C8140" s="9" t="s">
        <v>8</v>
      </c>
      <c r="D8140" s="8">
        <v>5.5E-2</v>
      </c>
    </row>
    <row r="8141" spans="1:4">
      <c r="A8141" t="str">
        <f t="shared" si="134"/>
        <v>821Expectancy</v>
      </c>
      <c r="B8141">
        <v>821</v>
      </c>
      <c r="C8141" s="9" t="s">
        <v>31</v>
      </c>
      <c r="D8141" s="8">
        <v>-0.10100000000000001</v>
      </c>
    </row>
    <row r="8142" spans="1:4">
      <c r="A8142" t="str">
        <f t="shared" si="134"/>
        <v>821Net Profit</v>
      </c>
      <c r="B8142">
        <v>821</v>
      </c>
      <c r="C8142" s="9" t="s">
        <v>32</v>
      </c>
      <c r="D8142" s="8">
        <v>-2.836E-2</v>
      </c>
    </row>
    <row r="8143" spans="1:4">
      <c r="A8143" t="str">
        <f t="shared" si="134"/>
        <v>821Loss Rate</v>
      </c>
      <c r="B8143">
        <v>821</v>
      </c>
      <c r="C8143" s="9" t="s">
        <v>33</v>
      </c>
      <c r="D8143" s="8">
        <v>0.34</v>
      </c>
    </row>
    <row r="8144" spans="1:4">
      <c r="A8144" t="str">
        <f t="shared" si="134"/>
        <v>821Win Rate</v>
      </c>
      <c r="B8144">
        <v>821</v>
      </c>
      <c r="C8144" s="9" t="s">
        <v>34</v>
      </c>
      <c r="D8144" s="8">
        <v>0.66</v>
      </c>
    </row>
    <row r="8145" spans="1:4">
      <c r="A8145" t="str">
        <f t="shared" si="134"/>
        <v>821Profit-Loss Ratio</v>
      </c>
      <c r="B8145">
        <v>821</v>
      </c>
      <c r="C8145" s="9" t="s">
        <v>26</v>
      </c>
      <c r="D8145" s="8">
        <v>0.36</v>
      </c>
    </row>
    <row r="8146" spans="1:4">
      <c r="A8146" t="str">
        <f t="shared" si="134"/>
        <v>821Alpha</v>
      </c>
      <c r="B8146">
        <v>821</v>
      </c>
      <c r="C8146" s="9" t="s">
        <v>23</v>
      </c>
      <c r="D8146" s="8">
        <v>-2.9000000000000001E-2</v>
      </c>
    </row>
    <row r="8147" spans="1:4">
      <c r="A8147" t="str">
        <f t="shared" si="134"/>
        <v>821Beta</v>
      </c>
      <c r="B8147">
        <v>821</v>
      </c>
      <c r="C8147" s="9" t="s">
        <v>24</v>
      </c>
      <c r="D8147" s="8">
        <v>4.0000000000000001E-3</v>
      </c>
    </row>
    <row r="8148" spans="1:4">
      <c r="A8148" t="str">
        <f t="shared" si="134"/>
        <v>821Annual Standard Deviation</v>
      </c>
      <c r="B8148">
        <v>821</v>
      </c>
      <c r="C8148" s="9" t="s">
        <v>35</v>
      </c>
      <c r="D8148" s="8">
        <v>3.3000000000000002E-2</v>
      </c>
    </row>
    <row r="8149" spans="1:4">
      <c r="A8149" t="str">
        <f t="shared" si="134"/>
        <v>821Annual Variance</v>
      </c>
      <c r="B8149">
        <v>821</v>
      </c>
      <c r="C8149" s="9" t="s">
        <v>36</v>
      </c>
      <c r="D8149" s="8">
        <v>1E-3</v>
      </c>
    </row>
    <row r="8150" spans="1:4">
      <c r="A8150" t="str">
        <f t="shared" si="134"/>
        <v>821Information Ratio</v>
      </c>
      <c r="B8150">
        <v>821</v>
      </c>
      <c r="C8150" s="9" t="s">
        <v>37</v>
      </c>
      <c r="D8150" s="8">
        <v>-1.08</v>
      </c>
    </row>
    <row r="8151" spans="1:4">
      <c r="A8151" t="str">
        <f t="shared" si="134"/>
        <v>821Tracking Error</v>
      </c>
      <c r="B8151">
        <v>821</v>
      </c>
      <c r="C8151" s="9" t="s">
        <v>38</v>
      </c>
      <c r="D8151" s="8">
        <v>7.4999999999999997E-2</v>
      </c>
    </row>
    <row r="8152" spans="1:4">
      <c r="A8152" t="str">
        <f t="shared" si="134"/>
        <v>821Treynor Ratio</v>
      </c>
      <c r="B8152">
        <v>821</v>
      </c>
      <c r="C8152" s="9" t="s">
        <v>39</v>
      </c>
      <c r="D8152" s="8">
        <v>-7.907</v>
      </c>
    </row>
    <row r="8153" spans="1:4">
      <c r="A8153" t="str">
        <f t="shared" si="134"/>
        <v>821Total Fees</v>
      </c>
      <c r="B8153">
        <v>821</v>
      </c>
      <c r="C8153" s="9" t="s">
        <v>40</v>
      </c>
      <c r="D8153" s="8">
        <v>0</v>
      </c>
    </row>
    <row r="8154" spans="1:4">
      <c r="A8154" t="str">
        <f t="shared" si="134"/>
        <v>821Estimated Strategy Capacity</v>
      </c>
      <c r="B8154">
        <v>821</v>
      </c>
      <c r="C8154" s="9" t="s">
        <v>41</v>
      </c>
      <c r="D8154" s="8">
        <v>5100000</v>
      </c>
    </row>
    <row r="8155" spans="1:4">
      <c r="A8155" t="str">
        <f t="shared" si="134"/>
        <v>822PSR</v>
      </c>
      <c r="B8155">
        <v>822</v>
      </c>
      <c r="C8155" s="9" t="s">
        <v>27</v>
      </c>
      <c r="D8155" s="8">
        <v>0.17019000000000001</v>
      </c>
    </row>
    <row r="8156" spans="1:4">
      <c r="A8156" t="str">
        <f t="shared" si="134"/>
        <v>822Sharpe Ratio</v>
      </c>
      <c r="B8156">
        <v>822</v>
      </c>
      <c r="C8156" s="9" t="s">
        <v>1</v>
      </c>
      <c r="D8156" s="8">
        <v>2.3E-2</v>
      </c>
    </row>
    <row r="8157" spans="1:4">
      <c r="A8157" t="str">
        <f t="shared" si="134"/>
        <v>822Total Trades</v>
      </c>
      <c r="B8157">
        <v>822</v>
      </c>
      <c r="C8157" s="9" t="s">
        <v>28</v>
      </c>
      <c r="D8157" s="8">
        <v>960</v>
      </c>
    </row>
    <row r="8158" spans="1:4">
      <c r="A8158" t="str">
        <f t="shared" si="134"/>
        <v>822Average Win</v>
      </c>
      <c r="B8158">
        <v>822</v>
      </c>
      <c r="C8158" s="9" t="s">
        <v>25</v>
      </c>
      <c r="D8158" s="8">
        <v>1.6999999999999999E-3</v>
      </c>
    </row>
    <row r="8159" spans="1:4">
      <c r="A8159" t="str">
        <f t="shared" si="134"/>
        <v>822Average Loss</v>
      </c>
      <c r="B8159">
        <v>822</v>
      </c>
      <c r="C8159" s="9" t="s">
        <v>29</v>
      </c>
      <c r="D8159" s="8">
        <v>-3.3E-3</v>
      </c>
    </row>
    <row r="8160" spans="1:4">
      <c r="A8160" t="str">
        <f t="shared" si="134"/>
        <v>822Compounding Annual Return</v>
      </c>
      <c r="B8160">
        <v>822</v>
      </c>
      <c r="C8160" s="9" t="s">
        <v>30</v>
      </c>
      <c r="D8160" s="8">
        <v>6.0000000000000002E-5</v>
      </c>
    </row>
    <row r="8161" spans="1:4">
      <c r="A8161" t="str">
        <f t="shared" si="134"/>
        <v>822Drawdown</v>
      </c>
      <c r="B8161">
        <v>822</v>
      </c>
      <c r="C8161" s="9" t="s">
        <v>8</v>
      </c>
      <c r="D8161" s="8">
        <v>5.3999999999999999E-2</v>
      </c>
    </row>
    <row r="8162" spans="1:4">
      <c r="A8162" t="str">
        <f t="shared" ref="A8162:A8225" si="135">B8162&amp;C8162</f>
        <v>822Expectancy</v>
      </c>
      <c r="B8162">
        <v>822</v>
      </c>
      <c r="C8162" s="9" t="s">
        <v>31</v>
      </c>
      <c r="D8162" s="8">
        <v>-3.0000000000000001E-3</v>
      </c>
    </row>
    <row r="8163" spans="1:4">
      <c r="A8163" t="str">
        <f t="shared" si="135"/>
        <v>822Net Profit</v>
      </c>
      <c r="B8163">
        <v>822</v>
      </c>
      <c r="C8163" s="9" t="s">
        <v>32</v>
      </c>
      <c r="D8163" s="8">
        <v>4.0000000000000003E-5</v>
      </c>
    </row>
    <row r="8164" spans="1:4">
      <c r="A8164" t="str">
        <f t="shared" si="135"/>
        <v>822Loss Rate</v>
      </c>
      <c r="B8164">
        <v>822</v>
      </c>
      <c r="C8164" s="9" t="s">
        <v>33</v>
      </c>
      <c r="D8164" s="8">
        <v>0.35</v>
      </c>
    </row>
    <row r="8165" spans="1:4">
      <c r="A8165" t="str">
        <f t="shared" si="135"/>
        <v>822Win Rate</v>
      </c>
      <c r="B8165">
        <v>822</v>
      </c>
      <c r="C8165" s="9" t="s">
        <v>34</v>
      </c>
      <c r="D8165" s="8">
        <v>0.65</v>
      </c>
    </row>
    <row r="8166" spans="1:4">
      <c r="A8166" t="str">
        <f t="shared" si="135"/>
        <v>822Profit-Loss Ratio</v>
      </c>
      <c r="B8166">
        <v>822</v>
      </c>
      <c r="C8166" s="9" t="s">
        <v>26</v>
      </c>
      <c r="D8166" s="8">
        <v>0.52</v>
      </c>
    </row>
    <row r="8167" spans="1:4">
      <c r="A8167" t="str">
        <f t="shared" si="135"/>
        <v>822Alpha</v>
      </c>
      <c r="B8167">
        <v>822</v>
      </c>
      <c r="C8167" s="9" t="s">
        <v>23</v>
      </c>
      <c r="D8167" s="8">
        <v>3.0000000000000001E-3</v>
      </c>
    </row>
    <row r="8168" spans="1:4">
      <c r="A8168" t="str">
        <f t="shared" si="135"/>
        <v>822Beta</v>
      </c>
      <c r="B8168">
        <v>822</v>
      </c>
      <c r="C8168" s="9" t="s">
        <v>24</v>
      </c>
      <c r="D8168" s="8">
        <v>-4.2999999999999997E-2</v>
      </c>
    </row>
    <row r="8169" spans="1:4">
      <c r="A8169" t="str">
        <f t="shared" si="135"/>
        <v>822Annual Standard Deviation</v>
      </c>
      <c r="B8169">
        <v>822</v>
      </c>
      <c r="C8169" s="9" t="s">
        <v>35</v>
      </c>
      <c r="D8169" s="8">
        <v>4.4999999999999998E-2</v>
      </c>
    </row>
    <row r="8170" spans="1:4">
      <c r="A8170" t="str">
        <f t="shared" si="135"/>
        <v>822Annual Variance</v>
      </c>
      <c r="B8170">
        <v>822</v>
      </c>
      <c r="C8170" s="9" t="s">
        <v>36</v>
      </c>
      <c r="D8170" s="8">
        <v>2E-3</v>
      </c>
    </row>
    <row r="8171" spans="1:4">
      <c r="A8171" t="str">
        <f t="shared" si="135"/>
        <v>822Information Ratio</v>
      </c>
      <c r="B8171">
        <v>822</v>
      </c>
      <c r="C8171" s="9" t="s">
        <v>37</v>
      </c>
      <c r="D8171" s="8">
        <v>-0.60499999999999998</v>
      </c>
    </row>
    <row r="8172" spans="1:4">
      <c r="A8172" t="str">
        <f t="shared" si="135"/>
        <v>822Tracking Error</v>
      </c>
      <c r="B8172">
        <v>822</v>
      </c>
      <c r="C8172" s="9" t="s">
        <v>38</v>
      </c>
      <c r="D8172" s="8">
        <v>8.3000000000000004E-2</v>
      </c>
    </row>
    <row r="8173" spans="1:4">
      <c r="A8173" t="str">
        <f t="shared" si="135"/>
        <v>822Treynor Ratio</v>
      </c>
      <c r="B8173">
        <v>822</v>
      </c>
      <c r="C8173" s="9" t="s">
        <v>39</v>
      </c>
      <c r="D8173" s="8">
        <v>-2.4E-2</v>
      </c>
    </row>
    <row r="8174" spans="1:4">
      <c r="A8174" t="str">
        <f t="shared" si="135"/>
        <v>822Total Fees</v>
      </c>
      <c r="B8174">
        <v>822</v>
      </c>
      <c r="C8174" s="9" t="s">
        <v>40</v>
      </c>
      <c r="D8174" s="8">
        <v>0</v>
      </c>
    </row>
    <row r="8175" spans="1:4">
      <c r="A8175" t="str">
        <f t="shared" si="135"/>
        <v>822Estimated Strategy Capacity</v>
      </c>
      <c r="B8175">
        <v>822</v>
      </c>
      <c r="C8175" s="9" t="s">
        <v>41</v>
      </c>
      <c r="D8175" s="8">
        <v>5400000</v>
      </c>
    </row>
    <row r="8176" spans="1:4">
      <c r="A8176" t="str">
        <f t="shared" si="135"/>
        <v>823PSR</v>
      </c>
      <c r="B8176">
        <v>823</v>
      </c>
      <c r="C8176" s="9" t="s">
        <v>27</v>
      </c>
      <c r="D8176" s="8">
        <v>0</v>
      </c>
    </row>
    <row r="8177" spans="1:4">
      <c r="A8177" t="str">
        <f t="shared" si="135"/>
        <v>823Sharpe Ratio</v>
      </c>
      <c r="B8177">
        <v>823</v>
      </c>
      <c r="C8177" s="9" t="s">
        <v>1</v>
      </c>
      <c r="D8177" s="8">
        <v>-2.0299999999999998</v>
      </c>
    </row>
    <row r="8178" spans="1:4">
      <c r="A8178" t="str">
        <f t="shared" si="135"/>
        <v>823Total Trades</v>
      </c>
      <c r="B8178">
        <v>823</v>
      </c>
      <c r="C8178" s="9" t="s">
        <v>28</v>
      </c>
      <c r="D8178" s="8">
        <v>1055</v>
      </c>
    </row>
    <row r="8179" spans="1:4">
      <c r="A8179" t="str">
        <f t="shared" si="135"/>
        <v>823Average Win</v>
      </c>
      <c r="B8179">
        <v>823</v>
      </c>
      <c r="C8179" s="9" t="s">
        <v>25</v>
      </c>
      <c r="D8179" s="8">
        <v>2.9999999999999997E-4</v>
      </c>
    </row>
    <row r="8180" spans="1:4">
      <c r="A8180" t="str">
        <f t="shared" si="135"/>
        <v>823Average Loss</v>
      </c>
      <c r="B8180">
        <v>823</v>
      </c>
      <c r="C8180" s="9" t="s">
        <v>29</v>
      </c>
      <c r="D8180" s="8">
        <v>-1.8E-3</v>
      </c>
    </row>
    <row r="8181" spans="1:4">
      <c r="A8181" t="str">
        <f t="shared" si="135"/>
        <v>823Compounding Annual Return</v>
      </c>
      <c r="B8181">
        <v>823</v>
      </c>
      <c r="C8181" s="9" t="s">
        <v>30</v>
      </c>
      <c r="D8181" s="8">
        <v>-5.5059999999999998E-2</v>
      </c>
    </row>
    <row r="8182" spans="1:4">
      <c r="A8182" t="str">
        <f t="shared" si="135"/>
        <v>823Drawdown</v>
      </c>
      <c r="B8182">
        <v>823</v>
      </c>
      <c r="C8182" s="9" t="s">
        <v>8</v>
      </c>
      <c r="D8182" s="8">
        <v>3.7999999999999999E-2</v>
      </c>
    </row>
    <row r="8183" spans="1:4">
      <c r="A8183" t="str">
        <f t="shared" si="135"/>
        <v>823Expectancy</v>
      </c>
      <c r="B8183">
        <v>823</v>
      </c>
      <c r="C8183" s="9" t="s">
        <v>31</v>
      </c>
      <c r="D8183" s="8">
        <v>-0.27200000000000002</v>
      </c>
    </row>
    <row r="8184" spans="1:4">
      <c r="A8184" t="str">
        <f t="shared" si="135"/>
        <v>823Net Profit</v>
      </c>
      <c r="B8184">
        <v>823</v>
      </c>
      <c r="C8184" s="9" t="s">
        <v>32</v>
      </c>
      <c r="D8184" s="8">
        <v>-3.6850000000000001E-2</v>
      </c>
    </row>
    <row r="8185" spans="1:4">
      <c r="A8185" t="str">
        <f t="shared" si="135"/>
        <v>823Loss Rate</v>
      </c>
      <c r="B8185">
        <v>823</v>
      </c>
      <c r="C8185" s="9" t="s">
        <v>33</v>
      </c>
      <c r="D8185" s="8">
        <v>0.37</v>
      </c>
    </row>
    <row r="8186" spans="1:4">
      <c r="A8186" t="str">
        <f t="shared" si="135"/>
        <v>823Win Rate</v>
      </c>
      <c r="B8186">
        <v>823</v>
      </c>
      <c r="C8186" s="9" t="s">
        <v>34</v>
      </c>
      <c r="D8186" s="8">
        <v>0.63</v>
      </c>
    </row>
    <row r="8187" spans="1:4">
      <c r="A8187" t="str">
        <f t="shared" si="135"/>
        <v>823Profit-Loss Ratio</v>
      </c>
      <c r="B8187">
        <v>823</v>
      </c>
      <c r="C8187" s="9" t="s">
        <v>26</v>
      </c>
      <c r="D8187" s="8">
        <v>0.15</v>
      </c>
    </row>
    <row r="8188" spans="1:4">
      <c r="A8188" t="str">
        <f t="shared" si="135"/>
        <v>823Alpha</v>
      </c>
      <c r="B8188">
        <v>823</v>
      </c>
      <c r="C8188" s="9" t="s">
        <v>23</v>
      </c>
      <c r="D8188" s="8">
        <v>-3.6999999999999998E-2</v>
      </c>
    </row>
    <row r="8189" spans="1:4">
      <c r="A8189" t="str">
        <f t="shared" si="135"/>
        <v>823Beta</v>
      </c>
      <c r="B8189">
        <v>823</v>
      </c>
      <c r="C8189" s="9" t="s">
        <v>24</v>
      </c>
      <c r="D8189" s="8">
        <v>-0.02</v>
      </c>
    </row>
    <row r="8190" spans="1:4">
      <c r="A8190" t="str">
        <f t="shared" si="135"/>
        <v>823Annual Standard Deviation</v>
      </c>
      <c r="B8190">
        <v>823</v>
      </c>
      <c r="C8190" s="9" t="s">
        <v>35</v>
      </c>
      <c r="D8190" s="8">
        <v>1.9E-2</v>
      </c>
    </row>
    <row r="8191" spans="1:4">
      <c r="A8191" t="str">
        <f t="shared" si="135"/>
        <v>823Annual Variance</v>
      </c>
      <c r="B8191">
        <v>823</v>
      </c>
      <c r="C8191" s="9" t="s">
        <v>36</v>
      </c>
      <c r="D8191" s="8">
        <v>0</v>
      </c>
    </row>
    <row r="8192" spans="1:4">
      <c r="A8192" t="str">
        <f t="shared" si="135"/>
        <v>823Information Ratio</v>
      </c>
      <c r="B8192">
        <v>823</v>
      </c>
      <c r="C8192" s="9" t="s">
        <v>37</v>
      </c>
      <c r="D8192" s="8">
        <v>-1.2689999999999999</v>
      </c>
    </row>
    <row r="8193" spans="1:4">
      <c r="A8193" t="str">
        <f t="shared" si="135"/>
        <v>823Tracking Error</v>
      </c>
      <c r="B8193">
        <v>823</v>
      </c>
      <c r="C8193" s="9" t="s">
        <v>38</v>
      </c>
      <c r="D8193" s="8">
        <v>7.0999999999999994E-2</v>
      </c>
    </row>
    <row r="8194" spans="1:4">
      <c r="A8194" t="str">
        <f t="shared" si="135"/>
        <v>823Treynor Ratio</v>
      </c>
      <c r="B8194">
        <v>823</v>
      </c>
      <c r="C8194" s="9" t="s">
        <v>39</v>
      </c>
      <c r="D8194" s="8">
        <v>1.8839999999999999</v>
      </c>
    </row>
    <row r="8195" spans="1:4">
      <c r="A8195" t="str">
        <f t="shared" si="135"/>
        <v>823Total Fees</v>
      </c>
      <c r="B8195">
        <v>823</v>
      </c>
      <c r="C8195" s="9" t="s">
        <v>40</v>
      </c>
      <c r="D8195" s="8">
        <v>0</v>
      </c>
    </row>
    <row r="8196" spans="1:4">
      <c r="A8196" t="str">
        <f t="shared" si="135"/>
        <v>823Estimated Strategy Capacity</v>
      </c>
      <c r="B8196">
        <v>823</v>
      </c>
      <c r="C8196" s="9" t="s">
        <v>41</v>
      </c>
      <c r="D8196" s="8">
        <v>6400000</v>
      </c>
    </row>
    <row r="8197" spans="1:4">
      <c r="A8197" t="str">
        <f t="shared" si="135"/>
        <v>824PSR</v>
      </c>
      <c r="B8197">
        <v>824</v>
      </c>
      <c r="C8197" s="9" t="s">
        <v>27</v>
      </c>
      <c r="D8197" s="8">
        <v>2.6880000000000001E-2</v>
      </c>
    </row>
    <row r="8198" spans="1:4">
      <c r="A8198" t="str">
        <f t="shared" si="135"/>
        <v>824Sharpe Ratio</v>
      </c>
      <c r="B8198">
        <v>824</v>
      </c>
      <c r="C8198" s="9" t="s">
        <v>1</v>
      </c>
      <c r="D8198" s="8">
        <v>-0.82</v>
      </c>
    </row>
    <row r="8199" spans="1:4">
      <c r="A8199" t="str">
        <f t="shared" si="135"/>
        <v>824Total Trades</v>
      </c>
      <c r="B8199">
        <v>824</v>
      </c>
      <c r="C8199" s="9" t="s">
        <v>28</v>
      </c>
      <c r="D8199" s="8">
        <v>777</v>
      </c>
    </row>
    <row r="8200" spans="1:4">
      <c r="A8200" t="str">
        <f t="shared" si="135"/>
        <v>824Average Win</v>
      </c>
      <c r="B8200">
        <v>824</v>
      </c>
      <c r="C8200" s="9" t="s">
        <v>25</v>
      </c>
      <c r="D8200" s="8">
        <v>1.4E-3</v>
      </c>
    </row>
    <row r="8201" spans="1:4">
      <c r="A8201" t="str">
        <f t="shared" si="135"/>
        <v>824Average Loss</v>
      </c>
      <c r="B8201">
        <v>824</v>
      </c>
      <c r="C8201" s="9" t="s">
        <v>29</v>
      </c>
      <c r="D8201" s="8">
        <v>-3.5999999999999999E-3</v>
      </c>
    </row>
    <row r="8202" spans="1:4">
      <c r="A8202" t="str">
        <f t="shared" si="135"/>
        <v>824Compounding Annual Return</v>
      </c>
      <c r="B8202">
        <v>824</v>
      </c>
      <c r="C8202" s="9" t="s">
        <v>30</v>
      </c>
      <c r="D8202" s="8">
        <v>-4.99E-2</v>
      </c>
    </row>
    <row r="8203" spans="1:4">
      <c r="A8203" t="str">
        <f t="shared" si="135"/>
        <v>824Drawdown</v>
      </c>
      <c r="B8203">
        <v>824</v>
      </c>
      <c r="C8203" s="9" t="s">
        <v>8</v>
      </c>
      <c r="D8203" s="8">
        <v>6.5000000000000002E-2</v>
      </c>
    </row>
    <row r="8204" spans="1:4">
      <c r="A8204" t="str">
        <f t="shared" si="135"/>
        <v>824Expectancy</v>
      </c>
      <c r="B8204">
        <v>824</v>
      </c>
      <c r="C8204" s="9" t="s">
        <v>31</v>
      </c>
      <c r="D8204" s="8">
        <v>-0.13200000000000001</v>
      </c>
    </row>
    <row r="8205" spans="1:4">
      <c r="A8205" t="str">
        <f t="shared" si="135"/>
        <v>824Net Profit</v>
      </c>
      <c r="B8205">
        <v>824</v>
      </c>
      <c r="C8205" s="9" t="s">
        <v>32</v>
      </c>
      <c r="D8205" s="8">
        <v>-3.3360000000000001E-2</v>
      </c>
    </row>
    <row r="8206" spans="1:4">
      <c r="A8206" t="str">
        <f t="shared" si="135"/>
        <v>824Loss Rate</v>
      </c>
      <c r="B8206">
        <v>824</v>
      </c>
      <c r="C8206" s="9" t="s">
        <v>33</v>
      </c>
      <c r="D8206" s="8">
        <v>0.38</v>
      </c>
    </row>
    <row r="8207" spans="1:4">
      <c r="A8207" t="str">
        <f t="shared" si="135"/>
        <v>824Win Rate</v>
      </c>
      <c r="B8207">
        <v>824</v>
      </c>
      <c r="C8207" s="9" t="s">
        <v>34</v>
      </c>
      <c r="D8207" s="8">
        <v>0.62</v>
      </c>
    </row>
    <row r="8208" spans="1:4">
      <c r="A8208" t="str">
        <f t="shared" si="135"/>
        <v>824Profit-Loss Ratio</v>
      </c>
      <c r="B8208">
        <v>824</v>
      </c>
      <c r="C8208" s="9" t="s">
        <v>26</v>
      </c>
      <c r="D8208" s="8">
        <v>0.39</v>
      </c>
    </row>
    <row r="8209" spans="1:4">
      <c r="A8209" t="str">
        <f t="shared" si="135"/>
        <v>824Alpha</v>
      </c>
      <c r="B8209">
        <v>824</v>
      </c>
      <c r="C8209" s="9" t="s">
        <v>23</v>
      </c>
      <c r="D8209" s="8">
        <v>-3.4000000000000002E-2</v>
      </c>
    </row>
    <row r="8210" spans="1:4">
      <c r="A8210" t="str">
        <f t="shared" si="135"/>
        <v>824Beta</v>
      </c>
      <c r="B8210">
        <v>824</v>
      </c>
      <c r="C8210" s="9" t="s">
        <v>24</v>
      </c>
      <c r="D8210" s="8">
        <v>-1E-3</v>
      </c>
    </row>
    <row r="8211" spans="1:4">
      <c r="A8211" t="str">
        <f t="shared" si="135"/>
        <v>824Annual Standard Deviation</v>
      </c>
      <c r="B8211">
        <v>824</v>
      </c>
      <c r="C8211" s="9" t="s">
        <v>35</v>
      </c>
      <c r="D8211" s="8">
        <v>4.1000000000000002E-2</v>
      </c>
    </row>
    <row r="8212" spans="1:4">
      <c r="A8212" t="str">
        <f t="shared" si="135"/>
        <v>824Annual Variance</v>
      </c>
      <c r="B8212">
        <v>824</v>
      </c>
      <c r="C8212" s="9" t="s">
        <v>36</v>
      </c>
      <c r="D8212" s="8">
        <v>2E-3</v>
      </c>
    </row>
    <row r="8213" spans="1:4">
      <c r="A8213" t="str">
        <f t="shared" si="135"/>
        <v>824Information Ratio</v>
      </c>
      <c r="B8213">
        <v>824</v>
      </c>
      <c r="C8213" s="9" t="s">
        <v>37</v>
      </c>
      <c r="D8213" s="8">
        <v>-1.08</v>
      </c>
    </row>
    <row r="8214" spans="1:4">
      <c r="A8214" t="str">
        <f t="shared" si="135"/>
        <v>824Tracking Error</v>
      </c>
      <c r="B8214">
        <v>824</v>
      </c>
      <c r="C8214" s="9" t="s">
        <v>38</v>
      </c>
      <c r="D8214" s="8">
        <v>7.9000000000000001E-2</v>
      </c>
    </row>
    <row r="8215" spans="1:4">
      <c r="A8215" t="str">
        <f t="shared" si="135"/>
        <v>824Treynor Ratio</v>
      </c>
      <c r="B8215">
        <v>824</v>
      </c>
      <c r="C8215" s="9" t="s">
        <v>39</v>
      </c>
      <c r="D8215" s="8">
        <v>33.119999999999997</v>
      </c>
    </row>
    <row r="8216" spans="1:4">
      <c r="A8216" t="str">
        <f t="shared" si="135"/>
        <v>824Total Fees</v>
      </c>
      <c r="B8216">
        <v>824</v>
      </c>
      <c r="C8216" s="9" t="s">
        <v>40</v>
      </c>
      <c r="D8216" s="8">
        <v>0</v>
      </c>
    </row>
    <row r="8217" spans="1:4">
      <c r="A8217" t="str">
        <f t="shared" si="135"/>
        <v>824Estimated Strategy Capacity</v>
      </c>
      <c r="B8217">
        <v>824</v>
      </c>
      <c r="C8217" s="9" t="s">
        <v>41</v>
      </c>
      <c r="D8217" s="8">
        <v>7300000</v>
      </c>
    </row>
    <row r="8218" spans="1:4">
      <c r="A8218" t="str">
        <f t="shared" si="135"/>
        <v>825PSR</v>
      </c>
      <c r="B8218">
        <v>825</v>
      </c>
      <c r="C8218" s="9" t="s">
        <v>27</v>
      </c>
      <c r="D8218" s="8">
        <v>0.18390999999999999</v>
      </c>
    </row>
    <row r="8219" spans="1:4">
      <c r="A8219" t="str">
        <f t="shared" si="135"/>
        <v>825Sharpe Ratio</v>
      </c>
      <c r="B8219">
        <v>825</v>
      </c>
      <c r="C8219" s="9" t="s">
        <v>1</v>
      </c>
      <c r="D8219" s="8">
        <v>7.4999999999999997E-2</v>
      </c>
    </row>
    <row r="8220" spans="1:4">
      <c r="A8220" t="str">
        <f t="shared" si="135"/>
        <v>825Total Trades</v>
      </c>
      <c r="B8220">
        <v>825</v>
      </c>
      <c r="C8220" s="9" t="s">
        <v>28</v>
      </c>
      <c r="D8220" s="8">
        <v>581</v>
      </c>
    </row>
    <row r="8221" spans="1:4">
      <c r="A8221" t="str">
        <f t="shared" si="135"/>
        <v>825Average Win</v>
      </c>
      <c r="B8221">
        <v>825</v>
      </c>
      <c r="C8221" s="9" t="s">
        <v>25</v>
      </c>
      <c r="D8221" s="8">
        <v>2.2000000000000001E-3</v>
      </c>
    </row>
    <row r="8222" spans="1:4">
      <c r="A8222" t="str">
        <f t="shared" si="135"/>
        <v>825Average Loss</v>
      </c>
      <c r="B8222">
        <v>825</v>
      </c>
      <c r="C8222" s="9" t="s">
        <v>29</v>
      </c>
      <c r="D8222" s="8">
        <v>-5.0000000000000001E-3</v>
      </c>
    </row>
    <row r="8223" spans="1:4">
      <c r="A8223" t="str">
        <f t="shared" si="135"/>
        <v>825Compounding Annual Return</v>
      </c>
      <c r="B8223">
        <v>825</v>
      </c>
      <c r="C8223" s="9" t="s">
        <v>30</v>
      </c>
      <c r="D8223" s="8">
        <v>3.64E-3</v>
      </c>
    </row>
    <row r="8224" spans="1:4">
      <c r="A8224" t="str">
        <f t="shared" si="135"/>
        <v>825Drawdown</v>
      </c>
      <c r="B8224">
        <v>825</v>
      </c>
      <c r="C8224" s="9" t="s">
        <v>8</v>
      </c>
      <c r="D8224" s="8">
        <v>6.3E-2</v>
      </c>
    </row>
    <row r="8225" spans="1:4">
      <c r="A8225" t="str">
        <f t="shared" si="135"/>
        <v>825Expectancy</v>
      </c>
      <c r="B8225">
        <v>825</v>
      </c>
      <c r="C8225" s="9" t="s">
        <v>31</v>
      </c>
      <c r="D8225" s="8">
        <v>2E-3</v>
      </c>
    </row>
    <row r="8226" spans="1:4">
      <c r="A8226" t="str">
        <f t="shared" ref="A8226:A8289" si="136">B8226&amp;C8226</f>
        <v>825Net Profit</v>
      </c>
      <c r="B8226">
        <v>825</v>
      </c>
      <c r="C8226" s="9" t="s">
        <v>32</v>
      </c>
      <c r="D8226" s="8">
        <v>2.4099999999999998E-3</v>
      </c>
    </row>
    <row r="8227" spans="1:4">
      <c r="A8227" t="str">
        <f t="shared" si="136"/>
        <v>825Loss Rate</v>
      </c>
      <c r="B8227">
        <v>825</v>
      </c>
      <c r="C8227" s="9" t="s">
        <v>33</v>
      </c>
      <c r="D8227" s="8">
        <v>0.31</v>
      </c>
    </row>
    <row r="8228" spans="1:4">
      <c r="A8228" t="str">
        <f t="shared" si="136"/>
        <v>825Win Rate</v>
      </c>
      <c r="B8228">
        <v>825</v>
      </c>
      <c r="C8228" s="9" t="s">
        <v>34</v>
      </c>
      <c r="D8228" s="8">
        <v>0.69</v>
      </c>
    </row>
    <row r="8229" spans="1:4">
      <c r="A8229" t="str">
        <f t="shared" si="136"/>
        <v>825Profit-Loss Ratio</v>
      </c>
      <c r="B8229">
        <v>825</v>
      </c>
      <c r="C8229" s="9" t="s">
        <v>26</v>
      </c>
      <c r="D8229" s="8">
        <v>0.44</v>
      </c>
    </row>
    <row r="8230" spans="1:4">
      <c r="A8230" t="str">
        <f t="shared" si="136"/>
        <v>825Alpha</v>
      </c>
      <c r="B8230">
        <v>825</v>
      </c>
      <c r="C8230" s="9" t="s">
        <v>23</v>
      </c>
      <c r="D8230" s="8">
        <v>1E-3</v>
      </c>
    </row>
    <row r="8231" spans="1:4">
      <c r="A8231" t="str">
        <f t="shared" si="136"/>
        <v>825Beta</v>
      </c>
      <c r="B8231">
        <v>825</v>
      </c>
      <c r="C8231" s="9" t="s">
        <v>24</v>
      </c>
      <c r="D8231" s="8">
        <v>5.7000000000000002E-2</v>
      </c>
    </row>
    <row r="8232" spans="1:4">
      <c r="A8232" t="str">
        <f t="shared" si="136"/>
        <v>825Annual Standard Deviation</v>
      </c>
      <c r="B8232">
        <v>825</v>
      </c>
      <c r="C8232" s="9" t="s">
        <v>35</v>
      </c>
      <c r="D8232" s="8">
        <v>5.0999999999999997E-2</v>
      </c>
    </row>
    <row r="8233" spans="1:4">
      <c r="A8233" t="str">
        <f t="shared" si="136"/>
        <v>825Annual Variance</v>
      </c>
      <c r="B8233">
        <v>825</v>
      </c>
      <c r="C8233" s="9" t="s">
        <v>36</v>
      </c>
      <c r="D8233" s="8">
        <v>3.0000000000000001E-3</v>
      </c>
    </row>
    <row r="8234" spans="1:4">
      <c r="A8234" t="str">
        <f t="shared" si="136"/>
        <v>825Information Ratio</v>
      </c>
      <c r="B8234">
        <v>825</v>
      </c>
      <c r="C8234" s="9" t="s">
        <v>37</v>
      </c>
      <c r="D8234" s="8">
        <v>-0.58599999999999997</v>
      </c>
    </row>
    <row r="8235" spans="1:4">
      <c r="A8235" t="str">
        <f t="shared" si="136"/>
        <v>825Tracking Error</v>
      </c>
      <c r="B8235">
        <v>825</v>
      </c>
      <c r="C8235" s="9" t="s">
        <v>38</v>
      </c>
      <c r="D8235" s="8">
        <v>8.1000000000000003E-2</v>
      </c>
    </row>
    <row r="8236" spans="1:4">
      <c r="A8236" t="str">
        <f t="shared" si="136"/>
        <v>825Treynor Ratio</v>
      </c>
      <c r="B8236">
        <v>825</v>
      </c>
      <c r="C8236" s="9" t="s">
        <v>39</v>
      </c>
      <c r="D8236" s="8">
        <v>6.7000000000000004E-2</v>
      </c>
    </row>
    <row r="8237" spans="1:4">
      <c r="A8237" t="str">
        <f t="shared" si="136"/>
        <v>825Total Fees</v>
      </c>
      <c r="B8237">
        <v>825</v>
      </c>
      <c r="C8237" s="9" t="s">
        <v>40</v>
      </c>
      <c r="D8237" s="8">
        <v>0</v>
      </c>
    </row>
    <row r="8238" spans="1:4">
      <c r="A8238" t="str">
        <f t="shared" si="136"/>
        <v>825Estimated Strategy Capacity</v>
      </c>
      <c r="B8238">
        <v>825</v>
      </c>
      <c r="C8238" s="9" t="s">
        <v>41</v>
      </c>
      <c r="D8238" s="8">
        <v>9100000</v>
      </c>
    </row>
    <row r="8239" spans="1:4">
      <c r="A8239" t="str">
        <f t="shared" si="136"/>
        <v>826PSR</v>
      </c>
      <c r="B8239">
        <v>826</v>
      </c>
      <c r="C8239" s="9" t="s">
        <v>27</v>
      </c>
      <c r="D8239" s="8">
        <v>0.76551999999999998</v>
      </c>
    </row>
    <row r="8240" spans="1:4">
      <c r="A8240" t="str">
        <f t="shared" si="136"/>
        <v>826Sharpe Ratio</v>
      </c>
      <c r="B8240">
        <v>826</v>
      </c>
      <c r="C8240" s="9" t="s">
        <v>1</v>
      </c>
      <c r="D8240" s="8">
        <v>1.67</v>
      </c>
    </row>
    <row r="8241" spans="1:4">
      <c r="A8241" t="str">
        <f t="shared" si="136"/>
        <v>826Total Trades</v>
      </c>
      <c r="B8241">
        <v>826</v>
      </c>
      <c r="C8241" s="9" t="s">
        <v>28</v>
      </c>
      <c r="D8241" s="8">
        <v>880</v>
      </c>
    </row>
    <row r="8242" spans="1:4">
      <c r="A8242" t="str">
        <f t="shared" si="136"/>
        <v>826Average Win</v>
      </c>
      <c r="B8242">
        <v>826</v>
      </c>
      <c r="C8242" s="9" t="s">
        <v>25</v>
      </c>
      <c r="D8242" s="8">
        <v>8.0000000000000004E-4</v>
      </c>
    </row>
    <row r="8243" spans="1:4">
      <c r="A8243" t="str">
        <f t="shared" si="136"/>
        <v>826Average Loss</v>
      </c>
      <c r="B8243">
        <v>826</v>
      </c>
      <c r="C8243" s="9" t="s">
        <v>29</v>
      </c>
      <c r="D8243" s="8">
        <v>-6.9999999999999999E-4</v>
      </c>
    </row>
    <row r="8244" spans="1:4">
      <c r="A8244" t="str">
        <f t="shared" si="136"/>
        <v>826Compounding Annual Return</v>
      </c>
      <c r="B8244">
        <v>826</v>
      </c>
      <c r="C8244" s="9" t="s">
        <v>30</v>
      </c>
      <c r="D8244" s="8">
        <v>2.9780000000000001E-2</v>
      </c>
    </row>
    <row r="8245" spans="1:4">
      <c r="A8245" t="str">
        <f t="shared" si="136"/>
        <v>826Drawdown</v>
      </c>
      <c r="B8245">
        <v>826</v>
      </c>
      <c r="C8245" s="9" t="s">
        <v>8</v>
      </c>
      <c r="D8245" s="8">
        <v>7.0000000000000001E-3</v>
      </c>
    </row>
    <row r="8246" spans="1:4">
      <c r="A8246" t="str">
        <f t="shared" si="136"/>
        <v>826Expectancy</v>
      </c>
      <c r="B8246">
        <v>826</v>
      </c>
      <c r="C8246" s="9" t="s">
        <v>31</v>
      </c>
      <c r="D8246" s="8">
        <v>0.41899999999999998</v>
      </c>
    </row>
    <row r="8247" spans="1:4">
      <c r="A8247" t="str">
        <f t="shared" si="136"/>
        <v>826Net Profit</v>
      </c>
      <c r="B8247">
        <v>826</v>
      </c>
      <c r="C8247" s="9" t="s">
        <v>32</v>
      </c>
      <c r="D8247" s="8">
        <v>1.9640000000000001E-2</v>
      </c>
    </row>
    <row r="8248" spans="1:4">
      <c r="A8248" t="str">
        <f t="shared" si="136"/>
        <v>826Loss Rate</v>
      </c>
      <c r="B8248">
        <v>826</v>
      </c>
      <c r="C8248" s="9" t="s">
        <v>33</v>
      </c>
      <c r="D8248" s="8">
        <v>0.31</v>
      </c>
    </row>
    <row r="8249" spans="1:4">
      <c r="A8249" t="str">
        <f t="shared" si="136"/>
        <v>826Win Rate</v>
      </c>
      <c r="B8249">
        <v>826</v>
      </c>
      <c r="C8249" s="9" t="s">
        <v>34</v>
      </c>
      <c r="D8249" s="8">
        <v>0.69</v>
      </c>
    </row>
    <row r="8250" spans="1:4">
      <c r="A8250" t="str">
        <f t="shared" si="136"/>
        <v>826Profit-Loss Ratio</v>
      </c>
      <c r="B8250">
        <v>826</v>
      </c>
      <c r="C8250" s="9" t="s">
        <v>26</v>
      </c>
      <c r="D8250" s="8">
        <v>1.06</v>
      </c>
    </row>
    <row r="8251" spans="1:4">
      <c r="A8251" t="str">
        <f t="shared" si="136"/>
        <v>826Alpha</v>
      </c>
      <c r="B8251">
        <v>826</v>
      </c>
      <c r="C8251" s="9" t="s">
        <v>23</v>
      </c>
      <c r="D8251" s="8">
        <v>0.02</v>
      </c>
    </row>
    <row r="8252" spans="1:4">
      <c r="A8252" t="str">
        <f t="shared" si="136"/>
        <v>826Beta</v>
      </c>
      <c r="B8252">
        <v>826</v>
      </c>
      <c r="C8252" s="9" t="s">
        <v>24</v>
      </c>
      <c r="D8252" s="8">
        <v>2.1000000000000001E-2</v>
      </c>
    </row>
    <row r="8253" spans="1:4">
      <c r="A8253" t="str">
        <f t="shared" si="136"/>
        <v>826Annual Standard Deviation</v>
      </c>
      <c r="B8253">
        <v>826</v>
      </c>
      <c r="C8253" s="9" t="s">
        <v>35</v>
      </c>
      <c r="D8253" s="8">
        <v>1.2E-2</v>
      </c>
    </row>
    <row r="8254" spans="1:4">
      <c r="A8254" t="str">
        <f t="shared" si="136"/>
        <v>826Annual Variance</v>
      </c>
      <c r="B8254">
        <v>826</v>
      </c>
      <c r="C8254" s="9" t="s">
        <v>36</v>
      </c>
      <c r="D8254" s="8">
        <v>0</v>
      </c>
    </row>
    <row r="8255" spans="1:4">
      <c r="A8255" t="str">
        <f t="shared" si="136"/>
        <v>826Information Ratio</v>
      </c>
      <c r="B8255">
        <v>826</v>
      </c>
      <c r="C8255" s="9" t="s">
        <v>37</v>
      </c>
      <c r="D8255" s="8">
        <v>-0.46</v>
      </c>
    </row>
    <row r="8256" spans="1:4">
      <c r="A8256" t="str">
        <f t="shared" si="136"/>
        <v>826Tracking Error</v>
      </c>
      <c r="B8256">
        <v>826</v>
      </c>
      <c r="C8256" s="9" t="s">
        <v>38</v>
      </c>
      <c r="D8256" s="8">
        <v>6.7000000000000004E-2</v>
      </c>
    </row>
    <row r="8257" spans="1:4">
      <c r="A8257" t="str">
        <f t="shared" si="136"/>
        <v>826Treynor Ratio</v>
      </c>
      <c r="B8257">
        <v>826</v>
      </c>
      <c r="C8257" s="9" t="s">
        <v>39</v>
      </c>
      <c r="D8257" s="8">
        <v>0.96899999999999997</v>
      </c>
    </row>
    <row r="8258" spans="1:4">
      <c r="A8258" t="str">
        <f t="shared" si="136"/>
        <v>826Total Fees</v>
      </c>
      <c r="B8258">
        <v>826</v>
      </c>
      <c r="C8258" s="9" t="s">
        <v>40</v>
      </c>
      <c r="D8258" s="8">
        <v>0</v>
      </c>
    </row>
    <row r="8259" spans="1:4">
      <c r="A8259" t="str">
        <f t="shared" si="136"/>
        <v>826Estimated Strategy Capacity</v>
      </c>
      <c r="B8259">
        <v>826</v>
      </c>
      <c r="C8259" s="9" t="s">
        <v>41</v>
      </c>
      <c r="D8259" s="8">
        <v>34000000</v>
      </c>
    </row>
    <row r="8260" spans="1:4">
      <c r="A8260" t="str">
        <f t="shared" si="136"/>
        <v>827PSR</v>
      </c>
      <c r="B8260">
        <v>827</v>
      </c>
      <c r="C8260" s="9" t="s">
        <v>27</v>
      </c>
      <c r="D8260" s="8">
        <v>0.99136000000000002</v>
      </c>
    </row>
    <row r="8261" spans="1:4">
      <c r="A8261" t="str">
        <f t="shared" si="136"/>
        <v>827Sharpe Ratio</v>
      </c>
      <c r="B8261">
        <v>827</v>
      </c>
      <c r="C8261" s="9" t="s">
        <v>1</v>
      </c>
      <c r="D8261" s="8">
        <v>2.86</v>
      </c>
    </row>
    <row r="8262" spans="1:4">
      <c r="A8262" t="str">
        <f t="shared" si="136"/>
        <v>827Total Trades</v>
      </c>
      <c r="B8262">
        <v>827</v>
      </c>
      <c r="C8262" s="9" t="s">
        <v>28</v>
      </c>
      <c r="D8262" s="8">
        <v>676</v>
      </c>
    </row>
    <row r="8263" spans="1:4">
      <c r="A8263" t="str">
        <f t="shared" si="136"/>
        <v>827Average Win</v>
      </c>
      <c r="B8263">
        <v>827</v>
      </c>
      <c r="C8263" s="9" t="s">
        <v>25</v>
      </c>
      <c r="D8263" s="8">
        <v>3.3E-3</v>
      </c>
    </row>
    <row r="8264" spans="1:4">
      <c r="A8264" t="str">
        <f t="shared" si="136"/>
        <v>827Average Loss</v>
      </c>
      <c r="B8264">
        <v>827</v>
      </c>
      <c r="C8264" s="9" t="s">
        <v>29</v>
      </c>
      <c r="D8264" s="8">
        <v>-1.8E-3</v>
      </c>
    </row>
    <row r="8265" spans="1:4">
      <c r="A8265" t="str">
        <f t="shared" si="136"/>
        <v>827Compounding Annual Return</v>
      </c>
      <c r="B8265">
        <v>827</v>
      </c>
      <c r="C8265" s="9" t="s">
        <v>30</v>
      </c>
      <c r="D8265" s="8">
        <v>0.16496</v>
      </c>
    </row>
    <row r="8266" spans="1:4">
      <c r="A8266" t="str">
        <f t="shared" si="136"/>
        <v>827Drawdown</v>
      </c>
      <c r="B8266">
        <v>827</v>
      </c>
      <c r="C8266" s="9" t="s">
        <v>8</v>
      </c>
      <c r="D8266" s="8">
        <v>1.2E-2</v>
      </c>
    </row>
    <row r="8267" spans="1:4">
      <c r="A8267" t="str">
        <f t="shared" si="136"/>
        <v>827Expectancy</v>
      </c>
      <c r="B8267">
        <v>827</v>
      </c>
      <c r="C8267" s="9" t="s">
        <v>31</v>
      </c>
      <c r="D8267" s="8">
        <v>1.04</v>
      </c>
    </row>
    <row r="8268" spans="1:4">
      <c r="A8268" t="str">
        <f t="shared" si="136"/>
        <v>827Net Profit</v>
      </c>
      <c r="B8268">
        <v>827</v>
      </c>
      <c r="C8268" s="9" t="s">
        <v>32</v>
      </c>
      <c r="D8268" s="8">
        <v>0.10650999999999999</v>
      </c>
    </row>
    <row r="8269" spans="1:4">
      <c r="A8269" t="str">
        <f t="shared" si="136"/>
        <v>827Loss Rate</v>
      </c>
      <c r="B8269">
        <v>827</v>
      </c>
      <c r="C8269" s="9" t="s">
        <v>33</v>
      </c>
      <c r="D8269" s="8">
        <v>0.28999999999999998</v>
      </c>
    </row>
    <row r="8270" spans="1:4">
      <c r="A8270" t="str">
        <f t="shared" si="136"/>
        <v>827Win Rate</v>
      </c>
      <c r="B8270">
        <v>827</v>
      </c>
      <c r="C8270" s="9" t="s">
        <v>34</v>
      </c>
      <c r="D8270" s="8">
        <v>0.71</v>
      </c>
    </row>
    <row r="8271" spans="1:4">
      <c r="A8271" t="str">
        <f t="shared" si="136"/>
        <v>827Profit-Loss Ratio</v>
      </c>
      <c r="B8271">
        <v>827</v>
      </c>
      <c r="C8271" s="9" t="s">
        <v>26</v>
      </c>
      <c r="D8271" s="8">
        <v>1.89</v>
      </c>
    </row>
    <row r="8272" spans="1:4">
      <c r="A8272" t="str">
        <f t="shared" si="136"/>
        <v>827Alpha</v>
      </c>
      <c r="B8272">
        <v>827</v>
      </c>
      <c r="C8272" s="9" t="s">
        <v>23</v>
      </c>
      <c r="D8272" s="8">
        <v>0.109</v>
      </c>
    </row>
    <row r="8273" spans="1:4">
      <c r="A8273" t="str">
        <f t="shared" si="136"/>
        <v>827Beta</v>
      </c>
      <c r="B8273">
        <v>827</v>
      </c>
      <c r="C8273" s="9" t="s">
        <v>24</v>
      </c>
      <c r="D8273" s="8">
        <v>5.8999999999999997E-2</v>
      </c>
    </row>
    <row r="8274" spans="1:4">
      <c r="A8274" t="str">
        <f t="shared" si="136"/>
        <v>827Annual Standard Deviation</v>
      </c>
      <c r="B8274">
        <v>827</v>
      </c>
      <c r="C8274" s="9" t="s">
        <v>35</v>
      </c>
      <c r="D8274" s="8">
        <v>3.9E-2</v>
      </c>
    </row>
    <row r="8275" spans="1:4">
      <c r="A8275" t="str">
        <f t="shared" si="136"/>
        <v>827Annual Variance</v>
      </c>
      <c r="B8275">
        <v>827</v>
      </c>
      <c r="C8275" s="9" t="s">
        <v>36</v>
      </c>
      <c r="D8275" s="8">
        <v>2E-3</v>
      </c>
    </row>
    <row r="8276" spans="1:4">
      <c r="A8276" t="str">
        <f t="shared" si="136"/>
        <v>827Information Ratio</v>
      </c>
      <c r="B8276">
        <v>827</v>
      </c>
      <c r="C8276" s="9" t="s">
        <v>37</v>
      </c>
      <c r="D8276" s="8">
        <v>0.81899999999999995</v>
      </c>
    </row>
    <row r="8277" spans="1:4">
      <c r="A8277" t="str">
        <f t="shared" si="136"/>
        <v>827Tracking Error</v>
      </c>
      <c r="B8277">
        <v>827</v>
      </c>
      <c r="C8277" s="9" t="s">
        <v>38</v>
      </c>
      <c r="D8277" s="8">
        <v>7.4999999999999997E-2</v>
      </c>
    </row>
    <row r="8278" spans="1:4">
      <c r="A8278" t="str">
        <f t="shared" si="136"/>
        <v>827Treynor Ratio</v>
      </c>
      <c r="B8278">
        <v>827</v>
      </c>
      <c r="C8278" s="9" t="s">
        <v>39</v>
      </c>
      <c r="D8278" s="8">
        <v>1.907</v>
      </c>
    </row>
    <row r="8279" spans="1:4">
      <c r="A8279" t="str">
        <f t="shared" si="136"/>
        <v>827Total Fees</v>
      </c>
      <c r="B8279">
        <v>827</v>
      </c>
      <c r="C8279" s="9" t="s">
        <v>40</v>
      </c>
      <c r="D8279" s="8">
        <v>0</v>
      </c>
    </row>
    <row r="8280" spans="1:4">
      <c r="A8280" t="str">
        <f t="shared" si="136"/>
        <v>827Estimated Strategy Capacity</v>
      </c>
      <c r="B8280">
        <v>827</v>
      </c>
      <c r="C8280" s="9" t="s">
        <v>41</v>
      </c>
      <c r="D8280" s="8">
        <v>7700000</v>
      </c>
    </row>
    <row r="8281" spans="1:4">
      <c r="A8281" t="str">
        <f t="shared" si="136"/>
        <v>828PSR</v>
      </c>
      <c r="B8281">
        <v>828</v>
      </c>
      <c r="C8281" s="9" t="s">
        <v>27</v>
      </c>
      <c r="D8281" s="8">
        <v>0.76261000000000001</v>
      </c>
    </row>
    <row r="8282" spans="1:4">
      <c r="A8282" t="str">
        <f t="shared" si="136"/>
        <v>828Sharpe Ratio</v>
      </c>
      <c r="B8282">
        <v>828</v>
      </c>
      <c r="C8282" s="9" t="s">
        <v>1</v>
      </c>
      <c r="D8282" s="8">
        <v>1.78</v>
      </c>
    </row>
    <row r="8283" spans="1:4">
      <c r="A8283" t="str">
        <f t="shared" si="136"/>
        <v>828Total Trades</v>
      </c>
      <c r="B8283">
        <v>828</v>
      </c>
      <c r="C8283" s="9" t="s">
        <v>28</v>
      </c>
      <c r="D8283" s="8">
        <v>501</v>
      </c>
    </row>
    <row r="8284" spans="1:4">
      <c r="A8284" t="str">
        <f t="shared" si="136"/>
        <v>828Average Win</v>
      </c>
      <c r="B8284">
        <v>828</v>
      </c>
      <c r="C8284" s="9" t="s">
        <v>25</v>
      </c>
      <c r="D8284" s="8">
        <v>3.5000000000000001E-3</v>
      </c>
    </row>
    <row r="8285" spans="1:4">
      <c r="A8285" t="str">
        <f t="shared" si="136"/>
        <v>828Average Loss</v>
      </c>
      <c r="B8285">
        <v>828</v>
      </c>
      <c r="C8285" s="9" t="s">
        <v>29</v>
      </c>
      <c r="D8285" s="8">
        <v>-2.5000000000000001E-3</v>
      </c>
    </row>
    <row r="8286" spans="1:4">
      <c r="A8286" t="str">
        <f t="shared" si="136"/>
        <v>828Compounding Annual Return</v>
      </c>
      <c r="B8286">
        <v>828</v>
      </c>
      <c r="C8286" s="9" t="s">
        <v>30</v>
      </c>
      <c r="D8286" s="8">
        <v>0.12395</v>
      </c>
    </row>
    <row r="8287" spans="1:4">
      <c r="A8287" t="str">
        <f t="shared" si="136"/>
        <v>828Drawdown</v>
      </c>
      <c r="B8287">
        <v>828</v>
      </c>
      <c r="C8287" s="9" t="s">
        <v>8</v>
      </c>
      <c r="D8287" s="8">
        <v>2.5999999999999999E-2</v>
      </c>
    </row>
    <row r="8288" spans="1:4">
      <c r="A8288" t="str">
        <f t="shared" si="136"/>
        <v>828Expectancy</v>
      </c>
      <c r="B8288">
        <v>828</v>
      </c>
      <c r="C8288" s="9" t="s">
        <v>31</v>
      </c>
      <c r="D8288" s="8">
        <v>0.60899999999999999</v>
      </c>
    </row>
    <row r="8289" spans="1:4">
      <c r="A8289" t="str">
        <f t="shared" si="136"/>
        <v>828Net Profit</v>
      </c>
      <c r="B8289">
        <v>828</v>
      </c>
      <c r="C8289" s="9" t="s">
        <v>32</v>
      </c>
      <c r="D8289" s="8">
        <v>8.054E-2</v>
      </c>
    </row>
    <row r="8290" spans="1:4">
      <c r="A8290" t="str">
        <f t="shared" ref="A8290:A8353" si="137">B8290&amp;C8290</f>
        <v>828Loss Rate</v>
      </c>
      <c r="B8290">
        <v>828</v>
      </c>
      <c r="C8290" s="9" t="s">
        <v>33</v>
      </c>
      <c r="D8290" s="8">
        <v>0.34</v>
      </c>
    </row>
    <row r="8291" spans="1:4">
      <c r="A8291" t="str">
        <f t="shared" si="137"/>
        <v>828Win Rate</v>
      </c>
      <c r="B8291">
        <v>828</v>
      </c>
      <c r="C8291" s="9" t="s">
        <v>34</v>
      </c>
      <c r="D8291" s="8">
        <v>0.66</v>
      </c>
    </row>
    <row r="8292" spans="1:4">
      <c r="A8292" t="str">
        <f t="shared" si="137"/>
        <v>828Profit-Loss Ratio</v>
      </c>
      <c r="B8292">
        <v>828</v>
      </c>
      <c r="C8292" s="9" t="s">
        <v>26</v>
      </c>
      <c r="D8292" s="8">
        <v>1.43</v>
      </c>
    </row>
    <row r="8293" spans="1:4">
      <c r="A8293" t="str">
        <f t="shared" si="137"/>
        <v>828Alpha</v>
      </c>
      <c r="B8293">
        <v>828</v>
      </c>
      <c r="C8293" s="9" t="s">
        <v>23</v>
      </c>
      <c r="D8293" s="8">
        <v>8.1000000000000003E-2</v>
      </c>
    </row>
    <row r="8294" spans="1:4">
      <c r="A8294" t="str">
        <f t="shared" si="137"/>
        <v>828Beta</v>
      </c>
      <c r="B8294">
        <v>828</v>
      </c>
      <c r="C8294" s="9" t="s">
        <v>24</v>
      </c>
      <c r="D8294" s="8">
        <v>0.09</v>
      </c>
    </row>
    <row r="8295" spans="1:4">
      <c r="A8295" t="str">
        <f t="shared" si="137"/>
        <v>828Annual Standard Deviation</v>
      </c>
      <c r="B8295">
        <v>828</v>
      </c>
      <c r="C8295" s="9" t="s">
        <v>35</v>
      </c>
      <c r="D8295" s="8">
        <v>4.8000000000000001E-2</v>
      </c>
    </row>
    <row r="8296" spans="1:4">
      <c r="A8296" t="str">
        <f t="shared" si="137"/>
        <v>828Annual Variance</v>
      </c>
      <c r="B8296">
        <v>828</v>
      </c>
      <c r="C8296" s="9" t="s">
        <v>36</v>
      </c>
      <c r="D8296" s="8">
        <v>2E-3</v>
      </c>
    </row>
    <row r="8297" spans="1:4">
      <c r="A8297" t="str">
        <f t="shared" si="137"/>
        <v>828Information Ratio</v>
      </c>
      <c r="B8297">
        <v>828</v>
      </c>
      <c r="C8297" s="9" t="s">
        <v>37</v>
      </c>
      <c r="D8297" s="8">
        <v>0.439</v>
      </c>
    </row>
    <row r="8298" spans="1:4">
      <c r="A8298" t="str">
        <f t="shared" si="137"/>
        <v>828Tracking Error</v>
      </c>
      <c r="B8298">
        <v>828</v>
      </c>
      <c r="C8298" s="9" t="s">
        <v>38</v>
      </c>
      <c r="D8298" s="8">
        <v>7.8E-2</v>
      </c>
    </row>
    <row r="8299" spans="1:4">
      <c r="A8299" t="str">
        <f t="shared" si="137"/>
        <v>828Treynor Ratio</v>
      </c>
      <c r="B8299">
        <v>828</v>
      </c>
      <c r="C8299" s="9" t="s">
        <v>39</v>
      </c>
      <c r="D8299" s="8">
        <v>0.95499999999999996</v>
      </c>
    </row>
    <row r="8300" spans="1:4">
      <c r="A8300" t="str">
        <f t="shared" si="137"/>
        <v>828Total Fees</v>
      </c>
      <c r="B8300">
        <v>828</v>
      </c>
      <c r="C8300" s="9" t="s">
        <v>40</v>
      </c>
      <c r="D8300" s="8">
        <v>0</v>
      </c>
    </row>
    <row r="8301" spans="1:4">
      <c r="A8301" t="str">
        <f t="shared" si="137"/>
        <v>828Estimated Strategy Capacity</v>
      </c>
      <c r="B8301">
        <v>828</v>
      </c>
      <c r="C8301" s="9" t="s">
        <v>41</v>
      </c>
      <c r="D8301" s="8">
        <v>6200000</v>
      </c>
    </row>
    <row r="8302" spans="1:4">
      <c r="A8302" t="str">
        <f t="shared" si="137"/>
        <v>847PSR</v>
      </c>
      <c r="B8302">
        <v>847</v>
      </c>
      <c r="C8302" s="9" t="s">
        <v>27</v>
      </c>
      <c r="D8302" s="8">
        <v>5.6899999999999997E-3</v>
      </c>
    </row>
    <row r="8303" spans="1:4">
      <c r="A8303" t="str">
        <f t="shared" si="137"/>
        <v>847Sharpe Ratio</v>
      </c>
      <c r="B8303">
        <v>847</v>
      </c>
      <c r="C8303" s="9" t="s">
        <v>1</v>
      </c>
      <c r="D8303" s="8">
        <v>-1.643</v>
      </c>
    </row>
    <row r="8304" spans="1:4">
      <c r="A8304" t="str">
        <f t="shared" si="137"/>
        <v>847Total Trades</v>
      </c>
      <c r="B8304">
        <v>847</v>
      </c>
      <c r="C8304" s="9" t="s">
        <v>28</v>
      </c>
      <c r="D8304" s="8">
        <v>1913</v>
      </c>
    </row>
    <row r="8305" spans="1:4">
      <c r="A8305" t="str">
        <f t="shared" si="137"/>
        <v>847Average Win</v>
      </c>
      <c r="B8305">
        <v>847</v>
      </c>
      <c r="C8305" s="9" t="s">
        <v>25</v>
      </c>
      <c r="D8305" s="8">
        <v>2.9999999999999997E-4</v>
      </c>
    </row>
    <row r="8306" spans="1:4">
      <c r="A8306" t="str">
        <f t="shared" si="137"/>
        <v>847Average Loss</v>
      </c>
      <c r="B8306">
        <v>847</v>
      </c>
      <c r="C8306" s="9" t="s">
        <v>29</v>
      </c>
      <c r="D8306" s="8">
        <v>-1E-3</v>
      </c>
    </row>
    <row r="8307" spans="1:4">
      <c r="A8307" t="str">
        <f t="shared" si="137"/>
        <v>847Compounding Annual Return</v>
      </c>
      <c r="B8307">
        <v>847</v>
      </c>
      <c r="C8307" s="9" t="s">
        <v>30</v>
      </c>
      <c r="D8307" s="8">
        <v>-3.023E-2</v>
      </c>
    </row>
    <row r="8308" spans="1:4">
      <c r="A8308" t="str">
        <f t="shared" si="137"/>
        <v>847Drawdown</v>
      </c>
      <c r="B8308">
        <v>847</v>
      </c>
      <c r="C8308" s="9" t="s">
        <v>8</v>
      </c>
      <c r="D8308" s="8">
        <v>2.7E-2</v>
      </c>
    </row>
    <row r="8309" spans="1:4">
      <c r="A8309" t="str">
        <f t="shared" si="137"/>
        <v>847Expectancy</v>
      </c>
      <c r="B8309">
        <v>847</v>
      </c>
      <c r="C8309" s="9" t="s">
        <v>31</v>
      </c>
      <c r="D8309" s="8">
        <v>-0.155</v>
      </c>
    </row>
    <row r="8310" spans="1:4">
      <c r="A8310" t="str">
        <f t="shared" si="137"/>
        <v>847Net Profit</v>
      </c>
      <c r="B8310">
        <v>847</v>
      </c>
      <c r="C8310" s="9" t="s">
        <v>32</v>
      </c>
      <c r="D8310" s="8">
        <v>-2.0140000000000002E-2</v>
      </c>
    </row>
    <row r="8311" spans="1:4">
      <c r="A8311" t="str">
        <f t="shared" si="137"/>
        <v>847Loss Rate</v>
      </c>
      <c r="B8311">
        <v>847</v>
      </c>
      <c r="C8311" s="9" t="s">
        <v>33</v>
      </c>
      <c r="D8311" s="8">
        <v>0.38</v>
      </c>
    </row>
    <row r="8312" spans="1:4">
      <c r="A8312" t="str">
        <f t="shared" si="137"/>
        <v>847Win Rate</v>
      </c>
      <c r="B8312">
        <v>847</v>
      </c>
      <c r="C8312" s="9" t="s">
        <v>34</v>
      </c>
      <c r="D8312" s="8">
        <v>0.62</v>
      </c>
    </row>
    <row r="8313" spans="1:4">
      <c r="A8313" t="str">
        <f t="shared" si="137"/>
        <v>847Profit-Loss Ratio</v>
      </c>
      <c r="B8313">
        <v>847</v>
      </c>
      <c r="C8313" s="9" t="s">
        <v>26</v>
      </c>
      <c r="D8313" s="8">
        <v>0.35</v>
      </c>
    </row>
    <row r="8314" spans="1:4">
      <c r="A8314" t="str">
        <f t="shared" si="137"/>
        <v>847Alpha</v>
      </c>
      <c r="B8314">
        <v>847</v>
      </c>
      <c r="C8314" s="9" t="s">
        <v>23</v>
      </c>
      <c r="D8314" s="8">
        <v>-2.4E-2</v>
      </c>
    </row>
    <row r="8315" spans="1:4">
      <c r="A8315" t="str">
        <f t="shared" si="137"/>
        <v>847Beta</v>
      </c>
      <c r="B8315">
        <v>847</v>
      </c>
      <c r="C8315" s="9" t="s">
        <v>24</v>
      </c>
      <c r="D8315" s="8">
        <v>0.05</v>
      </c>
    </row>
    <row r="8316" spans="1:4">
      <c r="A8316" t="str">
        <f t="shared" si="137"/>
        <v>847Annual Standard Deviation</v>
      </c>
      <c r="B8316">
        <v>847</v>
      </c>
      <c r="C8316" s="9" t="s">
        <v>35</v>
      </c>
      <c r="D8316" s="8">
        <v>1.2999999999999999E-2</v>
      </c>
    </row>
    <row r="8317" spans="1:4">
      <c r="A8317" t="str">
        <f t="shared" si="137"/>
        <v>847Annual Variance</v>
      </c>
      <c r="B8317">
        <v>847</v>
      </c>
      <c r="C8317" s="9" t="s">
        <v>36</v>
      </c>
      <c r="D8317" s="8">
        <v>0</v>
      </c>
    </row>
    <row r="8318" spans="1:4">
      <c r="A8318" t="str">
        <f t="shared" si="137"/>
        <v>847Information Ratio</v>
      </c>
      <c r="B8318">
        <v>847</v>
      </c>
      <c r="C8318" s="9" t="s">
        <v>37</v>
      </c>
      <c r="D8318" s="8">
        <v>-1.1220000000000001</v>
      </c>
    </row>
    <row r="8319" spans="1:4">
      <c r="A8319" t="str">
        <f t="shared" si="137"/>
        <v>847Tracking Error</v>
      </c>
      <c r="B8319">
        <v>847</v>
      </c>
      <c r="C8319" s="9" t="s">
        <v>38</v>
      </c>
      <c r="D8319" s="8">
        <v>6.5000000000000002E-2</v>
      </c>
    </row>
    <row r="8320" spans="1:4">
      <c r="A8320" t="str">
        <f t="shared" si="137"/>
        <v>847Treynor Ratio</v>
      </c>
      <c r="B8320">
        <v>847</v>
      </c>
      <c r="C8320" s="9" t="s">
        <v>39</v>
      </c>
      <c r="D8320" s="8">
        <v>-0.42</v>
      </c>
    </row>
    <row r="8321" spans="1:4">
      <c r="A8321" t="str">
        <f t="shared" si="137"/>
        <v>847Total Fees</v>
      </c>
      <c r="B8321">
        <v>847</v>
      </c>
      <c r="C8321" s="9" t="s">
        <v>40</v>
      </c>
      <c r="D8321" s="8">
        <v>0</v>
      </c>
    </row>
    <row r="8322" spans="1:4">
      <c r="A8322" t="str">
        <f t="shared" si="137"/>
        <v>847Estimated Strategy Capacity</v>
      </c>
      <c r="B8322">
        <v>847</v>
      </c>
      <c r="C8322" s="9" t="s">
        <v>41</v>
      </c>
      <c r="D8322" s="8">
        <v>6500000</v>
      </c>
    </row>
    <row r="8323" spans="1:4">
      <c r="A8323" t="str">
        <f t="shared" si="137"/>
        <v>848PSR</v>
      </c>
      <c r="B8323">
        <v>848</v>
      </c>
      <c r="C8323" s="9" t="s">
        <v>27</v>
      </c>
      <c r="D8323" s="8">
        <v>2.7099999999999999E-2</v>
      </c>
    </row>
    <row r="8324" spans="1:4">
      <c r="A8324" t="str">
        <f t="shared" si="137"/>
        <v>848Sharpe Ratio</v>
      </c>
      <c r="B8324">
        <v>848</v>
      </c>
      <c r="C8324" s="9" t="s">
        <v>1</v>
      </c>
      <c r="D8324" s="8">
        <v>-0.89800000000000002</v>
      </c>
    </row>
    <row r="8325" spans="1:4">
      <c r="A8325" t="str">
        <f t="shared" si="137"/>
        <v>848Total Trades</v>
      </c>
      <c r="B8325">
        <v>848</v>
      </c>
      <c r="C8325" s="9" t="s">
        <v>28</v>
      </c>
      <c r="D8325" s="8">
        <v>1414</v>
      </c>
    </row>
    <row r="8326" spans="1:4">
      <c r="A8326" t="str">
        <f t="shared" si="137"/>
        <v>848Average Win</v>
      </c>
      <c r="B8326">
        <v>848</v>
      </c>
      <c r="C8326" s="9" t="s">
        <v>25</v>
      </c>
      <c r="D8326" s="8">
        <v>1E-3</v>
      </c>
    </row>
    <row r="8327" spans="1:4">
      <c r="A8327" t="str">
        <f t="shared" si="137"/>
        <v>848Average Loss</v>
      </c>
      <c r="B8327">
        <v>848</v>
      </c>
      <c r="C8327" s="9" t="s">
        <v>29</v>
      </c>
      <c r="D8327" s="8">
        <v>-2.3999999999999998E-3</v>
      </c>
    </row>
    <row r="8328" spans="1:4">
      <c r="A8328" t="str">
        <f t="shared" si="137"/>
        <v>848Compounding Annual Return</v>
      </c>
      <c r="B8328">
        <v>848</v>
      </c>
      <c r="C8328" s="9" t="s">
        <v>30</v>
      </c>
      <c r="D8328" s="8">
        <v>-4.2380000000000001E-2</v>
      </c>
    </row>
    <row r="8329" spans="1:4">
      <c r="A8329" t="str">
        <f t="shared" si="137"/>
        <v>848Drawdown</v>
      </c>
      <c r="B8329">
        <v>848</v>
      </c>
      <c r="C8329" s="9" t="s">
        <v>8</v>
      </c>
      <c r="D8329" s="8">
        <v>5.1999999999999998E-2</v>
      </c>
    </row>
    <row r="8330" spans="1:4">
      <c r="A8330" t="str">
        <f t="shared" si="137"/>
        <v>848Expectancy</v>
      </c>
      <c r="B8330">
        <v>848</v>
      </c>
      <c r="C8330" s="9" t="s">
        <v>31</v>
      </c>
      <c r="D8330" s="8">
        <v>-0.09</v>
      </c>
    </row>
    <row r="8331" spans="1:4">
      <c r="A8331" t="str">
        <f t="shared" si="137"/>
        <v>848Net Profit</v>
      </c>
      <c r="B8331">
        <v>848</v>
      </c>
      <c r="C8331" s="9" t="s">
        <v>32</v>
      </c>
      <c r="D8331" s="8">
        <v>-2.8299999999999999E-2</v>
      </c>
    </row>
    <row r="8332" spans="1:4">
      <c r="A8332" t="str">
        <f t="shared" si="137"/>
        <v>848Loss Rate</v>
      </c>
      <c r="B8332">
        <v>848</v>
      </c>
      <c r="C8332" s="9" t="s">
        <v>33</v>
      </c>
      <c r="D8332" s="8">
        <v>0.35</v>
      </c>
    </row>
    <row r="8333" spans="1:4">
      <c r="A8333" t="str">
        <f t="shared" si="137"/>
        <v>848Win Rate</v>
      </c>
      <c r="B8333">
        <v>848</v>
      </c>
      <c r="C8333" s="9" t="s">
        <v>34</v>
      </c>
      <c r="D8333" s="8">
        <v>0.65</v>
      </c>
    </row>
    <row r="8334" spans="1:4">
      <c r="A8334" t="str">
        <f t="shared" si="137"/>
        <v>848Profit-Loss Ratio</v>
      </c>
      <c r="B8334">
        <v>848</v>
      </c>
      <c r="C8334" s="9" t="s">
        <v>26</v>
      </c>
      <c r="D8334" s="8">
        <v>0.4</v>
      </c>
    </row>
    <row r="8335" spans="1:4">
      <c r="A8335" t="str">
        <f t="shared" si="137"/>
        <v>848Alpha</v>
      </c>
      <c r="B8335">
        <v>848</v>
      </c>
      <c r="C8335" s="9" t="s">
        <v>23</v>
      </c>
      <c r="D8335" s="8">
        <v>-3.7999999999999999E-2</v>
      </c>
    </row>
    <row r="8336" spans="1:4">
      <c r="A8336" t="str">
        <f t="shared" si="137"/>
        <v>848Beta</v>
      </c>
      <c r="B8336">
        <v>848</v>
      </c>
      <c r="C8336" s="9" t="s">
        <v>24</v>
      </c>
      <c r="D8336" s="8">
        <v>0.17</v>
      </c>
    </row>
    <row r="8337" spans="1:4">
      <c r="A8337" t="str">
        <f t="shared" si="137"/>
        <v>848Annual Standard Deviation</v>
      </c>
      <c r="B8337">
        <v>848</v>
      </c>
      <c r="C8337" s="9" t="s">
        <v>35</v>
      </c>
      <c r="D8337" s="8">
        <v>3.2000000000000001E-2</v>
      </c>
    </row>
    <row r="8338" spans="1:4">
      <c r="A8338" t="str">
        <f t="shared" si="137"/>
        <v>848Annual Variance</v>
      </c>
      <c r="B8338">
        <v>848</v>
      </c>
      <c r="C8338" s="9" t="s">
        <v>36</v>
      </c>
      <c r="D8338" s="8">
        <v>1E-3</v>
      </c>
    </row>
    <row r="8339" spans="1:4">
      <c r="A8339" t="str">
        <f t="shared" si="137"/>
        <v>848Information Ratio</v>
      </c>
      <c r="B8339">
        <v>848</v>
      </c>
      <c r="C8339" s="9" t="s">
        <v>37</v>
      </c>
      <c r="D8339" s="8">
        <v>-1.2669999999999999</v>
      </c>
    </row>
    <row r="8340" spans="1:4">
      <c r="A8340" t="str">
        <f t="shared" si="137"/>
        <v>848Tracking Error</v>
      </c>
      <c r="B8340">
        <v>848</v>
      </c>
      <c r="C8340" s="9" t="s">
        <v>38</v>
      </c>
      <c r="D8340" s="8">
        <v>6.4000000000000001E-2</v>
      </c>
    </row>
    <row r="8341" spans="1:4">
      <c r="A8341" t="str">
        <f t="shared" si="137"/>
        <v>848Treynor Ratio</v>
      </c>
      <c r="B8341">
        <v>848</v>
      </c>
      <c r="C8341" s="9" t="s">
        <v>39</v>
      </c>
      <c r="D8341" s="8">
        <v>-0.17100000000000001</v>
      </c>
    </row>
    <row r="8342" spans="1:4">
      <c r="A8342" t="str">
        <f t="shared" si="137"/>
        <v>848Total Fees</v>
      </c>
      <c r="B8342">
        <v>848</v>
      </c>
      <c r="C8342" s="9" t="s">
        <v>40</v>
      </c>
      <c r="D8342" s="8">
        <v>0</v>
      </c>
    </row>
    <row r="8343" spans="1:4">
      <c r="A8343" t="str">
        <f t="shared" si="137"/>
        <v>848Estimated Strategy Capacity</v>
      </c>
      <c r="B8343">
        <v>848</v>
      </c>
      <c r="C8343" s="9" t="s">
        <v>41</v>
      </c>
      <c r="D8343" s="8">
        <v>6700000</v>
      </c>
    </row>
    <row r="8344" spans="1:4">
      <c r="A8344" t="str">
        <f t="shared" si="137"/>
        <v>849PSR</v>
      </c>
      <c r="B8344">
        <v>849</v>
      </c>
      <c r="C8344" s="9" t="s">
        <v>27</v>
      </c>
      <c r="D8344" s="8">
        <v>0.12424</v>
      </c>
    </row>
    <row r="8345" spans="1:4">
      <c r="A8345" t="str">
        <f t="shared" si="137"/>
        <v>849Sharpe Ratio</v>
      </c>
      <c r="B8345">
        <v>849</v>
      </c>
      <c r="C8345" s="9" t="s">
        <v>1</v>
      </c>
      <c r="D8345" s="8">
        <v>-0.17499999999999999</v>
      </c>
    </row>
    <row r="8346" spans="1:4">
      <c r="A8346" t="str">
        <f t="shared" si="137"/>
        <v>849Total Trades</v>
      </c>
      <c r="B8346">
        <v>849</v>
      </c>
      <c r="C8346" s="9" t="s">
        <v>28</v>
      </c>
      <c r="D8346" s="8">
        <v>1040</v>
      </c>
    </row>
    <row r="8347" spans="1:4">
      <c r="A8347" t="str">
        <f t="shared" si="137"/>
        <v>849Average Win</v>
      </c>
      <c r="B8347">
        <v>849</v>
      </c>
      <c r="C8347" s="9" t="s">
        <v>25</v>
      </c>
      <c r="D8347" s="8">
        <v>1.5E-3</v>
      </c>
    </row>
    <row r="8348" spans="1:4">
      <c r="A8348" t="str">
        <f t="shared" si="137"/>
        <v>849Average Loss</v>
      </c>
      <c r="B8348">
        <v>849</v>
      </c>
      <c r="C8348" s="9" t="s">
        <v>29</v>
      </c>
      <c r="D8348" s="8">
        <v>-2.8999999999999998E-3</v>
      </c>
    </row>
    <row r="8349" spans="1:4">
      <c r="A8349" t="str">
        <f t="shared" si="137"/>
        <v>849Compounding Annual Return</v>
      </c>
      <c r="B8349">
        <v>849</v>
      </c>
      <c r="C8349" s="9" t="s">
        <v>30</v>
      </c>
      <c r="D8349" s="8">
        <v>-1.0999999999999999E-2</v>
      </c>
    </row>
    <row r="8350" spans="1:4">
      <c r="A8350" t="str">
        <f t="shared" si="137"/>
        <v>849Drawdown</v>
      </c>
      <c r="B8350">
        <v>849</v>
      </c>
      <c r="C8350" s="9" t="s">
        <v>8</v>
      </c>
      <c r="D8350" s="8">
        <v>5.8999999999999997E-2</v>
      </c>
    </row>
    <row r="8351" spans="1:4">
      <c r="A8351" t="str">
        <f t="shared" si="137"/>
        <v>849Expectancy</v>
      </c>
      <c r="B8351">
        <v>849</v>
      </c>
      <c r="C8351" s="9" t="s">
        <v>31</v>
      </c>
      <c r="D8351" s="8">
        <v>-1.9E-2</v>
      </c>
    </row>
    <row r="8352" spans="1:4">
      <c r="A8352" t="str">
        <f t="shared" si="137"/>
        <v>849Net Profit</v>
      </c>
      <c r="B8352">
        <v>849</v>
      </c>
      <c r="C8352" s="9" t="s">
        <v>32</v>
      </c>
      <c r="D8352" s="8">
        <v>-7.3099999999999997E-3</v>
      </c>
    </row>
    <row r="8353" spans="1:4">
      <c r="A8353" t="str">
        <f t="shared" si="137"/>
        <v>849Loss Rate</v>
      </c>
      <c r="B8353">
        <v>849</v>
      </c>
      <c r="C8353" s="9" t="s">
        <v>33</v>
      </c>
      <c r="D8353" s="8">
        <v>0.35</v>
      </c>
    </row>
    <row r="8354" spans="1:4">
      <c r="A8354" t="str">
        <f t="shared" ref="A8354:A8417" si="138">B8354&amp;C8354</f>
        <v>849Win Rate</v>
      </c>
      <c r="B8354">
        <v>849</v>
      </c>
      <c r="C8354" s="9" t="s">
        <v>34</v>
      </c>
      <c r="D8354" s="8">
        <v>0.65</v>
      </c>
    </row>
    <row r="8355" spans="1:4">
      <c r="A8355" t="str">
        <f t="shared" si="138"/>
        <v>849Profit-Loss Ratio</v>
      </c>
      <c r="B8355">
        <v>849</v>
      </c>
      <c r="C8355" s="9" t="s">
        <v>26</v>
      </c>
      <c r="D8355" s="8">
        <v>0.51</v>
      </c>
    </row>
    <row r="8356" spans="1:4">
      <c r="A8356" t="str">
        <f t="shared" si="138"/>
        <v>849Alpha</v>
      </c>
      <c r="B8356">
        <v>849</v>
      </c>
      <c r="C8356" s="9" t="s">
        <v>23</v>
      </c>
      <c r="D8356" s="8">
        <v>-1.9E-2</v>
      </c>
    </row>
    <row r="8357" spans="1:4">
      <c r="A8357" t="str">
        <f t="shared" si="138"/>
        <v>849Beta</v>
      </c>
      <c r="B8357">
        <v>849</v>
      </c>
      <c r="C8357" s="9" t="s">
        <v>24</v>
      </c>
      <c r="D8357" s="8">
        <v>0.22600000000000001</v>
      </c>
    </row>
    <row r="8358" spans="1:4">
      <c r="A8358" t="str">
        <f t="shared" si="138"/>
        <v>849Annual Standard Deviation</v>
      </c>
      <c r="B8358">
        <v>849</v>
      </c>
      <c r="C8358" s="9" t="s">
        <v>35</v>
      </c>
      <c r="D8358" s="8">
        <v>3.9E-2</v>
      </c>
    </row>
    <row r="8359" spans="1:4">
      <c r="A8359" t="str">
        <f t="shared" si="138"/>
        <v>849Annual Variance</v>
      </c>
      <c r="B8359">
        <v>849</v>
      </c>
      <c r="C8359" s="9" t="s">
        <v>36</v>
      </c>
      <c r="D8359" s="8">
        <v>2E-3</v>
      </c>
    </row>
    <row r="8360" spans="1:4">
      <c r="A8360" t="str">
        <f t="shared" si="138"/>
        <v>849Information Ratio</v>
      </c>
      <c r="B8360">
        <v>849</v>
      </c>
      <c r="C8360" s="9" t="s">
        <v>37</v>
      </c>
      <c r="D8360" s="8">
        <v>-0.92800000000000005</v>
      </c>
    </row>
    <row r="8361" spans="1:4">
      <c r="A8361" t="str">
        <f t="shared" si="138"/>
        <v>849Tracking Error</v>
      </c>
      <c r="B8361">
        <v>849</v>
      </c>
      <c r="C8361" s="9" t="s">
        <v>38</v>
      </c>
      <c r="D8361" s="8">
        <v>6.4000000000000001E-2</v>
      </c>
    </row>
    <row r="8362" spans="1:4">
      <c r="A8362" t="str">
        <f t="shared" si="138"/>
        <v>849Treynor Ratio</v>
      </c>
      <c r="B8362">
        <v>849</v>
      </c>
      <c r="C8362" s="9" t="s">
        <v>39</v>
      </c>
      <c r="D8362" s="8">
        <v>-0.03</v>
      </c>
    </row>
    <row r="8363" spans="1:4">
      <c r="A8363" t="str">
        <f t="shared" si="138"/>
        <v>849Total Fees</v>
      </c>
      <c r="B8363">
        <v>849</v>
      </c>
      <c r="C8363" s="9" t="s">
        <v>40</v>
      </c>
      <c r="D8363" s="8">
        <v>0</v>
      </c>
    </row>
    <row r="8364" spans="1:4">
      <c r="A8364" t="str">
        <f t="shared" si="138"/>
        <v>849Estimated Strategy Capacity</v>
      </c>
      <c r="B8364">
        <v>849</v>
      </c>
      <c r="C8364" s="9" t="s">
        <v>41</v>
      </c>
      <c r="D8364" s="8">
        <v>7000000</v>
      </c>
    </row>
    <row r="8365" spans="1:4">
      <c r="A8365" t="str">
        <f t="shared" si="138"/>
        <v>850PSR</v>
      </c>
      <c r="B8365">
        <v>850</v>
      </c>
      <c r="C8365" s="9" t="s">
        <v>27</v>
      </c>
      <c r="D8365" s="8">
        <v>4.1110000000000001E-2</v>
      </c>
    </row>
    <row r="8366" spans="1:4">
      <c r="A8366" t="str">
        <f t="shared" si="138"/>
        <v>850Sharpe Ratio</v>
      </c>
      <c r="B8366">
        <v>850</v>
      </c>
      <c r="C8366" s="9" t="s">
        <v>1</v>
      </c>
      <c r="D8366" s="8">
        <v>-0.746</v>
      </c>
    </row>
    <row r="8367" spans="1:4">
      <c r="A8367" t="str">
        <f t="shared" si="138"/>
        <v>850Total Trades</v>
      </c>
      <c r="B8367">
        <v>850</v>
      </c>
      <c r="C8367" s="9" t="s">
        <v>28</v>
      </c>
      <c r="D8367" s="8">
        <v>1228</v>
      </c>
    </row>
    <row r="8368" spans="1:4">
      <c r="A8368" t="str">
        <f t="shared" si="138"/>
        <v>850Average Win</v>
      </c>
      <c r="B8368">
        <v>850</v>
      </c>
      <c r="C8368" s="9" t="s">
        <v>25</v>
      </c>
      <c r="D8368" s="8">
        <v>4.0000000000000002E-4</v>
      </c>
    </row>
    <row r="8369" spans="1:4">
      <c r="A8369" t="str">
        <f t="shared" si="138"/>
        <v>850Average Loss</v>
      </c>
      <c r="B8369">
        <v>850</v>
      </c>
      <c r="C8369" s="9" t="s">
        <v>29</v>
      </c>
      <c r="D8369" s="8">
        <v>-1.1000000000000001E-3</v>
      </c>
    </row>
    <row r="8370" spans="1:4">
      <c r="A8370" t="str">
        <f t="shared" si="138"/>
        <v>850Compounding Annual Return</v>
      </c>
      <c r="B8370">
        <v>850</v>
      </c>
      <c r="C8370" s="9" t="s">
        <v>30</v>
      </c>
      <c r="D8370" s="8">
        <v>-1.285E-2</v>
      </c>
    </row>
    <row r="8371" spans="1:4">
      <c r="A8371" t="str">
        <f t="shared" si="138"/>
        <v>850Drawdown</v>
      </c>
      <c r="B8371">
        <v>850</v>
      </c>
      <c r="C8371" s="9" t="s">
        <v>8</v>
      </c>
      <c r="D8371" s="8">
        <v>1.4E-2</v>
      </c>
    </row>
    <row r="8372" spans="1:4">
      <c r="A8372" t="str">
        <f t="shared" si="138"/>
        <v>850Expectancy</v>
      </c>
      <c r="B8372">
        <v>850</v>
      </c>
      <c r="C8372" s="9" t="s">
        <v>31</v>
      </c>
      <c r="D8372" s="8">
        <v>-8.1000000000000003E-2</v>
      </c>
    </row>
    <row r="8373" spans="1:4">
      <c r="A8373" t="str">
        <f t="shared" si="138"/>
        <v>850Net Profit</v>
      </c>
      <c r="B8373">
        <v>850</v>
      </c>
      <c r="C8373" s="9" t="s">
        <v>32</v>
      </c>
      <c r="D8373" s="8">
        <v>-8.5400000000000007E-3</v>
      </c>
    </row>
    <row r="8374" spans="1:4">
      <c r="A8374" t="str">
        <f t="shared" si="138"/>
        <v>850Loss Rate</v>
      </c>
      <c r="B8374">
        <v>850</v>
      </c>
      <c r="C8374" s="9" t="s">
        <v>33</v>
      </c>
      <c r="D8374" s="8">
        <v>0.33</v>
      </c>
    </row>
    <row r="8375" spans="1:4">
      <c r="A8375" t="str">
        <f t="shared" si="138"/>
        <v>850Win Rate</v>
      </c>
      <c r="B8375">
        <v>850</v>
      </c>
      <c r="C8375" s="9" t="s">
        <v>34</v>
      </c>
      <c r="D8375" s="8">
        <v>0.67</v>
      </c>
    </row>
    <row r="8376" spans="1:4">
      <c r="A8376" t="str">
        <f t="shared" si="138"/>
        <v>850Profit-Loss Ratio</v>
      </c>
      <c r="B8376">
        <v>850</v>
      </c>
      <c r="C8376" s="9" t="s">
        <v>26</v>
      </c>
      <c r="D8376" s="8">
        <v>0.36</v>
      </c>
    </row>
    <row r="8377" spans="1:4">
      <c r="A8377" t="str">
        <f t="shared" si="138"/>
        <v>850Alpha</v>
      </c>
      <c r="B8377">
        <v>850</v>
      </c>
      <c r="C8377" s="9" t="s">
        <v>23</v>
      </c>
      <c r="D8377" s="8">
        <v>-1.0999999999999999E-2</v>
      </c>
    </row>
    <row r="8378" spans="1:4">
      <c r="A8378" t="str">
        <f t="shared" si="138"/>
        <v>850Beta</v>
      </c>
      <c r="B8378">
        <v>850</v>
      </c>
      <c r="C8378" s="9" t="s">
        <v>24</v>
      </c>
      <c r="D8378" s="8">
        <v>3.6999999999999998E-2</v>
      </c>
    </row>
    <row r="8379" spans="1:4">
      <c r="A8379" t="str">
        <f t="shared" si="138"/>
        <v>850Annual Standard Deviation</v>
      </c>
      <c r="B8379">
        <v>850</v>
      </c>
      <c r="C8379" s="9" t="s">
        <v>35</v>
      </c>
      <c r="D8379" s="8">
        <v>1.2E-2</v>
      </c>
    </row>
    <row r="8380" spans="1:4">
      <c r="A8380" t="str">
        <f t="shared" si="138"/>
        <v>850Annual Variance</v>
      </c>
      <c r="B8380">
        <v>850</v>
      </c>
      <c r="C8380" s="9" t="s">
        <v>36</v>
      </c>
      <c r="D8380" s="8">
        <v>0</v>
      </c>
    </row>
    <row r="8381" spans="1:4">
      <c r="A8381" t="str">
        <f t="shared" si="138"/>
        <v>850Information Ratio</v>
      </c>
      <c r="B8381">
        <v>850</v>
      </c>
      <c r="C8381" s="9" t="s">
        <v>37</v>
      </c>
      <c r="D8381" s="8">
        <v>-0.92500000000000004</v>
      </c>
    </row>
    <row r="8382" spans="1:4">
      <c r="A8382" t="str">
        <f t="shared" si="138"/>
        <v>850Tracking Error</v>
      </c>
      <c r="B8382">
        <v>850</v>
      </c>
      <c r="C8382" s="9" t="s">
        <v>38</v>
      </c>
      <c r="D8382" s="8">
        <v>6.6000000000000003E-2</v>
      </c>
    </row>
    <row r="8383" spans="1:4">
      <c r="A8383" t="str">
        <f t="shared" si="138"/>
        <v>850Treynor Ratio</v>
      </c>
      <c r="B8383">
        <v>850</v>
      </c>
      <c r="C8383" s="9" t="s">
        <v>39</v>
      </c>
      <c r="D8383" s="8">
        <v>-0.24</v>
      </c>
    </row>
    <row r="8384" spans="1:4">
      <c r="A8384" t="str">
        <f t="shared" si="138"/>
        <v>850Total Fees</v>
      </c>
      <c r="B8384">
        <v>850</v>
      </c>
      <c r="C8384" s="9" t="s">
        <v>40</v>
      </c>
      <c r="D8384" s="8">
        <v>0</v>
      </c>
    </row>
    <row r="8385" spans="1:4">
      <c r="A8385" t="str">
        <f t="shared" si="138"/>
        <v>850Estimated Strategy Capacity</v>
      </c>
      <c r="B8385">
        <v>850</v>
      </c>
      <c r="C8385" s="9" t="s">
        <v>41</v>
      </c>
      <c r="D8385" s="8">
        <v>6800000</v>
      </c>
    </row>
    <row r="8386" spans="1:4">
      <c r="A8386" t="str">
        <f t="shared" si="138"/>
        <v>851PSR</v>
      </c>
      <c r="B8386">
        <v>851</v>
      </c>
      <c r="C8386" s="9" t="s">
        <v>27</v>
      </c>
      <c r="D8386" s="8">
        <v>0.11477999999999999</v>
      </c>
    </row>
    <row r="8387" spans="1:4">
      <c r="A8387" t="str">
        <f t="shared" si="138"/>
        <v>851Sharpe Ratio</v>
      </c>
      <c r="B8387">
        <v>851</v>
      </c>
      <c r="C8387" s="9" t="s">
        <v>1</v>
      </c>
      <c r="D8387" s="8">
        <v>-0.223</v>
      </c>
    </row>
    <row r="8388" spans="1:4">
      <c r="A8388" t="str">
        <f t="shared" si="138"/>
        <v>851Total Trades</v>
      </c>
      <c r="B8388">
        <v>851</v>
      </c>
      <c r="C8388" s="9" t="s">
        <v>28</v>
      </c>
      <c r="D8388" s="8">
        <v>910</v>
      </c>
    </row>
    <row r="8389" spans="1:4">
      <c r="A8389" t="str">
        <f t="shared" si="138"/>
        <v>851Average Win</v>
      </c>
      <c r="B8389">
        <v>851</v>
      </c>
      <c r="C8389" s="9" t="s">
        <v>25</v>
      </c>
      <c r="D8389" s="8">
        <v>1.2999999999999999E-3</v>
      </c>
    </row>
    <row r="8390" spans="1:4">
      <c r="A8390" t="str">
        <f t="shared" si="138"/>
        <v>851Average Loss</v>
      </c>
      <c r="B8390">
        <v>851</v>
      </c>
      <c r="C8390" s="9" t="s">
        <v>29</v>
      </c>
      <c r="D8390" s="8">
        <v>-2.8E-3</v>
      </c>
    </row>
    <row r="8391" spans="1:4">
      <c r="A8391" t="str">
        <f t="shared" si="138"/>
        <v>851Compounding Annual Return</v>
      </c>
      <c r="B8391">
        <v>851</v>
      </c>
      <c r="C8391" s="9" t="s">
        <v>30</v>
      </c>
      <c r="D8391" s="8">
        <v>-9.1000000000000004E-3</v>
      </c>
    </row>
    <row r="8392" spans="1:4">
      <c r="A8392" t="str">
        <f t="shared" si="138"/>
        <v>851Drawdown</v>
      </c>
      <c r="B8392">
        <v>851</v>
      </c>
      <c r="C8392" s="9" t="s">
        <v>8</v>
      </c>
      <c r="D8392" s="8">
        <v>4.2000000000000003E-2</v>
      </c>
    </row>
    <row r="8393" spans="1:4">
      <c r="A8393" t="str">
        <f t="shared" si="138"/>
        <v>851Expectancy</v>
      </c>
      <c r="B8393">
        <v>851</v>
      </c>
      <c r="C8393" s="9" t="s">
        <v>31</v>
      </c>
      <c r="D8393" s="8">
        <v>-2.3E-2</v>
      </c>
    </row>
    <row r="8394" spans="1:4">
      <c r="A8394" t="str">
        <f t="shared" si="138"/>
        <v>851Net Profit</v>
      </c>
      <c r="B8394">
        <v>851</v>
      </c>
      <c r="C8394" s="9" t="s">
        <v>32</v>
      </c>
      <c r="D8394" s="8">
        <v>-6.0400000000000002E-3</v>
      </c>
    </row>
    <row r="8395" spans="1:4">
      <c r="A8395" t="str">
        <f t="shared" si="138"/>
        <v>851Loss Rate</v>
      </c>
      <c r="B8395">
        <v>851</v>
      </c>
      <c r="C8395" s="9" t="s">
        <v>33</v>
      </c>
      <c r="D8395" s="8">
        <v>0.33</v>
      </c>
    </row>
    <row r="8396" spans="1:4">
      <c r="A8396" t="str">
        <f t="shared" si="138"/>
        <v>851Win Rate</v>
      </c>
      <c r="B8396">
        <v>851</v>
      </c>
      <c r="C8396" s="9" t="s">
        <v>34</v>
      </c>
      <c r="D8396" s="8">
        <v>0.67</v>
      </c>
    </row>
    <row r="8397" spans="1:4">
      <c r="A8397" t="str">
        <f t="shared" si="138"/>
        <v>851Profit-Loss Ratio</v>
      </c>
      <c r="B8397">
        <v>851</v>
      </c>
      <c r="C8397" s="9" t="s">
        <v>26</v>
      </c>
      <c r="D8397" s="8">
        <v>0.47</v>
      </c>
    </row>
    <row r="8398" spans="1:4">
      <c r="A8398" t="str">
        <f t="shared" si="138"/>
        <v>851Alpha</v>
      </c>
      <c r="B8398">
        <v>851</v>
      </c>
      <c r="C8398" s="9" t="s">
        <v>23</v>
      </c>
      <c r="D8398" s="8">
        <v>-1.2999999999999999E-2</v>
      </c>
    </row>
    <row r="8399" spans="1:4">
      <c r="A8399" t="str">
        <f t="shared" si="138"/>
        <v>851Beta</v>
      </c>
      <c r="B8399">
        <v>851</v>
      </c>
      <c r="C8399" s="9" t="s">
        <v>24</v>
      </c>
      <c r="D8399" s="8">
        <v>0.13200000000000001</v>
      </c>
    </row>
    <row r="8400" spans="1:4">
      <c r="A8400" t="str">
        <f t="shared" si="138"/>
        <v>851Annual Standard Deviation</v>
      </c>
      <c r="B8400">
        <v>851</v>
      </c>
      <c r="C8400" s="9" t="s">
        <v>35</v>
      </c>
      <c r="D8400" s="8">
        <v>2.7E-2</v>
      </c>
    </row>
    <row r="8401" spans="1:4">
      <c r="A8401" t="str">
        <f t="shared" si="138"/>
        <v>851Annual Variance</v>
      </c>
      <c r="B8401">
        <v>851</v>
      </c>
      <c r="C8401" s="9" t="s">
        <v>36</v>
      </c>
      <c r="D8401" s="8">
        <v>1E-3</v>
      </c>
    </row>
    <row r="8402" spans="1:4">
      <c r="A8402" t="str">
        <f t="shared" si="138"/>
        <v>851Information Ratio</v>
      </c>
      <c r="B8402">
        <v>851</v>
      </c>
      <c r="C8402" s="9" t="s">
        <v>37</v>
      </c>
      <c r="D8402" s="8">
        <v>-0.90200000000000002</v>
      </c>
    </row>
    <row r="8403" spans="1:4">
      <c r="A8403" t="str">
        <f t="shared" si="138"/>
        <v>851Tracking Error</v>
      </c>
      <c r="B8403">
        <v>851</v>
      </c>
      <c r="C8403" s="9" t="s">
        <v>38</v>
      </c>
      <c r="D8403" s="8">
        <v>6.4000000000000001E-2</v>
      </c>
    </row>
    <row r="8404" spans="1:4">
      <c r="A8404" t="str">
        <f t="shared" si="138"/>
        <v>851Treynor Ratio</v>
      </c>
      <c r="B8404">
        <v>851</v>
      </c>
      <c r="C8404" s="9" t="s">
        <v>39</v>
      </c>
      <c r="D8404" s="8">
        <v>-4.4999999999999998E-2</v>
      </c>
    </row>
    <row r="8405" spans="1:4">
      <c r="A8405" t="str">
        <f t="shared" si="138"/>
        <v>851Total Fees</v>
      </c>
      <c r="B8405">
        <v>851</v>
      </c>
      <c r="C8405" s="9" t="s">
        <v>40</v>
      </c>
      <c r="D8405" s="8">
        <v>0</v>
      </c>
    </row>
    <row r="8406" spans="1:4">
      <c r="A8406" t="str">
        <f t="shared" si="138"/>
        <v>851Estimated Strategy Capacity</v>
      </c>
      <c r="B8406">
        <v>851</v>
      </c>
      <c r="C8406" s="9" t="s">
        <v>41</v>
      </c>
      <c r="D8406" s="8">
        <v>7200000</v>
      </c>
    </row>
    <row r="8407" spans="1:4">
      <c r="A8407" t="str">
        <f t="shared" si="138"/>
        <v>852PSR</v>
      </c>
      <c r="B8407">
        <v>852</v>
      </c>
      <c r="C8407" s="9" t="s">
        <v>27</v>
      </c>
      <c r="D8407" s="8">
        <v>5.7660000000000003E-2</v>
      </c>
    </row>
    <row r="8408" spans="1:4">
      <c r="A8408" t="str">
        <f t="shared" si="138"/>
        <v>852Sharpe Ratio</v>
      </c>
      <c r="B8408">
        <v>852</v>
      </c>
      <c r="C8408" s="9" t="s">
        <v>1</v>
      </c>
      <c r="D8408" s="8">
        <v>-0.57599999999999996</v>
      </c>
    </row>
    <row r="8409" spans="1:4">
      <c r="A8409" t="str">
        <f t="shared" si="138"/>
        <v>852Total Trades</v>
      </c>
      <c r="B8409">
        <v>852</v>
      </c>
      <c r="C8409" s="9" t="s">
        <v>28</v>
      </c>
      <c r="D8409" s="8">
        <v>660</v>
      </c>
    </row>
    <row r="8410" spans="1:4">
      <c r="A8410" t="str">
        <f t="shared" si="138"/>
        <v>852Average Win</v>
      </c>
      <c r="B8410">
        <v>852</v>
      </c>
      <c r="C8410" s="9" t="s">
        <v>25</v>
      </c>
      <c r="D8410" s="8">
        <v>1.6000000000000001E-3</v>
      </c>
    </row>
    <row r="8411" spans="1:4">
      <c r="A8411" t="str">
        <f t="shared" si="138"/>
        <v>852Average Loss</v>
      </c>
      <c r="B8411">
        <v>852</v>
      </c>
      <c r="C8411" s="9" t="s">
        <v>29</v>
      </c>
      <c r="D8411" s="8">
        <v>-3.8E-3</v>
      </c>
    </row>
    <row r="8412" spans="1:4">
      <c r="A8412" t="str">
        <f t="shared" si="138"/>
        <v>852Compounding Annual Return</v>
      </c>
      <c r="B8412">
        <v>852</v>
      </c>
      <c r="C8412" s="9" t="s">
        <v>30</v>
      </c>
      <c r="D8412" s="8">
        <v>-2.963E-2</v>
      </c>
    </row>
    <row r="8413" spans="1:4">
      <c r="A8413" t="str">
        <f t="shared" si="138"/>
        <v>852Drawdown</v>
      </c>
      <c r="B8413">
        <v>852</v>
      </c>
      <c r="C8413" s="9" t="s">
        <v>8</v>
      </c>
      <c r="D8413" s="8">
        <v>5.0999999999999997E-2</v>
      </c>
    </row>
    <row r="8414" spans="1:4">
      <c r="A8414" t="str">
        <f t="shared" si="138"/>
        <v>852Expectancy</v>
      </c>
      <c r="B8414">
        <v>852</v>
      </c>
      <c r="C8414" s="9" t="s">
        <v>31</v>
      </c>
      <c r="D8414" s="8">
        <v>-6.5000000000000002E-2</v>
      </c>
    </row>
    <row r="8415" spans="1:4">
      <c r="A8415" t="str">
        <f t="shared" si="138"/>
        <v>852Net Profit</v>
      </c>
      <c r="B8415">
        <v>852</v>
      </c>
      <c r="C8415" s="9" t="s">
        <v>32</v>
      </c>
      <c r="D8415" s="8">
        <v>-1.9740000000000001E-2</v>
      </c>
    </row>
    <row r="8416" spans="1:4">
      <c r="A8416" t="str">
        <f t="shared" si="138"/>
        <v>852Loss Rate</v>
      </c>
      <c r="B8416">
        <v>852</v>
      </c>
      <c r="C8416" s="9" t="s">
        <v>33</v>
      </c>
      <c r="D8416" s="8">
        <v>0.35</v>
      </c>
    </row>
    <row r="8417" spans="1:4">
      <c r="A8417" t="str">
        <f t="shared" si="138"/>
        <v>852Win Rate</v>
      </c>
      <c r="B8417">
        <v>852</v>
      </c>
      <c r="C8417" s="9" t="s">
        <v>34</v>
      </c>
      <c r="D8417" s="8">
        <v>0.65</v>
      </c>
    </row>
    <row r="8418" spans="1:4">
      <c r="A8418" t="str">
        <f t="shared" ref="A8418:A8481" si="139">B8418&amp;C8418</f>
        <v>852Profit-Loss Ratio</v>
      </c>
      <c r="B8418">
        <v>852</v>
      </c>
      <c r="C8418" s="9" t="s">
        <v>26</v>
      </c>
      <c r="D8418" s="8">
        <v>0.43</v>
      </c>
    </row>
    <row r="8419" spans="1:4">
      <c r="A8419" t="str">
        <f t="shared" si="139"/>
        <v>852Alpha</v>
      </c>
      <c r="B8419">
        <v>852</v>
      </c>
      <c r="C8419" s="9" t="s">
        <v>23</v>
      </c>
      <c r="D8419" s="8">
        <v>-0.03</v>
      </c>
    </row>
    <row r="8420" spans="1:4">
      <c r="A8420" t="str">
        <f t="shared" si="139"/>
        <v>852Beta</v>
      </c>
      <c r="B8420">
        <v>852</v>
      </c>
      <c r="C8420" s="9" t="s">
        <v>24</v>
      </c>
      <c r="D8420" s="8">
        <v>0.193</v>
      </c>
    </row>
    <row r="8421" spans="1:4">
      <c r="A8421" t="str">
        <f t="shared" si="139"/>
        <v>852Annual Standard Deviation</v>
      </c>
      <c r="B8421">
        <v>852</v>
      </c>
      <c r="C8421" s="9" t="s">
        <v>35</v>
      </c>
      <c r="D8421" s="8">
        <v>3.5000000000000003E-2</v>
      </c>
    </row>
    <row r="8422" spans="1:4">
      <c r="A8422" t="str">
        <f t="shared" si="139"/>
        <v>852Annual Variance</v>
      </c>
      <c r="B8422">
        <v>852</v>
      </c>
      <c r="C8422" s="9" t="s">
        <v>36</v>
      </c>
      <c r="D8422" s="8">
        <v>1E-3</v>
      </c>
    </row>
    <row r="8423" spans="1:4">
      <c r="A8423" t="str">
        <f t="shared" si="139"/>
        <v>852Information Ratio</v>
      </c>
      <c r="B8423">
        <v>852</v>
      </c>
      <c r="C8423" s="9" t="s">
        <v>37</v>
      </c>
      <c r="D8423" s="8">
        <v>-1.131</v>
      </c>
    </row>
    <row r="8424" spans="1:4">
      <c r="A8424" t="str">
        <f t="shared" si="139"/>
        <v>852Tracking Error</v>
      </c>
      <c r="B8424">
        <v>852</v>
      </c>
      <c r="C8424" s="9" t="s">
        <v>38</v>
      </c>
      <c r="D8424" s="8">
        <v>6.3E-2</v>
      </c>
    </row>
    <row r="8425" spans="1:4">
      <c r="A8425" t="str">
        <f t="shared" si="139"/>
        <v>852Treynor Ratio</v>
      </c>
      <c r="B8425">
        <v>852</v>
      </c>
      <c r="C8425" s="9" t="s">
        <v>39</v>
      </c>
      <c r="D8425" s="8">
        <v>-0.104</v>
      </c>
    </row>
    <row r="8426" spans="1:4">
      <c r="A8426" t="str">
        <f t="shared" si="139"/>
        <v>852Total Fees</v>
      </c>
      <c r="B8426">
        <v>852</v>
      </c>
      <c r="C8426" s="9" t="s">
        <v>40</v>
      </c>
      <c r="D8426" s="8">
        <v>0</v>
      </c>
    </row>
    <row r="8427" spans="1:4">
      <c r="A8427" t="str">
        <f t="shared" si="139"/>
        <v>852Estimated Strategy Capacity</v>
      </c>
      <c r="B8427">
        <v>852</v>
      </c>
      <c r="C8427" s="9" t="s">
        <v>41</v>
      </c>
      <c r="D8427" s="8">
        <v>7600000</v>
      </c>
    </row>
    <row r="8428" spans="1:4">
      <c r="A8428" t="str">
        <f t="shared" si="139"/>
        <v>853PSR</v>
      </c>
      <c r="B8428">
        <v>853</v>
      </c>
      <c r="C8428" s="9" t="s">
        <v>27</v>
      </c>
      <c r="D8428" s="8">
        <v>0.29550999999999999</v>
      </c>
    </row>
    <row r="8429" spans="1:4">
      <c r="A8429" t="str">
        <f t="shared" si="139"/>
        <v>853Sharpe Ratio</v>
      </c>
      <c r="B8429">
        <v>853</v>
      </c>
      <c r="C8429" s="9" t="s">
        <v>1</v>
      </c>
      <c r="D8429" s="8">
        <v>0.47399999999999998</v>
      </c>
    </row>
    <row r="8430" spans="1:4">
      <c r="A8430" t="str">
        <f t="shared" si="139"/>
        <v>853Total Trades</v>
      </c>
      <c r="B8430">
        <v>853</v>
      </c>
      <c r="C8430" s="9" t="s">
        <v>28</v>
      </c>
      <c r="D8430" s="8">
        <v>879</v>
      </c>
    </row>
    <row r="8431" spans="1:4">
      <c r="A8431" t="str">
        <f t="shared" si="139"/>
        <v>853Average Win</v>
      </c>
      <c r="B8431">
        <v>853</v>
      </c>
      <c r="C8431" s="9" t="s">
        <v>25</v>
      </c>
      <c r="D8431" s="8">
        <v>5.0000000000000001E-4</v>
      </c>
    </row>
    <row r="8432" spans="1:4">
      <c r="A8432" t="str">
        <f t="shared" si="139"/>
        <v>853Average Loss</v>
      </c>
      <c r="B8432">
        <v>853</v>
      </c>
      <c r="C8432" s="9" t="s">
        <v>29</v>
      </c>
      <c r="D8432" s="8">
        <v>-8.0000000000000004E-4</v>
      </c>
    </row>
    <row r="8433" spans="1:4">
      <c r="A8433" t="str">
        <f t="shared" si="139"/>
        <v>853Compounding Annual Return</v>
      </c>
      <c r="B8433">
        <v>853</v>
      </c>
      <c r="C8433" s="9" t="s">
        <v>30</v>
      </c>
      <c r="D8433" s="8">
        <v>8.3800000000000003E-3</v>
      </c>
    </row>
    <row r="8434" spans="1:4">
      <c r="A8434" t="str">
        <f t="shared" si="139"/>
        <v>853Drawdown</v>
      </c>
      <c r="B8434">
        <v>853</v>
      </c>
      <c r="C8434" s="9" t="s">
        <v>8</v>
      </c>
      <c r="D8434" s="8">
        <v>1.7000000000000001E-2</v>
      </c>
    </row>
    <row r="8435" spans="1:4">
      <c r="A8435" t="str">
        <f t="shared" si="139"/>
        <v>853Expectancy</v>
      </c>
      <c r="B8435">
        <v>853</v>
      </c>
      <c r="C8435" s="9" t="s">
        <v>31</v>
      </c>
      <c r="D8435" s="8">
        <v>9.0999999999999998E-2</v>
      </c>
    </row>
    <row r="8436" spans="1:4">
      <c r="A8436" t="str">
        <f t="shared" si="139"/>
        <v>853Net Profit</v>
      </c>
      <c r="B8436">
        <v>853</v>
      </c>
      <c r="C8436" s="9" t="s">
        <v>32</v>
      </c>
      <c r="D8436" s="8">
        <v>5.5399999999999998E-3</v>
      </c>
    </row>
    <row r="8437" spans="1:4">
      <c r="A8437" t="str">
        <f t="shared" si="139"/>
        <v>853Loss Rate</v>
      </c>
      <c r="B8437">
        <v>853</v>
      </c>
      <c r="C8437" s="9" t="s">
        <v>33</v>
      </c>
      <c r="D8437" s="8">
        <v>0.33</v>
      </c>
    </row>
    <row r="8438" spans="1:4">
      <c r="A8438" t="str">
        <f t="shared" si="139"/>
        <v>853Win Rate</v>
      </c>
      <c r="B8438">
        <v>853</v>
      </c>
      <c r="C8438" s="9" t="s">
        <v>34</v>
      </c>
      <c r="D8438" s="8">
        <v>0.67</v>
      </c>
    </row>
    <row r="8439" spans="1:4">
      <c r="A8439" t="str">
        <f t="shared" si="139"/>
        <v>853Profit-Loss Ratio</v>
      </c>
      <c r="B8439">
        <v>853</v>
      </c>
      <c r="C8439" s="9" t="s">
        <v>26</v>
      </c>
      <c r="D8439" s="8">
        <v>0.64</v>
      </c>
    </row>
    <row r="8440" spans="1:4">
      <c r="A8440" t="str">
        <f t="shared" si="139"/>
        <v>853Alpha</v>
      </c>
      <c r="B8440">
        <v>853</v>
      </c>
      <c r="C8440" s="9" t="s">
        <v>23</v>
      </c>
      <c r="D8440" s="8">
        <v>4.0000000000000001E-3</v>
      </c>
    </row>
    <row r="8441" spans="1:4">
      <c r="A8441" t="str">
        <f t="shared" si="139"/>
        <v>853Beta</v>
      </c>
      <c r="B8441">
        <v>853</v>
      </c>
      <c r="C8441" s="9" t="s">
        <v>24</v>
      </c>
      <c r="D8441" s="8">
        <v>3.3000000000000002E-2</v>
      </c>
    </row>
    <row r="8442" spans="1:4">
      <c r="A8442" t="str">
        <f t="shared" si="139"/>
        <v>853Annual Standard Deviation</v>
      </c>
      <c r="B8442">
        <v>853</v>
      </c>
      <c r="C8442" s="9" t="s">
        <v>35</v>
      </c>
      <c r="D8442" s="8">
        <v>1.2E-2</v>
      </c>
    </row>
    <row r="8443" spans="1:4">
      <c r="A8443" t="str">
        <f t="shared" si="139"/>
        <v>853Annual Variance</v>
      </c>
      <c r="B8443">
        <v>853</v>
      </c>
      <c r="C8443" s="9" t="s">
        <v>36</v>
      </c>
      <c r="D8443" s="8">
        <v>0</v>
      </c>
    </row>
    <row r="8444" spans="1:4">
      <c r="A8444" t="str">
        <f t="shared" si="139"/>
        <v>853Information Ratio</v>
      </c>
      <c r="B8444">
        <v>853</v>
      </c>
      <c r="C8444" s="9" t="s">
        <v>37</v>
      </c>
      <c r="D8444" s="8">
        <v>-0.69799999999999995</v>
      </c>
    </row>
    <row r="8445" spans="1:4">
      <c r="A8445" t="str">
        <f t="shared" si="139"/>
        <v>853Tracking Error</v>
      </c>
      <c r="B8445">
        <v>853</v>
      </c>
      <c r="C8445" s="9" t="s">
        <v>38</v>
      </c>
      <c r="D8445" s="8">
        <v>6.6000000000000003E-2</v>
      </c>
    </row>
    <row r="8446" spans="1:4">
      <c r="A8446" t="str">
        <f t="shared" si="139"/>
        <v>853Treynor Ratio</v>
      </c>
      <c r="B8446">
        <v>853</v>
      </c>
      <c r="C8446" s="9" t="s">
        <v>39</v>
      </c>
      <c r="D8446" s="8">
        <v>0.17699999999999999</v>
      </c>
    </row>
    <row r="8447" spans="1:4">
      <c r="A8447" t="str">
        <f t="shared" si="139"/>
        <v>853Total Fees</v>
      </c>
      <c r="B8447">
        <v>853</v>
      </c>
      <c r="C8447" s="9" t="s">
        <v>40</v>
      </c>
      <c r="D8447" s="8">
        <v>0</v>
      </c>
    </row>
    <row r="8448" spans="1:4">
      <c r="A8448" t="str">
        <f t="shared" si="139"/>
        <v>853Estimated Strategy Capacity</v>
      </c>
      <c r="B8448">
        <v>853</v>
      </c>
      <c r="C8448" s="9" t="s">
        <v>41</v>
      </c>
      <c r="D8448" s="8">
        <v>180000000</v>
      </c>
    </row>
    <row r="8449" spans="1:4">
      <c r="A8449" t="str">
        <f t="shared" si="139"/>
        <v>854PSR</v>
      </c>
      <c r="B8449">
        <v>854</v>
      </c>
      <c r="C8449" s="9" t="s">
        <v>27</v>
      </c>
      <c r="D8449" s="8">
        <v>0.32758999999999999</v>
      </c>
    </row>
    <row r="8450" spans="1:4">
      <c r="A8450" t="str">
        <f t="shared" si="139"/>
        <v>854Sharpe Ratio</v>
      </c>
      <c r="B8450">
        <v>854</v>
      </c>
      <c r="C8450" s="9" t="s">
        <v>1</v>
      </c>
      <c r="D8450" s="8">
        <v>0.54400000000000004</v>
      </c>
    </row>
    <row r="8451" spans="1:4">
      <c r="A8451" t="str">
        <f t="shared" si="139"/>
        <v>854Total Trades</v>
      </c>
      <c r="B8451">
        <v>854</v>
      </c>
      <c r="C8451" s="9" t="s">
        <v>28</v>
      </c>
      <c r="D8451" s="8">
        <v>687</v>
      </c>
    </row>
    <row r="8452" spans="1:4">
      <c r="A8452" t="str">
        <f t="shared" si="139"/>
        <v>854Average Win</v>
      </c>
      <c r="B8452">
        <v>854</v>
      </c>
      <c r="C8452" s="9" t="s">
        <v>25</v>
      </c>
      <c r="D8452" s="8">
        <v>1.2999999999999999E-3</v>
      </c>
    </row>
    <row r="8453" spans="1:4">
      <c r="A8453" t="str">
        <f t="shared" si="139"/>
        <v>854Average Loss</v>
      </c>
      <c r="B8453">
        <v>854</v>
      </c>
      <c r="C8453" s="9" t="s">
        <v>29</v>
      </c>
      <c r="D8453" s="8">
        <v>-2.0999999999999999E-3</v>
      </c>
    </row>
    <row r="8454" spans="1:4">
      <c r="A8454" t="str">
        <f t="shared" si="139"/>
        <v>854Compounding Annual Return</v>
      </c>
      <c r="B8454">
        <v>854</v>
      </c>
      <c r="C8454" s="9" t="s">
        <v>30</v>
      </c>
      <c r="D8454" s="8">
        <v>2.0029999999999999E-2</v>
      </c>
    </row>
    <row r="8455" spans="1:4">
      <c r="A8455" t="str">
        <f t="shared" si="139"/>
        <v>854Drawdown</v>
      </c>
      <c r="B8455">
        <v>854</v>
      </c>
      <c r="C8455" s="9" t="s">
        <v>8</v>
      </c>
      <c r="D8455" s="8">
        <v>0.04</v>
      </c>
    </row>
    <row r="8456" spans="1:4">
      <c r="A8456" t="str">
        <f t="shared" si="139"/>
        <v>854Expectancy</v>
      </c>
      <c r="B8456">
        <v>854</v>
      </c>
      <c r="C8456" s="9" t="s">
        <v>31</v>
      </c>
      <c r="D8456" s="8">
        <v>8.5999999999999993E-2</v>
      </c>
    </row>
    <row r="8457" spans="1:4">
      <c r="A8457" t="str">
        <f t="shared" si="139"/>
        <v>854Net Profit</v>
      </c>
      <c r="B8457">
        <v>854</v>
      </c>
      <c r="C8457" s="9" t="s">
        <v>32</v>
      </c>
      <c r="D8457" s="8">
        <v>1.323E-2</v>
      </c>
    </row>
    <row r="8458" spans="1:4">
      <c r="A8458" t="str">
        <f t="shared" si="139"/>
        <v>854Loss Rate</v>
      </c>
      <c r="B8458">
        <v>854</v>
      </c>
      <c r="C8458" s="9" t="s">
        <v>33</v>
      </c>
      <c r="D8458" s="8">
        <v>0.32</v>
      </c>
    </row>
    <row r="8459" spans="1:4">
      <c r="A8459" t="str">
        <f t="shared" si="139"/>
        <v>854Win Rate</v>
      </c>
      <c r="B8459">
        <v>854</v>
      </c>
      <c r="C8459" s="9" t="s">
        <v>34</v>
      </c>
      <c r="D8459" s="8">
        <v>0.68</v>
      </c>
    </row>
    <row r="8460" spans="1:4">
      <c r="A8460" t="str">
        <f t="shared" si="139"/>
        <v>854Profit-Loss Ratio</v>
      </c>
      <c r="B8460">
        <v>854</v>
      </c>
      <c r="C8460" s="9" t="s">
        <v>26</v>
      </c>
      <c r="D8460" s="8">
        <v>0.6</v>
      </c>
    </row>
    <row r="8461" spans="1:4">
      <c r="A8461" t="str">
        <f t="shared" si="139"/>
        <v>854Alpha</v>
      </c>
      <c r="B8461">
        <v>854</v>
      </c>
      <c r="C8461" s="9" t="s">
        <v>23</v>
      </c>
      <c r="D8461" s="8">
        <v>8.0000000000000002E-3</v>
      </c>
    </row>
    <row r="8462" spans="1:4">
      <c r="A8462" t="str">
        <f t="shared" si="139"/>
        <v>854Beta</v>
      </c>
      <c r="B8462">
        <v>854</v>
      </c>
      <c r="C8462" s="9" t="s">
        <v>24</v>
      </c>
      <c r="D8462" s="8">
        <v>0.11899999999999999</v>
      </c>
    </row>
    <row r="8463" spans="1:4">
      <c r="A8463" t="str">
        <f t="shared" si="139"/>
        <v>854Annual Standard Deviation</v>
      </c>
      <c r="B8463">
        <v>854</v>
      </c>
      <c r="C8463" s="9" t="s">
        <v>35</v>
      </c>
      <c r="D8463" s="8">
        <v>2.5999999999999999E-2</v>
      </c>
    </row>
    <row r="8464" spans="1:4">
      <c r="A8464" t="str">
        <f t="shared" si="139"/>
        <v>854Annual Variance</v>
      </c>
      <c r="B8464">
        <v>854</v>
      </c>
      <c r="C8464" s="9" t="s">
        <v>36</v>
      </c>
      <c r="D8464" s="8">
        <v>1E-3</v>
      </c>
    </row>
    <row r="8465" spans="1:4">
      <c r="A8465" t="str">
        <f t="shared" si="139"/>
        <v>854Information Ratio</v>
      </c>
      <c r="B8465">
        <v>854</v>
      </c>
      <c r="C8465" s="9" t="s">
        <v>37</v>
      </c>
      <c r="D8465" s="8">
        <v>-0.59</v>
      </c>
    </row>
    <row r="8466" spans="1:4">
      <c r="A8466" t="str">
        <f t="shared" si="139"/>
        <v>854Tracking Error</v>
      </c>
      <c r="B8466">
        <v>854</v>
      </c>
      <c r="C8466" s="9" t="s">
        <v>38</v>
      </c>
      <c r="D8466" s="8">
        <v>6.4000000000000001E-2</v>
      </c>
    </row>
    <row r="8467" spans="1:4">
      <c r="A8467" t="str">
        <f t="shared" si="139"/>
        <v>854Treynor Ratio</v>
      </c>
      <c r="B8467">
        <v>854</v>
      </c>
      <c r="C8467" s="9" t="s">
        <v>39</v>
      </c>
      <c r="D8467" s="8">
        <v>0.11899999999999999</v>
      </c>
    </row>
    <row r="8468" spans="1:4">
      <c r="A8468" t="str">
        <f t="shared" si="139"/>
        <v>854Total Fees</v>
      </c>
      <c r="B8468">
        <v>854</v>
      </c>
      <c r="C8468" s="9" t="s">
        <v>40</v>
      </c>
      <c r="D8468" s="8">
        <v>0</v>
      </c>
    </row>
    <row r="8469" spans="1:4">
      <c r="A8469" t="str">
        <f t="shared" si="139"/>
        <v>854Estimated Strategy Capacity</v>
      </c>
      <c r="B8469">
        <v>854</v>
      </c>
      <c r="C8469" s="9" t="s">
        <v>41</v>
      </c>
      <c r="D8469" s="8">
        <v>24000000</v>
      </c>
    </row>
    <row r="8470" spans="1:4">
      <c r="A8470" t="str">
        <f t="shared" si="139"/>
        <v>855PSR</v>
      </c>
      <c r="B8470">
        <v>855</v>
      </c>
      <c r="C8470" s="9" t="s">
        <v>27</v>
      </c>
      <c r="D8470" s="8">
        <v>0.14724000000000001</v>
      </c>
    </row>
    <row r="8471" spans="1:4">
      <c r="A8471" t="str">
        <f t="shared" si="139"/>
        <v>855Sharpe Ratio</v>
      </c>
      <c r="B8471">
        <v>855</v>
      </c>
      <c r="C8471" s="9" t="s">
        <v>1</v>
      </c>
      <c r="D8471" s="8">
        <v>-7.1999999999999995E-2</v>
      </c>
    </row>
    <row r="8472" spans="1:4">
      <c r="A8472" t="str">
        <f t="shared" si="139"/>
        <v>855Total Trades</v>
      </c>
      <c r="B8472">
        <v>855</v>
      </c>
      <c r="C8472" s="9" t="s">
        <v>28</v>
      </c>
      <c r="D8472" s="8">
        <v>514</v>
      </c>
    </row>
    <row r="8473" spans="1:4">
      <c r="A8473" t="str">
        <f t="shared" si="139"/>
        <v>855Average Win</v>
      </c>
      <c r="B8473">
        <v>855</v>
      </c>
      <c r="C8473" s="9" t="s">
        <v>25</v>
      </c>
      <c r="D8473" s="8">
        <v>1.5E-3</v>
      </c>
    </row>
    <row r="8474" spans="1:4">
      <c r="A8474" t="str">
        <f t="shared" si="139"/>
        <v>855Average Loss</v>
      </c>
      <c r="B8474">
        <v>855</v>
      </c>
      <c r="C8474" s="9" t="s">
        <v>29</v>
      </c>
      <c r="D8474" s="8">
        <v>-3.5999999999999999E-3</v>
      </c>
    </row>
    <row r="8475" spans="1:4">
      <c r="A8475" t="str">
        <f t="shared" si="139"/>
        <v>855Compounding Annual Return</v>
      </c>
      <c r="B8475">
        <v>855</v>
      </c>
      <c r="C8475" s="9" t="s">
        <v>30</v>
      </c>
      <c r="D8475" s="8">
        <v>-4.2300000000000003E-3</v>
      </c>
    </row>
    <row r="8476" spans="1:4">
      <c r="A8476" t="str">
        <f t="shared" si="139"/>
        <v>855Drawdown</v>
      </c>
      <c r="B8476">
        <v>855</v>
      </c>
      <c r="C8476" s="9" t="s">
        <v>8</v>
      </c>
      <c r="D8476" s="8">
        <v>4.2000000000000003E-2</v>
      </c>
    </row>
    <row r="8477" spans="1:4">
      <c r="A8477" t="str">
        <f t="shared" si="139"/>
        <v>855Expectancy</v>
      </c>
      <c r="B8477">
        <v>855</v>
      </c>
      <c r="C8477" s="9" t="s">
        <v>31</v>
      </c>
      <c r="D8477" s="8">
        <v>-0.01</v>
      </c>
    </row>
    <row r="8478" spans="1:4">
      <c r="A8478" t="str">
        <f t="shared" si="139"/>
        <v>855Net Profit</v>
      </c>
      <c r="B8478">
        <v>855</v>
      </c>
      <c r="C8478" s="9" t="s">
        <v>32</v>
      </c>
      <c r="D8478" s="8">
        <v>-2.81E-3</v>
      </c>
    </row>
    <row r="8479" spans="1:4">
      <c r="A8479" t="str">
        <f t="shared" si="139"/>
        <v>855Loss Rate</v>
      </c>
      <c r="B8479">
        <v>855</v>
      </c>
      <c r="C8479" s="9" t="s">
        <v>33</v>
      </c>
      <c r="D8479" s="8">
        <v>0.3</v>
      </c>
    </row>
    <row r="8480" spans="1:4">
      <c r="A8480" t="str">
        <f t="shared" si="139"/>
        <v>855Win Rate</v>
      </c>
      <c r="B8480">
        <v>855</v>
      </c>
      <c r="C8480" s="9" t="s">
        <v>34</v>
      </c>
      <c r="D8480" s="8">
        <v>0.7</v>
      </c>
    </row>
    <row r="8481" spans="1:4">
      <c r="A8481" t="str">
        <f t="shared" si="139"/>
        <v>855Profit-Loss Ratio</v>
      </c>
      <c r="B8481">
        <v>855</v>
      </c>
      <c r="C8481" s="9" t="s">
        <v>26</v>
      </c>
      <c r="D8481" s="8">
        <v>0.42</v>
      </c>
    </row>
    <row r="8482" spans="1:4">
      <c r="A8482" t="str">
        <f t="shared" ref="A8482:A8545" si="140">B8482&amp;C8482</f>
        <v>855Alpha</v>
      </c>
      <c r="B8482">
        <v>855</v>
      </c>
      <c r="C8482" s="9" t="s">
        <v>23</v>
      </c>
      <c r="D8482" s="8">
        <v>-0.01</v>
      </c>
    </row>
    <row r="8483" spans="1:4">
      <c r="A8483" t="str">
        <f t="shared" si="140"/>
        <v>855Beta</v>
      </c>
      <c r="B8483">
        <v>855</v>
      </c>
      <c r="C8483" s="9" t="s">
        <v>24</v>
      </c>
      <c r="D8483" s="8">
        <v>0.14699999999999999</v>
      </c>
    </row>
    <row r="8484" spans="1:4">
      <c r="A8484" t="str">
        <f t="shared" si="140"/>
        <v>855Annual Standard Deviation</v>
      </c>
      <c r="B8484">
        <v>855</v>
      </c>
      <c r="C8484" s="9" t="s">
        <v>35</v>
      </c>
      <c r="D8484" s="8">
        <v>3.3000000000000002E-2</v>
      </c>
    </row>
    <row r="8485" spans="1:4">
      <c r="A8485" t="str">
        <f t="shared" si="140"/>
        <v>855Annual Variance</v>
      </c>
      <c r="B8485">
        <v>855</v>
      </c>
      <c r="C8485" s="9" t="s">
        <v>36</v>
      </c>
      <c r="D8485" s="8">
        <v>1E-3</v>
      </c>
    </row>
    <row r="8486" spans="1:4">
      <c r="A8486" t="str">
        <f t="shared" si="140"/>
        <v>855Information Ratio</v>
      </c>
      <c r="B8486">
        <v>855</v>
      </c>
      <c r="C8486" s="9" t="s">
        <v>37</v>
      </c>
      <c r="D8486" s="8">
        <v>-0.83</v>
      </c>
    </row>
    <row r="8487" spans="1:4">
      <c r="A8487" t="str">
        <f t="shared" si="140"/>
        <v>855Tracking Error</v>
      </c>
      <c r="B8487">
        <v>855</v>
      </c>
      <c r="C8487" s="9" t="s">
        <v>38</v>
      </c>
      <c r="D8487" s="8">
        <v>6.6000000000000003E-2</v>
      </c>
    </row>
    <row r="8488" spans="1:4">
      <c r="A8488" t="str">
        <f t="shared" si="140"/>
        <v>855Treynor Ratio</v>
      </c>
      <c r="B8488">
        <v>855</v>
      </c>
      <c r="C8488" s="9" t="s">
        <v>39</v>
      </c>
      <c r="D8488" s="8">
        <v>-1.6E-2</v>
      </c>
    </row>
    <row r="8489" spans="1:4">
      <c r="A8489" t="str">
        <f t="shared" si="140"/>
        <v>855Total Fees</v>
      </c>
      <c r="B8489">
        <v>855</v>
      </c>
      <c r="C8489" s="9" t="s">
        <v>40</v>
      </c>
      <c r="D8489" s="8">
        <v>0</v>
      </c>
    </row>
    <row r="8490" spans="1:4">
      <c r="A8490" t="str">
        <f t="shared" si="140"/>
        <v>855Estimated Strategy Capacity</v>
      </c>
      <c r="B8490">
        <v>855</v>
      </c>
      <c r="C8490" s="9" t="s">
        <v>41</v>
      </c>
      <c r="D8490" s="8">
        <v>9200000</v>
      </c>
    </row>
    <row r="8491" spans="1:4">
      <c r="A8491" t="str">
        <f t="shared" si="140"/>
        <v>874PSR</v>
      </c>
      <c r="B8491">
        <v>874</v>
      </c>
      <c r="C8491" s="9" t="s">
        <v>27</v>
      </c>
      <c r="D8491" s="8">
        <v>1.3999999999999999E-4</v>
      </c>
    </row>
    <row r="8492" spans="1:4">
      <c r="A8492" t="str">
        <f t="shared" si="140"/>
        <v>874Sharpe Ratio</v>
      </c>
      <c r="B8492">
        <v>874</v>
      </c>
      <c r="C8492" s="9" t="s">
        <v>1</v>
      </c>
      <c r="D8492" s="8">
        <v>-2.395</v>
      </c>
    </row>
    <row r="8493" spans="1:4">
      <c r="A8493" t="str">
        <f t="shared" si="140"/>
        <v>874Total Trades</v>
      </c>
      <c r="B8493">
        <v>874</v>
      </c>
      <c r="C8493" s="9" t="s">
        <v>28</v>
      </c>
      <c r="D8493" s="8">
        <v>1957</v>
      </c>
    </row>
    <row r="8494" spans="1:4">
      <c r="A8494" t="str">
        <f t="shared" si="140"/>
        <v>874Average Win</v>
      </c>
      <c r="B8494">
        <v>874</v>
      </c>
      <c r="C8494" s="9" t="s">
        <v>25</v>
      </c>
      <c r="D8494" s="8">
        <v>1E-4</v>
      </c>
    </row>
    <row r="8495" spans="1:4">
      <c r="A8495" t="str">
        <f t="shared" si="140"/>
        <v>874Average Loss</v>
      </c>
      <c r="B8495">
        <v>874</v>
      </c>
      <c r="C8495" s="9" t="s">
        <v>29</v>
      </c>
      <c r="D8495" s="8">
        <v>-5.0000000000000001E-4</v>
      </c>
    </row>
    <row r="8496" spans="1:4">
      <c r="A8496" t="str">
        <f t="shared" si="140"/>
        <v>874Compounding Annual Return</v>
      </c>
      <c r="B8496">
        <v>874</v>
      </c>
      <c r="C8496" s="9" t="s">
        <v>30</v>
      </c>
      <c r="D8496" s="8">
        <v>-2.3859999999999999E-2</v>
      </c>
    </row>
    <row r="8497" spans="1:4">
      <c r="A8497" t="str">
        <f t="shared" si="140"/>
        <v>874Drawdown</v>
      </c>
      <c r="B8497">
        <v>874</v>
      </c>
      <c r="C8497" s="9" t="s">
        <v>8</v>
      </c>
      <c r="D8497" s="8">
        <v>1.9E-2</v>
      </c>
    </row>
    <row r="8498" spans="1:4">
      <c r="A8498" t="str">
        <f t="shared" si="140"/>
        <v>874Expectancy</v>
      </c>
      <c r="B8498">
        <v>874</v>
      </c>
      <c r="C8498" s="9" t="s">
        <v>31</v>
      </c>
      <c r="D8498" s="8">
        <v>-0.17499999999999999</v>
      </c>
    </row>
    <row r="8499" spans="1:4">
      <c r="A8499" t="str">
        <f t="shared" si="140"/>
        <v>874Net Profit</v>
      </c>
      <c r="B8499">
        <v>874</v>
      </c>
      <c r="C8499" s="9" t="s">
        <v>32</v>
      </c>
      <c r="D8499" s="8">
        <v>-1.5879999999999998E-2</v>
      </c>
    </row>
    <row r="8500" spans="1:4">
      <c r="A8500" t="str">
        <f t="shared" si="140"/>
        <v>874Loss Rate</v>
      </c>
      <c r="B8500">
        <v>874</v>
      </c>
      <c r="C8500" s="9" t="s">
        <v>33</v>
      </c>
      <c r="D8500" s="8">
        <v>0.33</v>
      </c>
    </row>
    <row r="8501" spans="1:4">
      <c r="A8501" t="str">
        <f t="shared" si="140"/>
        <v>874Win Rate</v>
      </c>
      <c r="B8501">
        <v>874</v>
      </c>
      <c r="C8501" s="9" t="s">
        <v>34</v>
      </c>
      <c r="D8501" s="8">
        <v>0.67</v>
      </c>
    </row>
    <row r="8502" spans="1:4">
      <c r="A8502" t="str">
        <f t="shared" si="140"/>
        <v>874Profit-Loss Ratio</v>
      </c>
      <c r="B8502">
        <v>874</v>
      </c>
      <c r="C8502" s="9" t="s">
        <v>26</v>
      </c>
      <c r="D8502" s="8">
        <v>0.23</v>
      </c>
    </row>
    <row r="8503" spans="1:4">
      <c r="A8503" t="str">
        <f t="shared" si="140"/>
        <v>874Alpha</v>
      </c>
      <c r="B8503">
        <v>874</v>
      </c>
      <c r="C8503" s="9" t="s">
        <v>23</v>
      </c>
      <c r="D8503" s="8">
        <v>-1.6E-2</v>
      </c>
    </row>
    <row r="8504" spans="1:4">
      <c r="A8504" t="str">
        <f t="shared" si="140"/>
        <v>874Beta</v>
      </c>
      <c r="B8504">
        <v>874</v>
      </c>
      <c r="C8504" s="9" t="s">
        <v>24</v>
      </c>
      <c r="D8504" s="8">
        <v>-8.0000000000000002E-3</v>
      </c>
    </row>
    <row r="8505" spans="1:4">
      <c r="A8505" t="str">
        <f t="shared" si="140"/>
        <v>874Annual Standard Deviation</v>
      </c>
      <c r="B8505">
        <v>874</v>
      </c>
      <c r="C8505" s="9" t="s">
        <v>35</v>
      </c>
      <c r="D8505" s="8">
        <v>7.0000000000000001E-3</v>
      </c>
    </row>
    <row r="8506" spans="1:4">
      <c r="A8506" t="str">
        <f t="shared" si="140"/>
        <v>874Annual Variance</v>
      </c>
      <c r="B8506">
        <v>874</v>
      </c>
      <c r="C8506" s="9" t="s">
        <v>36</v>
      </c>
      <c r="D8506" s="8">
        <v>0</v>
      </c>
    </row>
    <row r="8507" spans="1:4">
      <c r="A8507" t="str">
        <f t="shared" si="140"/>
        <v>874Information Ratio</v>
      </c>
      <c r="B8507">
        <v>874</v>
      </c>
      <c r="C8507" s="9" t="s">
        <v>37</v>
      </c>
      <c r="D8507" s="8">
        <v>-0.997</v>
      </c>
    </row>
    <row r="8508" spans="1:4">
      <c r="A8508" t="str">
        <f t="shared" si="140"/>
        <v>874Tracking Error</v>
      </c>
      <c r="B8508">
        <v>874</v>
      </c>
      <c r="C8508" s="9" t="s">
        <v>38</v>
      </c>
      <c r="D8508" s="8">
        <v>6.8000000000000005E-2</v>
      </c>
    </row>
    <row r="8509" spans="1:4">
      <c r="A8509" t="str">
        <f t="shared" si="140"/>
        <v>874Treynor Ratio</v>
      </c>
      <c r="B8509">
        <v>874</v>
      </c>
      <c r="C8509" s="9" t="s">
        <v>39</v>
      </c>
      <c r="D8509" s="8">
        <v>2.1480000000000001</v>
      </c>
    </row>
    <row r="8510" spans="1:4">
      <c r="A8510" t="str">
        <f t="shared" si="140"/>
        <v>874Total Fees</v>
      </c>
      <c r="B8510">
        <v>874</v>
      </c>
      <c r="C8510" s="9" t="s">
        <v>40</v>
      </c>
      <c r="D8510" s="8">
        <v>0</v>
      </c>
    </row>
    <row r="8511" spans="1:4">
      <c r="A8511" t="str">
        <f t="shared" si="140"/>
        <v>874Estimated Strategy Capacity</v>
      </c>
      <c r="B8511">
        <v>874</v>
      </c>
      <c r="C8511" s="9" t="s">
        <v>41</v>
      </c>
      <c r="D8511" s="8">
        <v>11000000000</v>
      </c>
    </row>
    <row r="8512" spans="1:4">
      <c r="A8512" t="str">
        <f t="shared" si="140"/>
        <v>875PSR</v>
      </c>
      <c r="B8512">
        <v>875</v>
      </c>
      <c r="C8512" s="9" t="s">
        <v>27</v>
      </c>
      <c r="D8512" s="8">
        <v>1.3699999999999999E-3</v>
      </c>
    </row>
    <row r="8513" spans="1:4">
      <c r="A8513" t="str">
        <f t="shared" si="140"/>
        <v>875Sharpe Ratio</v>
      </c>
      <c r="B8513">
        <v>875</v>
      </c>
      <c r="C8513" s="9" t="s">
        <v>1</v>
      </c>
      <c r="D8513" s="8">
        <v>-1.9350000000000001</v>
      </c>
    </row>
    <row r="8514" spans="1:4">
      <c r="A8514" t="str">
        <f t="shared" si="140"/>
        <v>875Total Trades</v>
      </c>
      <c r="B8514">
        <v>875</v>
      </c>
      <c r="C8514" s="9" t="s">
        <v>28</v>
      </c>
      <c r="D8514" s="8">
        <v>1519</v>
      </c>
    </row>
    <row r="8515" spans="1:4">
      <c r="A8515" t="str">
        <f t="shared" si="140"/>
        <v>875Average Win</v>
      </c>
      <c r="B8515">
        <v>875</v>
      </c>
      <c r="C8515" s="9" t="s">
        <v>25</v>
      </c>
      <c r="D8515" s="8">
        <v>4.0000000000000002E-4</v>
      </c>
    </row>
    <row r="8516" spans="1:4">
      <c r="A8516" t="str">
        <f t="shared" si="140"/>
        <v>875Average Loss</v>
      </c>
      <c r="B8516">
        <v>875</v>
      </c>
      <c r="C8516" s="9" t="s">
        <v>29</v>
      </c>
      <c r="D8516" s="8">
        <v>-1.2999999999999999E-3</v>
      </c>
    </row>
    <row r="8517" spans="1:4">
      <c r="A8517" t="str">
        <f t="shared" si="140"/>
        <v>875Compounding Annual Return</v>
      </c>
      <c r="B8517">
        <v>875</v>
      </c>
      <c r="C8517" s="9" t="s">
        <v>30</v>
      </c>
      <c r="D8517" s="8">
        <v>-5.2019999999999997E-2</v>
      </c>
    </row>
    <row r="8518" spans="1:4">
      <c r="A8518" t="str">
        <f t="shared" si="140"/>
        <v>875Drawdown</v>
      </c>
      <c r="B8518">
        <v>875</v>
      </c>
      <c r="C8518" s="9" t="s">
        <v>8</v>
      </c>
      <c r="D8518" s="8">
        <v>4.5999999999999999E-2</v>
      </c>
    </row>
    <row r="8519" spans="1:4">
      <c r="A8519" t="str">
        <f t="shared" si="140"/>
        <v>875Expectancy</v>
      </c>
      <c r="B8519">
        <v>875</v>
      </c>
      <c r="C8519" s="9" t="s">
        <v>31</v>
      </c>
      <c r="D8519" s="8">
        <v>-0.14399999999999999</v>
      </c>
    </row>
    <row r="8520" spans="1:4">
      <c r="A8520" t="str">
        <f t="shared" si="140"/>
        <v>875Net Profit</v>
      </c>
      <c r="B8520">
        <v>875</v>
      </c>
      <c r="C8520" s="9" t="s">
        <v>32</v>
      </c>
      <c r="D8520" s="8">
        <v>-3.4790000000000001E-2</v>
      </c>
    </row>
    <row r="8521" spans="1:4">
      <c r="A8521" t="str">
        <f t="shared" si="140"/>
        <v>875Loss Rate</v>
      </c>
      <c r="B8521">
        <v>875</v>
      </c>
      <c r="C8521" s="9" t="s">
        <v>33</v>
      </c>
      <c r="D8521" s="8">
        <v>0.34</v>
      </c>
    </row>
    <row r="8522" spans="1:4">
      <c r="A8522" t="str">
        <f t="shared" si="140"/>
        <v>875Win Rate</v>
      </c>
      <c r="B8522">
        <v>875</v>
      </c>
      <c r="C8522" s="9" t="s">
        <v>34</v>
      </c>
      <c r="D8522" s="8">
        <v>0.66</v>
      </c>
    </row>
    <row r="8523" spans="1:4">
      <c r="A8523" t="str">
        <f t="shared" si="140"/>
        <v>875Profit-Loss Ratio</v>
      </c>
      <c r="B8523">
        <v>875</v>
      </c>
      <c r="C8523" s="9" t="s">
        <v>26</v>
      </c>
      <c r="D8523" s="8">
        <v>0.3</v>
      </c>
    </row>
    <row r="8524" spans="1:4">
      <c r="A8524" t="str">
        <f t="shared" si="140"/>
        <v>875Alpha</v>
      </c>
      <c r="B8524">
        <v>875</v>
      </c>
      <c r="C8524" s="9" t="s">
        <v>23</v>
      </c>
      <c r="D8524" s="8">
        <v>-3.5000000000000003E-2</v>
      </c>
    </row>
    <row r="8525" spans="1:4">
      <c r="A8525" t="str">
        <f t="shared" si="140"/>
        <v>875Beta</v>
      </c>
      <c r="B8525">
        <v>875</v>
      </c>
      <c r="C8525" s="9" t="s">
        <v>24</v>
      </c>
      <c r="D8525" s="8">
        <v>-3.1E-2</v>
      </c>
    </row>
    <row r="8526" spans="1:4">
      <c r="A8526" t="str">
        <f t="shared" si="140"/>
        <v>875Annual Standard Deviation</v>
      </c>
      <c r="B8526">
        <v>875</v>
      </c>
      <c r="C8526" s="9" t="s">
        <v>35</v>
      </c>
      <c r="D8526" s="8">
        <v>1.9E-2</v>
      </c>
    </row>
    <row r="8527" spans="1:4">
      <c r="A8527" t="str">
        <f t="shared" si="140"/>
        <v>875Annual Variance</v>
      </c>
      <c r="B8527">
        <v>875</v>
      </c>
      <c r="C8527" s="9" t="s">
        <v>36</v>
      </c>
      <c r="D8527" s="8">
        <v>0</v>
      </c>
    </row>
    <row r="8528" spans="1:4">
      <c r="A8528" t="str">
        <f t="shared" si="140"/>
        <v>875Information Ratio</v>
      </c>
      <c r="B8528">
        <v>875</v>
      </c>
      <c r="C8528" s="9" t="s">
        <v>37</v>
      </c>
      <c r="D8528" s="8">
        <v>-1.228</v>
      </c>
    </row>
    <row r="8529" spans="1:4">
      <c r="A8529" t="str">
        <f t="shared" si="140"/>
        <v>875Tracking Error</v>
      </c>
      <c r="B8529">
        <v>875</v>
      </c>
      <c r="C8529" s="9" t="s">
        <v>38</v>
      </c>
      <c r="D8529" s="8">
        <v>7.1999999999999995E-2</v>
      </c>
    </row>
    <row r="8530" spans="1:4">
      <c r="A8530" t="str">
        <f t="shared" si="140"/>
        <v>875Treynor Ratio</v>
      </c>
      <c r="B8530">
        <v>875</v>
      </c>
      <c r="C8530" s="9" t="s">
        <v>39</v>
      </c>
      <c r="D8530" s="8">
        <v>1.17</v>
      </c>
    </row>
    <row r="8531" spans="1:4">
      <c r="A8531" t="str">
        <f t="shared" si="140"/>
        <v>875Total Fees</v>
      </c>
      <c r="B8531">
        <v>875</v>
      </c>
      <c r="C8531" s="9" t="s">
        <v>40</v>
      </c>
      <c r="D8531" s="8">
        <v>0</v>
      </c>
    </row>
    <row r="8532" spans="1:4">
      <c r="A8532" t="str">
        <f t="shared" si="140"/>
        <v>875Estimated Strategy Capacity</v>
      </c>
      <c r="B8532">
        <v>875</v>
      </c>
      <c r="C8532" s="9" t="s">
        <v>41</v>
      </c>
      <c r="D8532" s="8">
        <v>1200000000</v>
      </c>
    </row>
    <row r="8533" spans="1:4">
      <c r="A8533" t="str">
        <f t="shared" si="140"/>
        <v>876PSR</v>
      </c>
      <c r="B8533">
        <v>876</v>
      </c>
      <c r="C8533" s="9" t="s">
        <v>27</v>
      </c>
      <c r="D8533" s="8">
        <v>6.8700000000000002E-3</v>
      </c>
    </row>
    <row r="8534" spans="1:4">
      <c r="A8534" t="str">
        <f t="shared" si="140"/>
        <v>876Sharpe Ratio</v>
      </c>
      <c r="B8534">
        <v>876</v>
      </c>
      <c r="C8534" s="9" t="s">
        <v>1</v>
      </c>
      <c r="D8534" s="8">
        <v>-1.4359999999999999</v>
      </c>
    </row>
    <row r="8535" spans="1:4">
      <c r="A8535" t="str">
        <f t="shared" si="140"/>
        <v>876Total Trades</v>
      </c>
      <c r="B8535">
        <v>876</v>
      </c>
      <c r="C8535" s="9" t="s">
        <v>28</v>
      </c>
      <c r="D8535" s="8">
        <v>1157</v>
      </c>
    </row>
    <row r="8536" spans="1:4">
      <c r="A8536" t="str">
        <f t="shared" si="140"/>
        <v>876Average Win</v>
      </c>
      <c r="B8536">
        <v>876</v>
      </c>
      <c r="C8536" s="9" t="s">
        <v>25</v>
      </c>
      <c r="D8536" s="8">
        <v>5.9999999999999995E-4</v>
      </c>
    </row>
    <row r="8537" spans="1:4">
      <c r="A8537" t="str">
        <f t="shared" si="140"/>
        <v>876Average Loss</v>
      </c>
      <c r="B8537">
        <v>876</v>
      </c>
      <c r="C8537" s="9" t="s">
        <v>29</v>
      </c>
      <c r="D8537" s="8">
        <v>-1.9E-3</v>
      </c>
    </row>
    <row r="8538" spans="1:4">
      <c r="A8538" t="str">
        <f t="shared" si="140"/>
        <v>876Compounding Annual Return</v>
      </c>
      <c r="B8538">
        <v>876</v>
      </c>
      <c r="C8538" s="9" t="s">
        <v>30</v>
      </c>
      <c r="D8538" s="8">
        <v>-5.4890000000000001E-2</v>
      </c>
    </row>
    <row r="8539" spans="1:4">
      <c r="A8539" t="str">
        <f t="shared" si="140"/>
        <v>876Drawdown</v>
      </c>
      <c r="B8539">
        <v>876</v>
      </c>
      <c r="C8539" s="9" t="s">
        <v>8</v>
      </c>
      <c r="D8539" s="8">
        <v>4.4999999999999998E-2</v>
      </c>
    </row>
    <row r="8540" spans="1:4">
      <c r="A8540" t="str">
        <f t="shared" si="140"/>
        <v>876Expectancy</v>
      </c>
      <c r="B8540">
        <v>876</v>
      </c>
      <c r="C8540" s="9" t="s">
        <v>31</v>
      </c>
      <c r="D8540" s="8">
        <v>-0.11</v>
      </c>
    </row>
    <row r="8541" spans="1:4">
      <c r="A8541" t="str">
        <f t="shared" si="140"/>
        <v>876Net Profit</v>
      </c>
      <c r="B8541">
        <v>876</v>
      </c>
      <c r="C8541" s="9" t="s">
        <v>32</v>
      </c>
      <c r="D8541" s="8">
        <v>-3.6729999999999999E-2</v>
      </c>
    </row>
    <row r="8542" spans="1:4">
      <c r="A8542" t="str">
        <f t="shared" si="140"/>
        <v>876Loss Rate</v>
      </c>
      <c r="B8542">
        <v>876</v>
      </c>
      <c r="C8542" s="9" t="s">
        <v>33</v>
      </c>
      <c r="D8542" s="8">
        <v>0.32</v>
      </c>
    </row>
    <row r="8543" spans="1:4">
      <c r="A8543" t="str">
        <f t="shared" si="140"/>
        <v>876Win Rate</v>
      </c>
      <c r="B8543">
        <v>876</v>
      </c>
      <c r="C8543" s="9" t="s">
        <v>34</v>
      </c>
      <c r="D8543" s="8">
        <v>0.68</v>
      </c>
    </row>
    <row r="8544" spans="1:4">
      <c r="A8544" t="str">
        <f t="shared" si="140"/>
        <v>876Profit-Loss Ratio</v>
      </c>
      <c r="B8544">
        <v>876</v>
      </c>
      <c r="C8544" s="9" t="s">
        <v>26</v>
      </c>
      <c r="D8544" s="8">
        <v>0.31</v>
      </c>
    </row>
    <row r="8545" spans="1:4">
      <c r="A8545" t="str">
        <f t="shared" si="140"/>
        <v>876Alpha</v>
      </c>
      <c r="B8545">
        <v>876</v>
      </c>
      <c r="C8545" s="9" t="s">
        <v>23</v>
      </c>
      <c r="D8545" s="8">
        <v>-3.5000000000000003E-2</v>
      </c>
    </row>
    <row r="8546" spans="1:4">
      <c r="A8546" t="str">
        <f t="shared" ref="A8546:A8609" si="141">B8546&amp;C8546</f>
        <v>876Beta</v>
      </c>
      <c r="B8546">
        <v>876</v>
      </c>
      <c r="C8546" s="9" t="s">
        <v>24</v>
      </c>
      <c r="D8546" s="8">
        <v>-6.3E-2</v>
      </c>
    </row>
    <row r="8547" spans="1:4">
      <c r="A8547" t="str">
        <f t="shared" si="141"/>
        <v>876Annual Standard Deviation</v>
      </c>
      <c r="B8547">
        <v>876</v>
      </c>
      <c r="C8547" s="9" t="s">
        <v>35</v>
      </c>
      <c r="D8547" s="8">
        <v>2.5999999999999999E-2</v>
      </c>
    </row>
    <row r="8548" spans="1:4">
      <c r="A8548" t="str">
        <f t="shared" si="141"/>
        <v>876Annual Variance</v>
      </c>
      <c r="B8548">
        <v>876</v>
      </c>
      <c r="C8548" s="9" t="s">
        <v>36</v>
      </c>
      <c r="D8548" s="8">
        <v>1E-3</v>
      </c>
    </row>
    <row r="8549" spans="1:4">
      <c r="A8549" t="str">
        <f t="shared" si="141"/>
        <v>876Information Ratio</v>
      </c>
      <c r="B8549">
        <v>876</v>
      </c>
      <c r="C8549" s="9" t="s">
        <v>37</v>
      </c>
      <c r="D8549" s="8">
        <v>-1.1830000000000001</v>
      </c>
    </row>
    <row r="8550" spans="1:4">
      <c r="A8550" t="str">
        <f t="shared" si="141"/>
        <v>876Tracking Error</v>
      </c>
      <c r="B8550">
        <v>876</v>
      </c>
      <c r="C8550" s="9" t="s">
        <v>38</v>
      </c>
      <c r="D8550" s="8">
        <v>7.5999999999999998E-2</v>
      </c>
    </row>
    <row r="8551" spans="1:4">
      <c r="A8551" t="str">
        <f t="shared" si="141"/>
        <v>876Treynor Ratio</v>
      </c>
      <c r="B8551">
        <v>876</v>
      </c>
      <c r="C8551" s="9" t="s">
        <v>39</v>
      </c>
      <c r="D8551" s="8">
        <v>0.60299999999999998</v>
      </c>
    </row>
    <row r="8552" spans="1:4">
      <c r="A8552" t="str">
        <f t="shared" si="141"/>
        <v>876Total Fees</v>
      </c>
      <c r="B8552">
        <v>876</v>
      </c>
      <c r="C8552" s="9" t="s">
        <v>40</v>
      </c>
      <c r="D8552" s="8">
        <v>0</v>
      </c>
    </row>
    <row r="8553" spans="1:4">
      <c r="A8553" t="str">
        <f t="shared" si="141"/>
        <v>876Estimated Strategy Capacity</v>
      </c>
      <c r="B8553">
        <v>876</v>
      </c>
      <c r="C8553" s="9" t="s">
        <v>41</v>
      </c>
      <c r="D8553" s="8">
        <v>250000000</v>
      </c>
    </row>
    <row r="8554" spans="1:4">
      <c r="A8554" t="str">
        <f t="shared" si="141"/>
        <v>877PSR</v>
      </c>
      <c r="B8554">
        <v>877</v>
      </c>
      <c r="C8554" s="9" t="s">
        <v>27</v>
      </c>
      <c r="D8554" s="8">
        <v>7.9600000000000001E-3</v>
      </c>
    </row>
    <row r="8555" spans="1:4">
      <c r="A8555" t="str">
        <f t="shared" si="141"/>
        <v>877Sharpe Ratio</v>
      </c>
      <c r="B8555">
        <v>877</v>
      </c>
      <c r="C8555" s="9" t="s">
        <v>1</v>
      </c>
      <c r="D8555" s="8">
        <v>-1.4830000000000001</v>
      </c>
    </row>
    <row r="8556" spans="1:4">
      <c r="A8556" t="str">
        <f t="shared" si="141"/>
        <v>877Total Trades</v>
      </c>
      <c r="B8556">
        <v>877</v>
      </c>
      <c r="C8556" s="9" t="s">
        <v>28</v>
      </c>
      <c r="D8556" s="8">
        <v>1392</v>
      </c>
    </row>
    <row r="8557" spans="1:4">
      <c r="A8557" t="str">
        <f t="shared" si="141"/>
        <v>877Average Win</v>
      </c>
      <c r="B8557">
        <v>877</v>
      </c>
      <c r="C8557" s="9" t="s">
        <v>25</v>
      </c>
      <c r="D8557" s="8">
        <v>2.0000000000000001E-4</v>
      </c>
    </row>
    <row r="8558" spans="1:4">
      <c r="A8558" t="str">
        <f t="shared" si="141"/>
        <v>877Average Loss</v>
      </c>
      <c r="B8558">
        <v>877</v>
      </c>
      <c r="C8558" s="9" t="s">
        <v>29</v>
      </c>
      <c r="D8558" s="8">
        <v>-4.0000000000000002E-4</v>
      </c>
    </row>
    <row r="8559" spans="1:4">
      <c r="A8559" t="str">
        <f t="shared" si="141"/>
        <v>877Compounding Annual Return</v>
      </c>
      <c r="B8559">
        <v>877</v>
      </c>
      <c r="C8559" s="9" t="s">
        <v>30</v>
      </c>
      <c r="D8559" s="8">
        <v>-1.2500000000000001E-2</v>
      </c>
    </row>
    <row r="8560" spans="1:4">
      <c r="A8560" t="str">
        <f t="shared" si="141"/>
        <v>877Drawdown</v>
      </c>
      <c r="B8560">
        <v>877</v>
      </c>
      <c r="C8560" s="9" t="s">
        <v>8</v>
      </c>
      <c r="D8560" s="8">
        <v>1.2E-2</v>
      </c>
    </row>
    <row r="8561" spans="1:4">
      <c r="A8561" t="str">
        <f t="shared" si="141"/>
        <v>877Expectancy</v>
      </c>
      <c r="B8561">
        <v>877</v>
      </c>
      <c r="C8561" s="9" t="s">
        <v>31</v>
      </c>
      <c r="D8561" s="8">
        <v>-0.14499999999999999</v>
      </c>
    </row>
    <row r="8562" spans="1:4">
      <c r="A8562" t="str">
        <f t="shared" si="141"/>
        <v>877Net Profit</v>
      </c>
      <c r="B8562">
        <v>877</v>
      </c>
      <c r="C8562" s="9" t="s">
        <v>32</v>
      </c>
      <c r="D8562" s="8">
        <v>-8.3099999999999997E-3</v>
      </c>
    </row>
    <row r="8563" spans="1:4">
      <c r="A8563" t="str">
        <f t="shared" si="141"/>
        <v>877Loss Rate</v>
      </c>
      <c r="B8563">
        <v>877</v>
      </c>
      <c r="C8563" s="9" t="s">
        <v>33</v>
      </c>
      <c r="D8563" s="8">
        <v>0.37</v>
      </c>
    </row>
    <row r="8564" spans="1:4">
      <c r="A8564" t="str">
        <f t="shared" si="141"/>
        <v>877Win Rate</v>
      </c>
      <c r="B8564">
        <v>877</v>
      </c>
      <c r="C8564" s="9" t="s">
        <v>34</v>
      </c>
      <c r="D8564" s="8">
        <v>0.63</v>
      </c>
    </row>
    <row r="8565" spans="1:4">
      <c r="A8565" t="str">
        <f t="shared" si="141"/>
        <v>877Profit-Loss Ratio</v>
      </c>
      <c r="B8565">
        <v>877</v>
      </c>
      <c r="C8565" s="9" t="s">
        <v>26</v>
      </c>
      <c r="D8565" s="8">
        <v>0.36</v>
      </c>
    </row>
    <row r="8566" spans="1:4">
      <c r="A8566" t="str">
        <f t="shared" si="141"/>
        <v>877Alpha</v>
      </c>
      <c r="B8566">
        <v>877</v>
      </c>
      <c r="C8566" s="9" t="s">
        <v>23</v>
      </c>
      <c r="D8566" s="8">
        <v>-8.0000000000000002E-3</v>
      </c>
    </row>
    <row r="8567" spans="1:4">
      <c r="A8567" t="str">
        <f t="shared" si="141"/>
        <v>877Beta</v>
      </c>
      <c r="B8567">
        <v>877</v>
      </c>
      <c r="C8567" s="9" t="s">
        <v>24</v>
      </c>
      <c r="D8567" s="8">
        <v>-1.0999999999999999E-2</v>
      </c>
    </row>
    <row r="8568" spans="1:4">
      <c r="A8568" t="str">
        <f t="shared" si="141"/>
        <v>877Annual Standard Deviation</v>
      </c>
      <c r="B8568">
        <v>877</v>
      </c>
      <c r="C8568" s="9" t="s">
        <v>35</v>
      </c>
      <c r="D8568" s="8">
        <v>6.0000000000000001E-3</v>
      </c>
    </row>
    <row r="8569" spans="1:4">
      <c r="A8569" t="str">
        <f t="shared" si="141"/>
        <v>877Annual Variance</v>
      </c>
      <c r="B8569">
        <v>877</v>
      </c>
      <c r="C8569" s="9" t="s">
        <v>36</v>
      </c>
      <c r="D8569" s="8">
        <v>0</v>
      </c>
    </row>
    <row r="8570" spans="1:4">
      <c r="A8570" t="str">
        <f t="shared" si="141"/>
        <v>877Information Ratio</v>
      </c>
      <c r="B8570">
        <v>877</v>
      </c>
      <c r="C8570" s="9" t="s">
        <v>37</v>
      </c>
      <c r="D8570" s="8">
        <v>-0.89</v>
      </c>
    </row>
    <row r="8571" spans="1:4">
      <c r="A8571" t="str">
        <f t="shared" si="141"/>
        <v>877Tracking Error</v>
      </c>
      <c r="B8571">
        <v>877</v>
      </c>
      <c r="C8571" s="9" t="s">
        <v>38</v>
      </c>
      <c r="D8571" s="8">
        <v>6.8000000000000005E-2</v>
      </c>
    </row>
    <row r="8572" spans="1:4">
      <c r="A8572" t="str">
        <f t="shared" si="141"/>
        <v>877Treynor Ratio</v>
      </c>
      <c r="B8572">
        <v>877</v>
      </c>
      <c r="C8572" s="9" t="s">
        <v>39</v>
      </c>
      <c r="D8572" s="8">
        <v>0.80800000000000005</v>
      </c>
    </row>
    <row r="8573" spans="1:4">
      <c r="A8573" t="str">
        <f t="shared" si="141"/>
        <v>877Total Fees</v>
      </c>
      <c r="B8573">
        <v>877</v>
      </c>
      <c r="C8573" s="9" t="s">
        <v>40</v>
      </c>
      <c r="D8573" s="8">
        <v>0</v>
      </c>
    </row>
    <row r="8574" spans="1:4">
      <c r="A8574" t="str">
        <f t="shared" si="141"/>
        <v>877Estimated Strategy Capacity</v>
      </c>
      <c r="B8574">
        <v>877</v>
      </c>
      <c r="C8574" s="9" t="s">
        <v>41</v>
      </c>
      <c r="D8574" s="8">
        <v>5300000000</v>
      </c>
    </row>
    <row r="8575" spans="1:4">
      <c r="A8575" t="str">
        <f t="shared" si="141"/>
        <v>878PSR</v>
      </c>
      <c r="B8575">
        <v>878</v>
      </c>
      <c r="C8575" s="9" t="s">
        <v>27</v>
      </c>
      <c r="D8575" s="8">
        <v>1.7090000000000001E-2</v>
      </c>
    </row>
    <row r="8576" spans="1:4">
      <c r="A8576" t="str">
        <f t="shared" si="141"/>
        <v>878Sharpe Ratio</v>
      </c>
      <c r="B8576">
        <v>878</v>
      </c>
      <c r="C8576" s="9" t="s">
        <v>1</v>
      </c>
      <c r="D8576" s="8">
        <v>-1.1479999999999999</v>
      </c>
    </row>
    <row r="8577" spans="1:4">
      <c r="A8577" t="str">
        <f t="shared" si="141"/>
        <v>878Total Trades</v>
      </c>
      <c r="B8577">
        <v>878</v>
      </c>
      <c r="C8577" s="9" t="s">
        <v>28</v>
      </c>
      <c r="D8577" s="8">
        <v>1090</v>
      </c>
    </row>
    <row r="8578" spans="1:4">
      <c r="A8578" t="str">
        <f t="shared" si="141"/>
        <v>878Average Win</v>
      </c>
      <c r="B8578">
        <v>878</v>
      </c>
      <c r="C8578" s="9" t="s">
        <v>25</v>
      </c>
      <c r="D8578" s="8">
        <v>5.0000000000000001E-4</v>
      </c>
    </row>
    <row r="8579" spans="1:4">
      <c r="A8579" t="str">
        <f t="shared" si="141"/>
        <v>878Average Loss</v>
      </c>
      <c r="B8579">
        <v>878</v>
      </c>
      <c r="C8579" s="9" t="s">
        <v>29</v>
      </c>
      <c r="D8579" s="8">
        <v>-1.1999999999999999E-3</v>
      </c>
    </row>
    <row r="8580" spans="1:4">
      <c r="A8580" t="str">
        <f t="shared" si="141"/>
        <v>878Compounding Annual Return</v>
      </c>
      <c r="B8580">
        <v>878</v>
      </c>
      <c r="C8580" s="9" t="s">
        <v>30</v>
      </c>
      <c r="D8580" s="8">
        <v>-2.9100000000000001E-2</v>
      </c>
    </row>
    <row r="8581" spans="1:4">
      <c r="A8581" t="str">
        <f t="shared" si="141"/>
        <v>878Drawdown</v>
      </c>
      <c r="B8581">
        <v>878</v>
      </c>
      <c r="C8581" s="9" t="s">
        <v>8</v>
      </c>
      <c r="D8581" s="8">
        <v>2.9000000000000001E-2</v>
      </c>
    </row>
    <row r="8582" spans="1:4">
      <c r="A8582" t="str">
        <f t="shared" si="141"/>
        <v>878Expectancy</v>
      </c>
      <c r="B8582">
        <v>878</v>
      </c>
      <c r="C8582" s="9" t="s">
        <v>31</v>
      </c>
      <c r="D8582" s="8">
        <v>-0.123</v>
      </c>
    </row>
    <row r="8583" spans="1:4">
      <c r="A8583" t="str">
        <f t="shared" si="141"/>
        <v>878Net Profit</v>
      </c>
      <c r="B8583">
        <v>878</v>
      </c>
      <c r="C8583" s="9" t="s">
        <v>32</v>
      </c>
      <c r="D8583" s="8">
        <v>-1.9390000000000001E-2</v>
      </c>
    </row>
    <row r="8584" spans="1:4">
      <c r="A8584" t="str">
        <f t="shared" si="141"/>
        <v>878Loss Rate</v>
      </c>
      <c r="B8584">
        <v>878</v>
      </c>
      <c r="C8584" s="9" t="s">
        <v>33</v>
      </c>
      <c r="D8584" s="8">
        <v>0.38</v>
      </c>
    </row>
    <row r="8585" spans="1:4">
      <c r="A8585" t="str">
        <f t="shared" si="141"/>
        <v>878Win Rate</v>
      </c>
      <c r="B8585">
        <v>878</v>
      </c>
      <c r="C8585" s="9" t="s">
        <v>34</v>
      </c>
      <c r="D8585" s="8">
        <v>0.62</v>
      </c>
    </row>
    <row r="8586" spans="1:4">
      <c r="A8586" t="str">
        <f t="shared" si="141"/>
        <v>878Profit-Loss Ratio</v>
      </c>
      <c r="B8586">
        <v>878</v>
      </c>
      <c r="C8586" s="9" t="s">
        <v>26</v>
      </c>
      <c r="D8586" s="8">
        <v>0.42</v>
      </c>
    </row>
    <row r="8587" spans="1:4">
      <c r="A8587" t="str">
        <f t="shared" si="141"/>
        <v>878Alpha</v>
      </c>
      <c r="B8587">
        <v>878</v>
      </c>
      <c r="C8587" s="9" t="s">
        <v>23</v>
      </c>
      <c r="D8587" s="8">
        <v>-1.7999999999999999E-2</v>
      </c>
    </row>
    <row r="8588" spans="1:4">
      <c r="A8588" t="str">
        <f t="shared" si="141"/>
        <v>878Beta</v>
      </c>
      <c r="B8588">
        <v>878</v>
      </c>
      <c r="C8588" s="9" t="s">
        <v>24</v>
      </c>
      <c r="D8588" s="8">
        <v>-3.5000000000000003E-2</v>
      </c>
    </row>
    <row r="8589" spans="1:4">
      <c r="A8589" t="str">
        <f t="shared" si="141"/>
        <v>878Annual Standard Deviation</v>
      </c>
      <c r="B8589">
        <v>878</v>
      </c>
      <c r="C8589" s="9" t="s">
        <v>35</v>
      </c>
      <c r="D8589" s="8">
        <v>1.7999999999999999E-2</v>
      </c>
    </row>
    <row r="8590" spans="1:4">
      <c r="A8590" t="str">
        <f t="shared" si="141"/>
        <v>878Annual Variance</v>
      </c>
      <c r="B8590">
        <v>878</v>
      </c>
      <c r="C8590" s="9" t="s">
        <v>36</v>
      </c>
      <c r="D8590" s="8">
        <v>0</v>
      </c>
    </row>
    <row r="8591" spans="1:4">
      <c r="A8591" t="str">
        <f t="shared" si="141"/>
        <v>878Information Ratio</v>
      </c>
      <c r="B8591">
        <v>878</v>
      </c>
      <c r="C8591" s="9" t="s">
        <v>37</v>
      </c>
      <c r="D8591" s="8">
        <v>-0.996</v>
      </c>
    </row>
    <row r="8592" spans="1:4">
      <c r="A8592" t="str">
        <f t="shared" si="141"/>
        <v>878Tracking Error</v>
      </c>
      <c r="B8592">
        <v>878</v>
      </c>
      <c r="C8592" s="9" t="s">
        <v>38</v>
      </c>
      <c r="D8592" s="8">
        <v>7.1999999999999995E-2</v>
      </c>
    </row>
    <row r="8593" spans="1:4">
      <c r="A8593" t="str">
        <f t="shared" si="141"/>
        <v>878Treynor Ratio</v>
      </c>
      <c r="B8593">
        <v>878</v>
      </c>
      <c r="C8593" s="9" t="s">
        <v>39</v>
      </c>
      <c r="D8593" s="8">
        <v>0.57099999999999995</v>
      </c>
    </row>
    <row r="8594" spans="1:4">
      <c r="A8594" t="str">
        <f t="shared" si="141"/>
        <v>878Total Fees</v>
      </c>
      <c r="B8594">
        <v>878</v>
      </c>
      <c r="C8594" s="9" t="s">
        <v>40</v>
      </c>
      <c r="D8594" s="8">
        <v>0</v>
      </c>
    </row>
    <row r="8595" spans="1:4">
      <c r="A8595" t="str">
        <f t="shared" si="141"/>
        <v>878Estimated Strategy Capacity</v>
      </c>
      <c r="B8595">
        <v>878</v>
      </c>
      <c r="C8595" s="9" t="s">
        <v>41</v>
      </c>
      <c r="D8595" s="8">
        <v>610000000</v>
      </c>
    </row>
    <row r="8596" spans="1:4">
      <c r="A8596" t="str">
        <f t="shared" si="141"/>
        <v>879PSR</v>
      </c>
      <c r="B8596">
        <v>879</v>
      </c>
      <c r="C8596" s="9" t="s">
        <v>27</v>
      </c>
      <c r="D8596" s="8">
        <v>3.8690000000000002E-2</v>
      </c>
    </row>
    <row r="8597" spans="1:4">
      <c r="A8597" t="str">
        <f t="shared" si="141"/>
        <v>879Sharpe Ratio</v>
      </c>
      <c r="B8597">
        <v>879</v>
      </c>
      <c r="C8597" s="9" t="s">
        <v>1</v>
      </c>
      <c r="D8597" s="8">
        <v>-0.79900000000000004</v>
      </c>
    </row>
    <row r="8598" spans="1:4">
      <c r="A8598" t="str">
        <f t="shared" si="141"/>
        <v>879Total Trades</v>
      </c>
      <c r="B8598">
        <v>879</v>
      </c>
      <c r="C8598" s="9" t="s">
        <v>28</v>
      </c>
      <c r="D8598" s="8">
        <v>817</v>
      </c>
    </row>
    <row r="8599" spans="1:4">
      <c r="A8599" t="str">
        <f t="shared" si="141"/>
        <v>879Average Win</v>
      </c>
      <c r="B8599">
        <v>879</v>
      </c>
      <c r="C8599" s="9" t="s">
        <v>25</v>
      </c>
      <c r="D8599" s="8">
        <v>6.9999999999999999E-4</v>
      </c>
    </row>
    <row r="8600" spans="1:4">
      <c r="A8600" t="str">
        <f t="shared" si="141"/>
        <v>879Average Loss</v>
      </c>
      <c r="B8600">
        <v>879</v>
      </c>
      <c r="C8600" s="9" t="s">
        <v>29</v>
      </c>
      <c r="D8600" s="8">
        <v>-1.6999999999999999E-3</v>
      </c>
    </row>
    <row r="8601" spans="1:4">
      <c r="A8601" t="str">
        <f t="shared" si="141"/>
        <v>879Compounding Annual Return</v>
      </c>
      <c r="B8601">
        <v>879</v>
      </c>
      <c r="C8601" s="9" t="s">
        <v>30</v>
      </c>
      <c r="D8601" s="8">
        <v>-2.954E-2</v>
      </c>
    </row>
    <row r="8602" spans="1:4">
      <c r="A8602" t="str">
        <f t="shared" si="141"/>
        <v>879Drawdown</v>
      </c>
      <c r="B8602">
        <v>879</v>
      </c>
      <c r="C8602" s="9" t="s">
        <v>8</v>
      </c>
      <c r="D8602" s="8">
        <v>4.2000000000000003E-2</v>
      </c>
    </row>
    <row r="8603" spans="1:4">
      <c r="A8603" t="str">
        <f t="shared" si="141"/>
        <v>879Expectancy</v>
      </c>
      <c r="B8603">
        <v>879</v>
      </c>
      <c r="C8603" s="9" t="s">
        <v>31</v>
      </c>
      <c r="D8603" s="8">
        <v>-9.4E-2</v>
      </c>
    </row>
    <row r="8604" spans="1:4">
      <c r="A8604" t="str">
        <f t="shared" si="141"/>
        <v>879Net Profit</v>
      </c>
      <c r="B8604">
        <v>879</v>
      </c>
      <c r="C8604" s="9" t="s">
        <v>32</v>
      </c>
      <c r="D8604" s="8">
        <v>-1.968E-2</v>
      </c>
    </row>
    <row r="8605" spans="1:4">
      <c r="A8605" t="str">
        <f t="shared" si="141"/>
        <v>879Loss Rate</v>
      </c>
      <c r="B8605">
        <v>879</v>
      </c>
      <c r="C8605" s="9" t="s">
        <v>33</v>
      </c>
      <c r="D8605" s="8">
        <v>0.36</v>
      </c>
    </row>
    <row r="8606" spans="1:4">
      <c r="A8606" t="str">
        <f t="shared" si="141"/>
        <v>879Win Rate</v>
      </c>
      <c r="B8606">
        <v>879</v>
      </c>
      <c r="C8606" s="9" t="s">
        <v>34</v>
      </c>
      <c r="D8606" s="8">
        <v>0.64</v>
      </c>
    </row>
    <row r="8607" spans="1:4">
      <c r="A8607" t="str">
        <f t="shared" si="141"/>
        <v>879Profit-Loss Ratio</v>
      </c>
      <c r="B8607">
        <v>879</v>
      </c>
      <c r="C8607" s="9" t="s">
        <v>26</v>
      </c>
      <c r="D8607" s="8">
        <v>0.41</v>
      </c>
    </row>
    <row r="8608" spans="1:4">
      <c r="A8608" t="str">
        <f t="shared" si="141"/>
        <v>879Alpha</v>
      </c>
      <c r="B8608">
        <v>879</v>
      </c>
      <c r="C8608" s="9" t="s">
        <v>23</v>
      </c>
      <c r="D8608" s="8">
        <v>-1.7000000000000001E-2</v>
      </c>
    </row>
    <row r="8609" spans="1:4">
      <c r="A8609" t="str">
        <f t="shared" si="141"/>
        <v>879Beta</v>
      </c>
      <c r="B8609">
        <v>879</v>
      </c>
      <c r="C8609" s="9" t="s">
        <v>24</v>
      </c>
      <c r="D8609" s="8">
        <v>-6.3E-2</v>
      </c>
    </row>
    <row r="8610" spans="1:4">
      <c r="A8610" t="str">
        <f t="shared" ref="A8610:A8673" si="142">B8610&amp;C8610</f>
        <v>879Annual Standard Deviation</v>
      </c>
      <c r="B8610">
        <v>879</v>
      </c>
      <c r="C8610" s="9" t="s">
        <v>35</v>
      </c>
      <c r="D8610" s="8">
        <v>2.5000000000000001E-2</v>
      </c>
    </row>
    <row r="8611" spans="1:4">
      <c r="A8611" t="str">
        <f t="shared" si="142"/>
        <v>879Annual Variance</v>
      </c>
      <c r="B8611">
        <v>879</v>
      </c>
      <c r="C8611" s="9" t="s">
        <v>36</v>
      </c>
      <c r="D8611" s="8">
        <v>1E-3</v>
      </c>
    </row>
    <row r="8612" spans="1:4">
      <c r="A8612" t="str">
        <f t="shared" si="142"/>
        <v>879Information Ratio</v>
      </c>
      <c r="B8612">
        <v>879</v>
      </c>
      <c r="C8612" s="9" t="s">
        <v>37</v>
      </c>
      <c r="D8612" s="8">
        <v>-0.95499999999999996</v>
      </c>
    </row>
    <row r="8613" spans="1:4">
      <c r="A8613" t="str">
        <f t="shared" si="142"/>
        <v>879Tracking Error</v>
      </c>
      <c r="B8613">
        <v>879</v>
      </c>
      <c r="C8613" s="9" t="s">
        <v>38</v>
      </c>
      <c r="D8613" s="8">
        <v>7.5999999999999998E-2</v>
      </c>
    </row>
    <row r="8614" spans="1:4">
      <c r="A8614" t="str">
        <f t="shared" si="142"/>
        <v>879Treynor Ratio</v>
      </c>
      <c r="B8614">
        <v>879</v>
      </c>
      <c r="C8614" s="9" t="s">
        <v>39</v>
      </c>
      <c r="D8614" s="8">
        <v>0.32400000000000001</v>
      </c>
    </row>
    <row r="8615" spans="1:4">
      <c r="A8615" t="str">
        <f t="shared" si="142"/>
        <v>879Total Fees</v>
      </c>
      <c r="B8615">
        <v>879</v>
      </c>
      <c r="C8615" s="9" t="s">
        <v>40</v>
      </c>
      <c r="D8615" s="8">
        <v>0</v>
      </c>
    </row>
    <row r="8616" spans="1:4">
      <c r="A8616" t="str">
        <f t="shared" si="142"/>
        <v>879Estimated Strategy Capacity</v>
      </c>
      <c r="B8616">
        <v>879</v>
      </c>
      <c r="C8616" s="9" t="s">
        <v>41</v>
      </c>
      <c r="D8616" s="8">
        <v>130000000</v>
      </c>
    </row>
    <row r="8617" spans="1:4">
      <c r="A8617" t="str">
        <f t="shared" si="142"/>
        <v>880PSR</v>
      </c>
      <c r="B8617">
        <v>880</v>
      </c>
      <c r="C8617" s="9" t="s">
        <v>27</v>
      </c>
      <c r="D8617" s="8">
        <v>8.1999999999999998E-4</v>
      </c>
    </row>
    <row r="8618" spans="1:4">
      <c r="A8618" t="str">
        <f t="shared" si="142"/>
        <v>880Sharpe Ratio</v>
      </c>
      <c r="B8618">
        <v>880</v>
      </c>
      <c r="C8618" s="9" t="s">
        <v>1</v>
      </c>
      <c r="D8618" s="8">
        <v>-1.722</v>
      </c>
    </row>
    <row r="8619" spans="1:4">
      <c r="A8619" t="str">
        <f t="shared" si="142"/>
        <v>880Total Trades</v>
      </c>
      <c r="B8619">
        <v>880</v>
      </c>
      <c r="C8619" s="9" t="s">
        <v>28</v>
      </c>
      <c r="D8619" s="8">
        <v>1006</v>
      </c>
    </row>
    <row r="8620" spans="1:4">
      <c r="A8620" t="str">
        <f t="shared" si="142"/>
        <v>880Average Win</v>
      </c>
      <c r="B8620">
        <v>880</v>
      </c>
      <c r="C8620" s="9" t="s">
        <v>25</v>
      </c>
      <c r="D8620" s="8">
        <v>1E-4</v>
      </c>
    </row>
    <row r="8621" spans="1:4">
      <c r="A8621" t="str">
        <f t="shared" si="142"/>
        <v>880Average Loss</v>
      </c>
      <c r="B8621">
        <v>880</v>
      </c>
      <c r="C8621" s="9" t="s">
        <v>29</v>
      </c>
      <c r="D8621" s="8">
        <v>-5.0000000000000001E-4</v>
      </c>
    </row>
    <row r="8622" spans="1:4">
      <c r="A8622" t="str">
        <f t="shared" si="142"/>
        <v>880Compounding Annual Return</v>
      </c>
      <c r="B8622">
        <v>880</v>
      </c>
      <c r="C8622" s="9" t="s">
        <v>30</v>
      </c>
      <c r="D8622" s="8">
        <v>-1.9879999999999998E-2</v>
      </c>
    </row>
    <row r="8623" spans="1:4">
      <c r="A8623" t="str">
        <f t="shared" si="142"/>
        <v>880Drawdown</v>
      </c>
      <c r="B8623">
        <v>880</v>
      </c>
      <c r="C8623" s="9" t="s">
        <v>8</v>
      </c>
      <c r="D8623" s="8">
        <v>1.4E-2</v>
      </c>
    </row>
    <row r="8624" spans="1:4">
      <c r="A8624" t="str">
        <f t="shared" si="142"/>
        <v>880Expectancy</v>
      </c>
      <c r="B8624">
        <v>880</v>
      </c>
      <c r="C8624" s="9" t="s">
        <v>31</v>
      </c>
      <c r="D8624" s="8">
        <v>-0.26800000000000002</v>
      </c>
    </row>
    <row r="8625" spans="1:4">
      <c r="A8625" t="str">
        <f t="shared" si="142"/>
        <v>880Net Profit</v>
      </c>
      <c r="B8625">
        <v>880</v>
      </c>
      <c r="C8625" s="9" t="s">
        <v>32</v>
      </c>
      <c r="D8625" s="8">
        <v>-1.3220000000000001E-2</v>
      </c>
    </row>
    <row r="8626" spans="1:4">
      <c r="A8626" t="str">
        <f t="shared" si="142"/>
        <v>880Loss Rate</v>
      </c>
      <c r="B8626">
        <v>880</v>
      </c>
      <c r="C8626" s="9" t="s">
        <v>33</v>
      </c>
      <c r="D8626" s="8">
        <v>0.39</v>
      </c>
    </row>
    <row r="8627" spans="1:4">
      <c r="A8627" t="str">
        <f t="shared" si="142"/>
        <v>880Win Rate</v>
      </c>
      <c r="B8627">
        <v>880</v>
      </c>
      <c r="C8627" s="9" t="s">
        <v>34</v>
      </c>
      <c r="D8627" s="8">
        <v>0.61</v>
      </c>
    </row>
    <row r="8628" spans="1:4">
      <c r="A8628" t="str">
        <f t="shared" si="142"/>
        <v>880Profit-Loss Ratio</v>
      </c>
      <c r="B8628">
        <v>880</v>
      </c>
      <c r="C8628" s="9" t="s">
        <v>26</v>
      </c>
      <c r="D8628" s="8">
        <v>0.21</v>
      </c>
    </row>
    <row r="8629" spans="1:4">
      <c r="A8629" t="str">
        <f t="shared" si="142"/>
        <v>880Alpha</v>
      </c>
      <c r="B8629">
        <v>880</v>
      </c>
      <c r="C8629" s="9" t="s">
        <v>23</v>
      </c>
      <c r="D8629" s="8">
        <v>-1.4E-2</v>
      </c>
    </row>
    <row r="8630" spans="1:4">
      <c r="A8630" t="str">
        <f t="shared" si="142"/>
        <v>880Beta</v>
      </c>
      <c r="B8630">
        <v>880</v>
      </c>
      <c r="C8630" s="9" t="s">
        <v>24</v>
      </c>
      <c r="D8630" s="8">
        <v>-2E-3</v>
      </c>
    </row>
    <row r="8631" spans="1:4">
      <c r="A8631" t="str">
        <f t="shared" si="142"/>
        <v>880Annual Standard Deviation</v>
      </c>
      <c r="B8631">
        <v>880</v>
      </c>
      <c r="C8631" s="9" t="s">
        <v>35</v>
      </c>
      <c r="D8631" s="8">
        <v>8.0000000000000002E-3</v>
      </c>
    </row>
    <row r="8632" spans="1:4">
      <c r="A8632" t="str">
        <f t="shared" si="142"/>
        <v>880Annual Variance</v>
      </c>
      <c r="B8632">
        <v>880</v>
      </c>
      <c r="C8632" s="9" t="s">
        <v>36</v>
      </c>
      <c r="D8632" s="8">
        <v>0</v>
      </c>
    </row>
    <row r="8633" spans="1:4">
      <c r="A8633" t="str">
        <f t="shared" si="142"/>
        <v>880Information Ratio</v>
      </c>
      <c r="B8633">
        <v>880</v>
      </c>
      <c r="C8633" s="9" t="s">
        <v>37</v>
      </c>
      <c r="D8633" s="8">
        <v>-0.96</v>
      </c>
    </row>
    <row r="8634" spans="1:4">
      <c r="A8634" t="str">
        <f t="shared" si="142"/>
        <v>880Tracking Error</v>
      </c>
      <c r="B8634">
        <v>880</v>
      </c>
      <c r="C8634" s="9" t="s">
        <v>38</v>
      </c>
      <c r="D8634" s="8">
        <v>6.8000000000000005E-2</v>
      </c>
    </row>
    <row r="8635" spans="1:4">
      <c r="A8635" t="str">
        <f t="shared" si="142"/>
        <v>880Treynor Ratio</v>
      </c>
      <c r="B8635">
        <v>880</v>
      </c>
      <c r="C8635" s="9" t="s">
        <v>39</v>
      </c>
      <c r="D8635" s="8">
        <v>5.6859999999999999</v>
      </c>
    </row>
    <row r="8636" spans="1:4">
      <c r="A8636" t="str">
        <f t="shared" si="142"/>
        <v>880Total Fees</v>
      </c>
      <c r="B8636">
        <v>880</v>
      </c>
      <c r="C8636" s="9" t="s">
        <v>40</v>
      </c>
      <c r="D8636" s="8">
        <v>0</v>
      </c>
    </row>
    <row r="8637" spans="1:4">
      <c r="A8637" t="str">
        <f t="shared" si="142"/>
        <v>880Estimated Strategy Capacity</v>
      </c>
      <c r="B8637">
        <v>880</v>
      </c>
      <c r="C8637" s="9" t="s">
        <v>41</v>
      </c>
      <c r="D8637" s="8">
        <v>370000000</v>
      </c>
    </row>
    <row r="8638" spans="1:4">
      <c r="A8638" t="str">
        <f t="shared" si="142"/>
        <v>881PSR</v>
      </c>
      <c r="B8638">
        <v>881</v>
      </c>
      <c r="C8638" s="9" t="s">
        <v>27</v>
      </c>
      <c r="D8638" s="8">
        <v>0</v>
      </c>
    </row>
    <row r="8639" spans="1:4">
      <c r="A8639" t="str">
        <f t="shared" si="142"/>
        <v>881Sharpe Ratio</v>
      </c>
      <c r="B8639">
        <v>881</v>
      </c>
      <c r="C8639" s="9" t="s">
        <v>1</v>
      </c>
      <c r="D8639" s="8">
        <v>-2.919</v>
      </c>
    </row>
    <row r="8640" spans="1:4">
      <c r="A8640" t="str">
        <f t="shared" si="142"/>
        <v>881Total Trades</v>
      </c>
      <c r="B8640">
        <v>881</v>
      </c>
      <c r="C8640" s="9" t="s">
        <v>28</v>
      </c>
      <c r="D8640" s="8">
        <v>792</v>
      </c>
    </row>
    <row r="8641" spans="1:4">
      <c r="A8641" t="str">
        <f t="shared" si="142"/>
        <v>881Average Win</v>
      </c>
      <c r="B8641">
        <v>881</v>
      </c>
      <c r="C8641" s="9" t="s">
        <v>25</v>
      </c>
      <c r="D8641" s="8">
        <v>2.0000000000000001E-4</v>
      </c>
    </row>
    <row r="8642" spans="1:4">
      <c r="A8642" t="str">
        <f t="shared" si="142"/>
        <v>881Average Loss</v>
      </c>
      <c r="B8642">
        <v>881</v>
      </c>
      <c r="C8642" s="9" t="s">
        <v>29</v>
      </c>
      <c r="D8642" s="8">
        <v>-1.6000000000000001E-3</v>
      </c>
    </row>
    <row r="8643" spans="1:4">
      <c r="A8643" t="str">
        <f t="shared" si="142"/>
        <v>881Compounding Annual Return</v>
      </c>
      <c r="B8643">
        <v>881</v>
      </c>
      <c r="C8643" s="9" t="s">
        <v>30</v>
      </c>
      <c r="D8643" s="8">
        <v>-8.3430000000000004E-2</v>
      </c>
    </row>
    <row r="8644" spans="1:4">
      <c r="A8644" t="str">
        <f t="shared" si="142"/>
        <v>881Drawdown</v>
      </c>
      <c r="B8644">
        <v>881</v>
      </c>
      <c r="C8644" s="9" t="s">
        <v>8</v>
      </c>
      <c r="D8644" s="8">
        <v>5.8000000000000003E-2</v>
      </c>
    </row>
    <row r="8645" spans="1:4">
      <c r="A8645" t="str">
        <f t="shared" si="142"/>
        <v>881Expectancy</v>
      </c>
      <c r="B8645">
        <v>881</v>
      </c>
      <c r="C8645" s="9" t="s">
        <v>31</v>
      </c>
      <c r="D8645" s="8">
        <v>-0.34799999999999998</v>
      </c>
    </row>
    <row r="8646" spans="1:4">
      <c r="A8646" t="str">
        <f t="shared" si="142"/>
        <v>881Net Profit</v>
      </c>
      <c r="B8646">
        <v>881</v>
      </c>
      <c r="C8646" s="9" t="s">
        <v>32</v>
      </c>
      <c r="D8646" s="8">
        <v>-5.6120000000000003E-2</v>
      </c>
    </row>
    <row r="8647" spans="1:4">
      <c r="A8647" t="str">
        <f t="shared" si="142"/>
        <v>881Loss Rate</v>
      </c>
      <c r="B8647">
        <v>881</v>
      </c>
      <c r="C8647" s="9" t="s">
        <v>33</v>
      </c>
      <c r="D8647" s="8">
        <v>0.42</v>
      </c>
    </row>
    <row r="8648" spans="1:4">
      <c r="A8648" t="str">
        <f t="shared" si="142"/>
        <v>881Win Rate</v>
      </c>
      <c r="B8648">
        <v>881</v>
      </c>
      <c r="C8648" s="9" t="s">
        <v>34</v>
      </c>
      <c r="D8648" s="8">
        <v>0.57999999999999996</v>
      </c>
    </row>
    <row r="8649" spans="1:4">
      <c r="A8649" t="str">
        <f t="shared" si="142"/>
        <v>881Profit-Loss Ratio</v>
      </c>
      <c r="B8649">
        <v>881</v>
      </c>
      <c r="C8649" s="9" t="s">
        <v>26</v>
      </c>
      <c r="D8649" s="8">
        <v>0.13</v>
      </c>
    </row>
    <row r="8650" spans="1:4">
      <c r="A8650" t="str">
        <f t="shared" si="142"/>
        <v>881Alpha</v>
      </c>
      <c r="B8650">
        <v>881</v>
      </c>
      <c r="C8650" s="9" t="s">
        <v>23</v>
      </c>
      <c r="D8650" s="8">
        <v>-5.7000000000000002E-2</v>
      </c>
    </row>
    <row r="8651" spans="1:4">
      <c r="A8651" t="str">
        <f t="shared" si="142"/>
        <v>881Beta</v>
      </c>
      <c r="B8651">
        <v>881</v>
      </c>
      <c r="C8651" s="9" t="s">
        <v>24</v>
      </c>
      <c r="D8651" s="8">
        <v>-2.7E-2</v>
      </c>
    </row>
    <row r="8652" spans="1:4">
      <c r="A8652" t="str">
        <f t="shared" si="142"/>
        <v>881Annual Standard Deviation</v>
      </c>
      <c r="B8652">
        <v>881</v>
      </c>
      <c r="C8652" s="9" t="s">
        <v>35</v>
      </c>
      <c r="D8652" s="8">
        <v>0.02</v>
      </c>
    </row>
    <row r="8653" spans="1:4">
      <c r="A8653" t="str">
        <f t="shared" si="142"/>
        <v>881Annual Variance</v>
      </c>
      <c r="B8653">
        <v>881</v>
      </c>
      <c r="C8653" s="9" t="s">
        <v>36</v>
      </c>
      <c r="D8653" s="8">
        <v>0</v>
      </c>
    </row>
    <row r="8654" spans="1:4">
      <c r="A8654" t="str">
        <f t="shared" si="142"/>
        <v>881Information Ratio</v>
      </c>
      <c r="B8654">
        <v>881</v>
      </c>
      <c r="C8654" s="9" t="s">
        <v>37</v>
      </c>
      <c r="D8654" s="8">
        <v>-1.5349999999999999</v>
      </c>
    </row>
    <row r="8655" spans="1:4">
      <c r="A8655" t="str">
        <f t="shared" si="142"/>
        <v>881Tracking Error</v>
      </c>
      <c r="B8655">
        <v>881</v>
      </c>
      <c r="C8655" s="9" t="s">
        <v>38</v>
      </c>
      <c r="D8655" s="8">
        <v>7.1999999999999995E-2</v>
      </c>
    </row>
    <row r="8656" spans="1:4">
      <c r="A8656" t="str">
        <f t="shared" si="142"/>
        <v>881Treynor Ratio</v>
      </c>
      <c r="B8656">
        <v>881</v>
      </c>
      <c r="C8656" s="9" t="s">
        <v>39</v>
      </c>
      <c r="D8656" s="8">
        <v>2.1349999999999998</v>
      </c>
    </row>
    <row r="8657" spans="1:4">
      <c r="A8657" t="str">
        <f t="shared" si="142"/>
        <v>881Total Fees</v>
      </c>
      <c r="B8657">
        <v>881</v>
      </c>
      <c r="C8657" s="9" t="s">
        <v>40</v>
      </c>
      <c r="D8657" s="8">
        <v>0</v>
      </c>
    </row>
    <row r="8658" spans="1:4">
      <c r="A8658" t="str">
        <f t="shared" si="142"/>
        <v>881Estimated Strategy Capacity</v>
      </c>
      <c r="B8658">
        <v>881</v>
      </c>
      <c r="C8658" s="9" t="s">
        <v>41</v>
      </c>
      <c r="D8658" s="8">
        <v>45000000</v>
      </c>
    </row>
    <row r="8659" spans="1:4">
      <c r="A8659" t="str">
        <f t="shared" si="142"/>
        <v>882PSR</v>
      </c>
      <c r="B8659">
        <v>882</v>
      </c>
      <c r="C8659" s="9" t="s">
        <v>27</v>
      </c>
      <c r="D8659" s="8">
        <v>8.0000000000000007E-5</v>
      </c>
    </row>
    <row r="8660" spans="1:4">
      <c r="A8660" t="str">
        <f t="shared" si="142"/>
        <v>882Sharpe Ratio</v>
      </c>
      <c r="B8660">
        <v>882</v>
      </c>
      <c r="C8660" s="9" t="s">
        <v>1</v>
      </c>
      <c r="D8660" s="8">
        <v>-2.2189999999999999</v>
      </c>
    </row>
    <row r="8661" spans="1:4">
      <c r="A8661" t="str">
        <f t="shared" si="142"/>
        <v>882Total Trades</v>
      </c>
      <c r="B8661">
        <v>882</v>
      </c>
      <c r="C8661" s="9" t="s">
        <v>28</v>
      </c>
      <c r="D8661" s="8">
        <v>581</v>
      </c>
    </row>
    <row r="8662" spans="1:4">
      <c r="A8662" t="str">
        <f t="shared" si="142"/>
        <v>882Average Win</v>
      </c>
      <c r="B8662">
        <v>882</v>
      </c>
      <c r="C8662" s="9" t="s">
        <v>25</v>
      </c>
      <c r="D8662" s="8">
        <v>4.0000000000000002E-4</v>
      </c>
    </row>
    <row r="8663" spans="1:4">
      <c r="A8663" t="str">
        <f t="shared" si="142"/>
        <v>882Average Loss</v>
      </c>
      <c r="B8663">
        <v>882</v>
      </c>
      <c r="C8663" s="9" t="s">
        <v>29</v>
      </c>
      <c r="D8663" s="8">
        <v>-2.3E-3</v>
      </c>
    </row>
    <row r="8664" spans="1:4">
      <c r="A8664" t="str">
        <f t="shared" si="142"/>
        <v>882Compounding Annual Return</v>
      </c>
      <c r="B8664">
        <v>882</v>
      </c>
      <c r="C8664" s="9" t="s">
        <v>30</v>
      </c>
      <c r="D8664" s="8">
        <v>-7.7640000000000001E-2</v>
      </c>
    </row>
    <row r="8665" spans="1:4">
      <c r="A8665" t="str">
        <f t="shared" si="142"/>
        <v>882Drawdown</v>
      </c>
      <c r="B8665">
        <v>882</v>
      </c>
      <c r="C8665" s="9" t="s">
        <v>8</v>
      </c>
      <c r="D8665" s="8">
        <v>6.5000000000000002E-2</v>
      </c>
    </row>
    <row r="8666" spans="1:4">
      <c r="A8666" t="str">
        <f t="shared" si="142"/>
        <v>882Expectancy</v>
      </c>
      <c r="B8666">
        <v>882</v>
      </c>
      <c r="C8666" s="9" t="s">
        <v>31</v>
      </c>
      <c r="D8666" s="8">
        <v>-0.28100000000000003</v>
      </c>
    </row>
    <row r="8667" spans="1:4">
      <c r="A8667" t="str">
        <f t="shared" si="142"/>
        <v>882Net Profit</v>
      </c>
      <c r="B8667">
        <v>882</v>
      </c>
      <c r="C8667" s="9" t="s">
        <v>32</v>
      </c>
      <c r="D8667" s="8">
        <v>-5.2170000000000001E-2</v>
      </c>
    </row>
    <row r="8668" spans="1:4">
      <c r="A8668" t="str">
        <f t="shared" si="142"/>
        <v>882Loss Rate</v>
      </c>
      <c r="B8668">
        <v>882</v>
      </c>
      <c r="C8668" s="9" t="s">
        <v>33</v>
      </c>
      <c r="D8668" s="8">
        <v>0.39</v>
      </c>
    </row>
    <row r="8669" spans="1:4">
      <c r="A8669" t="str">
        <f t="shared" si="142"/>
        <v>882Win Rate</v>
      </c>
      <c r="B8669">
        <v>882</v>
      </c>
      <c r="C8669" s="9" t="s">
        <v>34</v>
      </c>
      <c r="D8669" s="8">
        <v>0.61</v>
      </c>
    </row>
    <row r="8670" spans="1:4">
      <c r="A8670" t="str">
        <f t="shared" si="142"/>
        <v>882Profit-Loss Ratio</v>
      </c>
      <c r="B8670">
        <v>882</v>
      </c>
      <c r="C8670" s="9" t="s">
        <v>26</v>
      </c>
      <c r="D8670" s="8">
        <v>0.18</v>
      </c>
    </row>
    <row r="8671" spans="1:4">
      <c r="A8671" t="str">
        <f t="shared" si="142"/>
        <v>882Alpha</v>
      </c>
      <c r="B8671">
        <v>882</v>
      </c>
      <c r="C8671" s="9" t="s">
        <v>23</v>
      </c>
      <c r="D8671" s="8">
        <v>-5.2999999999999999E-2</v>
      </c>
    </row>
    <row r="8672" spans="1:4">
      <c r="A8672" t="str">
        <f t="shared" si="142"/>
        <v>882Beta</v>
      </c>
      <c r="B8672">
        <v>882</v>
      </c>
      <c r="C8672" s="9" t="s">
        <v>24</v>
      </c>
      <c r="D8672" s="8">
        <v>-3.2000000000000001E-2</v>
      </c>
    </row>
    <row r="8673" spans="1:4">
      <c r="A8673" t="str">
        <f t="shared" si="142"/>
        <v>882Annual Standard Deviation</v>
      </c>
      <c r="B8673">
        <v>882</v>
      </c>
      <c r="C8673" s="9" t="s">
        <v>35</v>
      </c>
      <c r="D8673" s="8">
        <v>2.4E-2</v>
      </c>
    </row>
    <row r="8674" spans="1:4">
      <c r="A8674" t="str">
        <f t="shared" ref="A8674:A8737" si="143">B8674&amp;C8674</f>
        <v>882Annual Variance</v>
      </c>
      <c r="B8674">
        <v>882</v>
      </c>
      <c r="C8674" s="9" t="s">
        <v>36</v>
      </c>
      <c r="D8674" s="8">
        <v>1E-3</v>
      </c>
    </row>
    <row r="8675" spans="1:4">
      <c r="A8675" t="str">
        <f t="shared" si="143"/>
        <v>882Information Ratio</v>
      </c>
      <c r="B8675">
        <v>882</v>
      </c>
      <c r="C8675" s="9" t="s">
        <v>37</v>
      </c>
      <c r="D8675" s="8">
        <v>-1.4350000000000001</v>
      </c>
    </row>
    <row r="8676" spans="1:4">
      <c r="A8676" t="str">
        <f t="shared" si="143"/>
        <v>882Tracking Error</v>
      </c>
      <c r="B8676">
        <v>882</v>
      </c>
      <c r="C8676" s="9" t="s">
        <v>38</v>
      </c>
      <c r="D8676" s="8">
        <v>7.3999999999999996E-2</v>
      </c>
    </row>
    <row r="8677" spans="1:4">
      <c r="A8677" t="str">
        <f t="shared" si="143"/>
        <v>882Treynor Ratio</v>
      </c>
      <c r="B8677">
        <v>882</v>
      </c>
      <c r="C8677" s="9" t="s">
        <v>39</v>
      </c>
      <c r="D8677" s="8">
        <v>1.7190000000000001</v>
      </c>
    </row>
    <row r="8678" spans="1:4">
      <c r="A8678" t="str">
        <f t="shared" si="143"/>
        <v>882Total Fees</v>
      </c>
      <c r="B8678">
        <v>882</v>
      </c>
      <c r="C8678" s="9" t="s">
        <v>40</v>
      </c>
      <c r="D8678" s="8">
        <v>0</v>
      </c>
    </row>
    <row r="8679" spans="1:4">
      <c r="A8679" t="str">
        <f t="shared" si="143"/>
        <v>882Estimated Strategy Capacity</v>
      </c>
      <c r="B8679">
        <v>882</v>
      </c>
      <c r="C8679" s="9" t="s">
        <v>41</v>
      </c>
      <c r="D8679" s="8">
        <v>12000000</v>
      </c>
    </row>
    <row r="8680" spans="1:4">
      <c r="A8680" t="str">
        <f t="shared" si="143"/>
        <v>901PSR</v>
      </c>
      <c r="B8680">
        <v>901</v>
      </c>
      <c r="C8680" s="9" t="s">
        <v>27</v>
      </c>
      <c r="D8680" s="8">
        <v>2.48E-3</v>
      </c>
    </row>
    <row r="8681" spans="1:4">
      <c r="A8681" t="str">
        <f t="shared" si="143"/>
        <v>901Sharpe Ratio</v>
      </c>
      <c r="B8681">
        <v>901</v>
      </c>
      <c r="C8681" s="9" t="s">
        <v>1</v>
      </c>
      <c r="D8681" s="8">
        <v>-1.8420000000000001</v>
      </c>
    </row>
    <row r="8682" spans="1:4">
      <c r="A8682" t="str">
        <f t="shared" si="143"/>
        <v>901Total Trades</v>
      </c>
      <c r="B8682">
        <v>901</v>
      </c>
      <c r="C8682" s="9" t="s">
        <v>28</v>
      </c>
      <c r="D8682" s="8">
        <v>1939</v>
      </c>
    </row>
    <row r="8683" spans="1:4">
      <c r="A8683" t="str">
        <f t="shared" si="143"/>
        <v>901Average Win</v>
      </c>
      <c r="B8683">
        <v>901</v>
      </c>
      <c r="C8683" s="9" t="s">
        <v>25</v>
      </c>
      <c r="D8683" s="8">
        <v>2.0000000000000001E-4</v>
      </c>
    </row>
    <row r="8684" spans="1:4">
      <c r="A8684" t="str">
        <f t="shared" si="143"/>
        <v>901Average Loss</v>
      </c>
      <c r="B8684">
        <v>901</v>
      </c>
      <c r="C8684" s="9" t="s">
        <v>29</v>
      </c>
      <c r="D8684" s="8">
        <v>-6.9999999999999999E-4</v>
      </c>
    </row>
    <row r="8685" spans="1:4">
      <c r="A8685" t="str">
        <f t="shared" si="143"/>
        <v>901Compounding Annual Return</v>
      </c>
      <c r="B8685">
        <v>901</v>
      </c>
      <c r="C8685" s="9" t="s">
        <v>30</v>
      </c>
      <c r="D8685" s="8">
        <v>-3.083E-2</v>
      </c>
    </row>
    <row r="8686" spans="1:4">
      <c r="A8686" t="str">
        <f t="shared" si="143"/>
        <v>901Drawdown</v>
      </c>
      <c r="B8686">
        <v>901</v>
      </c>
      <c r="C8686" s="9" t="s">
        <v>8</v>
      </c>
      <c r="D8686" s="8">
        <v>2.4E-2</v>
      </c>
    </row>
    <row r="8687" spans="1:4">
      <c r="A8687" t="str">
        <f t="shared" si="143"/>
        <v>901Expectancy</v>
      </c>
      <c r="B8687">
        <v>901</v>
      </c>
      <c r="C8687" s="9" t="s">
        <v>31</v>
      </c>
      <c r="D8687" s="8">
        <v>-0.13900000000000001</v>
      </c>
    </row>
    <row r="8688" spans="1:4">
      <c r="A8688" t="str">
        <f t="shared" si="143"/>
        <v>901Net Profit</v>
      </c>
      <c r="B8688">
        <v>901</v>
      </c>
      <c r="C8688" s="9" t="s">
        <v>32</v>
      </c>
      <c r="D8688" s="8">
        <v>-2.0549999999999999E-2</v>
      </c>
    </row>
    <row r="8689" spans="1:4">
      <c r="A8689" t="str">
        <f t="shared" si="143"/>
        <v>901Loss Rate</v>
      </c>
      <c r="B8689">
        <v>901</v>
      </c>
      <c r="C8689" s="9" t="s">
        <v>33</v>
      </c>
      <c r="D8689" s="8">
        <v>0.32</v>
      </c>
    </row>
    <row r="8690" spans="1:4">
      <c r="A8690" t="str">
        <f t="shared" si="143"/>
        <v>901Win Rate</v>
      </c>
      <c r="B8690">
        <v>901</v>
      </c>
      <c r="C8690" s="9" t="s">
        <v>34</v>
      </c>
      <c r="D8690" s="8">
        <v>0.68</v>
      </c>
    </row>
    <row r="8691" spans="1:4">
      <c r="A8691" t="str">
        <f t="shared" si="143"/>
        <v>901Profit-Loss Ratio</v>
      </c>
      <c r="B8691">
        <v>901</v>
      </c>
      <c r="C8691" s="9" t="s">
        <v>26</v>
      </c>
      <c r="D8691" s="8">
        <v>0.26</v>
      </c>
    </row>
    <row r="8692" spans="1:4">
      <c r="A8692" t="str">
        <f t="shared" si="143"/>
        <v>901Alpha</v>
      </c>
      <c r="B8692">
        <v>901</v>
      </c>
      <c r="C8692" s="9" t="s">
        <v>23</v>
      </c>
      <c r="D8692" s="8">
        <v>-2.1000000000000001E-2</v>
      </c>
    </row>
    <row r="8693" spans="1:4">
      <c r="A8693" t="str">
        <f t="shared" si="143"/>
        <v>901Beta</v>
      </c>
      <c r="B8693">
        <v>901</v>
      </c>
      <c r="C8693" s="9" t="s">
        <v>24</v>
      </c>
      <c r="D8693" s="8">
        <v>-1.2999999999999999E-2</v>
      </c>
    </row>
    <row r="8694" spans="1:4">
      <c r="A8694" t="str">
        <f t="shared" si="143"/>
        <v>901Annual Standard Deviation</v>
      </c>
      <c r="B8694">
        <v>901</v>
      </c>
      <c r="C8694" s="9" t="s">
        <v>35</v>
      </c>
      <c r="D8694" s="8">
        <v>1.2E-2</v>
      </c>
    </row>
    <row r="8695" spans="1:4">
      <c r="A8695" t="str">
        <f t="shared" si="143"/>
        <v>901Annual Variance</v>
      </c>
      <c r="B8695">
        <v>901</v>
      </c>
      <c r="C8695" s="9" t="s">
        <v>36</v>
      </c>
      <c r="D8695" s="8">
        <v>0</v>
      </c>
    </row>
    <row r="8696" spans="1:4">
      <c r="A8696" t="str">
        <f t="shared" si="143"/>
        <v>901Information Ratio</v>
      </c>
      <c r="B8696">
        <v>901</v>
      </c>
      <c r="C8696" s="9" t="s">
        <v>37</v>
      </c>
      <c r="D8696" s="8">
        <v>-1.0529999999999999</v>
      </c>
    </row>
    <row r="8697" spans="1:4">
      <c r="A8697" t="str">
        <f t="shared" si="143"/>
        <v>901Tracking Error</v>
      </c>
      <c r="B8697">
        <v>901</v>
      </c>
      <c r="C8697" s="9" t="s">
        <v>38</v>
      </c>
      <c r="D8697" s="8">
        <v>6.9000000000000006E-2</v>
      </c>
    </row>
    <row r="8698" spans="1:4">
      <c r="A8698" t="str">
        <f t="shared" si="143"/>
        <v>901Treynor Ratio</v>
      </c>
      <c r="B8698">
        <v>901</v>
      </c>
      <c r="C8698" s="9" t="s">
        <v>39</v>
      </c>
      <c r="D8698" s="8">
        <v>1.6579999999999999</v>
      </c>
    </row>
    <row r="8699" spans="1:4">
      <c r="A8699" t="str">
        <f t="shared" si="143"/>
        <v>901Total Fees</v>
      </c>
      <c r="B8699">
        <v>901</v>
      </c>
      <c r="C8699" s="9" t="s">
        <v>40</v>
      </c>
      <c r="D8699" s="8">
        <v>0</v>
      </c>
    </row>
    <row r="8700" spans="1:4">
      <c r="A8700" t="str">
        <f t="shared" si="143"/>
        <v>901Estimated Strategy Capacity</v>
      </c>
      <c r="B8700">
        <v>901</v>
      </c>
      <c r="C8700" s="9" t="s">
        <v>41</v>
      </c>
      <c r="D8700" s="8">
        <v>91000000</v>
      </c>
    </row>
    <row r="8701" spans="1:4">
      <c r="A8701" t="str">
        <f t="shared" si="143"/>
        <v>902PSR</v>
      </c>
      <c r="B8701">
        <v>902</v>
      </c>
      <c r="C8701" s="9" t="s">
        <v>27</v>
      </c>
      <c r="D8701" s="8">
        <v>6.9999999999999999E-4</v>
      </c>
    </row>
    <row r="8702" spans="1:4">
      <c r="A8702" t="str">
        <f t="shared" si="143"/>
        <v>902Sharpe Ratio</v>
      </c>
      <c r="B8702">
        <v>902</v>
      </c>
      <c r="C8702" s="9" t="s">
        <v>1</v>
      </c>
      <c r="D8702" s="8">
        <v>-2.0449999999999999</v>
      </c>
    </row>
    <row r="8703" spans="1:4">
      <c r="A8703" t="str">
        <f t="shared" si="143"/>
        <v>902Total Trades</v>
      </c>
      <c r="B8703">
        <v>902</v>
      </c>
      <c r="C8703" s="9" t="s">
        <v>28</v>
      </c>
      <c r="D8703" s="8">
        <v>1506</v>
      </c>
    </row>
    <row r="8704" spans="1:4">
      <c r="A8704" t="str">
        <f t="shared" si="143"/>
        <v>902Average Win</v>
      </c>
      <c r="B8704">
        <v>902</v>
      </c>
      <c r="C8704" s="9" t="s">
        <v>25</v>
      </c>
      <c r="D8704" s="8">
        <v>5.0000000000000001E-4</v>
      </c>
    </row>
    <row r="8705" spans="1:4">
      <c r="A8705" t="str">
        <f t="shared" si="143"/>
        <v>902Average Loss</v>
      </c>
      <c r="B8705">
        <v>902</v>
      </c>
      <c r="C8705" s="9" t="s">
        <v>29</v>
      </c>
      <c r="D8705" s="8">
        <v>-1.6999999999999999E-3</v>
      </c>
    </row>
    <row r="8706" spans="1:4">
      <c r="A8706" t="str">
        <f t="shared" si="143"/>
        <v>902Compounding Annual Return</v>
      </c>
      <c r="B8706">
        <v>902</v>
      </c>
      <c r="C8706" s="9" t="s">
        <v>30</v>
      </c>
      <c r="D8706" s="8">
        <v>-8.0369999999999997E-2</v>
      </c>
    </row>
    <row r="8707" spans="1:4">
      <c r="A8707" t="str">
        <f t="shared" si="143"/>
        <v>902Drawdown</v>
      </c>
      <c r="B8707">
        <v>902</v>
      </c>
      <c r="C8707" s="9" t="s">
        <v>8</v>
      </c>
      <c r="D8707" s="8">
        <v>5.8999999999999997E-2</v>
      </c>
    </row>
    <row r="8708" spans="1:4">
      <c r="A8708" t="str">
        <f t="shared" si="143"/>
        <v>902Expectancy</v>
      </c>
      <c r="B8708">
        <v>902</v>
      </c>
      <c r="C8708" s="9" t="s">
        <v>31</v>
      </c>
      <c r="D8708" s="8">
        <v>-0.151</v>
      </c>
    </row>
    <row r="8709" spans="1:4">
      <c r="A8709" t="str">
        <f t="shared" si="143"/>
        <v>902Net Profit</v>
      </c>
      <c r="B8709">
        <v>902</v>
      </c>
      <c r="C8709" s="9" t="s">
        <v>32</v>
      </c>
      <c r="D8709" s="8">
        <v>-5.4030000000000002E-2</v>
      </c>
    </row>
    <row r="8710" spans="1:4">
      <c r="A8710" t="str">
        <f t="shared" si="143"/>
        <v>902Loss Rate</v>
      </c>
      <c r="B8710">
        <v>902</v>
      </c>
      <c r="C8710" s="9" t="s">
        <v>33</v>
      </c>
      <c r="D8710" s="8">
        <v>0.35</v>
      </c>
    </row>
    <row r="8711" spans="1:4">
      <c r="A8711" t="str">
        <f t="shared" si="143"/>
        <v>902Win Rate</v>
      </c>
      <c r="B8711">
        <v>902</v>
      </c>
      <c r="C8711" s="9" t="s">
        <v>34</v>
      </c>
      <c r="D8711" s="8">
        <v>0.65</v>
      </c>
    </row>
    <row r="8712" spans="1:4">
      <c r="A8712" t="str">
        <f t="shared" si="143"/>
        <v>902Profit-Loss Ratio</v>
      </c>
      <c r="B8712">
        <v>902</v>
      </c>
      <c r="C8712" s="9" t="s">
        <v>26</v>
      </c>
      <c r="D8712" s="8">
        <v>0.3</v>
      </c>
    </row>
    <row r="8713" spans="1:4">
      <c r="A8713" t="str">
        <f t="shared" si="143"/>
        <v>902Alpha</v>
      </c>
      <c r="B8713">
        <v>902</v>
      </c>
      <c r="C8713" s="9" t="s">
        <v>23</v>
      </c>
      <c r="D8713" s="8">
        <v>-5.5E-2</v>
      </c>
    </row>
    <row r="8714" spans="1:4">
      <c r="A8714" t="str">
        <f t="shared" si="143"/>
        <v>902Beta</v>
      </c>
      <c r="B8714">
        <v>902</v>
      </c>
      <c r="C8714" s="9" t="s">
        <v>24</v>
      </c>
      <c r="D8714" s="8">
        <v>-1.7000000000000001E-2</v>
      </c>
    </row>
    <row r="8715" spans="1:4">
      <c r="A8715" t="str">
        <f t="shared" si="143"/>
        <v>902Annual Standard Deviation</v>
      </c>
      <c r="B8715">
        <v>902</v>
      </c>
      <c r="C8715" s="9" t="s">
        <v>35</v>
      </c>
      <c r="D8715" s="8">
        <v>2.7E-2</v>
      </c>
    </row>
    <row r="8716" spans="1:4">
      <c r="A8716" t="str">
        <f t="shared" si="143"/>
        <v>902Annual Variance</v>
      </c>
      <c r="B8716">
        <v>902</v>
      </c>
      <c r="C8716" s="9" t="s">
        <v>36</v>
      </c>
      <c r="D8716" s="8">
        <v>1E-3</v>
      </c>
    </row>
    <row r="8717" spans="1:4">
      <c r="A8717" t="str">
        <f t="shared" si="143"/>
        <v>902Information Ratio</v>
      </c>
      <c r="B8717">
        <v>902</v>
      </c>
      <c r="C8717" s="9" t="s">
        <v>37</v>
      </c>
      <c r="D8717" s="8">
        <v>-1.466</v>
      </c>
    </row>
    <row r="8718" spans="1:4">
      <c r="A8718" t="str">
        <f t="shared" si="143"/>
        <v>902Tracking Error</v>
      </c>
      <c r="B8718">
        <v>902</v>
      </c>
      <c r="C8718" s="9" t="s">
        <v>38</v>
      </c>
      <c r="D8718" s="8">
        <v>7.3999999999999996E-2</v>
      </c>
    </row>
    <row r="8719" spans="1:4">
      <c r="A8719" t="str">
        <f t="shared" si="143"/>
        <v>902Treynor Ratio</v>
      </c>
      <c r="B8719">
        <v>902</v>
      </c>
      <c r="C8719" s="9" t="s">
        <v>39</v>
      </c>
      <c r="D8719" s="8">
        <v>3.2389999999999999</v>
      </c>
    </row>
    <row r="8720" spans="1:4">
      <c r="A8720" t="str">
        <f t="shared" si="143"/>
        <v>902Total Fees</v>
      </c>
      <c r="B8720">
        <v>902</v>
      </c>
      <c r="C8720" s="9" t="s">
        <v>40</v>
      </c>
      <c r="D8720" s="8">
        <v>0</v>
      </c>
    </row>
    <row r="8721" spans="1:4">
      <c r="A8721" t="str">
        <f t="shared" si="143"/>
        <v>902Estimated Strategy Capacity</v>
      </c>
      <c r="B8721">
        <v>902</v>
      </c>
      <c r="C8721" s="9" t="s">
        <v>41</v>
      </c>
      <c r="D8721" s="8">
        <v>13000000</v>
      </c>
    </row>
    <row r="8722" spans="1:4">
      <c r="A8722" t="str">
        <f t="shared" si="143"/>
        <v>903PSR</v>
      </c>
      <c r="B8722">
        <v>903</v>
      </c>
      <c r="C8722" s="9" t="s">
        <v>27</v>
      </c>
      <c r="D8722" s="8">
        <v>5.5000000000000003E-4</v>
      </c>
    </row>
    <row r="8723" spans="1:4">
      <c r="A8723" t="str">
        <f t="shared" si="143"/>
        <v>903Sharpe Ratio</v>
      </c>
      <c r="B8723">
        <v>903</v>
      </c>
      <c r="C8723" s="9" t="s">
        <v>1</v>
      </c>
      <c r="D8723" s="8">
        <v>-2.036</v>
      </c>
    </row>
    <row r="8724" spans="1:4">
      <c r="A8724" t="str">
        <f t="shared" si="143"/>
        <v>903Total Trades</v>
      </c>
      <c r="B8724">
        <v>903</v>
      </c>
      <c r="C8724" s="9" t="s">
        <v>28</v>
      </c>
      <c r="D8724" s="8">
        <v>1120</v>
      </c>
    </row>
    <row r="8725" spans="1:4">
      <c r="A8725" t="str">
        <f t="shared" si="143"/>
        <v>903Average Win</v>
      </c>
      <c r="B8725">
        <v>903</v>
      </c>
      <c r="C8725" s="9" t="s">
        <v>25</v>
      </c>
      <c r="D8725" s="8">
        <v>6.9999999999999999E-4</v>
      </c>
    </row>
    <row r="8726" spans="1:4">
      <c r="A8726" t="str">
        <f t="shared" si="143"/>
        <v>903Average Loss</v>
      </c>
      <c r="B8726">
        <v>903</v>
      </c>
      <c r="C8726" s="9" t="s">
        <v>29</v>
      </c>
      <c r="D8726" s="8">
        <v>-2.3E-3</v>
      </c>
    </row>
    <row r="8727" spans="1:4">
      <c r="A8727" t="str">
        <f t="shared" si="143"/>
        <v>903Compounding Annual Return</v>
      </c>
      <c r="B8727">
        <v>903</v>
      </c>
      <c r="C8727" s="9" t="s">
        <v>30</v>
      </c>
      <c r="D8727" s="8">
        <v>-0.10065</v>
      </c>
    </row>
    <row r="8728" spans="1:4">
      <c r="A8728" t="str">
        <f t="shared" si="143"/>
        <v>903Drawdown</v>
      </c>
      <c r="B8728">
        <v>903</v>
      </c>
      <c r="C8728" s="9" t="s">
        <v>8</v>
      </c>
      <c r="D8728" s="8">
        <v>7.1999999999999995E-2</v>
      </c>
    </row>
    <row r="8729" spans="1:4">
      <c r="A8729" t="str">
        <f t="shared" si="143"/>
        <v>903Expectancy</v>
      </c>
      <c r="B8729">
        <v>903</v>
      </c>
      <c r="C8729" s="9" t="s">
        <v>31</v>
      </c>
      <c r="D8729" s="8">
        <v>-0.157</v>
      </c>
    </row>
    <row r="8730" spans="1:4">
      <c r="A8730" t="str">
        <f t="shared" si="143"/>
        <v>903Net Profit</v>
      </c>
      <c r="B8730">
        <v>903</v>
      </c>
      <c r="C8730" s="9" t="s">
        <v>32</v>
      </c>
      <c r="D8730" s="8">
        <v>-6.7909999999999998E-2</v>
      </c>
    </row>
    <row r="8731" spans="1:4">
      <c r="A8731" t="str">
        <f t="shared" si="143"/>
        <v>903Loss Rate</v>
      </c>
      <c r="B8731">
        <v>903</v>
      </c>
      <c r="C8731" s="9" t="s">
        <v>33</v>
      </c>
      <c r="D8731" s="8">
        <v>0.35</v>
      </c>
    </row>
    <row r="8732" spans="1:4">
      <c r="A8732" t="str">
        <f t="shared" si="143"/>
        <v>903Win Rate</v>
      </c>
      <c r="B8732">
        <v>903</v>
      </c>
      <c r="C8732" s="9" t="s">
        <v>34</v>
      </c>
      <c r="D8732" s="8">
        <v>0.65</v>
      </c>
    </row>
    <row r="8733" spans="1:4">
      <c r="A8733" t="str">
        <f t="shared" si="143"/>
        <v>903Profit-Loss Ratio</v>
      </c>
      <c r="B8733">
        <v>903</v>
      </c>
      <c r="C8733" s="9" t="s">
        <v>26</v>
      </c>
      <c r="D8733" s="8">
        <v>0.28999999999999998</v>
      </c>
    </row>
    <row r="8734" spans="1:4">
      <c r="A8734" t="str">
        <f t="shared" si="143"/>
        <v>903Alpha</v>
      </c>
      <c r="B8734">
        <v>903</v>
      </c>
      <c r="C8734" s="9" t="s">
        <v>23</v>
      </c>
      <c r="D8734" s="8">
        <v>-7.0999999999999994E-2</v>
      </c>
    </row>
    <row r="8735" spans="1:4">
      <c r="A8735" t="str">
        <f t="shared" si="143"/>
        <v>903Beta</v>
      </c>
      <c r="B8735">
        <v>903</v>
      </c>
      <c r="C8735" s="9" t="s">
        <v>24</v>
      </c>
      <c r="D8735" s="8">
        <v>1.0999999999999999E-2</v>
      </c>
    </row>
    <row r="8736" spans="1:4">
      <c r="A8736" t="str">
        <f t="shared" si="143"/>
        <v>903Annual Standard Deviation</v>
      </c>
      <c r="B8736">
        <v>903</v>
      </c>
      <c r="C8736" s="9" t="s">
        <v>35</v>
      </c>
      <c r="D8736" s="8">
        <v>3.5000000000000003E-2</v>
      </c>
    </row>
    <row r="8737" spans="1:4">
      <c r="A8737" t="str">
        <f t="shared" si="143"/>
        <v>903Annual Variance</v>
      </c>
      <c r="B8737">
        <v>903</v>
      </c>
      <c r="C8737" s="9" t="s">
        <v>36</v>
      </c>
      <c r="D8737" s="8">
        <v>1E-3</v>
      </c>
    </row>
    <row r="8738" spans="1:4">
      <c r="A8738" t="str">
        <f t="shared" ref="A8738:A8801" si="144">B8738&amp;C8738</f>
        <v>903Information Ratio</v>
      </c>
      <c r="B8738">
        <v>903</v>
      </c>
      <c r="C8738" s="9" t="s">
        <v>37</v>
      </c>
      <c r="D8738" s="8">
        <v>-1.6319999999999999</v>
      </c>
    </row>
    <row r="8739" spans="1:4">
      <c r="A8739" t="str">
        <f t="shared" si="144"/>
        <v>903Tracking Error</v>
      </c>
      <c r="B8739">
        <v>903</v>
      </c>
      <c r="C8739" s="9" t="s">
        <v>38</v>
      </c>
      <c r="D8739" s="8">
        <v>7.4999999999999997E-2</v>
      </c>
    </row>
    <row r="8740" spans="1:4">
      <c r="A8740" t="str">
        <f t="shared" si="144"/>
        <v>903Treynor Ratio</v>
      </c>
      <c r="B8740">
        <v>903</v>
      </c>
      <c r="C8740" s="9" t="s">
        <v>39</v>
      </c>
      <c r="D8740" s="8">
        <v>-6.1239999999999997</v>
      </c>
    </row>
    <row r="8741" spans="1:4">
      <c r="A8741" t="str">
        <f t="shared" si="144"/>
        <v>903Total Fees</v>
      </c>
      <c r="B8741">
        <v>903</v>
      </c>
      <c r="C8741" s="9" t="s">
        <v>40</v>
      </c>
      <c r="D8741" s="8">
        <v>0</v>
      </c>
    </row>
    <row r="8742" spans="1:4">
      <c r="A8742" t="str">
        <f t="shared" si="144"/>
        <v>903Estimated Strategy Capacity</v>
      </c>
      <c r="B8742">
        <v>903</v>
      </c>
      <c r="C8742" s="9" t="s">
        <v>41</v>
      </c>
      <c r="D8742" s="8">
        <v>5100000</v>
      </c>
    </row>
    <row r="8743" spans="1:4">
      <c r="A8743" t="str">
        <f t="shared" si="144"/>
        <v>904PSR</v>
      </c>
      <c r="B8743">
        <v>904</v>
      </c>
      <c r="C8743" s="9" t="s">
        <v>27</v>
      </c>
      <c r="D8743" s="8">
        <v>6.8700000000000002E-3</v>
      </c>
    </row>
    <row r="8744" spans="1:4">
      <c r="A8744" t="str">
        <f t="shared" si="144"/>
        <v>904Sharpe Ratio</v>
      </c>
      <c r="B8744">
        <v>904</v>
      </c>
      <c r="C8744" s="9" t="s">
        <v>1</v>
      </c>
      <c r="D8744" s="8">
        <v>-1.33</v>
      </c>
    </row>
    <row r="8745" spans="1:4">
      <c r="A8745" t="str">
        <f t="shared" si="144"/>
        <v>904Total Trades</v>
      </c>
      <c r="B8745">
        <v>904</v>
      </c>
      <c r="C8745" s="9" t="s">
        <v>28</v>
      </c>
      <c r="D8745" s="8">
        <v>1436</v>
      </c>
    </row>
    <row r="8746" spans="1:4">
      <c r="A8746" t="str">
        <f t="shared" si="144"/>
        <v>904Average Win</v>
      </c>
      <c r="B8746">
        <v>904</v>
      </c>
      <c r="C8746" s="9" t="s">
        <v>25</v>
      </c>
      <c r="D8746" s="8">
        <v>2.0000000000000001E-4</v>
      </c>
    </row>
    <row r="8747" spans="1:4">
      <c r="A8747" t="str">
        <f t="shared" si="144"/>
        <v>904Average Loss</v>
      </c>
      <c r="B8747">
        <v>904</v>
      </c>
      <c r="C8747" s="9" t="s">
        <v>29</v>
      </c>
      <c r="D8747" s="8">
        <v>-5.0000000000000001E-4</v>
      </c>
    </row>
    <row r="8748" spans="1:4">
      <c r="A8748" t="str">
        <f t="shared" si="144"/>
        <v>904Compounding Annual Return</v>
      </c>
      <c r="B8748">
        <v>904</v>
      </c>
      <c r="C8748" s="9" t="s">
        <v>30</v>
      </c>
      <c r="D8748" s="8">
        <v>-1.9480000000000001E-2</v>
      </c>
    </row>
    <row r="8749" spans="1:4">
      <c r="A8749" t="str">
        <f t="shared" si="144"/>
        <v>904Drawdown</v>
      </c>
      <c r="B8749">
        <v>904</v>
      </c>
      <c r="C8749" s="9" t="s">
        <v>8</v>
      </c>
      <c r="D8749" s="8">
        <v>1.4E-2</v>
      </c>
    </row>
    <row r="8750" spans="1:4">
      <c r="A8750" t="str">
        <f t="shared" si="144"/>
        <v>904Expectancy</v>
      </c>
      <c r="B8750">
        <v>904</v>
      </c>
      <c r="C8750" s="9" t="s">
        <v>31</v>
      </c>
      <c r="D8750" s="8">
        <v>-0.151</v>
      </c>
    </row>
    <row r="8751" spans="1:4">
      <c r="A8751" t="str">
        <f t="shared" si="144"/>
        <v>904Net Profit</v>
      </c>
      <c r="B8751">
        <v>904</v>
      </c>
      <c r="C8751" s="9" t="s">
        <v>32</v>
      </c>
      <c r="D8751" s="8">
        <v>-1.2959999999999999E-2</v>
      </c>
    </row>
    <row r="8752" spans="1:4">
      <c r="A8752" t="str">
        <f t="shared" si="144"/>
        <v>904Loss Rate</v>
      </c>
      <c r="B8752">
        <v>904</v>
      </c>
      <c r="C8752" s="9" t="s">
        <v>33</v>
      </c>
      <c r="D8752" s="8">
        <v>0.4</v>
      </c>
    </row>
    <row r="8753" spans="1:4">
      <c r="A8753" t="str">
        <f t="shared" si="144"/>
        <v>904Win Rate</v>
      </c>
      <c r="B8753">
        <v>904</v>
      </c>
      <c r="C8753" s="9" t="s">
        <v>34</v>
      </c>
      <c r="D8753" s="8">
        <v>0.6</v>
      </c>
    </row>
    <row r="8754" spans="1:4">
      <c r="A8754" t="str">
        <f t="shared" si="144"/>
        <v>904Profit-Loss Ratio</v>
      </c>
      <c r="B8754">
        <v>904</v>
      </c>
      <c r="C8754" s="9" t="s">
        <v>26</v>
      </c>
      <c r="D8754" s="8">
        <v>0.42</v>
      </c>
    </row>
    <row r="8755" spans="1:4">
      <c r="A8755" t="str">
        <f t="shared" si="144"/>
        <v>904Alpha</v>
      </c>
      <c r="B8755">
        <v>904</v>
      </c>
      <c r="C8755" s="9" t="s">
        <v>23</v>
      </c>
      <c r="D8755" s="8">
        <v>-1.2999999999999999E-2</v>
      </c>
    </row>
    <row r="8756" spans="1:4">
      <c r="A8756" t="str">
        <f t="shared" si="144"/>
        <v>904Beta</v>
      </c>
      <c r="B8756">
        <v>904</v>
      </c>
      <c r="C8756" s="9" t="s">
        <v>24</v>
      </c>
      <c r="D8756" s="8">
        <v>-6.0000000000000001E-3</v>
      </c>
    </row>
    <row r="8757" spans="1:4">
      <c r="A8757" t="str">
        <f t="shared" si="144"/>
        <v>904Annual Standard Deviation</v>
      </c>
      <c r="B8757">
        <v>904</v>
      </c>
      <c r="C8757" s="9" t="s">
        <v>35</v>
      </c>
      <c r="D8757" s="8">
        <v>0.01</v>
      </c>
    </row>
    <row r="8758" spans="1:4">
      <c r="A8758" t="str">
        <f t="shared" si="144"/>
        <v>904Annual Variance</v>
      </c>
      <c r="B8758">
        <v>904</v>
      </c>
      <c r="C8758" s="9" t="s">
        <v>36</v>
      </c>
      <c r="D8758" s="8">
        <v>0</v>
      </c>
    </row>
    <row r="8759" spans="1:4">
      <c r="A8759" t="str">
        <f t="shared" si="144"/>
        <v>904Information Ratio</v>
      </c>
      <c r="B8759">
        <v>904</v>
      </c>
      <c r="C8759" s="9" t="s">
        <v>37</v>
      </c>
      <c r="D8759" s="8">
        <v>-0.95699999999999996</v>
      </c>
    </row>
    <row r="8760" spans="1:4">
      <c r="A8760" t="str">
        <f t="shared" si="144"/>
        <v>904Tracking Error</v>
      </c>
      <c r="B8760">
        <v>904</v>
      </c>
      <c r="C8760" s="9" t="s">
        <v>38</v>
      </c>
      <c r="D8760" s="8">
        <v>6.9000000000000006E-2</v>
      </c>
    </row>
    <row r="8761" spans="1:4">
      <c r="A8761" t="str">
        <f t="shared" si="144"/>
        <v>904Treynor Ratio</v>
      </c>
      <c r="B8761">
        <v>904</v>
      </c>
      <c r="C8761" s="9" t="s">
        <v>39</v>
      </c>
      <c r="D8761" s="8">
        <v>2.1219999999999999</v>
      </c>
    </row>
    <row r="8762" spans="1:4">
      <c r="A8762" t="str">
        <f t="shared" si="144"/>
        <v>904Total Fees</v>
      </c>
      <c r="B8762">
        <v>904</v>
      </c>
      <c r="C8762" s="9" t="s">
        <v>40</v>
      </c>
      <c r="D8762" s="8">
        <v>0</v>
      </c>
    </row>
    <row r="8763" spans="1:4">
      <c r="A8763" t="str">
        <f t="shared" si="144"/>
        <v>904Estimated Strategy Capacity</v>
      </c>
      <c r="B8763">
        <v>904</v>
      </c>
      <c r="C8763" s="9" t="s">
        <v>41</v>
      </c>
      <c r="D8763" s="8">
        <v>5900000</v>
      </c>
    </row>
    <row r="8764" spans="1:4">
      <c r="A8764" t="str">
        <f t="shared" si="144"/>
        <v>905PSR</v>
      </c>
      <c r="B8764">
        <v>905</v>
      </c>
      <c r="C8764" s="9" t="s">
        <v>27</v>
      </c>
      <c r="D8764" s="8">
        <v>5.7400000000000003E-3</v>
      </c>
    </row>
    <row r="8765" spans="1:4">
      <c r="A8765" t="str">
        <f t="shared" si="144"/>
        <v>905Sharpe Ratio</v>
      </c>
      <c r="B8765">
        <v>905</v>
      </c>
      <c r="C8765" s="9" t="s">
        <v>1</v>
      </c>
      <c r="D8765" s="8">
        <v>-1.282</v>
      </c>
    </row>
    <row r="8766" spans="1:4">
      <c r="A8766" t="str">
        <f t="shared" si="144"/>
        <v>905Total Trades</v>
      </c>
      <c r="B8766">
        <v>905</v>
      </c>
      <c r="C8766" s="9" t="s">
        <v>28</v>
      </c>
      <c r="D8766" s="8">
        <v>1109</v>
      </c>
    </row>
    <row r="8767" spans="1:4">
      <c r="A8767" t="str">
        <f t="shared" si="144"/>
        <v>905Average Win</v>
      </c>
      <c r="B8767">
        <v>905</v>
      </c>
      <c r="C8767" s="9" t="s">
        <v>25</v>
      </c>
      <c r="D8767" s="8">
        <v>5.0000000000000001E-4</v>
      </c>
    </row>
    <row r="8768" spans="1:4">
      <c r="A8768" t="str">
        <f t="shared" si="144"/>
        <v>905Average Loss</v>
      </c>
      <c r="B8768">
        <v>905</v>
      </c>
      <c r="C8768" s="9" t="s">
        <v>29</v>
      </c>
      <c r="D8768" s="8">
        <v>-1.4E-3</v>
      </c>
    </row>
    <row r="8769" spans="1:4">
      <c r="A8769" t="str">
        <f t="shared" si="144"/>
        <v>905Compounding Annual Return</v>
      </c>
      <c r="B8769">
        <v>905</v>
      </c>
      <c r="C8769" s="9" t="s">
        <v>30</v>
      </c>
      <c r="D8769" s="8">
        <v>-4.7629999999999999E-2</v>
      </c>
    </row>
    <row r="8770" spans="1:4">
      <c r="A8770" t="str">
        <f t="shared" si="144"/>
        <v>905Drawdown</v>
      </c>
      <c r="B8770">
        <v>905</v>
      </c>
      <c r="C8770" s="9" t="s">
        <v>8</v>
      </c>
      <c r="D8770" s="8">
        <v>3.7999999999999999E-2</v>
      </c>
    </row>
    <row r="8771" spans="1:4">
      <c r="A8771" t="str">
        <f t="shared" si="144"/>
        <v>905Expectancy</v>
      </c>
      <c r="B8771">
        <v>905</v>
      </c>
      <c r="C8771" s="9" t="s">
        <v>31</v>
      </c>
      <c r="D8771" s="8">
        <v>-0.13200000000000001</v>
      </c>
    </row>
    <row r="8772" spans="1:4">
      <c r="A8772" t="str">
        <f t="shared" si="144"/>
        <v>905Net Profit</v>
      </c>
      <c r="B8772">
        <v>905</v>
      </c>
      <c r="C8772" s="9" t="s">
        <v>32</v>
      </c>
      <c r="D8772" s="8">
        <v>-3.1829999999999997E-2</v>
      </c>
    </row>
    <row r="8773" spans="1:4">
      <c r="A8773" t="str">
        <f t="shared" si="144"/>
        <v>905Loss Rate</v>
      </c>
      <c r="B8773">
        <v>905</v>
      </c>
      <c r="C8773" s="9" t="s">
        <v>33</v>
      </c>
      <c r="D8773" s="8">
        <v>0.38</v>
      </c>
    </row>
    <row r="8774" spans="1:4">
      <c r="A8774" t="str">
        <f t="shared" si="144"/>
        <v>905Win Rate</v>
      </c>
      <c r="B8774">
        <v>905</v>
      </c>
      <c r="C8774" s="9" t="s">
        <v>34</v>
      </c>
      <c r="D8774" s="8">
        <v>0.62</v>
      </c>
    </row>
    <row r="8775" spans="1:4">
      <c r="A8775" t="str">
        <f t="shared" si="144"/>
        <v>905Profit-Loss Ratio</v>
      </c>
      <c r="B8775">
        <v>905</v>
      </c>
      <c r="C8775" s="9" t="s">
        <v>26</v>
      </c>
      <c r="D8775" s="8">
        <v>0.4</v>
      </c>
    </row>
    <row r="8776" spans="1:4">
      <c r="A8776" t="str">
        <f t="shared" si="144"/>
        <v>905Alpha</v>
      </c>
      <c r="B8776">
        <v>905</v>
      </c>
      <c r="C8776" s="9" t="s">
        <v>23</v>
      </c>
      <c r="D8776" s="8">
        <v>-3.3000000000000002E-2</v>
      </c>
    </row>
    <row r="8777" spans="1:4">
      <c r="A8777" t="str">
        <f t="shared" si="144"/>
        <v>905Beta</v>
      </c>
      <c r="B8777">
        <v>905</v>
      </c>
      <c r="C8777" s="9" t="s">
        <v>24</v>
      </c>
      <c r="D8777" s="8">
        <v>7.0000000000000001E-3</v>
      </c>
    </row>
    <row r="8778" spans="1:4">
      <c r="A8778" t="str">
        <f t="shared" si="144"/>
        <v>905Annual Standard Deviation</v>
      </c>
      <c r="B8778">
        <v>905</v>
      </c>
      <c r="C8778" s="9" t="s">
        <v>35</v>
      </c>
      <c r="D8778" s="8">
        <v>2.5999999999999999E-2</v>
      </c>
    </row>
    <row r="8779" spans="1:4">
      <c r="A8779" t="str">
        <f t="shared" si="144"/>
        <v>905Annual Variance</v>
      </c>
      <c r="B8779">
        <v>905</v>
      </c>
      <c r="C8779" s="9" t="s">
        <v>36</v>
      </c>
      <c r="D8779" s="8">
        <v>1E-3</v>
      </c>
    </row>
    <row r="8780" spans="1:4">
      <c r="A8780" t="str">
        <f t="shared" si="144"/>
        <v>905Information Ratio</v>
      </c>
      <c r="B8780">
        <v>905</v>
      </c>
      <c r="C8780" s="9" t="s">
        <v>37</v>
      </c>
      <c r="D8780" s="8">
        <v>-1.1879999999999999</v>
      </c>
    </row>
    <row r="8781" spans="1:4">
      <c r="A8781" t="str">
        <f t="shared" si="144"/>
        <v>905Tracking Error</v>
      </c>
      <c r="B8781">
        <v>905</v>
      </c>
      <c r="C8781" s="9" t="s">
        <v>38</v>
      </c>
      <c r="D8781" s="8">
        <v>7.1999999999999995E-2</v>
      </c>
    </row>
    <row r="8782" spans="1:4">
      <c r="A8782" t="str">
        <f t="shared" si="144"/>
        <v>905Treynor Ratio</v>
      </c>
      <c r="B8782">
        <v>905</v>
      </c>
      <c r="C8782" s="9" t="s">
        <v>39</v>
      </c>
      <c r="D8782" s="8">
        <v>-4.3940000000000001</v>
      </c>
    </row>
    <row r="8783" spans="1:4">
      <c r="A8783" t="str">
        <f t="shared" si="144"/>
        <v>905Total Fees</v>
      </c>
      <c r="B8783">
        <v>905</v>
      </c>
      <c r="C8783" s="9" t="s">
        <v>40</v>
      </c>
      <c r="D8783" s="8">
        <v>0</v>
      </c>
    </row>
    <row r="8784" spans="1:4">
      <c r="A8784" t="str">
        <f t="shared" si="144"/>
        <v>905Estimated Strategy Capacity</v>
      </c>
      <c r="B8784">
        <v>905</v>
      </c>
      <c r="C8784" s="9" t="s">
        <v>41</v>
      </c>
      <c r="D8784" s="8">
        <v>5300000</v>
      </c>
    </row>
    <row r="8785" spans="1:4">
      <c r="A8785" t="str">
        <f t="shared" si="144"/>
        <v>906PSR</v>
      </c>
      <c r="B8785">
        <v>906</v>
      </c>
      <c r="C8785" s="9" t="s">
        <v>27</v>
      </c>
      <c r="D8785" s="8">
        <v>1.1E-4</v>
      </c>
    </row>
    <row r="8786" spans="1:4">
      <c r="A8786" t="str">
        <f t="shared" si="144"/>
        <v>906Sharpe Ratio</v>
      </c>
      <c r="B8786">
        <v>906</v>
      </c>
      <c r="C8786" s="9" t="s">
        <v>1</v>
      </c>
      <c r="D8786" s="8">
        <v>-1.994</v>
      </c>
    </row>
    <row r="8787" spans="1:4">
      <c r="A8787" t="str">
        <f t="shared" si="144"/>
        <v>906Total Trades</v>
      </c>
      <c r="B8787">
        <v>906</v>
      </c>
      <c r="C8787" s="9" t="s">
        <v>28</v>
      </c>
      <c r="D8787" s="8">
        <v>836</v>
      </c>
    </row>
    <row r="8788" spans="1:4">
      <c r="A8788" t="str">
        <f t="shared" si="144"/>
        <v>906Average Win</v>
      </c>
      <c r="B8788">
        <v>906</v>
      </c>
      <c r="C8788" s="9" t="s">
        <v>25</v>
      </c>
      <c r="D8788" s="8">
        <v>5.9999999999999995E-4</v>
      </c>
    </row>
    <row r="8789" spans="1:4">
      <c r="A8789" t="str">
        <f t="shared" si="144"/>
        <v>906Average Loss</v>
      </c>
      <c r="B8789">
        <v>906</v>
      </c>
      <c r="C8789" s="9" t="s">
        <v>29</v>
      </c>
      <c r="D8789" s="8">
        <v>-1.9E-3</v>
      </c>
    </row>
    <row r="8790" spans="1:4">
      <c r="A8790" t="str">
        <f t="shared" si="144"/>
        <v>906Compounding Annual Return</v>
      </c>
      <c r="B8790">
        <v>906</v>
      </c>
      <c r="C8790" s="9" t="s">
        <v>30</v>
      </c>
      <c r="D8790" s="8">
        <v>-8.5169999999999996E-2</v>
      </c>
    </row>
    <row r="8791" spans="1:4">
      <c r="A8791" t="str">
        <f t="shared" si="144"/>
        <v>906Drawdown</v>
      </c>
      <c r="B8791">
        <v>906</v>
      </c>
      <c r="C8791" s="9" t="s">
        <v>8</v>
      </c>
      <c r="D8791" s="8">
        <v>6.3E-2</v>
      </c>
    </row>
    <row r="8792" spans="1:4">
      <c r="A8792" t="str">
        <f t="shared" si="144"/>
        <v>906Expectancy</v>
      </c>
      <c r="B8792">
        <v>906</v>
      </c>
      <c r="C8792" s="9" t="s">
        <v>31</v>
      </c>
      <c r="D8792" s="8">
        <v>-0.19500000000000001</v>
      </c>
    </row>
    <row r="8793" spans="1:4">
      <c r="A8793" t="str">
        <f t="shared" si="144"/>
        <v>906Net Profit</v>
      </c>
      <c r="B8793">
        <v>906</v>
      </c>
      <c r="C8793" s="9" t="s">
        <v>32</v>
      </c>
      <c r="D8793" s="8">
        <v>-5.7299999999999997E-2</v>
      </c>
    </row>
    <row r="8794" spans="1:4">
      <c r="A8794" t="str">
        <f t="shared" si="144"/>
        <v>906Loss Rate</v>
      </c>
      <c r="B8794">
        <v>906</v>
      </c>
      <c r="C8794" s="9" t="s">
        <v>33</v>
      </c>
      <c r="D8794" s="8">
        <v>0.39</v>
      </c>
    </row>
    <row r="8795" spans="1:4">
      <c r="A8795" t="str">
        <f t="shared" si="144"/>
        <v>906Win Rate</v>
      </c>
      <c r="B8795">
        <v>906</v>
      </c>
      <c r="C8795" s="9" t="s">
        <v>34</v>
      </c>
      <c r="D8795" s="8">
        <v>0.61</v>
      </c>
    </row>
    <row r="8796" spans="1:4">
      <c r="A8796" t="str">
        <f t="shared" si="144"/>
        <v>906Profit-Loss Ratio</v>
      </c>
      <c r="B8796">
        <v>906</v>
      </c>
      <c r="C8796" s="9" t="s">
        <v>26</v>
      </c>
      <c r="D8796" s="8">
        <v>0.31</v>
      </c>
    </row>
    <row r="8797" spans="1:4">
      <c r="A8797" t="str">
        <f t="shared" si="144"/>
        <v>906Alpha</v>
      </c>
      <c r="B8797">
        <v>906</v>
      </c>
      <c r="C8797" s="9" t="s">
        <v>23</v>
      </c>
      <c r="D8797" s="8">
        <v>-6.0999999999999999E-2</v>
      </c>
    </row>
    <row r="8798" spans="1:4">
      <c r="A8798" t="str">
        <f t="shared" si="144"/>
        <v>906Beta</v>
      </c>
      <c r="B8798">
        <v>906</v>
      </c>
      <c r="C8798" s="9" t="s">
        <v>24</v>
      </c>
      <c r="D8798" s="8">
        <v>3.2000000000000001E-2</v>
      </c>
    </row>
    <row r="8799" spans="1:4">
      <c r="A8799" t="str">
        <f t="shared" si="144"/>
        <v>906Annual Standard Deviation</v>
      </c>
      <c r="B8799">
        <v>906</v>
      </c>
      <c r="C8799" s="9" t="s">
        <v>35</v>
      </c>
      <c r="D8799" s="8">
        <v>0.03</v>
      </c>
    </row>
    <row r="8800" spans="1:4">
      <c r="A8800" t="str">
        <f t="shared" si="144"/>
        <v>906Annual Variance</v>
      </c>
      <c r="B8800">
        <v>906</v>
      </c>
      <c r="C8800" s="9" t="s">
        <v>36</v>
      </c>
      <c r="D8800" s="8">
        <v>1E-3</v>
      </c>
    </row>
    <row r="8801" spans="1:4">
      <c r="A8801" t="str">
        <f t="shared" si="144"/>
        <v>906Information Ratio</v>
      </c>
      <c r="B8801">
        <v>906</v>
      </c>
      <c r="C8801" s="9" t="s">
        <v>37</v>
      </c>
      <c r="D8801" s="8">
        <v>-1.5569999999999999</v>
      </c>
    </row>
    <row r="8802" spans="1:4">
      <c r="A8802" t="str">
        <f t="shared" ref="A8802:A8865" si="145">B8802&amp;C8802</f>
        <v>906Tracking Error</v>
      </c>
      <c r="B8802">
        <v>906</v>
      </c>
      <c r="C8802" s="9" t="s">
        <v>38</v>
      </c>
      <c r="D8802" s="8">
        <v>7.1999999999999995E-2</v>
      </c>
    </row>
    <row r="8803" spans="1:4">
      <c r="A8803" t="str">
        <f t="shared" si="145"/>
        <v>906Treynor Ratio</v>
      </c>
      <c r="B8803">
        <v>906</v>
      </c>
      <c r="C8803" s="9" t="s">
        <v>39</v>
      </c>
      <c r="D8803" s="8">
        <v>-1.8440000000000001</v>
      </c>
    </row>
    <row r="8804" spans="1:4">
      <c r="A8804" t="str">
        <f t="shared" si="145"/>
        <v>906Total Fees</v>
      </c>
      <c r="B8804">
        <v>906</v>
      </c>
      <c r="C8804" s="9" t="s">
        <v>40</v>
      </c>
      <c r="D8804" s="8">
        <v>0</v>
      </c>
    </row>
    <row r="8805" spans="1:4">
      <c r="A8805" t="str">
        <f t="shared" si="145"/>
        <v>906Estimated Strategy Capacity</v>
      </c>
      <c r="B8805">
        <v>906</v>
      </c>
      <c r="C8805" s="9" t="s">
        <v>41</v>
      </c>
      <c r="D8805" s="8">
        <v>4700000</v>
      </c>
    </row>
    <row r="8806" spans="1:4">
      <c r="A8806" t="str">
        <f t="shared" si="145"/>
        <v>907PSR</v>
      </c>
      <c r="B8806">
        <v>907</v>
      </c>
      <c r="C8806" s="9" t="s">
        <v>27</v>
      </c>
      <c r="D8806" s="8">
        <v>1.7600000000000001E-3</v>
      </c>
    </row>
    <row r="8807" spans="1:4">
      <c r="A8807" t="str">
        <f t="shared" si="145"/>
        <v>907Sharpe Ratio</v>
      </c>
      <c r="B8807">
        <v>907</v>
      </c>
      <c r="C8807" s="9" t="s">
        <v>1</v>
      </c>
      <c r="D8807" s="8">
        <v>-1.6240000000000001</v>
      </c>
    </row>
    <row r="8808" spans="1:4">
      <c r="A8808" t="str">
        <f t="shared" si="145"/>
        <v>907Total Trades</v>
      </c>
      <c r="B8808">
        <v>907</v>
      </c>
      <c r="C8808" s="9" t="s">
        <v>28</v>
      </c>
      <c r="D8808" s="8">
        <v>999</v>
      </c>
    </row>
    <row r="8809" spans="1:4">
      <c r="A8809" t="str">
        <f t="shared" si="145"/>
        <v>907Average Win</v>
      </c>
      <c r="B8809">
        <v>907</v>
      </c>
      <c r="C8809" s="9" t="s">
        <v>25</v>
      </c>
      <c r="D8809" s="8">
        <v>2.0000000000000001E-4</v>
      </c>
    </row>
    <row r="8810" spans="1:4">
      <c r="A8810" t="str">
        <f t="shared" si="145"/>
        <v>907Average Loss</v>
      </c>
      <c r="B8810">
        <v>907</v>
      </c>
      <c r="C8810" s="9" t="s">
        <v>29</v>
      </c>
      <c r="D8810" s="8">
        <v>-5.9999999999999995E-4</v>
      </c>
    </row>
    <row r="8811" spans="1:4">
      <c r="A8811" t="str">
        <f t="shared" si="145"/>
        <v>907Compounding Annual Return</v>
      </c>
      <c r="B8811">
        <v>907</v>
      </c>
      <c r="C8811" s="9" t="s">
        <v>30</v>
      </c>
      <c r="D8811" s="8">
        <v>-2.3709999999999998E-2</v>
      </c>
    </row>
    <row r="8812" spans="1:4">
      <c r="A8812" t="str">
        <f t="shared" si="145"/>
        <v>907Drawdown</v>
      </c>
      <c r="B8812">
        <v>907</v>
      </c>
      <c r="C8812" s="9" t="s">
        <v>8</v>
      </c>
      <c r="D8812" s="8">
        <v>0.02</v>
      </c>
    </row>
    <row r="8813" spans="1:4">
      <c r="A8813" t="str">
        <f t="shared" si="145"/>
        <v>907Expectancy</v>
      </c>
      <c r="B8813">
        <v>907</v>
      </c>
      <c r="C8813" s="9" t="s">
        <v>31</v>
      </c>
      <c r="D8813" s="8">
        <v>-0.2</v>
      </c>
    </row>
    <row r="8814" spans="1:4">
      <c r="A8814" t="str">
        <f t="shared" si="145"/>
        <v>907Net Profit</v>
      </c>
      <c r="B8814">
        <v>907</v>
      </c>
      <c r="C8814" s="9" t="s">
        <v>32</v>
      </c>
      <c r="D8814" s="8">
        <v>-1.5779999999999999E-2</v>
      </c>
    </row>
    <row r="8815" spans="1:4">
      <c r="A8815" t="str">
        <f t="shared" si="145"/>
        <v>907Loss Rate</v>
      </c>
      <c r="B8815">
        <v>907</v>
      </c>
      <c r="C8815" s="9" t="s">
        <v>33</v>
      </c>
      <c r="D8815" s="8">
        <v>0.37</v>
      </c>
    </row>
    <row r="8816" spans="1:4">
      <c r="A8816" t="str">
        <f t="shared" si="145"/>
        <v>907Win Rate</v>
      </c>
      <c r="B8816">
        <v>907</v>
      </c>
      <c r="C8816" s="9" t="s">
        <v>34</v>
      </c>
      <c r="D8816" s="8">
        <v>0.63</v>
      </c>
    </row>
    <row r="8817" spans="1:4">
      <c r="A8817" t="str">
        <f t="shared" si="145"/>
        <v>907Profit-Loss Ratio</v>
      </c>
      <c r="B8817">
        <v>907</v>
      </c>
      <c r="C8817" s="9" t="s">
        <v>26</v>
      </c>
      <c r="D8817" s="8">
        <v>0.27</v>
      </c>
    </row>
    <row r="8818" spans="1:4">
      <c r="A8818" t="str">
        <f t="shared" si="145"/>
        <v>907Alpha</v>
      </c>
      <c r="B8818">
        <v>907</v>
      </c>
      <c r="C8818" s="9" t="s">
        <v>23</v>
      </c>
      <c r="D8818" s="8">
        <v>-1.7000000000000001E-2</v>
      </c>
    </row>
    <row r="8819" spans="1:4">
      <c r="A8819" t="str">
        <f t="shared" si="145"/>
        <v>907Beta</v>
      </c>
      <c r="B8819">
        <v>907</v>
      </c>
      <c r="C8819" s="9" t="s">
        <v>24</v>
      </c>
      <c r="D8819" s="8">
        <v>0.01</v>
      </c>
    </row>
    <row r="8820" spans="1:4">
      <c r="A8820" t="str">
        <f t="shared" si="145"/>
        <v>907Annual Standard Deviation</v>
      </c>
      <c r="B8820">
        <v>907</v>
      </c>
      <c r="C8820" s="9" t="s">
        <v>35</v>
      </c>
      <c r="D8820" s="8">
        <v>0.01</v>
      </c>
    </row>
    <row r="8821" spans="1:4">
      <c r="A8821" t="str">
        <f t="shared" si="145"/>
        <v>907Annual Variance</v>
      </c>
      <c r="B8821">
        <v>907</v>
      </c>
      <c r="C8821" s="9" t="s">
        <v>36</v>
      </c>
      <c r="D8821" s="8">
        <v>0</v>
      </c>
    </row>
    <row r="8822" spans="1:4">
      <c r="A8822" t="str">
        <f t="shared" si="145"/>
        <v>907Information Ratio</v>
      </c>
      <c r="B8822">
        <v>907</v>
      </c>
      <c r="C8822" s="9" t="s">
        <v>37</v>
      </c>
      <c r="D8822" s="8">
        <v>-1.0169999999999999</v>
      </c>
    </row>
    <row r="8823" spans="1:4">
      <c r="A8823" t="str">
        <f t="shared" si="145"/>
        <v>907Tracking Error</v>
      </c>
      <c r="B8823">
        <v>907</v>
      </c>
      <c r="C8823" s="9" t="s">
        <v>38</v>
      </c>
      <c r="D8823" s="8">
        <v>6.7000000000000004E-2</v>
      </c>
    </row>
    <row r="8824" spans="1:4">
      <c r="A8824" t="str">
        <f t="shared" si="145"/>
        <v>907Treynor Ratio</v>
      </c>
      <c r="B8824">
        <v>907</v>
      </c>
      <c r="C8824" s="9" t="s">
        <v>39</v>
      </c>
      <c r="D8824" s="8">
        <v>-1.59</v>
      </c>
    </row>
    <row r="8825" spans="1:4">
      <c r="A8825" t="str">
        <f t="shared" si="145"/>
        <v>907Total Fees</v>
      </c>
      <c r="B8825">
        <v>907</v>
      </c>
      <c r="C8825" s="9" t="s">
        <v>40</v>
      </c>
      <c r="D8825" s="8">
        <v>0</v>
      </c>
    </row>
    <row r="8826" spans="1:4">
      <c r="A8826" t="str">
        <f t="shared" si="145"/>
        <v>907Estimated Strategy Capacity</v>
      </c>
      <c r="B8826">
        <v>907</v>
      </c>
      <c r="C8826" s="9" t="s">
        <v>41</v>
      </c>
      <c r="D8826" s="8">
        <v>12000000</v>
      </c>
    </row>
    <row r="8827" spans="1:4">
      <c r="A8827" t="str">
        <f t="shared" si="145"/>
        <v>908PSR</v>
      </c>
      <c r="B8827">
        <v>908</v>
      </c>
      <c r="C8827" s="9" t="s">
        <v>27</v>
      </c>
      <c r="D8827" s="8">
        <v>0</v>
      </c>
    </row>
    <row r="8828" spans="1:4">
      <c r="A8828" t="str">
        <f t="shared" si="145"/>
        <v>908Sharpe Ratio</v>
      </c>
      <c r="B8828">
        <v>908</v>
      </c>
      <c r="C8828" s="9" t="s">
        <v>1</v>
      </c>
      <c r="D8828" s="8">
        <v>-2.585</v>
      </c>
    </row>
    <row r="8829" spans="1:4">
      <c r="A8829" t="str">
        <f t="shared" si="145"/>
        <v>908Total Trades</v>
      </c>
      <c r="B8829">
        <v>908</v>
      </c>
      <c r="C8829" s="9" t="s">
        <v>28</v>
      </c>
      <c r="D8829" s="8">
        <v>786</v>
      </c>
    </row>
    <row r="8830" spans="1:4">
      <c r="A8830" t="str">
        <f t="shared" si="145"/>
        <v>908Average Win</v>
      </c>
      <c r="B8830">
        <v>908</v>
      </c>
      <c r="C8830" s="9" t="s">
        <v>25</v>
      </c>
      <c r="D8830" s="8">
        <v>2.9999999999999997E-4</v>
      </c>
    </row>
    <row r="8831" spans="1:4">
      <c r="A8831" t="str">
        <f t="shared" si="145"/>
        <v>908Average Loss</v>
      </c>
      <c r="B8831">
        <v>908</v>
      </c>
      <c r="C8831" s="9" t="s">
        <v>29</v>
      </c>
      <c r="D8831" s="8">
        <v>-2.2000000000000001E-3</v>
      </c>
    </row>
    <row r="8832" spans="1:4">
      <c r="A8832" t="str">
        <f t="shared" si="145"/>
        <v>908Compounding Annual Return</v>
      </c>
      <c r="B8832">
        <v>908</v>
      </c>
      <c r="C8832" s="9" t="s">
        <v>30</v>
      </c>
      <c r="D8832" s="8">
        <v>-0.10137</v>
      </c>
    </row>
    <row r="8833" spans="1:4">
      <c r="A8833" t="str">
        <f t="shared" si="145"/>
        <v>908Drawdown</v>
      </c>
      <c r="B8833">
        <v>908</v>
      </c>
      <c r="C8833" s="9" t="s">
        <v>8</v>
      </c>
      <c r="D8833" s="8">
        <v>7.1999999999999995E-2</v>
      </c>
    </row>
    <row r="8834" spans="1:4">
      <c r="A8834" t="str">
        <f t="shared" si="145"/>
        <v>908Expectancy</v>
      </c>
      <c r="B8834">
        <v>908</v>
      </c>
      <c r="C8834" s="9" t="s">
        <v>31</v>
      </c>
      <c r="D8834" s="8">
        <v>-0.24199999999999999</v>
      </c>
    </row>
    <row r="8835" spans="1:4">
      <c r="A8835" t="str">
        <f t="shared" si="145"/>
        <v>908Net Profit</v>
      </c>
      <c r="B8835">
        <v>908</v>
      </c>
      <c r="C8835" s="9" t="s">
        <v>32</v>
      </c>
      <c r="D8835" s="8">
        <v>-6.8400000000000002E-2</v>
      </c>
    </row>
    <row r="8836" spans="1:4">
      <c r="A8836" t="str">
        <f t="shared" si="145"/>
        <v>908Loss Rate</v>
      </c>
      <c r="B8836">
        <v>908</v>
      </c>
      <c r="C8836" s="9" t="s">
        <v>33</v>
      </c>
      <c r="D8836" s="8">
        <v>0.33</v>
      </c>
    </row>
    <row r="8837" spans="1:4">
      <c r="A8837" t="str">
        <f t="shared" si="145"/>
        <v>908Win Rate</v>
      </c>
      <c r="B8837">
        <v>908</v>
      </c>
      <c r="C8837" s="9" t="s">
        <v>34</v>
      </c>
      <c r="D8837" s="8">
        <v>0.67</v>
      </c>
    </row>
    <row r="8838" spans="1:4">
      <c r="A8838" t="str">
        <f t="shared" si="145"/>
        <v>908Profit-Loss Ratio</v>
      </c>
      <c r="B8838">
        <v>908</v>
      </c>
      <c r="C8838" s="9" t="s">
        <v>26</v>
      </c>
      <c r="D8838" s="8">
        <v>0.14000000000000001</v>
      </c>
    </row>
    <row r="8839" spans="1:4">
      <c r="A8839" t="str">
        <f t="shared" si="145"/>
        <v>908Alpha</v>
      </c>
      <c r="B8839">
        <v>908</v>
      </c>
      <c r="C8839" s="9" t="s">
        <v>23</v>
      </c>
      <c r="D8839" s="8">
        <v>-7.1999999999999995E-2</v>
      </c>
    </row>
    <row r="8840" spans="1:4">
      <c r="A8840" t="str">
        <f t="shared" si="145"/>
        <v>908Beta</v>
      </c>
      <c r="B8840">
        <v>908</v>
      </c>
      <c r="C8840" s="9" t="s">
        <v>24</v>
      </c>
      <c r="D8840" s="8">
        <v>2.5999999999999999E-2</v>
      </c>
    </row>
    <row r="8841" spans="1:4">
      <c r="A8841" t="str">
        <f t="shared" si="145"/>
        <v>908Annual Standard Deviation</v>
      </c>
      <c r="B8841">
        <v>908</v>
      </c>
      <c r="C8841" s="9" t="s">
        <v>35</v>
      </c>
      <c r="D8841" s="8">
        <v>2.7E-2</v>
      </c>
    </row>
    <row r="8842" spans="1:4">
      <c r="A8842" t="str">
        <f t="shared" si="145"/>
        <v>908Annual Variance</v>
      </c>
      <c r="B8842">
        <v>908</v>
      </c>
      <c r="C8842" s="9" t="s">
        <v>36</v>
      </c>
      <c r="D8842" s="8">
        <v>1E-3</v>
      </c>
    </row>
    <row r="8843" spans="1:4">
      <c r="A8843" t="str">
        <f t="shared" si="145"/>
        <v>908Information Ratio</v>
      </c>
      <c r="B8843">
        <v>908</v>
      </c>
      <c r="C8843" s="9" t="s">
        <v>37</v>
      </c>
      <c r="D8843" s="8">
        <v>-1.732</v>
      </c>
    </row>
    <row r="8844" spans="1:4">
      <c r="A8844" t="str">
        <f t="shared" si="145"/>
        <v>908Tracking Error</v>
      </c>
      <c r="B8844">
        <v>908</v>
      </c>
      <c r="C8844" s="9" t="s">
        <v>38</v>
      </c>
      <c r="D8844" s="8">
        <v>7.0999999999999994E-2</v>
      </c>
    </row>
    <row r="8845" spans="1:4">
      <c r="A8845" t="str">
        <f t="shared" si="145"/>
        <v>908Treynor Ratio</v>
      </c>
      <c r="B8845">
        <v>908</v>
      </c>
      <c r="C8845" s="9" t="s">
        <v>39</v>
      </c>
      <c r="D8845" s="8">
        <v>-2.7429999999999999</v>
      </c>
    </row>
    <row r="8846" spans="1:4">
      <c r="A8846" t="str">
        <f t="shared" si="145"/>
        <v>908Total Fees</v>
      </c>
      <c r="B8846">
        <v>908</v>
      </c>
      <c r="C8846" s="9" t="s">
        <v>40</v>
      </c>
      <c r="D8846" s="8">
        <v>0</v>
      </c>
    </row>
    <row r="8847" spans="1:4">
      <c r="A8847" t="str">
        <f t="shared" si="145"/>
        <v>908Estimated Strategy Capacity</v>
      </c>
      <c r="B8847">
        <v>908</v>
      </c>
      <c r="C8847" s="9" t="s">
        <v>41</v>
      </c>
      <c r="D8847" s="8">
        <v>6000000</v>
      </c>
    </row>
    <row r="8848" spans="1:4">
      <c r="A8848" t="str">
        <f t="shared" si="145"/>
        <v>909PSR</v>
      </c>
      <c r="B8848">
        <v>909</v>
      </c>
      <c r="C8848" s="9" t="s">
        <v>27</v>
      </c>
      <c r="D8848" s="8">
        <v>0</v>
      </c>
    </row>
    <row r="8849" spans="1:4">
      <c r="A8849" t="str">
        <f t="shared" si="145"/>
        <v>909Sharpe Ratio</v>
      </c>
      <c r="B8849">
        <v>909</v>
      </c>
      <c r="C8849" s="9" t="s">
        <v>1</v>
      </c>
      <c r="D8849" s="8">
        <v>-2.5230000000000001</v>
      </c>
    </row>
    <row r="8850" spans="1:4">
      <c r="A8850" t="str">
        <f t="shared" si="145"/>
        <v>909Total Trades</v>
      </c>
      <c r="B8850">
        <v>909</v>
      </c>
      <c r="C8850" s="9" t="s">
        <v>28</v>
      </c>
      <c r="D8850" s="8">
        <v>615</v>
      </c>
    </row>
    <row r="8851" spans="1:4">
      <c r="A8851" t="str">
        <f t="shared" si="145"/>
        <v>909Average Win</v>
      </c>
      <c r="B8851">
        <v>909</v>
      </c>
      <c r="C8851" s="9" t="s">
        <v>25</v>
      </c>
      <c r="D8851" s="8">
        <v>5.0000000000000001E-4</v>
      </c>
    </row>
    <row r="8852" spans="1:4">
      <c r="A8852" t="str">
        <f t="shared" si="145"/>
        <v>909Average Loss</v>
      </c>
      <c r="B8852">
        <v>909</v>
      </c>
      <c r="C8852" s="9" t="s">
        <v>29</v>
      </c>
      <c r="D8852" s="8">
        <v>-2.7000000000000001E-3</v>
      </c>
    </row>
    <row r="8853" spans="1:4">
      <c r="A8853" t="str">
        <f t="shared" si="145"/>
        <v>909Compounding Annual Return</v>
      </c>
      <c r="B8853">
        <v>909</v>
      </c>
      <c r="C8853" s="9" t="s">
        <v>30</v>
      </c>
      <c r="D8853" s="8">
        <v>-0.10677</v>
      </c>
    </row>
    <row r="8854" spans="1:4">
      <c r="A8854" t="str">
        <f t="shared" si="145"/>
        <v>909Drawdown</v>
      </c>
      <c r="B8854">
        <v>909</v>
      </c>
      <c r="C8854" s="9" t="s">
        <v>8</v>
      </c>
      <c r="D8854" s="8">
        <v>7.5999999999999998E-2</v>
      </c>
    </row>
    <row r="8855" spans="1:4">
      <c r="A8855" t="str">
        <f t="shared" si="145"/>
        <v>909Expectancy</v>
      </c>
      <c r="B8855">
        <v>909</v>
      </c>
      <c r="C8855" s="9" t="s">
        <v>31</v>
      </c>
      <c r="D8855" s="8">
        <v>-0.22600000000000001</v>
      </c>
    </row>
    <row r="8856" spans="1:4">
      <c r="A8856" t="str">
        <f t="shared" si="145"/>
        <v>909Net Profit</v>
      </c>
      <c r="B8856">
        <v>909</v>
      </c>
      <c r="C8856" s="9" t="s">
        <v>32</v>
      </c>
      <c r="D8856" s="8">
        <v>-7.2109999999999994E-2</v>
      </c>
    </row>
    <row r="8857" spans="1:4">
      <c r="A8857" t="str">
        <f t="shared" si="145"/>
        <v>909Loss Rate</v>
      </c>
      <c r="B8857">
        <v>909</v>
      </c>
      <c r="C8857" s="9" t="s">
        <v>33</v>
      </c>
      <c r="D8857" s="8">
        <v>0.35</v>
      </c>
    </row>
    <row r="8858" spans="1:4">
      <c r="A8858" t="str">
        <f t="shared" si="145"/>
        <v>909Win Rate</v>
      </c>
      <c r="B8858">
        <v>909</v>
      </c>
      <c r="C8858" s="9" t="s">
        <v>34</v>
      </c>
      <c r="D8858" s="8">
        <v>0.65</v>
      </c>
    </row>
    <row r="8859" spans="1:4">
      <c r="A8859" t="str">
        <f t="shared" si="145"/>
        <v>909Profit-Loss Ratio</v>
      </c>
      <c r="B8859">
        <v>909</v>
      </c>
      <c r="C8859" s="9" t="s">
        <v>26</v>
      </c>
      <c r="D8859" s="8">
        <v>0.18</v>
      </c>
    </row>
    <row r="8860" spans="1:4">
      <c r="A8860" t="str">
        <f t="shared" si="145"/>
        <v>909Alpha</v>
      </c>
      <c r="B8860">
        <v>909</v>
      </c>
      <c r="C8860" s="9" t="s">
        <v>23</v>
      </c>
      <c r="D8860" s="8">
        <v>-7.5999999999999998E-2</v>
      </c>
    </row>
    <row r="8861" spans="1:4">
      <c r="A8861" t="str">
        <f t="shared" si="145"/>
        <v>909Beta</v>
      </c>
      <c r="B8861">
        <v>909</v>
      </c>
      <c r="C8861" s="9" t="s">
        <v>24</v>
      </c>
      <c r="D8861" s="8">
        <v>0.02</v>
      </c>
    </row>
    <row r="8862" spans="1:4">
      <c r="A8862" t="str">
        <f t="shared" si="145"/>
        <v>909Annual Standard Deviation</v>
      </c>
      <c r="B8862">
        <v>909</v>
      </c>
      <c r="C8862" s="9" t="s">
        <v>35</v>
      </c>
      <c r="D8862" s="8">
        <v>0.03</v>
      </c>
    </row>
    <row r="8863" spans="1:4">
      <c r="A8863" t="str">
        <f t="shared" si="145"/>
        <v>909Annual Variance</v>
      </c>
      <c r="B8863">
        <v>909</v>
      </c>
      <c r="C8863" s="9" t="s">
        <v>36</v>
      </c>
      <c r="D8863" s="8">
        <v>1E-3</v>
      </c>
    </row>
    <row r="8864" spans="1:4">
      <c r="A8864" t="str">
        <f t="shared" si="145"/>
        <v>909Information Ratio</v>
      </c>
      <c r="B8864">
        <v>909</v>
      </c>
      <c r="C8864" s="9" t="s">
        <v>37</v>
      </c>
      <c r="D8864" s="8">
        <v>-1.746</v>
      </c>
    </row>
    <row r="8865" spans="1:4">
      <c r="A8865" t="str">
        <f t="shared" si="145"/>
        <v>909Tracking Error</v>
      </c>
      <c r="B8865">
        <v>909</v>
      </c>
      <c r="C8865" s="9" t="s">
        <v>38</v>
      </c>
      <c r="D8865" s="8">
        <v>7.1999999999999995E-2</v>
      </c>
    </row>
    <row r="8866" spans="1:4">
      <c r="A8866" t="str">
        <f t="shared" ref="A8866:A8929" si="146">B8866&amp;C8866</f>
        <v>909Treynor Ratio</v>
      </c>
      <c r="B8866">
        <v>909</v>
      </c>
      <c r="C8866" s="9" t="s">
        <v>39</v>
      </c>
      <c r="D8866" s="8">
        <v>-3.722</v>
      </c>
    </row>
    <row r="8867" spans="1:4">
      <c r="A8867" t="str">
        <f t="shared" si="146"/>
        <v>909Total Fees</v>
      </c>
      <c r="B8867">
        <v>909</v>
      </c>
      <c r="C8867" s="9" t="s">
        <v>40</v>
      </c>
      <c r="D8867" s="8">
        <v>0</v>
      </c>
    </row>
    <row r="8868" spans="1:4">
      <c r="A8868" t="str">
        <f t="shared" si="146"/>
        <v>909Estimated Strategy Capacity</v>
      </c>
      <c r="B8868">
        <v>909</v>
      </c>
      <c r="C8868" s="9" t="s">
        <v>41</v>
      </c>
      <c r="D8868" s="8">
        <v>4900000</v>
      </c>
    </row>
    <row r="8869" spans="1:4">
      <c r="A8869" t="str">
        <f t="shared" si="146"/>
        <v>928PSR</v>
      </c>
      <c r="B8869">
        <v>928</v>
      </c>
      <c r="C8869" s="9" t="s">
        <v>27</v>
      </c>
      <c r="D8869" s="8">
        <v>3.3660000000000002E-2</v>
      </c>
    </row>
    <row r="8870" spans="1:4">
      <c r="A8870" t="str">
        <f t="shared" si="146"/>
        <v>928Sharpe Ratio</v>
      </c>
      <c r="B8870">
        <v>928</v>
      </c>
      <c r="C8870" s="9" t="s">
        <v>1</v>
      </c>
      <c r="D8870" s="8">
        <v>-0.80900000000000005</v>
      </c>
    </row>
    <row r="8871" spans="1:4">
      <c r="A8871" t="str">
        <f t="shared" si="146"/>
        <v>928Total Trades</v>
      </c>
      <c r="B8871">
        <v>928</v>
      </c>
      <c r="C8871" s="9" t="s">
        <v>28</v>
      </c>
      <c r="D8871" s="8">
        <v>2124</v>
      </c>
    </row>
    <row r="8872" spans="1:4">
      <c r="A8872" t="str">
        <f t="shared" si="146"/>
        <v>928Average Win</v>
      </c>
      <c r="B8872">
        <v>928</v>
      </c>
      <c r="C8872" s="9" t="s">
        <v>25</v>
      </c>
      <c r="D8872" s="8">
        <v>2.9999999999999997E-4</v>
      </c>
    </row>
    <row r="8873" spans="1:4">
      <c r="A8873" t="str">
        <f t="shared" si="146"/>
        <v>928Average Loss</v>
      </c>
      <c r="B8873">
        <v>928</v>
      </c>
      <c r="C8873" s="9" t="s">
        <v>29</v>
      </c>
      <c r="D8873" s="8">
        <v>-8.0000000000000004E-4</v>
      </c>
    </row>
    <row r="8874" spans="1:4">
      <c r="A8874" t="str">
        <f t="shared" si="146"/>
        <v>928Compounding Annual Return</v>
      </c>
      <c r="B8874">
        <v>928</v>
      </c>
      <c r="C8874" s="9" t="s">
        <v>30</v>
      </c>
      <c r="D8874" s="8">
        <v>-1.7170000000000001E-2</v>
      </c>
    </row>
    <row r="8875" spans="1:4">
      <c r="A8875" t="str">
        <f t="shared" si="146"/>
        <v>928Drawdown</v>
      </c>
      <c r="B8875">
        <v>928</v>
      </c>
      <c r="C8875" s="9" t="s">
        <v>8</v>
      </c>
      <c r="D8875" s="8">
        <v>2.5999999999999999E-2</v>
      </c>
    </row>
    <row r="8876" spans="1:4">
      <c r="A8876" t="str">
        <f t="shared" si="146"/>
        <v>928Expectancy</v>
      </c>
      <c r="B8876">
        <v>928</v>
      </c>
      <c r="C8876" s="9" t="s">
        <v>31</v>
      </c>
      <c r="D8876" s="8">
        <v>-9.2999999999999999E-2</v>
      </c>
    </row>
    <row r="8877" spans="1:4">
      <c r="A8877" t="str">
        <f t="shared" si="146"/>
        <v>928Net Profit</v>
      </c>
      <c r="B8877">
        <v>928</v>
      </c>
      <c r="C8877" s="9" t="s">
        <v>32</v>
      </c>
      <c r="D8877" s="8">
        <v>-1.142E-2</v>
      </c>
    </row>
    <row r="8878" spans="1:4">
      <c r="A8878" t="str">
        <f t="shared" si="146"/>
        <v>928Loss Rate</v>
      </c>
      <c r="B8878">
        <v>928</v>
      </c>
      <c r="C8878" s="9" t="s">
        <v>33</v>
      </c>
      <c r="D8878" s="8">
        <v>0.34</v>
      </c>
    </row>
    <row r="8879" spans="1:4">
      <c r="A8879" t="str">
        <f t="shared" si="146"/>
        <v>928Win Rate</v>
      </c>
      <c r="B8879">
        <v>928</v>
      </c>
      <c r="C8879" s="9" t="s">
        <v>34</v>
      </c>
      <c r="D8879" s="8">
        <v>0.66</v>
      </c>
    </row>
    <row r="8880" spans="1:4">
      <c r="A8880" t="str">
        <f t="shared" si="146"/>
        <v>928Profit-Loss Ratio</v>
      </c>
      <c r="B8880">
        <v>928</v>
      </c>
      <c r="C8880" s="9" t="s">
        <v>26</v>
      </c>
      <c r="D8880" s="8">
        <v>0.38</v>
      </c>
    </row>
    <row r="8881" spans="1:4">
      <c r="A8881" t="str">
        <f t="shared" si="146"/>
        <v>928Alpha</v>
      </c>
      <c r="B8881">
        <v>928</v>
      </c>
      <c r="C8881" s="9" t="s">
        <v>23</v>
      </c>
      <c r="D8881" s="8">
        <v>-8.9999999999999993E-3</v>
      </c>
    </row>
    <row r="8882" spans="1:4">
      <c r="A8882" t="str">
        <f t="shared" si="146"/>
        <v>928Beta</v>
      </c>
      <c r="B8882">
        <v>928</v>
      </c>
      <c r="C8882" s="9" t="s">
        <v>24</v>
      </c>
      <c r="D8882" s="8">
        <v>-4.4999999999999998E-2</v>
      </c>
    </row>
    <row r="8883" spans="1:4">
      <c r="A8883" t="str">
        <f t="shared" si="146"/>
        <v>928Annual Standard Deviation</v>
      </c>
      <c r="B8883">
        <v>928</v>
      </c>
      <c r="C8883" s="9" t="s">
        <v>35</v>
      </c>
      <c r="D8883" s="8">
        <v>1.4999999999999999E-2</v>
      </c>
    </row>
    <row r="8884" spans="1:4">
      <c r="A8884" t="str">
        <f t="shared" si="146"/>
        <v>928Annual Variance</v>
      </c>
      <c r="B8884">
        <v>928</v>
      </c>
      <c r="C8884" s="9" t="s">
        <v>36</v>
      </c>
      <c r="D8884" s="8">
        <v>0</v>
      </c>
    </row>
    <row r="8885" spans="1:4">
      <c r="A8885" t="str">
        <f t="shared" si="146"/>
        <v>928Information Ratio</v>
      </c>
      <c r="B8885">
        <v>928</v>
      </c>
      <c r="C8885" s="9" t="s">
        <v>37</v>
      </c>
      <c r="D8885" s="8">
        <v>-0.89</v>
      </c>
    </row>
    <row r="8886" spans="1:4">
      <c r="A8886" t="str">
        <f t="shared" si="146"/>
        <v>928Tracking Error</v>
      </c>
      <c r="B8886">
        <v>928</v>
      </c>
      <c r="C8886" s="9" t="s">
        <v>38</v>
      </c>
      <c r="D8886" s="8">
        <v>7.1999999999999995E-2</v>
      </c>
    </row>
    <row r="8887" spans="1:4">
      <c r="A8887" t="str">
        <f t="shared" si="146"/>
        <v>928Treynor Ratio</v>
      </c>
      <c r="B8887">
        <v>928</v>
      </c>
      <c r="C8887" s="9" t="s">
        <v>39</v>
      </c>
      <c r="D8887" s="8">
        <v>0.26200000000000001</v>
      </c>
    </row>
    <row r="8888" spans="1:4">
      <c r="A8888" t="str">
        <f t="shared" si="146"/>
        <v>928Total Fees</v>
      </c>
      <c r="B8888">
        <v>928</v>
      </c>
      <c r="C8888" s="9" t="s">
        <v>40</v>
      </c>
      <c r="D8888" s="8">
        <v>0</v>
      </c>
    </row>
    <row r="8889" spans="1:4">
      <c r="A8889" t="str">
        <f t="shared" si="146"/>
        <v>928Estimated Strategy Capacity</v>
      </c>
      <c r="B8889">
        <v>928</v>
      </c>
      <c r="C8889" s="9" t="s">
        <v>41</v>
      </c>
      <c r="D8889" s="8">
        <v>3700000</v>
      </c>
    </row>
    <row r="8890" spans="1:4">
      <c r="A8890" t="str">
        <f t="shared" si="146"/>
        <v>929PSR</v>
      </c>
      <c r="B8890">
        <v>929</v>
      </c>
      <c r="C8890" s="9" t="s">
        <v>27</v>
      </c>
      <c r="D8890" s="8">
        <v>0.22624</v>
      </c>
    </row>
    <row r="8891" spans="1:4">
      <c r="A8891" t="str">
        <f t="shared" si="146"/>
        <v>929Sharpe Ratio</v>
      </c>
      <c r="B8891">
        <v>929</v>
      </c>
      <c r="C8891" s="9" t="s">
        <v>1</v>
      </c>
      <c r="D8891" s="8">
        <v>0.22700000000000001</v>
      </c>
    </row>
    <row r="8892" spans="1:4">
      <c r="A8892" t="str">
        <f t="shared" si="146"/>
        <v>929Total Trades</v>
      </c>
      <c r="B8892">
        <v>929</v>
      </c>
      <c r="C8892" s="9" t="s">
        <v>28</v>
      </c>
      <c r="D8892" s="8">
        <v>1615</v>
      </c>
    </row>
    <row r="8893" spans="1:4">
      <c r="A8893" t="str">
        <f t="shared" si="146"/>
        <v>929Average Win</v>
      </c>
      <c r="B8893">
        <v>929</v>
      </c>
      <c r="C8893" s="9" t="s">
        <v>25</v>
      </c>
      <c r="D8893" s="8">
        <v>1.1000000000000001E-3</v>
      </c>
    </row>
    <row r="8894" spans="1:4">
      <c r="A8894" t="str">
        <f t="shared" si="146"/>
        <v>929Average Loss</v>
      </c>
      <c r="B8894">
        <v>929</v>
      </c>
      <c r="C8894" s="9" t="s">
        <v>29</v>
      </c>
      <c r="D8894" s="8">
        <v>-2.3E-3</v>
      </c>
    </row>
    <row r="8895" spans="1:4">
      <c r="A8895" t="str">
        <f t="shared" si="146"/>
        <v>929Compounding Annual Return</v>
      </c>
      <c r="B8895">
        <v>929</v>
      </c>
      <c r="C8895" s="9" t="s">
        <v>30</v>
      </c>
      <c r="D8895" s="8">
        <v>1.189E-2</v>
      </c>
    </row>
    <row r="8896" spans="1:4">
      <c r="A8896" t="str">
        <f t="shared" si="146"/>
        <v>929Drawdown</v>
      </c>
      <c r="B8896">
        <v>929</v>
      </c>
      <c r="C8896" s="9" t="s">
        <v>8</v>
      </c>
      <c r="D8896" s="8">
        <v>3.7999999999999999E-2</v>
      </c>
    </row>
    <row r="8897" spans="1:4">
      <c r="A8897" t="str">
        <f t="shared" si="146"/>
        <v>929Expectancy</v>
      </c>
      <c r="B8897">
        <v>929</v>
      </c>
      <c r="C8897" s="9" t="s">
        <v>31</v>
      </c>
      <c r="D8897" s="8">
        <v>0.02</v>
      </c>
    </row>
    <row r="8898" spans="1:4">
      <c r="A8898" t="str">
        <f t="shared" si="146"/>
        <v>929Net Profit</v>
      </c>
      <c r="B8898">
        <v>929</v>
      </c>
      <c r="C8898" s="9" t="s">
        <v>32</v>
      </c>
      <c r="D8898" s="8">
        <v>7.8600000000000007E-3</v>
      </c>
    </row>
    <row r="8899" spans="1:4">
      <c r="A8899" t="str">
        <f t="shared" si="146"/>
        <v>929Loss Rate</v>
      </c>
      <c r="B8899">
        <v>929</v>
      </c>
      <c r="C8899" s="9" t="s">
        <v>33</v>
      </c>
      <c r="D8899" s="8">
        <v>0.32</v>
      </c>
    </row>
    <row r="8900" spans="1:4">
      <c r="A8900" t="str">
        <f t="shared" si="146"/>
        <v>929Win Rate</v>
      </c>
      <c r="B8900">
        <v>929</v>
      </c>
      <c r="C8900" s="9" t="s">
        <v>34</v>
      </c>
      <c r="D8900" s="8">
        <v>0.68</v>
      </c>
    </row>
    <row r="8901" spans="1:4">
      <c r="A8901" t="str">
        <f t="shared" si="146"/>
        <v>929Profit-Loss Ratio</v>
      </c>
      <c r="B8901">
        <v>929</v>
      </c>
      <c r="C8901" s="9" t="s">
        <v>26</v>
      </c>
      <c r="D8901" s="8">
        <v>0.51</v>
      </c>
    </row>
    <row r="8902" spans="1:4">
      <c r="A8902" t="str">
        <f t="shared" si="146"/>
        <v>929Alpha</v>
      </c>
      <c r="B8902">
        <v>929</v>
      </c>
      <c r="C8902" s="9" t="s">
        <v>23</v>
      </c>
      <c r="D8902" s="8">
        <v>1.4999999999999999E-2</v>
      </c>
    </row>
    <row r="8903" spans="1:4">
      <c r="A8903" t="str">
        <f t="shared" si="146"/>
        <v>929Beta</v>
      </c>
      <c r="B8903">
        <v>929</v>
      </c>
      <c r="C8903" s="9" t="s">
        <v>24</v>
      </c>
      <c r="D8903" s="8">
        <v>-0.105</v>
      </c>
    </row>
    <row r="8904" spans="1:4">
      <c r="A8904" t="str">
        <f t="shared" si="146"/>
        <v>929Annual Standard Deviation</v>
      </c>
      <c r="B8904">
        <v>929</v>
      </c>
      <c r="C8904" s="9" t="s">
        <v>35</v>
      </c>
      <c r="D8904" s="8">
        <v>0.04</v>
      </c>
    </row>
    <row r="8905" spans="1:4">
      <c r="A8905" t="str">
        <f t="shared" si="146"/>
        <v>929Annual Variance</v>
      </c>
      <c r="B8905">
        <v>929</v>
      </c>
      <c r="C8905" s="9" t="s">
        <v>36</v>
      </c>
      <c r="D8905" s="8">
        <v>2E-3</v>
      </c>
    </row>
    <row r="8906" spans="1:4">
      <c r="A8906" t="str">
        <f t="shared" si="146"/>
        <v>929Information Ratio</v>
      </c>
      <c r="B8906">
        <v>929</v>
      </c>
      <c r="C8906" s="9" t="s">
        <v>37</v>
      </c>
      <c r="D8906" s="8">
        <v>-0.51300000000000001</v>
      </c>
    </row>
    <row r="8907" spans="1:4">
      <c r="A8907" t="str">
        <f t="shared" si="146"/>
        <v>929Tracking Error</v>
      </c>
      <c r="B8907">
        <v>929</v>
      </c>
      <c r="C8907" s="9" t="s">
        <v>38</v>
      </c>
      <c r="D8907" s="8">
        <v>8.4000000000000005E-2</v>
      </c>
    </row>
    <row r="8908" spans="1:4">
      <c r="A8908" t="str">
        <f t="shared" si="146"/>
        <v>929Treynor Ratio</v>
      </c>
      <c r="B8908">
        <v>929</v>
      </c>
      <c r="C8908" s="9" t="s">
        <v>39</v>
      </c>
      <c r="D8908" s="8">
        <v>-8.5999999999999993E-2</v>
      </c>
    </row>
    <row r="8909" spans="1:4">
      <c r="A8909" t="str">
        <f t="shared" si="146"/>
        <v>929Total Fees</v>
      </c>
      <c r="B8909">
        <v>929</v>
      </c>
      <c r="C8909" s="9" t="s">
        <v>40</v>
      </c>
      <c r="D8909" s="8">
        <v>0</v>
      </c>
    </row>
    <row r="8910" spans="1:4">
      <c r="A8910" t="str">
        <f t="shared" si="146"/>
        <v>929Estimated Strategy Capacity</v>
      </c>
      <c r="B8910">
        <v>929</v>
      </c>
      <c r="C8910" s="9" t="s">
        <v>41</v>
      </c>
      <c r="D8910" s="8">
        <v>4200000</v>
      </c>
    </row>
    <row r="8911" spans="1:4">
      <c r="A8911" t="str">
        <f t="shared" si="146"/>
        <v>930PSR</v>
      </c>
      <c r="B8911">
        <v>930</v>
      </c>
      <c r="C8911" s="9" t="s">
        <v>27</v>
      </c>
      <c r="D8911" s="8">
        <v>0.38697999999999999</v>
      </c>
    </row>
    <row r="8912" spans="1:4">
      <c r="A8912" t="str">
        <f t="shared" si="146"/>
        <v>930Sharpe Ratio</v>
      </c>
      <c r="B8912">
        <v>930</v>
      </c>
      <c r="C8912" s="9" t="s">
        <v>1</v>
      </c>
      <c r="D8912" s="8">
        <v>0.71299999999999997</v>
      </c>
    </row>
    <row r="8913" spans="1:4">
      <c r="A8913" t="str">
        <f t="shared" si="146"/>
        <v>930Total Trades</v>
      </c>
      <c r="B8913">
        <v>930</v>
      </c>
      <c r="C8913" s="9" t="s">
        <v>28</v>
      </c>
      <c r="D8913" s="8">
        <v>1207</v>
      </c>
    </row>
    <row r="8914" spans="1:4">
      <c r="A8914" t="str">
        <f t="shared" si="146"/>
        <v>930Average Win</v>
      </c>
      <c r="B8914">
        <v>930</v>
      </c>
      <c r="C8914" s="9" t="s">
        <v>25</v>
      </c>
      <c r="D8914" s="8">
        <v>1.6000000000000001E-3</v>
      </c>
    </row>
    <row r="8915" spans="1:4">
      <c r="A8915" t="str">
        <f t="shared" si="146"/>
        <v>930Average Loss</v>
      </c>
      <c r="B8915">
        <v>930</v>
      </c>
      <c r="C8915" s="9" t="s">
        <v>29</v>
      </c>
      <c r="D8915" s="8">
        <v>-2.5999999999999999E-3</v>
      </c>
    </row>
    <row r="8916" spans="1:4">
      <c r="A8916" t="str">
        <f t="shared" si="146"/>
        <v>930Compounding Annual Return</v>
      </c>
      <c r="B8916">
        <v>930</v>
      </c>
      <c r="C8916" s="9" t="s">
        <v>30</v>
      </c>
      <c r="D8916" s="8">
        <v>4.1829999999999999E-2</v>
      </c>
    </row>
    <row r="8917" spans="1:4">
      <c r="A8917" t="str">
        <f t="shared" si="146"/>
        <v>930Drawdown</v>
      </c>
      <c r="B8917">
        <v>930</v>
      </c>
      <c r="C8917" s="9" t="s">
        <v>8</v>
      </c>
      <c r="D8917" s="8">
        <v>3.9E-2</v>
      </c>
    </row>
    <row r="8918" spans="1:4">
      <c r="A8918" t="str">
        <f t="shared" si="146"/>
        <v>930Expectancy</v>
      </c>
      <c r="B8918">
        <v>930</v>
      </c>
      <c r="C8918" s="9" t="s">
        <v>31</v>
      </c>
      <c r="D8918" s="8">
        <v>7.2999999999999995E-2</v>
      </c>
    </row>
    <row r="8919" spans="1:4">
      <c r="A8919" t="str">
        <f t="shared" si="146"/>
        <v>930Net Profit</v>
      </c>
      <c r="B8919">
        <v>930</v>
      </c>
      <c r="C8919" s="9" t="s">
        <v>32</v>
      </c>
      <c r="D8919" s="8">
        <v>2.7539999999999999E-2</v>
      </c>
    </row>
    <row r="8920" spans="1:4">
      <c r="A8920" t="str">
        <f t="shared" si="146"/>
        <v>930Loss Rate</v>
      </c>
      <c r="B8920">
        <v>930</v>
      </c>
      <c r="C8920" s="9" t="s">
        <v>33</v>
      </c>
      <c r="D8920" s="8">
        <v>0.34</v>
      </c>
    </row>
    <row r="8921" spans="1:4">
      <c r="A8921" t="str">
        <f t="shared" si="146"/>
        <v>930Win Rate</v>
      </c>
      <c r="B8921">
        <v>930</v>
      </c>
      <c r="C8921" s="9" t="s">
        <v>34</v>
      </c>
      <c r="D8921" s="8">
        <v>0.66</v>
      </c>
    </row>
    <row r="8922" spans="1:4">
      <c r="A8922" t="str">
        <f t="shared" si="146"/>
        <v>930Profit-Loss Ratio</v>
      </c>
      <c r="B8922">
        <v>930</v>
      </c>
      <c r="C8922" s="9" t="s">
        <v>26</v>
      </c>
      <c r="D8922" s="8">
        <v>0.62</v>
      </c>
    </row>
    <row r="8923" spans="1:4">
      <c r="A8923" t="str">
        <f t="shared" si="146"/>
        <v>930Alpha</v>
      </c>
      <c r="B8923">
        <v>930</v>
      </c>
      <c r="C8923" s="9" t="s">
        <v>23</v>
      </c>
      <c r="D8923" s="8">
        <v>3.7999999999999999E-2</v>
      </c>
    </row>
    <row r="8924" spans="1:4">
      <c r="A8924" t="str">
        <f t="shared" si="146"/>
        <v>930Beta</v>
      </c>
      <c r="B8924">
        <v>930</v>
      </c>
      <c r="C8924" s="9" t="s">
        <v>24</v>
      </c>
      <c r="D8924" s="8">
        <v>-0.16500000000000001</v>
      </c>
    </row>
    <row r="8925" spans="1:4">
      <c r="A8925" t="str">
        <f t="shared" si="146"/>
        <v>930Annual Standard Deviation</v>
      </c>
      <c r="B8925">
        <v>930</v>
      </c>
      <c r="C8925" s="9" t="s">
        <v>35</v>
      </c>
      <c r="D8925" s="8">
        <v>4.2000000000000003E-2</v>
      </c>
    </row>
    <row r="8926" spans="1:4">
      <c r="A8926" t="str">
        <f t="shared" si="146"/>
        <v>930Annual Variance</v>
      </c>
      <c r="B8926">
        <v>930</v>
      </c>
      <c r="C8926" s="9" t="s">
        <v>36</v>
      </c>
      <c r="D8926" s="8">
        <v>2E-3</v>
      </c>
    </row>
    <row r="8927" spans="1:4">
      <c r="A8927" t="str">
        <f t="shared" si="146"/>
        <v>930Information Ratio</v>
      </c>
      <c r="B8927">
        <v>930</v>
      </c>
      <c r="C8927" s="9" t="s">
        <v>37</v>
      </c>
      <c r="D8927" s="8">
        <v>-0.247</v>
      </c>
    </row>
    <row r="8928" spans="1:4">
      <c r="A8928" t="str">
        <f t="shared" si="146"/>
        <v>930Tracking Error</v>
      </c>
      <c r="B8928">
        <v>930</v>
      </c>
      <c r="C8928" s="9" t="s">
        <v>38</v>
      </c>
      <c r="D8928" s="8">
        <v>8.7999999999999995E-2</v>
      </c>
    </row>
    <row r="8929" spans="1:4">
      <c r="A8929" t="str">
        <f t="shared" si="146"/>
        <v>930Treynor Ratio</v>
      </c>
      <c r="B8929">
        <v>930</v>
      </c>
      <c r="C8929" s="9" t="s">
        <v>39</v>
      </c>
      <c r="D8929" s="8">
        <v>-0.18</v>
      </c>
    </row>
    <row r="8930" spans="1:4">
      <c r="A8930" t="str">
        <f t="shared" ref="A8930:A8993" si="147">B8930&amp;C8930</f>
        <v>930Total Fees</v>
      </c>
      <c r="B8930">
        <v>930</v>
      </c>
      <c r="C8930" s="9" t="s">
        <v>40</v>
      </c>
      <c r="D8930" s="8">
        <v>0</v>
      </c>
    </row>
    <row r="8931" spans="1:4">
      <c r="A8931" t="str">
        <f t="shared" si="147"/>
        <v>930Estimated Strategy Capacity</v>
      </c>
      <c r="B8931">
        <v>930</v>
      </c>
      <c r="C8931" s="9" t="s">
        <v>41</v>
      </c>
      <c r="D8931" s="8">
        <v>4400000</v>
      </c>
    </row>
    <row r="8932" spans="1:4">
      <c r="A8932" t="str">
        <f t="shared" si="147"/>
        <v>931PSR</v>
      </c>
      <c r="B8932">
        <v>931</v>
      </c>
      <c r="C8932" s="9" t="s">
        <v>27</v>
      </c>
      <c r="D8932" s="8">
        <v>3.7879999999999997E-2</v>
      </c>
    </row>
    <row r="8933" spans="1:4">
      <c r="A8933" t="str">
        <f t="shared" si="147"/>
        <v>931Sharpe Ratio</v>
      </c>
      <c r="B8933">
        <v>931</v>
      </c>
      <c r="C8933" s="9" t="s">
        <v>1</v>
      </c>
      <c r="D8933" s="8">
        <v>-0.69099999999999995</v>
      </c>
    </row>
    <row r="8934" spans="1:4">
      <c r="A8934" t="str">
        <f t="shared" si="147"/>
        <v>931Total Trades</v>
      </c>
      <c r="B8934">
        <v>931</v>
      </c>
      <c r="C8934" s="9" t="s">
        <v>28</v>
      </c>
      <c r="D8934" s="8">
        <v>1200</v>
      </c>
    </row>
    <row r="8935" spans="1:4">
      <c r="A8935" t="str">
        <f t="shared" si="147"/>
        <v>931Average Win</v>
      </c>
      <c r="B8935">
        <v>931</v>
      </c>
      <c r="C8935" s="9" t="s">
        <v>25</v>
      </c>
      <c r="D8935" s="8">
        <v>4.0000000000000002E-4</v>
      </c>
    </row>
    <row r="8936" spans="1:4">
      <c r="A8936" t="str">
        <f t="shared" si="147"/>
        <v>931Average Loss</v>
      </c>
      <c r="B8936">
        <v>931</v>
      </c>
      <c r="C8936" s="9" t="s">
        <v>29</v>
      </c>
      <c r="D8936" s="8">
        <v>-8.9999999999999998E-4</v>
      </c>
    </row>
    <row r="8937" spans="1:4">
      <c r="A8937" t="str">
        <f t="shared" si="147"/>
        <v>931Compounding Annual Return</v>
      </c>
      <c r="B8937">
        <v>931</v>
      </c>
      <c r="C8937" s="9" t="s">
        <v>30</v>
      </c>
      <c r="D8937" s="8">
        <v>-1.4279999999999999E-2</v>
      </c>
    </row>
    <row r="8938" spans="1:4">
      <c r="A8938" t="str">
        <f t="shared" si="147"/>
        <v>931Drawdown</v>
      </c>
      <c r="B8938">
        <v>931</v>
      </c>
      <c r="C8938" s="9" t="s">
        <v>8</v>
      </c>
      <c r="D8938" s="8">
        <v>2.1000000000000001E-2</v>
      </c>
    </row>
    <row r="8939" spans="1:4">
      <c r="A8939" t="str">
        <f t="shared" si="147"/>
        <v>931Expectancy</v>
      </c>
      <c r="B8939">
        <v>931</v>
      </c>
      <c r="C8939" s="9" t="s">
        <v>31</v>
      </c>
      <c r="D8939" s="8">
        <v>-0.115</v>
      </c>
    </row>
    <row r="8940" spans="1:4">
      <c r="A8940" t="str">
        <f t="shared" si="147"/>
        <v>931Net Profit</v>
      </c>
      <c r="B8940">
        <v>931</v>
      </c>
      <c r="C8940" s="9" t="s">
        <v>32</v>
      </c>
      <c r="D8940" s="8">
        <v>-9.5300000000000003E-3</v>
      </c>
    </row>
    <row r="8941" spans="1:4">
      <c r="A8941" t="str">
        <f t="shared" si="147"/>
        <v>931Loss Rate</v>
      </c>
      <c r="B8941">
        <v>931</v>
      </c>
      <c r="C8941" s="9" t="s">
        <v>33</v>
      </c>
      <c r="D8941" s="8">
        <v>0.39</v>
      </c>
    </row>
    <row r="8942" spans="1:4">
      <c r="A8942" t="str">
        <f t="shared" si="147"/>
        <v>931Win Rate</v>
      </c>
      <c r="B8942">
        <v>931</v>
      </c>
      <c r="C8942" s="9" t="s">
        <v>34</v>
      </c>
      <c r="D8942" s="8">
        <v>0.61</v>
      </c>
    </row>
    <row r="8943" spans="1:4">
      <c r="A8943" t="str">
        <f t="shared" si="147"/>
        <v>931Profit-Loss Ratio</v>
      </c>
      <c r="B8943">
        <v>931</v>
      </c>
      <c r="C8943" s="9" t="s">
        <v>26</v>
      </c>
      <c r="D8943" s="8">
        <v>0.45</v>
      </c>
    </row>
    <row r="8944" spans="1:4">
      <c r="A8944" t="str">
        <f t="shared" si="147"/>
        <v>931Alpha</v>
      </c>
      <c r="B8944">
        <v>931</v>
      </c>
      <c r="C8944" s="9" t="s">
        <v>23</v>
      </c>
      <c r="D8944" s="8">
        <v>-8.0000000000000002E-3</v>
      </c>
    </row>
    <row r="8945" spans="1:4">
      <c r="A8945" t="str">
        <f t="shared" si="147"/>
        <v>931Beta</v>
      </c>
      <c r="B8945">
        <v>931</v>
      </c>
      <c r="C8945" s="9" t="s">
        <v>24</v>
      </c>
      <c r="D8945" s="8">
        <v>-3.3000000000000002E-2</v>
      </c>
    </row>
    <row r="8946" spans="1:4">
      <c r="A8946" t="str">
        <f t="shared" si="147"/>
        <v>931Annual Standard Deviation</v>
      </c>
      <c r="B8946">
        <v>931</v>
      </c>
      <c r="C8946" s="9" t="s">
        <v>35</v>
      </c>
      <c r="D8946" s="8">
        <v>1.4E-2</v>
      </c>
    </row>
    <row r="8947" spans="1:4">
      <c r="A8947" t="str">
        <f t="shared" si="147"/>
        <v>931Annual Variance</v>
      </c>
      <c r="B8947">
        <v>931</v>
      </c>
      <c r="C8947" s="9" t="s">
        <v>36</v>
      </c>
      <c r="D8947" s="8">
        <v>0</v>
      </c>
    </row>
    <row r="8948" spans="1:4">
      <c r="A8948" t="str">
        <f t="shared" si="147"/>
        <v>931Information Ratio</v>
      </c>
      <c r="B8948">
        <v>931</v>
      </c>
      <c r="C8948" s="9" t="s">
        <v>37</v>
      </c>
      <c r="D8948" s="8">
        <v>-0.871</v>
      </c>
    </row>
    <row r="8949" spans="1:4">
      <c r="A8949" t="str">
        <f t="shared" si="147"/>
        <v>931Tracking Error</v>
      </c>
      <c r="B8949">
        <v>931</v>
      </c>
      <c r="C8949" s="9" t="s">
        <v>38</v>
      </c>
      <c r="D8949" s="8">
        <v>7.0999999999999994E-2</v>
      </c>
    </row>
    <row r="8950" spans="1:4">
      <c r="A8950" t="str">
        <f t="shared" si="147"/>
        <v>931Treynor Ratio</v>
      </c>
      <c r="B8950">
        <v>931</v>
      </c>
      <c r="C8950" s="9" t="s">
        <v>39</v>
      </c>
      <c r="D8950" s="8">
        <v>0.3</v>
      </c>
    </row>
    <row r="8951" spans="1:4">
      <c r="A8951" t="str">
        <f t="shared" si="147"/>
        <v>931Total Fees</v>
      </c>
      <c r="B8951">
        <v>931</v>
      </c>
      <c r="C8951" s="9" t="s">
        <v>40</v>
      </c>
      <c r="D8951" s="8">
        <v>0</v>
      </c>
    </row>
    <row r="8952" spans="1:4">
      <c r="A8952" t="str">
        <f t="shared" si="147"/>
        <v>931Estimated Strategy Capacity</v>
      </c>
      <c r="B8952">
        <v>931</v>
      </c>
      <c r="C8952" s="9" t="s">
        <v>41</v>
      </c>
      <c r="D8952" s="8">
        <v>4900000</v>
      </c>
    </row>
    <row r="8953" spans="1:4">
      <c r="A8953" t="str">
        <f t="shared" si="147"/>
        <v>932PSR</v>
      </c>
      <c r="B8953">
        <v>932</v>
      </c>
      <c r="C8953" s="9" t="s">
        <v>27</v>
      </c>
      <c r="D8953" s="8">
        <v>9.6869999999999998E-2</v>
      </c>
    </row>
    <row r="8954" spans="1:4">
      <c r="A8954" t="str">
        <f t="shared" si="147"/>
        <v>932Sharpe Ratio</v>
      </c>
      <c r="B8954">
        <v>932</v>
      </c>
      <c r="C8954" s="9" t="s">
        <v>1</v>
      </c>
      <c r="D8954" s="8">
        <v>-0.34899999999999998</v>
      </c>
    </row>
    <row r="8955" spans="1:4">
      <c r="A8955" t="str">
        <f t="shared" si="147"/>
        <v>932Total Trades</v>
      </c>
      <c r="B8955">
        <v>932</v>
      </c>
      <c r="C8955" s="9" t="s">
        <v>28</v>
      </c>
      <c r="D8955" s="8">
        <v>914</v>
      </c>
    </row>
    <row r="8956" spans="1:4">
      <c r="A8956" t="str">
        <f t="shared" si="147"/>
        <v>932Average Win</v>
      </c>
      <c r="B8956">
        <v>932</v>
      </c>
      <c r="C8956" s="9" t="s">
        <v>25</v>
      </c>
      <c r="D8956" s="8">
        <v>1.4E-3</v>
      </c>
    </row>
    <row r="8957" spans="1:4">
      <c r="A8957" t="str">
        <f t="shared" si="147"/>
        <v>932Average Loss</v>
      </c>
      <c r="B8957">
        <v>932</v>
      </c>
      <c r="C8957" s="9" t="s">
        <v>29</v>
      </c>
      <c r="D8957" s="8">
        <v>-2.5999999999999999E-3</v>
      </c>
    </row>
    <row r="8958" spans="1:4">
      <c r="A8958" t="str">
        <f t="shared" si="147"/>
        <v>932Compounding Annual Return</v>
      </c>
      <c r="B8958">
        <v>932</v>
      </c>
      <c r="C8958" s="9" t="s">
        <v>30</v>
      </c>
      <c r="D8958" s="8">
        <v>-1.9970000000000002E-2</v>
      </c>
    </row>
    <row r="8959" spans="1:4">
      <c r="A8959" t="str">
        <f t="shared" si="147"/>
        <v>932Drawdown</v>
      </c>
      <c r="B8959">
        <v>932</v>
      </c>
      <c r="C8959" s="9" t="s">
        <v>8</v>
      </c>
      <c r="D8959" s="8">
        <v>3.6999999999999998E-2</v>
      </c>
    </row>
    <row r="8960" spans="1:4">
      <c r="A8960" t="str">
        <f t="shared" si="147"/>
        <v>932Expectancy</v>
      </c>
      <c r="B8960">
        <v>932</v>
      </c>
      <c r="C8960" s="9" t="s">
        <v>31</v>
      </c>
      <c r="D8960" s="8">
        <v>-4.9000000000000002E-2</v>
      </c>
    </row>
    <row r="8961" spans="1:4">
      <c r="A8961" t="str">
        <f t="shared" si="147"/>
        <v>932Net Profit</v>
      </c>
      <c r="B8961">
        <v>932</v>
      </c>
      <c r="C8961" s="9" t="s">
        <v>32</v>
      </c>
      <c r="D8961" s="8">
        <v>-1.3339999999999999E-2</v>
      </c>
    </row>
    <row r="8962" spans="1:4">
      <c r="A8962" t="str">
        <f t="shared" si="147"/>
        <v>932Loss Rate</v>
      </c>
      <c r="B8962">
        <v>932</v>
      </c>
      <c r="C8962" s="9" t="s">
        <v>33</v>
      </c>
      <c r="D8962" s="8">
        <v>0.38</v>
      </c>
    </row>
    <row r="8963" spans="1:4">
      <c r="A8963" t="str">
        <f t="shared" si="147"/>
        <v>932Win Rate</v>
      </c>
      <c r="B8963">
        <v>932</v>
      </c>
      <c r="C8963" s="9" t="s">
        <v>34</v>
      </c>
      <c r="D8963" s="8">
        <v>0.62</v>
      </c>
    </row>
    <row r="8964" spans="1:4">
      <c r="A8964" t="str">
        <f t="shared" si="147"/>
        <v>932Profit-Loss Ratio</v>
      </c>
      <c r="B8964">
        <v>932</v>
      </c>
      <c r="C8964" s="9" t="s">
        <v>26</v>
      </c>
      <c r="D8964" s="8">
        <v>0.53</v>
      </c>
    </row>
    <row r="8965" spans="1:4">
      <c r="A8965" t="str">
        <f t="shared" si="147"/>
        <v>932Alpha</v>
      </c>
      <c r="B8965">
        <v>932</v>
      </c>
      <c r="C8965" s="9" t="s">
        <v>23</v>
      </c>
      <c r="D8965" s="8">
        <v>-0.01</v>
      </c>
    </row>
    <row r="8966" spans="1:4">
      <c r="A8966" t="str">
        <f t="shared" si="147"/>
        <v>932Beta</v>
      </c>
      <c r="B8966">
        <v>932</v>
      </c>
      <c r="C8966" s="9" t="s">
        <v>24</v>
      </c>
      <c r="D8966" s="8">
        <v>-5.3999999999999999E-2</v>
      </c>
    </row>
    <row r="8967" spans="1:4">
      <c r="A8967" t="str">
        <f t="shared" si="147"/>
        <v>932Annual Standard Deviation</v>
      </c>
      <c r="B8967">
        <v>932</v>
      </c>
      <c r="C8967" s="9" t="s">
        <v>35</v>
      </c>
      <c r="D8967" s="8">
        <v>3.7999999999999999E-2</v>
      </c>
    </row>
    <row r="8968" spans="1:4">
      <c r="A8968" t="str">
        <f t="shared" si="147"/>
        <v>932Annual Variance</v>
      </c>
      <c r="B8968">
        <v>932</v>
      </c>
      <c r="C8968" s="9" t="s">
        <v>36</v>
      </c>
      <c r="D8968" s="8">
        <v>1E-3</v>
      </c>
    </row>
    <row r="8969" spans="1:4">
      <c r="A8969" t="str">
        <f t="shared" si="147"/>
        <v>932Information Ratio</v>
      </c>
      <c r="B8969">
        <v>932</v>
      </c>
      <c r="C8969" s="9" t="s">
        <v>37</v>
      </c>
      <c r="D8969" s="8">
        <v>-0.81100000000000005</v>
      </c>
    </row>
    <row r="8970" spans="1:4">
      <c r="A8970" t="str">
        <f t="shared" si="147"/>
        <v>932Tracking Error</v>
      </c>
      <c r="B8970">
        <v>932</v>
      </c>
      <c r="C8970" s="9" t="s">
        <v>38</v>
      </c>
      <c r="D8970" s="8">
        <v>0.08</v>
      </c>
    </row>
    <row r="8971" spans="1:4">
      <c r="A8971" t="str">
        <f t="shared" si="147"/>
        <v>932Treynor Ratio</v>
      </c>
      <c r="B8971">
        <v>932</v>
      </c>
      <c r="C8971" s="9" t="s">
        <v>39</v>
      </c>
      <c r="D8971" s="8">
        <v>0.24199999999999999</v>
      </c>
    </row>
    <row r="8972" spans="1:4">
      <c r="A8972" t="str">
        <f t="shared" si="147"/>
        <v>932Total Fees</v>
      </c>
      <c r="B8972">
        <v>932</v>
      </c>
      <c r="C8972" s="9" t="s">
        <v>40</v>
      </c>
      <c r="D8972" s="8">
        <v>0</v>
      </c>
    </row>
    <row r="8973" spans="1:4">
      <c r="A8973" t="str">
        <f t="shared" si="147"/>
        <v>932Estimated Strategy Capacity</v>
      </c>
      <c r="B8973">
        <v>932</v>
      </c>
      <c r="C8973" s="9" t="s">
        <v>41</v>
      </c>
      <c r="D8973" s="8">
        <v>5900000</v>
      </c>
    </row>
    <row r="8974" spans="1:4">
      <c r="A8974" t="str">
        <f t="shared" si="147"/>
        <v>933PSR</v>
      </c>
      <c r="B8974">
        <v>933</v>
      </c>
      <c r="C8974" s="9" t="s">
        <v>27</v>
      </c>
      <c r="D8974" s="8">
        <v>0.28488999999999998</v>
      </c>
    </row>
    <row r="8975" spans="1:4">
      <c r="A8975" t="str">
        <f t="shared" si="147"/>
        <v>933Sharpe Ratio</v>
      </c>
      <c r="B8975">
        <v>933</v>
      </c>
      <c r="C8975" s="9" t="s">
        <v>1</v>
      </c>
      <c r="D8975" s="8">
        <v>0.438</v>
      </c>
    </row>
    <row r="8976" spans="1:4">
      <c r="A8976" t="str">
        <f t="shared" si="147"/>
        <v>933Total Trades</v>
      </c>
      <c r="B8976">
        <v>933</v>
      </c>
      <c r="C8976" s="9" t="s">
        <v>28</v>
      </c>
      <c r="D8976" s="8">
        <v>688</v>
      </c>
    </row>
    <row r="8977" spans="1:4">
      <c r="A8977" t="str">
        <f t="shared" si="147"/>
        <v>933Average Win</v>
      </c>
      <c r="B8977">
        <v>933</v>
      </c>
      <c r="C8977" s="9" t="s">
        <v>25</v>
      </c>
      <c r="D8977" s="8">
        <v>2E-3</v>
      </c>
    </row>
    <row r="8978" spans="1:4">
      <c r="A8978" t="str">
        <f t="shared" si="147"/>
        <v>933Average Loss</v>
      </c>
      <c r="B8978">
        <v>933</v>
      </c>
      <c r="C8978" s="9" t="s">
        <v>29</v>
      </c>
      <c r="D8978" s="8">
        <v>-2.8E-3</v>
      </c>
    </row>
    <row r="8979" spans="1:4">
      <c r="A8979" t="str">
        <f t="shared" si="147"/>
        <v>933Compounding Annual Return</v>
      </c>
      <c r="B8979">
        <v>933</v>
      </c>
      <c r="C8979" s="9" t="s">
        <v>30</v>
      </c>
      <c r="D8979" s="8">
        <v>2.7089999999999999E-2</v>
      </c>
    </row>
    <row r="8980" spans="1:4">
      <c r="A8980" t="str">
        <f t="shared" si="147"/>
        <v>933Drawdown</v>
      </c>
      <c r="B8980">
        <v>933</v>
      </c>
      <c r="C8980" s="9" t="s">
        <v>8</v>
      </c>
      <c r="D8980" s="8">
        <v>3.5999999999999997E-2</v>
      </c>
    </row>
    <row r="8981" spans="1:4">
      <c r="A8981" t="str">
        <f t="shared" si="147"/>
        <v>933Expectancy</v>
      </c>
      <c r="B8981">
        <v>933</v>
      </c>
      <c r="C8981" s="9" t="s">
        <v>31</v>
      </c>
      <c r="D8981" s="8">
        <v>7.2999999999999995E-2</v>
      </c>
    </row>
    <row r="8982" spans="1:4">
      <c r="A8982" t="str">
        <f t="shared" si="147"/>
        <v>933Net Profit</v>
      </c>
      <c r="B8982">
        <v>933</v>
      </c>
      <c r="C8982" s="9" t="s">
        <v>32</v>
      </c>
      <c r="D8982" s="8">
        <v>1.7950000000000001E-2</v>
      </c>
    </row>
    <row r="8983" spans="1:4">
      <c r="A8983" t="str">
        <f t="shared" si="147"/>
        <v>933Loss Rate</v>
      </c>
      <c r="B8983">
        <v>933</v>
      </c>
      <c r="C8983" s="9" t="s">
        <v>33</v>
      </c>
      <c r="D8983" s="8">
        <v>0.38</v>
      </c>
    </row>
    <row r="8984" spans="1:4">
      <c r="A8984" t="str">
        <f t="shared" si="147"/>
        <v>933Win Rate</v>
      </c>
      <c r="B8984">
        <v>933</v>
      </c>
      <c r="C8984" s="9" t="s">
        <v>34</v>
      </c>
      <c r="D8984" s="8">
        <v>0.62</v>
      </c>
    </row>
    <row r="8985" spans="1:4">
      <c r="A8985" t="str">
        <f t="shared" si="147"/>
        <v>933Profit-Loss Ratio</v>
      </c>
      <c r="B8985">
        <v>933</v>
      </c>
      <c r="C8985" s="9" t="s">
        <v>26</v>
      </c>
      <c r="D8985" s="8">
        <v>0.72</v>
      </c>
    </row>
    <row r="8986" spans="1:4">
      <c r="A8986" t="str">
        <f t="shared" si="147"/>
        <v>933Alpha</v>
      </c>
      <c r="B8986">
        <v>933</v>
      </c>
      <c r="C8986" s="9" t="s">
        <v>23</v>
      </c>
      <c r="D8986" s="8">
        <v>2.5000000000000001E-2</v>
      </c>
    </row>
    <row r="8987" spans="1:4">
      <c r="A8987" t="str">
        <f t="shared" si="147"/>
        <v>933Beta</v>
      </c>
      <c r="B8987">
        <v>933</v>
      </c>
      <c r="C8987" s="9" t="s">
        <v>24</v>
      </c>
      <c r="D8987" s="8">
        <v>-0.1</v>
      </c>
    </row>
    <row r="8988" spans="1:4">
      <c r="A8988" t="str">
        <f t="shared" si="147"/>
        <v>933Annual Standard Deviation</v>
      </c>
      <c r="B8988">
        <v>933</v>
      </c>
      <c r="C8988" s="9" t="s">
        <v>35</v>
      </c>
      <c r="D8988" s="8">
        <v>4.4999999999999998E-2</v>
      </c>
    </row>
    <row r="8989" spans="1:4">
      <c r="A8989" t="str">
        <f t="shared" si="147"/>
        <v>933Annual Variance</v>
      </c>
      <c r="B8989">
        <v>933</v>
      </c>
      <c r="C8989" s="9" t="s">
        <v>36</v>
      </c>
      <c r="D8989" s="8">
        <v>2E-3</v>
      </c>
    </row>
    <row r="8990" spans="1:4">
      <c r="A8990" t="str">
        <f t="shared" si="147"/>
        <v>933Information Ratio</v>
      </c>
      <c r="B8990">
        <v>933</v>
      </c>
      <c r="C8990" s="9" t="s">
        <v>37</v>
      </c>
      <c r="D8990" s="8">
        <v>-0.373</v>
      </c>
    </row>
    <row r="8991" spans="1:4">
      <c r="A8991" t="str">
        <f t="shared" si="147"/>
        <v>933Tracking Error</v>
      </c>
      <c r="B8991">
        <v>933</v>
      </c>
      <c r="C8991" s="9" t="s">
        <v>38</v>
      </c>
      <c r="D8991" s="8">
        <v>8.5999999999999993E-2</v>
      </c>
    </row>
    <row r="8992" spans="1:4">
      <c r="A8992" t="str">
        <f t="shared" si="147"/>
        <v>933Treynor Ratio</v>
      </c>
      <c r="B8992">
        <v>933</v>
      </c>
      <c r="C8992" s="9" t="s">
        <v>39</v>
      </c>
      <c r="D8992" s="8">
        <v>-0.19700000000000001</v>
      </c>
    </row>
    <row r="8993" spans="1:4">
      <c r="A8993" t="str">
        <f t="shared" si="147"/>
        <v>933Total Fees</v>
      </c>
      <c r="B8993">
        <v>933</v>
      </c>
      <c r="C8993" s="9" t="s">
        <v>40</v>
      </c>
      <c r="D8993" s="8">
        <v>0</v>
      </c>
    </row>
    <row r="8994" spans="1:4">
      <c r="A8994" t="str">
        <f t="shared" ref="A8994:A9058" si="148">B8994&amp;C8994</f>
        <v>933Estimated Strategy Capacity</v>
      </c>
      <c r="B8994">
        <v>933</v>
      </c>
      <c r="C8994" s="9" t="s">
        <v>41</v>
      </c>
      <c r="D8994" s="8">
        <v>6300000</v>
      </c>
    </row>
    <row r="8995" spans="1:4">
      <c r="A8995" t="str">
        <f t="shared" si="148"/>
        <v>934PSR</v>
      </c>
      <c r="B8995">
        <v>934</v>
      </c>
      <c r="C8995" s="9" t="s">
        <v>27</v>
      </c>
      <c r="D8995" s="8">
        <v>6.028E-2</v>
      </c>
    </row>
    <row r="8996" spans="1:4">
      <c r="A8996" t="str">
        <f t="shared" si="148"/>
        <v>934Sharpe Ratio</v>
      </c>
      <c r="B8996">
        <v>934</v>
      </c>
      <c r="C8996" s="9" t="s">
        <v>1</v>
      </c>
      <c r="D8996" s="8">
        <v>-0.57399999999999995</v>
      </c>
    </row>
    <row r="8997" spans="1:4">
      <c r="A8997" t="str">
        <f t="shared" si="148"/>
        <v>934Total Trades</v>
      </c>
      <c r="B8997">
        <v>934</v>
      </c>
      <c r="C8997" s="9" t="s">
        <v>28</v>
      </c>
      <c r="D8997" s="8">
        <v>857</v>
      </c>
    </row>
    <row r="8998" spans="1:4">
      <c r="A8998" t="str">
        <f t="shared" si="148"/>
        <v>934Average Win</v>
      </c>
      <c r="B8998">
        <v>934</v>
      </c>
      <c r="C8998" s="9" t="s">
        <v>25</v>
      </c>
      <c r="D8998" s="8">
        <v>4.0000000000000002E-4</v>
      </c>
    </row>
    <row r="8999" spans="1:4">
      <c r="A8999" t="str">
        <f t="shared" si="148"/>
        <v>934Average Loss</v>
      </c>
      <c r="B8999">
        <v>934</v>
      </c>
      <c r="C8999" s="9" t="s">
        <v>29</v>
      </c>
      <c r="D8999" s="8">
        <v>-1E-3</v>
      </c>
    </row>
    <row r="9000" spans="1:4">
      <c r="A9000" t="str">
        <f t="shared" si="148"/>
        <v>934Compounding Annual Return</v>
      </c>
      <c r="B9000">
        <v>934</v>
      </c>
      <c r="C9000" s="9" t="s">
        <v>30</v>
      </c>
      <c r="D9000" s="8">
        <v>-8.7600000000000004E-3</v>
      </c>
    </row>
    <row r="9001" spans="1:4">
      <c r="A9001" t="str">
        <f t="shared" si="148"/>
        <v>934Drawdown</v>
      </c>
      <c r="B9001">
        <v>934</v>
      </c>
      <c r="C9001" s="9" t="s">
        <v>8</v>
      </c>
      <c r="D9001" s="8">
        <v>1.4999999999999999E-2</v>
      </c>
    </row>
    <row r="9002" spans="1:4">
      <c r="A9002" t="str">
        <f t="shared" si="148"/>
        <v>934Expectancy</v>
      </c>
      <c r="B9002">
        <v>934</v>
      </c>
      <c r="C9002" s="9" t="s">
        <v>31</v>
      </c>
      <c r="D9002" s="8">
        <v>-8.6999999999999994E-2</v>
      </c>
    </row>
    <row r="9003" spans="1:4">
      <c r="A9003" t="str">
        <f t="shared" si="148"/>
        <v>934Net Profit</v>
      </c>
      <c r="B9003">
        <v>934</v>
      </c>
      <c r="C9003" s="9" t="s">
        <v>32</v>
      </c>
      <c r="D9003" s="8">
        <v>-5.8399999999999997E-3</v>
      </c>
    </row>
    <row r="9004" spans="1:4">
      <c r="A9004" t="str">
        <f t="shared" si="148"/>
        <v>934Loss Rate</v>
      </c>
      <c r="B9004">
        <v>934</v>
      </c>
      <c r="C9004" s="9" t="s">
        <v>33</v>
      </c>
      <c r="D9004" s="8">
        <v>0.32</v>
      </c>
    </row>
    <row r="9005" spans="1:4">
      <c r="A9005" t="str">
        <f t="shared" si="148"/>
        <v>934Win Rate</v>
      </c>
      <c r="B9005">
        <v>934</v>
      </c>
      <c r="C9005" s="9" t="s">
        <v>34</v>
      </c>
      <c r="D9005" s="8">
        <v>0.68</v>
      </c>
    </row>
    <row r="9006" spans="1:4">
      <c r="A9006" t="str">
        <f t="shared" si="148"/>
        <v>934Profit-Loss Ratio</v>
      </c>
      <c r="B9006">
        <v>934</v>
      </c>
      <c r="C9006" s="9" t="s">
        <v>26</v>
      </c>
      <c r="D9006" s="8">
        <v>0.34</v>
      </c>
    </row>
    <row r="9007" spans="1:4">
      <c r="A9007" t="str">
        <f t="shared" si="148"/>
        <v>934Alpha</v>
      </c>
      <c r="B9007">
        <v>934</v>
      </c>
      <c r="C9007" s="9" t="s">
        <v>23</v>
      </c>
      <c r="D9007" s="8">
        <v>-5.0000000000000001E-3</v>
      </c>
    </row>
    <row r="9008" spans="1:4">
      <c r="A9008" t="str">
        <f t="shared" si="148"/>
        <v>934Beta</v>
      </c>
      <c r="B9008">
        <v>934</v>
      </c>
      <c r="C9008" s="9" t="s">
        <v>24</v>
      </c>
      <c r="D9008" s="8">
        <v>-1.7999999999999999E-2</v>
      </c>
    </row>
    <row r="9009" spans="1:4">
      <c r="A9009" t="str">
        <f t="shared" si="148"/>
        <v>934Annual Standard Deviation</v>
      </c>
      <c r="B9009">
        <v>934</v>
      </c>
      <c r="C9009" s="9" t="s">
        <v>35</v>
      </c>
      <c r="D9009" s="8">
        <v>1.0999999999999999E-2</v>
      </c>
    </row>
    <row r="9010" spans="1:4">
      <c r="A9010" t="str">
        <f t="shared" si="148"/>
        <v>934Annual Variance</v>
      </c>
      <c r="B9010">
        <v>934</v>
      </c>
      <c r="C9010" s="9" t="s">
        <v>36</v>
      </c>
      <c r="D9010" s="8">
        <v>0</v>
      </c>
    </row>
    <row r="9011" spans="1:4">
      <c r="A9011" t="str">
        <f t="shared" si="148"/>
        <v>934Information Ratio</v>
      </c>
      <c r="B9011">
        <v>934</v>
      </c>
      <c r="C9011" s="9" t="s">
        <v>37</v>
      </c>
      <c r="D9011" s="8">
        <v>-0.83699999999999997</v>
      </c>
    </row>
    <row r="9012" spans="1:4">
      <c r="A9012" t="str">
        <f t="shared" si="148"/>
        <v>934Tracking Error</v>
      </c>
      <c r="B9012">
        <v>934</v>
      </c>
      <c r="C9012" s="9" t="s">
        <v>38</v>
      </c>
      <c r="D9012" s="8">
        <v>6.9000000000000006E-2</v>
      </c>
    </row>
    <row r="9013" spans="1:4">
      <c r="A9013" t="str">
        <f t="shared" si="148"/>
        <v>934Treynor Ratio</v>
      </c>
      <c r="B9013">
        <v>934</v>
      </c>
      <c r="C9013" s="9" t="s">
        <v>39</v>
      </c>
      <c r="D9013" s="8">
        <v>0.33200000000000002</v>
      </c>
    </row>
    <row r="9014" spans="1:4">
      <c r="A9014" t="str">
        <f t="shared" si="148"/>
        <v>934Total Fees</v>
      </c>
      <c r="B9014">
        <v>934</v>
      </c>
      <c r="C9014" s="9" t="s">
        <v>40</v>
      </c>
      <c r="D9014" s="8">
        <v>0</v>
      </c>
    </row>
    <row r="9015" spans="1:4">
      <c r="A9015" t="str">
        <f t="shared" si="148"/>
        <v>934Estimated Strategy Capacity</v>
      </c>
      <c r="B9015">
        <v>934</v>
      </c>
      <c r="C9015" s="9" t="s">
        <v>41</v>
      </c>
      <c r="D9015" s="8">
        <v>220000000</v>
      </c>
    </row>
    <row r="9016" spans="1:4">
      <c r="A9016" t="str">
        <f t="shared" si="148"/>
        <v>935PSR</v>
      </c>
      <c r="B9016">
        <v>935</v>
      </c>
      <c r="C9016" s="9" t="s">
        <v>27</v>
      </c>
      <c r="D9016" s="8">
        <v>0.17927999999999999</v>
      </c>
    </row>
    <row r="9017" spans="1:4">
      <c r="A9017" t="str">
        <f t="shared" si="148"/>
        <v>935Sharpe Ratio</v>
      </c>
      <c r="B9017">
        <v>935</v>
      </c>
      <c r="C9017" s="9" t="s">
        <v>1</v>
      </c>
      <c r="D9017" s="8">
        <v>6.3E-2</v>
      </c>
    </row>
    <row r="9018" spans="1:4">
      <c r="A9018" t="str">
        <f t="shared" si="148"/>
        <v>935Total Trades</v>
      </c>
      <c r="B9018">
        <v>935</v>
      </c>
      <c r="C9018" s="9" t="s">
        <v>28</v>
      </c>
      <c r="D9018" s="8">
        <v>679</v>
      </c>
    </row>
    <row r="9019" spans="1:4">
      <c r="A9019" t="str">
        <f t="shared" si="148"/>
        <v>935Average Win</v>
      </c>
      <c r="B9019">
        <v>935</v>
      </c>
      <c r="C9019" s="9" t="s">
        <v>25</v>
      </c>
      <c r="D9019" s="8">
        <v>1.2999999999999999E-3</v>
      </c>
    </row>
    <row r="9020" spans="1:4">
      <c r="A9020" t="str">
        <f t="shared" si="148"/>
        <v>935Average Loss</v>
      </c>
      <c r="B9020">
        <v>935</v>
      </c>
      <c r="C9020" s="9" t="s">
        <v>29</v>
      </c>
      <c r="D9020" s="8">
        <v>-2.8999999999999998E-3</v>
      </c>
    </row>
    <row r="9021" spans="1:4">
      <c r="A9021" t="str">
        <f t="shared" si="148"/>
        <v>935Compounding Annual Return</v>
      </c>
      <c r="B9021">
        <v>935</v>
      </c>
      <c r="C9021" s="9" t="s">
        <v>30</v>
      </c>
      <c r="D9021" s="8">
        <v>2.0100000000000001E-3</v>
      </c>
    </row>
    <row r="9022" spans="1:4">
      <c r="A9022" t="str">
        <f t="shared" si="148"/>
        <v>935Drawdown</v>
      </c>
      <c r="B9022">
        <v>935</v>
      </c>
      <c r="C9022" s="9" t="s">
        <v>8</v>
      </c>
      <c r="D9022" s="8">
        <v>0.04</v>
      </c>
    </row>
    <row r="9023" spans="1:4">
      <c r="A9023" t="str">
        <f t="shared" si="148"/>
        <v>935Expectancy</v>
      </c>
      <c r="B9023">
        <v>935</v>
      </c>
      <c r="C9023" s="9" t="s">
        <v>31</v>
      </c>
      <c r="D9023" s="8">
        <v>4.0000000000000001E-3</v>
      </c>
    </row>
    <row r="9024" spans="1:4">
      <c r="A9024" t="str">
        <f t="shared" si="148"/>
        <v>935Net Profit</v>
      </c>
      <c r="B9024">
        <v>935</v>
      </c>
      <c r="C9024" s="9" t="s">
        <v>32</v>
      </c>
      <c r="D9024" s="8">
        <v>1.34E-3</v>
      </c>
    </row>
    <row r="9025" spans="1:4">
      <c r="A9025" t="str">
        <f t="shared" si="148"/>
        <v>935Loss Rate</v>
      </c>
      <c r="B9025">
        <v>935</v>
      </c>
      <c r="C9025" s="9" t="s">
        <v>33</v>
      </c>
      <c r="D9025" s="8">
        <v>0.31</v>
      </c>
    </row>
    <row r="9026" spans="1:4">
      <c r="A9026" t="str">
        <f t="shared" si="148"/>
        <v>935Win Rate</v>
      </c>
      <c r="B9026">
        <v>935</v>
      </c>
      <c r="C9026" s="9" t="s">
        <v>34</v>
      </c>
      <c r="D9026" s="8">
        <v>0.69</v>
      </c>
    </row>
    <row r="9027" spans="1:4">
      <c r="A9027" t="str">
        <f t="shared" si="148"/>
        <v>935Profit-Loss Ratio</v>
      </c>
      <c r="B9027">
        <v>935</v>
      </c>
      <c r="C9027" s="9" t="s">
        <v>26</v>
      </c>
      <c r="D9027" s="8">
        <v>0.45</v>
      </c>
    </row>
    <row r="9028" spans="1:4">
      <c r="A9028" t="str">
        <f t="shared" si="148"/>
        <v>935Alpha</v>
      </c>
      <c r="B9028">
        <v>935</v>
      </c>
      <c r="C9028" s="9" t="s">
        <v>23</v>
      </c>
      <c r="D9028" s="8">
        <v>5.0000000000000001E-3</v>
      </c>
    </row>
    <row r="9029" spans="1:4">
      <c r="A9029" t="str">
        <f t="shared" si="148"/>
        <v>935Beta</v>
      </c>
      <c r="B9029">
        <v>935</v>
      </c>
      <c r="C9029" s="9" t="s">
        <v>24</v>
      </c>
      <c r="D9029" s="8">
        <v>-5.8000000000000003E-2</v>
      </c>
    </row>
    <row r="9030" spans="1:4">
      <c r="A9030" t="str">
        <f t="shared" si="148"/>
        <v>935Annual Standard Deviation</v>
      </c>
      <c r="B9030">
        <v>935</v>
      </c>
      <c r="C9030" s="9" t="s">
        <v>35</v>
      </c>
      <c r="D9030" s="8">
        <v>2.9000000000000001E-2</v>
      </c>
    </row>
    <row r="9031" spans="1:4">
      <c r="A9031" t="str">
        <f t="shared" si="148"/>
        <v>935Annual Variance</v>
      </c>
      <c r="B9031">
        <v>935</v>
      </c>
      <c r="C9031" s="9" t="s">
        <v>36</v>
      </c>
      <c r="D9031" s="8">
        <v>1E-3</v>
      </c>
    </row>
    <row r="9032" spans="1:4">
      <c r="A9032" t="str">
        <f t="shared" si="148"/>
        <v>935Information Ratio</v>
      </c>
      <c r="B9032">
        <v>935</v>
      </c>
      <c r="C9032" s="9" t="s">
        <v>37</v>
      </c>
      <c r="D9032" s="8">
        <v>-0.65400000000000003</v>
      </c>
    </row>
    <row r="9033" spans="1:4">
      <c r="A9033" t="str">
        <f t="shared" si="148"/>
        <v>935Tracking Error</v>
      </c>
      <c r="B9033">
        <v>935</v>
      </c>
      <c r="C9033" s="9" t="s">
        <v>38</v>
      </c>
      <c r="D9033" s="8">
        <v>7.6999999999999999E-2</v>
      </c>
    </row>
    <row r="9034" spans="1:4">
      <c r="A9034" t="str">
        <f t="shared" si="148"/>
        <v>935Treynor Ratio</v>
      </c>
      <c r="B9034">
        <v>935</v>
      </c>
      <c r="C9034" s="9" t="s">
        <v>39</v>
      </c>
      <c r="D9034" s="8">
        <v>-3.1E-2</v>
      </c>
    </row>
    <row r="9035" spans="1:4">
      <c r="A9035" t="str">
        <f t="shared" si="148"/>
        <v>935Total Fees</v>
      </c>
      <c r="B9035">
        <v>935</v>
      </c>
      <c r="C9035" s="9" t="s">
        <v>40</v>
      </c>
      <c r="D9035" s="8">
        <v>0</v>
      </c>
    </row>
    <row r="9036" spans="1:4">
      <c r="A9036" t="str">
        <f t="shared" si="148"/>
        <v>935Estimated Strategy Capacity</v>
      </c>
      <c r="B9036">
        <v>935</v>
      </c>
      <c r="C9036" s="9" t="s">
        <v>41</v>
      </c>
      <c r="D9036" s="8">
        <v>26000000</v>
      </c>
    </row>
    <row r="9037" spans="1:4">
      <c r="A9037" t="str">
        <f t="shared" si="148"/>
        <v>936PSR</v>
      </c>
      <c r="B9037">
        <v>936</v>
      </c>
      <c r="C9037" s="9" t="s">
        <v>27</v>
      </c>
      <c r="D9037" s="8">
        <v>0.16145999999999999</v>
      </c>
    </row>
    <row r="9038" spans="1:4">
      <c r="A9038" t="str">
        <f t="shared" si="148"/>
        <v>936Sharpe Ratio</v>
      </c>
      <c r="B9038">
        <v>936</v>
      </c>
      <c r="C9038" s="9" t="s">
        <v>1</v>
      </c>
      <c r="D9038" s="8">
        <v>-1.0999999999999999E-2</v>
      </c>
    </row>
    <row r="9039" spans="1:4">
      <c r="A9039" t="str">
        <f t="shared" si="148"/>
        <v>936Total Trades</v>
      </c>
      <c r="B9039">
        <v>936</v>
      </c>
      <c r="C9039" s="9" t="s">
        <v>28</v>
      </c>
      <c r="D9039" s="8">
        <v>519</v>
      </c>
    </row>
    <row r="9040" spans="1:4">
      <c r="A9040" t="str">
        <f t="shared" si="148"/>
        <v>936Average Win</v>
      </c>
      <c r="B9040">
        <v>936</v>
      </c>
      <c r="C9040" s="9" t="s">
        <v>25</v>
      </c>
      <c r="D9040" s="8">
        <v>1.9E-3</v>
      </c>
    </row>
    <row r="9041" spans="1:4">
      <c r="A9041" t="str">
        <f t="shared" si="148"/>
        <v>936Average Loss</v>
      </c>
      <c r="B9041">
        <v>936</v>
      </c>
      <c r="C9041" s="9" t="s">
        <v>29</v>
      </c>
      <c r="D9041" s="8">
        <v>-4.4000000000000003E-3</v>
      </c>
    </row>
    <row r="9042" spans="1:4">
      <c r="A9042" t="str">
        <f t="shared" si="148"/>
        <v>936Compounding Annual Return</v>
      </c>
      <c r="B9042">
        <v>936</v>
      </c>
      <c r="C9042" s="9" t="s">
        <v>30</v>
      </c>
      <c r="D9042" s="8">
        <v>-1.89E-3</v>
      </c>
    </row>
    <row r="9043" spans="1:4">
      <c r="A9043" t="str">
        <f t="shared" si="148"/>
        <v>936Drawdown</v>
      </c>
      <c r="B9043">
        <v>936</v>
      </c>
      <c r="C9043" s="9" t="s">
        <v>8</v>
      </c>
      <c r="D9043" s="8">
        <v>5.3999999999999999E-2</v>
      </c>
    </row>
    <row r="9044" spans="1:4">
      <c r="A9044" t="str">
        <f t="shared" si="148"/>
        <v>936Expectancy</v>
      </c>
      <c r="B9044">
        <v>936</v>
      </c>
      <c r="C9044" s="9" t="s">
        <v>31</v>
      </c>
      <c r="D9044" s="8">
        <v>-8.0000000000000002E-3</v>
      </c>
    </row>
    <row r="9045" spans="1:4">
      <c r="A9045" t="str">
        <f t="shared" si="148"/>
        <v>936Net Profit</v>
      </c>
      <c r="B9045">
        <v>936</v>
      </c>
      <c r="C9045" s="9" t="s">
        <v>32</v>
      </c>
      <c r="D9045" s="8">
        <v>-1.2600000000000001E-3</v>
      </c>
    </row>
    <row r="9046" spans="1:4">
      <c r="A9046" t="str">
        <f t="shared" si="148"/>
        <v>936Loss Rate</v>
      </c>
      <c r="B9046">
        <v>936</v>
      </c>
      <c r="C9046" s="9" t="s">
        <v>33</v>
      </c>
      <c r="D9046" s="8">
        <v>0.31</v>
      </c>
    </row>
    <row r="9047" spans="1:4">
      <c r="A9047" t="str">
        <f t="shared" si="148"/>
        <v>936Win Rate</v>
      </c>
      <c r="B9047">
        <v>936</v>
      </c>
      <c r="C9047" s="9" t="s">
        <v>34</v>
      </c>
      <c r="D9047" s="8">
        <v>0.69</v>
      </c>
    </row>
    <row r="9048" spans="1:4">
      <c r="A9048" t="str">
        <f t="shared" si="148"/>
        <v>936Profit-Loss Ratio</v>
      </c>
      <c r="B9048">
        <v>936</v>
      </c>
      <c r="C9048" s="9" t="s">
        <v>26</v>
      </c>
      <c r="D9048" s="8">
        <v>0.44</v>
      </c>
    </row>
    <row r="9049" spans="1:4">
      <c r="A9049" t="str">
        <f t="shared" si="148"/>
        <v>936Alpha</v>
      </c>
      <c r="B9049">
        <v>936</v>
      </c>
      <c r="C9049" s="9" t="s">
        <v>23</v>
      </c>
      <c r="D9049" s="8">
        <v>3.0000000000000001E-3</v>
      </c>
    </row>
    <row r="9050" spans="1:4">
      <c r="A9050" t="str">
        <f t="shared" si="148"/>
        <v>936Beta</v>
      </c>
      <c r="B9050">
        <v>936</v>
      </c>
      <c r="C9050" s="9" t="s">
        <v>24</v>
      </c>
      <c r="D9050" s="8">
        <v>-6.5000000000000002E-2</v>
      </c>
    </row>
    <row r="9051" spans="1:4">
      <c r="A9051" t="str">
        <f t="shared" si="148"/>
        <v>936Annual Standard Deviation</v>
      </c>
      <c r="B9051">
        <v>936</v>
      </c>
      <c r="C9051" s="9" t="s">
        <v>35</v>
      </c>
      <c r="D9051" s="8">
        <v>4.1000000000000002E-2</v>
      </c>
    </row>
    <row r="9052" spans="1:4">
      <c r="A9052" t="str">
        <f t="shared" si="148"/>
        <v>936Annual Variance</v>
      </c>
      <c r="B9052">
        <v>936</v>
      </c>
      <c r="C9052" s="9" t="s">
        <v>36</v>
      </c>
      <c r="D9052" s="8">
        <v>2E-3</v>
      </c>
    </row>
    <row r="9053" spans="1:4">
      <c r="A9053" t="str">
        <f t="shared" si="148"/>
        <v>936Information Ratio</v>
      </c>
      <c r="B9053">
        <v>936</v>
      </c>
      <c r="C9053" s="9" t="s">
        <v>37</v>
      </c>
      <c r="D9053" s="8">
        <v>-0.63500000000000001</v>
      </c>
    </row>
    <row r="9054" spans="1:4">
      <c r="A9054" t="str">
        <f t="shared" si="148"/>
        <v>936Tracking Error</v>
      </c>
      <c r="B9054">
        <v>936</v>
      </c>
      <c r="C9054" s="9" t="s">
        <v>38</v>
      </c>
      <c r="D9054" s="8">
        <v>8.2000000000000003E-2</v>
      </c>
    </row>
    <row r="9055" spans="1:4">
      <c r="A9055" t="str">
        <f t="shared" si="148"/>
        <v>936Treynor Ratio</v>
      </c>
      <c r="B9055">
        <v>936</v>
      </c>
      <c r="C9055" s="9" t="s">
        <v>39</v>
      </c>
      <c r="D9055" s="8">
        <v>7.0000000000000001E-3</v>
      </c>
    </row>
    <row r="9056" spans="1:4">
      <c r="A9056" t="str">
        <f t="shared" si="148"/>
        <v>936Total Fees</v>
      </c>
      <c r="B9056">
        <v>936</v>
      </c>
      <c r="C9056" s="9" t="s">
        <v>40</v>
      </c>
      <c r="D9056" s="8">
        <v>0</v>
      </c>
    </row>
    <row r="9057" spans="1:4">
      <c r="A9057" t="str">
        <f t="shared" si="148"/>
        <v>936Estimated Strategy Capacity</v>
      </c>
      <c r="B9057">
        <v>936</v>
      </c>
      <c r="C9057" s="9" t="s">
        <v>41</v>
      </c>
      <c r="D9057" s="8">
        <v>8000000</v>
      </c>
    </row>
    <row r="9058" spans="1:4">
      <c r="A9058" t="str">
        <f t="shared" si="148"/>
        <v>955PSR</v>
      </c>
      <c r="B9058">
        <v>955</v>
      </c>
      <c r="C9058" s="9" t="s">
        <v>27</v>
      </c>
      <c r="D9058" s="8">
        <v>1.9060000000000001E-2</v>
      </c>
    </row>
    <row r="9059" spans="1:4">
      <c r="A9059" t="str">
        <f t="shared" ref="A9059:A9060" si="149">B9059&amp;C9059</f>
        <v>955Sharpe Ratio</v>
      </c>
      <c r="B9059">
        <v>955</v>
      </c>
      <c r="C9059" s="9" t="s">
        <v>1</v>
      </c>
      <c r="D9059" s="8">
        <v>-1.004</v>
      </c>
    </row>
    <row r="9060" spans="1:4">
      <c r="A9060" t="str">
        <f t="shared" si="149"/>
        <v>955Total Trades</v>
      </c>
      <c r="B9060">
        <v>955</v>
      </c>
      <c r="C9060" s="9" t="s">
        <v>28</v>
      </c>
      <c r="D9060" s="8">
        <v>1321</v>
      </c>
    </row>
    <row r="9061" spans="1:4">
      <c r="A9061" t="str">
        <f t="shared" ref="A9061:A9121" si="150">B9061&amp;C9061</f>
        <v>955Average Win</v>
      </c>
      <c r="B9061">
        <v>955</v>
      </c>
      <c r="C9061" s="9" t="s">
        <v>25</v>
      </c>
      <c r="D9061" s="8">
        <v>5.0000000000000001E-4</v>
      </c>
    </row>
    <row r="9062" spans="1:4">
      <c r="A9062" t="str">
        <f t="shared" si="150"/>
        <v>955Average Loss</v>
      </c>
      <c r="B9062">
        <v>955</v>
      </c>
      <c r="C9062" s="9" t="s">
        <v>29</v>
      </c>
      <c r="D9062" s="8">
        <v>-1.1999999999999999E-3</v>
      </c>
    </row>
    <row r="9063" spans="1:4">
      <c r="A9063" t="str">
        <f t="shared" si="150"/>
        <v>955Compounding Annual Return</v>
      </c>
      <c r="B9063">
        <v>955</v>
      </c>
      <c r="C9063" s="9" t="s">
        <v>30</v>
      </c>
      <c r="D9063" s="8">
        <v>-2.9850000000000002E-2</v>
      </c>
    </row>
    <row r="9064" spans="1:4">
      <c r="A9064" t="str">
        <f t="shared" si="150"/>
        <v>955Drawdown</v>
      </c>
      <c r="B9064">
        <v>955</v>
      </c>
      <c r="C9064" s="9" t="s">
        <v>8</v>
      </c>
      <c r="D9064" s="8">
        <v>3.4000000000000002E-2</v>
      </c>
    </row>
    <row r="9065" spans="1:4">
      <c r="A9065" t="str">
        <f t="shared" si="150"/>
        <v>955Expectancy</v>
      </c>
      <c r="B9065">
        <v>955</v>
      </c>
      <c r="C9065" s="9" t="s">
        <v>31</v>
      </c>
      <c r="D9065" s="8">
        <v>-8.8999999999999996E-2</v>
      </c>
    </row>
    <row r="9066" spans="1:4">
      <c r="A9066" t="str">
        <f t="shared" si="150"/>
        <v>955Net Profit</v>
      </c>
      <c r="B9066">
        <v>955</v>
      </c>
      <c r="C9066" s="9" t="s">
        <v>32</v>
      </c>
      <c r="D9066" s="8">
        <v>-1.9970000000000002E-2</v>
      </c>
    </row>
    <row r="9067" spans="1:4">
      <c r="A9067" t="str">
        <f t="shared" si="150"/>
        <v>955Loss Rate</v>
      </c>
      <c r="B9067">
        <v>955</v>
      </c>
      <c r="C9067" s="9" t="s">
        <v>33</v>
      </c>
      <c r="D9067" s="8">
        <v>0.34</v>
      </c>
    </row>
    <row r="9068" spans="1:4">
      <c r="A9068" t="str">
        <f t="shared" si="150"/>
        <v>955Win Rate</v>
      </c>
      <c r="B9068">
        <v>955</v>
      </c>
      <c r="C9068" s="9" t="s">
        <v>34</v>
      </c>
      <c r="D9068" s="8">
        <v>0.66</v>
      </c>
    </row>
    <row r="9069" spans="1:4">
      <c r="A9069" t="str">
        <f t="shared" si="150"/>
        <v>955Profit-Loss Ratio</v>
      </c>
      <c r="B9069">
        <v>955</v>
      </c>
      <c r="C9069" s="9" t="s">
        <v>26</v>
      </c>
      <c r="D9069" s="8">
        <v>0.37</v>
      </c>
    </row>
    <row r="9070" spans="1:4">
      <c r="A9070" t="str">
        <f t="shared" si="150"/>
        <v>955Alpha</v>
      </c>
      <c r="B9070">
        <v>955</v>
      </c>
      <c r="C9070" s="9" t="s">
        <v>23</v>
      </c>
      <c r="D9070" s="8">
        <v>-1.9E-2</v>
      </c>
    </row>
    <row r="9071" spans="1:4">
      <c r="A9071" t="str">
        <f t="shared" si="150"/>
        <v>955Beta</v>
      </c>
      <c r="B9071">
        <v>955</v>
      </c>
      <c r="C9071" s="9" t="s">
        <v>24</v>
      </c>
      <c r="D9071" s="8">
        <v>-0.03</v>
      </c>
    </row>
    <row r="9072" spans="1:4">
      <c r="A9072" t="str">
        <f t="shared" si="150"/>
        <v>955Annual Standard Deviation</v>
      </c>
      <c r="B9072">
        <v>955</v>
      </c>
      <c r="C9072" s="9" t="s">
        <v>35</v>
      </c>
      <c r="D9072" s="8">
        <v>0.02</v>
      </c>
    </row>
    <row r="9073" spans="1:4">
      <c r="A9073" t="str">
        <f t="shared" si="150"/>
        <v>955Annual Variance</v>
      </c>
      <c r="B9073">
        <v>955</v>
      </c>
      <c r="C9073" s="9" t="s">
        <v>36</v>
      </c>
      <c r="D9073" s="8">
        <v>0</v>
      </c>
    </row>
    <row r="9074" spans="1:4">
      <c r="A9074" t="str">
        <f t="shared" si="150"/>
        <v>955Information Ratio</v>
      </c>
      <c r="B9074">
        <v>955</v>
      </c>
      <c r="C9074" s="9" t="s">
        <v>37</v>
      </c>
      <c r="D9074" s="8">
        <v>-1.004</v>
      </c>
    </row>
    <row r="9075" spans="1:4">
      <c r="A9075" t="str">
        <f t="shared" si="150"/>
        <v>955Tracking Error</v>
      </c>
      <c r="B9075">
        <v>955</v>
      </c>
      <c r="C9075" s="9" t="s">
        <v>38</v>
      </c>
      <c r="D9075" s="8">
        <v>7.1999999999999995E-2</v>
      </c>
    </row>
    <row r="9076" spans="1:4">
      <c r="A9076" t="str">
        <f t="shared" si="150"/>
        <v>955Treynor Ratio</v>
      </c>
      <c r="B9076">
        <v>955</v>
      </c>
      <c r="C9076" s="9" t="s">
        <v>39</v>
      </c>
      <c r="D9076" s="8">
        <v>0.68799999999999994</v>
      </c>
    </row>
    <row r="9077" spans="1:4">
      <c r="A9077" t="str">
        <f t="shared" si="150"/>
        <v>955Total Fees</v>
      </c>
      <c r="B9077">
        <v>955</v>
      </c>
      <c r="C9077" s="9" t="s">
        <v>40</v>
      </c>
      <c r="D9077" s="8">
        <v>0</v>
      </c>
    </row>
    <row r="9078" spans="1:4">
      <c r="A9078" t="str">
        <f t="shared" si="150"/>
        <v>955Estimated Strategy Capacity</v>
      </c>
      <c r="B9078">
        <v>955</v>
      </c>
      <c r="C9078" s="9" t="s">
        <v>41</v>
      </c>
      <c r="D9078" s="8">
        <v>5100000</v>
      </c>
    </row>
    <row r="9079" spans="1:4">
      <c r="A9079" t="str">
        <f t="shared" si="150"/>
        <v>956PSR</v>
      </c>
      <c r="B9079">
        <v>956</v>
      </c>
      <c r="C9079" s="9" t="s">
        <v>27</v>
      </c>
      <c r="D9079" s="8">
        <v>1.553E-2</v>
      </c>
    </row>
    <row r="9080" spans="1:4">
      <c r="A9080" t="str">
        <f t="shared" si="150"/>
        <v>956Sharpe Ratio</v>
      </c>
      <c r="B9080">
        <v>956</v>
      </c>
      <c r="C9080" s="9" t="s">
        <v>1</v>
      </c>
      <c r="D9080" s="8">
        <v>-1.0629999999999999</v>
      </c>
    </row>
    <row r="9081" spans="1:4">
      <c r="A9081" t="str">
        <f t="shared" si="150"/>
        <v>956Total Trades</v>
      </c>
      <c r="B9081">
        <v>956</v>
      </c>
      <c r="C9081" s="9" t="s">
        <v>28</v>
      </c>
      <c r="D9081" s="8">
        <v>865</v>
      </c>
    </row>
    <row r="9082" spans="1:4">
      <c r="A9082" t="str">
        <f t="shared" si="150"/>
        <v>956Average Win</v>
      </c>
      <c r="B9082">
        <v>956</v>
      </c>
      <c r="C9082" s="9" t="s">
        <v>25</v>
      </c>
      <c r="D9082" s="8">
        <v>5.9999999999999995E-4</v>
      </c>
    </row>
    <row r="9083" spans="1:4">
      <c r="A9083" t="str">
        <f t="shared" si="150"/>
        <v>956Average Loss</v>
      </c>
      <c r="B9083">
        <v>956</v>
      </c>
      <c r="C9083" s="9" t="s">
        <v>29</v>
      </c>
      <c r="D9083" s="8">
        <v>-1.8E-3</v>
      </c>
    </row>
    <row r="9084" spans="1:4">
      <c r="A9084" t="str">
        <f t="shared" si="150"/>
        <v>956Compounding Annual Return</v>
      </c>
      <c r="B9084">
        <v>956</v>
      </c>
      <c r="C9084" s="9" t="s">
        <v>30</v>
      </c>
      <c r="D9084" s="8">
        <v>-3.6920000000000001E-2</v>
      </c>
    </row>
    <row r="9085" spans="1:4">
      <c r="A9085" t="str">
        <f t="shared" si="150"/>
        <v>956Drawdown</v>
      </c>
      <c r="B9085">
        <v>956</v>
      </c>
      <c r="C9085" s="9" t="s">
        <v>8</v>
      </c>
      <c r="D9085" s="8">
        <v>3.5999999999999997E-2</v>
      </c>
    </row>
    <row r="9086" spans="1:4">
      <c r="A9086" t="str">
        <f t="shared" si="150"/>
        <v>956Expectancy</v>
      </c>
      <c r="B9086">
        <v>956</v>
      </c>
      <c r="C9086" s="9" t="s">
        <v>31</v>
      </c>
      <c r="D9086" s="8">
        <v>-8.8999999999999996E-2</v>
      </c>
    </row>
    <row r="9087" spans="1:4">
      <c r="A9087" t="str">
        <f t="shared" si="150"/>
        <v>956Net Profit</v>
      </c>
      <c r="B9087">
        <v>956</v>
      </c>
      <c r="C9087" s="9" t="s">
        <v>32</v>
      </c>
      <c r="D9087" s="8">
        <v>-2.4729999999999999E-2</v>
      </c>
    </row>
    <row r="9088" spans="1:4">
      <c r="A9088" t="str">
        <f t="shared" si="150"/>
        <v>956Loss Rate</v>
      </c>
      <c r="B9088">
        <v>956</v>
      </c>
      <c r="C9088" s="9" t="s">
        <v>33</v>
      </c>
      <c r="D9088" s="8">
        <v>0.32</v>
      </c>
    </row>
    <row r="9089" spans="1:4">
      <c r="A9089" t="str">
        <f t="shared" si="150"/>
        <v>956Win Rate</v>
      </c>
      <c r="B9089">
        <v>956</v>
      </c>
      <c r="C9089" s="9" t="s">
        <v>34</v>
      </c>
      <c r="D9089" s="8">
        <v>0.68</v>
      </c>
    </row>
    <row r="9090" spans="1:4">
      <c r="A9090" t="str">
        <f t="shared" si="150"/>
        <v>956Profit-Loss Ratio</v>
      </c>
      <c r="B9090">
        <v>956</v>
      </c>
      <c r="C9090" s="9" t="s">
        <v>26</v>
      </c>
      <c r="D9090" s="8">
        <v>0.34</v>
      </c>
    </row>
    <row r="9091" spans="1:4">
      <c r="A9091" t="str">
        <f t="shared" si="150"/>
        <v>956Alpha</v>
      </c>
      <c r="B9091">
        <v>956</v>
      </c>
      <c r="C9091" s="9" t="s">
        <v>23</v>
      </c>
      <c r="D9091" s="8">
        <v>-2.4E-2</v>
      </c>
    </row>
    <row r="9092" spans="1:4">
      <c r="A9092" t="str">
        <f t="shared" si="150"/>
        <v>956Beta</v>
      </c>
      <c r="B9092">
        <v>956</v>
      </c>
      <c r="C9092" s="9" t="s">
        <v>24</v>
      </c>
      <c r="D9092" s="8">
        <v>-2.3E-2</v>
      </c>
    </row>
    <row r="9093" spans="1:4">
      <c r="A9093" t="str">
        <f t="shared" si="150"/>
        <v>956Annual Standard Deviation</v>
      </c>
      <c r="B9093">
        <v>956</v>
      </c>
      <c r="C9093" s="9" t="s">
        <v>35</v>
      </c>
      <c r="D9093" s="8">
        <v>2.4E-2</v>
      </c>
    </row>
    <row r="9094" spans="1:4">
      <c r="A9094" t="str">
        <f t="shared" si="150"/>
        <v>956Annual Variance</v>
      </c>
      <c r="B9094">
        <v>956</v>
      </c>
      <c r="C9094" s="9" t="s">
        <v>36</v>
      </c>
      <c r="D9094" s="8">
        <v>1E-3</v>
      </c>
    </row>
    <row r="9095" spans="1:4">
      <c r="A9095" t="str">
        <f t="shared" si="150"/>
        <v>956Information Ratio</v>
      </c>
      <c r="B9095">
        <v>956</v>
      </c>
      <c r="C9095" s="9" t="s">
        <v>37</v>
      </c>
      <c r="D9095" s="8">
        <v>-1.0620000000000001</v>
      </c>
    </row>
    <row r="9096" spans="1:4">
      <c r="A9096" t="str">
        <f t="shared" si="150"/>
        <v>956Tracking Error</v>
      </c>
      <c r="B9096">
        <v>956</v>
      </c>
      <c r="C9096" s="9" t="s">
        <v>38</v>
      </c>
      <c r="D9096" s="8">
        <v>7.2999999999999995E-2</v>
      </c>
    </row>
    <row r="9097" spans="1:4">
      <c r="A9097" t="str">
        <f t="shared" si="150"/>
        <v>956Treynor Ratio</v>
      </c>
      <c r="B9097">
        <v>956</v>
      </c>
      <c r="C9097" s="9" t="s">
        <v>39</v>
      </c>
      <c r="D9097" s="8">
        <v>1.1000000000000001</v>
      </c>
    </row>
    <row r="9098" spans="1:4">
      <c r="A9098" t="str">
        <f t="shared" si="150"/>
        <v>956Total Fees</v>
      </c>
      <c r="B9098">
        <v>956</v>
      </c>
      <c r="C9098" s="9" t="s">
        <v>40</v>
      </c>
      <c r="D9098" s="8">
        <v>0</v>
      </c>
    </row>
    <row r="9099" spans="1:4">
      <c r="A9099" t="str">
        <f t="shared" si="150"/>
        <v>956Estimated Strategy Capacity</v>
      </c>
      <c r="B9099">
        <v>956</v>
      </c>
      <c r="C9099" s="9" t="s">
        <v>41</v>
      </c>
      <c r="D9099" s="8">
        <v>5400000</v>
      </c>
    </row>
    <row r="9100" spans="1:4">
      <c r="A9100" t="str">
        <f t="shared" si="150"/>
        <v>957PSR</v>
      </c>
      <c r="B9100">
        <v>957</v>
      </c>
      <c r="C9100" s="9" t="s">
        <v>27</v>
      </c>
      <c r="D9100" s="8">
        <v>1.8610000000000002E-2</v>
      </c>
    </row>
    <row r="9101" spans="1:4">
      <c r="A9101" t="str">
        <f t="shared" si="150"/>
        <v>957Sharpe Ratio</v>
      </c>
      <c r="B9101">
        <v>957</v>
      </c>
      <c r="C9101" s="9" t="s">
        <v>1</v>
      </c>
      <c r="D9101" s="8">
        <v>-1.034</v>
      </c>
    </row>
    <row r="9102" spans="1:4">
      <c r="A9102" t="str">
        <f t="shared" si="150"/>
        <v>957Total Trades</v>
      </c>
      <c r="B9102">
        <v>957</v>
      </c>
      <c r="C9102" s="9" t="s">
        <v>28</v>
      </c>
      <c r="D9102" s="8">
        <v>741</v>
      </c>
    </row>
    <row r="9103" spans="1:4">
      <c r="A9103" t="str">
        <f t="shared" si="150"/>
        <v>957Average Win</v>
      </c>
      <c r="B9103">
        <v>957</v>
      </c>
      <c r="C9103" s="9" t="s">
        <v>25</v>
      </c>
      <c r="D9103" s="8">
        <v>8.0000000000000004E-4</v>
      </c>
    </row>
    <row r="9104" spans="1:4">
      <c r="A9104" t="str">
        <f t="shared" si="150"/>
        <v>957Average Loss</v>
      </c>
      <c r="B9104">
        <v>957</v>
      </c>
      <c r="C9104" s="9" t="s">
        <v>29</v>
      </c>
      <c r="D9104" s="8">
        <v>-2E-3</v>
      </c>
    </row>
    <row r="9105" spans="1:4">
      <c r="A9105" t="str">
        <f t="shared" si="150"/>
        <v>957Compounding Annual Return</v>
      </c>
      <c r="B9105">
        <v>957</v>
      </c>
      <c r="C9105" s="9" t="s">
        <v>30</v>
      </c>
      <c r="D9105" s="8">
        <v>-4.052E-2</v>
      </c>
    </row>
    <row r="9106" spans="1:4">
      <c r="A9106" t="str">
        <f t="shared" si="150"/>
        <v>957Drawdown</v>
      </c>
      <c r="B9106">
        <v>957</v>
      </c>
      <c r="C9106" s="9" t="s">
        <v>8</v>
      </c>
      <c r="D9106" s="8">
        <v>4.2999999999999997E-2</v>
      </c>
    </row>
    <row r="9107" spans="1:4">
      <c r="A9107" t="str">
        <f t="shared" si="150"/>
        <v>957Expectancy</v>
      </c>
      <c r="B9107">
        <v>957</v>
      </c>
      <c r="C9107" s="9" t="s">
        <v>31</v>
      </c>
      <c r="D9107" s="8">
        <v>-0.09</v>
      </c>
    </row>
    <row r="9108" spans="1:4">
      <c r="A9108" t="str">
        <f t="shared" si="150"/>
        <v>957Net Profit</v>
      </c>
      <c r="B9108">
        <v>957</v>
      </c>
      <c r="C9108" s="9" t="s">
        <v>32</v>
      </c>
      <c r="D9108" s="8">
        <v>-2.716E-2</v>
      </c>
    </row>
    <row r="9109" spans="1:4">
      <c r="A9109" t="str">
        <f t="shared" si="150"/>
        <v>957Loss Rate</v>
      </c>
      <c r="B9109">
        <v>957</v>
      </c>
      <c r="C9109" s="9" t="s">
        <v>33</v>
      </c>
      <c r="D9109" s="8">
        <v>0.34</v>
      </c>
    </row>
    <row r="9110" spans="1:4">
      <c r="A9110" t="str">
        <f t="shared" si="150"/>
        <v>957Win Rate</v>
      </c>
      <c r="B9110">
        <v>957</v>
      </c>
      <c r="C9110" s="9" t="s">
        <v>34</v>
      </c>
      <c r="D9110" s="8">
        <v>0.66</v>
      </c>
    </row>
    <row r="9111" spans="1:4">
      <c r="A9111" t="str">
        <f t="shared" si="150"/>
        <v>957Profit-Loss Ratio</v>
      </c>
      <c r="B9111">
        <v>957</v>
      </c>
      <c r="C9111" s="9" t="s">
        <v>26</v>
      </c>
      <c r="D9111" s="8">
        <v>0.37</v>
      </c>
    </row>
    <row r="9112" spans="1:4">
      <c r="A9112" t="str">
        <f t="shared" si="150"/>
        <v>957Alpha</v>
      </c>
      <c r="B9112">
        <v>957</v>
      </c>
      <c r="C9112" s="9" t="s">
        <v>23</v>
      </c>
      <c r="D9112" s="8">
        <v>-2.7E-2</v>
      </c>
    </row>
    <row r="9113" spans="1:4">
      <c r="A9113" t="str">
        <f t="shared" si="150"/>
        <v>957Beta</v>
      </c>
      <c r="B9113">
        <v>957</v>
      </c>
      <c r="C9113" s="9" t="s">
        <v>24</v>
      </c>
      <c r="D9113" s="8">
        <v>-1.7999999999999999E-2</v>
      </c>
    </row>
    <row r="9114" spans="1:4">
      <c r="A9114" t="str">
        <f t="shared" si="150"/>
        <v>957Annual Standard Deviation</v>
      </c>
      <c r="B9114">
        <v>957</v>
      </c>
      <c r="C9114" s="9" t="s">
        <v>35</v>
      </c>
      <c r="D9114" s="8">
        <v>2.7E-2</v>
      </c>
    </row>
    <row r="9115" spans="1:4">
      <c r="A9115" t="str">
        <f t="shared" si="150"/>
        <v>957Annual Variance</v>
      </c>
      <c r="B9115">
        <v>957</v>
      </c>
      <c r="C9115" s="9" t="s">
        <v>36</v>
      </c>
      <c r="D9115" s="8">
        <v>1E-3</v>
      </c>
    </row>
    <row r="9116" spans="1:4">
      <c r="A9116" t="str">
        <f t="shared" si="150"/>
        <v>957Information Ratio</v>
      </c>
      <c r="B9116">
        <v>957</v>
      </c>
      <c r="C9116" s="9" t="s">
        <v>37</v>
      </c>
      <c r="D9116" s="8">
        <v>-1.085</v>
      </c>
    </row>
    <row r="9117" spans="1:4">
      <c r="A9117" t="str">
        <f t="shared" si="150"/>
        <v>957Tracking Error</v>
      </c>
      <c r="B9117">
        <v>957</v>
      </c>
      <c r="C9117" s="9" t="s">
        <v>38</v>
      </c>
      <c r="D9117" s="8">
        <v>7.3999999999999996E-2</v>
      </c>
    </row>
    <row r="9118" spans="1:4">
      <c r="A9118" t="str">
        <f t="shared" si="150"/>
        <v>957Treynor Ratio</v>
      </c>
      <c r="B9118">
        <v>957</v>
      </c>
      <c r="C9118" s="9" t="s">
        <v>39</v>
      </c>
      <c r="D9118" s="8">
        <v>1.5489999999999999</v>
      </c>
    </row>
    <row r="9119" spans="1:4">
      <c r="A9119" t="str">
        <f t="shared" si="150"/>
        <v>957Total Fees</v>
      </c>
      <c r="B9119">
        <v>957</v>
      </c>
      <c r="C9119" s="9" t="s">
        <v>40</v>
      </c>
      <c r="D9119" s="8">
        <v>0</v>
      </c>
    </row>
    <row r="9120" spans="1:4">
      <c r="A9120" t="str">
        <f t="shared" si="150"/>
        <v>957Estimated Strategy Capacity</v>
      </c>
      <c r="B9120">
        <v>957</v>
      </c>
      <c r="C9120" s="9" t="s">
        <v>41</v>
      </c>
      <c r="D9120" s="8">
        <v>5600000</v>
      </c>
    </row>
    <row r="9121" spans="1:4">
      <c r="A9121" t="str">
        <f t="shared" si="150"/>
        <v>958PSR</v>
      </c>
      <c r="B9121">
        <v>958</v>
      </c>
      <c r="C9121" s="9" t="s">
        <v>27</v>
      </c>
      <c r="D9121" s="8">
        <v>4.0230000000000002E-2</v>
      </c>
    </row>
    <row r="9122" spans="1:4">
      <c r="A9122" t="str">
        <f t="shared" ref="A9122:A9185" si="151">B9122&amp;C9122</f>
        <v>958Sharpe Ratio</v>
      </c>
      <c r="B9122">
        <v>958</v>
      </c>
      <c r="C9122" s="9" t="s">
        <v>1</v>
      </c>
      <c r="D9122" s="8">
        <v>-0.74</v>
      </c>
    </row>
    <row r="9123" spans="1:4">
      <c r="A9123" t="str">
        <f t="shared" si="151"/>
        <v>958Total Trades</v>
      </c>
      <c r="B9123">
        <v>958</v>
      </c>
      <c r="C9123" s="9" t="s">
        <v>28</v>
      </c>
      <c r="D9123" s="8">
        <v>1094</v>
      </c>
    </row>
    <row r="9124" spans="1:4">
      <c r="A9124" t="str">
        <f t="shared" si="151"/>
        <v>958Average Win</v>
      </c>
      <c r="B9124">
        <v>958</v>
      </c>
      <c r="C9124" s="9" t="s">
        <v>25</v>
      </c>
      <c r="D9124" s="8">
        <v>4.0000000000000002E-4</v>
      </c>
    </row>
    <row r="9125" spans="1:4">
      <c r="A9125" t="str">
        <f t="shared" si="151"/>
        <v>958Average Loss</v>
      </c>
      <c r="B9125">
        <v>958</v>
      </c>
      <c r="C9125" s="9" t="s">
        <v>29</v>
      </c>
      <c r="D9125" s="8">
        <v>-8.9999999999999998E-4</v>
      </c>
    </row>
    <row r="9126" spans="1:4">
      <c r="A9126" t="str">
        <f t="shared" si="151"/>
        <v>958Compounding Annual Return</v>
      </c>
      <c r="B9126">
        <v>958</v>
      </c>
      <c r="C9126" s="9" t="s">
        <v>30</v>
      </c>
      <c r="D9126" s="8">
        <v>-2.12E-2</v>
      </c>
    </row>
    <row r="9127" spans="1:4">
      <c r="A9127" t="str">
        <f t="shared" si="151"/>
        <v>958Drawdown</v>
      </c>
      <c r="B9127">
        <v>958</v>
      </c>
      <c r="C9127" s="9" t="s">
        <v>8</v>
      </c>
      <c r="D9127" s="8">
        <v>3.9E-2</v>
      </c>
    </row>
    <row r="9128" spans="1:4">
      <c r="A9128" t="str">
        <f t="shared" si="151"/>
        <v>958Expectancy</v>
      </c>
      <c r="B9128">
        <v>958</v>
      </c>
      <c r="C9128" s="9" t="s">
        <v>31</v>
      </c>
      <c r="D9128" s="8">
        <v>-0.09</v>
      </c>
    </row>
    <row r="9129" spans="1:4">
      <c r="A9129" t="str">
        <f t="shared" si="151"/>
        <v>958Net Profit</v>
      </c>
      <c r="B9129">
        <v>958</v>
      </c>
      <c r="C9129" s="9" t="s">
        <v>32</v>
      </c>
      <c r="D9129" s="8">
        <v>-1.4160000000000001E-2</v>
      </c>
    </row>
    <row r="9130" spans="1:4">
      <c r="A9130" t="str">
        <f t="shared" si="151"/>
        <v>958Loss Rate</v>
      </c>
      <c r="B9130">
        <v>958</v>
      </c>
      <c r="C9130" s="9" t="s">
        <v>33</v>
      </c>
      <c r="D9130" s="8">
        <v>0.38</v>
      </c>
    </row>
    <row r="9131" spans="1:4">
      <c r="A9131" t="str">
        <f t="shared" si="151"/>
        <v>958Win Rate</v>
      </c>
      <c r="B9131">
        <v>958</v>
      </c>
      <c r="C9131" s="9" t="s">
        <v>34</v>
      </c>
      <c r="D9131" s="8">
        <v>0.62</v>
      </c>
    </row>
    <row r="9132" spans="1:4">
      <c r="A9132" t="str">
        <f t="shared" si="151"/>
        <v>958Profit-Loss Ratio</v>
      </c>
      <c r="B9132">
        <v>958</v>
      </c>
      <c r="C9132" s="9" t="s">
        <v>26</v>
      </c>
      <c r="D9132" s="8">
        <v>0.47</v>
      </c>
    </row>
    <row r="9133" spans="1:4">
      <c r="A9133" t="str">
        <f t="shared" si="151"/>
        <v>958Alpha</v>
      </c>
      <c r="B9133">
        <v>958</v>
      </c>
      <c r="C9133" s="9" t="s">
        <v>23</v>
      </c>
      <c r="D9133" s="8">
        <v>-1.4999999999999999E-2</v>
      </c>
    </row>
    <row r="9134" spans="1:4">
      <c r="A9134" t="str">
        <f t="shared" si="151"/>
        <v>958Beta</v>
      </c>
      <c r="B9134">
        <v>958</v>
      </c>
      <c r="C9134" s="9" t="s">
        <v>24</v>
      </c>
      <c r="D9134" s="8">
        <v>0</v>
      </c>
    </row>
    <row r="9135" spans="1:4">
      <c r="A9135" t="str">
        <f t="shared" si="151"/>
        <v>958Annual Standard Deviation</v>
      </c>
      <c r="B9135">
        <v>958</v>
      </c>
      <c r="C9135" s="9" t="s">
        <v>35</v>
      </c>
      <c r="D9135" s="8">
        <v>0.02</v>
      </c>
    </row>
    <row r="9136" spans="1:4">
      <c r="A9136" t="str">
        <f t="shared" si="151"/>
        <v>958Annual Variance</v>
      </c>
      <c r="B9136">
        <v>958</v>
      </c>
      <c r="C9136" s="9" t="s">
        <v>36</v>
      </c>
      <c r="D9136" s="8">
        <v>0</v>
      </c>
    </row>
    <row r="9137" spans="1:4">
      <c r="A9137" t="str">
        <f t="shared" si="151"/>
        <v>958Information Ratio</v>
      </c>
      <c r="B9137">
        <v>958</v>
      </c>
      <c r="C9137" s="9" t="s">
        <v>37</v>
      </c>
      <c r="D9137" s="8">
        <v>-0.91100000000000003</v>
      </c>
    </row>
    <row r="9138" spans="1:4">
      <c r="A9138" t="str">
        <f t="shared" si="151"/>
        <v>958Tracking Error</v>
      </c>
      <c r="B9138">
        <v>958</v>
      </c>
      <c r="C9138" s="9" t="s">
        <v>38</v>
      </c>
      <c r="D9138" s="8">
        <v>7.0000000000000007E-2</v>
      </c>
    </row>
    <row r="9139" spans="1:4">
      <c r="A9139" t="str">
        <f t="shared" si="151"/>
        <v>958Treynor Ratio</v>
      </c>
      <c r="B9139">
        <v>958</v>
      </c>
      <c r="C9139" s="9" t="s">
        <v>39</v>
      </c>
      <c r="D9139" s="8">
        <v>-31.3</v>
      </c>
    </row>
    <row r="9140" spans="1:4">
      <c r="A9140" t="str">
        <f t="shared" si="151"/>
        <v>958Total Fees</v>
      </c>
      <c r="B9140">
        <v>958</v>
      </c>
      <c r="C9140" s="9" t="s">
        <v>40</v>
      </c>
      <c r="D9140" s="8">
        <v>0</v>
      </c>
    </row>
    <row r="9141" spans="1:4">
      <c r="A9141" t="str">
        <f t="shared" si="151"/>
        <v>958Estimated Strategy Capacity</v>
      </c>
      <c r="B9141">
        <v>958</v>
      </c>
      <c r="C9141" s="9" t="s">
        <v>41</v>
      </c>
      <c r="D9141" s="8">
        <v>5500000</v>
      </c>
    </row>
    <row r="9142" spans="1:4">
      <c r="A9142" t="str">
        <f t="shared" si="151"/>
        <v>959PSR</v>
      </c>
      <c r="B9142">
        <v>959</v>
      </c>
      <c r="C9142" s="9" t="s">
        <v>27</v>
      </c>
      <c r="D9142" s="8">
        <v>3.6080000000000001E-2</v>
      </c>
    </row>
    <row r="9143" spans="1:4">
      <c r="A9143" t="str">
        <f t="shared" si="151"/>
        <v>959Sharpe Ratio</v>
      </c>
      <c r="B9143">
        <v>959</v>
      </c>
      <c r="C9143" s="9" t="s">
        <v>1</v>
      </c>
      <c r="D9143" s="8">
        <v>-0.80900000000000005</v>
      </c>
    </row>
    <row r="9144" spans="1:4">
      <c r="A9144" t="str">
        <f t="shared" si="151"/>
        <v>959Total Trades</v>
      </c>
      <c r="B9144">
        <v>959</v>
      </c>
      <c r="C9144" s="9" t="s">
        <v>28</v>
      </c>
      <c r="D9144" s="8">
        <v>712</v>
      </c>
    </row>
    <row r="9145" spans="1:4">
      <c r="A9145" t="str">
        <f t="shared" si="151"/>
        <v>959Average Win</v>
      </c>
      <c r="B9145">
        <v>959</v>
      </c>
      <c r="C9145" s="9" t="s">
        <v>25</v>
      </c>
      <c r="D9145" s="8">
        <v>5.0000000000000001E-4</v>
      </c>
    </row>
    <row r="9146" spans="1:4">
      <c r="A9146" t="str">
        <f t="shared" si="151"/>
        <v>959Average Loss</v>
      </c>
      <c r="B9146">
        <v>959</v>
      </c>
      <c r="C9146" s="9" t="s">
        <v>29</v>
      </c>
      <c r="D9146" s="8">
        <v>-1.1999999999999999E-3</v>
      </c>
    </row>
    <row r="9147" spans="1:4">
      <c r="A9147" t="str">
        <f t="shared" si="151"/>
        <v>959Compounding Annual Return</v>
      </c>
      <c r="B9147">
        <v>959</v>
      </c>
      <c r="C9147" s="9" t="s">
        <v>30</v>
      </c>
      <c r="D9147" s="8">
        <v>-2.4570000000000002E-2</v>
      </c>
    </row>
    <row r="9148" spans="1:4">
      <c r="A9148" t="str">
        <f t="shared" si="151"/>
        <v>959Drawdown</v>
      </c>
      <c r="B9148">
        <v>959</v>
      </c>
      <c r="C9148" s="9" t="s">
        <v>8</v>
      </c>
      <c r="D9148" s="8">
        <v>3.5000000000000003E-2</v>
      </c>
    </row>
    <row r="9149" spans="1:4">
      <c r="A9149" t="str">
        <f t="shared" si="151"/>
        <v>959Expectancy</v>
      </c>
      <c r="B9149">
        <v>959</v>
      </c>
      <c r="C9149" s="9" t="s">
        <v>31</v>
      </c>
      <c r="D9149" s="8">
        <v>-0.1</v>
      </c>
    </row>
    <row r="9150" spans="1:4">
      <c r="A9150" t="str">
        <f t="shared" si="151"/>
        <v>959Net Profit</v>
      </c>
      <c r="B9150">
        <v>959</v>
      </c>
      <c r="C9150" s="9" t="s">
        <v>32</v>
      </c>
      <c r="D9150" s="8">
        <v>-1.6420000000000001E-2</v>
      </c>
    </row>
    <row r="9151" spans="1:4">
      <c r="A9151" t="str">
        <f t="shared" si="151"/>
        <v>959Loss Rate</v>
      </c>
      <c r="B9151">
        <v>959</v>
      </c>
      <c r="C9151" s="9" t="s">
        <v>33</v>
      </c>
      <c r="D9151" s="8">
        <v>0.36</v>
      </c>
    </row>
    <row r="9152" spans="1:4">
      <c r="A9152" t="str">
        <f t="shared" si="151"/>
        <v>959Win Rate</v>
      </c>
      <c r="B9152">
        <v>959</v>
      </c>
      <c r="C9152" s="9" t="s">
        <v>34</v>
      </c>
      <c r="D9152" s="8">
        <v>0.64</v>
      </c>
    </row>
    <row r="9153" spans="1:4">
      <c r="A9153" t="str">
        <f t="shared" si="151"/>
        <v>959Profit-Loss Ratio</v>
      </c>
      <c r="B9153">
        <v>959</v>
      </c>
      <c r="C9153" s="9" t="s">
        <v>26</v>
      </c>
      <c r="D9153" s="8">
        <v>0.4</v>
      </c>
    </row>
    <row r="9154" spans="1:4">
      <c r="A9154" t="str">
        <f t="shared" si="151"/>
        <v>959Alpha</v>
      </c>
      <c r="B9154">
        <v>959</v>
      </c>
      <c r="C9154" s="9" t="s">
        <v>23</v>
      </c>
      <c r="D9154" s="8">
        <v>-1.7999999999999999E-2</v>
      </c>
    </row>
    <row r="9155" spans="1:4">
      <c r="A9155" t="str">
        <f t="shared" si="151"/>
        <v>959Beta</v>
      </c>
      <c r="B9155">
        <v>959</v>
      </c>
      <c r="C9155" s="9" t="s">
        <v>24</v>
      </c>
      <c r="D9155" s="8">
        <v>2.5999999999999999E-2</v>
      </c>
    </row>
    <row r="9156" spans="1:4">
      <c r="A9156" t="str">
        <f t="shared" si="151"/>
        <v>959Annual Standard Deviation</v>
      </c>
      <c r="B9156">
        <v>959</v>
      </c>
      <c r="C9156" s="9" t="s">
        <v>35</v>
      </c>
      <c r="D9156" s="8">
        <v>2.1000000000000001E-2</v>
      </c>
    </row>
    <row r="9157" spans="1:4">
      <c r="A9157" t="str">
        <f t="shared" si="151"/>
        <v>959Annual Variance</v>
      </c>
      <c r="B9157">
        <v>959</v>
      </c>
      <c r="C9157" s="9" t="s">
        <v>36</v>
      </c>
      <c r="D9157" s="8">
        <v>0</v>
      </c>
    </row>
    <row r="9158" spans="1:4">
      <c r="A9158" t="str">
        <f t="shared" si="151"/>
        <v>959Information Ratio</v>
      </c>
      <c r="B9158">
        <v>959</v>
      </c>
      <c r="C9158" s="9" t="s">
        <v>37</v>
      </c>
      <c r="D9158" s="8">
        <v>-1.002</v>
      </c>
    </row>
    <row r="9159" spans="1:4">
      <c r="A9159" t="str">
        <f t="shared" si="151"/>
        <v>959Tracking Error</v>
      </c>
      <c r="B9159">
        <v>959</v>
      </c>
      <c r="C9159" s="9" t="s">
        <v>38</v>
      </c>
      <c r="D9159" s="8">
        <v>6.9000000000000006E-2</v>
      </c>
    </row>
    <row r="9160" spans="1:4">
      <c r="A9160" t="str">
        <f t="shared" si="151"/>
        <v>959Treynor Ratio</v>
      </c>
      <c r="B9160">
        <v>959</v>
      </c>
      <c r="C9160" s="9" t="s">
        <v>39</v>
      </c>
      <c r="D9160" s="8">
        <v>-0.63900000000000001</v>
      </c>
    </row>
    <row r="9161" spans="1:4">
      <c r="A9161" t="str">
        <f t="shared" si="151"/>
        <v>959Total Fees</v>
      </c>
      <c r="B9161">
        <v>959</v>
      </c>
      <c r="C9161" s="9" t="s">
        <v>40</v>
      </c>
      <c r="D9161" s="8">
        <v>0</v>
      </c>
    </row>
    <row r="9162" spans="1:4">
      <c r="A9162" t="str">
        <f t="shared" si="151"/>
        <v>959Estimated Strategy Capacity</v>
      </c>
      <c r="B9162">
        <v>959</v>
      </c>
      <c r="C9162" s="9" t="s">
        <v>41</v>
      </c>
      <c r="D9162" s="8">
        <v>6000000</v>
      </c>
    </row>
    <row r="9163" spans="1:4">
      <c r="A9163" t="str">
        <f t="shared" si="151"/>
        <v>960PSR</v>
      </c>
      <c r="B9163">
        <v>960</v>
      </c>
      <c r="C9163" s="9" t="s">
        <v>27</v>
      </c>
      <c r="D9163" s="8">
        <v>9.9799999999999993E-3</v>
      </c>
    </row>
    <row r="9164" spans="1:4">
      <c r="A9164" t="str">
        <f t="shared" si="151"/>
        <v>960Sharpe Ratio</v>
      </c>
      <c r="B9164">
        <v>960</v>
      </c>
      <c r="C9164" s="9" t="s">
        <v>1</v>
      </c>
      <c r="D9164" s="8">
        <v>-1.2609999999999999</v>
      </c>
    </row>
    <row r="9165" spans="1:4">
      <c r="A9165" t="str">
        <f t="shared" si="151"/>
        <v>960Total Trades</v>
      </c>
      <c r="B9165">
        <v>960</v>
      </c>
      <c r="C9165" s="9" t="s">
        <v>28</v>
      </c>
      <c r="D9165" s="8">
        <v>614</v>
      </c>
    </row>
    <row r="9166" spans="1:4">
      <c r="A9166" t="str">
        <f t="shared" si="151"/>
        <v>960Average Win</v>
      </c>
      <c r="B9166">
        <v>960</v>
      </c>
      <c r="C9166" s="9" t="s">
        <v>25</v>
      </c>
      <c r="D9166" s="8">
        <v>5.0000000000000001E-4</v>
      </c>
    </row>
    <row r="9167" spans="1:4">
      <c r="A9167" t="str">
        <f t="shared" si="151"/>
        <v>960Average Loss</v>
      </c>
      <c r="B9167">
        <v>960</v>
      </c>
      <c r="C9167" s="9" t="s">
        <v>29</v>
      </c>
      <c r="D9167" s="8">
        <v>-1.5E-3</v>
      </c>
    </row>
    <row r="9168" spans="1:4">
      <c r="A9168" t="str">
        <f t="shared" si="151"/>
        <v>960Compounding Annual Return</v>
      </c>
      <c r="B9168">
        <v>960</v>
      </c>
      <c r="C9168" s="9" t="s">
        <v>30</v>
      </c>
      <c r="D9168" s="8">
        <v>-3.9980000000000002E-2</v>
      </c>
    </row>
    <row r="9169" spans="1:4">
      <c r="A9169" t="str">
        <f t="shared" si="151"/>
        <v>960Drawdown</v>
      </c>
      <c r="B9169">
        <v>960</v>
      </c>
      <c r="C9169" s="9" t="s">
        <v>8</v>
      </c>
      <c r="D9169" s="8">
        <v>4.1000000000000002E-2</v>
      </c>
    </row>
    <row r="9170" spans="1:4">
      <c r="A9170" t="str">
        <f t="shared" si="151"/>
        <v>960Expectancy</v>
      </c>
      <c r="B9170">
        <v>960</v>
      </c>
      <c r="C9170" s="9" t="s">
        <v>31</v>
      </c>
      <c r="D9170" s="8">
        <v>-0.14499999999999999</v>
      </c>
    </row>
    <row r="9171" spans="1:4">
      <c r="A9171" t="str">
        <f t="shared" si="151"/>
        <v>960Net Profit</v>
      </c>
      <c r="B9171">
        <v>960</v>
      </c>
      <c r="C9171" s="9" t="s">
        <v>32</v>
      </c>
      <c r="D9171" s="8">
        <v>-2.6800000000000001E-2</v>
      </c>
    </row>
    <row r="9172" spans="1:4">
      <c r="A9172" t="str">
        <f t="shared" si="151"/>
        <v>960Loss Rate</v>
      </c>
      <c r="B9172">
        <v>960</v>
      </c>
      <c r="C9172" s="9" t="s">
        <v>33</v>
      </c>
      <c r="D9172" s="8">
        <v>0.37</v>
      </c>
    </row>
    <row r="9173" spans="1:4">
      <c r="A9173" t="str">
        <f t="shared" si="151"/>
        <v>960Win Rate</v>
      </c>
      <c r="B9173">
        <v>960</v>
      </c>
      <c r="C9173" s="9" t="s">
        <v>34</v>
      </c>
      <c r="D9173" s="8">
        <v>0.63</v>
      </c>
    </row>
    <row r="9174" spans="1:4">
      <c r="A9174" t="str">
        <f t="shared" si="151"/>
        <v>960Profit-Loss Ratio</v>
      </c>
      <c r="B9174">
        <v>960</v>
      </c>
      <c r="C9174" s="9" t="s">
        <v>26</v>
      </c>
      <c r="D9174" s="8">
        <v>0.36</v>
      </c>
    </row>
    <row r="9175" spans="1:4">
      <c r="A9175" t="str">
        <f t="shared" si="151"/>
        <v>960Alpha</v>
      </c>
      <c r="B9175">
        <v>960</v>
      </c>
      <c r="C9175" s="9" t="s">
        <v>23</v>
      </c>
      <c r="D9175" s="8">
        <v>-2.9000000000000001E-2</v>
      </c>
    </row>
    <row r="9176" spans="1:4">
      <c r="A9176" t="str">
        <f t="shared" si="151"/>
        <v>960Beta</v>
      </c>
      <c r="B9176">
        <v>960</v>
      </c>
      <c r="C9176" s="9" t="s">
        <v>24</v>
      </c>
      <c r="D9176" s="8">
        <v>1.9E-2</v>
      </c>
    </row>
    <row r="9177" spans="1:4">
      <c r="A9177" t="str">
        <f t="shared" si="151"/>
        <v>960Annual Standard Deviation</v>
      </c>
      <c r="B9177">
        <v>960</v>
      </c>
      <c r="C9177" s="9" t="s">
        <v>35</v>
      </c>
      <c r="D9177" s="8">
        <v>2.1999999999999999E-2</v>
      </c>
    </row>
    <row r="9178" spans="1:4">
      <c r="A9178" t="str">
        <f t="shared" si="151"/>
        <v>960Annual Variance</v>
      </c>
      <c r="B9178">
        <v>960</v>
      </c>
      <c r="C9178" s="9" t="s">
        <v>36</v>
      </c>
      <c r="D9178" s="8">
        <v>0</v>
      </c>
    </row>
    <row r="9179" spans="1:4">
      <c r="A9179" t="str">
        <f t="shared" si="151"/>
        <v>960Information Ratio</v>
      </c>
      <c r="B9179">
        <v>960</v>
      </c>
      <c r="C9179" s="9" t="s">
        <v>37</v>
      </c>
      <c r="D9179" s="8">
        <v>-1.1060000000000001</v>
      </c>
    </row>
    <row r="9180" spans="1:4">
      <c r="A9180" t="str">
        <f t="shared" si="151"/>
        <v>960Tracking Error</v>
      </c>
      <c r="B9180">
        <v>960</v>
      </c>
      <c r="C9180" s="9" t="s">
        <v>38</v>
      </c>
      <c r="D9180" s="8">
        <v>7.0000000000000007E-2</v>
      </c>
    </row>
    <row r="9181" spans="1:4">
      <c r="A9181" t="str">
        <f t="shared" si="151"/>
        <v>960Treynor Ratio</v>
      </c>
      <c r="B9181">
        <v>960</v>
      </c>
      <c r="C9181" s="9" t="s">
        <v>39</v>
      </c>
      <c r="D9181" s="8">
        <v>-1.482</v>
      </c>
    </row>
    <row r="9182" spans="1:4">
      <c r="A9182" t="str">
        <f t="shared" si="151"/>
        <v>960Total Fees</v>
      </c>
      <c r="B9182">
        <v>960</v>
      </c>
      <c r="C9182" s="9" t="s">
        <v>40</v>
      </c>
      <c r="D9182" s="8">
        <v>0</v>
      </c>
    </row>
    <row r="9183" spans="1:4">
      <c r="A9183" t="str">
        <f t="shared" si="151"/>
        <v>960Estimated Strategy Capacity</v>
      </c>
      <c r="B9183">
        <v>960</v>
      </c>
      <c r="C9183" s="9" t="s">
        <v>41</v>
      </c>
      <c r="D9183" s="8">
        <v>6200000</v>
      </c>
    </row>
    <row r="9184" spans="1:4">
      <c r="A9184" t="str">
        <f t="shared" si="151"/>
        <v>961PSR</v>
      </c>
      <c r="B9184">
        <v>961</v>
      </c>
      <c r="C9184" s="9" t="s">
        <v>27</v>
      </c>
      <c r="D9184" s="8">
        <v>1.0000000000000001E-5</v>
      </c>
    </row>
    <row r="9185" spans="1:4">
      <c r="A9185" t="str">
        <f t="shared" si="151"/>
        <v>961Sharpe Ratio</v>
      </c>
      <c r="B9185">
        <v>961</v>
      </c>
      <c r="C9185" s="9" t="s">
        <v>1</v>
      </c>
      <c r="D9185" s="8">
        <v>-2.746</v>
      </c>
    </row>
    <row r="9186" spans="1:4">
      <c r="A9186" t="str">
        <f t="shared" ref="A9186:A9249" si="152">B9186&amp;C9186</f>
        <v>961Total Trades</v>
      </c>
      <c r="B9186">
        <v>961</v>
      </c>
      <c r="C9186" s="9" t="s">
        <v>28</v>
      </c>
      <c r="D9186" s="8">
        <v>839</v>
      </c>
    </row>
    <row r="9187" spans="1:4">
      <c r="A9187" t="str">
        <f t="shared" si="152"/>
        <v>961Average Win</v>
      </c>
      <c r="B9187">
        <v>961</v>
      </c>
      <c r="C9187" s="9" t="s">
        <v>25</v>
      </c>
      <c r="D9187" s="8">
        <v>2.9999999999999997E-4</v>
      </c>
    </row>
    <row r="9188" spans="1:4">
      <c r="A9188" t="str">
        <f t="shared" si="152"/>
        <v>961Average Loss</v>
      </c>
      <c r="B9188">
        <v>961</v>
      </c>
      <c r="C9188" s="9" t="s">
        <v>29</v>
      </c>
      <c r="D9188" s="8">
        <v>-1.2999999999999999E-3</v>
      </c>
    </row>
    <row r="9189" spans="1:4">
      <c r="A9189" t="str">
        <f t="shared" si="152"/>
        <v>961Compounding Annual Return</v>
      </c>
      <c r="B9189">
        <v>961</v>
      </c>
      <c r="C9189" s="9" t="s">
        <v>30</v>
      </c>
      <c r="D9189" s="8">
        <v>-6.1789999999999998E-2</v>
      </c>
    </row>
    <row r="9190" spans="1:4">
      <c r="A9190" t="str">
        <f t="shared" si="152"/>
        <v>961Drawdown</v>
      </c>
      <c r="B9190">
        <v>961</v>
      </c>
      <c r="C9190" s="9" t="s">
        <v>8</v>
      </c>
      <c r="D9190" s="8">
        <v>4.2999999999999997E-2</v>
      </c>
    </row>
    <row r="9191" spans="1:4">
      <c r="A9191" t="str">
        <f t="shared" si="152"/>
        <v>961Expectancy</v>
      </c>
      <c r="B9191">
        <v>961</v>
      </c>
      <c r="C9191" s="9" t="s">
        <v>31</v>
      </c>
      <c r="D9191" s="8">
        <v>-0.253</v>
      </c>
    </row>
    <row r="9192" spans="1:4">
      <c r="A9192" t="str">
        <f t="shared" si="152"/>
        <v>961Net Profit</v>
      </c>
      <c r="B9192">
        <v>961</v>
      </c>
      <c r="C9192" s="9" t="s">
        <v>32</v>
      </c>
      <c r="D9192" s="8">
        <v>-4.1570000000000003E-2</v>
      </c>
    </row>
    <row r="9193" spans="1:4">
      <c r="A9193" t="str">
        <f t="shared" si="152"/>
        <v>961Loss Rate</v>
      </c>
      <c r="B9193">
        <v>961</v>
      </c>
      <c r="C9193" s="9" t="s">
        <v>33</v>
      </c>
      <c r="D9193" s="8">
        <v>0.38</v>
      </c>
    </row>
    <row r="9194" spans="1:4">
      <c r="A9194" t="str">
        <f t="shared" si="152"/>
        <v>961Win Rate</v>
      </c>
      <c r="B9194">
        <v>961</v>
      </c>
      <c r="C9194" s="9" t="s">
        <v>34</v>
      </c>
      <c r="D9194" s="8">
        <v>0.62</v>
      </c>
    </row>
    <row r="9195" spans="1:4">
      <c r="A9195" t="str">
        <f t="shared" si="152"/>
        <v>961Profit-Loss Ratio</v>
      </c>
      <c r="B9195">
        <v>961</v>
      </c>
      <c r="C9195" s="9" t="s">
        <v>26</v>
      </c>
      <c r="D9195" s="8">
        <v>0.21</v>
      </c>
    </row>
    <row r="9196" spans="1:4">
      <c r="A9196" t="str">
        <f t="shared" si="152"/>
        <v>961Alpha</v>
      </c>
      <c r="B9196">
        <v>961</v>
      </c>
      <c r="C9196" s="9" t="s">
        <v>23</v>
      </c>
      <c r="D9196" s="8">
        <v>-4.2000000000000003E-2</v>
      </c>
    </row>
    <row r="9197" spans="1:4">
      <c r="A9197" t="str">
        <f t="shared" si="152"/>
        <v>961Beta</v>
      </c>
      <c r="B9197">
        <v>961</v>
      </c>
      <c r="C9197" s="9" t="s">
        <v>24</v>
      </c>
      <c r="D9197" s="8">
        <v>-1.4E-2</v>
      </c>
    </row>
    <row r="9198" spans="1:4">
      <c r="A9198" t="str">
        <f t="shared" si="152"/>
        <v>961Annual Standard Deviation</v>
      </c>
      <c r="B9198">
        <v>961</v>
      </c>
      <c r="C9198" s="9" t="s">
        <v>35</v>
      </c>
      <c r="D9198" s="8">
        <v>1.6E-2</v>
      </c>
    </row>
    <row r="9199" spans="1:4">
      <c r="A9199" t="str">
        <f t="shared" si="152"/>
        <v>961Annual Variance</v>
      </c>
      <c r="B9199">
        <v>961</v>
      </c>
      <c r="C9199" s="9" t="s">
        <v>36</v>
      </c>
      <c r="D9199" s="8">
        <v>0</v>
      </c>
    </row>
    <row r="9200" spans="1:4">
      <c r="A9200" t="str">
        <f t="shared" si="152"/>
        <v>961Information Ratio</v>
      </c>
      <c r="B9200">
        <v>961</v>
      </c>
      <c r="C9200" s="9" t="s">
        <v>37</v>
      </c>
      <c r="D9200" s="8">
        <v>-1.319</v>
      </c>
    </row>
    <row r="9201" spans="1:4">
      <c r="A9201" t="str">
        <f t="shared" si="152"/>
        <v>961Tracking Error</v>
      </c>
      <c r="B9201">
        <v>961</v>
      </c>
      <c r="C9201" s="9" t="s">
        <v>38</v>
      </c>
      <c r="D9201" s="8">
        <v>7.0000000000000007E-2</v>
      </c>
    </row>
    <row r="9202" spans="1:4">
      <c r="A9202" t="str">
        <f t="shared" si="152"/>
        <v>961Treynor Ratio</v>
      </c>
      <c r="B9202">
        <v>961</v>
      </c>
      <c r="C9202" s="9" t="s">
        <v>39</v>
      </c>
      <c r="D9202" s="8">
        <v>2.984</v>
      </c>
    </row>
    <row r="9203" spans="1:4">
      <c r="A9203" t="str">
        <f t="shared" si="152"/>
        <v>961Total Fees</v>
      </c>
      <c r="B9203">
        <v>961</v>
      </c>
      <c r="C9203" s="9" t="s">
        <v>40</v>
      </c>
      <c r="D9203" s="8">
        <v>0</v>
      </c>
    </row>
    <row r="9204" spans="1:4">
      <c r="A9204" t="str">
        <f t="shared" si="152"/>
        <v>961Estimated Strategy Capacity</v>
      </c>
      <c r="B9204">
        <v>961</v>
      </c>
      <c r="C9204" s="9" t="s">
        <v>41</v>
      </c>
      <c r="D9204" s="8">
        <v>6300000</v>
      </c>
    </row>
    <row r="9205" spans="1:4">
      <c r="A9205" t="str">
        <f t="shared" si="152"/>
        <v>962PSR</v>
      </c>
      <c r="B9205">
        <v>962</v>
      </c>
      <c r="C9205" s="9" t="s">
        <v>27</v>
      </c>
      <c r="D9205" s="8">
        <v>1.8200000000000001E-2</v>
      </c>
    </row>
    <row r="9206" spans="1:4">
      <c r="A9206" t="str">
        <f t="shared" si="152"/>
        <v>962Sharpe Ratio</v>
      </c>
      <c r="B9206">
        <v>962</v>
      </c>
      <c r="C9206" s="9" t="s">
        <v>1</v>
      </c>
      <c r="D9206" s="8">
        <v>-1.0660000000000001</v>
      </c>
    </row>
    <row r="9207" spans="1:4">
      <c r="A9207" t="str">
        <f t="shared" si="152"/>
        <v>962Total Trades</v>
      </c>
      <c r="B9207">
        <v>962</v>
      </c>
      <c r="C9207" s="9" t="s">
        <v>28</v>
      </c>
      <c r="D9207" s="8">
        <v>562</v>
      </c>
    </row>
    <row r="9208" spans="1:4">
      <c r="A9208" t="str">
        <f t="shared" si="152"/>
        <v>962Average Win</v>
      </c>
      <c r="B9208">
        <v>962</v>
      </c>
      <c r="C9208" s="9" t="s">
        <v>25</v>
      </c>
      <c r="D9208" s="8">
        <v>5.0000000000000001E-4</v>
      </c>
    </row>
    <row r="9209" spans="1:4">
      <c r="A9209" t="str">
        <f t="shared" si="152"/>
        <v>962Average Loss</v>
      </c>
      <c r="B9209">
        <v>962</v>
      </c>
      <c r="C9209" s="9" t="s">
        <v>29</v>
      </c>
      <c r="D9209" s="8">
        <v>-1.4E-3</v>
      </c>
    </row>
    <row r="9210" spans="1:4">
      <c r="A9210" t="str">
        <f t="shared" si="152"/>
        <v>962Compounding Annual Return</v>
      </c>
      <c r="B9210">
        <v>962</v>
      </c>
      <c r="C9210" s="9" t="s">
        <v>30</v>
      </c>
      <c r="D9210" s="8">
        <v>-3.3759999999999998E-2</v>
      </c>
    </row>
    <row r="9211" spans="1:4">
      <c r="A9211" t="str">
        <f t="shared" si="152"/>
        <v>962Drawdown</v>
      </c>
      <c r="B9211">
        <v>962</v>
      </c>
      <c r="C9211" s="9" t="s">
        <v>8</v>
      </c>
      <c r="D9211" s="8">
        <v>3.2000000000000001E-2</v>
      </c>
    </row>
    <row r="9212" spans="1:4">
      <c r="A9212" t="str">
        <f t="shared" si="152"/>
        <v>962Expectancy</v>
      </c>
      <c r="B9212">
        <v>962</v>
      </c>
      <c r="C9212" s="9" t="s">
        <v>31</v>
      </c>
      <c r="D9212" s="8">
        <v>-0.13900000000000001</v>
      </c>
    </row>
    <row r="9213" spans="1:4">
      <c r="A9213" t="str">
        <f t="shared" si="152"/>
        <v>962Net Profit</v>
      </c>
      <c r="B9213">
        <v>962</v>
      </c>
      <c r="C9213" s="9" t="s">
        <v>32</v>
      </c>
      <c r="D9213" s="8">
        <v>-2.2599999999999999E-2</v>
      </c>
    </row>
    <row r="9214" spans="1:4">
      <c r="A9214" t="str">
        <f t="shared" si="152"/>
        <v>962Loss Rate</v>
      </c>
      <c r="B9214">
        <v>962</v>
      </c>
      <c r="C9214" s="9" t="s">
        <v>33</v>
      </c>
      <c r="D9214" s="8">
        <v>0.36</v>
      </c>
    </row>
    <row r="9215" spans="1:4">
      <c r="A9215" t="str">
        <f t="shared" si="152"/>
        <v>962Win Rate</v>
      </c>
      <c r="B9215">
        <v>962</v>
      </c>
      <c r="C9215" s="9" t="s">
        <v>34</v>
      </c>
      <c r="D9215" s="8">
        <v>0.64</v>
      </c>
    </row>
    <row r="9216" spans="1:4">
      <c r="A9216" t="str">
        <f t="shared" si="152"/>
        <v>962Profit-Loss Ratio</v>
      </c>
      <c r="B9216">
        <v>962</v>
      </c>
      <c r="C9216" s="9" t="s">
        <v>26</v>
      </c>
      <c r="D9216" s="8">
        <v>0.35</v>
      </c>
    </row>
    <row r="9217" spans="1:4">
      <c r="A9217" t="str">
        <f t="shared" si="152"/>
        <v>962Alpha</v>
      </c>
      <c r="B9217">
        <v>962</v>
      </c>
      <c r="C9217" s="9" t="s">
        <v>23</v>
      </c>
      <c r="D9217" s="8">
        <v>-2.1999999999999999E-2</v>
      </c>
    </row>
    <row r="9218" spans="1:4">
      <c r="A9218" t="str">
        <f t="shared" si="152"/>
        <v>962Beta</v>
      </c>
      <c r="B9218">
        <v>962</v>
      </c>
      <c r="C9218" s="9" t="s">
        <v>24</v>
      </c>
      <c r="D9218" s="8">
        <v>-2.5999999999999999E-2</v>
      </c>
    </row>
    <row r="9219" spans="1:4">
      <c r="A9219" t="str">
        <f t="shared" si="152"/>
        <v>962Annual Standard Deviation</v>
      </c>
      <c r="B9219">
        <v>962</v>
      </c>
      <c r="C9219" s="9" t="s">
        <v>35</v>
      </c>
      <c r="D9219" s="8">
        <v>2.1999999999999999E-2</v>
      </c>
    </row>
    <row r="9220" spans="1:4">
      <c r="A9220" t="str">
        <f t="shared" si="152"/>
        <v>962Annual Variance</v>
      </c>
      <c r="B9220">
        <v>962</v>
      </c>
      <c r="C9220" s="9" t="s">
        <v>36</v>
      </c>
      <c r="D9220" s="8">
        <v>0</v>
      </c>
    </row>
    <row r="9221" spans="1:4">
      <c r="A9221" t="str">
        <f t="shared" si="152"/>
        <v>962Information Ratio</v>
      </c>
      <c r="B9221">
        <v>962</v>
      </c>
      <c r="C9221" s="9" t="s">
        <v>37</v>
      </c>
      <c r="D9221" s="8">
        <v>-1.04</v>
      </c>
    </row>
    <row r="9222" spans="1:4">
      <c r="A9222" t="str">
        <f t="shared" si="152"/>
        <v>962Tracking Error</v>
      </c>
      <c r="B9222">
        <v>962</v>
      </c>
      <c r="C9222" s="9" t="s">
        <v>38</v>
      </c>
      <c r="D9222" s="8">
        <v>7.1999999999999995E-2</v>
      </c>
    </row>
    <row r="9223" spans="1:4">
      <c r="A9223" t="str">
        <f t="shared" si="152"/>
        <v>962Treynor Ratio</v>
      </c>
      <c r="B9223">
        <v>962</v>
      </c>
      <c r="C9223" s="9" t="s">
        <v>39</v>
      </c>
      <c r="D9223" s="8">
        <v>0.89700000000000002</v>
      </c>
    </row>
    <row r="9224" spans="1:4">
      <c r="A9224" t="str">
        <f t="shared" si="152"/>
        <v>962Total Fees</v>
      </c>
      <c r="B9224">
        <v>962</v>
      </c>
      <c r="C9224" s="9" t="s">
        <v>40</v>
      </c>
      <c r="D9224" s="8">
        <v>0</v>
      </c>
    </row>
    <row r="9225" spans="1:4">
      <c r="A9225" t="str">
        <f t="shared" si="152"/>
        <v>962Estimated Strategy Capacity</v>
      </c>
      <c r="B9225">
        <v>962</v>
      </c>
      <c r="C9225" s="9" t="s">
        <v>41</v>
      </c>
      <c r="D9225" s="8">
        <v>6000000</v>
      </c>
    </row>
    <row r="9226" spans="1:4">
      <c r="A9226" t="str">
        <f t="shared" si="152"/>
        <v>963PSR</v>
      </c>
      <c r="B9226">
        <v>963</v>
      </c>
      <c r="C9226" s="9" t="s">
        <v>27</v>
      </c>
      <c r="D9226" s="8">
        <v>8.5940000000000003E-2</v>
      </c>
    </row>
    <row r="9227" spans="1:4">
      <c r="A9227" t="str">
        <f t="shared" si="152"/>
        <v>963Sharpe Ratio</v>
      </c>
      <c r="B9227">
        <v>963</v>
      </c>
      <c r="C9227" s="9" t="s">
        <v>1</v>
      </c>
      <c r="D9227" s="8">
        <v>-0.38500000000000001</v>
      </c>
    </row>
    <row r="9228" spans="1:4">
      <c r="A9228" t="str">
        <f t="shared" si="152"/>
        <v>963Total Trades</v>
      </c>
      <c r="B9228">
        <v>963</v>
      </c>
      <c r="C9228" s="9" t="s">
        <v>28</v>
      </c>
      <c r="D9228" s="8">
        <v>477</v>
      </c>
    </row>
    <row r="9229" spans="1:4">
      <c r="A9229" t="str">
        <f t="shared" si="152"/>
        <v>963Average Win</v>
      </c>
      <c r="B9229">
        <v>963</v>
      </c>
      <c r="C9229" s="9" t="s">
        <v>25</v>
      </c>
      <c r="D9229" s="8">
        <v>5.9999999999999995E-4</v>
      </c>
    </row>
    <row r="9230" spans="1:4">
      <c r="A9230" t="str">
        <f t="shared" si="152"/>
        <v>963Average Loss</v>
      </c>
      <c r="B9230">
        <v>963</v>
      </c>
      <c r="C9230" s="9" t="s">
        <v>29</v>
      </c>
      <c r="D9230" s="8">
        <v>-1.2999999999999999E-3</v>
      </c>
    </row>
    <row r="9231" spans="1:4">
      <c r="A9231" t="str">
        <f t="shared" si="152"/>
        <v>963Compounding Annual Return</v>
      </c>
      <c r="B9231">
        <v>963</v>
      </c>
      <c r="C9231" s="9" t="s">
        <v>30</v>
      </c>
      <c r="D9231" s="8">
        <v>-1.4279999999999999E-2</v>
      </c>
    </row>
    <row r="9232" spans="1:4">
      <c r="A9232" t="str">
        <f t="shared" si="152"/>
        <v>963Drawdown</v>
      </c>
      <c r="B9232">
        <v>963</v>
      </c>
      <c r="C9232" s="9" t="s">
        <v>8</v>
      </c>
      <c r="D9232" s="8">
        <v>2.5999999999999999E-2</v>
      </c>
    </row>
    <row r="9233" spans="1:4">
      <c r="A9233" t="str">
        <f t="shared" si="152"/>
        <v>963Expectancy</v>
      </c>
      <c r="B9233">
        <v>963</v>
      </c>
      <c r="C9233" s="9" t="s">
        <v>31</v>
      </c>
      <c r="D9233" s="8">
        <v>-7.0000000000000007E-2</v>
      </c>
    </row>
    <row r="9234" spans="1:4">
      <c r="A9234" t="str">
        <f t="shared" si="152"/>
        <v>963Net Profit</v>
      </c>
      <c r="B9234">
        <v>963</v>
      </c>
      <c r="C9234" s="9" t="s">
        <v>32</v>
      </c>
      <c r="D9234" s="8">
        <v>-9.5300000000000003E-3</v>
      </c>
    </row>
    <row r="9235" spans="1:4">
      <c r="A9235" t="str">
        <f t="shared" si="152"/>
        <v>963Loss Rate</v>
      </c>
      <c r="B9235">
        <v>963</v>
      </c>
      <c r="C9235" s="9" t="s">
        <v>33</v>
      </c>
      <c r="D9235" s="8">
        <v>0.36</v>
      </c>
    </row>
    <row r="9236" spans="1:4">
      <c r="A9236" t="str">
        <f t="shared" si="152"/>
        <v>963Win Rate</v>
      </c>
      <c r="B9236">
        <v>963</v>
      </c>
      <c r="C9236" s="9" t="s">
        <v>34</v>
      </c>
      <c r="D9236" s="8">
        <v>0.64</v>
      </c>
    </row>
    <row r="9237" spans="1:4">
      <c r="A9237" t="str">
        <f t="shared" si="152"/>
        <v>963Profit-Loss Ratio</v>
      </c>
      <c r="B9237">
        <v>963</v>
      </c>
      <c r="C9237" s="9" t="s">
        <v>26</v>
      </c>
      <c r="D9237" s="8">
        <v>0.44</v>
      </c>
    </row>
    <row r="9238" spans="1:4">
      <c r="A9238" t="str">
        <f t="shared" si="152"/>
        <v>963Alpha</v>
      </c>
      <c r="B9238">
        <v>963</v>
      </c>
      <c r="C9238" s="9" t="s">
        <v>23</v>
      </c>
      <c r="D9238" s="8">
        <v>-8.9999999999999993E-3</v>
      </c>
    </row>
    <row r="9239" spans="1:4">
      <c r="A9239" t="str">
        <f t="shared" si="152"/>
        <v>963Beta</v>
      </c>
      <c r="B9239">
        <v>963</v>
      </c>
      <c r="C9239" s="9" t="s">
        <v>24</v>
      </c>
      <c r="D9239" s="8">
        <v>-3.0000000000000001E-3</v>
      </c>
    </row>
    <row r="9240" spans="1:4">
      <c r="A9240" t="str">
        <f t="shared" si="152"/>
        <v>963Annual Standard Deviation</v>
      </c>
      <c r="B9240">
        <v>963</v>
      </c>
      <c r="C9240" s="9" t="s">
        <v>35</v>
      </c>
      <c r="D9240" s="8">
        <v>2.5000000000000001E-2</v>
      </c>
    </row>
    <row r="9241" spans="1:4">
      <c r="A9241" t="str">
        <f t="shared" si="152"/>
        <v>963Annual Variance</v>
      </c>
      <c r="B9241">
        <v>963</v>
      </c>
      <c r="C9241" s="9" t="s">
        <v>36</v>
      </c>
      <c r="D9241" s="8">
        <v>1E-3</v>
      </c>
    </row>
    <row r="9242" spans="1:4">
      <c r="A9242" t="str">
        <f t="shared" si="152"/>
        <v>963Information Ratio</v>
      </c>
      <c r="B9242">
        <v>963</v>
      </c>
      <c r="C9242" s="9" t="s">
        <v>37</v>
      </c>
      <c r="D9242" s="8">
        <v>-0.81799999999999995</v>
      </c>
    </row>
    <row r="9243" spans="1:4">
      <c r="A9243" t="str">
        <f t="shared" si="152"/>
        <v>963Tracking Error</v>
      </c>
      <c r="B9243">
        <v>963</v>
      </c>
      <c r="C9243" s="9" t="s">
        <v>38</v>
      </c>
      <c r="D9243" s="8">
        <v>7.1999999999999995E-2</v>
      </c>
    </row>
    <row r="9244" spans="1:4">
      <c r="A9244" t="str">
        <f t="shared" si="152"/>
        <v>963Treynor Ratio</v>
      </c>
      <c r="B9244">
        <v>963</v>
      </c>
      <c r="C9244" s="9" t="s">
        <v>39</v>
      </c>
      <c r="D9244" s="8">
        <v>2.8149999999999999</v>
      </c>
    </row>
    <row r="9245" spans="1:4">
      <c r="A9245" t="str">
        <f t="shared" si="152"/>
        <v>963Total Fees</v>
      </c>
      <c r="B9245">
        <v>963</v>
      </c>
      <c r="C9245" s="9" t="s">
        <v>40</v>
      </c>
      <c r="D9245" s="8">
        <v>0</v>
      </c>
    </row>
    <row r="9246" spans="1:4">
      <c r="A9246" t="str">
        <f t="shared" si="152"/>
        <v>963Estimated Strategy Capacity</v>
      </c>
      <c r="B9246">
        <v>963</v>
      </c>
      <c r="C9246" s="9" t="s">
        <v>41</v>
      </c>
      <c r="D9246" s="8">
        <v>6400000</v>
      </c>
    </row>
    <row r="9247" spans="1:4">
      <c r="A9247" t="str">
        <f t="shared" si="152"/>
        <v>982PSR</v>
      </c>
      <c r="B9247">
        <v>982</v>
      </c>
      <c r="C9247" s="9" t="s">
        <v>27</v>
      </c>
      <c r="D9247" s="8">
        <v>0.11602</v>
      </c>
    </row>
    <row r="9248" spans="1:4">
      <c r="A9248" t="str">
        <f t="shared" si="152"/>
        <v>982Sharpe Ratio</v>
      </c>
      <c r="B9248">
        <v>982</v>
      </c>
      <c r="C9248" s="9" t="s">
        <v>1</v>
      </c>
      <c r="D9248" s="8">
        <v>-0.218</v>
      </c>
    </row>
    <row r="9249" spans="1:4">
      <c r="A9249" t="str">
        <f t="shared" si="152"/>
        <v>982Total Trades</v>
      </c>
      <c r="B9249">
        <v>982</v>
      </c>
      <c r="C9249" s="9" t="s">
        <v>28</v>
      </c>
      <c r="D9249" s="8">
        <v>1768</v>
      </c>
    </row>
    <row r="9250" spans="1:4">
      <c r="A9250" t="str">
        <f t="shared" ref="A9250:A9313" si="153">B9250&amp;C9250</f>
        <v>982Average Win</v>
      </c>
      <c r="B9250">
        <v>982</v>
      </c>
      <c r="C9250" s="9" t="s">
        <v>25</v>
      </c>
      <c r="D9250" s="8">
        <v>8.9999999999999998E-4</v>
      </c>
    </row>
    <row r="9251" spans="1:4">
      <c r="A9251" t="str">
        <f t="shared" si="153"/>
        <v>982Average Loss</v>
      </c>
      <c r="B9251">
        <v>982</v>
      </c>
      <c r="C9251" s="9" t="s">
        <v>29</v>
      </c>
      <c r="D9251" s="8">
        <v>-1.9E-3</v>
      </c>
    </row>
    <row r="9252" spans="1:4">
      <c r="A9252" t="str">
        <f t="shared" si="153"/>
        <v>982Compounding Annual Return</v>
      </c>
      <c r="B9252">
        <v>982</v>
      </c>
      <c r="C9252" s="9" t="s">
        <v>30</v>
      </c>
      <c r="D9252" s="8">
        <v>-1.1089999999999999E-2</v>
      </c>
    </row>
    <row r="9253" spans="1:4">
      <c r="A9253" t="str">
        <f t="shared" si="153"/>
        <v>982Drawdown</v>
      </c>
      <c r="B9253">
        <v>982</v>
      </c>
      <c r="C9253" s="9" t="s">
        <v>8</v>
      </c>
      <c r="D9253" s="8">
        <v>3.5999999999999997E-2</v>
      </c>
    </row>
    <row r="9254" spans="1:4">
      <c r="A9254" t="str">
        <f t="shared" si="153"/>
        <v>982Expectancy</v>
      </c>
      <c r="B9254">
        <v>982</v>
      </c>
      <c r="C9254" s="9" t="s">
        <v>31</v>
      </c>
      <c r="D9254" s="8">
        <v>-2.1999999999999999E-2</v>
      </c>
    </row>
    <row r="9255" spans="1:4">
      <c r="A9255" t="str">
        <f t="shared" si="153"/>
        <v>982Net Profit</v>
      </c>
      <c r="B9255">
        <v>982</v>
      </c>
      <c r="C9255" s="9" t="s">
        <v>32</v>
      </c>
      <c r="D9255" s="8">
        <v>-7.3899999999999999E-3</v>
      </c>
    </row>
    <row r="9256" spans="1:4">
      <c r="A9256" t="str">
        <f t="shared" si="153"/>
        <v>982Loss Rate</v>
      </c>
      <c r="B9256">
        <v>982</v>
      </c>
      <c r="C9256" s="9" t="s">
        <v>33</v>
      </c>
      <c r="D9256" s="8">
        <v>0.35</v>
      </c>
    </row>
    <row r="9257" spans="1:4">
      <c r="A9257" t="str">
        <f t="shared" si="153"/>
        <v>982Win Rate</v>
      </c>
      <c r="B9257">
        <v>982</v>
      </c>
      <c r="C9257" s="9" t="s">
        <v>34</v>
      </c>
      <c r="D9257" s="8">
        <v>0.65</v>
      </c>
    </row>
    <row r="9258" spans="1:4">
      <c r="A9258" t="str">
        <f t="shared" si="153"/>
        <v>982Profit-Loss Ratio</v>
      </c>
      <c r="B9258">
        <v>982</v>
      </c>
      <c r="C9258" s="9" t="s">
        <v>26</v>
      </c>
      <c r="D9258" s="8">
        <v>0.5</v>
      </c>
    </row>
    <row r="9259" spans="1:4">
      <c r="A9259" t="str">
        <f t="shared" si="153"/>
        <v>982Alpha</v>
      </c>
      <c r="B9259">
        <v>982</v>
      </c>
      <c r="C9259" s="9" t="s">
        <v>23</v>
      </c>
      <c r="D9259" s="8">
        <v>-0.01</v>
      </c>
    </row>
    <row r="9260" spans="1:4">
      <c r="A9260" t="str">
        <f t="shared" si="153"/>
        <v>982Beta</v>
      </c>
      <c r="B9260">
        <v>982</v>
      </c>
      <c r="C9260" s="9" t="s">
        <v>24</v>
      </c>
      <c r="D9260" s="8">
        <v>6.5000000000000002E-2</v>
      </c>
    </row>
    <row r="9261" spans="1:4">
      <c r="A9261" t="str">
        <f t="shared" si="153"/>
        <v>982Annual Standard Deviation</v>
      </c>
      <c r="B9261">
        <v>982</v>
      </c>
      <c r="C9261" s="9" t="s">
        <v>35</v>
      </c>
      <c r="D9261" s="8">
        <v>3.3000000000000002E-2</v>
      </c>
    </row>
    <row r="9262" spans="1:4">
      <c r="A9262" t="str">
        <f t="shared" si="153"/>
        <v>982Annual Variance</v>
      </c>
      <c r="B9262">
        <v>982</v>
      </c>
      <c r="C9262" s="9" t="s">
        <v>36</v>
      </c>
      <c r="D9262" s="8">
        <v>1E-3</v>
      </c>
    </row>
    <row r="9263" spans="1:4">
      <c r="A9263" t="str">
        <f t="shared" si="153"/>
        <v>982Information Ratio</v>
      </c>
      <c r="B9263">
        <v>982</v>
      </c>
      <c r="C9263" s="9" t="s">
        <v>37</v>
      </c>
      <c r="D9263" s="8">
        <v>-0.79600000000000004</v>
      </c>
    </row>
    <row r="9264" spans="1:4">
      <c r="A9264" t="str">
        <f t="shared" si="153"/>
        <v>982Tracking Error</v>
      </c>
      <c r="B9264">
        <v>982</v>
      </c>
      <c r="C9264" s="9" t="s">
        <v>38</v>
      </c>
      <c r="D9264" s="8">
        <v>7.0999999999999994E-2</v>
      </c>
    </row>
    <row r="9265" spans="1:4">
      <c r="A9265" t="str">
        <f t="shared" si="153"/>
        <v>982Treynor Ratio</v>
      </c>
      <c r="B9265">
        <v>982</v>
      </c>
      <c r="C9265" s="9" t="s">
        <v>39</v>
      </c>
      <c r="D9265" s="8">
        <v>-0.11</v>
      </c>
    </row>
    <row r="9266" spans="1:4">
      <c r="A9266" t="str">
        <f t="shared" si="153"/>
        <v>982Total Fees</v>
      </c>
      <c r="B9266">
        <v>982</v>
      </c>
      <c r="C9266" s="9" t="s">
        <v>40</v>
      </c>
      <c r="D9266" s="8">
        <v>0</v>
      </c>
    </row>
    <row r="9267" spans="1:4">
      <c r="A9267" t="str">
        <f t="shared" si="153"/>
        <v>982Estimated Strategy Capacity</v>
      </c>
      <c r="B9267">
        <v>982</v>
      </c>
      <c r="C9267" s="9" t="s">
        <v>41</v>
      </c>
      <c r="D9267" s="8">
        <v>11000000</v>
      </c>
    </row>
    <row r="9268" spans="1:4">
      <c r="A9268" t="str">
        <f t="shared" si="153"/>
        <v>983PSR</v>
      </c>
      <c r="B9268">
        <v>983</v>
      </c>
      <c r="C9268" s="9" t="s">
        <v>27</v>
      </c>
      <c r="D9268" s="8">
        <v>2.3500000000000001E-3</v>
      </c>
    </row>
    <row r="9269" spans="1:4">
      <c r="A9269" t="str">
        <f t="shared" si="153"/>
        <v>983Sharpe Ratio</v>
      </c>
      <c r="B9269">
        <v>983</v>
      </c>
      <c r="C9269" s="9" t="s">
        <v>1</v>
      </c>
      <c r="D9269" s="8">
        <v>-1.8129999999999999</v>
      </c>
    </row>
    <row r="9270" spans="1:4">
      <c r="A9270" t="str">
        <f t="shared" si="153"/>
        <v>983Total Trades</v>
      </c>
      <c r="B9270">
        <v>983</v>
      </c>
      <c r="C9270" s="9" t="s">
        <v>28</v>
      </c>
      <c r="D9270" s="8">
        <v>1158</v>
      </c>
    </row>
    <row r="9271" spans="1:4">
      <c r="A9271" t="str">
        <f t="shared" si="153"/>
        <v>983Average Win</v>
      </c>
      <c r="B9271">
        <v>983</v>
      </c>
      <c r="C9271" s="9" t="s">
        <v>25</v>
      </c>
      <c r="D9271" s="8">
        <v>1.2999999999999999E-3</v>
      </c>
    </row>
    <row r="9272" spans="1:4">
      <c r="A9272" t="str">
        <f t="shared" si="153"/>
        <v>983Average Loss</v>
      </c>
      <c r="B9272">
        <v>983</v>
      </c>
      <c r="C9272" s="9" t="s">
        <v>29</v>
      </c>
      <c r="D9272" s="8">
        <v>-3.2000000000000002E-3</v>
      </c>
    </row>
    <row r="9273" spans="1:4">
      <c r="A9273" t="str">
        <f t="shared" si="153"/>
        <v>983Compounding Annual Return</v>
      </c>
      <c r="B9273">
        <v>983</v>
      </c>
      <c r="C9273" s="9" t="s">
        <v>30</v>
      </c>
      <c r="D9273" s="8">
        <v>-0.10963000000000001</v>
      </c>
    </row>
    <row r="9274" spans="1:4">
      <c r="A9274" t="str">
        <f t="shared" si="153"/>
        <v>983Drawdown</v>
      </c>
      <c r="B9274">
        <v>983</v>
      </c>
      <c r="C9274" s="9" t="s">
        <v>8</v>
      </c>
      <c r="D9274" s="8">
        <v>9.2999999999999999E-2</v>
      </c>
    </row>
    <row r="9275" spans="1:4">
      <c r="A9275" t="str">
        <f t="shared" si="153"/>
        <v>983Expectancy</v>
      </c>
      <c r="B9275">
        <v>983</v>
      </c>
      <c r="C9275" s="9" t="s">
        <v>31</v>
      </c>
      <c r="D9275" s="8">
        <v>-0.156</v>
      </c>
    </row>
    <row r="9276" spans="1:4">
      <c r="A9276" t="str">
        <f t="shared" si="153"/>
        <v>983Net Profit</v>
      </c>
      <c r="B9276">
        <v>983</v>
      </c>
      <c r="C9276" s="9" t="s">
        <v>32</v>
      </c>
      <c r="D9276" s="8">
        <v>-7.4380000000000002E-2</v>
      </c>
    </row>
    <row r="9277" spans="1:4">
      <c r="A9277" t="str">
        <f t="shared" si="153"/>
        <v>983Loss Rate</v>
      </c>
      <c r="B9277">
        <v>983</v>
      </c>
      <c r="C9277" s="9" t="s">
        <v>33</v>
      </c>
      <c r="D9277" s="8">
        <v>0.39</v>
      </c>
    </row>
    <row r="9278" spans="1:4">
      <c r="A9278" t="str">
        <f t="shared" si="153"/>
        <v>983Win Rate</v>
      </c>
      <c r="B9278">
        <v>983</v>
      </c>
      <c r="C9278" s="9" t="s">
        <v>34</v>
      </c>
      <c r="D9278" s="8">
        <v>0.61</v>
      </c>
    </row>
    <row r="9279" spans="1:4">
      <c r="A9279" t="str">
        <f t="shared" si="153"/>
        <v>983Profit-Loss Ratio</v>
      </c>
      <c r="B9279">
        <v>983</v>
      </c>
      <c r="C9279" s="9" t="s">
        <v>26</v>
      </c>
      <c r="D9279" s="8">
        <v>0.39</v>
      </c>
    </row>
    <row r="9280" spans="1:4">
      <c r="A9280" t="str">
        <f t="shared" si="153"/>
        <v>983Alpha</v>
      </c>
      <c r="B9280">
        <v>983</v>
      </c>
      <c r="C9280" s="9" t="s">
        <v>23</v>
      </c>
      <c r="D9280" s="8">
        <v>-8.2000000000000003E-2</v>
      </c>
    </row>
    <row r="9281" spans="1:4">
      <c r="A9281" t="str">
        <f t="shared" si="153"/>
        <v>983Beta</v>
      </c>
      <c r="B9281">
        <v>983</v>
      </c>
      <c r="C9281" s="9" t="s">
        <v>24</v>
      </c>
      <c r="D9281" s="8">
        <v>0.114</v>
      </c>
    </row>
    <row r="9282" spans="1:4">
      <c r="A9282" t="str">
        <f t="shared" si="153"/>
        <v>983Annual Standard Deviation</v>
      </c>
      <c r="B9282">
        <v>983</v>
      </c>
      <c r="C9282" s="9" t="s">
        <v>35</v>
      </c>
      <c r="D9282" s="8">
        <v>4.2000000000000003E-2</v>
      </c>
    </row>
    <row r="9283" spans="1:4">
      <c r="A9283" t="str">
        <f t="shared" si="153"/>
        <v>983Annual Variance</v>
      </c>
      <c r="B9283">
        <v>983</v>
      </c>
      <c r="C9283" s="9" t="s">
        <v>36</v>
      </c>
      <c r="D9283" s="8">
        <v>2E-3</v>
      </c>
    </row>
    <row r="9284" spans="1:4">
      <c r="A9284" t="str">
        <f t="shared" si="153"/>
        <v>983Information Ratio</v>
      </c>
      <c r="B9284">
        <v>983</v>
      </c>
      <c r="C9284" s="9" t="s">
        <v>37</v>
      </c>
      <c r="D9284" s="8">
        <v>-1.77</v>
      </c>
    </row>
    <row r="9285" spans="1:4">
      <c r="A9285" t="str">
        <f t="shared" si="153"/>
        <v>983Tracking Error</v>
      </c>
      <c r="B9285">
        <v>983</v>
      </c>
      <c r="C9285" s="9" t="s">
        <v>38</v>
      </c>
      <c r="D9285" s="8">
        <v>7.2999999999999995E-2</v>
      </c>
    </row>
    <row r="9286" spans="1:4">
      <c r="A9286" t="str">
        <f t="shared" si="153"/>
        <v>983Treynor Ratio</v>
      </c>
      <c r="B9286">
        <v>983</v>
      </c>
      <c r="C9286" s="9" t="s">
        <v>39</v>
      </c>
      <c r="D9286" s="8">
        <v>-0.66800000000000004</v>
      </c>
    </row>
    <row r="9287" spans="1:4">
      <c r="A9287" t="str">
        <f t="shared" si="153"/>
        <v>983Total Fees</v>
      </c>
      <c r="B9287">
        <v>983</v>
      </c>
      <c r="C9287" s="9" t="s">
        <v>40</v>
      </c>
      <c r="D9287" s="8">
        <v>0</v>
      </c>
    </row>
    <row r="9288" spans="1:4">
      <c r="A9288" t="str">
        <f t="shared" si="153"/>
        <v>983Estimated Strategy Capacity</v>
      </c>
      <c r="B9288">
        <v>983</v>
      </c>
      <c r="C9288" s="9" t="s">
        <v>41</v>
      </c>
      <c r="D9288" s="8">
        <v>2800000</v>
      </c>
    </row>
    <row r="9289" spans="1:4">
      <c r="A9289" t="str">
        <f t="shared" si="153"/>
        <v>984PSR</v>
      </c>
      <c r="B9289">
        <v>984</v>
      </c>
      <c r="C9289" s="9" t="s">
        <v>27</v>
      </c>
      <c r="D9289" s="8">
        <v>4.96E-3</v>
      </c>
    </row>
    <row r="9290" spans="1:4">
      <c r="A9290" t="str">
        <f t="shared" si="153"/>
        <v>984Sharpe Ratio</v>
      </c>
      <c r="B9290">
        <v>984</v>
      </c>
      <c r="C9290" s="9" t="s">
        <v>1</v>
      </c>
      <c r="D9290" s="8">
        <v>-1.5680000000000001</v>
      </c>
    </row>
    <row r="9291" spans="1:4">
      <c r="A9291" t="str">
        <f t="shared" si="153"/>
        <v>984Total Trades</v>
      </c>
      <c r="B9291">
        <v>984</v>
      </c>
      <c r="C9291" s="9" t="s">
        <v>28</v>
      </c>
      <c r="D9291" s="8">
        <v>959</v>
      </c>
    </row>
    <row r="9292" spans="1:4">
      <c r="A9292" t="str">
        <f t="shared" si="153"/>
        <v>984Average Win</v>
      </c>
      <c r="B9292">
        <v>984</v>
      </c>
      <c r="C9292" s="9" t="s">
        <v>25</v>
      </c>
      <c r="D9292" s="8">
        <v>1.4E-3</v>
      </c>
    </row>
    <row r="9293" spans="1:4">
      <c r="A9293" t="str">
        <f t="shared" si="153"/>
        <v>984Average Loss</v>
      </c>
      <c r="B9293">
        <v>984</v>
      </c>
      <c r="C9293" s="9" t="s">
        <v>29</v>
      </c>
      <c r="D9293" s="8">
        <v>-3.0999999999999999E-3</v>
      </c>
    </row>
    <row r="9294" spans="1:4">
      <c r="A9294" t="str">
        <f t="shared" si="153"/>
        <v>984Compounding Annual Return</v>
      </c>
      <c r="B9294">
        <v>984</v>
      </c>
      <c r="C9294" s="9" t="s">
        <v>30</v>
      </c>
      <c r="D9294" s="8">
        <v>-9.7170000000000006E-2</v>
      </c>
    </row>
    <row r="9295" spans="1:4">
      <c r="A9295" t="str">
        <f t="shared" si="153"/>
        <v>984Drawdown</v>
      </c>
      <c r="B9295">
        <v>984</v>
      </c>
      <c r="C9295" s="9" t="s">
        <v>8</v>
      </c>
      <c r="D9295" s="8">
        <v>0.08</v>
      </c>
    </row>
    <row r="9296" spans="1:4">
      <c r="A9296" t="str">
        <f t="shared" si="153"/>
        <v>984Expectancy</v>
      </c>
      <c r="B9296">
        <v>984</v>
      </c>
      <c r="C9296" s="9" t="s">
        <v>31</v>
      </c>
      <c r="D9296" s="8">
        <v>-0.151</v>
      </c>
    </row>
    <row r="9297" spans="1:4">
      <c r="A9297" t="str">
        <f t="shared" si="153"/>
        <v>984Net Profit</v>
      </c>
      <c r="B9297">
        <v>984</v>
      </c>
      <c r="C9297" s="9" t="s">
        <v>32</v>
      </c>
      <c r="D9297" s="8">
        <v>-6.5780000000000005E-2</v>
      </c>
    </row>
    <row r="9298" spans="1:4">
      <c r="A9298" t="str">
        <f t="shared" si="153"/>
        <v>984Loss Rate</v>
      </c>
      <c r="B9298">
        <v>984</v>
      </c>
      <c r="C9298" s="9" t="s">
        <v>33</v>
      </c>
      <c r="D9298" s="8">
        <v>0.41</v>
      </c>
    </row>
    <row r="9299" spans="1:4">
      <c r="A9299" t="str">
        <f t="shared" si="153"/>
        <v>984Win Rate</v>
      </c>
      <c r="B9299">
        <v>984</v>
      </c>
      <c r="C9299" s="9" t="s">
        <v>34</v>
      </c>
      <c r="D9299" s="8">
        <v>0.59</v>
      </c>
    </row>
    <row r="9300" spans="1:4">
      <c r="A9300" t="str">
        <f t="shared" si="153"/>
        <v>984Profit-Loss Ratio</v>
      </c>
      <c r="B9300">
        <v>984</v>
      </c>
      <c r="C9300" s="9" t="s">
        <v>26</v>
      </c>
      <c r="D9300" s="8">
        <v>0.45</v>
      </c>
    </row>
    <row r="9301" spans="1:4">
      <c r="A9301" t="str">
        <f t="shared" si="153"/>
        <v>984Alpha</v>
      </c>
      <c r="B9301">
        <v>984</v>
      </c>
      <c r="C9301" s="9" t="s">
        <v>23</v>
      </c>
      <c r="D9301" s="8">
        <v>-7.3999999999999996E-2</v>
      </c>
    </row>
    <row r="9302" spans="1:4">
      <c r="A9302" t="str">
        <f t="shared" si="153"/>
        <v>984Beta</v>
      </c>
      <c r="B9302">
        <v>984</v>
      </c>
      <c r="C9302" s="9" t="s">
        <v>24</v>
      </c>
      <c r="D9302" s="8">
        <v>0.13400000000000001</v>
      </c>
    </row>
    <row r="9303" spans="1:4">
      <c r="A9303" t="str">
        <f t="shared" si="153"/>
        <v>984Annual Standard Deviation</v>
      </c>
      <c r="B9303">
        <v>984</v>
      </c>
      <c r="C9303" s="9" t="s">
        <v>35</v>
      </c>
      <c r="D9303" s="8">
        <v>4.2999999999999997E-2</v>
      </c>
    </row>
    <row r="9304" spans="1:4">
      <c r="A9304" t="str">
        <f t="shared" si="153"/>
        <v>984Annual Variance</v>
      </c>
      <c r="B9304">
        <v>984</v>
      </c>
      <c r="C9304" s="9" t="s">
        <v>36</v>
      </c>
      <c r="D9304" s="8">
        <v>2E-3</v>
      </c>
    </row>
    <row r="9305" spans="1:4">
      <c r="A9305" t="str">
        <f t="shared" si="153"/>
        <v>984Information Ratio</v>
      </c>
      <c r="B9305">
        <v>984</v>
      </c>
      <c r="C9305" s="9" t="s">
        <v>37</v>
      </c>
      <c r="D9305" s="8">
        <v>-1.625</v>
      </c>
    </row>
    <row r="9306" spans="1:4">
      <c r="A9306" t="str">
        <f t="shared" si="153"/>
        <v>984Tracking Error</v>
      </c>
      <c r="B9306">
        <v>984</v>
      </c>
      <c r="C9306" s="9" t="s">
        <v>38</v>
      </c>
      <c r="D9306" s="8">
        <v>7.1999999999999995E-2</v>
      </c>
    </row>
    <row r="9307" spans="1:4">
      <c r="A9307" t="str">
        <f t="shared" si="153"/>
        <v>984Treynor Ratio</v>
      </c>
      <c r="B9307">
        <v>984</v>
      </c>
      <c r="C9307" s="9" t="s">
        <v>39</v>
      </c>
      <c r="D9307" s="8">
        <v>-0.503</v>
      </c>
    </row>
    <row r="9308" spans="1:4">
      <c r="A9308" t="str">
        <f t="shared" si="153"/>
        <v>984Total Fees</v>
      </c>
      <c r="B9308">
        <v>984</v>
      </c>
      <c r="C9308" s="9" t="s">
        <v>40</v>
      </c>
      <c r="D9308" s="8">
        <v>0</v>
      </c>
    </row>
    <row r="9309" spans="1:4">
      <c r="A9309" t="str">
        <f t="shared" si="153"/>
        <v>984Estimated Strategy Capacity</v>
      </c>
      <c r="B9309">
        <v>984</v>
      </c>
      <c r="C9309" s="9" t="s">
        <v>41</v>
      </c>
      <c r="D9309" s="8">
        <v>3100000</v>
      </c>
    </row>
    <row r="9310" spans="1:4">
      <c r="A9310" t="str">
        <f t="shared" si="153"/>
        <v>985PSR</v>
      </c>
      <c r="B9310">
        <v>985</v>
      </c>
      <c r="C9310" s="9" t="s">
        <v>27</v>
      </c>
      <c r="D9310" s="8">
        <v>0.48341000000000001</v>
      </c>
    </row>
    <row r="9311" spans="1:4">
      <c r="A9311" t="str">
        <f t="shared" si="153"/>
        <v>985Sharpe Ratio</v>
      </c>
      <c r="B9311">
        <v>985</v>
      </c>
      <c r="C9311" s="9" t="s">
        <v>1</v>
      </c>
      <c r="D9311" s="8">
        <v>0.97299999999999998</v>
      </c>
    </row>
    <row r="9312" spans="1:4">
      <c r="A9312" t="str">
        <f t="shared" si="153"/>
        <v>985Total Trades</v>
      </c>
      <c r="B9312">
        <v>985</v>
      </c>
      <c r="C9312" s="9" t="s">
        <v>28</v>
      </c>
      <c r="D9312" s="8">
        <v>1207</v>
      </c>
    </row>
    <row r="9313" spans="1:4">
      <c r="A9313" t="str">
        <f t="shared" si="153"/>
        <v>985Average Win</v>
      </c>
      <c r="B9313">
        <v>985</v>
      </c>
      <c r="C9313" s="9" t="s">
        <v>25</v>
      </c>
      <c r="D9313" s="8">
        <v>1.1999999999999999E-3</v>
      </c>
    </row>
    <row r="9314" spans="1:4">
      <c r="A9314" t="str">
        <f t="shared" ref="A9314:A9377" si="154">B9314&amp;C9314</f>
        <v>985Average Loss</v>
      </c>
      <c r="B9314">
        <v>985</v>
      </c>
      <c r="C9314" s="9" t="s">
        <v>29</v>
      </c>
      <c r="D9314" s="8">
        <v>-1.5E-3</v>
      </c>
    </row>
    <row r="9315" spans="1:4">
      <c r="A9315" t="str">
        <f t="shared" si="154"/>
        <v>985Compounding Annual Return</v>
      </c>
      <c r="B9315">
        <v>985</v>
      </c>
      <c r="C9315" s="9" t="s">
        <v>30</v>
      </c>
      <c r="D9315" s="8">
        <v>4.1439999999999998E-2</v>
      </c>
    </row>
    <row r="9316" spans="1:4">
      <c r="A9316" t="str">
        <f t="shared" si="154"/>
        <v>985Drawdown</v>
      </c>
      <c r="B9316">
        <v>985</v>
      </c>
      <c r="C9316" s="9" t="s">
        <v>8</v>
      </c>
      <c r="D9316" s="8">
        <v>2.1000000000000001E-2</v>
      </c>
    </row>
    <row r="9317" spans="1:4">
      <c r="A9317" t="str">
        <f t="shared" si="154"/>
        <v>985Expectancy</v>
      </c>
      <c r="B9317">
        <v>985</v>
      </c>
      <c r="C9317" s="9" t="s">
        <v>31</v>
      </c>
      <c r="D9317" s="8">
        <v>0.14599999999999999</v>
      </c>
    </row>
    <row r="9318" spans="1:4">
      <c r="A9318" t="str">
        <f t="shared" si="154"/>
        <v>985Net Profit</v>
      </c>
      <c r="B9318">
        <v>985</v>
      </c>
      <c r="C9318" s="9" t="s">
        <v>32</v>
      </c>
      <c r="D9318" s="8">
        <v>2.7390000000000001E-2</v>
      </c>
    </row>
    <row r="9319" spans="1:4">
      <c r="A9319" t="str">
        <f t="shared" si="154"/>
        <v>985Loss Rate</v>
      </c>
      <c r="B9319">
        <v>985</v>
      </c>
      <c r="C9319" s="9" t="s">
        <v>33</v>
      </c>
      <c r="D9319" s="8">
        <v>0.37</v>
      </c>
    </row>
    <row r="9320" spans="1:4">
      <c r="A9320" t="str">
        <f t="shared" si="154"/>
        <v>985Win Rate</v>
      </c>
      <c r="B9320">
        <v>985</v>
      </c>
      <c r="C9320" s="9" t="s">
        <v>34</v>
      </c>
      <c r="D9320" s="8">
        <v>0.63</v>
      </c>
    </row>
    <row r="9321" spans="1:4">
      <c r="A9321" t="str">
        <f t="shared" si="154"/>
        <v>985Profit-Loss Ratio</v>
      </c>
      <c r="B9321">
        <v>985</v>
      </c>
      <c r="C9321" s="9" t="s">
        <v>26</v>
      </c>
      <c r="D9321" s="8">
        <v>0.82</v>
      </c>
    </row>
    <row r="9322" spans="1:4">
      <c r="A9322" t="str">
        <f t="shared" si="154"/>
        <v>985Alpha</v>
      </c>
      <c r="B9322">
        <v>985</v>
      </c>
      <c r="C9322" s="9" t="s">
        <v>23</v>
      </c>
      <c r="D9322" s="8">
        <v>2.5000000000000001E-2</v>
      </c>
    </row>
    <row r="9323" spans="1:4">
      <c r="A9323" t="str">
        <f t="shared" si="154"/>
        <v>985Beta</v>
      </c>
      <c r="B9323">
        <v>985</v>
      </c>
      <c r="C9323" s="9" t="s">
        <v>24</v>
      </c>
      <c r="D9323" s="8">
        <v>9.0999999999999998E-2</v>
      </c>
    </row>
    <row r="9324" spans="1:4">
      <c r="A9324" t="str">
        <f t="shared" si="154"/>
        <v>985Annual Standard Deviation</v>
      </c>
      <c r="B9324">
        <v>985</v>
      </c>
      <c r="C9324" s="9" t="s">
        <v>35</v>
      </c>
      <c r="D9324" s="8">
        <v>0.03</v>
      </c>
    </row>
    <row r="9325" spans="1:4">
      <c r="A9325" t="str">
        <f t="shared" si="154"/>
        <v>985Annual Variance</v>
      </c>
      <c r="B9325">
        <v>985</v>
      </c>
      <c r="C9325" s="9" t="s">
        <v>36</v>
      </c>
      <c r="D9325" s="8">
        <v>1E-3</v>
      </c>
    </row>
    <row r="9326" spans="1:4">
      <c r="A9326" t="str">
        <f t="shared" si="154"/>
        <v>985Information Ratio</v>
      </c>
      <c r="B9326">
        <v>985</v>
      </c>
      <c r="C9326" s="9" t="s">
        <v>37</v>
      </c>
      <c r="D9326" s="8">
        <v>-0.29899999999999999</v>
      </c>
    </row>
    <row r="9327" spans="1:4">
      <c r="A9327" t="str">
        <f t="shared" si="154"/>
        <v>985Tracking Error</v>
      </c>
      <c r="B9327">
        <v>985</v>
      </c>
      <c r="C9327" s="9" t="s">
        <v>38</v>
      </c>
      <c r="D9327" s="8">
        <v>6.8000000000000005E-2</v>
      </c>
    </row>
    <row r="9328" spans="1:4">
      <c r="A9328" t="str">
        <f t="shared" si="154"/>
        <v>985Treynor Ratio</v>
      </c>
      <c r="B9328">
        <v>985</v>
      </c>
      <c r="C9328" s="9" t="s">
        <v>39</v>
      </c>
      <c r="D9328" s="8">
        <v>0.32</v>
      </c>
    </row>
    <row r="9329" spans="1:4">
      <c r="A9329" t="str">
        <f t="shared" si="154"/>
        <v>985Total Fees</v>
      </c>
      <c r="B9329">
        <v>985</v>
      </c>
      <c r="C9329" s="9" t="s">
        <v>40</v>
      </c>
      <c r="D9329" s="8">
        <v>0</v>
      </c>
    </row>
    <row r="9330" spans="1:4">
      <c r="A9330" t="str">
        <f t="shared" si="154"/>
        <v>985Estimated Strategy Capacity</v>
      </c>
      <c r="B9330">
        <v>985</v>
      </c>
      <c r="C9330" s="9" t="s">
        <v>41</v>
      </c>
      <c r="D9330" s="8">
        <v>3400000</v>
      </c>
    </row>
    <row r="9331" spans="1:4">
      <c r="A9331" t="str">
        <f t="shared" si="154"/>
        <v>986PSR</v>
      </c>
      <c r="B9331">
        <v>986</v>
      </c>
      <c r="C9331" s="9" t="s">
        <v>27</v>
      </c>
      <c r="D9331" s="8">
        <v>0.14121</v>
      </c>
    </row>
    <row r="9332" spans="1:4">
      <c r="A9332" t="str">
        <f t="shared" si="154"/>
        <v>986Sharpe Ratio</v>
      </c>
      <c r="B9332">
        <v>986</v>
      </c>
      <c r="C9332" s="9" t="s">
        <v>1</v>
      </c>
      <c r="D9332" s="8">
        <v>-9.7000000000000003E-2</v>
      </c>
    </row>
    <row r="9333" spans="1:4">
      <c r="A9333" t="str">
        <f t="shared" si="154"/>
        <v>986Total Trades</v>
      </c>
      <c r="B9333">
        <v>986</v>
      </c>
      <c r="C9333" s="9" t="s">
        <v>28</v>
      </c>
      <c r="D9333" s="8">
        <v>793</v>
      </c>
    </row>
    <row r="9334" spans="1:4">
      <c r="A9334" t="str">
        <f t="shared" si="154"/>
        <v>986Average Win</v>
      </c>
      <c r="B9334">
        <v>986</v>
      </c>
      <c r="C9334" s="9" t="s">
        <v>25</v>
      </c>
      <c r="D9334" s="8">
        <v>1.8E-3</v>
      </c>
    </row>
    <row r="9335" spans="1:4">
      <c r="A9335" t="str">
        <f t="shared" si="154"/>
        <v>986Average Loss</v>
      </c>
      <c r="B9335">
        <v>986</v>
      </c>
      <c r="C9335" s="9" t="s">
        <v>29</v>
      </c>
      <c r="D9335" s="8">
        <v>-3.0999999999999999E-3</v>
      </c>
    </row>
    <row r="9336" spans="1:4">
      <c r="A9336" t="str">
        <f t="shared" si="154"/>
        <v>986Compounding Annual Return</v>
      </c>
      <c r="B9336">
        <v>986</v>
      </c>
      <c r="C9336" s="9" t="s">
        <v>30</v>
      </c>
      <c r="D9336" s="8">
        <v>-6.6400000000000001E-3</v>
      </c>
    </row>
    <row r="9337" spans="1:4">
      <c r="A9337" t="str">
        <f t="shared" si="154"/>
        <v>986Drawdown</v>
      </c>
      <c r="B9337">
        <v>986</v>
      </c>
      <c r="C9337" s="9" t="s">
        <v>8</v>
      </c>
      <c r="D9337" s="8">
        <v>4.3999999999999997E-2</v>
      </c>
    </row>
    <row r="9338" spans="1:4">
      <c r="A9338" t="str">
        <f t="shared" si="154"/>
        <v>986Expectancy</v>
      </c>
      <c r="B9338">
        <v>986</v>
      </c>
      <c r="C9338" s="9" t="s">
        <v>31</v>
      </c>
      <c r="D9338" s="8">
        <v>-1.0999999999999999E-2</v>
      </c>
    </row>
    <row r="9339" spans="1:4">
      <c r="A9339" t="str">
        <f t="shared" si="154"/>
        <v>986Net Profit</v>
      </c>
      <c r="B9339">
        <v>986</v>
      </c>
      <c r="C9339" s="9" t="s">
        <v>32</v>
      </c>
      <c r="D9339" s="8">
        <v>-4.4200000000000003E-3</v>
      </c>
    </row>
    <row r="9340" spans="1:4">
      <c r="A9340" t="str">
        <f t="shared" si="154"/>
        <v>986Loss Rate</v>
      </c>
      <c r="B9340">
        <v>986</v>
      </c>
      <c r="C9340" s="9" t="s">
        <v>33</v>
      </c>
      <c r="D9340" s="8">
        <v>0.37</v>
      </c>
    </row>
    <row r="9341" spans="1:4">
      <c r="A9341" t="str">
        <f t="shared" si="154"/>
        <v>986Win Rate</v>
      </c>
      <c r="B9341">
        <v>986</v>
      </c>
      <c r="C9341" s="9" t="s">
        <v>34</v>
      </c>
      <c r="D9341" s="8">
        <v>0.63</v>
      </c>
    </row>
    <row r="9342" spans="1:4">
      <c r="A9342" t="str">
        <f t="shared" si="154"/>
        <v>986Profit-Loss Ratio</v>
      </c>
      <c r="B9342">
        <v>986</v>
      </c>
      <c r="C9342" s="9" t="s">
        <v>26</v>
      </c>
      <c r="D9342" s="8">
        <v>0.56999999999999995</v>
      </c>
    </row>
    <row r="9343" spans="1:4">
      <c r="A9343" t="str">
        <f t="shared" si="154"/>
        <v>986Alpha</v>
      </c>
      <c r="B9343">
        <v>986</v>
      </c>
      <c r="C9343" s="9" t="s">
        <v>23</v>
      </c>
      <c r="D9343" s="8">
        <v>-1.2E-2</v>
      </c>
    </row>
    <row r="9344" spans="1:4">
      <c r="A9344" t="str">
        <f t="shared" si="154"/>
        <v>986Beta</v>
      </c>
      <c r="B9344">
        <v>986</v>
      </c>
      <c r="C9344" s="9" t="s">
        <v>24</v>
      </c>
      <c r="D9344" s="8">
        <v>0.16600000000000001</v>
      </c>
    </row>
    <row r="9345" spans="1:4">
      <c r="A9345" t="str">
        <f t="shared" si="154"/>
        <v>986Annual Standard Deviation</v>
      </c>
      <c r="B9345">
        <v>986</v>
      </c>
      <c r="C9345" s="9" t="s">
        <v>35</v>
      </c>
      <c r="D9345" s="8">
        <v>0.04</v>
      </c>
    </row>
    <row r="9346" spans="1:4">
      <c r="A9346" t="str">
        <f t="shared" si="154"/>
        <v>986Annual Variance</v>
      </c>
      <c r="B9346">
        <v>986</v>
      </c>
      <c r="C9346" s="9" t="s">
        <v>36</v>
      </c>
      <c r="D9346" s="8">
        <v>2E-3</v>
      </c>
    </row>
    <row r="9347" spans="1:4">
      <c r="A9347" t="str">
        <f t="shared" si="154"/>
        <v>986Information Ratio</v>
      </c>
      <c r="B9347">
        <v>986</v>
      </c>
      <c r="C9347" s="9" t="s">
        <v>37</v>
      </c>
      <c r="D9347" s="8">
        <v>-0.82299999999999995</v>
      </c>
    </row>
    <row r="9348" spans="1:4">
      <c r="A9348" t="str">
        <f t="shared" si="154"/>
        <v>986Tracking Error</v>
      </c>
      <c r="B9348">
        <v>986</v>
      </c>
      <c r="C9348" s="9" t="s">
        <v>38</v>
      </c>
      <c r="D9348" s="8">
        <v>6.8000000000000005E-2</v>
      </c>
    </row>
    <row r="9349" spans="1:4">
      <c r="A9349" t="str">
        <f t="shared" si="154"/>
        <v>986Treynor Ratio</v>
      </c>
      <c r="B9349">
        <v>986</v>
      </c>
      <c r="C9349" s="9" t="s">
        <v>39</v>
      </c>
      <c r="D9349" s="8">
        <v>-2.3E-2</v>
      </c>
    </row>
    <row r="9350" spans="1:4">
      <c r="A9350" t="str">
        <f t="shared" si="154"/>
        <v>986Total Fees</v>
      </c>
      <c r="B9350">
        <v>986</v>
      </c>
      <c r="C9350" s="9" t="s">
        <v>40</v>
      </c>
      <c r="D9350" s="8">
        <v>0</v>
      </c>
    </row>
    <row r="9351" spans="1:4">
      <c r="A9351" t="str">
        <f t="shared" si="154"/>
        <v>986Estimated Strategy Capacity</v>
      </c>
      <c r="B9351">
        <v>986</v>
      </c>
      <c r="C9351" s="9" t="s">
        <v>41</v>
      </c>
      <c r="D9351" s="8">
        <v>3400000</v>
      </c>
    </row>
    <row r="9352" spans="1:4">
      <c r="A9352" t="str">
        <f t="shared" si="154"/>
        <v>987PSR</v>
      </c>
      <c r="B9352">
        <v>987</v>
      </c>
      <c r="C9352" s="9" t="s">
        <v>27</v>
      </c>
      <c r="D9352" s="8">
        <v>0.12404</v>
      </c>
    </row>
    <row r="9353" spans="1:4">
      <c r="A9353" t="str">
        <f t="shared" si="154"/>
        <v>987Sharpe Ratio</v>
      </c>
      <c r="B9353">
        <v>987</v>
      </c>
      <c r="C9353" s="9" t="s">
        <v>1</v>
      </c>
      <c r="D9353" s="8">
        <v>-0.17499999999999999</v>
      </c>
    </row>
    <row r="9354" spans="1:4">
      <c r="A9354" t="str">
        <f t="shared" si="154"/>
        <v>987Total Trades</v>
      </c>
      <c r="B9354">
        <v>987</v>
      </c>
      <c r="C9354" s="9" t="s">
        <v>28</v>
      </c>
      <c r="D9354" s="8">
        <v>678</v>
      </c>
    </row>
    <row r="9355" spans="1:4">
      <c r="A9355" t="str">
        <f t="shared" si="154"/>
        <v>987Average Win</v>
      </c>
      <c r="B9355">
        <v>987</v>
      </c>
      <c r="C9355" s="9" t="s">
        <v>25</v>
      </c>
      <c r="D9355" s="8">
        <v>2.0999999999999999E-3</v>
      </c>
    </row>
    <row r="9356" spans="1:4">
      <c r="A9356" t="str">
        <f t="shared" si="154"/>
        <v>987Average Loss</v>
      </c>
      <c r="B9356">
        <v>987</v>
      </c>
      <c r="C9356" s="9" t="s">
        <v>29</v>
      </c>
      <c r="D9356" s="8">
        <v>-3.8E-3</v>
      </c>
    </row>
    <row r="9357" spans="1:4">
      <c r="A9357" t="str">
        <f t="shared" si="154"/>
        <v>987Compounding Annual Return</v>
      </c>
      <c r="B9357">
        <v>987</v>
      </c>
      <c r="C9357" s="9" t="s">
        <v>30</v>
      </c>
      <c r="D9357" s="8">
        <v>-1.319E-2</v>
      </c>
    </row>
    <row r="9358" spans="1:4">
      <c r="A9358" t="str">
        <f t="shared" si="154"/>
        <v>987Drawdown</v>
      </c>
      <c r="B9358">
        <v>987</v>
      </c>
      <c r="C9358" s="9" t="s">
        <v>8</v>
      </c>
      <c r="D9358" s="8">
        <v>4.3999999999999997E-2</v>
      </c>
    </row>
    <row r="9359" spans="1:4">
      <c r="A9359" t="str">
        <f t="shared" si="154"/>
        <v>987Expectancy</v>
      </c>
      <c r="B9359">
        <v>987</v>
      </c>
      <c r="C9359" s="9" t="s">
        <v>31</v>
      </c>
      <c r="D9359" s="8">
        <v>-1.7000000000000001E-2</v>
      </c>
    </row>
    <row r="9360" spans="1:4">
      <c r="A9360" t="str">
        <f t="shared" si="154"/>
        <v>987Net Profit</v>
      </c>
      <c r="B9360">
        <v>987</v>
      </c>
      <c r="C9360" s="9" t="s">
        <v>32</v>
      </c>
      <c r="D9360" s="8">
        <v>-8.8000000000000005E-3</v>
      </c>
    </row>
    <row r="9361" spans="1:4">
      <c r="A9361" t="str">
        <f t="shared" si="154"/>
        <v>987Loss Rate</v>
      </c>
      <c r="B9361">
        <v>987</v>
      </c>
      <c r="C9361" s="9" t="s">
        <v>33</v>
      </c>
      <c r="D9361" s="8">
        <v>0.37</v>
      </c>
    </row>
    <row r="9362" spans="1:4">
      <c r="A9362" t="str">
        <f t="shared" si="154"/>
        <v>987Win Rate</v>
      </c>
      <c r="B9362">
        <v>987</v>
      </c>
      <c r="C9362" s="9" t="s">
        <v>34</v>
      </c>
      <c r="D9362" s="8">
        <v>0.63</v>
      </c>
    </row>
    <row r="9363" spans="1:4">
      <c r="A9363" t="str">
        <f t="shared" si="154"/>
        <v>987Profit-Loss Ratio</v>
      </c>
      <c r="B9363">
        <v>987</v>
      </c>
      <c r="C9363" s="9" t="s">
        <v>26</v>
      </c>
      <c r="D9363" s="8">
        <v>0.55000000000000004</v>
      </c>
    </row>
    <row r="9364" spans="1:4">
      <c r="A9364" t="str">
        <f t="shared" si="154"/>
        <v>987Alpha</v>
      </c>
      <c r="B9364">
        <v>987</v>
      </c>
      <c r="C9364" s="9" t="s">
        <v>23</v>
      </c>
      <c r="D9364" s="8">
        <v>-1.7000000000000001E-2</v>
      </c>
    </row>
    <row r="9365" spans="1:4">
      <c r="A9365" t="str">
        <f t="shared" si="154"/>
        <v>987Beta</v>
      </c>
      <c r="B9365">
        <v>987</v>
      </c>
      <c r="C9365" s="9" t="s">
        <v>24</v>
      </c>
      <c r="D9365" s="8">
        <v>0.17100000000000001</v>
      </c>
    </row>
    <row r="9366" spans="1:4">
      <c r="A9366" t="str">
        <f t="shared" si="154"/>
        <v>987Annual Standard Deviation</v>
      </c>
      <c r="B9366">
        <v>987</v>
      </c>
      <c r="C9366" s="9" t="s">
        <v>35</v>
      </c>
      <c r="D9366" s="8">
        <v>4.5999999999999999E-2</v>
      </c>
    </row>
    <row r="9367" spans="1:4">
      <c r="A9367" t="str">
        <f t="shared" si="154"/>
        <v>987Annual Variance</v>
      </c>
      <c r="B9367">
        <v>987</v>
      </c>
      <c r="C9367" s="9" t="s">
        <v>36</v>
      </c>
      <c r="D9367" s="8">
        <v>2E-3</v>
      </c>
    </row>
    <row r="9368" spans="1:4">
      <c r="A9368" t="str">
        <f t="shared" si="154"/>
        <v>987Information Ratio</v>
      </c>
      <c r="B9368">
        <v>987</v>
      </c>
      <c r="C9368" s="9" t="s">
        <v>37</v>
      </c>
      <c r="D9368" s="8">
        <v>-0.83899999999999997</v>
      </c>
    </row>
    <row r="9369" spans="1:4">
      <c r="A9369" t="str">
        <f t="shared" si="154"/>
        <v>987Tracking Error</v>
      </c>
      <c r="B9369">
        <v>987</v>
      </c>
      <c r="C9369" s="9" t="s">
        <v>38</v>
      </c>
      <c r="D9369" s="8">
        <v>7.1999999999999995E-2</v>
      </c>
    </row>
    <row r="9370" spans="1:4">
      <c r="A9370" t="str">
        <f t="shared" si="154"/>
        <v>987Treynor Ratio</v>
      </c>
      <c r="B9370">
        <v>987</v>
      </c>
      <c r="C9370" s="9" t="s">
        <v>39</v>
      </c>
      <c r="D9370" s="8">
        <v>-4.7E-2</v>
      </c>
    </row>
    <row r="9371" spans="1:4">
      <c r="A9371" t="str">
        <f t="shared" si="154"/>
        <v>987Total Fees</v>
      </c>
      <c r="B9371">
        <v>987</v>
      </c>
      <c r="C9371" s="9" t="s">
        <v>40</v>
      </c>
      <c r="D9371" s="8">
        <v>0</v>
      </c>
    </row>
    <row r="9372" spans="1:4">
      <c r="A9372" t="str">
        <f t="shared" si="154"/>
        <v>987Estimated Strategy Capacity</v>
      </c>
      <c r="B9372">
        <v>987</v>
      </c>
      <c r="C9372" s="9" t="s">
        <v>41</v>
      </c>
      <c r="D9372" s="8">
        <v>3400000</v>
      </c>
    </row>
    <row r="9373" spans="1:4">
      <c r="A9373" t="str">
        <f t="shared" si="154"/>
        <v>988PSR</v>
      </c>
      <c r="B9373">
        <v>988</v>
      </c>
      <c r="C9373" s="9" t="s">
        <v>27</v>
      </c>
      <c r="D9373" s="8">
        <v>8.5650000000000004E-2</v>
      </c>
    </row>
    <row r="9374" spans="1:4">
      <c r="A9374" t="str">
        <f t="shared" si="154"/>
        <v>988Sharpe Ratio</v>
      </c>
      <c r="B9374">
        <v>988</v>
      </c>
      <c r="C9374" s="9" t="s">
        <v>1</v>
      </c>
      <c r="D9374" s="8">
        <v>-0.35799999999999998</v>
      </c>
    </row>
    <row r="9375" spans="1:4">
      <c r="A9375" t="str">
        <f t="shared" si="154"/>
        <v>988Total Trades</v>
      </c>
      <c r="B9375">
        <v>988</v>
      </c>
      <c r="C9375" s="9" t="s">
        <v>28</v>
      </c>
      <c r="D9375" s="8">
        <v>826</v>
      </c>
    </row>
    <row r="9376" spans="1:4">
      <c r="A9376" t="str">
        <f t="shared" si="154"/>
        <v>988Average Win</v>
      </c>
      <c r="B9376">
        <v>988</v>
      </c>
      <c r="C9376" s="9" t="s">
        <v>25</v>
      </c>
      <c r="D9376" s="8">
        <v>1.5E-3</v>
      </c>
    </row>
    <row r="9377" spans="1:4">
      <c r="A9377" t="str">
        <f t="shared" si="154"/>
        <v>988Average Loss</v>
      </c>
      <c r="B9377">
        <v>988</v>
      </c>
      <c r="C9377" s="9" t="s">
        <v>29</v>
      </c>
      <c r="D9377" s="8">
        <v>-3.3999999999999998E-3</v>
      </c>
    </row>
    <row r="9378" spans="1:4">
      <c r="A9378" t="str">
        <f t="shared" ref="A9378:A9441" si="155">B9378&amp;C9378</f>
        <v>988Compounding Annual Return</v>
      </c>
      <c r="B9378">
        <v>988</v>
      </c>
      <c r="C9378" s="9" t="s">
        <v>30</v>
      </c>
      <c r="D9378" s="8">
        <v>-2.095E-2</v>
      </c>
    </row>
    <row r="9379" spans="1:4">
      <c r="A9379" t="str">
        <f t="shared" si="155"/>
        <v>988Drawdown</v>
      </c>
      <c r="B9379">
        <v>988</v>
      </c>
      <c r="C9379" s="9" t="s">
        <v>8</v>
      </c>
      <c r="D9379" s="8">
        <v>3.5999999999999997E-2</v>
      </c>
    </row>
    <row r="9380" spans="1:4">
      <c r="A9380" t="str">
        <f t="shared" si="155"/>
        <v>988Expectancy</v>
      </c>
      <c r="B9380">
        <v>988</v>
      </c>
      <c r="C9380" s="9" t="s">
        <v>31</v>
      </c>
      <c r="D9380" s="8">
        <v>-4.7E-2</v>
      </c>
    </row>
    <row r="9381" spans="1:4">
      <c r="A9381" t="str">
        <f t="shared" si="155"/>
        <v>988Net Profit</v>
      </c>
      <c r="B9381">
        <v>988</v>
      </c>
      <c r="C9381" s="9" t="s">
        <v>32</v>
      </c>
      <c r="D9381" s="8">
        <v>-1.4E-2</v>
      </c>
    </row>
    <row r="9382" spans="1:4">
      <c r="A9382" t="str">
        <f t="shared" si="155"/>
        <v>988Loss Rate</v>
      </c>
      <c r="B9382">
        <v>988</v>
      </c>
      <c r="C9382" s="9" t="s">
        <v>33</v>
      </c>
      <c r="D9382" s="8">
        <v>0.34</v>
      </c>
    </row>
    <row r="9383" spans="1:4">
      <c r="A9383" t="str">
        <f t="shared" si="155"/>
        <v>988Win Rate</v>
      </c>
      <c r="B9383">
        <v>988</v>
      </c>
      <c r="C9383" s="9" t="s">
        <v>34</v>
      </c>
      <c r="D9383" s="8">
        <v>0.66</v>
      </c>
    </row>
    <row r="9384" spans="1:4">
      <c r="A9384" t="str">
        <f t="shared" si="155"/>
        <v>988Profit-Loss Ratio</v>
      </c>
      <c r="B9384">
        <v>988</v>
      </c>
      <c r="C9384" s="9" t="s">
        <v>26</v>
      </c>
      <c r="D9384" s="8">
        <v>0.45</v>
      </c>
    </row>
    <row r="9385" spans="1:4">
      <c r="A9385" t="str">
        <f t="shared" si="155"/>
        <v>988Alpha</v>
      </c>
      <c r="B9385">
        <v>988</v>
      </c>
      <c r="C9385" s="9" t="s">
        <v>23</v>
      </c>
      <c r="D9385" s="8">
        <v>-1.6E-2</v>
      </c>
    </row>
    <row r="9386" spans="1:4">
      <c r="A9386" t="str">
        <f t="shared" si="155"/>
        <v>988Beta</v>
      </c>
      <c r="B9386">
        <v>988</v>
      </c>
      <c r="C9386" s="9" t="s">
        <v>24</v>
      </c>
      <c r="D9386" s="8">
        <v>3.3000000000000002E-2</v>
      </c>
    </row>
    <row r="9387" spans="1:4">
      <c r="A9387" t="str">
        <f t="shared" si="155"/>
        <v>988Annual Standard Deviation</v>
      </c>
      <c r="B9387">
        <v>988</v>
      </c>
      <c r="C9387" s="9" t="s">
        <v>35</v>
      </c>
      <c r="D9387" s="8">
        <v>3.9E-2</v>
      </c>
    </row>
    <row r="9388" spans="1:4">
      <c r="A9388" t="str">
        <f t="shared" si="155"/>
        <v>988Annual Variance</v>
      </c>
      <c r="B9388">
        <v>988</v>
      </c>
      <c r="C9388" s="9" t="s">
        <v>36</v>
      </c>
      <c r="D9388" s="8">
        <v>1E-3</v>
      </c>
    </row>
    <row r="9389" spans="1:4">
      <c r="A9389" t="str">
        <f t="shared" si="155"/>
        <v>988Information Ratio</v>
      </c>
      <c r="B9389">
        <v>988</v>
      </c>
      <c r="C9389" s="9" t="s">
        <v>37</v>
      </c>
      <c r="D9389" s="8">
        <v>-0.86899999999999999</v>
      </c>
    </row>
    <row r="9390" spans="1:4">
      <c r="A9390" t="str">
        <f t="shared" si="155"/>
        <v>988Tracking Error</v>
      </c>
      <c r="B9390">
        <v>988</v>
      </c>
      <c r="C9390" s="9" t="s">
        <v>38</v>
      </c>
      <c r="D9390" s="8">
        <v>7.5999999999999998E-2</v>
      </c>
    </row>
    <row r="9391" spans="1:4">
      <c r="A9391" t="str">
        <f t="shared" si="155"/>
        <v>988Treynor Ratio</v>
      </c>
      <c r="B9391">
        <v>988</v>
      </c>
      <c r="C9391" s="9" t="s">
        <v>39</v>
      </c>
      <c r="D9391" s="8">
        <v>-0.41899999999999998</v>
      </c>
    </row>
    <row r="9392" spans="1:4">
      <c r="A9392" t="str">
        <f t="shared" si="155"/>
        <v>988Total Fees</v>
      </c>
      <c r="B9392">
        <v>988</v>
      </c>
      <c r="C9392" s="9" t="s">
        <v>40</v>
      </c>
      <c r="D9392" s="8">
        <v>0</v>
      </c>
    </row>
    <row r="9393" spans="1:4">
      <c r="A9393" t="str">
        <f t="shared" si="155"/>
        <v>988Estimated Strategy Capacity</v>
      </c>
      <c r="B9393">
        <v>988</v>
      </c>
      <c r="C9393" s="9" t="s">
        <v>41</v>
      </c>
      <c r="D9393" s="8">
        <v>59000000</v>
      </c>
    </row>
    <row r="9394" spans="1:4">
      <c r="A9394" t="str">
        <f t="shared" si="155"/>
        <v>989PSR</v>
      </c>
      <c r="B9394">
        <v>989</v>
      </c>
      <c r="C9394" s="9" t="s">
        <v>27</v>
      </c>
      <c r="D9394" s="8">
        <v>1.7899999999999999E-3</v>
      </c>
    </row>
    <row r="9395" spans="1:4">
      <c r="A9395" t="str">
        <f t="shared" si="155"/>
        <v>989Sharpe Ratio</v>
      </c>
      <c r="B9395">
        <v>989</v>
      </c>
      <c r="C9395" s="9" t="s">
        <v>1</v>
      </c>
      <c r="D9395" s="8">
        <v>-1.579</v>
      </c>
    </row>
    <row r="9396" spans="1:4">
      <c r="A9396" t="str">
        <f t="shared" si="155"/>
        <v>989Total Trades</v>
      </c>
      <c r="B9396">
        <v>989</v>
      </c>
      <c r="C9396" s="9" t="s">
        <v>28</v>
      </c>
      <c r="D9396" s="8">
        <v>555</v>
      </c>
    </row>
    <row r="9397" spans="1:4">
      <c r="A9397" t="str">
        <f t="shared" si="155"/>
        <v>989Average Win</v>
      </c>
      <c r="B9397">
        <v>989</v>
      </c>
      <c r="C9397" s="9" t="s">
        <v>25</v>
      </c>
      <c r="D9397" s="8">
        <v>1.6999999999999999E-3</v>
      </c>
    </row>
    <row r="9398" spans="1:4">
      <c r="A9398" t="str">
        <f t="shared" si="155"/>
        <v>989Average Loss</v>
      </c>
      <c r="B9398">
        <v>989</v>
      </c>
      <c r="C9398" s="9" t="s">
        <v>29</v>
      </c>
      <c r="D9398" s="8">
        <v>-5.1000000000000004E-3</v>
      </c>
    </row>
    <row r="9399" spans="1:4">
      <c r="A9399" t="str">
        <f t="shared" si="155"/>
        <v>989Compounding Annual Return</v>
      </c>
      <c r="B9399">
        <v>989</v>
      </c>
      <c r="C9399" s="9" t="s">
        <v>30</v>
      </c>
      <c r="D9399" s="8">
        <v>-0.11259</v>
      </c>
    </row>
    <row r="9400" spans="1:4">
      <c r="A9400" t="str">
        <f t="shared" si="155"/>
        <v>989Drawdown</v>
      </c>
      <c r="B9400">
        <v>989</v>
      </c>
      <c r="C9400" s="9" t="s">
        <v>8</v>
      </c>
      <c r="D9400" s="8">
        <v>9.6000000000000002E-2</v>
      </c>
    </row>
    <row r="9401" spans="1:4">
      <c r="A9401" t="str">
        <f t="shared" si="155"/>
        <v>989Expectancy</v>
      </c>
      <c r="B9401">
        <v>989</v>
      </c>
      <c r="C9401" s="9" t="s">
        <v>31</v>
      </c>
      <c r="D9401" s="8">
        <v>-0.20399999999999999</v>
      </c>
    </row>
    <row r="9402" spans="1:4">
      <c r="A9402" t="str">
        <f t="shared" si="155"/>
        <v>989Net Profit</v>
      </c>
      <c r="B9402">
        <v>989</v>
      </c>
      <c r="C9402" s="9" t="s">
        <v>32</v>
      </c>
      <c r="D9402" s="8">
        <v>-7.6429999999999998E-2</v>
      </c>
    </row>
    <row r="9403" spans="1:4">
      <c r="A9403" t="str">
        <f t="shared" si="155"/>
        <v>989Loss Rate</v>
      </c>
      <c r="B9403">
        <v>989</v>
      </c>
      <c r="C9403" s="9" t="s">
        <v>33</v>
      </c>
      <c r="D9403" s="8">
        <v>0.4</v>
      </c>
    </row>
    <row r="9404" spans="1:4">
      <c r="A9404" t="str">
        <f t="shared" si="155"/>
        <v>989Win Rate</v>
      </c>
      <c r="B9404">
        <v>989</v>
      </c>
      <c r="C9404" s="9" t="s">
        <v>34</v>
      </c>
      <c r="D9404" s="8">
        <v>0.6</v>
      </c>
    </row>
    <row r="9405" spans="1:4">
      <c r="A9405" t="str">
        <f t="shared" si="155"/>
        <v>989Profit-Loss Ratio</v>
      </c>
      <c r="B9405">
        <v>989</v>
      </c>
      <c r="C9405" s="9" t="s">
        <v>26</v>
      </c>
      <c r="D9405" s="8">
        <v>0.33</v>
      </c>
    </row>
    <row r="9406" spans="1:4">
      <c r="A9406" t="str">
        <f t="shared" si="155"/>
        <v>989Alpha</v>
      </c>
      <c r="B9406">
        <v>989</v>
      </c>
      <c r="C9406" s="9" t="s">
        <v>23</v>
      </c>
      <c r="D9406" s="8">
        <v>-8.1000000000000003E-2</v>
      </c>
    </row>
    <row r="9407" spans="1:4">
      <c r="A9407" t="str">
        <f t="shared" si="155"/>
        <v>989Beta</v>
      </c>
      <c r="B9407">
        <v>989</v>
      </c>
      <c r="C9407" s="9" t="s">
        <v>24</v>
      </c>
      <c r="D9407" s="8">
        <v>5.8000000000000003E-2</v>
      </c>
    </row>
    <row r="9408" spans="1:4">
      <c r="A9408" t="str">
        <f t="shared" si="155"/>
        <v>989Annual Standard Deviation</v>
      </c>
      <c r="B9408">
        <v>989</v>
      </c>
      <c r="C9408" s="9" t="s">
        <v>35</v>
      </c>
      <c r="D9408" s="8">
        <v>0.05</v>
      </c>
    </row>
    <row r="9409" spans="1:4">
      <c r="A9409" t="str">
        <f t="shared" si="155"/>
        <v>989Annual Variance</v>
      </c>
      <c r="B9409">
        <v>989</v>
      </c>
      <c r="C9409" s="9" t="s">
        <v>36</v>
      </c>
      <c r="D9409" s="8">
        <v>2E-3</v>
      </c>
    </row>
    <row r="9410" spans="1:4">
      <c r="A9410" t="str">
        <f t="shared" si="155"/>
        <v>989Information Ratio</v>
      </c>
      <c r="B9410">
        <v>989</v>
      </c>
      <c r="C9410" s="9" t="s">
        <v>37</v>
      </c>
      <c r="D9410" s="8">
        <v>-1.587</v>
      </c>
    </row>
    <row r="9411" spans="1:4">
      <c r="A9411" t="str">
        <f t="shared" si="155"/>
        <v>989Tracking Error</v>
      </c>
      <c r="B9411">
        <v>989</v>
      </c>
      <c r="C9411" s="9" t="s">
        <v>38</v>
      </c>
      <c r="D9411" s="8">
        <v>0.08</v>
      </c>
    </row>
    <row r="9412" spans="1:4">
      <c r="A9412" t="str">
        <f t="shared" si="155"/>
        <v>989Treynor Ratio</v>
      </c>
      <c r="B9412">
        <v>989</v>
      </c>
      <c r="C9412" s="9" t="s">
        <v>39</v>
      </c>
      <c r="D9412" s="8">
        <v>-1.343</v>
      </c>
    </row>
    <row r="9413" spans="1:4">
      <c r="A9413" t="str">
        <f t="shared" si="155"/>
        <v>989Total Fees</v>
      </c>
      <c r="B9413">
        <v>989</v>
      </c>
      <c r="C9413" s="9" t="s">
        <v>40</v>
      </c>
      <c r="D9413" s="8">
        <v>0</v>
      </c>
    </row>
    <row r="9414" spans="1:4">
      <c r="A9414" t="str">
        <f t="shared" si="155"/>
        <v>989Estimated Strategy Capacity</v>
      </c>
      <c r="B9414">
        <v>989</v>
      </c>
      <c r="C9414" s="9" t="s">
        <v>41</v>
      </c>
      <c r="D9414" s="8">
        <v>7800000</v>
      </c>
    </row>
    <row r="9415" spans="1:4">
      <c r="A9415" t="str">
        <f t="shared" si="155"/>
        <v>990PSR</v>
      </c>
      <c r="B9415">
        <v>990</v>
      </c>
      <c r="C9415" s="9" t="s">
        <v>27</v>
      </c>
      <c r="D9415" s="8">
        <v>1.1849999999999999E-2</v>
      </c>
    </row>
    <row r="9416" spans="1:4">
      <c r="A9416" t="str">
        <f t="shared" si="155"/>
        <v>990Sharpe Ratio</v>
      </c>
      <c r="B9416">
        <v>990</v>
      </c>
      <c r="C9416" s="9" t="s">
        <v>1</v>
      </c>
      <c r="D9416" s="8">
        <v>-1.1319999999999999</v>
      </c>
    </row>
    <row r="9417" spans="1:4">
      <c r="A9417" t="str">
        <f t="shared" si="155"/>
        <v>990Total Trades</v>
      </c>
      <c r="B9417">
        <v>990</v>
      </c>
      <c r="C9417" s="9" t="s">
        <v>28</v>
      </c>
      <c r="D9417" s="8">
        <v>477</v>
      </c>
    </row>
    <row r="9418" spans="1:4">
      <c r="A9418" t="str">
        <f t="shared" si="155"/>
        <v>990Average Win</v>
      </c>
      <c r="B9418">
        <v>990</v>
      </c>
      <c r="C9418" s="9" t="s">
        <v>25</v>
      </c>
      <c r="D9418" s="8">
        <v>1.9E-3</v>
      </c>
    </row>
    <row r="9419" spans="1:4">
      <c r="A9419" t="str">
        <f t="shared" si="155"/>
        <v>990Average Loss</v>
      </c>
      <c r="B9419">
        <v>990</v>
      </c>
      <c r="C9419" s="9" t="s">
        <v>29</v>
      </c>
      <c r="D9419" s="8">
        <v>-5.0000000000000001E-3</v>
      </c>
    </row>
    <row r="9420" spans="1:4">
      <c r="A9420" t="str">
        <f t="shared" si="155"/>
        <v>990Compounding Annual Return</v>
      </c>
      <c r="B9420">
        <v>990</v>
      </c>
      <c r="C9420" s="9" t="s">
        <v>30</v>
      </c>
      <c r="D9420" s="8">
        <v>-8.2070000000000004E-2</v>
      </c>
    </row>
    <row r="9421" spans="1:4">
      <c r="A9421" t="str">
        <f t="shared" si="155"/>
        <v>990Drawdown</v>
      </c>
      <c r="B9421">
        <v>990</v>
      </c>
      <c r="C9421" s="9" t="s">
        <v>8</v>
      </c>
      <c r="D9421" s="8">
        <v>7.4999999999999997E-2</v>
      </c>
    </row>
    <row r="9422" spans="1:4">
      <c r="A9422" t="str">
        <f t="shared" si="155"/>
        <v>990Expectancy</v>
      </c>
      <c r="B9422">
        <v>990</v>
      </c>
      <c r="C9422" s="9" t="s">
        <v>31</v>
      </c>
      <c r="D9422" s="8">
        <v>-0.154</v>
      </c>
    </row>
    <row r="9423" spans="1:4">
      <c r="A9423" t="str">
        <f t="shared" si="155"/>
        <v>990Net Profit</v>
      </c>
      <c r="B9423">
        <v>990</v>
      </c>
      <c r="C9423" s="9" t="s">
        <v>32</v>
      </c>
      <c r="D9423" s="8">
        <v>-5.5399999999999998E-2</v>
      </c>
    </row>
    <row r="9424" spans="1:4">
      <c r="A9424" t="str">
        <f t="shared" si="155"/>
        <v>990Loss Rate</v>
      </c>
      <c r="B9424">
        <v>990</v>
      </c>
      <c r="C9424" s="9" t="s">
        <v>33</v>
      </c>
      <c r="D9424" s="8">
        <v>0.38</v>
      </c>
    </row>
    <row r="9425" spans="1:4">
      <c r="A9425" t="str">
        <f t="shared" si="155"/>
        <v>990Win Rate</v>
      </c>
      <c r="B9425">
        <v>990</v>
      </c>
      <c r="C9425" s="9" t="s">
        <v>34</v>
      </c>
      <c r="D9425" s="8">
        <v>0.62</v>
      </c>
    </row>
    <row r="9426" spans="1:4">
      <c r="A9426" t="str">
        <f t="shared" si="155"/>
        <v>990Profit-Loss Ratio</v>
      </c>
      <c r="B9426">
        <v>990</v>
      </c>
      <c r="C9426" s="9" t="s">
        <v>26</v>
      </c>
      <c r="D9426" s="8">
        <v>0.37</v>
      </c>
    </row>
    <row r="9427" spans="1:4">
      <c r="A9427" t="str">
        <f t="shared" si="155"/>
        <v>990Alpha</v>
      </c>
      <c r="B9427">
        <v>990</v>
      </c>
      <c r="C9427" s="9" t="s">
        <v>23</v>
      </c>
      <c r="D9427" s="8">
        <v>-0.06</v>
      </c>
    </row>
    <row r="9428" spans="1:4">
      <c r="A9428" t="str">
        <f t="shared" si="155"/>
        <v>990Beta</v>
      </c>
      <c r="B9428">
        <v>990</v>
      </c>
      <c r="C9428" s="9" t="s">
        <v>24</v>
      </c>
      <c r="D9428" s="8">
        <v>7.0000000000000007E-2</v>
      </c>
    </row>
    <row r="9429" spans="1:4">
      <c r="A9429" t="str">
        <f t="shared" si="155"/>
        <v>990Annual Standard Deviation</v>
      </c>
      <c r="B9429">
        <v>990</v>
      </c>
      <c r="C9429" s="9" t="s">
        <v>35</v>
      </c>
      <c r="D9429" s="8">
        <v>0.05</v>
      </c>
    </row>
    <row r="9430" spans="1:4">
      <c r="A9430" t="str">
        <f t="shared" si="155"/>
        <v>990Annual Variance</v>
      </c>
      <c r="B9430">
        <v>990</v>
      </c>
      <c r="C9430" s="9" t="s">
        <v>36</v>
      </c>
      <c r="D9430" s="8">
        <v>2E-3</v>
      </c>
    </row>
    <row r="9431" spans="1:4">
      <c r="A9431" t="str">
        <f t="shared" si="155"/>
        <v>990Information Ratio</v>
      </c>
      <c r="B9431">
        <v>990</v>
      </c>
      <c r="C9431" s="9" t="s">
        <v>37</v>
      </c>
      <c r="D9431" s="8">
        <v>-1.357</v>
      </c>
    </row>
    <row r="9432" spans="1:4">
      <c r="A9432" t="str">
        <f t="shared" si="155"/>
        <v>990Tracking Error</v>
      </c>
      <c r="B9432">
        <v>990</v>
      </c>
      <c r="C9432" s="9" t="s">
        <v>38</v>
      </c>
      <c r="D9432" s="8">
        <v>0.08</v>
      </c>
    </row>
    <row r="9433" spans="1:4">
      <c r="A9433" t="str">
        <f t="shared" si="155"/>
        <v>990Treynor Ratio</v>
      </c>
      <c r="B9433">
        <v>990</v>
      </c>
      <c r="C9433" s="9" t="s">
        <v>39</v>
      </c>
      <c r="D9433" s="8">
        <v>-0.80900000000000005</v>
      </c>
    </row>
    <row r="9434" spans="1:4">
      <c r="A9434" t="str">
        <f t="shared" si="155"/>
        <v>990Total Fees</v>
      </c>
      <c r="B9434">
        <v>990</v>
      </c>
      <c r="C9434" s="9" t="s">
        <v>40</v>
      </c>
      <c r="D9434" s="8">
        <v>0</v>
      </c>
    </row>
    <row r="9435" spans="1:4">
      <c r="A9435" t="str">
        <f t="shared" si="155"/>
        <v>990Estimated Strategy Capacity</v>
      </c>
      <c r="B9435">
        <v>990</v>
      </c>
      <c r="C9435" s="9" t="s">
        <v>41</v>
      </c>
      <c r="D9435" s="8">
        <v>5200000</v>
      </c>
    </row>
    <row r="9436" spans="1:4">
      <c r="A9436" t="str">
        <f t="shared" si="155"/>
        <v>1009PSR</v>
      </c>
      <c r="B9436">
        <v>1009</v>
      </c>
      <c r="C9436" s="9" t="s">
        <v>27</v>
      </c>
      <c r="D9436" s="8">
        <v>5.2130000000000003E-2</v>
      </c>
    </row>
    <row r="9437" spans="1:4">
      <c r="A9437" t="str">
        <f t="shared" si="155"/>
        <v>1009Sharpe Ratio</v>
      </c>
      <c r="B9437">
        <v>1009</v>
      </c>
      <c r="C9437" s="9" t="s">
        <v>1</v>
      </c>
      <c r="D9437" s="8">
        <v>-0.56999999999999995</v>
      </c>
    </row>
    <row r="9438" spans="1:4">
      <c r="A9438" t="str">
        <f t="shared" si="155"/>
        <v>1009Total Trades</v>
      </c>
      <c r="B9438">
        <v>1009</v>
      </c>
      <c r="C9438" s="9" t="s">
        <v>28</v>
      </c>
      <c r="D9438" s="8">
        <v>1306</v>
      </c>
    </row>
    <row r="9439" spans="1:4">
      <c r="A9439" t="str">
        <f t="shared" si="155"/>
        <v>1009Average Win</v>
      </c>
      <c r="B9439">
        <v>1009</v>
      </c>
      <c r="C9439" s="9" t="s">
        <v>25</v>
      </c>
      <c r="D9439" s="8">
        <v>1.1000000000000001E-3</v>
      </c>
    </row>
    <row r="9440" spans="1:4">
      <c r="A9440" t="str">
        <f t="shared" si="155"/>
        <v>1009Average Loss</v>
      </c>
      <c r="B9440">
        <v>1009</v>
      </c>
      <c r="C9440" s="9" t="s">
        <v>29</v>
      </c>
      <c r="D9440" s="8">
        <v>-2.5999999999999999E-3</v>
      </c>
    </row>
    <row r="9441" spans="1:4">
      <c r="A9441" t="str">
        <f t="shared" si="155"/>
        <v>1009Compounding Annual Return</v>
      </c>
      <c r="B9441">
        <v>1009</v>
      </c>
      <c r="C9441" s="9" t="s">
        <v>30</v>
      </c>
      <c r="D9441" s="8">
        <v>-2.6460000000000001E-2</v>
      </c>
    </row>
    <row r="9442" spans="1:4">
      <c r="A9442" t="str">
        <f t="shared" ref="A9442:A9505" si="156">B9442&amp;C9442</f>
        <v>1009Drawdown</v>
      </c>
      <c r="B9442">
        <v>1009</v>
      </c>
      <c r="C9442" s="9" t="s">
        <v>8</v>
      </c>
      <c r="D9442" s="8">
        <v>4.5999999999999999E-2</v>
      </c>
    </row>
    <row r="9443" spans="1:4">
      <c r="A9443" t="str">
        <f t="shared" si="156"/>
        <v>1009Expectancy</v>
      </c>
      <c r="B9443">
        <v>1009</v>
      </c>
      <c r="C9443" s="9" t="s">
        <v>31</v>
      </c>
      <c r="D9443" s="8">
        <v>-7.1999999999999995E-2</v>
      </c>
    </row>
    <row r="9444" spans="1:4">
      <c r="A9444" t="str">
        <f t="shared" si="156"/>
        <v>1009Net Profit</v>
      </c>
      <c r="B9444">
        <v>1009</v>
      </c>
      <c r="C9444" s="9" t="s">
        <v>32</v>
      </c>
      <c r="D9444" s="8">
        <v>-1.7690000000000001E-2</v>
      </c>
    </row>
    <row r="9445" spans="1:4">
      <c r="A9445" t="str">
        <f t="shared" si="156"/>
        <v>1009Loss Rate</v>
      </c>
      <c r="B9445">
        <v>1009</v>
      </c>
      <c r="C9445" s="9" t="s">
        <v>33</v>
      </c>
      <c r="D9445" s="8">
        <v>0.35</v>
      </c>
    </row>
    <row r="9446" spans="1:4">
      <c r="A9446" t="str">
        <f t="shared" si="156"/>
        <v>1009Win Rate</v>
      </c>
      <c r="B9446">
        <v>1009</v>
      </c>
      <c r="C9446" s="9" t="s">
        <v>34</v>
      </c>
      <c r="D9446" s="8">
        <v>0.65</v>
      </c>
    </row>
    <row r="9447" spans="1:4">
      <c r="A9447" t="str">
        <f t="shared" si="156"/>
        <v>1009Profit-Loss Ratio</v>
      </c>
      <c r="B9447">
        <v>1009</v>
      </c>
      <c r="C9447" s="9" t="s">
        <v>26</v>
      </c>
      <c r="D9447" s="8">
        <v>0.42</v>
      </c>
    </row>
    <row r="9448" spans="1:4">
      <c r="A9448" t="str">
        <f t="shared" si="156"/>
        <v>1009Alpha</v>
      </c>
      <c r="B9448">
        <v>1009</v>
      </c>
      <c r="C9448" s="9" t="s">
        <v>23</v>
      </c>
      <c r="D9448" s="8">
        <v>-0.02</v>
      </c>
    </row>
    <row r="9449" spans="1:4">
      <c r="A9449" t="str">
        <f t="shared" si="156"/>
        <v>1009Beta</v>
      </c>
      <c r="B9449">
        <v>1009</v>
      </c>
      <c r="C9449" s="9" t="s">
        <v>24</v>
      </c>
      <c r="D9449" s="8">
        <v>3.5000000000000003E-2</v>
      </c>
    </row>
    <row r="9450" spans="1:4">
      <c r="A9450" t="str">
        <f t="shared" si="156"/>
        <v>1009Annual Standard Deviation</v>
      </c>
      <c r="B9450">
        <v>1009</v>
      </c>
      <c r="C9450" s="9" t="s">
        <v>35</v>
      </c>
      <c r="D9450" s="8">
        <v>3.1E-2</v>
      </c>
    </row>
    <row r="9451" spans="1:4">
      <c r="A9451" t="str">
        <f t="shared" si="156"/>
        <v>1009Annual Variance</v>
      </c>
      <c r="B9451">
        <v>1009</v>
      </c>
      <c r="C9451" s="9" t="s">
        <v>36</v>
      </c>
      <c r="D9451" s="8">
        <v>1E-3</v>
      </c>
    </row>
    <row r="9452" spans="1:4">
      <c r="A9452" t="str">
        <f t="shared" si="156"/>
        <v>1009Information Ratio</v>
      </c>
      <c r="B9452">
        <v>1009</v>
      </c>
      <c r="C9452" s="9" t="s">
        <v>37</v>
      </c>
      <c r="D9452" s="8">
        <v>-0.93200000000000005</v>
      </c>
    </row>
    <row r="9453" spans="1:4">
      <c r="A9453" t="str">
        <f t="shared" si="156"/>
        <v>1009Tracking Error</v>
      </c>
      <c r="B9453">
        <v>1009</v>
      </c>
      <c r="C9453" s="9" t="s">
        <v>38</v>
      </c>
      <c r="D9453" s="8">
        <v>7.1999999999999995E-2</v>
      </c>
    </row>
    <row r="9454" spans="1:4">
      <c r="A9454" t="str">
        <f t="shared" si="156"/>
        <v>1009Treynor Ratio</v>
      </c>
      <c r="B9454">
        <v>1009</v>
      </c>
      <c r="C9454" s="9" t="s">
        <v>39</v>
      </c>
      <c r="D9454" s="8">
        <v>-0.50600000000000001</v>
      </c>
    </row>
    <row r="9455" spans="1:4">
      <c r="A9455" t="str">
        <f t="shared" si="156"/>
        <v>1009Total Fees</v>
      </c>
      <c r="B9455">
        <v>1009</v>
      </c>
      <c r="C9455" s="9" t="s">
        <v>40</v>
      </c>
      <c r="D9455" s="8">
        <v>0</v>
      </c>
    </row>
    <row r="9456" spans="1:4">
      <c r="A9456" t="str">
        <f t="shared" si="156"/>
        <v>1009Estimated Strategy Capacity</v>
      </c>
      <c r="B9456">
        <v>1009</v>
      </c>
      <c r="C9456" s="9" t="s">
        <v>41</v>
      </c>
      <c r="D9456" s="8">
        <v>5100000</v>
      </c>
    </row>
    <row r="9457" spans="1:4">
      <c r="A9457" t="str">
        <f t="shared" si="156"/>
        <v>1010PSR</v>
      </c>
      <c r="B9457">
        <v>1010</v>
      </c>
      <c r="C9457" s="9" t="s">
        <v>27</v>
      </c>
      <c r="D9457" s="8">
        <v>0.15028</v>
      </c>
    </row>
    <row r="9458" spans="1:4">
      <c r="A9458" t="str">
        <f t="shared" si="156"/>
        <v>1010Sharpe Ratio</v>
      </c>
      <c r="B9458">
        <v>1010</v>
      </c>
      <c r="C9458" s="9" t="s">
        <v>1</v>
      </c>
      <c r="D9458" s="8">
        <v>-5.8000000000000003E-2</v>
      </c>
    </row>
    <row r="9459" spans="1:4">
      <c r="A9459" t="str">
        <f t="shared" si="156"/>
        <v>1010Total Trades</v>
      </c>
      <c r="B9459">
        <v>1010</v>
      </c>
      <c r="C9459" s="9" t="s">
        <v>28</v>
      </c>
      <c r="D9459" s="8">
        <v>832</v>
      </c>
    </row>
    <row r="9460" spans="1:4">
      <c r="A9460" t="str">
        <f t="shared" si="156"/>
        <v>1010Average Win</v>
      </c>
      <c r="B9460">
        <v>1010</v>
      </c>
      <c r="C9460" s="9" t="s">
        <v>25</v>
      </c>
      <c r="D9460" s="8">
        <v>2.2000000000000001E-3</v>
      </c>
    </row>
    <row r="9461" spans="1:4">
      <c r="A9461" t="str">
        <f t="shared" si="156"/>
        <v>1010Average Loss</v>
      </c>
      <c r="B9461">
        <v>1010</v>
      </c>
      <c r="C9461" s="9" t="s">
        <v>29</v>
      </c>
      <c r="D9461" s="8">
        <v>-4.0000000000000001E-3</v>
      </c>
    </row>
    <row r="9462" spans="1:4">
      <c r="A9462" t="str">
        <f t="shared" si="156"/>
        <v>1010Compounding Annual Return</v>
      </c>
      <c r="B9462">
        <v>1010</v>
      </c>
      <c r="C9462" s="9" t="s">
        <v>30</v>
      </c>
      <c r="D9462" s="8">
        <v>-5.7000000000000002E-3</v>
      </c>
    </row>
    <row r="9463" spans="1:4">
      <c r="A9463" t="str">
        <f t="shared" si="156"/>
        <v>1010Drawdown</v>
      </c>
      <c r="B9463">
        <v>1010</v>
      </c>
      <c r="C9463" s="9" t="s">
        <v>8</v>
      </c>
      <c r="D9463" s="8">
        <v>7.0000000000000007E-2</v>
      </c>
    </row>
    <row r="9464" spans="1:4">
      <c r="A9464" t="str">
        <f t="shared" si="156"/>
        <v>1010Expectancy</v>
      </c>
      <c r="B9464">
        <v>1010</v>
      </c>
      <c r="C9464" s="9" t="s">
        <v>31</v>
      </c>
      <c r="D9464" s="8">
        <v>-1.6E-2</v>
      </c>
    </row>
    <row r="9465" spans="1:4">
      <c r="A9465" t="str">
        <f t="shared" si="156"/>
        <v>1010Net Profit</v>
      </c>
      <c r="B9465">
        <v>1010</v>
      </c>
      <c r="C9465" s="9" t="s">
        <v>32</v>
      </c>
      <c r="D9465" s="8">
        <v>-3.8E-3</v>
      </c>
    </row>
    <row r="9466" spans="1:4">
      <c r="A9466" t="str">
        <f t="shared" si="156"/>
        <v>1010Loss Rate</v>
      </c>
      <c r="B9466">
        <v>1010</v>
      </c>
      <c r="C9466" s="9" t="s">
        <v>33</v>
      </c>
      <c r="D9466" s="8">
        <v>0.36</v>
      </c>
    </row>
    <row r="9467" spans="1:4">
      <c r="A9467" t="str">
        <f t="shared" si="156"/>
        <v>1010Win Rate</v>
      </c>
      <c r="B9467">
        <v>1010</v>
      </c>
      <c r="C9467" s="9" t="s">
        <v>34</v>
      </c>
      <c r="D9467" s="8">
        <v>0.64</v>
      </c>
    </row>
    <row r="9468" spans="1:4">
      <c r="A9468" t="str">
        <f t="shared" si="156"/>
        <v>1010Profit-Loss Ratio</v>
      </c>
      <c r="B9468">
        <v>1010</v>
      </c>
      <c r="C9468" s="9" t="s">
        <v>26</v>
      </c>
      <c r="D9468" s="8">
        <v>0.54</v>
      </c>
    </row>
    <row r="9469" spans="1:4">
      <c r="A9469" t="str">
        <f t="shared" si="156"/>
        <v>1010Alpha</v>
      </c>
      <c r="B9469">
        <v>1010</v>
      </c>
      <c r="C9469" s="9" t="s">
        <v>23</v>
      </c>
      <c r="D9469" s="8">
        <v>-2E-3</v>
      </c>
    </row>
    <row r="9470" spans="1:4">
      <c r="A9470" t="str">
        <f t="shared" si="156"/>
        <v>1010Beta</v>
      </c>
      <c r="B9470">
        <v>1010</v>
      </c>
      <c r="C9470" s="9" t="s">
        <v>24</v>
      </c>
      <c r="D9470" s="8">
        <v>-6.0000000000000001E-3</v>
      </c>
    </row>
    <row r="9471" spans="1:4">
      <c r="A9471" t="str">
        <f t="shared" si="156"/>
        <v>1010Annual Standard Deviation</v>
      </c>
      <c r="B9471">
        <v>1010</v>
      </c>
      <c r="C9471" s="9" t="s">
        <v>35</v>
      </c>
      <c r="D9471" s="8">
        <v>4.8000000000000001E-2</v>
      </c>
    </row>
    <row r="9472" spans="1:4">
      <c r="A9472" t="str">
        <f t="shared" si="156"/>
        <v>1010Annual Variance</v>
      </c>
      <c r="B9472">
        <v>1010</v>
      </c>
      <c r="C9472" s="9" t="s">
        <v>36</v>
      </c>
      <c r="D9472" s="8">
        <v>2E-3</v>
      </c>
    </row>
    <row r="9473" spans="1:4">
      <c r="A9473" t="str">
        <f t="shared" si="156"/>
        <v>1010Information Ratio</v>
      </c>
      <c r="B9473">
        <v>1010</v>
      </c>
      <c r="C9473" s="9" t="s">
        <v>37</v>
      </c>
      <c r="D9473" s="8">
        <v>-0.65800000000000003</v>
      </c>
    </row>
    <row r="9474" spans="1:4">
      <c r="A9474" t="str">
        <f t="shared" si="156"/>
        <v>1010Tracking Error</v>
      </c>
      <c r="B9474">
        <v>1010</v>
      </c>
      <c r="C9474" s="9" t="s">
        <v>38</v>
      </c>
      <c r="D9474" s="8">
        <v>8.3000000000000004E-2</v>
      </c>
    </row>
    <row r="9475" spans="1:4">
      <c r="A9475" t="str">
        <f t="shared" si="156"/>
        <v>1010Treynor Ratio</v>
      </c>
      <c r="B9475">
        <v>1010</v>
      </c>
      <c r="C9475" s="9" t="s">
        <v>39</v>
      </c>
      <c r="D9475" s="8">
        <v>0.44400000000000001</v>
      </c>
    </row>
    <row r="9476" spans="1:4">
      <c r="A9476" t="str">
        <f t="shared" si="156"/>
        <v>1010Total Fees</v>
      </c>
      <c r="B9476">
        <v>1010</v>
      </c>
      <c r="C9476" s="9" t="s">
        <v>40</v>
      </c>
      <c r="D9476" s="8">
        <v>0</v>
      </c>
    </row>
    <row r="9477" spans="1:4">
      <c r="A9477" t="str">
        <f t="shared" si="156"/>
        <v>1010Estimated Strategy Capacity</v>
      </c>
      <c r="B9477">
        <v>1010</v>
      </c>
      <c r="C9477" s="9" t="s">
        <v>41</v>
      </c>
      <c r="D9477" s="8">
        <v>4900000</v>
      </c>
    </row>
    <row r="9478" spans="1:4">
      <c r="A9478" t="str">
        <f t="shared" si="156"/>
        <v>1011PSR</v>
      </c>
      <c r="B9478">
        <v>1011</v>
      </c>
      <c r="C9478" s="9" t="s">
        <v>27</v>
      </c>
      <c r="D9478" s="8">
        <v>4.9939999999999998E-2</v>
      </c>
    </row>
    <row r="9479" spans="1:4">
      <c r="A9479" t="str">
        <f t="shared" si="156"/>
        <v>1011Sharpe Ratio</v>
      </c>
      <c r="B9479">
        <v>1011</v>
      </c>
      <c r="C9479" s="9" t="s">
        <v>1</v>
      </c>
      <c r="D9479" s="8">
        <v>-0.63100000000000001</v>
      </c>
    </row>
    <row r="9480" spans="1:4">
      <c r="A9480" t="str">
        <f t="shared" si="156"/>
        <v>1011Total Trades</v>
      </c>
      <c r="B9480">
        <v>1011</v>
      </c>
      <c r="C9480" s="9" t="s">
        <v>28</v>
      </c>
      <c r="D9480" s="8">
        <v>663</v>
      </c>
    </row>
    <row r="9481" spans="1:4">
      <c r="A9481" t="str">
        <f t="shared" si="156"/>
        <v>1011Average Win</v>
      </c>
      <c r="B9481">
        <v>1011</v>
      </c>
      <c r="C9481" s="9" t="s">
        <v>25</v>
      </c>
      <c r="D9481" s="8">
        <v>2.0999999999999999E-3</v>
      </c>
    </row>
    <row r="9482" spans="1:4">
      <c r="A9482" t="str">
        <f t="shared" si="156"/>
        <v>1011Average Loss</v>
      </c>
      <c r="B9482">
        <v>1011</v>
      </c>
      <c r="C9482" s="9" t="s">
        <v>29</v>
      </c>
      <c r="D9482" s="8">
        <v>-4.1999999999999997E-3</v>
      </c>
    </row>
    <row r="9483" spans="1:4">
      <c r="A9483" t="str">
        <f t="shared" si="156"/>
        <v>1011Compounding Annual Return</v>
      </c>
      <c r="B9483">
        <v>1011</v>
      </c>
      <c r="C9483" s="9" t="s">
        <v>30</v>
      </c>
      <c r="D9483" s="8">
        <v>-4.4810000000000003E-2</v>
      </c>
    </row>
    <row r="9484" spans="1:4">
      <c r="A9484" t="str">
        <f t="shared" si="156"/>
        <v>1011Drawdown</v>
      </c>
      <c r="B9484">
        <v>1011</v>
      </c>
      <c r="C9484" s="9" t="s">
        <v>8</v>
      </c>
      <c r="D9484" s="8">
        <v>0.08</v>
      </c>
    </row>
    <row r="9485" spans="1:4">
      <c r="A9485" t="str">
        <f t="shared" si="156"/>
        <v>1011Expectancy</v>
      </c>
      <c r="B9485">
        <v>1011</v>
      </c>
      <c r="C9485" s="9" t="s">
        <v>31</v>
      </c>
      <c r="D9485" s="8">
        <v>-0.08</v>
      </c>
    </row>
    <row r="9486" spans="1:4">
      <c r="A9486" t="str">
        <f t="shared" si="156"/>
        <v>1011Net Profit</v>
      </c>
      <c r="B9486">
        <v>1011</v>
      </c>
      <c r="C9486" s="9" t="s">
        <v>32</v>
      </c>
      <c r="D9486" s="8">
        <v>-3.006E-2</v>
      </c>
    </row>
    <row r="9487" spans="1:4">
      <c r="A9487" t="str">
        <f t="shared" si="156"/>
        <v>1011Loss Rate</v>
      </c>
      <c r="B9487">
        <v>1011</v>
      </c>
      <c r="C9487" s="9" t="s">
        <v>33</v>
      </c>
      <c r="D9487" s="8">
        <v>0.39</v>
      </c>
    </row>
    <row r="9488" spans="1:4">
      <c r="A9488" t="str">
        <f t="shared" si="156"/>
        <v>1011Win Rate</v>
      </c>
      <c r="B9488">
        <v>1011</v>
      </c>
      <c r="C9488" s="9" t="s">
        <v>34</v>
      </c>
      <c r="D9488" s="8">
        <v>0.61</v>
      </c>
    </row>
    <row r="9489" spans="1:4">
      <c r="A9489" t="str">
        <f t="shared" si="156"/>
        <v>1011Profit-Loss Ratio</v>
      </c>
      <c r="B9489">
        <v>1011</v>
      </c>
      <c r="C9489" s="9" t="s">
        <v>26</v>
      </c>
      <c r="D9489" s="8">
        <v>0.5</v>
      </c>
    </row>
    <row r="9490" spans="1:4">
      <c r="A9490" t="str">
        <f t="shared" si="156"/>
        <v>1011Alpha</v>
      </c>
      <c r="B9490">
        <v>1011</v>
      </c>
      <c r="C9490" s="9" t="s">
        <v>23</v>
      </c>
      <c r="D9490" s="8">
        <v>-3.2000000000000001E-2</v>
      </c>
    </row>
    <row r="9491" spans="1:4">
      <c r="A9491" t="str">
        <f t="shared" si="156"/>
        <v>1011Beta</v>
      </c>
      <c r="B9491">
        <v>1011</v>
      </c>
      <c r="C9491" s="9" t="s">
        <v>24</v>
      </c>
      <c r="D9491" s="8">
        <v>4.3999999999999997E-2</v>
      </c>
    </row>
    <row r="9492" spans="1:4">
      <c r="A9492" t="str">
        <f t="shared" si="156"/>
        <v>1011Annual Standard Deviation</v>
      </c>
      <c r="B9492">
        <v>1011</v>
      </c>
      <c r="C9492" s="9" t="s">
        <v>35</v>
      </c>
      <c r="D9492" s="8">
        <v>4.8000000000000001E-2</v>
      </c>
    </row>
    <row r="9493" spans="1:4">
      <c r="A9493" t="str">
        <f t="shared" si="156"/>
        <v>1011Annual Variance</v>
      </c>
      <c r="B9493">
        <v>1011</v>
      </c>
      <c r="C9493" s="9" t="s">
        <v>36</v>
      </c>
      <c r="D9493" s="8">
        <v>2E-3</v>
      </c>
    </row>
    <row r="9494" spans="1:4">
      <c r="A9494" t="str">
        <f t="shared" si="156"/>
        <v>1011Information Ratio</v>
      </c>
      <c r="B9494">
        <v>1011</v>
      </c>
      <c r="C9494" s="9" t="s">
        <v>37</v>
      </c>
      <c r="D9494" s="8">
        <v>-1.0249999999999999</v>
      </c>
    </row>
    <row r="9495" spans="1:4">
      <c r="A9495" t="str">
        <f t="shared" si="156"/>
        <v>1011Tracking Error</v>
      </c>
      <c r="B9495">
        <v>1011</v>
      </c>
      <c r="C9495" s="9" t="s">
        <v>38</v>
      </c>
      <c r="D9495" s="8">
        <v>0.08</v>
      </c>
    </row>
    <row r="9496" spans="1:4">
      <c r="A9496" t="str">
        <f t="shared" si="156"/>
        <v>1011Treynor Ratio</v>
      </c>
      <c r="B9496">
        <v>1011</v>
      </c>
      <c r="C9496" s="9" t="s">
        <v>39</v>
      </c>
      <c r="D9496" s="8">
        <v>-0.67900000000000005</v>
      </c>
    </row>
    <row r="9497" spans="1:4">
      <c r="A9497" t="str">
        <f t="shared" si="156"/>
        <v>1011Total Fees</v>
      </c>
      <c r="B9497">
        <v>1011</v>
      </c>
      <c r="C9497" s="9" t="s">
        <v>40</v>
      </c>
      <c r="D9497" s="8">
        <v>0</v>
      </c>
    </row>
    <row r="9498" spans="1:4">
      <c r="A9498" t="str">
        <f t="shared" si="156"/>
        <v>1011Estimated Strategy Capacity</v>
      </c>
      <c r="B9498">
        <v>1011</v>
      </c>
      <c r="C9498" s="9" t="s">
        <v>41</v>
      </c>
      <c r="D9498" s="8">
        <v>5300000</v>
      </c>
    </row>
    <row r="9499" spans="1:4">
      <c r="A9499" t="str">
        <f t="shared" si="156"/>
        <v>1012PSR</v>
      </c>
      <c r="B9499">
        <v>1012</v>
      </c>
      <c r="C9499" s="9" t="s">
        <v>27</v>
      </c>
      <c r="D9499" s="8">
        <v>3.6909999999999998E-2</v>
      </c>
    </row>
    <row r="9500" spans="1:4">
      <c r="A9500" t="str">
        <f t="shared" si="156"/>
        <v>1012Sharpe Ratio</v>
      </c>
      <c r="B9500">
        <v>1012</v>
      </c>
      <c r="C9500" s="9" t="s">
        <v>1</v>
      </c>
      <c r="D9500" s="8">
        <v>-0.749</v>
      </c>
    </row>
    <row r="9501" spans="1:4">
      <c r="A9501" t="str">
        <f t="shared" si="156"/>
        <v>1012Total Trades</v>
      </c>
      <c r="B9501">
        <v>1012</v>
      </c>
      <c r="C9501" s="9" t="s">
        <v>28</v>
      </c>
      <c r="D9501" s="8">
        <v>788</v>
      </c>
    </row>
    <row r="9502" spans="1:4">
      <c r="A9502" t="str">
        <f t="shared" si="156"/>
        <v>1012Average Win</v>
      </c>
      <c r="B9502">
        <v>1012</v>
      </c>
      <c r="C9502" s="9" t="s">
        <v>25</v>
      </c>
      <c r="D9502" s="8">
        <v>1.4E-3</v>
      </c>
    </row>
    <row r="9503" spans="1:4">
      <c r="A9503" t="str">
        <f t="shared" si="156"/>
        <v>1012Average Loss</v>
      </c>
      <c r="B9503">
        <v>1012</v>
      </c>
      <c r="C9503" s="9" t="s">
        <v>29</v>
      </c>
      <c r="D9503" s="8">
        <v>-3.8E-3</v>
      </c>
    </row>
    <row r="9504" spans="1:4">
      <c r="A9504" t="str">
        <f t="shared" si="156"/>
        <v>1012Compounding Annual Return</v>
      </c>
      <c r="B9504">
        <v>1012</v>
      </c>
      <c r="C9504" s="9" t="s">
        <v>30</v>
      </c>
      <c r="D9504" s="8">
        <v>-4.1140000000000003E-2</v>
      </c>
    </row>
    <row r="9505" spans="1:4">
      <c r="A9505" t="str">
        <f t="shared" si="156"/>
        <v>1012Drawdown</v>
      </c>
      <c r="B9505">
        <v>1012</v>
      </c>
      <c r="C9505" s="9" t="s">
        <v>8</v>
      </c>
      <c r="D9505" s="8">
        <v>5.1999999999999998E-2</v>
      </c>
    </row>
    <row r="9506" spans="1:4">
      <c r="A9506" t="str">
        <f t="shared" ref="A9506:A9569" si="157">B9506&amp;C9506</f>
        <v>1012Expectancy</v>
      </c>
      <c r="B9506">
        <v>1012</v>
      </c>
      <c r="C9506" s="9" t="s">
        <v>31</v>
      </c>
      <c r="D9506" s="8">
        <v>-0.108</v>
      </c>
    </row>
    <row r="9507" spans="1:4">
      <c r="A9507" t="str">
        <f t="shared" si="157"/>
        <v>1012Net Profit</v>
      </c>
      <c r="B9507">
        <v>1012</v>
      </c>
      <c r="C9507" s="9" t="s">
        <v>32</v>
      </c>
      <c r="D9507" s="8">
        <v>-2.758E-2</v>
      </c>
    </row>
    <row r="9508" spans="1:4">
      <c r="A9508" t="str">
        <f t="shared" si="157"/>
        <v>1012Loss Rate</v>
      </c>
      <c r="B9508">
        <v>1012</v>
      </c>
      <c r="C9508" s="9" t="s">
        <v>33</v>
      </c>
      <c r="D9508" s="8">
        <v>0.35</v>
      </c>
    </row>
    <row r="9509" spans="1:4">
      <c r="A9509" t="str">
        <f t="shared" si="157"/>
        <v>1012Win Rate</v>
      </c>
      <c r="B9509">
        <v>1012</v>
      </c>
      <c r="C9509" s="9" t="s">
        <v>34</v>
      </c>
      <c r="D9509" s="8">
        <v>0.65</v>
      </c>
    </row>
    <row r="9510" spans="1:4">
      <c r="A9510" t="str">
        <f t="shared" si="157"/>
        <v>1012Profit-Loss Ratio</v>
      </c>
      <c r="B9510">
        <v>1012</v>
      </c>
      <c r="C9510" s="9" t="s">
        <v>26</v>
      </c>
      <c r="D9510" s="8">
        <v>0.37</v>
      </c>
    </row>
    <row r="9511" spans="1:4">
      <c r="A9511" t="str">
        <f t="shared" si="157"/>
        <v>1012Alpha</v>
      </c>
      <c r="B9511">
        <v>1012</v>
      </c>
      <c r="C9511" s="9" t="s">
        <v>23</v>
      </c>
      <c r="D9511" s="8">
        <v>-2.9000000000000001E-2</v>
      </c>
    </row>
    <row r="9512" spans="1:4">
      <c r="A9512" t="str">
        <f t="shared" si="157"/>
        <v>1012Beta</v>
      </c>
      <c r="B9512">
        <v>1012</v>
      </c>
      <c r="C9512" s="9" t="s">
        <v>24</v>
      </c>
      <c r="D9512" s="8">
        <v>1.6E-2</v>
      </c>
    </row>
    <row r="9513" spans="1:4">
      <c r="A9513" t="str">
        <f t="shared" si="157"/>
        <v>1012Annual Standard Deviation</v>
      </c>
      <c r="B9513">
        <v>1012</v>
      </c>
      <c r="C9513" s="9" t="s">
        <v>35</v>
      </c>
      <c r="D9513" s="8">
        <v>3.6999999999999998E-2</v>
      </c>
    </row>
    <row r="9514" spans="1:4">
      <c r="A9514" t="str">
        <f t="shared" si="157"/>
        <v>1012Annual Variance</v>
      </c>
      <c r="B9514">
        <v>1012</v>
      </c>
      <c r="C9514" s="9" t="s">
        <v>36</v>
      </c>
      <c r="D9514" s="8">
        <v>1E-3</v>
      </c>
    </row>
    <row r="9515" spans="1:4">
      <c r="A9515" t="str">
        <f t="shared" si="157"/>
        <v>1012Information Ratio</v>
      </c>
      <c r="B9515">
        <v>1012</v>
      </c>
      <c r="C9515" s="9" t="s">
        <v>37</v>
      </c>
      <c r="D9515" s="8">
        <v>-1.052</v>
      </c>
    </row>
    <row r="9516" spans="1:4">
      <c r="A9516" t="str">
        <f t="shared" si="157"/>
        <v>1012Tracking Error</v>
      </c>
      <c r="B9516">
        <v>1012</v>
      </c>
      <c r="C9516" s="9" t="s">
        <v>38</v>
      </c>
      <c r="D9516" s="8">
        <v>7.5999999999999998E-2</v>
      </c>
    </row>
    <row r="9517" spans="1:4">
      <c r="A9517" t="str">
        <f t="shared" si="157"/>
        <v>1012Treynor Ratio</v>
      </c>
      <c r="B9517">
        <v>1012</v>
      </c>
      <c r="C9517" s="9" t="s">
        <v>39</v>
      </c>
      <c r="D9517" s="8">
        <v>-1.7769999999999999</v>
      </c>
    </row>
    <row r="9518" spans="1:4">
      <c r="A9518" t="str">
        <f t="shared" si="157"/>
        <v>1012Total Fees</v>
      </c>
      <c r="B9518">
        <v>1012</v>
      </c>
      <c r="C9518" s="9" t="s">
        <v>40</v>
      </c>
      <c r="D9518" s="8">
        <v>0</v>
      </c>
    </row>
    <row r="9519" spans="1:4">
      <c r="A9519" t="str">
        <f t="shared" si="157"/>
        <v>1012Estimated Strategy Capacity</v>
      </c>
      <c r="B9519">
        <v>1012</v>
      </c>
      <c r="C9519" s="9" t="s">
        <v>41</v>
      </c>
      <c r="D9519" s="8">
        <v>11000000</v>
      </c>
    </row>
    <row r="9520" spans="1:4">
      <c r="A9520" t="str">
        <f t="shared" si="157"/>
        <v>1013PSR</v>
      </c>
      <c r="B9520">
        <v>1013</v>
      </c>
      <c r="C9520" s="9" t="s">
        <v>27</v>
      </c>
      <c r="D9520" s="8">
        <v>0.32150000000000001</v>
      </c>
    </row>
    <row r="9521" spans="1:4">
      <c r="A9521" t="str">
        <f t="shared" si="157"/>
        <v>1013Sharpe Ratio</v>
      </c>
      <c r="B9521">
        <v>1013</v>
      </c>
      <c r="C9521" s="9" t="s">
        <v>1</v>
      </c>
      <c r="D9521" s="8">
        <v>0.53200000000000003</v>
      </c>
    </row>
    <row r="9522" spans="1:4">
      <c r="A9522" t="str">
        <f t="shared" si="157"/>
        <v>1013Total Trades</v>
      </c>
      <c r="B9522">
        <v>1013</v>
      </c>
      <c r="C9522" s="9" t="s">
        <v>28</v>
      </c>
      <c r="D9522" s="8">
        <v>507</v>
      </c>
    </row>
    <row r="9523" spans="1:4">
      <c r="A9523" t="str">
        <f t="shared" si="157"/>
        <v>1013Average Win</v>
      </c>
      <c r="B9523">
        <v>1013</v>
      </c>
      <c r="C9523" s="9" t="s">
        <v>25</v>
      </c>
      <c r="D9523" s="8">
        <v>2.5999999999999999E-3</v>
      </c>
    </row>
    <row r="9524" spans="1:4">
      <c r="A9524" t="str">
        <f t="shared" si="157"/>
        <v>1013Average Loss</v>
      </c>
      <c r="B9524">
        <v>1013</v>
      </c>
      <c r="C9524" s="9" t="s">
        <v>29</v>
      </c>
      <c r="D9524" s="8">
        <v>-6.4000000000000003E-3</v>
      </c>
    </row>
    <row r="9525" spans="1:4">
      <c r="A9525" t="str">
        <f t="shared" si="157"/>
        <v>1013Compounding Annual Return</v>
      </c>
      <c r="B9525">
        <v>1013</v>
      </c>
      <c r="C9525" s="9" t="s">
        <v>30</v>
      </c>
      <c r="D9525" s="8">
        <v>3.9289999999999999E-2</v>
      </c>
    </row>
    <row r="9526" spans="1:4">
      <c r="A9526" t="str">
        <f t="shared" si="157"/>
        <v>1013Drawdown</v>
      </c>
      <c r="B9526">
        <v>1013</v>
      </c>
      <c r="C9526" s="9" t="s">
        <v>8</v>
      </c>
      <c r="D9526" s="8">
        <v>0.04</v>
      </c>
    </row>
    <row r="9527" spans="1:4">
      <c r="A9527" t="str">
        <f t="shared" si="157"/>
        <v>1013Expectancy</v>
      </c>
      <c r="B9527">
        <v>1013</v>
      </c>
      <c r="C9527" s="9" t="s">
        <v>31</v>
      </c>
      <c r="D9527" s="8">
        <v>0.06</v>
      </c>
    </row>
    <row r="9528" spans="1:4">
      <c r="A9528" t="str">
        <f t="shared" si="157"/>
        <v>1013Net Profit</v>
      </c>
      <c r="B9528">
        <v>1013</v>
      </c>
      <c r="C9528" s="9" t="s">
        <v>32</v>
      </c>
      <c r="D9528" s="8">
        <v>2.5989999999999999E-2</v>
      </c>
    </row>
    <row r="9529" spans="1:4">
      <c r="A9529" t="str">
        <f t="shared" si="157"/>
        <v>1013Loss Rate</v>
      </c>
      <c r="B9529">
        <v>1013</v>
      </c>
      <c r="C9529" s="9" t="s">
        <v>33</v>
      </c>
      <c r="D9529" s="8">
        <v>0.24</v>
      </c>
    </row>
    <row r="9530" spans="1:4">
      <c r="A9530" t="str">
        <f t="shared" si="157"/>
        <v>1013Win Rate</v>
      </c>
      <c r="B9530">
        <v>1013</v>
      </c>
      <c r="C9530" s="9" t="s">
        <v>34</v>
      </c>
      <c r="D9530" s="8">
        <v>0.76</v>
      </c>
    </row>
    <row r="9531" spans="1:4">
      <c r="A9531" t="str">
        <f t="shared" si="157"/>
        <v>1013Profit-Loss Ratio</v>
      </c>
      <c r="B9531">
        <v>1013</v>
      </c>
      <c r="C9531" s="9" t="s">
        <v>26</v>
      </c>
      <c r="D9531" s="8">
        <v>0.4</v>
      </c>
    </row>
    <row r="9532" spans="1:4">
      <c r="A9532" t="str">
        <f t="shared" si="157"/>
        <v>1013Alpha</v>
      </c>
      <c r="B9532">
        <v>1013</v>
      </c>
      <c r="C9532" s="9" t="s">
        <v>23</v>
      </c>
      <c r="D9532" s="8">
        <v>2.5999999999999999E-2</v>
      </c>
    </row>
    <row r="9533" spans="1:4">
      <c r="A9533" t="str">
        <f t="shared" si="157"/>
        <v>1013Beta</v>
      </c>
      <c r="B9533">
        <v>1013</v>
      </c>
      <c r="C9533" s="9" t="s">
        <v>24</v>
      </c>
      <c r="D9533" s="8">
        <v>4.9000000000000002E-2</v>
      </c>
    </row>
    <row r="9534" spans="1:4">
      <c r="A9534" t="str">
        <f t="shared" si="157"/>
        <v>1013Annual Standard Deviation</v>
      </c>
      <c r="B9534">
        <v>1013</v>
      </c>
      <c r="C9534" s="9" t="s">
        <v>35</v>
      </c>
      <c r="D9534" s="8">
        <v>5.3999999999999999E-2</v>
      </c>
    </row>
    <row r="9535" spans="1:4">
      <c r="A9535" t="str">
        <f t="shared" si="157"/>
        <v>1013Annual Variance</v>
      </c>
      <c r="B9535">
        <v>1013</v>
      </c>
      <c r="C9535" s="9" t="s">
        <v>36</v>
      </c>
      <c r="D9535" s="8">
        <v>3.0000000000000001E-3</v>
      </c>
    </row>
    <row r="9536" spans="1:4">
      <c r="A9536" t="str">
        <f t="shared" si="157"/>
        <v>1013Information Ratio</v>
      </c>
      <c r="B9536">
        <v>1013</v>
      </c>
      <c r="C9536" s="9" t="s">
        <v>37</v>
      </c>
      <c r="D9536" s="8">
        <v>-0.28000000000000003</v>
      </c>
    </row>
    <row r="9537" spans="1:4">
      <c r="A9537" t="str">
        <f t="shared" si="157"/>
        <v>1013Tracking Error</v>
      </c>
      <c r="B9537">
        <v>1013</v>
      </c>
      <c r="C9537" s="9" t="s">
        <v>38</v>
      </c>
      <c r="D9537" s="8">
        <v>8.3000000000000004E-2</v>
      </c>
    </row>
    <row r="9538" spans="1:4">
      <c r="A9538" t="str">
        <f t="shared" si="157"/>
        <v>1013Treynor Ratio</v>
      </c>
      <c r="B9538">
        <v>1013</v>
      </c>
      <c r="C9538" s="9" t="s">
        <v>39</v>
      </c>
      <c r="D9538" s="8">
        <v>0.57799999999999996</v>
      </c>
    </row>
    <row r="9539" spans="1:4">
      <c r="A9539" t="str">
        <f t="shared" si="157"/>
        <v>1013Total Fees</v>
      </c>
      <c r="B9539">
        <v>1013</v>
      </c>
      <c r="C9539" s="9" t="s">
        <v>40</v>
      </c>
      <c r="D9539" s="8">
        <v>0</v>
      </c>
    </row>
    <row r="9540" spans="1:4">
      <c r="A9540" t="str">
        <f t="shared" si="157"/>
        <v>1013Estimated Strategy Capacity</v>
      </c>
      <c r="B9540">
        <v>1013</v>
      </c>
      <c r="C9540" s="9" t="s">
        <v>41</v>
      </c>
      <c r="D9540" s="8">
        <v>6800000</v>
      </c>
    </row>
    <row r="9541" spans="1:4">
      <c r="A9541" t="str">
        <f t="shared" si="157"/>
        <v>1014PSR</v>
      </c>
      <c r="B9541">
        <v>1014</v>
      </c>
      <c r="C9541" s="9" t="s">
        <v>27</v>
      </c>
      <c r="D9541" s="8">
        <v>0.25878000000000001</v>
      </c>
    </row>
    <row r="9542" spans="1:4">
      <c r="A9542" t="str">
        <f t="shared" si="157"/>
        <v>1014Sharpe Ratio</v>
      </c>
      <c r="B9542">
        <v>1014</v>
      </c>
      <c r="C9542" s="9" t="s">
        <v>1</v>
      </c>
      <c r="D9542" s="8">
        <v>0.33500000000000002</v>
      </c>
    </row>
    <row r="9543" spans="1:4">
      <c r="A9543" t="str">
        <f t="shared" si="157"/>
        <v>1014Total Trades</v>
      </c>
      <c r="B9543">
        <v>1014</v>
      </c>
      <c r="C9543" s="9" t="s">
        <v>28</v>
      </c>
      <c r="D9543" s="8">
        <v>413</v>
      </c>
    </row>
    <row r="9544" spans="1:4">
      <c r="A9544" t="str">
        <f t="shared" si="157"/>
        <v>1014Average Win</v>
      </c>
      <c r="B9544">
        <v>1014</v>
      </c>
      <c r="C9544" s="9" t="s">
        <v>25</v>
      </c>
      <c r="D9544" s="8">
        <v>2.5999999999999999E-3</v>
      </c>
    </row>
    <row r="9545" spans="1:4">
      <c r="A9545" t="str">
        <f t="shared" si="157"/>
        <v>1014Average Loss</v>
      </c>
      <c r="B9545">
        <v>1014</v>
      </c>
      <c r="C9545" s="9" t="s">
        <v>29</v>
      </c>
      <c r="D9545" s="8">
        <v>-5.8999999999999999E-3</v>
      </c>
    </row>
    <row r="9546" spans="1:4">
      <c r="A9546" t="str">
        <f t="shared" si="157"/>
        <v>1014Compounding Annual Return</v>
      </c>
      <c r="B9546">
        <v>1014</v>
      </c>
      <c r="C9546" s="9" t="s">
        <v>30</v>
      </c>
      <c r="D9546" s="8">
        <v>2.282E-2</v>
      </c>
    </row>
    <row r="9547" spans="1:4">
      <c r="A9547" t="str">
        <f t="shared" si="157"/>
        <v>1014Drawdown</v>
      </c>
      <c r="B9547">
        <v>1014</v>
      </c>
      <c r="C9547" s="9" t="s">
        <v>8</v>
      </c>
      <c r="D9547" s="8">
        <v>4.7E-2</v>
      </c>
    </row>
    <row r="9548" spans="1:4">
      <c r="A9548" t="str">
        <f t="shared" si="157"/>
        <v>1014Expectancy</v>
      </c>
      <c r="B9548">
        <v>1014</v>
      </c>
      <c r="C9548" s="9" t="s">
        <v>31</v>
      </c>
      <c r="D9548" s="8">
        <v>3.5000000000000003E-2</v>
      </c>
    </row>
    <row r="9549" spans="1:4">
      <c r="A9549" t="str">
        <f t="shared" si="157"/>
        <v>1014Net Profit</v>
      </c>
      <c r="B9549">
        <v>1014</v>
      </c>
      <c r="C9549" s="9" t="s">
        <v>32</v>
      </c>
      <c r="D9549" s="8">
        <v>1.5129999999999999E-2</v>
      </c>
    </row>
    <row r="9550" spans="1:4">
      <c r="A9550" t="str">
        <f t="shared" si="157"/>
        <v>1014Loss Rate</v>
      </c>
      <c r="B9550">
        <v>1014</v>
      </c>
      <c r="C9550" s="9" t="s">
        <v>33</v>
      </c>
      <c r="D9550" s="8">
        <v>0.28000000000000003</v>
      </c>
    </row>
    <row r="9551" spans="1:4">
      <c r="A9551" t="str">
        <f t="shared" si="157"/>
        <v>1014Win Rate</v>
      </c>
      <c r="B9551">
        <v>1014</v>
      </c>
      <c r="C9551" s="9" t="s">
        <v>34</v>
      </c>
      <c r="D9551" s="8">
        <v>0.72</v>
      </c>
    </row>
    <row r="9552" spans="1:4">
      <c r="A9552" t="str">
        <f t="shared" si="157"/>
        <v>1014Profit-Loss Ratio</v>
      </c>
      <c r="B9552">
        <v>1014</v>
      </c>
      <c r="C9552" s="9" t="s">
        <v>26</v>
      </c>
      <c r="D9552" s="8">
        <v>0.44</v>
      </c>
    </row>
    <row r="9553" spans="1:4">
      <c r="A9553" t="str">
        <f t="shared" si="157"/>
        <v>1014Alpha</v>
      </c>
      <c r="B9553">
        <v>1014</v>
      </c>
      <c r="C9553" s="9" t="s">
        <v>23</v>
      </c>
      <c r="D9553" s="8">
        <v>1.4999999999999999E-2</v>
      </c>
    </row>
    <row r="9554" spans="1:4">
      <c r="A9554" t="str">
        <f t="shared" si="157"/>
        <v>1014Beta</v>
      </c>
      <c r="B9554">
        <v>1014</v>
      </c>
      <c r="C9554" s="9" t="s">
        <v>24</v>
      </c>
      <c r="D9554" s="8">
        <v>0.04</v>
      </c>
    </row>
    <row r="9555" spans="1:4">
      <c r="A9555" t="str">
        <f t="shared" si="157"/>
        <v>1014Annual Standard Deviation</v>
      </c>
      <c r="B9555">
        <v>1014</v>
      </c>
      <c r="C9555" s="9" t="s">
        <v>35</v>
      </c>
      <c r="D9555" s="8">
        <v>5.0999999999999997E-2</v>
      </c>
    </row>
    <row r="9556" spans="1:4">
      <c r="A9556" t="str">
        <f t="shared" si="157"/>
        <v>1014Annual Variance</v>
      </c>
      <c r="B9556">
        <v>1014</v>
      </c>
      <c r="C9556" s="9" t="s">
        <v>36</v>
      </c>
      <c r="D9556" s="8">
        <v>3.0000000000000001E-3</v>
      </c>
    </row>
    <row r="9557" spans="1:4">
      <c r="A9557" t="str">
        <f t="shared" si="157"/>
        <v>1014Information Ratio</v>
      </c>
      <c r="B9557">
        <v>1014</v>
      </c>
      <c r="C9557" s="9" t="s">
        <v>37</v>
      </c>
      <c r="D9557" s="8">
        <v>-0.42299999999999999</v>
      </c>
    </row>
    <row r="9558" spans="1:4">
      <c r="A9558" t="str">
        <f t="shared" si="157"/>
        <v>1014Tracking Error</v>
      </c>
      <c r="B9558">
        <v>1014</v>
      </c>
      <c r="C9558" s="9" t="s">
        <v>38</v>
      </c>
      <c r="D9558" s="8">
        <v>8.2000000000000003E-2</v>
      </c>
    </row>
    <row r="9559" spans="1:4">
      <c r="A9559" t="str">
        <f t="shared" si="157"/>
        <v>1014Treynor Ratio</v>
      </c>
      <c r="B9559">
        <v>1014</v>
      </c>
      <c r="C9559" s="9" t="s">
        <v>39</v>
      </c>
      <c r="D9559" s="8">
        <v>0.432</v>
      </c>
    </row>
    <row r="9560" spans="1:4">
      <c r="A9560" t="str">
        <f t="shared" si="157"/>
        <v>1014Total Fees</v>
      </c>
      <c r="B9560">
        <v>1014</v>
      </c>
      <c r="C9560" s="9" t="s">
        <v>40</v>
      </c>
      <c r="D9560" s="8">
        <v>0</v>
      </c>
    </row>
    <row r="9561" spans="1:4">
      <c r="A9561" t="str">
        <f t="shared" si="157"/>
        <v>1014Estimated Strategy Capacity</v>
      </c>
      <c r="B9561">
        <v>1014</v>
      </c>
      <c r="C9561" s="9" t="s">
        <v>41</v>
      </c>
      <c r="D9561" s="8">
        <v>7300000</v>
      </c>
    </row>
    <row r="9562" spans="1:4">
      <c r="A9562" t="str">
        <f t="shared" si="157"/>
        <v>1015PSR</v>
      </c>
      <c r="B9562">
        <v>1015</v>
      </c>
      <c r="C9562" s="9" t="s">
        <v>27</v>
      </c>
      <c r="D9562" s="8">
        <v>0.87360000000000004</v>
      </c>
    </row>
    <row r="9563" spans="1:4">
      <c r="A9563" t="str">
        <f t="shared" si="157"/>
        <v>1015Sharpe Ratio</v>
      </c>
      <c r="B9563">
        <v>1015</v>
      </c>
      <c r="C9563" s="9" t="s">
        <v>1</v>
      </c>
      <c r="D9563" s="8">
        <v>2.0819999999999999</v>
      </c>
    </row>
    <row r="9564" spans="1:4">
      <c r="A9564" t="str">
        <f t="shared" si="157"/>
        <v>1015Total Trades</v>
      </c>
      <c r="B9564">
        <v>1015</v>
      </c>
      <c r="C9564" s="9" t="s">
        <v>28</v>
      </c>
      <c r="D9564" s="8">
        <v>666</v>
      </c>
    </row>
    <row r="9565" spans="1:4">
      <c r="A9565" t="str">
        <f t="shared" si="157"/>
        <v>1015Average Win</v>
      </c>
      <c r="B9565">
        <v>1015</v>
      </c>
      <c r="C9565" s="9" t="s">
        <v>25</v>
      </c>
      <c r="D9565" s="8">
        <v>2.8E-3</v>
      </c>
    </row>
    <row r="9566" spans="1:4">
      <c r="A9566" t="str">
        <f t="shared" si="157"/>
        <v>1015Average Loss</v>
      </c>
      <c r="B9566">
        <v>1015</v>
      </c>
      <c r="C9566" s="9" t="s">
        <v>29</v>
      </c>
      <c r="D9566" s="8">
        <v>-2.0999999999999999E-3</v>
      </c>
    </row>
    <row r="9567" spans="1:4">
      <c r="A9567" t="str">
        <f t="shared" si="157"/>
        <v>1015Compounding Annual Return</v>
      </c>
      <c r="B9567">
        <v>1015</v>
      </c>
      <c r="C9567" s="9" t="s">
        <v>30</v>
      </c>
      <c r="D9567" s="8">
        <v>0.10988000000000001</v>
      </c>
    </row>
    <row r="9568" spans="1:4">
      <c r="A9568" t="str">
        <f t="shared" si="157"/>
        <v>1015Drawdown</v>
      </c>
      <c r="B9568">
        <v>1015</v>
      </c>
      <c r="C9568" s="9" t="s">
        <v>8</v>
      </c>
      <c r="D9568" s="8">
        <v>1.6E-2</v>
      </c>
    </row>
    <row r="9569" spans="1:4">
      <c r="A9569" t="str">
        <f t="shared" si="157"/>
        <v>1015Expectancy</v>
      </c>
      <c r="B9569">
        <v>1015</v>
      </c>
      <c r="C9569" s="9" t="s">
        <v>31</v>
      </c>
      <c r="D9569" s="8">
        <v>0.61799999999999999</v>
      </c>
    </row>
    <row r="9570" spans="1:4">
      <c r="A9570" t="str">
        <f t="shared" ref="A9570:A9633" si="158">B9570&amp;C9570</f>
        <v>1015Net Profit</v>
      </c>
      <c r="B9570">
        <v>1015</v>
      </c>
      <c r="C9570" s="9" t="s">
        <v>32</v>
      </c>
      <c r="D9570" s="8">
        <v>7.1859999999999993E-2</v>
      </c>
    </row>
    <row r="9571" spans="1:4">
      <c r="A9571" t="str">
        <f t="shared" si="158"/>
        <v>1015Loss Rate</v>
      </c>
      <c r="B9571">
        <v>1015</v>
      </c>
      <c r="C9571" s="9" t="s">
        <v>33</v>
      </c>
      <c r="D9571" s="8">
        <v>0.31</v>
      </c>
    </row>
    <row r="9572" spans="1:4">
      <c r="A9572" t="str">
        <f t="shared" si="158"/>
        <v>1015Win Rate</v>
      </c>
      <c r="B9572">
        <v>1015</v>
      </c>
      <c r="C9572" s="9" t="s">
        <v>34</v>
      </c>
      <c r="D9572" s="8">
        <v>0.69</v>
      </c>
    </row>
    <row r="9573" spans="1:4">
      <c r="A9573" t="str">
        <f t="shared" si="158"/>
        <v>1015Profit-Loss Ratio</v>
      </c>
      <c r="B9573">
        <v>1015</v>
      </c>
      <c r="C9573" s="9" t="s">
        <v>26</v>
      </c>
      <c r="D9573" s="8">
        <v>1.35</v>
      </c>
    </row>
    <row r="9574" spans="1:4">
      <c r="A9574" t="str">
        <f t="shared" si="158"/>
        <v>1015Alpha</v>
      </c>
      <c r="B9574">
        <v>1015</v>
      </c>
      <c r="C9574" s="9" t="s">
        <v>23</v>
      </c>
      <c r="D9574" s="8">
        <v>7.2999999999999995E-2</v>
      </c>
    </row>
    <row r="9575" spans="1:4">
      <c r="A9575" t="str">
        <f t="shared" si="158"/>
        <v>1015Beta</v>
      </c>
      <c r="B9575">
        <v>1015</v>
      </c>
      <c r="C9575" s="9" t="s">
        <v>24</v>
      </c>
      <c r="D9575" s="8">
        <v>6.4000000000000001E-2</v>
      </c>
    </row>
    <row r="9576" spans="1:4">
      <c r="A9576" t="str">
        <f t="shared" si="158"/>
        <v>1015Annual Standard Deviation</v>
      </c>
      <c r="B9576">
        <v>1015</v>
      </c>
      <c r="C9576" s="9" t="s">
        <v>35</v>
      </c>
      <c r="D9576" s="8">
        <v>3.5999999999999997E-2</v>
      </c>
    </row>
    <row r="9577" spans="1:4">
      <c r="A9577" t="str">
        <f t="shared" si="158"/>
        <v>1015Annual Variance</v>
      </c>
      <c r="B9577">
        <v>1015</v>
      </c>
      <c r="C9577" s="9" t="s">
        <v>36</v>
      </c>
      <c r="D9577" s="8">
        <v>1E-3</v>
      </c>
    </row>
    <row r="9578" spans="1:4">
      <c r="A9578" t="str">
        <f t="shared" si="158"/>
        <v>1015Information Ratio</v>
      </c>
      <c r="B9578">
        <v>1015</v>
      </c>
      <c r="C9578" s="9" t="s">
        <v>37</v>
      </c>
      <c r="D9578" s="8">
        <v>0.36399999999999999</v>
      </c>
    </row>
    <row r="9579" spans="1:4">
      <c r="A9579" t="str">
        <f t="shared" si="158"/>
        <v>1015Tracking Error</v>
      </c>
      <c r="B9579">
        <v>1015</v>
      </c>
      <c r="C9579" s="9" t="s">
        <v>38</v>
      </c>
      <c r="D9579" s="8">
        <v>7.2999999999999995E-2</v>
      </c>
    </row>
    <row r="9580" spans="1:4">
      <c r="A9580" t="str">
        <f t="shared" si="158"/>
        <v>1015Treynor Ratio</v>
      </c>
      <c r="B9580">
        <v>1015</v>
      </c>
      <c r="C9580" s="9" t="s">
        <v>39</v>
      </c>
      <c r="D9580" s="8">
        <v>1.19</v>
      </c>
    </row>
    <row r="9581" spans="1:4">
      <c r="A9581" t="str">
        <f t="shared" si="158"/>
        <v>1015Total Fees</v>
      </c>
      <c r="B9581">
        <v>1015</v>
      </c>
      <c r="C9581" s="9" t="s">
        <v>40</v>
      </c>
      <c r="D9581" s="8">
        <v>0</v>
      </c>
    </row>
    <row r="9582" spans="1:4">
      <c r="A9582" t="str">
        <f t="shared" si="158"/>
        <v>1015Estimated Strategy Capacity</v>
      </c>
      <c r="B9582">
        <v>1015</v>
      </c>
      <c r="C9582" s="9" t="s">
        <v>41</v>
      </c>
      <c r="D9582" s="8">
        <v>6600000</v>
      </c>
    </row>
    <row r="9583" spans="1:4">
      <c r="A9583" t="str">
        <f t="shared" si="158"/>
        <v>1016PSR</v>
      </c>
      <c r="B9583">
        <v>1016</v>
      </c>
      <c r="C9583" s="9" t="s">
        <v>27</v>
      </c>
      <c r="D9583" s="8">
        <v>0.41433999999999999</v>
      </c>
    </row>
    <row r="9584" spans="1:4">
      <c r="A9584" t="str">
        <f t="shared" si="158"/>
        <v>1016Sharpe Ratio</v>
      </c>
      <c r="B9584">
        <v>1016</v>
      </c>
      <c r="C9584" s="9" t="s">
        <v>1</v>
      </c>
      <c r="D9584" s="8">
        <v>0.8</v>
      </c>
    </row>
    <row r="9585" spans="1:4">
      <c r="A9585" t="str">
        <f t="shared" si="158"/>
        <v>1016Total Trades</v>
      </c>
      <c r="B9585">
        <v>1016</v>
      </c>
      <c r="C9585" s="9" t="s">
        <v>28</v>
      </c>
      <c r="D9585" s="8">
        <v>417</v>
      </c>
    </row>
    <row r="9586" spans="1:4">
      <c r="A9586" t="str">
        <f t="shared" si="158"/>
        <v>1016Average Win</v>
      </c>
      <c r="B9586">
        <v>1016</v>
      </c>
      <c r="C9586" s="9" t="s">
        <v>25</v>
      </c>
      <c r="D9586" s="8">
        <v>3.2000000000000002E-3</v>
      </c>
    </row>
    <row r="9587" spans="1:4">
      <c r="A9587" t="str">
        <f t="shared" si="158"/>
        <v>1016Average Loss</v>
      </c>
      <c r="B9587">
        <v>1016</v>
      </c>
      <c r="C9587" s="9" t="s">
        <v>29</v>
      </c>
      <c r="D9587" s="8">
        <v>-3.7000000000000002E-3</v>
      </c>
    </row>
    <row r="9588" spans="1:4">
      <c r="A9588" t="str">
        <f t="shared" si="158"/>
        <v>1016Compounding Annual Return</v>
      </c>
      <c r="B9588">
        <v>1016</v>
      </c>
      <c r="C9588" s="9" t="s">
        <v>30</v>
      </c>
      <c r="D9588" s="8">
        <v>5.9709999999999999E-2</v>
      </c>
    </row>
    <row r="9589" spans="1:4">
      <c r="A9589" t="str">
        <f t="shared" si="158"/>
        <v>1016Drawdown</v>
      </c>
      <c r="B9589">
        <v>1016</v>
      </c>
      <c r="C9589" s="9" t="s">
        <v>8</v>
      </c>
      <c r="D9589" s="8">
        <v>3.5999999999999997E-2</v>
      </c>
    </row>
    <row r="9590" spans="1:4">
      <c r="A9590" t="str">
        <f t="shared" si="158"/>
        <v>1016Expectancy</v>
      </c>
      <c r="B9590">
        <v>1016</v>
      </c>
      <c r="C9590" s="9" t="s">
        <v>31</v>
      </c>
      <c r="D9590" s="8">
        <v>0.26800000000000002</v>
      </c>
    </row>
    <row r="9591" spans="1:4">
      <c r="A9591" t="str">
        <f t="shared" si="158"/>
        <v>1016Net Profit</v>
      </c>
      <c r="B9591">
        <v>1016</v>
      </c>
      <c r="C9591" s="9" t="s">
        <v>32</v>
      </c>
      <c r="D9591" s="8">
        <v>3.9359999999999999E-2</v>
      </c>
    </row>
    <row r="9592" spans="1:4">
      <c r="A9592" t="str">
        <f t="shared" si="158"/>
        <v>1016Loss Rate</v>
      </c>
      <c r="B9592">
        <v>1016</v>
      </c>
      <c r="C9592" s="9" t="s">
        <v>33</v>
      </c>
      <c r="D9592" s="8">
        <v>0.33</v>
      </c>
    </row>
    <row r="9593" spans="1:4">
      <c r="A9593" t="str">
        <f t="shared" si="158"/>
        <v>1016Win Rate</v>
      </c>
      <c r="B9593">
        <v>1016</v>
      </c>
      <c r="C9593" s="9" t="s">
        <v>34</v>
      </c>
      <c r="D9593" s="8">
        <v>0.67</v>
      </c>
    </row>
    <row r="9594" spans="1:4">
      <c r="A9594" t="str">
        <f t="shared" si="158"/>
        <v>1016Profit-Loss Ratio</v>
      </c>
      <c r="B9594">
        <v>1016</v>
      </c>
      <c r="C9594" s="9" t="s">
        <v>26</v>
      </c>
      <c r="D9594" s="8">
        <v>0.88</v>
      </c>
    </row>
    <row r="9595" spans="1:4">
      <c r="A9595" t="str">
        <f t="shared" si="158"/>
        <v>1016Alpha</v>
      </c>
      <c r="B9595">
        <v>1016</v>
      </c>
      <c r="C9595" s="9" t="s">
        <v>23</v>
      </c>
      <c r="D9595" s="8">
        <v>3.7999999999999999E-2</v>
      </c>
    </row>
    <row r="9596" spans="1:4">
      <c r="A9596" t="str">
        <f t="shared" si="158"/>
        <v>1016Beta</v>
      </c>
      <c r="B9596">
        <v>1016</v>
      </c>
      <c r="C9596" s="9" t="s">
        <v>24</v>
      </c>
      <c r="D9596" s="8">
        <v>8.3000000000000004E-2</v>
      </c>
    </row>
    <row r="9597" spans="1:4">
      <c r="A9597" t="str">
        <f t="shared" si="158"/>
        <v>1016Annual Standard Deviation</v>
      </c>
      <c r="B9597">
        <v>1016</v>
      </c>
      <c r="C9597" s="9" t="s">
        <v>35</v>
      </c>
      <c r="D9597" s="8">
        <v>5.2999999999999999E-2</v>
      </c>
    </row>
    <row r="9598" spans="1:4">
      <c r="A9598" t="str">
        <f t="shared" si="158"/>
        <v>1016Annual Variance</v>
      </c>
      <c r="B9598">
        <v>1016</v>
      </c>
      <c r="C9598" s="9" t="s">
        <v>36</v>
      </c>
      <c r="D9598" s="8">
        <v>3.0000000000000001E-3</v>
      </c>
    </row>
    <row r="9599" spans="1:4">
      <c r="A9599" t="str">
        <f t="shared" si="158"/>
        <v>1016Information Ratio</v>
      </c>
      <c r="B9599">
        <v>1016</v>
      </c>
      <c r="C9599" s="9" t="s">
        <v>37</v>
      </c>
      <c r="D9599" s="8">
        <v>-0.11600000000000001</v>
      </c>
    </row>
    <row r="9600" spans="1:4">
      <c r="A9600" t="str">
        <f t="shared" si="158"/>
        <v>1016Tracking Error</v>
      </c>
      <c r="B9600">
        <v>1016</v>
      </c>
      <c r="C9600" s="9" t="s">
        <v>38</v>
      </c>
      <c r="D9600" s="8">
        <v>8.1000000000000003E-2</v>
      </c>
    </row>
    <row r="9601" spans="1:4">
      <c r="A9601" t="str">
        <f t="shared" si="158"/>
        <v>1016Treynor Ratio</v>
      </c>
      <c r="B9601">
        <v>1016</v>
      </c>
      <c r="C9601" s="9" t="s">
        <v>39</v>
      </c>
      <c r="D9601" s="8">
        <v>0.51100000000000001</v>
      </c>
    </row>
    <row r="9602" spans="1:4">
      <c r="A9602" t="str">
        <f t="shared" si="158"/>
        <v>1016Total Fees</v>
      </c>
      <c r="B9602">
        <v>1016</v>
      </c>
      <c r="C9602" s="9" t="s">
        <v>40</v>
      </c>
      <c r="D9602" s="8">
        <v>0</v>
      </c>
    </row>
    <row r="9603" spans="1:4">
      <c r="A9603" t="str">
        <f t="shared" si="158"/>
        <v>1016Estimated Strategy Capacity</v>
      </c>
      <c r="B9603">
        <v>1016</v>
      </c>
      <c r="C9603" s="9" t="s">
        <v>41</v>
      </c>
      <c r="D9603" s="8">
        <v>6800000</v>
      </c>
    </row>
    <row r="9604" spans="1:4">
      <c r="A9604" t="str">
        <f t="shared" si="158"/>
        <v>1017PSR</v>
      </c>
      <c r="B9604">
        <v>1017</v>
      </c>
      <c r="C9604" s="9" t="s">
        <v>27</v>
      </c>
      <c r="D9604" s="8">
        <v>0.23709</v>
      </c>
    </row>
    <row r="9605" spans="1:4">
      <c r="A9605" t="str">
        <f t="shared" si="158"/>
        <v>1017Sharpe Ratio</v>
      </c>
      <c r="B9605">
        <v>1017</v>
      </c>
      <c r="C9605" s="9" t="s">
        <v>1</v>
      </c>
      <c r="D9605" s="8">
        <v>0.27100000000000002</v>
      </c>
    </row>
    <row r="9606" spans="1:4">
      <c r="A9606" t="str">
        <f t="shared" si="158"/>
        <v>1017Total Trades</v>
      </c>
      <c r="B9606">
        <v>1017</v>
      </c>
      <c r="C9606" s="9" t="s">
        <v>28</v>
      </c>
      <c r="D9606" s="8">
        <v>336</v>
      </c>
    </row>
    <row r="9607" spans="1:4">
      <c r="A9607" t="str">
        <f t="shared" si="158"/>
        <v>1017Average Win</v>
      </c>
      <c r="B9607">
        <v>1017</v>
      </c>
      <c r="C9607" s="9" t="s">
        <v>25</v>
      </c>
      <c r="D9607" s="8">
        <v>2.8999999999999998E-3</v>
      </c>
    </row>
    <row r="9608" spans="1:4">
      <c r="A9608" t="str">
        <f t="shared" si="158"/>
        <v>1017Average Loss</v>
      </c>
      <c r="B9608">
        <v>1017</v>
      </c>
      <c r="C9608" s="9" t="s">
        <v>29</v>
      </c>
      <c r="D9608" s="8">
        <v>-4.1999999999999997E-3</v>
      </c>
    </row>
    <row r="9609" spans="1:4">
      <c r="A9609" t="str">
        <f t="shared" si="158"/>
        <v>1017Compounding Annual Return</v>
      </c>
      <c r="B9609">
        <v>1017</v>
      </c>
      <c r="C9609" s="9" t="s">
        <v>30</v>
      </c>
      <c r="D9609" s="8">
        <v>1.9390000000000001E-2</v>
      </c>
    </row>
    <row r="9610" spans="1:4">
      <c r="A9610" t="str">
        <f t="shared" si="158"/>
        <v>1017Drawdown</v>
      </c>
      <c r="B9610">
        <v>1017</v>
      </c>
      <c r="C9610" s="9" t="s">
        <v>8</v>
      </c>
      <c r="D9610" s="8">
        <v>4.1000000000000002E-2</v>
      </c>
    </row>
    <row r="9611" spans="1:4">
      <c r="A9611" t="str">
        <f t="shared" si="158"/>
        <v>1017Expectancy</v>
      </c>
      <c r="B9611">
        <v>1017</v>
      </c>
      <c r="C9611" s="9" t="s">
        <v>31</v>
      </c>
      <c r="D9611" s="8">
        <v>0.128</v>
      </c>
    </row>
    <row r="9612" spans="1:4">
      <c r="A9612" t="str">
        <f t="shared" si="158"/>
        <v>1017Net Profit</v>
      </c>
      <c r="B9612">
        <v>1017</v>
      </c>
      <c r="C9612" s="9" t="s">
        <v>32</v>
      </c>
      <c r="D9612" s="8">
        <v>1.2869999999999999E-2</v>
      </c>
    </row>
    <row r="9613" spans="1:4">
      <c r="A9613" t="str">
        <f t="shared" si="158"/>
        <v>1017Loss Rate</v>
      </c>
      <c r="B9613">
        <v>1017</v>
      </c>
      <c r="C9613" s="9" t="s">
        <v>33</v>
      </c>
      <c r="D9613" s="8">
        <v>0.33</v>
      </c>
    </row>
    <row r="9614" spans="1:4">
      <c r="A9614" t="str">
        <f t="shared" si="158"/>
        <v>1017Win Rate</v>
      </c>
      <c r="B9614">
        <v>1017</v>
      </c>
      <c r="C9614" s="9" t="s">
        <v>34</v>
      </c>
      <c r="D9614" s="8">
        <v>0.67</v>
      </c>
    </row>
    <row r="9615" spans="1:4">
      <c r="A9615" t="str">
        <f t="shared" si="158"/>
        <v>1017Profit-Loss Ratio</v>
      </c>
      <c r="B9615">
        <v>1017</v>
      </c>
      <c r="C9615" s="9" t="s">
        <v>26</v>
      </c>
      <c r="D9615" s="8">
        <v>0.69</v>
      </c>
    </row>
    <row r="9616" spans="1:4">
      <c r="A9616" t="str">
        <f t="shared" si="158"/>
        <v>1017Alpha</v>
      </c>
      <c r="B9616">
        <v>1017</v>
      </c>
      <c r="C9616" s="9" t="s">
        <v>23</v>
      </c>
      <c r="D9616" s="8">
        <v>0.01</v>
      </c>
    </row>
    <row r="9617" spans="1:4">
      <c r="A9617" t="str">
        <f t="shared" si="158"/>
        <v>1017Beta</v>
      </c>
      <c r="B9617">
        <v>1017</v>
      </c>
      <c r="C9617" s="9" t="s">
        <v>24</v>
      </c>
      <c r="D9617" s="8">
        <v>9.5000000000000001E-2</v>
      </c>
    </row>
    <row r="9618" spans="1:4">
      <c r="A9618" t="str">
        <f t="shared" si="158"/>
        <v>1017Annual Standard Deviation</v>
      </c>
      <c r="B9618">
        <v>1017</v>
      </c>
      <c r="C9618" s="9" t="s">
        <v>35</v>
      </c>
      <c r="D9618" s="8">
        <v>5.5E-2</v>
      </c>
    </row>
    <row r="9619" spans="1:4">
      <c r="A9619" t="str">
        <f t="shared" si="158"/>
        <v>1017Annual Variance</v>
      </c>
      <c r="B9619">
        <v>1017</v>
      </c>
      <c r="C9619" s="9" t="s">
        <v>36</v>
      </c>
      <c r="D9619" s="8">
        <v>3.0000000000000001E-3</v>
      </c>
    </row>
    <row r="9620" spans="1:4">
      <c r="A9620" t="str">
        <f t="shared" si="158"/>
        <v>1017Information Ratio</v>
      </c>
      <c r="B9620">
        <v>1017</v>
      </c>
      <c r="C9620" s="9" t="s">
        <v>37</v>
      </c>
      <c r="D9620" s="8">
        <v>-0.45200000000000001</v>
      </c>
    </row>
    <row r="9621" spans="1:4">
      <c r="A9621" t="str">
        <f t="shared" si="158"/>
        <v>1017Tracking Error</v>
      </c>
      <c r="B9621">
        <v>1017</v>
      </c>
      <c r="C9621" s="9" t="s">
        <v>38</v>
      </c>
      <c r="D9621" s="8">
        <v>8.2000000000000003E-2</v>
      </c>
    </row>
    <row r="9622" spans="1:4">
      <c r="A9622" t="str">
        <f t="shared" si="158"/>
        <v>1017Treynor Ratio</v>
      </c>
      <c r="B9622">
        <v>1017</v>
      </c>
      <c r="C9622" s="9" t="s">
        <v>39</v>
      </c>
      <c r="D9622" s="8">
        <v>0.157</v>
      </c>
    </row>
    <row r="9623" spans="1:4">
      <c r="A9623" t="str">
        <f t="shared" si="158"/>
        <v>1017Total Fees</v>
      </c>
      <c r="B9623">
        <v>1017</v>
      </c>
      <c r="C9623" s="9" t="s">
        <v>40</v>
      </c>
      <c r="D9623" s="8">
        <v>0</v>
      </c>
    </row>
    <row r="9624" spans="1:4">
      <c r="A9624" t="str">
        <f t="shared" si="158"/>
        <v>1017Estimated Strategy Capacity</v>
      </c>
      <c r="B9624">
        <v>1017</v>
      </c>
      <c r="C9624" s="9" t="s">
        <v>41</v>
      </c>
      <c r="D9624" s="8">
        <v>7300000</v>
      </c>
    </row>
    <row r="9625" spans="1:4">
      <c r="A9625" t="str">
        <f t="shared" si="158"/>
        <v>1036PSR</v>
      </c>
      <c r="B9625">
        <v>1036</v>
      </c>
      <c r="C9625" s="9" t="s">
        <v>27</v>
      </c>
      <c r="D9625" s="8">
        <v>3.8550000000000001E-2</v>
      </c>
    </row>
    <row r="9626" spans="1:4">
      <c r="A9626" t="str">
        <f t="shared" si="158"/>
        <v>1036Sharpe Ratio</v>
      </c>
      <c r="B9626">
        <v>1036</v>
      </c>
      <c r="C9626" s="9" t="s">
        <v>1</v>
      </c>
      <c r="D9626" s="8">
        <v>-0.77200000000000002</v>
      </c>
    </row>
    <row r="9627" spans="1:4">
      <c r="A9627" t="str">
        <f t="shared" si="158"/>
        <v>1036Total Trades</v>
      </c>
      <c r="B9627">
        <v>1036</v>
      </c>
      <c r="C9627" s="9" t="s">
        <v>28</v>
      </c>
      <c r="D9627" s="8">
        <v>1416</v>
      </c>
    </row>
    <row r="9628" spans="1:4">
      <c r="A9628" t="str">
        <f t="shared" si="158"/>
        <v>1036Average Win</v>
      </c>
      <c r="B9628">
        <v>1036</v>
      </c>
      <c r="C9628" s="9" t="s">
        <v>25</v>
      </c>
      <c r="D9628" s="8">
        <v>1.1999999999999999E-3</v>
      </c>
    </row>
    <row r="9629" spans="1:4">
      <c r="A9629" t="str">
        <f t="shared" si="158"/>
        <v>1036Average Loss</v>
      </c>
      <c r="B9629">
        <v>1036</v>
      </c>
      <c r="C9629" s="9" t="s">
        <v>29</v>
      </c>
      <c r="D9629" s="8">
        <v>-2.0999999999999999E-3</v>
      </c>
    </row>
    <row r="9630" spans="1:4">
      <c r="A9630" t="str">
        <f t="shared" si="158"/>
        <v>1036Compounding Annual Return</v>
      </c>
      <c r="B9630">
        <v>1036</v>
      </c>
      <c r="C9630" s="9" t="s">
        <v>30</v>
      </c>
      <c r="D9630" s="8">
        <v>-3.6260000000000001E-2</v>
      </c>
    </row>
    <row r="9631" spans="1:4">
      <c r="A9631" t="str">
        <f t="shared" si="158"/>
        <v>1036Drawdown</v>
      </c>
      <c r="B9631">
        <v>1036</v>
      </c>
      <c r="C9631" s="9" t="s">
        <v>8</v>
      </c>
      <c r="D9631" s="8">
        <v>5.2999999999999999E-2</v>
      </c>
    </row>
    <row r="9632" spans="1:4">
      <c r="A9632" t="str">
        <f t="shared" si="158"/>
        <v>1036Expectancy</v>
      </c>
      <c r="B9632">
        <v>1036</v>
      </c>
      <c r="C9632" s="9" t="s">
        <v>31</v>
      </c>
      <c r="D9632" s="8">
        <v>-8.8999999999999996E-2</v>
      </c>
    </row>
    <row r="9633" spans="1:4">
      <c r="A9633" t="str">
        <f t="shared" si="158"/>
        <v>1036Net Profit</v>
      </c>
      <c r="B9633">
        <v>1036</v>
      </c>
      <c r="C9633" s="9" t="s">
        <v>32</v>
      </c>
      <c r="D9633" s="8">
        <v>-2.4289999999999999E-2</v>
      </c>
    </row>
    <row r="9634" spans="1:4">
      <c r="A9634" t="str">
        <f t="shared" ref="A9634:A9665" si="159">B9634&amp;C9634</f>
        <v>1036Loss Rate</v>
      </c>
      <c r="B9634">
        <v>1036</v>
      </c>
      <c r="C9634" s="9" t="s">
        <v>33</v>
      </c>
      <c r="D9634" s="8">
        <v>0.41</v>
      </c>
    </row>
    <row r="9635" spans="1:4">
      <c r="A9635" t="str">
        <f t="shared" si="159"/>
        <v>1036Win Rate</v>
      </c>
      <c r="B9635">
        <v>1036</v>
      </c>
      <c r="C9635" s="9" t="s">
        <v>34</v>
      </c>
      <c r="D9635" s="8">
        <v>0.59</v>
      </c>
    </row>
    <row r="9636" spans="1:4">
      <c r="A9636" t="str">
        <f t="shared" si="159"/>
        <v>1036Profit-Loss Ratio</v>
      </c>
      <c r="B9636">
        <v>1036</v>
      </c>
      <c r="C9636" s="9" t="s">
        <v>26</v>
      </c>
      <c r="D9636" s="8">
        <v>0.54</v>
      </c>
    </row>
    <row r="9637" spans="1:4">
      <c r="A9637" t="str">
        <f t="shared" si="159"/>
        <v>1036Alpha</v>
      </c>
      <c r="B9637">
        <v>1036</v>
      </c>
      <c r="C9637" s="9" t="s">
        <v>23</v>
      </c>
      <c r="D9637" s="8">
        <v>-3.2000000000000001E-2</v>
      </c>
    </row>
    <row r="9638" spans="1:4">
      <c r="A9638" t="str">
        <f t="shared" si="159"/>
        <v>1036Beta</v>
      </c>
      <c r="B9638">
        <v>1036</v>
      </c>
      <c r="C9638" s="9" t="s">
        <v>24</v>
      </c>
      <c r="D9638" s="8">
        <v>0.153</v>
      </c>
    </row>
    <row r="9639" spans="1:4">
      <c r="A9639" t="str">
        <f t="shared" si="159"/>
        <v>1036Annual Standard Deviation</v>
      </c>
      <c r="B9639">
        <v>1036</v>
      </c>
      <c r="C9639" s="9" t="s">
        <v>35</v>
      </c>
      <c r="D9639" s="8">
        <v>3.2000000000000001E-2</v>
      </c>
    </row>
    <row r="9640" spans="1:4">
      <c r="A9640" t="str">
        <f t="shared" si="159"/>
        <v>1036Annual Variance</v>
      </c>
      <c r="B9640">
        <v>1036</v>
      </c>
      <c r="C9640" s="9" t="s">
        <v>36</v>
      </c>
      <c r="D9640" s="8">
        <v>1E-3</v>
      </c>
    </row>
    <row r="9641" spans="1:4">
      <c r="A9641" t="str">
        <f t="shared" si="159"/>
        <v>1036Information Ratio</v>
      </c>
      <c r="B9641">
        <v>1036</v>
      </c>
      <c r="C9641" s="9" t="s">
        <v>37</v>
      </c>
      <c r="D9641" s="8">
        <v>-1.1459999999999999</v>
      </c>
    </row>
    <row r="9642" spans="1:4">
      <c r="A9642" t="str">
        <f t="shared" si="159"/>
        <v>1036Tracking Error</v>
      </c>
      <c r="B9642">
        <v>1036</v>
      </c>
      <c r="C9642" s="9" t="s">
        <v>38</v>
      </c>
      <c r="D9642" s="8">
        <v>6.5000000000000002E-2</v>
      </c>
    </row>
    <row r="9643" spans="1:4">
      <c r="A9643" t="str">
        <f t="shared" si="159"/>
        <v>1036Treynor Ratio</v>
      </c>
      <c r="B9643">
        <v>1036</v>
      </c>
      <c r="C9643" s="9" t="s">
        <v>39</v>
      </c>
      <c r="D9643" s="8">
        <v>-0.16200000000000001</v>
      </c>
    </row>
    <row r="9644" spans="1:4">
      <c r="A9644" t="str">
        <f t="shared" si="159"/>
        <v>1036Total Fees</v>
      </c>
      <c r="B9644">
        <v>1036</v>
      </c>
      <c r="C9644" s="9" t="s">
        <v>40</v>
      </c>
      <c r="D9644" s="8">
        <v>0</v>
      </c>
    </row>
    <row r="9645" spans="1:4">
      <c r="A9645" t="str">
        <f t="shared" si="159"/>
        <v>1036Estimated Strategy Capacity</v>
      </c>
      <c r="B9645">
        <v>1036</v>
      </c>
      <c r="C9645" s="9" t="s">
        <v>41</v>
      </c>
      <c r="D9645" s="8">
        <v>5900000</v>
      </c>
    </row>
    <row r="9646" spans="1:4">
      <c r="A9646" t="str">
        <f t="shared" si="159"/>
        <v>1037PSR</v>
      </c>
      <c r="B9646">
        <v>1037</v>
      </c>
      <c r="C9646" s="9" t="s">
        <v>27</v>
      </c>
      <c r="D9646" s="8">
        <v>0.14838999999999999</v>
      </c>
    </row>
    <row r="9647" spans="1:4">
      <c r="A9647" t="str">
        <f t="shared" si="159"/>
        <v>1037Sharpe Ratio</v>
      </c>
      <c r="B9647">
        <v>1037</v>
      </c>
      <c r="C9647" s="9" t="s">
        <v>1</v>
      </c>
      <c r="D9647" s="8">
        <v>-6.5000000000000002E-2</v>
      </c>
    </row>
    <row r="9648" spans="1:4">
      <c r="A9648" t="str">
        <f t="shared" si="159"/>
        <v>1037Total Trades</v>
      </c>
      <c r="B9648">
        <v>1037</v>
      </c>
      <c r="C9648" s="9" t="s">
        <v>28</v>
      </c>
      <c r="D9648" s="8">
        <v>908</v>
      </c>
    </row>
    <row r="9649" spans="1:4">
      <c r="A9649" t="str">
        <f t="shared" si="159"/>
        <v>1037Average Win</v>
      </c>
      <c r="B9649">
        <v>1037</v>
      </c>
      <c r="C9649" s="9" t="s">
        <v>25</v>
      </c>
      <c r="D9649" s="8">
        <v>2E-3</v>
      </c>
    </row>
    <row r="9650" spans="1:4">
      <c r="A9650" t="str">
        <f t="shared" si="159"/>
        <v>1037Average Loss</v>
      </c>
      <c r="B9650">
        <v>1037</v>
      </c>
      <c r="C9650" s="9" t="s">
        <v>29</v>
      </c>
      <c r="D9650" s="8">
        <v>-3.3E-3</v>
      </c>
    </row>
    <row r="9651" spans="1:4">
      <c r="A9651" t="str">
        <f t="shared" si="159"/>
        <v>1037Compounding Annual Return</v>
      </c>
      <c r="B9651">
        <v>1037</v>
      </c>
      <c r="C9651" s="9" t="s">
        <v>30</v>
      </c>
      <c r="D9651" s="8">
        <v>-5.8100000000000001E-3</v>
      </c>
    </row>
    <row r="9652" spans="1:4">
      <c r="A9652" t="str">
        <f t="shared" si="159"/>
        <v>1037Drawdown</v>
      </c>
      <c r="B9652">
        <v>1037</v>
      </c>
      <c r="C9652" s="9" t="s">
        <v>8</v>
      </c>
      <c r="D9652" s="8">
        <v>6.3E-2</v>
      </c>
    </row>
    <row r="9653" spans="1:4">
      <c r="A9653" t="str">
        <f t="shared" si="159"/>
        <v>1037Expectancy</v>
      </c>
      <c r="B9653">
        <v>1037</v>
      </c>
      <c r="C9653" s="9" t="s">
        <v>31</v>
      </c>
      <c r="D9653" s="8">
        <v>-8.0000000000000002E-3</v>
      </c>
    </row>
    <row r="9654" spans="1:4">
      <c r="A9654" t="str">
        <f t="shared" si="159"/>
        <v>1037Net Profit</v>
      </c>
      <c r="B9654">
        <v>1037</v>
      </c>
      <c r="C9654" s="9" t="s">
        <v>32</v>
      </c>
      <c r="D9654" s="8">
        <v>-3.8700000000000002E-3</v>
      </c>
    </row>
    <row r="9655" spans="1:4">
      <c r="A9655" t="str">
        <f t="shared" si="159"/>
        <v>1037Loss Rate</v>
      </c>
      <c r="B9655">
        <v>1037</v>
      </c>
      <c r="C9655" s="9" t="s">
        <v>33</v>
      </c>
      <c r="D9655" s="8">
        <v>0.38</v>
      </c>
    </row>
    <row r="9656" spans="1:4">
      <c r="A9656" t="str">
        <f t="shared" si="159"/>
        <v>1037Win Rate</v>
      </c>
      <c r="B9656">
        <v>1037</v>
      </c>
      <c r="C9656" s="9" t="s">
        <v>34</v>
      </c>
      <c r="D9656" s="8">
        <v>0.62</v>
      </c>
    </row>
    <row r="9657" spans="1:4">
      <c r="A9657" t="str">
        <f t="shared" si="159"/>
        <v>1037Profit-Loss Ratio</v>
      </c>
      <c r="B9657">
        <v>1037</v>
      </c>
      <c r="C9657" s="9" t="s">
        <v>26</v>
      </c>
      <c r="D9657" s="8">
        <v>0.6</v>
      </c>
    </row>
    <row r="9658" spans="1:4">
      <c r="A9658" t="str">
        <f t="shared" si="159"/>
        <v>1037Alpha</v>
      </c>
      <c r="B9658">
        <v>1037</v>
      </c>
      <c r="C9658" s="9" t="s">
        <v>23</v>
      </c>
      <c r="D9658" s="8">
        <v>-1.6E-2</v>
      </c>
    </row>
    <row r="9659" spans="1:4">
      <c r="A9659" t="str">
        <f t="shared" si="159"/>
        <v>1037Beta</v>
      </c>
      <c r="B9659">
        <v>1037</v>
      </c>
      <c r="C9659" s="9" t="s">
        <v>24</v>
      </c>
      <c r="D9659" s="8">
        <v>0.248</v>
      </c>
    </row>
    <row r="9660" spans="1:4">
      <c r="A9660" t="str">
        <f t="shared" si="159"/>
        <v>1037Annual Standard Deviation</v>
      </c>
      <c r="B9660">
        <v>1037</v>
      </c>
      <c r="C9660" s="9" t="s">
        <v>35</v>
      </c>
      <c r="D9660" s="8">
        <v>4.5999999999999999E-2</v>
      </c>
    </row>
    <row r="9661" spans="1:4">
      <c r="A9661" t="str">
        <f t="shared" si="159"/>
        <v>1037Annual Variance</v>
      </c>
      <c r="B9661">
        <v>1037</v>
      </c>
      <c r="C9661" s="9" t="s">
        <v>36</v>
      </c>
      <c r="D9661" s="8">
        <v>2E-3</v>
      </c>
    </row>
    <row r="9662" spans="1:4">
      <c r="A9662" t="str">
        <f t="shared" si="159"/>
        <v>1037Information Ratio</v>
      </c>
      <c r="B9662">
        <v>1037</v>
      </c>
      <c r="C9662" s="9" t="s">
        <v>37</v>
      </c>
      <c r="D9662" s="8">
        <v>-0.83</v>
      </c>
    </row>
    <row r="9663" spans="1:4">
      <c r="A9663" t="str">
        <f t="shared" si="159"/>
        <v>1037Tracking Error</v>
      </c>
      <c r="B9663">
        <v>1037</v>
      </c>
      <c r="C9663" s="9" t="s">
        <v>38</v>
      </c>
      <c r="D9663" s="8">
        <v>6.6000000000000003E-2</v>
      </c>
    </row>
    <row r="9664" spans="1:4">
      <c r="A9664" t="str">
        <f t="shared" si="159"/>
        <v>1037Treynor Ratio</v>
      </c>
      <c r="B9664">
        <v>1037</v>
      </c>
      <c r="C9664" s="9" t="s">
        <v>39</v>
      </c>
      <c r="D9664" s="8">
        <v>-1.2E-2</v>
      </c>
    </row>
    <row r="9665" spans="1:4">
      <c r="A9665" t="str">
        <f t="shared" si="159"/>
        <v>1037Total Fees</v>
      </c>
      <c r="B9665">
        <v>1037</v>
      </c>
      <c r="C9665" s="9" t="s">
        <v>40</v>
      </c>
      <c r="D9665" s="8">
        <v>0</v>
      </c>
    </row>
    <row r="9666" spans="1:4">
      <c r="A9666" t="str">
        <f>B9666&amp;C9666</f>
        <v>1037Estimated Strategy Capacity</v>
      </c>
      <c r="B9666">
        <v>1037</v>
      </c>
      <c r="C9666" s="9" t="s">
        <v>41</v>
      </c>
      <c r="D9666" s="8">
        <v>6400000</v>
      </c>
    </row>
    <row r="9667" spans="1:4">
      <c r="A9667" t="str">
        <f t="shared" ref="A9667:A9730" si="160">B9667&amp;C9667</f>
        <v>1038PSR</v>
      </c>
      <c r="B9667">
        <v>1038</v>
      </c>
      <c r="C9667" s="9" t="s">
        <v>27</v>
      </c>
      <c r="D9667" s="8">
        <v>9.4140000000000001E-2</v>
      </c>
    </row>
    <row r="9668" spans="1:4">
      <c r="A9668" t="str">
        <f t="shared" si="160"/>
        <v>1038Sharpe Ratio</v>
      </c>
      <c r="B9668">
        <v>1038</v>
      </c>
      <c r="C9668" s="9" t="s">
        <v>1</v>
      </c>
      <c r="D9668" s="8">
        <v>-0.33</v>
      </c>
    </row>
    <row r="9669" spans="1:4">
      <c r="A9669" t="str">
        <f t="shared" si="160"/>
        <v>1038Total Trades</v>
      </c>
      <c r="B9669">
        <v>1038</v>
      </c>
      <c r="C9669" s="9" t="s">
        <v>28</v>
      </c>
      <c r="D9669" s="8">
        <v>723</v>
      </c>
    </row>
    <row r="9670" spans="1:4">
      <c r="A9670" t="str">
        <f t="shared" si="160"/>
        <v>1038Average Win</v>
      </c>
      <c r="B9670">
        <v>1038</v>
      </c>
      <c r="C9670" s="9" t="s">
        <v>25</v>
      </c>
      <c r="D9670" s="8">
        <v>2E-3</v>
      </c>
    </row>
    <row r="9671" spans="1:4">
      <c r="A9671" t="str">
        <f t="shared" si="160"/>
        <v>1038Average Loss</v>
      </c>
      <c r="B9671">
        <v>1038</v>
      </c>
      <c r="C9671" s="9" t="s">
        <v>29</v>
      </c>
      <c r="D9671" s="8">
        <v>-3.3E-3</v>
      </c>
    </row>
    <row r="9672" spans="1:4">
      <c r="A9672" t="str">
        <f t="shared" si="160"/>
        <v>1038Compounding Annual Return</v>
      </c>
      <c r="B9672">
        <v>1038</v>
      </c>
      <c r="C9672" s="9" t="s">
        <v>30</v>
      </c>
      <c r="D9672" s="8">
        <v>-2.2710000000000001E-2</v>
      </c>
    </row>
    <row r="9673" spans="1:4">
      <c r="A9673" t="str">
        <f t="shared" si="160"/>
        <v>1038Drawdown</v>
      </c>
      <c r="B9673">
        <v>1038</v>
      </c>
      <c r="C9673" s="9" t="s">
        <v>8</v>
      </c>
      <c r="D9673" s="8">
        <v>6.5000000000000002E-2</v>
      </c>
    </row>
    <row r="9674" spans="1:4">
      <c r="A9674" t="str">
        <f t="shared" si="160"/>
        <v>1038Expectancy</v>
      </c>
      <c r="B9674">
        <v>1038</v>
      </c>
      <c r="C9674" s="9" t="s">
        <v>31</v>
      </c>
      <c r="D9674" s="8">
        <v>-0.04</v>
      </c>
    </row>
    <row r="9675" spans="1:4">
      <c r="A9675" t="str">
        <f t="shared" si="160"/>
        <v>1038Net Profit</v>
      </c>
      <c r="B9675">
        <v>1038</v>
      </c>
      <c r="C9675" s="9" t="s">
        <v>32</v>
      </c>
      <c r="D9675" s="8">
        <v>-1.5180000000000001E-2</v>
      </c>
    </row>
    <row r="9676" spans="1:4">
      <c r="A9676" t="str">
        <f t="shared" si="160"/>
        <v>1038Loss Rate</v>
      </c>
      <c r="B9676">
        <v>1038</v>
      </c>
      <c r="C9676" s="9" t="s">
        <v>33</v>
      </c>
      <c r="D9676" s="8">
        <v>0.4</v>
      </c>
    </row>
    <row r="9677" spans="1:4">
      <c r="A9677" t="str">
        <f t="shared" si="160"/>
        <v>1038Win Rate</v>
      </c>
      <c r="B9677">
        <v>1038</v>
      </c>
      <c r="C9677" s="9" t="s">
        <v>34</v>
      </c>
      <c r="D9677" s="8">
        <v>0.6</v>
      </c>
    </row>
    <row r="9678" spans="1:4">
      <c r="A9678" t="str">
        <f t="shared" si="160"/>
        <v>1038Profit-Loss Ratio</v>
      </c>
      <c r="B9678">
        <v>1038</v>
      </c>
      <c r="C9678" s="9" t="s">
        <v>26</v>
      </c>
      <c r="D9678" s="8">
        <v>0.61</v>
      </c>
    </row>
    <row r="9679" spans="1:4">
      <c r="A9679" t="str">
        <f t="shared" si="160"/>
        <v>1038Alpha</v>
      </c>
      <c r="B9679">
        <v>1038</v>
      </c>
      <c r="C9679" s="9" t="s">
        <v>23</v>
      </c>
      <c r="D9679" s="8">
        <v>-2.7E-2</v>
      </c>
    </row>
    <row r="9680" spans="1:4">
      <c r="A9680" t="str">
        <f t="shared" si="160"/>
        <v>1038Beta</v>
      </c>
      <c r="B9680">
        <v>1038</v>
      </c>
      <c r="C9680" s="9" t="s">
        <v>24</v>
      </c>
      <c r="D9680" s="8">
        <v>0.255</v>
      </c>
    </row>
    <row r="9681" spans="1:4">
      <c r="A9681" t="str">
        <f t="shared" si="160"/>
        <v>1038Annual Standard Deviation</v>
      </c>
      <c r="B9681">
        <v>1038</v>
      </c>
      <c r="C9681" s="9" t="s">
        <v>35</v>
      </c>
      <c r="D9681" s="8">
        <v>4.4999999999999998E-2</v>
      </c>
    </row>
    <row r="9682" spans="1:4">
      <c r="A9682" t="str">
        <f t="shared" si="160"/>
        <v>1038Annual Variance</v>
      </c>
      <c r="B9682">
        <v>1038</v>
      </c>
      <c r="C9682" s="9" t="s">
        <v>36</v>
      </c>
      <c r="D9682" s="8">
        <v>2E-3</v>
      </c>
    </row>
    <row r="9683" spans="1:4">
      <c r="A9683" t="str">
        <f t="shared" si="160"/>
        <v>1038Information Ratio</v>
      </c>
      <c r="B9683">
        <v>1038</v>
      </c>
      <c r="C9683" s="9" t="s">
        <v>37</v>
      </c>
      <c r="D9683" s="8">
        <v>-0.98399999999999999</v>
      </c>
    </row>
    <row r="9684" spans="1:4">
      <c r="A9684" t="str">
        <f t="shared" si="160"/>
        <v>1038Tracking Error</v>
      </c>
      <c r="B9684">
        <v>1038</v>
      </c>
      <c r="C9684" s="9" t="s">
        <v>38</v>
      </c>
      <c r="D9684" s="8">
        <v>6.5000000000000002E-2</v>
      </c>
    </row>
    <row r="9685" spans="1:4">
      <c r="A9685" t="str">
        <f t="shared" si="160"/>
        <v>1038Treynor Ratio</v>
      </c>
      <c r="B9685">
        <v>1038</v>
      </c>
      <c r="C9685" s="9" t="s">
        <v>39</v>
      </c>
      <c r="D9685" s="8">
        <v>-5.8000000000000003E-2</v>
      </c>
    </row>
    <row r="9686" spans="1:4">
      <c r="A9686" t="str">
        <f t="shared" si="160"/>
        <v>1038Total Fees</v>
      </c>
      <c r="B9686">
        <v>1038</v>
      </c>
      <c r="C9686" s="9" t="s">
        <v>40</v>
      </c>
      <c r="D9686" s="8">
        <v>0</v>
      </c>
    </row>
    <row r="9687" spans="1:4">
      <c r="A9687" t="str">
        <f t="shared" si="160"/>
        <v>1038Estimated Strategy Capacity</v>
      </c>
      <c r="B9687">
        <v>1038</v>
      </c>
      <c r="C9687" s="9" t="s">
        <v>41</v>
      </c>
      <c r="D9687" s="8">
        <v>7000000</v>
      </c>
    </row>
    <row r="9688" spans="1:4">
      <c r="A9688" t="str">
        <f t="shared" si="160"/>
        <v>1039PSR</v>
      </c>
      <c r="B9688">
        <v>1039</v>
      </c>
      <c r="C9688" s="9" t="s">
        <v>27</v>
      </c>
      <c r="D9688" s="8">
        <v>0.11611</v>
      </c>
    </row>
    <row r="9689" spans="1:4">
      <c r="A9689" t="str">
        <f t="shared" si="160"/>
        <v>1039Sharpe Ratio</v>
      </c>
      <c r="B9689">
        <v>1039</v>
      </c>
      <c r="C9689" s="9" t="s">
        <v>1</v>
      </c>
      <c r="D9689" s="8">
        <v>-0.214</v>
      </c>
    </row>
    <row r="9690" spans="1:4">
      <c r="A9690" t="str">
        <f t="shared" si="160"/>
        <v>1039Total Trades</v>
      </c>
      <c r="B9690">
        <v>1039</v>
      </c>
      <c r="C9690" s="9" t="s">
        <v>28</v>
      </c>
      <c r="D9690" s="8">
        <v>894</v>
      </c>
    </row>
    <row r="9691" spans="1:4">
      <c r="A9691" t="str">
        <f t="shared" si="160"/>
        <v>1039Average Win</v>
      </c>
      <c r="B9691">
        <v>1039</v>
      </c>
      <c r="C9691" s="9" t="s">
        <v>25</v>
      </c>
      <c r="D9691" s="8">
        <v>1.2999999999999999E-3</v>
      </c>
    </row>
    <row r="9692" spans="1:4">
      <c r="A9692" t="str">
        <f t="shared" si="160"/>
        <v>1039Average Loss</v>
      </c>
      <c r="B9692">
        <v>1039</v>
      </c>
      <c r="C9692" s="9" t="s">
        <v>29</v>
      </c>
      <c r="D9692" s="8">
        <v>-2.5999999999999999E-3</v>
      </c>
    </row>
    <row r="9693" spans="1:4">
      <c r="A9693" t="str">
        <f t="shared" si="160"/>
        <v>1039Compounding Annual Return</v>
      </c>
      <c r="B9693">
        <v>1039</v>
      </c>
      <c r="C9693" s="9" t="s">
        <v>30</v>
      </c>
      <c r="D9693" s="8">
        <v>-8.7299999999999999E-3</v>
      </c>
    </row>
    <row r="9694" spans="1:4">
      <c r="A9694" t="str">
        <f t="shared" si="160"/>
        <v>1039Drawdown</v>
      </c>
      <c r="B9694">
        <v>1039</v>
      </c>
      <c r="C9694" s="9" t="s">
        <v>8</v>
      </c>
      <c r="D9694" s="8">
        <v>3.9E-2</v>
      </c>
    </row>
    <row r="9695" spans="1:4">
      <c r="A9695" t="str">
        <f t="shared" si="160"/>
        <v>1039Expectancy</v>
      </c>
      <c r="B9695">
        <v>1039</v>
      </c>
      <c r="C9695" s="9" t="s">
        <v>31</v>
      </c>
      <c r="D9695" s="8">
        <v>-2.3E-2</v>
      </c>
    </row>
    <row r="9696" spans="1:4">
      <c r="A9696" t="str">
        <f t="shared" si="160"/>
        <v>1039Net Profit</v>
      </c>
      <c r="B9696">
        <v>1039</v>
      </c>
      <c r="C9696" s="9" t="s">
        <v>32</v>
      </c>
      <c r="D9696" s="8">
        <v>-5.8199999999999997E-3</v>
      </c>
    </row>
    <row r="9697" spans="1:4">
      <c r="A9697" t="str">
        <f t="shared" si="160"/>
        <v>1039Loss Rate</v>
      </c>
      <c r="B9697">
        <v>1039</v>
      </c>
      <c r="C9697" s="9" t="s">
        <v>33</v>
      </c>
      <c r="D9697" s="8">
        <v>0.34</v>
      </c>
    </row>
    <row r="9698" spans="1:4">
      <c r="A9698" t="str">
        <f t="shared" si="160"/>
        <v>1039Win Rate</v>
      </c>
      <c r="B9698">
        <v>1039</v>
      </c>
      <c r="C9698" s="9" t="s">
        <v>34</v>
      </c>
      <c r="D9698" s="8">
        <v>0.66</v>
      </c>
    </row>
    <row r="9699" spans="1:4">
      <c r="A9699" t="str">
        <f t="shared" si="160"/>
        <v>1039Profit-Loss Ratio</v>
      </c>
      <c r="B9699">
        <v>1039</v>
      </c>
      <c r="C9699" s="9" t="s">
        <v>26</v>
      </c>
      <c r="D9699" s="8">
        <v>0.47</v>
      </c>
    </row>
    <row r="9700" spans="1:4">
      <c r="A9700" t="str">
        <f t="shared" si="160"/>
        <v>1039Alpha</v>
      </c>
      <c r="B9700">
        <v>1039</v>
      </c>
      <c r="C9700" s="9" t="s">
        <v>23</v>
      </c>
      <c r="D9700" s="8">
        <v>-1.2E-2</v>
      </c>
    </row>
    <row r="9701" spans="1:4">
      <c r="A9701" t="str">
        <f t="shared" si="160"/>
        <v>1039Beta</v>
      </c>
      <c r="B9701">
        <v>1039</v>
      </c>
      <c r="C9701" s="9" t="s">
        <v>24</v>
      </c>
      <c r="D9701" s="8">
        <v>0.11799999999999999</v>
      </c>
    </row>
    <row r="9702" spans="1:4">
      <c r="A9702" t="str">
        <f t="shared" si="160"/>
        <v>1039Annual Standard Deviation</v>
      </c>
      <c r="B9702">
        <v>1039</v>
      </c>
      <c r="C9702" s="9" t="s">
        <v>35</v>
      </c>
      <c r="D9702" s="8">
        <v>2.7E-2</v>
      </c>
    </row>
    <row r="9703" spans="1:4">
      <c r="A9703" t="str">
        <f t="shared" si="160"/>
        <v>1039Annual Variance</v>
      </c>
      <c r="B9703">
        <v>1039</v>
      </c>
      <c r="C9703" s="9" t="s">
        <v>36</v>
      </c>
      <c r="D9703" s="8">
        <v>1E-3</v>
      </c>
    </row>
    <row r="9704" spans="1:4">
      <c r="A9704" t="str">
        <f t="shared" si="160"/>
        <v>1039Information Ratio</v>
      </c>
      <c r="B9704">
        <v>1039</v>
      </c>
      <c r="C9704" s="9" t="s">
        <v>37</v>
      </c>
      <c r="D9704" s="8">
        <v>-0.89300000000000002</v>
      </c>
    </row>
    <row r="9705" spans="1:4">
      <c r="A9705" t="str">
        <f t="shared" si="160"/>
        <v>1039Tracking Error</v>
      </c>
      <c r="B9705">
        <v>1039</v>
      </c>
      <c r="C9705" s="9" t="s">
        <v>38</v>
      </c>
      <c r="D9705" s="8">
        <v>6.5000000000000002E-2</v>
      </c>
    </row>
    <row r="9706" spans="1:4">
      <c r="A9706" t="str">
        <f t="shared" si="160"/>
        <v>1039Treynor Ratio</v>
      </c>
      <c r="B9706">
        <v>1039</v>
      </c>
      <c r="C9706" s="9" t="s">
        <v>39</v>
      </c>
      <c r="D9706" s="8">
        <v>-4.8000000000000001E-2</v>
      </c>
    </row>
    <row r="9707" spans="1:4">
      <c r="A9707" t="str">
        <f t="shared" si="160"/>
        <v>1039Total Fees</v>
      </c>
      <c r="B9707">
        <v>1039</v>
      </c>
      <c r="C9707" s="9" t="s">
        <v>40</v>
      </c>
      <c r="D9707" s="8">
        <v>0</v>
      </c>
    </row>
    <row r="9708" spans="1:4">
      <c r="A9708" t="str">
        <f t="shared" si="160"/>
        <v>1039Estimated Strategy Capacity</v>
      </c>
      <c r="B9708">
        <v>1039</v>
      </c>
      <c r="C9708" s="9" t="s">
        <v>41</v>
      </c>
      <c r="D9708" s="8">
        <v>7700000</v>
      </c>
    </row>
    <row r="9709" spans="1:4">
      <c r="A9709" t="str">
        <f t="shared" si="160"/>
        <v>1040PSR</v>
      </c>
      <c r="B9709">
        <v>1040</v>
      </c>
      <c r="C9709" s="9" t="s">
        <v>27</v>
      </c>
      <c r="D9709" s="8">
        <v>4.3389999999999998E-2</v>
      </c>
    </row>
    <row r="9710" spans="1:4">
      <c r="A9710" t="str">
        <f t="shared" si="160"/>
        <v>1040Sharpe Ratio</v>
      </c>
      <c r="B9710">
        <v>1040</v>
      </c>
      <c r="C9710" s="9" t="s">
        <v>1</v>
      </c>
      <c r="D9710" s="8">
        <v>-0.71499999999999997</v>
      </c>
    </row>
    <row r="9711" spans="1:4">
      <c r="A9711" t="str">
        <f t="shared" si="160"/>
        <v>1040Total Trades</v>
      </c>
      <c r="B9711">
        <v>1040</v>
      </c>
      <c r="C9711" s="9" t="s">
        <v>28</v>
      </c>
      <c r="D9711" s="8">
        <v>565</v>
      </c>
    </row>
    <row r="9712" spans="1:4">
      <c r="A9712" t="str">
        <f t="shared" si="160"/>
        <v>1040Average Win</v>
      </c>
      <c r="B9712">
        <v>1040</v>
      </c>
      <c r="C9712" s="9" t="s">
        <v>25</v>
      </c>
      <c r="D9712" s="8">
        <v>1.8E-3</v>
      </c>
    </row>
    <row r="9713" spans="1:4">
      <c r="A9713" t="str">
        <f t="shared" si="160"/>
        <v>1040Average Loss</v>
      </c>
      <c r="B9713">
        <v>1040</v>
      </c>
      <c r="C9713" s="9" t="s">
        <v>29</v>
      </c>
      <c r="D9713" s="8">
        <v>-4.3E-3</v>
      </c>
    </row>
    <row r="9714" spans="1:4">
      <c r="A9714" t="str">
        <f t="shared" si="160"/>
        <v>1040Compounding Annual Return</v>
      </c>
      <c r="B9714">
        <v>1040</v>
      </c>
      <c r="C9714" s="9" t="s">
        <v>30</v>
      </c>
      <c r="D9714" s="8">
        <v>-4.1700000000000001E-2</v>
      </c>
    </row>
    <row r="9715" spans="1:4">
      <c r="A9715" t="str">
        <f t="shared" si="160"/>
        <v>1040Drawdown</v>
      </c>
      <c r="B9715">
        <v>1040</v>
      </c>
      <c r="C9715" s="9" t="s">
        <v>8</v>
      </c>
      <c r="D9715" s="8">
        <v>5.8999999999999997E-2</v>
      </c>
    </row>
    <row r="9716" spans="1:4">
      <c r="A9716" t="str">
        <f t="shared" si="160"/>
        <v>1040Expectancy</v>
      </c>
      <c r="B9716">
        <v>1040</v>
      </c>
      <c r="C9716" s="9" t="s">
        <v>31</v>
      </c>
      <c r="D9716" s="8">
        <v>-8.1000000000000003E-2</v>
      </c>
    </row>
    <row r="9717" spans="1:4">
      <c r="A9717" t="str">
        <f t="shared" si="160"/>
        <v>1040Net Profit</v>
      </c>
      <c r="B9717">
        <v>1040</v>
      </c>
      <c r="C9717" s="9" t="s">
        <v>32</v>
      </c>
      <c r="D9717" s="8">
        <v>-2.7949999999999999E-2</v>
      </c>
    </row>
    <row r="9718" spans="1:4">
      <c r="A9718" t="str">
        <f t="shared" si="160"/>
        <v>1040Loss Rate</v>
      </c>
      <c r="B9718">
        <v>1040</v>
      </c>
      <c r="C9718" s="9" t="s">
        <v>33</v>
      </c>
      <c r="D9718" s="8">
        <v>0.35</v>
      </c>
    </row>
    <row r="9719" spans="1:4">
      <c r="A9719" t="str">
        <f t="shared" si="160"/>
        <v>1040Win Rate</v>
      </c>
      <c r="B9719">
        <v>1040</v>
      </c>
      <c r="C9719" s="9" t="s">
        <v>34</v>
      </c>
      <c r="D9719" s="8">
        <v>0.65</v>
      </c>
    </row>
    <row r="9720" spans="1:4">
      <c r="A9720" t="str">
        <f t="shared" si="160"/>
        <v>1040Profit-Loss Ratio</v>
      </c>
      <c r="B9720">
        <v>1040</v>
      </c>
      <c r="C9720" s="9" t="s">
        <v>26</v>
      </c>
      <c r="D9720" s="8">
        <v>0.42</v>
      </c>
    </row>
    <row r="9721" spans="1:4">
      <c r="A9721" t="str">
        <f t="shared" si="160"/>
        <v>1040Alpha</v>
      </c>
      <c r="B9721">
        <v>1040</v>
      </c>
      <c r="C9721" s="9" t="s">
        <v>23</v>
      </c>
      <c r="D9721" s="8">
        <v>-3.9E-2</v>
      </c>
    </row>
    <row r="9722" spans="1:4">
      <c r="A9722" t="str">
        <f t="shared" si="160"/>
        <v>1040Beta</v>
      </c>
      <c r="B9722">
        <v>1040</v>
      </c>
      <c r="C9722" s="9" t="s">
        <v>24</v>
      </c>
      <c r="D9722" s="8">
        <v>0.20899999999999999</v>
      </c>
    </row>
    <row r="9723" spans="1:4">
      <c r="A9723" t="str">
        <f t="shared" si="160"/>
        <v>1040Annual Standard Deviation</v>
      </c>
      <c r="B9723">
        <v>1040</v>
      </c>
      <c r="C9723" s="9" t="s">
        <v>35</v>
      </c>
      <c r="D9723" s="8">
        <v>0.04</v>
      </c>
    </row>
    <row r="9724" spans="1:4">
      <c r="A9724" t="str">
        <f t="shared" si="160"/>
        <v>1040Annual Variance</v>
      </c>
      <c r="B9724">
        <v>1040</v>
      </c>
      <c r="C9724" s="9" t="s">
        <v>36</v>
      </c>
      <c r="D9724" s="8">
        <v>2E-3</v>
      </c>
    </row>
    <row r="9725" spans="1:4">
      <c r="A9725" t="str">
        <f t="shared" si="160"/>
        <v>1040Information Ratio</v>
      </c>
      <c r="B9725">
        <v>1040</v>
      </c>
      <c r="C9725" s="9" t="s">
        <v>37</v>
      </c>
      <c r="D9725" s="8">
        <v>-1.238</v>
      </c>
    </row>
    <row r="9726" spans="1:4">
      <c r="A9726" t="str">
        <f t="shared" si="160"/>
        <v>1040Tracking Error</v>
      </c>
      <c r="B9726">
        <v>1040</v>
      </c>
      <c r="C9726" s="9" t="s">
        <v>38</v>
      </c>
      <c r="D9726" s="8">
        <v>6.5000000000000002E-2</v>
      </c>
    </row>
    <row r="9727" spans="1:4">
      <c r="A9727" t="str">
        <f t="shared" si="160"/>
        <v>1040Treynor Ratio</v>
      </c>
      <c r="B9727">
        <v>1040</v>
      </c>
      <c r="C9727" s="9" t="s">
        <v>39</v>
      </c>
      <c r="D9727" s="8">
        <v>-0.13600000000000001</v>
      </c>
    </row>
    <row r="9728" spans="1:4">
      <c r="A9728" t="str">
        <f t="shared" si="160"/>
        <v>1040Total Fees</v>
      </c>
      <c r="B9728">
        <v>1040</v>
      </c>
      <c r="C9728" s="9" t="s">
        <v>40</v>
      </c>
      <c r="D9728" s="8">
        <v>0</v>
      </c>
    </row>
    <row r="9729" spans="1:4">
      <c r="A9729" t="str">
        <f t="shared" si="160"/>
        <v>1040Estimated Strategy Capacity</v>
      </c>
      <c r="B9729">
        <v>1040</v>
      </c>
      <c r="C9729" s="9" t="s">
        <v>41</v>
      </c>
      <c r="D9729" s="8">
        <v>8000000</v>
      </c>
    </row>
    <row r="9730" spans="1:4">
      <c r="A9730" t="str">
        <f t="shared" si="160"/>
        <v>1041PSR</v>
      </c>
      <c r="B9730">
        <v>1041</v>
      </c>
      <c r="C9730" s="9" t="s">
        <v>27</v>
      </c>
      <c r="D9730" s="8">
        <v>2.7390000000000001E-2</v>
      </c>
    </row>
    <row r="9731" spans="1:4">
      <c r="A9731" t="str">
        <f t="shared" ref="A9731:A9794" si="161">B9731&amp;C9731</f>
        <v>1041Sharpe Ratio</v>
      </c>
      <c r="B9731">
        <v>1041</v>
      </c>
      <c r="C9731" s="9" t="s">
        <v>1</v>
      </c>
      <c r="D9731" s="8">
        <v>-0.92100000000000004</v>
      </c>
    </row>
    <row r="9732" spans="1:4">
      <c r="A9732" t="str">
        <f t="shared" si="161"/>
        <v>1041Total Trades</v>
      </c>
      <c r="B9732">
        <v>1041</v>
      </c>
      <c r="C9732" s="9" t="s">
        <v>28</v>
      </c>
      <c r="D9732" s="8">
        <v>462</v>
      </c>
    </row>
    <row r="9733" spans="1:4">
      <c r="A9733" t="str">
        <f t="shared" si="161"/>
        <v>1041Average Win</v>
      </c>
      <c r="B9733">
        <v>1041</v>
      </c>
      <c r="C9733" s="9" t="s">
        <v>25</v>
      </c>
      <c r="D9733" s="8">
        <v>1.8E-3</v>
      </c>
    </row>
    <row r="9734" spans="1:4">
      <c r="A9734" t="str">
        <f t="shared" si="161"/>
        <v>1041Average Loss</v>
      </c>
      <c r="B9734">
        <v>1041</v>
      </c>
      <c r="C9734" s="9" t="s">
        <v>29</v>
      </c>
      <c r="D9734" s="8">
        <v>-3.8E-3</v>
      </c>
    </row>
    <row r="9735" spans="1:4">
      <c r="A9735" t="str">
        <f t="shared" si="161"/>
        <v>1041Compounding Annual Return</v>
      </c>
      <c r="B9735">
        <v>1041</v>
      </c>
      <c r="C9735" s="9" t="s">
        <v>30</v>
      </c>
      <c r="D9735" s="8">
        <v>-4.9360000000000001E-2</v>
      </c>
    </row>
    <row r="9736" spans="1:4">
      <c r="A9736" t="str">
        <f t="shared" si="161"/>
        <v>1041Drawdown</v>
      </c>
      <c r="B9736">
        <v>1041</v>
      </c>
      <c r="C9736" s="9" t="s">
        <v>8</v>
      </c>
      <c r="D9736" s="8">
        <v>0.06</v>
      </c>
    </row>
    <row r="9737" spans="1:4">
      <c r="A9737" t="str">
        <f t="shared" si="161"/>
        <v>1041Expectancy</v>
      </c>
      <c r="B9737">
        <v>1041</v>
      </c>
      <c r="C9737" s="9" t="s">
        <v>31</v>
      </c>
      <c r="D9737" s="8">
        <v>-0.109</v>
      </c>
    </row>
    <row r="9738" spans="1:4">
      <c r="A9738" t="str">
        <f t="shared" si="161"/>
        <v>1041Net Profit</v>
      </c>
      <c r="B9738">
        <v>1041</v>
      </c>
      <c r="C9738" s="9" t="s">
        <v>32</v>
      </c>
      <c r="D9738" s="8">
        <v>-3.313E-2</v>
      </c>
    </row>
    <row r="9739" spans="1:4">
      <c r="A9739" t="str">
        <f t="shared" si="161"/>
        <v>1041Loss Rate</v>
      </c>
      <c r="B9739">
        <v>1041</v>
      </c>
      <c r="C9739" s="9" t="s">
        <v>33</v>
      </c>
      <c r="D9739" s="8">
        <v>0.39</v>
      </c>
    </row>
    <row r="9740" spans="1:4">
      <c r="A9740" t="str">
        <f t="shared" si="161"/>
        <v>1041Win Rate</v>
      </c>
      <c r="B9740">
        <v>1041</v>
      </c>
      <c r="C9740" s="9" t="s">
        <v>34</v>
      </c>
      <c r="D9740" s="8">
        <v>0.61</v>
      </c>
    </row>
    <row r="9741" spans="1:4">
      <c r="A9741" t="str">
        <f t="shared" si="161"/>
        <v>1041Profit-Loss Ratio</v>
      </c>
      <c r="B9741">
        <v>1041</v>
      </c>
      <c r="C9741" s="9" t="s">
        <v>26</v>
      </c>
      <c r="D9741" s="8">
        <v>0.47</v>
      </c>
    </row>
    <row r="9742" spans="1:4">
      <c r="A9742" t="str">
        <f t="shared" si="161"/>
        <v>1041Alpha</v>
      </c>
      <c r="B9742">
        <v>1041</v>
      </c>
      <c r="C9742" s="9" t="s">
        <v>23</v>
      </c>
      <c r="D9742" s="8">
        <v>-4.3999999999999997E-2</v>
      </c>
    </row>
    <row r="9743" spans="1:4">
      <c r="A9743" t="str">
        <f t="shared" si="161"/>
        <v>1041Beta</v>
      </c>
      <c r="B9743">
        <v>1041</v>
      </c>
      <c r="C9743" s="9" t="s">
        <v>24</v>
      </c>
      <c r="D9743" s="8">
        <v>0.19900000000000001</v>
      </c>
    </row>
    <row r="9744" spans="1:4">
      <c r="A9744" t="str">
        <f t="shared" si="161"/>
        <v>1041Annual Standard Deviation</v>
      </c>
      <c r="B9744">
        <v>1041</v>
      </c>
      <c r="C9744" s="9" t="s">
        <v>35</v>
      </c>
      <c r="D9744" s="8">
        <v>3.6999999999999998E-2</v>
      </c>
    </row>
    <row r="9745" spans="1:4">
      <c r="A9745" t="str">
        <f t="shared" si="161"/>
        <v>1041Annual Variance</v>
      </c>
      <c r="B9745">
        <v>1041</v>
      </c>
      <c r="C9745" s="9" t="s">
        <v>36</v>
      </c>
      <c r="D9745" s="8">
        <v>1E-3</v>
      </c>
    </row>
    <row r="9746" spans="1:4">
      <c r="A9746" t="str">
        <f t="shared" si="161"/>
        <v>1041Information Ratio</v>
      </c>
      <c r="B9746">
        <v>1041</v>
      </c>
      <c r="C9746" s="9" t="s">
        <v>37</v>
      </c>
      <c r="D9746" s="8">
        <v>-1.3440000000000001</v>
      </c>
    </row>
    <row r="9747" spans="1:4">
      <c r="A9747" t="str">
        <f t="shared" si="161"/>
        <v>1041Tracking Error</v>
      </c>
      <c r="B9747">
        <v>1041</v>
      </c>
      <c r="C9747" s="9" t="s">
        <v>38</v>
      </c>
      <c r="D9747" s="8">
        <v>6.4000000000000001E-2</v>
      </c>
    </row>
    <row r="9748" spans="1:4">
      <c r="A9748" t="str">
        <f t="shared" si="161"/>
        <v>1041Treynor Ratio</v>
      </c>
      <c r="B9748">
        <v>1041</v>
      </c>
      <c r="C9748" s="9" t="s">
        <v>39</v>
      </c>
      <c r="D9748" s="8">
        <v>-0.17</v>
      </c>
    </row>
    <row r="9749" spans="1:4">
      <c r="A9749" t="str">
        <f t="shared" si="161"/>
        <v>1041Total Fees</v>
      </c>
      <c r="B9749">
        <v>1041</v>
      </c>
      <c r="C9749" s="9" t="s">
        <v>40</v>
      </c>
      <c r="D9749" s="8">
        <v>0</v>
      </c>
    </row>
    <row r="9750" spans="1:4">
      <c r="A9750" t="str">
        <f t="shared" si="161"/>
        <v>1041Estimated Strategy Capacity</v>
      </c>
      <c r="B9750">
        <v>1041</v>
      </c>
      <c r="C9750" s="9" t="s">
        <v>41</v>
      </c>
      <c r="D9750" s="8">
        <v>8000000</v>
      </c>
    </row>
    <row r="9751" spans="1:4">
      <c r="A9751" t="str">
        <f t="shared" si="161"/>
        <v>1042PSR</v>
      </c>
      <c r="B9751">
        <v>1042</v>
      </c>
      <c r="C9751" s="9" t="s">
        <v>27</v>
      </c>
      <c r="D9751" s="8">
        <v>0.28619</v>
      </c>
    </row>
    <row r="9752" spans="1:4">
      <c r="A9752" t="str">
        <f t="shared" si="161"/>
        <v>1042Sharpe Ratio</v>
      </c>
      <c r="B9752">
        <v>1042</v>
      </c>
      <c r="C9752" s="9" t="s">
        <v>1</v>
      </c>
      <c r="D9752" s="8">
        <v>0.42399999999999999</v>
      </c>
    </row>
    <row r="9753" spans="1:4">
      <c r="A9753" t="str">
        <f t="shared" si="161"/>
        <v>1042Total Trades</v>
      </c>
      <c r="B9753">
        <v>1042</v>
      </c>
      <c r="C9753" s="9" t="s">
        <v>28</v>
      </c>
      <c r="D9753" s="8">
        <v>690</v>
      </c>
    </row>
    <row r="9754" spans="1:4">
      <c r="A9754" t="str">
        <f t="shared" si="161"/>
        <v>1042Average Win</v>
      </c>
      <c r="B9754">
        <v>1042</v>
      </c>
      <c r="C9754" s="9" t="s">
        <v>25</v>
      </c>
      <c r="D9754" s="8">
        <v>1.2999999999999999E-3</v>
      </c>
    </row>
    <row r="9755" spans="1:4">
      <c r="A9755" t="str">
        <f t="shared" si="161"/>
        <v>1042Average Loss</v>
      </c>
      <c r="B9755">
        <v>1042</v>
      </c>
      <c r="C9755" s="9" t="s">
        <v>29</v>
      </c>
      <c r="D9755" s="8">
        <v>-2.5000000000000001E-3</v>
      </c>
    </row>
    <row r="9756" spans="1:4">
      <c r="A9756" t="str">
        <f t="shared" si="161"/>
        <v>1042Compounding Annual Return</v>
      </c>
      <c r="B9756">
        <v>1042</v>
      </c>
      <c r="C9756" s="9" t="s">
        <v>30</v>
      </c>
      <c r="D9756" s="8">
        <v>1.6299999999999999E-2</v>
      </c>
    </row>
    <row r="9757" spans="1:4">
      <c r="A9757" t="str">
        <f t="shared" si="161"/>
        <v>1042Drawdown</v>
      </c>
      <c r="B9757">
        <v>1042</v>
      </c>
      <c r="C9757" s="9" t="s">
        <v>8</v>
      </c>
      <c r="D9757" s="8">
        <v>4.3999999999999997E-2</v>
      </c>
    </row>
    <row r="9758" spans="1:4">
      <c r="A9758" t="str">
        <f t="shared" si="161"/>
        <v>1042Expectancy</v>
      </c>
      <c r="B9758">
        <v>1042</v>
      </c>
      <c r="C9758" s="9" t="s">
        <v>31</v>
      </c>
      <c r="D9758" s="8">
        <v>5.3999999999999999E-2</v>
      </c>
    </row>
    <row r="9759" spans="1:4">
      <c r="A9759" t="str">
        <f t="shared" si="161"/>
        <v>1042Net Profit</v>
      </c>
      <c r="B9759">
        <v>1042</v>
      </c>
      <c r="C9759" s="9" t="s">
        <v>32</v>
      </c>
      <c r="D9759" s="8">
        <v>1.082E-2</v>
      </c>
    </row>
    <row r="9760" spans="1:4">
      <c r="A9760" t="str">
        <f t="shared" si="161"/>
        <v>1042Loss Rate</v>
      </c>
      <c r="B9760">
        <v>1042</v>
      </c>
      <c r="C9760" s="9" t="s">
        <v>33</v>
      </c>
      <c r="D9760" s="8">
        <v>0.3</v>
      </c>
    </row>
    <row r="9761" spans="1:4">
      <c r="A9761" t="str">
        <f t="shared" si="161"/>
        <v>1042Win Rate</v>
      </c>
      <c r="B9761">
        <v>1042</v>
      </c>
      <c r="C9761" s="9" t="s">
        <v>34</v>
      </c>
      <c r="D9761" s="8">
        <v>0.7</v>
      </c>
    </row>
    <row r="9762" spans="1:4">
      <c r="A9762" t="str">
        <f t="shared" si="161"/>
        <v>1042Profit-Loss Ratio</v>
      </c>
      <c r="B9762">
        <v>1042</v>
      </c>
      <c r="C9762" s="9" t="s">
        <v>26</v>
      </c>
      <c r="D9762" s="8">
        <v>0.51</v>
      </c>
    </row>
    <row r="9763" spans="1:4">
      <c r="A9763" t="str">
        <f t="shared" si="161"/>
        <v>1042Alpha</v>
      </c>
      <c r="B9763">
        <v>1042</v>
      </c>
      <c r="C9763" s="9" t="s">
        <v>23</v>
      </c>
      <c r="D9763" s="8">
        <v>6.0000000000000001E-3</v>
      </c>
    </row>
    <row r="9764" spans="1:4">
      <c r="A9764" t="str">
        <f t="shared" si="161"/>
        <v>1042Beta</v>
      </c>
      <c r="B9764">
        <v>1042</v>
      </c>
      <c r="C9764" s="9" t="s">
        <v>24</v>
      </c>
      <c r="D9764" s="8">
        <v>0.113</v>
      </c>
    </row>
    <row r="9765" spans="1:4">
      <c r="A9765" t="str">
        <f t="shared" si="161"/>
        <v>1042Annual Standard Deviation</v>
      </c>
      <c r="B9765">
        <v>1042</v>
      </c>
      <c r="C9765" s="9" t="s">
        <v>35</v>
      </c>
      <c r="D9765" s="8">
        <v>2.7E-2</v>
      </c>
    </row>
    <row r="9766" spans="1:4">
      <c r="A9766" t="str">
        <f t="shared" si="161"/>
        <v>1042Annual Variance</v>
      </c>
      <c r="B9766">
        <v>1042</v>
      </c>
      <c r="C9766" s="9" t="s">
        <v>36</v>
      </c>
      <c r="D9766" s="8">
        <v>1E-3</v>
      </c>
    </row>
    <row r="9767" spans="1:4">
      <c r="A9767" t="str">
        <f t="shared" si="161"/>
        <v>1042Information Ratio</v>
      </c>
      <c r="B9767">
        <v>1042</v>
      </c>
      <c r="C9767" s="9" t="s">
        <v>37</v>
      </c>
      <c r="D9767" s="8">
        <v>-0.61699999999999999</v>
      </c>
    </row>
    <row r="9768" spans="1:4">
      <c r="A9768" t="str">
        <f t="shared" si="161"/>
        <v>1042Tracking Error</v>
      </c>
      <c r="B9768">
        <v>1042</v>
      </c>
      <c r="C9768" s="9" t="s">
        <v>38</v>
      </c>
      <c r="D9768" s="8">
        <v>6.5000000000000002E-2</v>
      </c>
    </row>
    <row r="9769" spans="1:4">
      <c r="A9769" t="str">
        <f t="shared" si="161"/>
        <v>1042Treynor Ratio</v>
      </c>
      <c r="B9769">
        <v>1042</v>
      </c>
      <c r="C9769" s="9" t="s">
        <v>39</v>
      </c>
      <c r="D9769" s="8">
        <v>0.10299999999999999</v>
      </c>
    </row>
    <row r="9770" spans="1:4">
      <c r="A9770" t="str">
        <f t="shared" si="161"/>
        <v>1042Total Fees</v>
      </c>
      <c r="B9770">
        <v>1042</v>
      </c>
      <c r="C9770" s="9" t="s">
        <v>40</v>
      </c>
      <c r="D9770" s="8">
        <v>0</v>
      </c>
    </row>
    <row r="9771" spans="1:4">
      <c r="A9771" t="str">
        <f t="shared" si="161"/>
        <v>1042Estimated Strategy Capacity</v>
      </c>
      <c r="B9771">
        <v>1042</v>
      </c>
      <c r="C9771" s="9" t="s">
        <v>41</v>
      </c>
      <c r="D9771" s="8">
        <v>9300000</v>
      </c>
    </row>
    <row r="9772" spans="1:4">
      <c r="A9772" t="str">
        <f t="shared" si="161"/>
        <v>1043PSR</v>
      </c>
      <c r="B9772">
        <v>1043</v>
      </c>
      <c r="C9772" s="9" t="s">
        <v>27</v>
      </c>
      <c r="D9772" s="8">
        <v>0.12136</v>
      </c>
    </row>
    <row r="9773" spans="1:4">
      <c r="A9773" t="str">
        <f t="shared" si="161"/>
        <v>1043Sharpe Ratio</v>
      </c>
      <c r="B9773">
        <v>1043</v>
      </c>
      <c r="C9773" s="9" t="s">
        <v>1</v>
      </c>
      <c r="D9773" s="8">
        <v>-0.187</v>
      </c>
    </row>
    <row r="9774" spans="1:4">
      <c r="A9774" t="str">
        <f t="shared" si="161"/>
        <v>1043Total Trades</v>
      </c>
      <c r="B9774">
        <v>1043</v>
      </c>
      <c r="C9774" s="9" t="s">
        <v>28</v>
      </c>
      <c r="D9774" s="8">
        <v>446</v>
      </c>
    </row>
    <row r="9775" spans="1:4">
      <c r="A9775" t="str">
        <f t="shared" si="161"/>
        <v>1043Average Win</v>
      </c>
      <c r="B9775">
        <v>1043</v>
      </c>
      <c r="C9775" s="9" t="s">
        <v>25</v>
      </c>
      <c r="D9775" s="8">
        <v>1.9E-3</v>
      </c>
    </row>
    <row r="9776" spans="1:4">
      <c r="A9776" t="str">
        <f t="shared" si="161"/>
        <v>1043Average Loss</v>
      </c>
      <c r="B9776">
        <v>1043</v>
      </c>
      <c r="C9776" s="9" t="s">
        <v>29</v>
      </c>
      <c r="D9776" s="8">
        <v>-4.1999999999999997E-3</v>
      </c>
    </row>
    <row r="9777" spans="1:4">
      <c r="A9777" t="str">
        <f t="shared" si="161"/>
        <v>1043Compounding Annual Return</v>
      </c>
      <c r="B9777">
        <v>1043</v>
      </c>
      <c r="C9777" s="9" t="s">
        <v>30</v>
      </c>
      <c r="D9777" s="8">
        <v>-1.1679999999999999E-2</v>
      </c>
    </row>
    <row r="9778" spans="1:4">
      <c r="A9778" t="str">
        <f t="shared" si="161"/>
        <v>1043Drawdown</v>
      </c>
      <c r="B9778">
        <v>1043</v>
      </c>
      <c r="C9778" s="9" t="s">
        <v>8</v>
      </c>
      <c r="D9778" s="8">
        <v>5.0999999999999997E-2</v>
      </c>
    </row>
    <row r="9779" spans="1:4">
      <c r="A9779" t="str">
        <f t="shared" si="161"/>
        <v>1043Expectancy</v>
      </c>
      <c r="B9779">
        <v>1043</v>
      </c>
      <c r="C9779" s="9" t="s">
        <v>31</v>
      </c>
      <c r="D9779" s="8">
        <v>-3.3000000000000002E-2</v>
      </c>
    </row>
    <row r="9780" spans="1:4">
      <c r="A9780" t="str">
        <f t="shared" si="161"/>
        <v>1043Net Profit</v>
      </c>
      <c r="B9780">
        <v>1043</v>
      </c>
      <c r="C9780" s="9" t="s">
        <v>32</v>
      </c>
      <c r="D9780" s="8">
        <v>-7.79E-3</v>
      </c>
    </row>
    <row r="9781" spans="1:4">
      <c r="A9781" t="str">
        <f t="shared" si="161"/>
        <v>1043Loss Rate</v>
      </c>
      <c r="B9781">
        <v>1043</v>
      </c>
      <c r="C9781" s="9" t="s">
        <v>33</v>
      </c>
      <c r="D9781" s="8">
        <v>0.33</v>
      </c>
    </row>
    <row r="9782" spans="1:4">
      <c r="A9782" t="str">
        <f t="shared" si="161"/>
        <v>1043Win Rate</v>
      </c>
      <c r="B9782">
        <v>1043</v>
      </c>
      <c r="C9782" s="9" t="s">
        <v>34</v>
      </c>
      <c r="D9782" s="8">
        <v>0.67</v>
      </c>
    </row>
    <row r="9783" spans="1:4">
      <c r="A9783" t="str">
        <f t="shared" si="161"/>
        <v>1043Profit-Loss Ratio</v>
      </c>
      <c r="B9783">
        <v>1043</v>
      </c>
      <c r="C9783" s="9" t="s">
        <v>26</v>
      </c>
      <c r="D9783" s="8">
        <v>0.45</v>
      </c>
    </row>
    <row r="9784" spans="1:4">
      <c r="A9784" t="str">
        <f t="shared" si="161"/>
        <v>1043Alpha</v>
      </c>
      <c r="B9784">
        <v>1043</v>
      </c>
      <c r="C9784" s="9" t="s">
        <v>23</v>
      </c>
      <c r="D9784" s="8">
        <v>-1.7000000000000001E-2</v>
      </c>
    </row>
    <row r="9785" spans="1:4">
      <c r="A9785" t="str">
        <f t="shared" si="161"/>
        <v>1043Beta</v>
      </c>
      <c r="B9785">
        <v>1043</v>
      </c>
      <c r="C9785" s="9" t="s">
        <v>24</v>
      </c>
      <c r="D9785" s="8">
        <v>0.18099999999999999</v>
      </c>
    </row>
    <row r="9786" spans="1:4">
      <c r="A9786" t="str">
        <f t="shared" si="161"/>
        <v>1043Annual Standard Deviation</v>
      </c>
      <c r="B9786">
        <v>1043</v>
      </c>
      <c r="C9786" s="9" t="s">
        <v>35</v>
      </c>
      <c r="D9786" s="8">
        <v>3.9E-2</v>
      </c>
    </row>
    <row r="9787" spans="1:4">
      <c r="A9787" t="str">
        <f t="shared" si="161"/>
        <v>1043Annual Variance</v>
      </c>
      <c r="B9787">
        <v>1043</v>
      </c>
      <c r="C9787" s="9" t="s">
        <v>36</v>
      </c>
      <c r="D9787" s="8">
        <v>2E-3</v>
      </c>
    </row>
    <row r="9788" spans="1:4">
      <c r="A9788" t="str">
        <f t="shared" si="161"/>
        <v>1043Information Ratio</v>
      </c>
      <c r="B9788">
        <v>1043</v>
      </c>
      <c r="C9788" s="9" t="s">
        <v>37</v>
      </c>
      <c r="D9788" s="8">
        <v>-0.89100000000000001</v>
      </c>
    </row>
    <row r="9789" spans="1:4">
      <c r="A9789" t="str">
        <f t="shared" si="161"/>
        <v>1043Tracking Error</v>
      </c>
      <c r="B9789">
        <v>1043</v>
      </c>
      <c r="C9789" s="9" t="s">
        <v>38</v>
      </c>
      <c r="D9789" s="8">
        <v>6.7000000000000004E-2</v>
      </c>
    </row>
    <row r="9790" spans="1:4">
      <c r="A9790" t="str">
        <f t="shared" si="161"/>
        <v>1043Treynor Ratio</v>
      </c>
      <c r="B9790">
        <v>1043</v>
      </c>
      <c r="C9790" s="9" t="s">
        <v>39</v>
      </c>
      <c r="D9790" s="8">
        <v>-4.1000000000000002E-2</v>
      </c>
    </row>
    <row r="9791" spans="1:4">
      <c r="A9791" t="str">
        <f t="shared" si="161"/>
        <v>1043Total Fees</v>
      </c>
      <c r="B9791">
        <v>1043</v>
      </c>
      <c r="C9791" s="9" t="s">
        <v>40</v>
      </c>
      <c r="D9791" s="8">
        <v>0</v>
      </c>
    </row>
    <row r="9792" spans="1:4">
      <c r="A9792" t="str">
        <f t="shared" si="161"/>
        <v>1043Estimated Strategy Capacity</v>
      </c>
      <c r="B9792">
        <v>1043</v>
      </c>
      <c r="C9792" s="9" t="s">
        <v>41</v>
      </c>
      <c r="D9792" s="8">
        <v>8900000</v>
      </c>
    </row>
    <row r="9793" spans="1:4">
      <c r="A9793" t="str">
        <f t="shared" si="161"/>
        <v>1044PSR</v>
      </c>
      <c r="B9793">
        <v>1044</v>
      </c>
      <c r="C9793" s="9" t="s">
        <v>27</v>
      </c>
      <c r="D9793" s="8">
        <v>9.6449999999999994E-2</v>
      </c>
    </row>
    <row r="9794" spans="1:4">
      <c r="A9794" t="str">
        <f t="shared" si="161"/>
        <v>1044Sharpe Ratio</v>
      </c>
      <c r="B9794">
        <v>1044</v>
      </c>
      <c r="C9794" s="9" t="s">
        <v>1</v>
      </c>
      <c r="D9794" s="8">
        <v>-0.308</v>
      </c>
    </row>
    <row r="9795" spans="1:4">
      <c r="A9795" t="str">
        <f t="shared" ref="A9795:A9858" si="162">B9795&amp;C9795</f>
        <v>1044Total Trades</v>
      </c>
      <c r="B9795">
        <v>1044</v>
      </c>
      <c r="C9795" s="9" t="s">
        <v>28</v>
      </c>
      <c r="D9795" s="8">
        <v>364</v>
      </c>
    </row>
    <row r="9796" spans="1:4">
      <c r="A9796" t="str">
        <f t="shared" si="162"/>
        <v>1044Average Win</v>
      </c>
      <c r="B9796">
        <v>1044</v>
      </c>
      <c r="C9796" s="9" t="s">
        <v>25</v>
      </c>
      <c r="D9796" s="8">
        <v>1.8E-3</v>
      </c>
    </row>
    <row r="9797" spans="1:4">
      <c r="A9797" t="str">
        <f t="shared" si="162"/>
        <v>1044Average Loss</v>
      </c>
      <c r="B9797">
        <v>1044</v>
      </c>
      <c r="C9797" s="9" t="s">
        <v>29</v>
      </c>
      <c r="D9797" s="8">
        <v>-4.1999999999999997E-3</v>
      </c>
    </row>
    <row r="9798" spans="1:4">
      <c r="A9798" t="str">
        <f t="shared" si="162"/>
        <v>1044Compounding Annual Return</v>
      </c>
      <c r="B9798">
        <v>1044</v>
      </c>
      <c r="C9798" s="9" t="s">
        <v>30</v>
      </c>
      <c r="D9798" s="8">
        <v>-1.6570000000000001E-2</v>
      </c>
    </row>
    <row r="9799" spans="1:4">
      <c r="A9799" t="str">
        <f t="shared" si="162"/>
        <v>1044Drawdown</v>
      </c>
      <c r="B9799">
        <v>1044</v>
      </c>
      <c r="C9799" s="9" t="s">
        <v>8</v>
      </c>
      <c r="D9799" s="8">
        <v>4.1000000000000002E-2</v>
      </c>
    </row>
    <row r="9800" spans="1:4">
      <c r="A9800" t="str">
        <f t="shared" si="162"/>
        <v>1044Expectancy</v>
      </c>
      <c r="B9800">
        <v>1044</v>
      </c>
      <c r="C9800" s="9" t="s">
        <v>31</v>
      </c>
      <c r="D9800" s="8">
        <v>-4.2000000000000003E-2</v>
      </c>
    </row>
    <row r="9801" spans="1:4">
      <c r="A9801" t="str">
        <f t="shared" si="162"/>
        <v>1044Net Profit</v>
      </c>
      <c r="B9801">
        <v>1044</v>
      </c>
      <c r="C9801" s="9" t="s">
        <v>32</v>
      </c>
      <c r="D9801" s="8">
        <v>-1.106E-2</v>
      </c>
    </row>
    <row r="9802" spans="1:4">
      <c r="A9802" t="str">
        <f t="shared" si="162"/>
        <v>1044Loss Rate</v>
      </c>
      <c r="B9802">
        <v>1044</v>
      </c>
      <c r="C9802" s="9" t="s">
        <v>33</v>
      </c>
      <c r="D9802" s="8">
        <v>0.33</v>
      </c>
    </row>
    <row r="9803" spans="1:4">
      <c r="A9803" t="str">
        <f t="shared" si="162"/>
        <v>1044Win Rate</v>
      </c>
      <c r="B9803">
        <v>1044</v>
      </c>
      <c r="C9803" s="9" t="s">
        <v>34</v>
      </c>
      <c r="D9803" s="8">
        <v>0.67</v>
      </c>
    </row>
    <row r="9804" spans="1:4">
      <c r="A9804" t="str">
        <f t="shared" si="162"/>
        <v>1044Profit-Loss Ratio</v>
      </c>
      <c r="B9804">
        <v>1044</v>
      </c>
      <c r="C9804" s="9" t="s">
        <v>26</v>
      </c>
      <c r="D9804" s="8">
        <v>0.44</v>
      </c>
    </row>
    <row r="9805" spans="1:4">
      <c r="A9805" t="str">
        <f t="shared" si="162"/>
        <v>1044Alpha</v>
      </c>
      <c r="B9805">
        <v>1044</v>
      </c>
      <c r="C9805" s="9" t="s">
        <v>23</v>
      </c>
      <c r="D9805" s="8">
        <v>-1.9E-2</v>
      </c>
    </row>
    <row r="9806" spans="1:4">
      <c r="A9806" t="str">
        <f t="shared" si="162"/>
        <v>1044Beta</v>
      </c>
      <c r="B9806">
        <v>1044</v>
      </c>
      <c r="C9806" s="9" t="s">
        <v>24</v>
      </c>
      <c r="D9806" s="8">
        <v>0.161</v>
      </c>
    </row>
    <row r="9807" spans="1:4">
      <c r="A9807" t="str">
        <f t="shared" si="162"/>
        <v>1044Annual Standard Deviation</v>
      </c>
      <c r="B9807">
        <v>1044</v>
      </c>
      <c r="C9807" s="9" t="s">
        <v>35</v>
      </c>
      <c r="D9807" s="8">
        <v>3.5000000000000003E-2</v>
      </c>
    </row>
    <row r="9808" spans="1:4">
      <c r="A9808" t="str">
        <f t="shared" si="162"/>
        <v>1044Annual Variance</v>
      </c>
      <c r="B9808">
        <v>1044</v>
      </c>
      <c r="C9808" s="9" t="s">
        <v>36</v>
      </c>
      <c r="D9808" s="8">
        <v>1E-3</v>
      </c>
    </row>
    <row r="9809" spans="1:4">
      <c r="A9809" t="str">
        <f t="shared" si="162"/>
        <v>1044Information Ratio</v>
      </c>
      <c r="B9809">
        <v>1044</v>
      </c>
      <c r="C9809" s="9" t="s">
        <v>37</v>
      </c>
      <c r="D9809" s="8">
        <v>-0.95599999999999996</v>
      </c>
    </row>
    <row r="9810" spans="1:4">
      <c r="A9810" t="str">
        <f t="shared" si="162"/>
        <v>1044Tracking Error</v>
      </c>
      <c r="B9810">
        <v>1044</v>
      </c>
      <c r="C9810" s="9" t="s">
        <v>38</v>
      </c>
      <c r="D9810" s="8">
        <v>6.6000000000000003E-2</v>
      </c>
    </row>
    <row r="9811" spans="1:4">
      <c r="A9811" t="str">
        <f t="shared" si="162"/>
        <v>1044Treynor Ratio</v>
      </c>
      <c r="B9811">
        <v>1044</v>
      </c>
      <c r="C9811" s="9" t="s">
        <v>39</v>
      </c>
      <c r="D9811" s="8">
        <v>-6.8000000000000005E-2</v>
      </c>
    </row>
    <row r="9812" spans="1:4">
      <c r="A9812" t="str">
        <f t="shared" si="162"/>
        <v>1044Total Fees</v>
      </c>
      <c r="B9812">
        <v>1044</v>
      </c>
      <c r="C9812" s="9" t="s">
        <v>40</v>
      </c>
      <c r="D9812" s="8">
        <v>0</v>
      </c>
    </row>
    <row r="9813" spans="1:4">
      <c r="A9813" t="str">
        <f t="shared" si="162"/>
        <v>1044Estimated Strategy Capacity</v>
      </c>
      <c r="B9813">
        <v>1044</v>
      </c>
      <c r="C9813" s="9" t="s">
        <v>41</v>
      </c>
      <c r="D9813" s="8">
        <v>8900000</v>
      </c>
    </row>
    <row r="9814" spans="1:4">
      <c r="A9814" t="str">
        <f t="shared" si="162"/>
        <v>1063PSR</v>
      </c>
      <c r="B9814">
        <v>1063</v>
      </c>
      <c r="C9814" s="9" t="s">
        <v>27</v>
      </c>
      <c r="D9814" s="8">
        <v>1.33E-3</v>
      </c>
    </row>
    <row r="9815" spans="1:4">
      <c r="A9815" t="str">
        <f t="shared" si="162"/>
        <v>1063Sharpe Ratio</v>
      </c>
      <c r="B9815">
        <v>1063</v>
      </c>
      <c r="C9815" s="9" t="s">
        <v>1</v>
      </c>
      <c r="D9815" s="8">
        <v>-1.9370000000000001</v>
      </c>
    </row>
    <row r="9816" spans="1:4">
      <c r="A9816" t="str">
        <f t="shared" si="162"/>
        <v>1063Total Trades</v>
      </c>
      <c r="B9816">
        <v>1063</v>
      </c>
      <c r="C9816" s="9" t="s">
        <v>28</v>
      </c>
      <c r="D9816" s="8">
        <v>1527</v>
      </c>
    </row>
    <row r="9817" spans="1:4">
      <c r="A9817" t="str">
        <f t="shared" si="162"/>
        <v>1063Average Win</v>
      </c>
      <c r="B9817">
        <v>1063</v>
      </c>
      <c r="C9817" s="9" t="s">
        <v>25</v>
      </c>
      <c r="D9817" s="8">
        <v>4.0000000000000002E-4</v>
      </c>
    </row>
    <row r="9818" spans="1:4">
      <c r="A9818" t="str">
        <f t="shared" si="162"/>
        <v>1063Average Loss</v>
      </c>
      <c r="B9818">
        <v>1063</v>
      </c>
      <c r="C9818" s="9" t="s">
        <v>29</v>
      </c>
      <c r="D9818" s="8">
        <v>-1.2999999999999999E-3</v>
      </c>
    </row>
    <row r="9819" spans="1:4">
      <c r="A9819" t="str">
        <f t="shared" si="162"/>
        <v>1063Compounding Annual Return</v>
      </c>
      <c r="B9819">
        <v>1063</v>
      </c>
      <c r="C9819" s="9" t="s">
        <v>30</v>
      </c>
      <c r="D9819" s="8">
        <v>-5.1979999999999998E-2</v>
      </c>
    </row>
    <row r="9820" spans="1:4">
      <c r="A9820" t="str">
        <f t="shared" si="162"/>
        <v>1063Drawdown</v>
      </c>
      <c r="B9820">
        <v>1063</v>
      </c>
      <c r="C9820" s="9" t="s">
        <v>8</v>
      </c>
      <c r="D9820" s="8">
        <v>4.5999999999999999E-2</v>
      </c>
    </row>
    <row r="9821" spans="1:4">
      <c r="A9821" t="str">
        <f t="shared" si="162"/>
        <v>1063Expectancy</v>
      </c>
      <c r="B9821">
        <v>1063</v>
      </c>
      <c r="C9821" s="9" t="s">
        <v>31</v>
      </c>
      <c r="D9821" s="8">
        <v>-0.14399999999999999</v>
      </c>
    </row>
    <row r="9822" spans="1:4">
      <c r="A9822" t="str">
        <f t="shared" si="162"/>
        <v>1063Net Profit</v>
      </c>
      <c r="B9822">
        <v>1063</v>
      </c>
      <c r="C9822" s="9" t="s">
        <v>32</v>
      </c>
      <c r="D9822" s="8">
        <v>-3.4909999999999997E-2</v>
      </c>
    </row>
    <row r="9823" spans="1:4">
      <c r="A9823" t="str">
        <f t="shared" si="162"/>
        <v>1063Loss Rate</v>
      </c>
      <c r="B9823">
        <v>1063</v>
      </c>
      <c r="C9823" s="9" t="s">
        <v>33</v>
      </c>
      <c r="D9823" s="8">
        <v>0.34</v>
      </c>
    </row>
    <row r="9824" spans="1:4">
      <c r="A9824" t="str">
        <f t="shared" si="162"/>
        <v>1063Win Rate</v>
      </c>
      <c r="B9824">
        <v>1063</v>
      </c>
      <c r="C9824" s="9" t="s">
        <v>34</v>
      </c>
      <c r="D9824" s="8">
        <v>0.66</v>
      </c>
    </row>
    <row r="9825" spans="1:4">
      <c r="A9825" t="str">
        <f t="shared" si="162"/>
        <v>1063Profit-Loss Ratio</v>
      </c>
      <c r="B9825">
        <v>1063</v>
      </c>
      <c r="C9825" s="9" t="s">
        <v>26</v>
      </c>
      <c r="D9825" s="8">
        <v>0.3</v>
      </c>
    </row>
    <row r="9826" spans="1:4">
      <c r="A9826" t="str">
        <f t="shared" si="162"/>
        <v>1063Alpha</v>
      </c>
      <c r="B9826">
        <v>1063</v>
      </c>
      <c r="C9826" s="9" t="s">
        <v>23</v>
      </c>
      <c r="D9826" s="8">
        <v>-3.5000000000000003E-2</v>
      </c>
    </row>
    <row r="9827" spans="1:4">
      <c r="A9827" t="str">
        <f t="shared" si="162"/>
        <v>1063Beta</v>
      </c>
      <c r="B9827">
        <v>1063</v>
      </c>
      <c r="C9827" s="9" t="s">
        <v>24</v>
      </c>
      <c r="D9827" s="8">
        <v>-3.1E-2</v>
      </c>
    </row>
    <row r="9828" spans="1:4">
      <c r="A9828" t="str">
        <f t="shared" si="162"/>
        <v>1063Annual Standard Deviation</v>
      </c>
      <c r="B9828">
        <v>1063</v>
      </c>
      <c r="C9828" s="9" t="s">
        <v>35</v>
      </c>
      <c r="D9828" s="8">
        <v>1.9E-2</v>
      </c>
    </row>
    <row r="9829" spans="1:4">
      <c r="A9829" t="str">
        <f t="shared" si="162"/>
        <v>1063Annual Variance</v>
      </c>
      <c r="B9829">
        <v>1063</v>
      </c>
      <c r="C9829" s="9" t="s">
        <v>36</v>
      </c>
      <c r="D9829" s="8">
        <v>0</v>
      </c>
    </row>
    <row r="9830" spans="1:4">
      <c r="A9830" t="str">
        <f t="shared" si="162"/>
        <v>1063Information Ratio</v>
      </c>
      <c r="B9830">
        <v>1063</v>
      </c>
      <c r="C9830" s="9" t="s">
        <v>37</v>
      </c>
      <c r="D9830" s="8">
        <v>-1.2270000000000001</v>
      </c>
    </row>
    <row r="9831" spans="1:4">
      <c r="A9831" t="str">
        <f t="shared" si="162"/>
        <v>1063Tracking Error</v>
      </c>
      <c r="B9831">
        <v>1063</v>
      </c>
      <c r="C9831" s="9" t="s">
        <v>38</v>
      </c>
      <c r="D9831" s="8">
        <v>7.1999999999999995E-2</v>
      </c>
    </row>
    <row r="9832" spans="1:4">
      <c r="A9832" t="str">
        <f t="shared" si="162"/>
        <v>1063Treynor Ratio</v>
      </c>
      <c r="B9832">
        <v>1063</v>
      </c>
      <c r="C9832" s="9" t="s">
        <v>39</v>
      </c>
      <c r="D9832" s="8">
        <v>1.169</v>
      </c>
    </row>
    <row r="9833" spans="1:4">
      <c r="A9833" t="str">
        <f t="shared" si="162"/>
        <v>1063Total Fees</v>
      </c>
      <c r="B9833">
        <v>1063</v>
      </c>
      <c r="C9833" s="9" t="s">
        <v>40</v>
      </c>
      <c r="D9833" s="8">
        <v>0</v>
      </c>
    </row>
    <row r="9834" spans="1:4">
      <c r="A9834" t="str">
        <f t="shared" si="162"/>
        <v>1063Estimated Strategy Capacity</v>
      </c>
      <c r="B9834">
        <v>1063</v>
      </c>
      <c r="C9834" s="9" t="s">
        <v>41</v>
      </c>
      <c r="D9834" s="8">
        <v>3800000</v>
      </c>
    </row>
    <row r="9835" spans="1:4">
      <c r="A9835" t="str">
        <f t="shared" si="162"/>
        <v>1064PSR</v>
      </c>
      <c r="B9835">
        <v>1064</v>
      </c>
      <c r="C9835" s="9" t="s">
        <v>27</v>
      </c>
      <c r="D9835" s="8">
        <v>1.4400000000000001E-3</v>
      </c>
    </row>
    <row r="9836" spans="1:4">
      <c r="A9836" t="str">
        <f t="shared" si="162"/>
        <v>1064Sharpe Ratio</v>
      </c>
      <c r="B9836">
        <v>1064</v>
      </c>
      <c r="C9836" s="9" t="s">
        <v>1</v>
      </c>
      <c r="D9836" s="8">
        <v>-1.8280000000000001</v>
      </c>
    </row>
    <row r="9837" spans="1:4">
      <c r="A9837" t="str">
        <f t="shared" si="162"/>
        <v>1064Total Trades</v>
      </c>
      <c r="B9837">
        <v>1064</v>
      </c>
      <c r="C9837" s="9" t="s">
        <v>28</v>
      </c>
      <c r="D9837" s="8">
        <v>1012</v>
      </c>
    </row>
    <row r="9838" spans="1:4">
      <c r="A9838" t="str">
        <f t="shared" si="162"/>
        <v>1064Average Win</v>
      </c>
      <c r="B9838">
        <v>1064</v>
      </c>
      <c r="C9838" s="9" t="s">
        <v>25</v>
      </c>
      <c r="D9838" s="8">
        <v>5.9999999999999995E-4</v>
      </c>
    </row>
    <row r="9839" spans="1:4">
      <c r="A9839" t="str">
        <f t="shared" si="162"/>
        <v>1064Average Loss</v>
      </c>
      <c r="B9839">
        <v>1064</v>
      </c>
      <c r="C9839" s="9" t="s">
        <v>29</v>
      </c>
      <c r="D9839" s="8">
        <v>-2.2000000000000001E-3</v>
      </c>
    </row>
    <row r="9840" spans="1:4">
      <c r="A9840" t="str">
        <f t="shared" si="162"/>
        <v>1064Compounding Annual Return</v>
      </c>
      <c r="B9840">
        <v>1064</v>
      </c>
      <c r="C9840" s="9" t="s">
        <v>30</v>
      </c>
      <c r="D9840" s="8">
        <v>-7.5600000000000001E-2</v>
      </c>
    </row>
    <row r="9841" spans="1:4">
      <c r="A9841" t="str">
        <f t="shared" si="162"/>
        <v>1064Drawdown</v>
      </c>
      <c r="B9841">
        <v>1064</v>
      </c>
      <c r="C9841" s="9" t="s">
        <v>8</v>
      </c>
      <c r="D9841" s="8">
        <v>5.3999999999999999E-2</v>
      </c>
    </row>
    <row r="9842" spans="1:4">
      <c r="A9842" t="str">
        <f t="shared" si="162"/>
        <v>1064Expectancy</v>
      </c>
      <c r="B9842">
        <v>1064</v>
      </c>
      <c r="C9842" s="9" t="s">
        <v>31</v>
      </c>
      <c r="D9842" s="8">
        <v>-0.13900000000000001</v>
      </c>
    </row>
    <row r="9843" spans="1:4">
      <c r="A9843" t="str">
        <f t="shared" si="162"/>
        <v>1064Net Profit</v>
      </c>
      <c r="B9843">
        <v>1064</v>
      </c>
      <c r="C9843" s="9" t="s">
        <v>32</v>
      </c>
      <c r="D9843" s="8">
        <v>-5.0979999999999998E-2</v>
      </c>
    </row>
    <row r="9844" spans="1:4">
      <c r="A9844" t="str">
        <f t="shared" si="162"/>
        <v>1064Loss Rate</v>
      </c>
      <c r="B9844">
        <v>1064</v>
      </c>
      <c r="C9844" s="9" t="s">
        <v>33</v>
      </c>
      <c r="D9844" s="8">
        <v>0.33</v>
      </c>
    </row>
    <row r="9845" spans="1:4">
      <c r="A9845" t="str">
        <f t="shared" si="162"/>
        <v>1064Win Rate</v>
      </c>
      <c r="B9845">
        <v>1064</v>
      </c>
      <c r="C9845" s="9" t="s">
        <v>34</v>
      </c>
      <c r="D9845" s="8">
        <v>0.67</v>
      </c>
    </row>
    <row r="9846" spans="1:4">
      <c r="A9846" t="str">
        <f t="shared" si="162"/>
        <v>1064Profit-Loss Ratio</v>
      </c>
      <c r="B9846">
        <v>1064</v>
      </c>
      <c r="C9846" s="9" t="s">
        <v>26</v>
      </c>
      <c r="D9846" s="8">
        <v>0.28000000000000003</v>
      </c>
    </row>
    <row r="9847" spans="1:4">
      <c r="A9847" t="str">
        <f t="shared" si="162"/>
        <v>1064Alpha</v>
      </c>
      <c r="B9847">
        <v>1064</v>
      </c>
      <c r="C9847" s="9" t="s">
        <v>23</v>
      </c>
      <c r="D9847" s="8">
        <v>-4.9000000000000002E-2</v>
      </c>
    </row>
    <row r="9848" spans="1:4">
      <c r="A9848" t="str">
        <f t="shared" si="162"/>
        <v>1064Beta</v>
      </c>
      <c r="B9848">
        <v>1064</v>
      </c>
      <c r="C9848" s="9" t="s">
        <v>24</v>
      </c>
      <c r="D9848" s="8">
        <v>-0.08</v>
      </c>
    </row>
    <row r="9849" spans="1:4">
      <c r="A9849" t="str">
        <f t="shared" si="162"/>
        <v>1064Annual Standard Deviation</v>
      </c>
      <c r="B9849">
        <v>1064</v>
      </c>
      <c r="C9849" s="9" t="s">
        <v>35</v>
      </c>
      <c r="D9849" s="8">
        <v>2.9000000000000001E-2</v>
      </c>
    </row>
    <row r="9850" spans="1:4">
      <c r="A9850" t="str">
        <f t="shared" si="162"/>
        <v>1064Annual Variance</v>
      </c>
      <c r="B9850">
        <v>1064</v>
      </c>
      <c r="C9850" s="9" t="s">
        <v>36</v>
      </c>
      <c r="D9850" s="8">
        <v>1E-3</v>
      </c>
    </row>
    <row r="9851" spans="1:4">
      <c r="A9851" t="str">
        <f t="shared" si="162"/>
        <v>1064Information Ratio</v>
      </c>
      <c r="B9851">
        <v>1064</v>
      </c>
      <c r="C9851" s="9" t="s">
        <v>37</v>
      </c>
      <c r="D9851" s="8">
        <v>-1.3420000000000001</v>
      </c>
    </row>
    <row r="9852" spans="1:4">
      <c r="A9852" t="str">
        <f t="shared" si="162"/>
        <v>1064Tracking Error</v>
      </c>
      <c r="B9852">
        <v>1064</v>
      </c>
      <c r="C9852" s="9" t="s">
        <v>38</v>
      </c>
      <c r="D9852" s="8">
        <v>7.8E-2</v>
      </c>
    </row>
    <row r="9853" spans="1:4">
      <c r="A9853" t="str">
        <f t="shared" si="162"/>
        <v>1064Treynor Ratio</v>
      </c>
      <c r="B9853">
        <v>1064</v>
      </c>
      <c r="C9853" s="9" t="s">
        <v>39</v>
      </c>
      <c r="D9853" s="8">
        <v>0.66100000000000003</v>
      </c>
    </row>
    <row r="9854" spans="1:4">
      <c r="A9854" t="str">
        <f t="shared" si="162"/>
        <v>1064Total Fees</v>
      </c>
      <c r="B9854">
        <v>1064</v>
      </c>
      <c r="C9854" s="9" t="s">
        <v>40</v>
      </c>
      <c r="D9854" s="8">
        <v>0</v>
      </c>
    </row>
    <row r="9855" spans="1:4">
      <c r="A9855" t="str">
        <f t="shared" si="162"/>
        <v>1064Estimated Strategy Capacity</v>
      </c>
      <c r="B9855">
        <v>1064</v>
      </c>
      <c r="C9855" s="9" t="s">
        <v>41</v>
      </c>
      <c r="D9855" s="8">
        <v>4000000</v>
      </c>
    </row>
    <row r="9856" spans="1:4">
      <c r="A9856" t="str">
        <f t="shared" si="162"/>
        <v>1065PSR</v>
      </c>
      <c r="B9856">
        <v>1065</v>
      </c>
      <c r="C9856" s="9" t="s">
        <v>27</v>
      </c>
      <c r="D9856" s="8">
        <v>7.28E-3</v>
      </c>
    </row>
    <row r="9857" spans="1:4">
      <c r="A9857" t="str">
        <f t="shared" si="162"/>
        <v>1065Sharpe Ratio</v>
      </c>
      <c r="B9857">
        <v>1065</v>
      </c>
      <c r="C9857" s="9" t="s">
        <v>1</v>
      </c>
      <c r="D9857" s="8">
        <v>-1.3720000000000001</v>
      </c>
    </row>
    <row r="9858" spans="1:4">
      <c r="A9858" t="str">
        <f t="shared" si="162"/>
        <v>1065Total Trades</v>
      </c>
      <c r="B9858">
        <v>1065</v>
      </c>
      <c r="C9858" s="9" t="s">
        <v>28</v>
      </c>
      <c r="D9858" s="8">
        <v>836</v>
      </c>
    </row>
    <row r="9859" spans="1:4">
      <c r="A9859" t="str">
        <f t="shared" ref="A9859:A9922" si="163">B9859&amp;C9859</f>
        <v>1065Average Win</v>
      </c>
      <c r="B9859">
        <v>1065</v>
      </c>
      <c r="C9859" s="9" t="s">
        <v>25</v>
      </c>
      <c r="D9859" s="8">
        <v>6.9999999999999999E-4</v>
      </c>
    </row>
    <row r="9860" spans="1:4">
      <c r="A9860" t="str">
        <f t="shared" si="163"/>
        <v>1065Average Loss</v>
      </c>
      <c r="B9860">
        <v>1065</v>
      </c>
      <c r="C9860" s="9" t="s">
        <v>29</v>
      </c>
      <c r="D9860" s="8">
        <v>-2.3E-3</v>
      </c>
    </row>
    <row r="9861" spans="1:4">
      <c r="A9861" t="str">
        <f t="shared" si="163"/>
        <v>1065Compounding Annual Return</v>
      </c>
      <c r="B9861">
        <v>1065</v>
      </c>
      <c r="C9861" s="9" t="s">
        <v>30</v>
      </c>
      <c r="D9861" s="8">
        <v>-5.9080000000000001E-2</v>
      </c>
    </row>
    <row r="9862" spans="1:4">
      <c r="A9862" t="str">
        <f t="shared" si="163"/>
        <v>1065Drawdown</v>
      </c>
      <c r="B9862">
        <v>1065</v>
      </c>
      <c r="C9862" s="9" t="s">
        <v>8</v>
      </c>
      <c r="D9862" s="8">
        <v>4.4999999999999998E-2</v>
      </c>
    </row>
    <row r="9863" spans="1:4">
      <c r="A9863" t="str">
        <f t="shared" si="163"/>
        <v>1065Expectancy</v>
      </c>
      <c r="B9863">
        <v>1065</v>
      </c>
      <c r="C9863" s="9" t="s">
        <v>31</v>
      </c>
      <c r="D9863" s="8">
        <v>-0.109</v>
      </c>
    </row>
    <row r="9864" spans="1:4">
      <c r="A9864" t="str">
        <f t="shared" si="163"/>
        <v>1065Net Profit</v>
      </c>
      <c r="B9864">
        <v>1065</v>
      </c>
      <c r="C9864" s="9" t="s">
        <v>32</v>
      </c>
      <c r="D9864" s="8">
        <v>-3.9719999999999998E-2</v>
      </c>
    </row>
    <row r="9865" spans="1:4">
      <c r="A9865" t="str">
        <f t="shared" si="163"/>
        <v>1065Loss Rate</v>
      </c>
      <c r="B9865">
        <v>1065</v>
      </c>
      <c r="C9865" s="9" t="s">
        <v>33</v>
      </c>
      <c r="D9865" s="8">
        <v>0.31</v>
      </c>
    </row>
    <row r="9866" spans="1:4">
      <c r="A9866" t="str">
        <f t="shared" si="163"/>
        <v>1065Win Rate</v>
      </c>
      <c r="B9866">
        <v>1065</v>
      </c>
      <c r="C9866" s="9" t="s">
        <v>34</v>
      </c>
      <c r="D9866" s="8">
        <v>0.69</v>
      </c>
    </row>
    <row r="9867" spans="1:4">
      <c r="A9867" t="str">
        <f t="shared" si="163"/>
        <v>1065Profit-Loss Ratio</v>
      </c>
      <c r="B9867">
        <v>1065</v>
      </c>
      <c r="C9867" s="9" t="s">
        <v>26</v>
      </c>
      <c r="D9867" s="8">
        <v>0.28999999999999998</v>
      </c>
    </row>
    <row r="9868" spans="1:4">
      <c r="A9868" t="str">
        <f t="shared" si="163"/>
        <v>1065Alpha</v>
      </c>
      <c r="B9868">
        <v>1065</v>
      </c>
      <c r="C9868" s="9" t="s">
        <v>23</v>
      </c>
      <c r="D9868" s="8">
        <v>-3.5999999999999997E-2</v>
      </c>
    </row>
    <row r="9869" spans="1:4">
      <c r="A9869" t="str">
        <f t="shared" si="163"/>
        <v>1065Beta</v>
      </c>
      <c r="B9869">
        <v>1065</v>
      </c>
      <c r="C9869" s="9" t="s">
        <v>24</v>
      </c>
      <c r="D9869" s="8">
        <v>-0.1</v>
      </c>
    </row>
    <row r="9870" spans="1:4">
      <c r="A9870" t="str">
        <f t="shared" si="163"/>
        <v>1065Annual Standard Deviation</v>
      </c>
      <c r="B9870">
        <v>1065</v>
      </c>
      <c r="C9870" s="9" t="s">
        <v>35</v>
      </c>
      <c r="D9870" s="8">
        <v>0.03</v>
      </c>
    </row>
    <row r="9871" spans="1:4">
      <c r="A9871" t="str">
        <f t="shared" si="163"/>
        <v>1065Annual Variance</v>
      </c>
      <c r="B9871">
        <v>1065</v>
      </c>
      <c r="C9871" s="9" t="s">
        <v>36</v>
      </c>
      <c r="D9871" s="8">
        <v>1E-3</v>
      </c>
    </row>
    <row r="9872" spans="1:4">
      <c r="A9872" t="str">
        <f t="shared" si="163"/>
        <v>1065Information Ratio</v>
      </c>
      <c r="B9872">
        <v>1065</v>
      </c>
      <c r="C9872" s="9" t="s">
        <v>37</v>
      </c>
      <c r="D9872" s="8">
        <v>-1.1679999999999999</v>
      </c>
    </row>
    <row r="9873" spans="1:4">
      <c r="A9873" t="str">
        <f t="shared" si="163"/>
        <v>1065Tracking Error</v>
      </c>
      <c r="B9873">
        <v>1065</v>
      </c>
      <c r="C9873" s="9" t="s">
        <v>38</v>
      </c>
      <c r="D9873" s="8">
        <v>7.9000000000000001E-2</v>
      </c>
    </row>
    <row r="9874" spans="1:4">
      <c r="A9874" t="str">
        <f t="shared" si="163"/>
        <v>1065Treynor Ratio</v>
      </c>
      <c r="B9874">
        <v>1065</v>
      </c>
      <c r="C9874" s="9" t="s">
        <v>39</v>
      </c>
      <c r="D9874" s="8">
        <v>0.40899999999999997</v>
      </c>
    </row>
    <row r="9875" spans="1:4">
      <c r="A9875" t="str">
        <f t="shared" si="163"/>
        <v>1065Total Fees</v>
      </c>
      <c r="B9875">
        <v>1065</v>
      </c>
      <c r="C9875" s="9" t="s">
        <v>40</v>
      </c>
      <c r="D9875" s="8">
        <v>0</v>
      </c>
    </row>
    <row r="9876" spans="1:4">
      <c r="A9876" t="str">
        <f t="shared" si="163"/>
        <v>1065Estimated Strategy Capacity</v>
      </c>
      <c r="B9876">
        <v>1065</v>
      </c>
      <c r="C9876" s="9" t="s">
        <v>41</v>
      </c>
      <c r="D9876" s="8">
        <v>4100000</v>
      </c>
    </row>
    <row r="9877" spans="1:4">
      <c r="A9877" t="str">
        <f t="shared" si="163"/>
        <v>1066PSR</v>
      </c>
      <c r="B9877">
        <v>1066</v>
      </c>
      <c r="C9877" s="9" t="s">
        <v>27</v>
      </c>
      <c r="D9877" s="8">
        <v>1.686E-2</v>
      </c>
    </row>
    <row r="9878" spans="1:4">
      <c r="A9878" t="str">
        <f t="shared" si="163"/>
        <v>1066Sharpe Ratio</v>
      </c>
      <c r="B9878">
        <v>1066</v>
      </c>
      <c r="C9878" s="9" t="s">
        <v>1</v>
      </c>
      <c r="D9878" s="8">
        <v>-1.149</v>
      </c>
    </row>
    <row r="9879" spans="1:4">
      <c r="A9879" t="str">
        <f t="shared" si="163"/>
        <v>1066Total Trades</v>
      </c>
      <c r="B9879">
        <v>1066</v>
      </c>
      <c r="C9879" s="9" t="s">
        <v>28</v>
      </c>
      <c r="D9879" s="8">
        <v>1098</v>
      </c>
    </row>
    <row r="9880" spans="1:4">
      <c r="A9880" t="str">
        <f t="shared" si="163"/>
        <v>1066Average Win</v>
      </c>
      <c r="B9880">
        <v>1066</v>
      </c>
      <c r="C9880" s="9" t="s">
        <v>25</v>
      </c>
      <c r="D9880" s="8">
        <v>5.0000000000000001E-4</v>
      </c>
    </row>
    <row r="9881" spans="1:4">
      <c r="A9881" t="str">
        <f t="shared" si="163"/>
        <v>1066Average Loss</v>
      </c>
      <c r="B9881">
        <v>1066</v>
      </c>
      <c r="C9881" s="9" t="s">
        <v>29</v>
      </c>
      <c r="D9881" s="8">
        <v>-1.1999999999999999E-3</v>
      </c>
    </row>
    <row r="9882" spans="1:4">
      <c r="A9882" t="str">
        <f t="shared" si="163"/>
        <v>1066Compounding Annual Return</v>
      </c>
      <c r="B9882">
        <v>1066</v>
      </c>
      <c r="C9882" s="9" t="s">
        <v>30</v>
      </c>
      <c r="D9882" s="8">
        <v>-2.9069999999999999E-2</v>
      </c>
    </row>
    <row r="9883" spans="1:4">
      <c r="A9883" t="str">
        <f t="shared" si="163"/>
        <v>1066Drawdown</v>
      </c>
      <c r="B9883">
        <v>1066</v>
      </c>
      <c r="C9883" s="9" t="s">
        <v>8</v>
      </c>
      <c r="D9883" s="8">
        <v>2.9000000000000001E-2</v>
      </c>
    </row>
    <row r="9884" spans="1:4">
      <c r="A9884" t="str">
        <f t="shared" si="163"/>
        <v>1066Expectancy</v>
      </c>
      <c r="B9884">
        <v>1066</v>
      </c>
      <c r="C9884" s="9" t="s">
        <v>31</v>
      </c>
      <c r="D9884" s="8">
        <v>-0.123</v>
      </c>
    </row>
    <row r="9885" spans="1:4">
      <c r="A9885" t="str">
        <f t="shared" si="163"/>
        <v>1066Net Profit</v>
      </c>
      <c r="B9885">
        <v>1066</v>
      </c>
      <c r="C9885" s="9" t="s">
        <v>32</v>
      </c>
      <c r="D9885" s="8">
        <v>-1.9449999999999999E-2</v>
      </c>
    </row>
    <row r="9886" spans="1:4">
      <c r="A9886" t="str">
        <f t="shared" si="163"/>
        <v>1066Loss Rate</v>
      </c>
      <c r="B9886">
        <v>1066</v>
      </c>
      <c r="C9886" s="9" t="s">
        <v>33</v>
      </c>
      <c r="D9886" s="8">
        <v>0.38</v>
      </c>
    </row>
    <row r="9887" spans="1:4">
      <c r="A9887" t="str">
        <f t="shared" si="163"/>
        <v>1066Win Rate</v>
      </c>
      <c r="B9887">
        <v>1066</v>
      </c>
      <c r="C9887" s="9" t="s">
        <v>34</v>
      </c>
      <c r="D9887" s="8">
        <v>0.62</v>
      </c>
    </row>
    <row r="9888" spans="1:4">
      <c r="A9888" t="str">
        <f t="shared" si="163"/>
        <v>1066Profit-Loss Ratio</v>
      </c>
      <c r="B9888">
        <v>1066</v>
      </c>
      <c r="C9888" s="9" t="s">
        <v>26</v>
      </c>
      <c r="D9888" s="8">
        <v>0.42</v>
      </c>
    </row>
    <row r="9889" spans="1:4">
      <c r="A9889" t="str">
        <f t="shared" si="163"/>
        <v>1066Alpha</v>
      </c>
      <c r="B9889">
        <v>1066</v>
      </c>
      <c r="C9889" s="9" t="s">
        <v>23</v>
      </c>
      <c r="D9889" s="8">
        <v>-1.7999999999999999E-2</v>
      </c>
    </row>
    <row r="9890" spans="1:4">
      <c r="A9890" t="str">
        <f t="shared" si="163"/>
        <v>1066Beta</v>
      </c>
      <c r="B9890">
        <v>1066</v>
      </c>
      <c r="C9890" s="9" t="s">
        <v>24</v>
      </c>
      <c r="D9890" s="8">
        <v>-3.5000000000000003E-2</v>
      </c>
    </row>
    <row r="9891" spans="1:4">
      <c r="A9891" t="str">
        <f t="shared" si="163"/>
        <v>1066Annual Standard Deviation</v>
      </c>
      <c r="B9891">
        <v>1066</v>
      </c>
      <c r="C9891" s="9" t="s">
        <v>35</v>
      </c>
      <c r="D9891" s="8">
        <v>1.7000000000000001E-2</v>
      </c>
    </row>
    <row r="9892" spans="1:4">
      <c r="A9892" t="str">
        <f t="shared" si="163"/>
        <v>1066Annual Variance</v>
      </c>
      <c r="B9892">
        <v>1066</v>
      </c>
      <c r="C9892" s="9" t="s">
        <v>36</v>
      </c>
      <c r="D9892" s="8">
        <v>0</v>
      </c>
    </row>
    <row r="9893" spans="1:4">
      <c r="A9893" t="str">
        <f t="shared" si="163"/>
        <v>1066Information Ratio</v>
      </c>
      <c r="B9893">
        <v>1066</v>
      </c>
      <c r="C9893" s="9" t="s">
        <v>37</v>
      </c>
      <c r="D9893" s="8">
        <v>-1.004</v>
      </c>
    </row>
    <row r="9894" spans="1:4">
      <c r="A9894" t="str">
        <f t="shared" si="163"/>
        <v>1066Tracking Error</v>
      </c>
      <c r="B9894">
        <v>1066</v>
      </c>
      <c r="C9894" s="9" t="s">
        <v>38</v>
      </c>
      <c r="D9894" s="8">
        <v>7.1999999999999995E-2</v>
      </c>
    </row>
    <row r="9895" spans="1:4">
      <c r="A9895" t="str">
        <f t="shared" si="163"/>
        <v>1066Treynor Ratio</v>
      </c>
      <c r="B9895">
        <v>1066</v>
      </c>
      <c r="C9895" s="9" t="s">
        <v>39</v>
      </c>
      <c r="D9895" s="8">
        <v>0.57099999999999995</v>
      </c>
    </row>
    <row r="9896" spans="1:4">
      <c r="A9896" t="str">
        <f t="shared" si="163"/>
        <v>1066Total Fees</v>
      </c>
      <c r="B9896">
        <v>1066</v>
      </c>
      <c r="C9896" s="9" t="s">
        <v>40</v>
      </c>
      <c r="D9896" s="8">
        <v>0</v>
      </c>
    </row>
    <row r="9897" spans="1:4">
      <c r="A9897" t="str">
        <f t="shared" si="163"/>
        <v>1066Estimated Strategy Capacity</v>
      </c>
      <c r="B9897">
        <v>1066</v>
      </c>
      <c r="C9897" s="9" t="s">
        <v>41</v>
      </c>
      <c r="D9897" s="8">
        <v>4400000</v>
      </c>
    </row>
    <row r="9898" spans="1:4">
      <c r="A9898" t="str">
        <f t="shared" si="163"/>
        <v>1067PSR</v>
      </c>
      <c r="B9898">
        <v>1067</v>
      </c>
      <c r="C9898" s="9" t="s">
        <v>27</v>
      </c>
      <c r="D9898" s="8">
        <v>3.5970000000000002E-2</v>
      </c>
    </row>
    <row r="9899" spans="1:4">
      <c r="A9899" t="str">
        <f t="shared" si="163"/>
        <v>1067Sharpe Ratio</v>
      </c>
      <c r="B9899">
        <v>1067</v>
      </c>
      <c r="C9899" s="9" t="s">
        <v>1</v>
      </c>
      <c r="D9899" s="8">
        <v>-0.83199999999999996</v>
      </c>
    </row>
    <row r="9900" spans="1:4">
      <c r="A9900" t="str">
        <f t="shared" si="163"/>
        <v>1067Total Trades</v>
      </c>
      <c r="B9900">
        <v>1067</v>
      </c>
      <c r="C9900" s="9" t="s">
        <v>28</v>
      </c>
      <c r="D9900" s="8">
        <v>714</v>
      </c>
    </row>
    <row r="9901" spans="1:4">
      <c r="A9901" t="str">
        <f t="shared" si="163"/>
        <v>1067Average Win</v>
      </c>
      <c r="B9901">
        <v>1067</v>
      </c>
      <c r="C9901" s="9" t="s">
        <v>25</v>
      </c>
      <c r="D9901" s="8">
        <v>8.0000000000000004E-4</v>
      </c>
    </row>
    <row r="9902" spans="1:4">
      <c r="A9902" t="str">
        <f t="shared" si="163"/>
        <v>1067Average Loss</v>
      </c>
      <c r="B9902">
        <v>1067</v>
      </c>
      <c r="C9902" s="9" t="s">
        <v>29</v>
      </c>
      <c r="D9902" s="8">
        <v>-1.9E-3</v>
      </c>
    </row>
    <row r="9903" spans="1:4">
      <c r="A9903" t="str">
        <f t="shared" si="163"/>
        <v>1067Compounding Annual Return</v>
      </c>
      <c r="B9903">
        <v>1067</v>
      </c>
      <c r="C9903" s="9" t="s">
        <v>30</v>
      </c>
      <c r="D9903" s="8">
        <v>-3.5439999999999999E-2</v>
      </c>
    </row>
    <row r="9904" spans="1:4">
      <c r="A9904" t="str">
        <f t="shared" si="163"/>
        <v>1067Drawdown</v>
      </c>
      <c r="B9904">
        <v>1067</v>
      </c>
      <c r="C9904" s="9" t="s">
        <v>8</v>
      </c>
      <c r="D9904" s="8">
        <v>5.0999999999999997E-2</v>
      </c>
    </row>
    <row r="9905" spans="1:4">
      <c r="A9905" t="str">
        <f t="shared" si="163"/>
        <v>1067Expectancy</v>
      </c>
      <c r="B9905">
        <v>1067</v>
      </c>
      <c r="C9905" s="9" t="s">
        <v>31</v>
      </c>
      <c r="D9905" s="8">
        <v>-0.105</v>
      </c>
    </row>
    <row r="9906" spans="1:4">
      <c r="A9906" t="str">
        <f t="shared" si="163"/>
        <v>1067Net Profit</v>
      </c>
      <c r="B9906">
        <v>1067</v>
      </c>
      <c r="C9906" s="9" t="s">
        <v>32</v>
      </c>
      <c r="D9906" s="8">
        <v>-2.3730000000000001E-2</v>
      </c>
    </row>
    <row r="9907" spans="1:4">
      <c r="A9907" t="str">
        <f t="shared" si="163"/>
        <v>1067Loss Rate</v>
      </c>
      <c r="B9907">
        <v>1067</v>
      </c>
      <c r="C9907" s="9" t="s">
        <v>33</v>
      </c>
      <c r="D9907" s="8">
        <v>0.38</v>
      </c>
    </row>
    <row r="9908" spans="1:4">
      <c r="A9908" t="str">
        <f t="shared" si="163"/>
        <v>1067Win Rate</v>
      </c>
      <c r="B9908">
        <v>1067</v>
      </c>
      <c r="C9908" s="9" t="s">
        <v>34</v>
      </c>
      <c r="D9908" s="8">
        <v>0.62</v>
      </c>
    </row>
    <row r="9909" spans="1:4">
      <c r="A9909" t="str">
        <f t="shared" si="163"/>
        <v>1067Profit-Loss Ratio</v>
      </c>
      <c r="B9909">
        <v>1067</v>
      </c>
      <c r="C9909" s="9" t="s">
        <v>26</v>
      </c>
      <c r="D9909" s="8">
        <v>0.44</v>
      </c>
    </row>
    <row r="9910" spans="1:4">
      <c r="A9910" t="str">
        <f t="shared" si="163"/>
        <v>1067Alpha</v>
      </c>
      <c r="B9910">
        <v>1067</v>
      </c>
      <c r="C9910" s="9" t="s">
        <v>23</v>
      </c>
      <c r="D9910" s="8">
        <v>-0.02</v>
      </c>
    </row>
    <row r="9911" spans="1:4">
      <c r="A9911" t="str">
        <f t="shared" si="163"/>
        <v>1067Beta</v>
      </c>
      <c r="B9911">
        <v>1067</v>
      </c>
      <c r="C9911" s="9" t="s">
        <v>24</v>
      </c>
      <c r="D9911" s="8">
        <v>-7.5999999999999998E-2</v>
      </c>
    </row>
    <row r="9912" spans="1:4">
      <c r="A9912" t="str">
        <f t="shared" si="163"/>
        <v>1067Annual Standard Deviation</v>
      </c>
      <c r="B9912">
        <v>1067</v>
      </c>
      <c r="C9912" s="9" t="s">
        <v>35</v>
      </c>
      <c r="D9912" s="8">
        <v>2.9000000000000001E-2</v>
      </c>
    </row>
    <row r="9913" spans="1:4">
      <c r="A9913" t="str">
        <f t="shared" si="163"/>
        <v>1067Annual Variance</v>
      </c>
      <c r="B9913">
        <v>1067</v>
      </c>
      <c r="C9913" s="9" t="s">
        <v>36</v>
      </c>
      <c r="D9913" s="8">
        <v>1E-3</v>
      </c>
    </row>
    <row r="9914" spans="1:4">
      <c r="A9914" t="str">
        <f t="shared" si="163"/>
        <v>1067Information Ratio</v>
      </c>
      <c r="B9914">
        <v>1067</v>
      </c>
      <c r="C9914" s="9" t="s">
        <v>37</v>
      </c>
      <c r="D9914" s="8">
        <v>-0.97899999999999998</v>
      </c>
    </row>
    <row r="9915" spans="1:4">
      <c r="A9915" t="str">
        <f t="shared" si="163"/>
        <v>1067Tracking Error</v>
      </c>
      <c r="B9915">
        <v>1067</v>
      </c>
      <c r="C9915" s="9" t="s">
        <v>38</v>
      </c>
      <c r="D9915" s="8">
        <v>7.8E-2</v>
      </c>
    </row>
    <row r="9916" spans="1:4">
      <c r="A9916" t="str">
        <f t="shared" si="163"/>
        <v>1067Treynor Ratio</v>
      </c>
      <c r="B9916">
        <v>1067</v>
      </c>
      <c r="C9916" s="9" t="s">
        <v>39</v>
      </c>
      <c r="D9916" s="8">
        <v>0.32</v>
      </c>
    </row>
    <row r="9917" spans="1:4">
      <c r="A9917" t="str">
        <f t="shared" si="163"/>
        <v>1067Total Fees</v>
      </c>
      <c r="B9917">
        <v>1067</v>
      </c>
      <c r="C9917" s="9" t="s">
        <v>40</v>
      </c>
      <c r="D9917" s="8">
        <v>0</v>
      </c>
    </row>
    <row r="9918" spans="1:4">
      <c r="A9918" t="str">
        <f t="shared" si="163"/>
        <v>1067Estimated Strategy Capacity</v>
      </c>
      <c r="B9918">
        <v>1067</v>
      </c>
      <c r="C9918" s="9" t="s">
        <v>41</v>
      </c>
      <c r="D9918" s="8">
        <v>4700000</v>
      </c>
    </row>
    <row r="9919" spans="1:4">
      <c r="A9919" t="str">
        <f t="shared" si="163"/>
        <v>1068PSR</v>
      </c>
      <c r="B9919">
        <v>1068</v>
      </c>
      <c r="C9919" s="9" t="s">
        <v>27</v>
      </c>
      <c r="D9919" s="8">
        <v>2.3349999999999999E-2</v>
      </c>
    </row>
    <row r="9920" spans="1:4">
      <c r="A9920" t="str">
        <f t="shared" si="163"/>
        <v>1068Sharpe Ratio</v>
      </c>
      <c r="B9920">
        <v>1068</v>
      </c>
      <c r="C9920" s="9" t="s">
        <v>1</v>
      </c>
      <c r="D9920" s="8">
        <v>-1.012</v>
      </c>
    </row>
    <row r="9921" spans="1:4">
      <c r="A9921" t="str">
        <f t="shared" si="163"/>
        <v>1068Total Trades</v>
      </c>
      <c r="B9921">
        <v>1068</v>
      </c>
      <c r="C9921" s="9" t="s">
        <v>28</v>
      </c>
      <c r="D9921" s="8">
        <v>594</v>
      </c>
    </row>
    <row r="9922" spans="1:4">
      <c r="A9922" t="str">
        <f t="shared" si="163"/>
        <v>1068Average Win</v>
      </c>
      <c r="B9922">
        <v>1068</v>
      </c>
      <c r="C9922" s="9" t="s">
        <v>25</v>
      </c>
      <c r="D9922" s="8">
        <v>8.0000000000000004E-4</v>
      </c>
    </row>
    <row r="9923" spans="1:4">
      <c r="A9923" t="str">
        <f t="shared" ref="A9923:A9986" si="164">B9923&amp;C9923</f>
        <v>1068Average Loss</v>
      </c>
      <c r="B9923">
        <v>1068</v>
      </c>
      <c r="C9923" s="9" t="s">
        <v>29</v>
      </c>
      <c r="D9923" s="8">
        <v>-1.8E-3</v>
      </c>
    </row>
    <row r="9924" spans="1:4">
      <c r="A9924" t="str">
        <f t="shared" si="164"/>
        <v>1068Compounding Annual Return</v>
      </c>
      <c r="B9924">
        <v>1068</v>
      </c>
      <c r="C9924" s="9" t="s">
        <v>30</v>
      </c>
      <c r="D9924" s="8">
        <v>-4.0500000000000001E-2</v>
      </c>
    </row>
    <row r="9925" spans="1:4">
      <c r="A9925" t="str">
        <f t="shared" si="164"/>
        <v>1068Drawdown</v>
      </c>
      <c r="B9925">
        <v>1068</v>
      </c>
      <c r="C9925" s="9" t="s">
        <v>8</v>
      </c>
      <c r="D9925" s="8">
        <v>4.7E-2</v>
      </c>
    </row>
    <row r="9926" spans="1:4">
      <c r="A9926" t="str">
        <f t="shared" si="164"/>
        <v>1068Expectancy</v>
      </c>
      <c r="B9926">
        <v>1068</v>
      </c>
      <c r="C9926" s="9" t="s">
        <v>31</v>
      </c>
      <c r="D9926" s="8">
        <v>-0.13300000000000001</v>
      </c>
    </row>
    <row r="9927" spans="1:4">
      <c r="A9927" t="str">
        <f t="shared" si="164"/>
        <v>1068Net Profit</v>
      </c>
      <c r="B9927">
        <v>1068</v>
      </c>
      <c r="C9927" s="9" t="s">
        <v>32</v>
      </c>
      <c r="D9927" s="8">
        <v>-2.7150000000000001E-2</v>
      </c>
    </row>
    <row r="9928" spans="1:4">
      <c r="A9928" t="str">
        <f t="shared" si="164"/>
        <v>1068Loss Rate</v>
      </c>
      <c r="B9928">
        <v>1068</v>
      </c>
      <c r="C9928" s="9" t="s">
        <v>33</v>
      </c>
      <c r="D9928" s="8">
        <v>0.41</v>
      </c>
    </row>
    <row r="9929" spans="1:4">
      <c r="A9929" t="str">
        <f t="shared" si="164"/>
        <v>1068Win Rate</v>
      </c>
      <c r="B9929">
        <v>1068</v>
      </c>
      <c r="C9929" s="9" t="s">
        <v>34</v>
      </c>
      <c r="D9929" s="8">
        <v>0.59</v>
      </c>
    </row>
    <row r="9930" spans="1:4">
      <c r="A9930" t="str">
        <f t="shared" si="164"/>
        <v>1068Profit-Loss Ratio</v>
      </c>
      <c r="B9930">
        <v>1068</v>
      </c>
      <c r="C9930" s="9" t="s">
        <v>26</v>
      </c>
      <c r="D9930" s="8">
        <v>0.46</v>
      </c>
    </row>
    <row r="9931" spans="1:4">
      <c r="A9931" t="str">
        <f t="shared" si="164"/>
        <v>1068Alpha</v>
      </c>
      <c r="B9931">
        <v>1068</v>
      </c>
      <c r="C9931" s="9" t="s">
        <v>23</v>
      </c>
      <c r="D9931" s="8">
        <v>-2.4E-2</v>
      </c>
    </row>
    <row r="9932" spans="1:4">
      <c r="A9932" t="str">
        <f t="shared" si="164"/>
        <v>1068Beta</v>
      </c>
      <c r="B9932">
        <v>1068</v>
      </c>
      <c r="C9932" s="9" t="s">
        <v>24</v>
      </c>
      <c r="D9932" s="8">
        <v>-7.3999999999999996E-2</v>
      </c>
    </row>
    <row r="9933" spans="1:4">
      <c r="A9933" t="str">
        <f t="shared" si="164"/>
        <v>1068Annual Standard Deviation</v>
      </c>
      <c r="B9933">
        <v>1068</v>
      </c>
      <c r="C9933" s="9" t="s">
        <v>35</v>
      </c>
      <c r="D9933" s="8">
        <v>2.8000000000000001E-2</v>
      </c>
    </row>
    <row r="9934" spans="1:4">
      <c r="A9934" t="str">
        <f t="shared" si="164"/>
        <v>1068Annual Variance</v>
      </c>
      <c r="B9934">
        <v>1068</v>
      </c>
      <c r="C9934" s="9" t="s">
        <v>36</v>
      </c>
      <c r="D9934" s="8">
        <v>1E-3</v>
      </c>
    </row>
    <row r="9935" spans="1:4">
      <c r="A9935" t="str">
        <f t="shared" si="164"/>
        <v>1068Information Ratio</v>
      </c>
      <c r="B9935">
        <v>1068</v>
      </c>
      <c r="C9935" s="9" t="s">
        <v>37</v>
      </c>
      <c r="D9935" s="8">
        <v>-1.0349999999999999</v>
      </c>
    </row>
    <row r="9936" spans="1:4">
      <c r="A9936" t="str">
        <f t="shared" si="164"/>
        <v>1068Tracking Error</v>
      </c>
      <c r="B9936">
        <v>1068</v>
      </c>
      <c r="C9936" s="9" t="s">
        <v>38</v>
      </c>
      <c r="D9936" s="8">
        <v>7.6999999999999999E-2</v>
      </c>
    </row>
    <row r="9937" spans="1:4">
      <c r="A9937" t="str">
        <f t="shared" si="164"/>
        <v>1068Treynor Ratio</v>
      </c>
      <c r="B9937">
        <v>1068</v>
      </c>
      <c r="C9937" s="9" t="s">
        <v>39</v>
      </c>
      <c r="D9937" s="8">
        <v>0.378</v>
      </c>
    </row>
    <row r="9938" spans="1:4">
      <c r="A9938" t="str">
        <f t="shared" si="164"/>
        <v>1068Total Fees</v>
      </c>
      <c r="B9938">
        <v>1068</v>
      </c>
      <c r="C9938" s="9" t="s">
        <v>40</v>
      </c>
      <c r="D9938" s="8">
        <v>0</v>
      </c>
    </row>
    <row r="9939" spans="1:4">
      <c r="A9939" t="str">
        <f t="shared" si="164"/>
        <v>1068Estimated Strategy Capacity</v>
      </c>
      <c r="B9939">
        <v>1068</v>
      </c>
      <c r="C9939" s="9" t="s">
        <v>41</v>
      </c>
      <c r="D9939" s="8">
        <v>4700000</v>
      </c>
    </row>
    <row r="9940" spans="1:4">
      <c r="A9940" t="str">
        <f t="shared" si="164"/>
        <v>1069PSR</v>
      </c>
      <c r="B9940">
        <v>1069</v>
      </c>
      <c r="C9940" s="9" t="s">
        <v>27</v>
      </c>
      <c r="D9940" s="8">
        <v>0</v>
      </c>
    </row>
    <row r="9941" spans="1:4">
      <c r="A9941" t="str">
        <f t="shared" si="164"/>
        <v>1069Sharpe Ratio</v>
      </c>
      <c r="B9941">
        <v>1069</v>
      </c>
      <c r="C9941" s="9" t="s">
        <v>1</v>
      </c>
      <c r="D9941" s="8">
        <v>-2.7290000000000001</v>
      </c>
    </row>
    <row r="9942" spans="1:4">
      <c r="A9942" t="str">
        <f t="shared" si="164"/>
        <v>1069Total Trades</v>
      </c>
      <c r="B9942">
        <v>1069</v>
      </c>
      <c r="C9942" s="9" t="s">
        <v>28</v>
      </c>
      <c r="D9942" s="8">
        <v>773</v>
      </c>
    </row>
    <row r="9943" spans="1:4">
      <c r="A9943" t="str">
        <f t="shared" si="164"/>
        <v>1069Average Win</v>
      </c>
      <c r="B9943">
        <v>1069</v>
      </c>
      <c r="C9943" s="9" t="s">
        <v>25</v>
      </c>
      <c r="D9943" s="8">
        <v>2.0000000000000001E-4</v>
      </c>
    </row>
    <row r="9944" spans="1:4">
      <c r="A9944" t="str">
        <f t="shared" si="164"/>
        <v>1069Average Loss</v>
      </c>
      <c r="B9944">
        <v>1069</v>
      </c>
      <c r="C9944" s="9" t="s">
        <v>29</v>
      </c>
      <c r="D9944" s="8">
        <v>-1.8E-3</v>
      </c>
    </row>
    <row r="9945" spans="1:4">
      <c r="A9945" t="str">
        <f t="shared" si="164"/>
        <v>1069Compounding Annual Return</v>
      </c>
      <c r="B9945">
        <v>1069</v>
      </c>
      <c r="C9945" s="9" t="s">
        <v>30</v>
      </c>
      <c r="D9945" s="8">
        <v>-7.757E-2</v>
      </c>
    </row>
    <row r="9946" spans="1:4">
      <c r="A9946" t="str">
        <f t="shared" si="164"/>
        <v>1069Drawdown</v>
      </c>
      <c r="B9946">
        <v>1069</v>
      </c>
      <c r="C9946" s="9" t="s">
        <v>8</v>
      </c>
      <c r="D9946" s="8">
        <v>5.5E-2</v>
      </c>
    </row>
    <row r="9947" spans="1:4">
      <c r="A9947" t="str">
        <f t="shared" si="164"/>
        <v>1069Expectancy</v>
      </c>
      <c r="B9947">
        <v>1069</v>
      </c>
      <c r="C9947" s="9" t="s">
        <v>31</v>
      </c>
      <c r="D9947" s="8">
        <v>-0.313</v>
      </c>
    </row>
    <row r="9948" spans="1:4">
      <c r="A9948" t="str">
        <f t="shared" si="164"/>
        <v>1069Net Profit</v>
      </c>
      <c r="B9948">
        <v>1069</v>
      </c>
      <c r="C9948" s="9" t="s">
        <v>32</v>
      </c>
      <c r="D9948" s="8">
        <v>-5.2319999999999998E-2</v>
      </c>
    </row>
    <row r="9949" spans="1:4">
      <c r="A9949" t="str">
        <f t="shared" si="164"/>
        <v>1069Loss Rate</v>
      </c>
      <c r="B9949">
        <v>1069</v>
      </c>
      <c r="C9949" s="9" t="s">
        <v>33</v>
      </c>
      <c r="D9949" s="8">
        <v>0.39</v>
      </c>
    </row>
    <row r="9950" spans="1:4">
      <c r="A9950" t="str">
        <f t="shared" si="164"/>
        <v>1069Win Rate</v>
      </c>
      <c r="B9950">
        <v>1069</v>
      </c>
      <c r="C9950" s="9" t="s">
        <v>34</v>
      </c>
      <c r="D9950" s="8">
        <v>0.61</v>
      </c>
    </row>
    <row r="9951" spans="1:4">
      <c r="A9951" t="str">
        <f t="shared" si="164"/>
        <v>1069Profit-Loss Ratio</v>
      </c>
      <c r="B9951">
        <v>1069</v>
      </c>
      <c r="C9951" s="9" t="s">
        <v>26</v>
      </c>
      <c r="D9951" s="8">
        <v>0.13</v>
      </c>
    </row>
    <row r="9952" spans="1:4">
      <c r="A9952" t="str">
        <f t="shared" si="164"/>
        <v>1069Alpha</v>
      </c>
      <c r="B9952">
        <v>1069</v>
      </c>
      <c r="C9952" s="9" t="s">
        <v>23</v>
      </c>
      <c r="D9952" s="8">
        <v>-5.2999999999999999E-2</v>
      </c>
    </row>
    <row r="9953" spans="1:4">
      <c r="A9953" t="str">
        <f t="shared" si="164"/>
        <v>1069Beta</v>
      </c>
      <c r="B9953">
        <v>1069</v>
      </c>
      <c r="C9953" s="9" t="s">
        <v>24</v>
      </c>
      <c r="D9953" s="8">
        <v>-3.2000000000000001E-2</v>
      </c>
    </row>
    <row r="9954" spans="1:4">
      <c r="A9954" t="str">
        <f t="shared" si="164"/>
        <v>1069Annual Standard Deviation</v>
      </c>
      <c r="B9954">
        <v>1069</v>
      </c>
      <c r="C9954" s="9" t="s">
        <v>35</v>
      </c>
      <c r="D9954" s="8">
        <v>0.02</v>
      </c>
    </row>
    <row r="9955" spans="1:4">
      <c r="A9955" t="str">
        <f t="shared" si="164"/>
        <v>1069Annual Variance</v>
      </c>
      <c r="B9955">
        <v>1069</v>
      </c>
      <c r="C9955" s="9" t="s">
        <v>36</v>
      </c>
      <c r="D9955" s="8">
        <v>0</v>
      </c>
    </row>
    <row r="9956" spans="1:4">
      <c r="A9956" t="str">
        <f t="shared" si="164"/>
        <v>1069Information Ratio</v>
      </c>
      <c r="B9956">
        <v>1069</v>
      </c>
      <c r="C9956" s="9" t="s">
        <v>37</v>
      </c>
      <c r="D9956" s="8">
        <v>-1.4710000000000001</v>
      </c>
    </row>
    <row r="9957" spans="1:4">
      <c r="A9957" t="str">
        <f t="shared" si="164"/>
        <v>1069Tracking Error</v>
      </c>
      <c r="B9957">
        <v>1069</v>
      </c>
      <c r="C9957" s="9" t="s">
        <v>38</v>
      </c>
      <c r="D9957" s="8">
        <v>7.1999999999999995E-2</v>
      </c>
    </row>
    <row r="9958" spans="1:4">
      <c r="A9958" t="str">
        <f t="shared" si="164"/>
        <v>1069Treynor Ratio</v>
      </c>
      <c r="B9958">
        <v>1069</v>
      </c>
      <c r="C9958" s="9" t="s">
        <v>39</v>
      </c>
      <c r="D9958" s="8">
        <v>1.6910000000000001</v>
      </c>
    </row>
    <row r="9959" spans="1:4">
      <c r="A9959" t="str">
        <f t="shared" si="164"/>
        <v>1069Total Fees</v>
      </c>
      <c r="B9959">
        <v>1069</v>
      </c>
      <c r="C9959" s="9" t="s">
        <v>40</v>
      </c>
      <c r="D9959" s="8">
        <v>0</v>
      </c>
    </row>
    <row r="9960" spans="1:4">
      <c r="A9960" t="str">
        <f t="shared" si="164"/>
        <v>1069Estimated Strategy Capacity</v>
      </c>
      <c r="B9960">
        <v>1069</v>
      </c>
      <c r="C9960" s="9" t="s">
        <v>41</v>
      </c>
      <c r="D9960" s="8">
        <v>5500000</v>
      </c>
    </row>
    <row r="9961" spans="1:4">
      <c r="A9961" t="str">
        <f t="shared" si="164"/>
        <v>1070PSR</v>
      </c>
      <c r="B9961">
        <v>1070</v>
      </c>
      <c r="C9961" s="9" t="s">
        <v>27</v>
      </c>
      <c r="D9961" s="8">
        <v>4.96E-3</v>
      </c>
    </row>
    <row r="9962" spans="1:4">
      <c r="A9962" t="str">
        <f t="shared" si="164"/>
        <v>1070Sharpe Ratio</v>
      </c>
      <c r="B9962">
        <v>1070</v>
      </c>
      <c r="C9962" s="9" t="s">
        <v>1</v>
      </c>
      <c r="D9962" s="8">
        <v>-1.46</v>
      </c>
    </row>
    <row r="9963" spans="1:4">
      <c r="A9963" t="str">
        <f t="shared" si="164"/>
        <v>1070Total Trades</v>
      </c>
      <c r="B9963">
        <v>1070</v>
      </c>
      <c r="C9963" s="9" t="s">
        <v>28</v>
      </c>
      <c r="D9963" s="8">
        <v>503</v>
      </c>
    </row>
    <row r="9964" spans="1:4">
      <c r="A9964" t="str">
        <f t="shared" si="164"/>
        <v>1070Average Win</v>
      </c>
      <c r="B9964">
        <v>1070</v>
      </c>
      <c r="C9964" s="9" t="s">
        <v>25</v>
      </c>
      <c r="D9964" s="8">
        <v>6.9999999999999999E-4</v>
      </c>
    </row>
    <row r="9965" spans="1:4">
      <c r="A9965" t="str">
        <f t="shared" si="164"/>
        <v>1070Average Loss</v>
      </c>
      <c r="B9965">
        <v>1070</v>
      </c>
      <c r="C9965" s="9" t="s">
        <v>29</v>
      </c>
      <c r="D9965" s="8">
        <v>-3.0000000000000001E-3</v>
      </c>
    </row>
    <row r="9966" spans="1:4">
      <c r="A9966" t="str">
        <f t="shared" si="164"/>
        <v>1070Compounding Annual Return</v>
      </c>
      <c r="B9966">
        <v>1070</v>
      </c>
      <c r="C9966" s="9" t="s">
        <v>30</v>
      </c>
      <c r="D9966" s="8">
        <v>-6.0069999999999998E-2</v>
      </c>
    </row>
    <row r="9967" spans="1:4">
      <c r="A9967" t="str">
        <f t="shared" si="164"/>
        <v>1070Drawdown</v>
      </c>
      <c r="B9967">
        <v>1070</v>
      </c>
      <c r="C9967" s="9" t="s">
        <v>8</v>
      </c>
      <c r="D9967" s="8">
        <v>6.4000000000000001E-2</v>
      </c>
    </row>
    <row r="9968" spans="1:4">
      <c r="A9968" t="str">
        <f t="shared" si="164"/>
        <v>1070Expectancy</v>
      </c>
      <c r="B9968">
        <v>1070</v>
      </c>
      <c r="C9968" s="9" t="s">
        <v>31</v>
      </c>
      <c r="D9968" s="8">
        <v>-0.17</v>
      </c>
    </row>
    <row r="9969" spans="1:4">
      <c r="A9969" t="str">
        <f t="shared" si="164"/>
        <v>1070Net Profit</v>
      </c>
      <c r="B9969">
        <v>1070</v>
      </c>
      <c r="C9969" s="9" t="s">
        <v>32</v>
      </c>
      <c r="D9969" s="8">
        <v>-4.0399999999999998E-2</v>
      </c>
    </row>
    <row r="9970" spans="1:4">
      <c r="A9970" t="str">
        <f t="shared" si="164"/>
        <v>1070Loss Rate</v>
      </c>
      <c r="B9970">
        <v>1070</v>
      </c>
      <c r="C9970" s="9" t="s">
        <v>33</v>
      </c>
      <c r="D9970" s="8">
        <v>0.33</v>
      </c>
    </row>
    <row r="9971" spans="1:4">
      <c r="A9971" t="str">
        <f t="shared" si="164"/>
        <v>1070Win Rate</v>
      </c>
      <c r="B9971">
        <v>1070</v>
      </c>
      <c r="C9971" s="9" t="s">
        <v>34</v>
      </c>
      <c r="D9971" s="8">
        <v>0.67</v>
      </c>
    </row>
    <row r="9972" spans="1:4">
      <c r="A9972" t="str">
        <f t="shared" si="164"/>
        <v>1070Profit-Loss Ratio</v>
      </c>
      <c r="B9972">
        <v>1070</v>
      </c>
      <c r="C9972" s="9" t="s">
        <v>26</v>
      </c>
      <c r="D9972" s="8">
        <v>0.24</v>
      </c>
    </row>
    <row r="9973" spans="1:4">
      <c r="A9973" t="str">
        <f t="shared" si="164"/>
        <v>1070Alpha</v>
      </c>
      <c r="B9973">
        <v>1070</v>
      </c>
      <c r="C9973" s="9" t="s">
        <v>23</v>
      </c>
      <c r="D9973" s="8">
        <v>-3.9E-2</v>
      </c>
    </row>
    <row r="9974" spans="1:4">
      <c r="A9974" t="str">
        <f t="shared" si="164"/>
        <v>1070Beta</v>
      </c>
      <c r="B9974">
        <v>1070</v>
      </c>
      <c r="C9974" s="9" t="s">
        <v>24</v>
      </c>
      <c r="D9974" s="8">
        <v>-0.05</v>
      </c>
    </row>
    <row r="9975" spans="1:4">
      <c r="A9975" t="str">
        <f t="shared" si="164"/>
        <v>1070Annual Standard Deviation</v>
      </c>
      <c r="B9975">
        <v>1070</v>
      </c>
      <c r="C9975" s="9" t="s">
        <v>35</v>
      </c>
      <c r="D9975" s="8">
        <v>2.9000000000000001E-2</v>
      </c>
    </row>
    <row r="9976" spans="1:4">
      <c r="A9976" t="str">
        <f t="shared" si="164"/>
        <v>1070Annual Variance</v>
      </c>
      <c r="B9976">
        <v>1070</v>
      </c>
      <c r="C9976" s="9" t="s">
        <v>36</v>
      </c>
      <c r="D9976" s="8">
        <v>1E-3</v>
      </c>
    </row>
    <row r="9977" spans="1:4">
      <c r="A9977" t="str">
        <f t="shared" si="164"/>
        <v>1070Information Ratio</v>
      </c>
      <c r="B9977">
        <v>1070</v>
      </c>
      <c r="C9977" s="9" t="s">
        <v>37</v>
      </c>
      <c r="D9977" s="8">
        <v>-1.194</v>
      </c>
    </row>
    <row r="9978" spans="1:4">
      <c r="A9978" t="str">
        <f t="shared" si="164"/>
        <v>1070Tracking Error</v>
      </c>
      <c r="B9978">
        <v>1070</v>
      </c>
      <c r="C9978" s="9" t="s">
        <v>38</v>
      </c>
      <c r="D9978" s="8">
        <v>7.5999999999999998E-2</v>
      </c>
    </row>
    <row r="9979" spans="1:4">
      <c r="A9979" t="str">
        <f t="shared" si="164"/>
        <v>1070Treynor Ratio</v>
      </c>
      <c r="B9979">
        <v>1070</v>
      </c>
      <c r="C9979" s="9" t="s">
        <v>39</v>
      </c>
      <c r="D9979" s="8">
        <v>0.83199999999999996</v>
      </c>
    </row>
    <row r="9980" spans="1:4">
      <c r="A9980" t="str">
        <f t="shared" si="164"/>
        <v>1070Total Fees</v>
      </c>
      <c r="B9980">
        <v>1070</v>
      </c>
      <c r="C9980" s="9" t="s">
        <v>40</v>
      </c>
      <c r="D9980" s="8">
        <v>0</v>
      </c>
    </row>
    <row r="9981" spans="1:4">
      <c r="A9981" t="str">
        <f t="shared" si="164"/>
        <v>1070Estimated Strategy Capacity</v>
      </c>
      <c r="B9981">
        <v>1070</v>
      </c>
      <c r="C9981" s="9" t="s">
        <v>41</v>
      </c>
      <c r="D9981" s="8">
        <v>5900000</v>
      </c>
    </row>
    <row r="9982" spans="1:4">
      <c r="A9982" t="str">
        <f t="shared" si="164"/>
        <v>1071PSR</v>
      </c>
      <c r="B9982">
        <v>1071</v>
      </c>
      <c r="C9982" s="9" t="s">
        <v>27</v>
      </c>
      <c r="D9982" s="8">
        <v>8.8000000000000005E-3</v>
      </c>
    </row>
    <row r="9983" spans="1:4">
      <c r="A9983" t="str">
        <f t="shared" si="164"/>
        <v>1071Sharpe Ratio</v>
      </c>
      <c r="B9983">
        <v>1071</v>
      </c>
      <c r="C9983" s="9" t="s">
        <v>1</v>
      </c>
      <c r="D9983" s="8">
        <v>-1.321</v>
      </c>
    </row>
    <row r="9984" spans="1:4">
      <c r="A9984" t="str">
        <f t="shared" si="164"/>
        <v>1071Total Trades</v>
      </c>
      <c r="B9984">
        <v>1071</v>
      </c>
      <c r="C9984" s="9" t="s">
        <v>28</v>
      </c>
      <c r="D9984" s="8">
        <v>418</v>
      </c>
    </row>
    <row r="9985" spans="1:4">
      <c r="A9985" t="str">
        <f t="shared" si="164"/>
        <v>1071Average Win</v>
      </c>
      <c r="B9985">
        <v>1071</v>
      </c>
      <c r="C9985" s="9" t="s">
        <v>25</v>
      </c>
      <c r="D9985" s="8">
        <v>8.9999999999999998E-4</v>
      </c>
    </row>
    <row r="9986" spans="1:4">
      <c r="A9986" t="str">
        <f t="shared" si="164"/>
        <v>1071Average Loss</v>
      </c>
      <c r="B9986">
        <v>1071</v>
      </c>
      <c r="C9986" s="9" t="s">
        <v>29</v>
      </c>
      <c r="D9986" s="8">
        <v>-3.0000000000000001E-3</v>
      </c>
    </row>
    <row r="9987" spans="1:4">
      <c r="A9987" t="str">
        <f t="shared" ref="A9987:A10050" si="165">B9987&amp;C9987</f>
        <v>1071Compounding Annual Return</v>
      </c>
      <c r="B9987">
        <v>1071</v>
      </c>
      <c r="C9987" s="9" t="s">
        <v>30</v>
      </c>
      <c r="D9987" s="8">
        <v>-5.6950000000000001E-2</v>
      </c>
    </row>
    <row r="9988" spans="1:4">
      <c r="A9988" t="str">
        <f t="shared" si="165"/>
        <v>1071Drawdown</v>
      </c>
      <c r="B9988">
        <v>1071</v>
      </c>
      <c r="C9988" s="9" t="s">
        <v>8</v>
      </c>
      <c r="D9988" s="8">
        <v>7.0000000000000007E-2</v>
      </c>
    </row>
    <row r="9989" spans="1:4">
      <c r="A9989" t="str">
        <f t="shared" si="165"/>
        <v>1071Expectancy</v>
      </c>
      <c r="B9989">
        <v>1071</v>
      </c>
      <c r="C9989" s="9" t="s">
        <v>31</v>
      </c>
      <c r="D9989" s="8">
        <v>-0.16500000000000001</v>
      </c>
    </row>
    <row r="9990" spans="1:4">
      <c r="A9990" t="str">
        <f t="shared" si="165"/>
        <v>1071Net Profit</v>
      </c>
      <c r="B9990">
        <v>1071</v>
      </c>
      <c r="C9990" s="9" t="s">
        <v>32</v>
      </c>
      <c r="D9990" s="8">
        <v>-3.8280000000000002E-2</v>
      </c>
    </row>
    <row r="9991" spans="1:4">
      <c r="A9991" t="str">
        <f t="shared" si="165"/>
        <v>1071Loss Rate</v>
      </c>
      <c r="B9991">
        <v>1071</v>
      </c>
      <c r="C9991" s="9" t="s">
        <v>33</v>
      </c>
      <c r="D9991" s="8">
        <v>0.36</v>
      </c>
    </row>
    <row r="9992" spans="1:4">
      <c r="A9992" t="str">
        <f t="shared" si="165"/>
        <v>1071Win Rate</v>
      </c>
      <c r="B9992">
        <v>1071</v>
      </c>
      <c r="C9992" s="9" t="s">
        <v>34</v>
      </c>
      <c r="D9992" s="8">
        <v>0.64</v>
      </c>
    </row>
    <row r="9993" spans="1:4">
      <c r="A9993" t="str">
        <f t="shared" si="165"/>
        <v>1071Profit-Loss Ratio</v>
      </c>
      <c r="B9993">
        <v>1071</v>
      </c>
      <c r="C9993" s="9" t="s">
        <v>26</v>
      </c>
      <c r="D9993" s="8">
        <v>0.28999999999999998</v>
      </c>
    </row>
    <row r="9994" spans="1:4">
      <c r="A9994" t="str">
        <f t="shared" si="165"/>
        <v>1071Alpha</v>
      </c>
      <c r="B9994">
        <v>1071</v>
      </c>
      <c r="C9994" s="9" t="s">
        <v>23</v>
      </c>
      <c r="D9994" s="8">
        <v>-3.5999999999999997E-2</v>
      </c>
    </row>
    <row r="9995" spans="1:4">
      <c r="A9995" t="str">
        <f t="shared" si="165"/>
        <v>1071Beta</v>
      </c>
      <c r="B9995">
        <v>1071</v>
      </c>
      <c r="C9995" s="9" t="s">
        <v>24</v>
      </c>
      <c r="D9995" s="8">
        <v>-6.5000000000000002E-2</v>
      </c>
    </row>
    <row r="9996" spans="1:4">
      <c r="A9996" t="str">
        <f t="shared" si="165"/>
        <v>1071Annual Standard Deviation</v>
      </c>
      <c r="B9996">
        <v>1071</v>
      </c>
      <c r="C9996" s="9" t="s">
        <v>35</v>
      </c>
      <c r="D9996" s="8">
        <v>0.03</v>
      </c>
    </row>
    <row r="9997" spans="1:4">
      <c r="A9997" t="str">
        <f t="shared" si="165"/>
        <v>1071Annual Variance</v>
      </c>
      <c r="B9997">
        <v>1071</v>
      </c>
      <c r="C9997" s="9" t="s">
        <v>36</v>
      </c>
      <c r="D9997" s="8">
        <v>1E-3</v>
      </c>
    </row>
    <row r="9998" spans="1:4">
      <c r="A9998" t="str">
        <f t="shared" si="165"/>
        <v>1071Information Ratio</v>
      </c>
      <c r="B9998">
        <v>1071</v>
      </c>
      <c r="C9998" s="9" t="s">
        <v>37</v>
      </c>
      <c r="D9998" s="8">
        <v>-1.179</v>
      </c>
    </row>
    <row r="9999" spans="1:4">
      <c r="A9999" t="str">
        <f t="shared" si="165"/>
        <v>1071Tracking Error</v>
      </c>
      <c r="B9999">
        <v>1071</v>
      </c>
      <c r="C9999" s="9" t="s">
        <v>38</v>
      </c>
      <c r="D9999" s="8">
        <v>7.6999999999999999E-2</v>
      </c>
    </row>
    <row r="10000" spans="1:4">
      <c r="A10000" t="str">
        <f t="shared" si="165"/>
        <v>1071Treynor Ratio</v>
      </c>
      <c r="B10000">
        <v>1071</v>
      </c>
      <c r="C10000" s="9" t="s">
        <v>39</v>
      </c>
      <c r="D10000" s="8">
        <v>0.60899999999999999</v>
      </c>
    </row>
    <row r="10001" spans="1:4">
      <c r="A10001" t="str">
        <f t="shared" si="165"/>
        <v>1071Total Fees</v>
      </c>
      <c r="B10001">
        <v>1071</v>
      </c>
      <c r="C10001" s="9" t="s">
        <v>40</v>
      </c>
      <c r="D10001" s="8">
        <v>0</v>
      </c>
    </row>
    <row r="10002" spans="1:4">
      <c r="A10002" t="str">
        <f t="shared" si="165"/>
        <v>1071Estimated Strategy Capacity</v>
      </c>
      <c r="B10002">
        <v>1071</v>
      </c>
      <c r="C10002" s="9" t="s">
        <v>41</v>
      </c>
      <c r="D10002" s="8">
        <v>6400000</v>
      </c>
    </row>
    <row r="10003" spans="1:4">
      <c r="A10003" t="str">
        <f t="shared" si="165"/>
        <v>1090PSR</v>
      </c>
      <c r="B10003">
        <v>1090</v>
      </c>
      <c r="C10003" s="9" t="s">
        <v>27</v>
      </c>
      <c r="D10003" s="8">
        <v>3.8000000000000002E-4</v>
      </c>
    </row>
    <row r="10004" spans="1:4">
      <c r="A10004" t="str">
        <f t="shared" si="165"/>
        <v>1090Sharpe Ratio</v>
      </c>
      <c r="B10004">
        <v>1090</v>
      </c>
      <c r="C10004" s="9" t="s">
        <v>1</v>
      </c>
      <c r="D10004" s="8">
        <v>-2.1190000000000002</v>
      </c>
    </row>
    <row r="10005" spans="1:4">
      <c r="A10005" t="str">
        <f t="shared" si="165"/>
        <v>1090Total Trades</v>
      </c>
      <c r="B10005">
        <v>1090</v>
      </c>
      <c r="C10005" s="9" t="s">
        <v>28</v>
      </c>
      <c r="D10005" s="8">
        <v>1587</v>
      </c>
    </row>
    <row r="10006" spans="1:4">
      <c r="A10006" t="str">
        <f t="shared" si="165"/>
        <v>1090Average Win</v>
      </c>
      <c r="B10006">
        <v>1090</v>
      </c>
      <c r="C10006" s="9" t="s">
        <v>25</v>
      </c>
      <c r="D10006" s="8">
        <v>5.0000000000000001E-4</v>
      </c>
    </row>
    <row r="10007" spans="1:4">
      <c r="A10007" t="str">
        <f t="shared" si="165"/>
        <v>1090Average Loss</v>
      </c>
      <c r="B10007">
        <v>1090</v>
      </c>
      <c r="C10007" s="9" t="s">
        <v>29</v>
      </c>
      <c r="D10007" s="8">
        <v>-1.8E-3</v>
      </c>
    </row>
    <row r="10008" spans="1:4">
      <c r="A10008" t="str">
        <f t="shared" si="165"/>
        <v>1090Compounding Annual Return</v>
      </c>
      <c r="B10008">
        <v>1090</v>
      </c>
      <c r="C10008" s="9" t="s">
        <v>30</v>
      </c>
      <c r="D10008" s="8">
        <v>-8.3589999999999998E-2</v>
      </c>
    </row>
    <row r="10009" spans="1:4">
      <c r="A10009" t="str">
        <f t="shared" si="165"/>
        <v>1090Drawdown</v>
      </c>
      <c r="B10009">
        <v>1090</v>
      </c>
      <c r="C10009" s="9" t="s">
        <v>8</v>
      </c>
      <c r="D10009" s="8">
        <v>6.0999999999999999E-2</v>
      </c>
    </row>
    <row r="10010" spans="1:4">
      <c r="A10010" t="str">
        <f t="shared" si="165"/>
        <v>1090Expectancy</v>
      </c>
      <c r="B10010">
        <v>1090</v>
      </c>
      <c r="C10010" s="9" t="s">
        <v>31</v>
      </c>
      <c r="D10010" s="8">
        <v>-0.14899999999999999</v>
      </c>
    </row>
    <row r="10011" spans="1:4">
      <c r="A10011" t="str">
        <f t="shared" si="165"/>
        <v>1090Net Profit</v>
      </c>
      <c r="B10011">
        <v>1090</v>
      </c>
      <c r="C10011" s="9" t="s">
        <v>32</v>
      </c>
      <c r="D10011" s="8">
        <v>-5.645E-2</v>
      </c>
    </row>
    <row r="10012" spans="1:4">
      <c r="A10012" t="str">
        <f t="shared" si="165"/>
        <v>1090Loss Rate</v>
      </c>
      <c r="B10012">
        <v>1090</v>
      </c>
      <c r="C10012" s="9" t="s">
        <v>33</v>
      </c>
      <c r="D10012" s="8">
        <v>0.33</v>
      </c>
    </row>
    <row r="10013" spans="1:4">
      <c r="A10013" t="str">
        <f t="shared" si="165"/>
        <v>1090Win Rate</v>
      </c>
      <c r="B10013">
        <v>1090</v>
      </c>
      <c r="C10013" s="9" t="s">
        <v>34</v>
      </c>
      <c r="D10013" s="8">
        <v>0.67</v>
      </c>
    </row>
    <row r="10014" spans="1:4">
      <c r="A10014" t="str">
        <f t="shared" si="165"/>
        <v>1090Profit-Loss Ratio</v>
      </c>
      <c r="B10014">
        <v>1090</v>
      </c>
      <c r="C10014" s="9" t="s">
        <v>26</v>
      </c>
      <c r="D10014" s="8">
        <v>0.27</v>
      </c>
    </row>
    <row r="10015" spans="1:4">
      <c r="A10015" t="str">
        <f t="shared" si="165"/>
        <v>1090Alpha</v>
      </c>
      <c r="B10015">
        <v>1090</v>
      </c>
      <c r="C10015" s="9" t="s">
        <v>23</v>
      </c>
      <c r="D10015" s="8">
        <v>-5.6000000000000001E-2</v>
      </c>
    </row>
    <row r="10016" spans="1:4">
      <c r="A10016" t="str">
        <f t="shared" si="165"/>
        <v>1090Beta</v>
      </c>
      <c r="B10016">
        <v>1090</v>
      </c>
      <c r="C10016" s="9" t="s">
        <v>24</v>
      </c>
      <c r="D10016" s="8">
        <v>-4.2000000000000003E-2</v>
      </c>
    </row>
    <row r="10017" spans="1:4">
      <c r="A10017" t="str">
        <f t="shared" si="165"/>
        <v>1090Annual Standard Deviation</v>
      </c>
      <c r="B10017">
        <v>1090</v>
      </c>
      <c r="C10017" s="9" t="s">
        <v>35</v>
      </c>
      <c r="D10017" s="8">
        <v>2.8000000000000001E-2</v>
      </c>
    </row>
    <row r="10018" spans="1:4">
      <c r="A10018" t="str">
        <f t="shared" si="165"/>
        <v>1090Annual Variance</v>
      </c>
      <c r="B10018">
        <v>1090</v>
      </c>
      <c r="C10018" s="9" t="s">
        <v>36</v>
      </c>
      <c r="D10018" s="8">
        <v>1E-3</v>
      </c>
    </row>
    <row r="10019" spans="1:4">
      <c r="A10019" t="str">
        <f t="shared" si="165"/>
        <v>1090Information Ratio</v>
      </c>
      <c r="B10019">
        <v>1090</v>
      </c>
      <c r="C10019" s="9" t="s">
        <v>37</v>
      </c>
      <c r="D10019" s="8">
        <v>-1.466</v>
      </c>
    </row>
    <row r="10020" spans="1:4">
      <c r="A10020" t="str">
        <f t="shared" si="165"/>
        <v>1090Tracking Error</v>
      </c>
      <c r="B10020">
        <v>1090</v>
      </c>
      <c r="C10020" s="9" t="s">
        <v>38</v>
      </c>
      <c r="D10020" s="8">
        <v>7.4999999999999997E-2</v>
      </c>
    </row>
    <row r="10021" spans="1:4">
      <c r="A10021" t="str">
        <f t="shared" si="165"/>
        <v>1090Treynor Ratio</v>
      </c>
      <c r="B10021">
        <v>1090</v>
      </c>
      <c r="C10021" s="9" t="s">
        <v>39</v>
      </c>
      <c r="D10021" s="8">
        <v>1.39</v>
      </c>
    </row>
    <row r="10022" spans="1:4">
      <c r="A10022" t="str">
        <f t="shared" si="165"/>
        <v>1090Total Fees</v>
      </c>
      <c r="B10022">
        <v>1090</v>
      </c>
      <c r="C10022" s="9" t="s">
        <v>40</v>
      </c>
      <c r="D10022" s="8">
        <v>0</v>
      </c>
    </row>
    <row r="10023" spans="1:4">
      <c r="A10023" t="str">
        <f t="shared" si="165"/>
        <v>1090Estimated Strategy Capacity</v>
      </c>
      <c r="B10023">
        <v>1090</v>
      </c>
      <c r="C10023" s="9" t="s">
        <v>41</v>
      </c>
      <c r="D10023" s="8">
        <v>7400000</v>
      </c>
    </row>
    <row r="10024" spans="1:4">
      <c r="A10024" t="str">
        <f t="shared" si="165"/>
        <v>1091PSR</v>
      </c>
      <c r="B10024">
        <v>1091</v>
      </c>
      <c r="C10024" s="9" t="s">
        <v>27</v>
      </c>
      <c r="D10024" s="8">
        <v>6.0000000000000002E-5</v>
      </c>
    </row>
    <row r="10025" spans="1:4">
      <c r="A10025" t="str">
        <f t="shared" si="165"/>
        <v>1091Sharpe Ratio</v>
      </c>
      <c r="B10025">
        <v>1091</v>
      </c>
      <c r="C10025" s="9" t="s">
        <v>1</v>
      </c>
      <c r="D10025" s="8">
        <v>-2.419</v>
      </c>
    </row>
    <row r="10026" spans="1:4">
      <c r="A10026" t="str">
        <f t="shared" si="165"/>
        <v>1091Total Trades</v>
      </c>
      <c r="B10026">
        <v>1091</v>
      </c>
      <c r="C10026" s="9" t="s">
        <v>28</v>
      </c>
      <c r="D10026" s="8">
        <v>1022</v>
      </c>
    </row>
    <row r="10027" spans="1:4">
      <c r="A10027" t="str">
        <f t="shared" si="165"/>
        <v>1091Average Win</v>
      </c>
      <c r="B10027">
        <v>1091</v>
      </c>
      <c r="C10027" s="9" t="s">
        <v>25</v>
      </c>
      <c r="D10027" s="8">
        <v>6.9999999999999999E-4</v>
      </c>
    </row>
    <row r="10028" spans="1:4">
      <c r="A10028" t="str">
        <f t="shared" si="165"/>
        <v>1091Average Loss</v>
      </c>
      <c r="B10028">
        <v>1091</v>
      </c>
      <c r="C10028" s="9" t="s">
        <v>29</v>
      </c>
      <c r="D10028" s="8">
        <v>-2.5000000000000001E-3</v>
      </c>
    </row>
    <row r="10029" spans="1:4">
      <c r="A10029" t="str">
        <f t="shared" si="165"/>
        <v>1091Compounding Annual Return</v>
      </c>
      <c r="B10029">
        <v>1091</v>
      </c>
      <c r="C10029" s="9" t="s">
        <v>30</v>
      </c>
      <c r="D10029" s="8">
        <v>-0.12554999999999999</v>
      </c>
    </row>
    <row r="10030" spans="1:4">
      <c r="A10030" t="str">
        <f t="shared" si="165"/>
        <v>1091Drawdown</v>
      </c>
      <c r="B10030">
        <v>1091</v>
      </c>
      <c r="C10030" s="9" t="s">
        <v>8</v>
      </c>
      <c r="D10030" s="8">
        <v>9.1999999999999998E-2</v>
      </c>
    </row>
    <row r="10031" spans="1:4">
      <c r="A10031" t="str">
        <f t="shared" si="165"/>
        <v>1091Expectancy</v>
      </c>
      <c r="B10031">
        <v>1091</v>
      </c>
      <c r="C10031" s="9" t="s">
        <v>31</v>
      </c>
      <c r="D10031" s="8">
        <v>-0.18099999999999999</v>
      </c>
    </row>
    <row r="10032" spans="1:4">
      <c r="A10032" t="str">
        <f t="shared" si="165"/>
        <v>1091Net Profit</v>
      </c>
      <c r="B10032">
        <v>1091</v>
      </c>
      <c r="C10032" s="9" t="s">
        <v>32</v>
      </c>
      <c r="D10032" s="8">
        <v>-8.5430000000000006E-2</v>
      </c>
    </row>
    <row r="10033" spans="1:4">
      <c r="A10033" t="str">
        <f t="shared" si="165"/>
        <v>1091Loss Rate</v>
      </c>
      <c r="B10033">
        <v>1091</v>
      </c>
      <c r="C10033" s="9" t="s">
        <v>33</v>
      </c>
      <c r="D10033" s="8">
        <v>0.37</v>
      </c>
    </row>
    <row r="10034" spans="1:4">
      <c r="A10034" t="str">
        <f t="shared" si="165"/>
        <v>1091Win Rate</v>
      </c>
      <c r="B10034">
        <v>1091</v>
      </c>
      <c r="C10034" s="9" t="s">
        <v>34</v>
      </c>
      <c r="D10034" s="8">
        <v>0.63</v>
      </c>
    </row>
    <row r="10035" spans="1:4">
      <c r="A10035" t="str">
        <f t="shared" si="165"/>
        <v>1091Profit-Loss Ratio</v>
      </c>
      <c r="B10035">
        <v>1091</v>
      </c>
      <c r="C10035" s="9" t="s">
        <v>26</v>
      </c>
      <c r="D10035" s="8">
        <v>0.28999999999999998</v>
      </c>
    </row>
    <row r="10036" spans="1:4">
      <c r="A10036" t="str">
        <f t="shared" si="165"/>
        <v>1091Alpha</v>
      </c>
      <c r="B10036">
        <v>1091</v>
      </c>
      <c r="C10036" s="9" t="s">
        <v>23</v>
      </c>
      <c r="D10036" s="8">
        <v>-8.7999999999999995E-2</v>
      </c>
    </row>
    <row r="10037" spans="1:4">
      <c r="A10037" t="str">
        <f t="shared" si="165"/>
        <v>1091Beta</v>
      </c>
      <c r="B10037">
        <v>1091</v>
      </c>
      <c r="C10037" s="9" t="s">
        <v>24</v>
      </c>
      <c r="D10037" s="8">
        <v>-0.01</v>
      </c>
    </row>
    <row r="10038" spans="1:4">
      <c r="A10038" t="str">
        <f t="shared" si="165"/>
        <v>1091Annual Standard Deviation</v>
      </c>
      <c r="B10038">
        <v>1091</v>
      </c>
      <c r="C10038" s="9" t="s">
        <v>35</v>
      </c>
      <c r="D10038" s="8">
        <v>3.5999999999999997E-2</v>
      </c>
    </row>
    <row r="10039" spans="1:4">
      <c r="A10039" t="str">
        <f t="shared" si="165"/>
        <v>1091Annual Variance</v>
      </c>
      <c r="B10039">
        <v>1091</v>
      </c>
      <c r="C10039" s="9" t="s">
        <v>36</v>
      </c>
      <c r="D10039" s="8">
        <v>1E-3</v>
      </c>
    </row>
    <row r="10040" spans="1:4">
      <c r="A10040" t="str">
        <f t="shared" si="165"/>
        <v>1091Information Ratio</v>
      </c>
      <c r="B10040">
        <v>1091</v>
      </c>
      <c r="C10040" s="9" t="s">
        <v>37</v>
      </c>
      <c r="D10040" s="8">
        <v>-1.7829999999999999</v>
      </c>
    </row>
    <row r="10041" spans="1:4">
      <c r="A10041" t="str">
        <f t="shared" si="165"/>
        <v>1091Tracking Error</v>
      </c>
      <c r="B10041">
        <v>1091</v>
      </c>
      <c r="C10041" s="9" t="s">
        <v>38</v>
      </c>
      <c r="D10041" s="8">
        <v>7.6999999999999999E-2</v>
      </c>
    </row>
    <row r="10042" spans="1:4">
      <c r="A10042" t="str">
        <f t="shared" si="165"/>
        <v>1091Treynor Ratio</v>
      </c>
      <c r="B10042">
        <v>1091</v>
      </c>
      <c r="C10042" s="9" t="s">
        <v>39</v>
      </c>
      <c r="D10042" s="8">
        <v>9.1069999999999993</v>
      </c>
    </row>
    <row r="10043" spans="1:4">
      <c r="A10043" t="str">
        <f t="shared" si="165"/>
        <v>1091Total Fees</v>
      </c>
      <c r="B10043">
        <v>1091</v>
      </c>
      <c r="C10043" s="9" t="s">
        <v>40</v>
      </c>
      <c r="D10043" s="8">
        <v>0</v>
      </c>
    </row>
    <row r="10044" spans="1:4">
      <c r="A10044" t="str">
        <f t="shared" si="165"/>
        <v>1091Estimated Strategy Capacity</v>
      </c>
      <c r="B10044">
        <v>1091</v>
      </c>
      <c r="C10044" s="9" t="s">
        <v>41</v>
      </c>
      <c r="D10044" s="8">
        <v>4500000</v>
      </c>
    </row>
    <row r="10045" spans="1:4">
      <c r="A10045" t="str">
        <f t="shared" si="165"/>
        <v>1092PSR</v>
      </c>
      <c r="B10045">
        <v>1092</v>
      </c>
      <c r="C10045" s="9" t="s">
        <v>27</v>
      </c>
      <c r="D10045" s="8">
        <v>2.0000000000000002E-5</v>
      </c>
    </row>
    <row r="10046" spans="1:4">
      <c r="A10046" t="str">
        <f t="shared" si="165"/>
        <v>1092Sharpe Ratio</v>
      </c>
      <c r="B10046">
        <v>1092</v>
      </c>
      <c r="C10046" s="9" t="s">
        <v>1</v>
      </c>
      <c r="D10046" s="8">
        <v>-2.56</v>
      </c>
    </row>
    <row r="10047" spans="1:4">
      <c r="A10047" t="str">
        <f t="shared" si="165"/>
        <v>1092Total Trades</v>
      </c>
      <c r="B10047">
        <v>1092</v>
      </c>
      <c r="C10047" s="9" t="s">
        <v>28</v>
      </c>
      <c r="D10047" s="8">
        <v>861</v>
      </c>
    </row>
    <row r="10048" spans="1:4">
      <c r="A10048" t="str">
        <f t="shared" si="165"/>
        <v>1092Average Win</v>
      </c>
      <c r="B10048">
        <v>1092</v>
      </c>
      <c r="C10048" s="9" t="s">
        <v>25</v>
      </c>
      <c r="D10048" s="8">
        <v>6.9999999999999999E-4</v>
      </c>
    </row>
    <row r="10049" spans="1:4">
      <c r="A10049" t="str">
        <f t="shared" si="165"/>
        <v>1092Average Loss</v>
      </c>
      <c r="B10049">
        <v>1092</v>
      </c>
      <c r="C10049" s="9" t="s">
        <v>29</v>
      </c>
      <c r="D10049" s="8">
        <v>-2.7000000000000001E-3</v>
      </c>
    </row>
    <row r="10050" spans="1:4">
      <c r="A10050" t="str">
        <f t="shared" si="165"/>
        <v>1092Compounding Annual Return</v>
      </c>
      <c r="B10050">
        <v>1092</v>
      </c>
      <c r="C10050" s="9" t="s">
        <v>30</v>
      </c>
      <c r="D10050" s="8">
        <v>-0.13861000000000001</v>
      </c>
    </row>
    <row r="10051" spans="1:4">
      <c r="A10051" t="str">
        <f t="shared" ref="A10051:A10064" si="166">B10051&amp;C10051</f>
        <v>1092Drawdown</v>
      </c>
      <c r="B10051">
        <v>1092</v>
      </c>
      <c r="C10051" s="9" t="s">
        <v>8</v>
      </c>
      <c r="D10051" s="8">
        <v>0.10100000000000001</v>
      </c>
    </row>
    <row r="10052" spans="1:4">
      <c r="A10052" t="str">
        <f t="shared" si="166"/>
        <v>1092Expectancy</v>
      </c>
      <c r="B10052">
        <v>1092</v>
      </c>
      <c r="C10052" s="9" t="s">
        <v>31</v>
      </c>
      <c r="D10052" s="8">
        <v>-0.19400000000000001</v>
      </c>
    </row>
    <row r="10053" spans="1:4">
      <c r="A10053" t="str">
        <f t="shared" si="166"/>
        <v>1092Net Profit</v>
      </c>
      <c r="B10053">
        <v>1092</v>
      </c>
      <c r="C10053" s="9" t="s">
        <v>32</v>
      </c>
      <c r="D10053" s="8">
        <v>-9.4549999999999995E-2</v>
      </c>
    </row>
    <row r="10054" spans="1:4">
      <c r="A10054" t="str">
        <f t="shared" si="166"/>
        <v>1092Loss Rate</v>
      </c>
      <c r="B10054">
        <v>1092</v>
      </c>
      <c r="C10054" s="9" t="s">
        <v>33</v>
      </c>
      <c r="D10054" s="8">
        <v>0.37</v>
      </c>
    </row>
    <row r="10055" spans="1:4">
      <c r="A10055" t="str">
        <f t="shared" si="166"/>
        <v>1092Win Rate</v>
      </c>
      <c r="B10055">
        <v>1092</v>
      </c>
      <c r="C10055" s="9" t="s">
        <v>34</v>
      </c>
      <c r="D10055" s="8">
        <v>0.63</v>
      </c>
    </row>
    <row r="10056" spans="1:4">
      <c r="A10056" t="str">
        <f t="shared" si="166"/>
        <v>1092Profit-Loss Ratio</v>
      </c>
      <c r="B10056">
        <v>1092</v>
      </c>
      <c r="C10056" s="9" t="s">
        <v>26</v>
      </c>
      <c r="D10056" s="8">
        <v>0.27</v>
      </c>
    </row>
    <row r="10057" spans="1:4">
      <c r="A10057" t="str">
        <f t="shared" si="166"/>
        <v>1092Alpha</v>
      </c>
      <c r="B10057">
        <v>1092</v>
      </c>
      <c r="C10057" s="9" t="s">
        <v>23</v>
      </c>
      <c r="D10057" s="8">
        <v>-9.6000000000000002E-2</v>
      </c>
    </row>
    <row r="10058" spans="1:4">
      <c r="A10058" t="str">
        <f t="shared" si="166"/>
        <v>1092Beta</v>
      </c>
      <c r="B10058">
        <v>1092</v>
      </c>
      <c r="C10058" s="9" t="s">
        <v>24</v>
      </c>
      <c r="D10058" s="8">
        <v>-3.4000000000000002E-2</v>
      </c>
    </row>
    <row r="10059" spans="1:4">
      <c r="A10059" t="str">
        <f t="shared" si="166"/>
        <v>1092Annual Standard Deviation</v>
      </c>
      <c r="B10059">
        <v>1092</v>
      </c>
      <c r="C10059" s="9" t="s">
        <v>35</v>
      </c>
      <c r="D10059" s="8">
        <v>3.7999999999999999E-2</v>
      </c>
    </row>
    <row r="10060" spans="1:4">
      <c r="A10060" t="str">
        <f t="shared" si="166"/>
        <v>1092Annual Variance</v>
      </c>
      <c r="B10060">
        <v>1092</v>
      </c>
      <c r="C10060" s="9" t="s">
        <v>36</v>
      </c>
      <c r="D10060" s="8">
        <v>1E-3</v>
      </c>
    </row>
    <row r="10061" spans="1:4">
      <c r="A10061" t="str">
        <f t="shared" si="166"/>
        <v>1092Information Ratio</v>
      </c>
      <c r="B10061">
        <v>1092</v>
      </c>
      <c r="C10061" s="9" t="s">
        <v>37</v>
      </c>
      <c r="D10061" s="8">
        <v>-1.887</v>
      </c>
    </row>
    <row r="10062" spans="1:4">
      <c r="A10062" t="str">
        <f t="shared" si="166"/>
        <v>1092Tracking Error</v>
      </c>
      <c r="B10062">
        <v>1092</v>
      </c>
      <c r="C10062" s="9" t="s">
        <v>38</v>
      </c>
      <c r="D10062" s="8">
        <v>7.9000000000000001E-2</v>
      </c>
    </row>
    <row r="10063" spans="1:4">
      <c r="A10063" t="str">
        <f t="shared" si="166"/>
        <v>1092Treynor Ratio</v>
      </c>
      <c r="B10063">
        <v>1092</v>
      </c>
      <c r="C10063" s="9" t="s">
        <v>39</v>
      </c>
      <c r="D10063" s="8">
        <v>2.8940000000000001</v>
      </c>
    </row>
    <row r="10064" spans="1:4">
      <c r="A10064" t="str">
        <f t="shared" si="166"/>
        <v>1092Total Fees</v>
      </c>
      <c r="B10064">
        <v>1092</v>
      </c>
      <c r="C10064" s="9" t="s">
        <v>40</v>
      </c>
      <c r="D10064" s="8">
        <v>0</v>
      </c>
    </row>
    <row r="10065" spans="1:4">
      <c r="A10065" t="str">
        <f>B10065&amp;C10065</f>
        <v>1092Estimated Strategy Capacity</v>
      </c>
      <c r="B10065">
        <v>1092</v>
      </c>
      <c r="C10065" s="9" t="s">
        <v>41</v>
      </c>
      <c r="D10065" s="8">
        <v>4800000</v>
      </c>
    </row>
    <row r="10066" spans="1:4">
      <c r="A10066" t="str">
        <f t="shared" ref="A10066:A10129" si="167">B10066&amp;C10066</f>
        <v>1093PSR</v>
      </c>
      <c r="B10066">
        <v>1093</v>
      </c>
      <c r="C10066" s="9" t="s">
        <v>27</v>
      </c>
      <c r="D10066" s="8">
        <v>7.2899999999999996E-3</v>
      </c>
    </row>
    <row r="10067" spans="1:4">
      <c r="A10067" t="str">
        <f t="shared" si="167"/>
        <v>1093Sharpe Ratio</v>
      </c>
      <c r="B10067">
        <v>1093</v>
      </c>
      <c r="C10067" s="9" t="s">
        <v>1</v>
      </c>
      <c r="D10067" s="8">
        <v>-1.2549999999999999</v>
      </c>
    </row>
    <row r="10068" spans="1:4">
      <c r="A10068" t="str">
        <f t="shared" si="167"/>
        <v>1093Total Trades</v>
      </c>
      <c r="B10068">
        <v>1093</v>
      </c>
      <c r="C10068" s="9" t="s">
        <v>28</v>
      </c>
      <c r="D10068" s="8">
        <v>1095</v>
      </c>
    </row>
    <row r="10069" spans="1:4">
      <c r="A10069" t="str">
        <f t="shared" si="167"/>
        <v>1093Average Win</v>
      </c>
      <c r="B10069">
        <v>1093</v>
      </c>
      <c r="C10069" s="9" t="s">
        <v>25</v>
      </c>
      <c r="D10069" s="8">
        <v>5.0000000000000001E-4</v>
      </c>
    </row>
    <row r="10070" spans="1:4">
      <c r="A10070" t="str">
        <f t="shared" si="167"/>
        <v>1093Average Loss</v>
      </c>
      <c r="B10070">
        <v>1093</v>
      </c>
      <c r="C10070" s="9" t="s">
        <v>29</v>
      </c>
      <c r="D10070" s="8">
        <v>-1.5E-3</v>
      </c>
    </row>
    <row r="10071" spans="1:4">
      <c r="A10071" t="str">
        <f t="shared" si="167"/>
        <v>1093Compounding Annual Return</v>
      </c>
      <c r="B10071">
        <v>1093</v>
      </c>
      <c r="C10071" s="9" t="s">
        <v>30</v>
      </c>
      <c r="D10071" s="8">
        <v>-4.5679999999999998E-2</v>
      </c>
    </row>
    <row r="10072" spans="1:4">
      <c r="A10072" t="str">
        <f t="shared" si="167"/>
        <v>1093Drawdown</v>
      </c>
      <c r="B10072">
        <v>1093</v>
      </c>
      <c r="C10072" s="9" t="s">
        <v>8</v>
      </c>
      <c r="D10072" s="8">
        <v>0.04</v>
      </c>
    </row>
    <row r="10073" spans="1:4">
      <c r="A10073" t="str">
        <f t="shared" si="167"/>
        <v>1093Expectancy</v>
      </c>
      <c r="B10073">
        <v>1093</v>
      </c>
      <c r="C10073" s="9" t="s">
        <v>31</v>
      </c>
      <c r="D10073" s="8">
        <v>-0.122</v>
      </c>
    </row>
    <row r="10074" spans="1:4">
      <c r="A10074" t="str">
        <f t="shared" si="167"/>
        <v>1093Net Profit</v>
      </c>
      <c r="B10074">
        <v>1093</v>
      </c>
      <c r="C10074" s="9" t="s">
        <v>32</v>
      </c>
      <c r="D10074" s="8">
        <v>-3.0640000000000001E-2</v>
      </c>
    </row>
    <row r="10075" spans="1:4">
      <c r="A10075" t="str">
        <f t="shared" si="167"/>
        <v>1093Loss Rate</v>
      </c>
      <c r="B10075">
        <v>1093</v>
      </c>
      <c r="C10075" s="9" t="s">
        <v>33</v>
      </c>
      <c r="D10075" s="8">
        <v>0.35</v>
      </c>
    </row>
    <row r="10076" spans="1:4">
      <c r="A10076" t="str">
        <f t="shared" si="167"/>
        <v>1093Win Rate</v>
      </c>
      <c r="B10076">
        <v>1093</v>
      </c>
      <c r="C10076" s="9" t="s">
        <v>34</v>
      </c>
      <c r="D10076" s="8">
        <v>0.65</v>
      </c>
    </row>
    <row r="10077" spans="1:4">
      <c r="A10077" t="str">
        <f t="shared" si="167"/>
        <v>1093Profit-Loss Ratio</v>
      </c>
      <c r="B10077">
        <v>1093</v>
      </c>
      <c r="C10077" s="9" t="s">
        <v>26</v>
      </c>
      <c r="D10077" s="8">
        <v>0.35</v>
      </c>
    </row>
    <row r="10078" spans="1:4">
      <c r="A10078" t="str">
        <f t="shared" si="167"/>
        <v>1093Alpha</v>
      </c>
      <c r="B10078">
        <v>1093</v>
      </c>
      <c r="C10078" s="9" t="s">
        <v>23</v>
      </c>
      <c r="D10078" s="8">
        <v>-3.2000000000000001E-2</v>
      </c>
    </row>
    <row r="10079" spans="1:4">
      <c r="A10079" t="str">
        <f t="shared" si="167"/>
        <v>1093Beta</v>
      </c>
      <c r="B10079">
        <v>1093</v>
      </c>
      <c r="C10079" s="9" t="s">
        <v>24</v>
      </c>
      <c r="D10079" s="8">
        <v>1E-3</v>
      </c>
    </row>
    <row r="10080" spans="1:4">
      <c r="A10080" t="str">
        <f t="shared" si="167"/>
        <v>1093Annual Standard Deviation</v>
      </c>
      <c r="B10080">
        <v>1093</v>
      </c>
      <c r="C10080" s="9" t="s">
        <v>35</v>
      </c>
      <c r="D10080" s="8">
        <v>2.5000000000000001E-2</v>
      </c>
    </row>
    <row r="10081" spans="1:4">
      <c r="A10081" t="str">
        <f t="shared" si="167"/>
        <v>1093Annual Variance</v>
      </c>
      <c r="B10081">
        <v>1093</v>
      </c>
      <c r="C10081" s="9" t="s">
        <v>36</v>
      </c>
      <c r="D10081" s="8">
        <v>1E-3</v>
      </c>
    </row>
    <row r="10082" spans="1:4">
      <c r="A10082" t="str">
        <f t="shared" si="167"/>
        <v>1093Information Ratio</v>
      </c>
      <c r="B10082">
        <v>1093</v>
      </c>
      <c r="C10082" s="9" t="s">
        <v>37</v>
      </c>
      <c r="D10082" s="8">
        <v>-1.1639999999999999</v>
      </c>
    </row>
    <row r="10083" spans="1:4">
      <c r="A10083" t="str">
        <f t="shared" si="167"/>
        <v>1093Tracking Error</v>
      </c>
      <c r="B10083">
        <v>1093</v>
      </c>
      <c r="C10083" s="9" t="s">
        <v>38</v>
      </c>
      <c r="D10083" s="8">
        <v>7.1999999999999995E-2</v>
      </c>
    </row>
    <row r="10084" spans="1:4">
      <c r="A10084" t="str">
        <f t="shared" si="167"/>
        <v>1093Treynor Ratio</v>
      </c>
      <c r="B10084">
        <v>1093</v>
      </c>
      <c r="C10084" s="9" t="s">
        <v>39</v>
      </c>
      <c r="D10084" s="8">
        <v>-24.388000000000002</v>
      </c>
    </row>
    <row r="10085" spans="1:4">
      <c r="A10085" t="str">
        <f t="shared" si="167"/>
        <v>1093Total Fees</v>
      </c>
      <c r="B10085">
        <v>1093</v>
      </c>
      <c r="C10085" s="9" t="s">
        <v>40</v>
      </c>
      <c r="D10085" s="8">
        <v>0</v>
      </c>
    </row>
    <row r="10086" spans="1:4">
      <c r="A10086" t="str">
        <f t="shared" si="167"/>
        <v>1093Estimated Strategy Capacity</v>
      </c>
      <c r="B10086">
        <v>1093</v>
      </c>
      <c r="C10086" s="9" t="s">
        <v>41</v>
      </c>
      <c r="D10086" s="8">
        <v>5500000</v>
      </c>
    </row>
    <row r="10087" spans="1:4">
      <c r="A10087" t="str">
        <f t="shared" si="167"/>
        <v>1094PSR</v>
      </c>
      <c r="B10087">
        <v>1094</v>
      </c>
      <c r="C10087" s="9" t="s">
        <v>27</v>
      </c>
      <c r="D10087" s="8">
        <v>6.0000000000000002E-5</v>
      </c>
    </row>
    <row r="10088" spans="1:4">
      <c r="A10088" t="str">
        <f t="shared" si="167"/>
        <v>1094Sharpe Ratio</v>
      </c>
      <c r="B10088">
        <v>1094</v>
      </c>
      <c r="C10088" s="9" t="s">
        <v>1</v>
      </c>
      <c r="D10088" s="8">
        <v>-2.2080000000000002</v>
      </c>
    </row>
    <row r="10089" spans="1:4">
      <c r="A10089" t="str">
        <f t="shared" si="167"/>
        <v>1094Total Trades</v>
      </c>
      <c r="B10089">
        <v>1094</v>
      </c>
      <c r="C10089" s="9" t="s">
        <v>28</v>
      </c>
      <c r="D10089" s="8">
        <v>702</v>
      </c>
    </row>
    <row r="10090" spans="1:4">
      <c r="A10090" t="str">
        <f t="shared" si="167"/>
        <v>1094Average Win</v>
      </c>
      <c r="B10090">
        <v>1094</v>
      </c>
      <c r="C10090" s="9" t="s">
        <v>25</v>
      </c>
      <c r="D10090" s="8">
        <v>5.9999999999999995E-4</v>
      </c>
    </row>
    <row r="10091" spans="1:4">
      <c r="A10091" t="str">
        <f t="shared" si="167"/>
        <v>1094Average Loss</v>
      </c>
      <c r="B10091">
        <v>1094</v>
      </c>
      <c r="C10091" s="9" t="s">
        <v>29</v>
      </c>
      <c r="D10091" s="8">
        <v>-2.3E-3</v>
      </c>
    </row>
    <row r="10092" spans="1:4">
      <c r="A10092" t="str">
        <f t="shared" si="167"/>
        <v>1094Compounding Annual Return</v>
      </c>
      <c r="B10092">
        <v>1094</v>
      </c>
      <c r="C10092" s="9" t="s">
        <v>30</v>
      </c>
      <c r="D10092" s="8">
        <v>-8.9700000000000002E-2</v>
      </c>
    </row>
    <row r="10093" spans="1:4">
      <c r="A10093" t="str">
        <f t="shared" si="167"/>
        <v>1094Drawdown</v>
      </c>
      <c r="B10093">
        <v>1094</v>
      </c>
      <c r="C10093" s="9" t="s">
        <v>8</v>
      </c>
      <c r="D10093" s="8">
        <v>6.7000000000000004E-2</v>
      </c>
    </row>
    <row r="10094" spans="1:4">
      <c r="A10094" t="str">
        <f t="shared" si="167"/>
        <v>1094Expectancy</v>
      </c>
      <c r="B10094">
        <v>1094</v>
      </c>
      <c r="C10094" s="9" t="s">
        <v>31</v>
      </c>
      <c r="D10094" s="8">
        <v>-0.192</v>
      </c>
    </row>
    <row r="10095" spans="1:4">
      <c r="A10095" t="str">
        <f t="shared" si="167"/>
        <v>1094Net Profit</v>
      </c>
      <c r="B10095">
        <v>1094</v>
      </c>
      <c r="C10095" s="9" t="s">
        <v>32</v>
      </c>
      <c r="D10095" s="8">
        <v>-6.0639999999999999E-2</v>
      </c>
    </row>
    <row r="10096" spans="1:4">
      <c r="A10096" t="str">
        <f t="shared" si="167"/>
        <v>1094Loss Rate</v>
      </c>
      <c r="B10096">
        <v>1094</v>
      </c>
      <c r="C10096" s="9" t="s">
        <v>33</v>
      </c>
      <c r="D10096" s="8">
        <v>0.35</v>
      </c>
    </row>
    <row r="10097" spans="1:4">
      <c r="A10097" t="str">
        <f t="shared" si="167"/>
        <v>1094Win Rate</v>
      </c>
      <c r="B10097">
        <v>1094</v>
      </c>
      <c r="C10097" s="9" t="s">
        <v>34</v>
      </c>
      <c r="D10097" s="8">
        <v>0.65</v>
      </c>
    </row>
    <row r="10098" spans="1:4">
      <c r="A10098" t="str">
        <f t="shared" si="167"/>
        <v>1094Profit-Loss Ratio</v>
      </c>
      <c r="B10098">
        <v>1094</v>
      </c>
      <c r="C10098" s="9" t="s">
        <v>26</v>
      </c>
      <c r="D10098" s="8">
        <v>0.25</v>
      </c>
    </row>
    <row r="10099" spans="1:4">
      <c r="A10099" t="str">
        <f t="shared" si="167"/>
        <v>1094Alpha</v>
      </c>
      <c r="B10099">
        <v>1094</v>
      </c>
      <c r="C10099" s="9" t="s">
        <v>23</v>
      </c>
      <c r="D10099" s="8">
        <v>-6.4000000000000001E-2</v>
      </c>
    </row>
    <row r="10100" spans="1:4">
      <c r="A10100" t="str">
        <f t="shared" si="167"/>
        <v>1094Beta</v>
      </c>
      <c r="B10100">
        <v>1094</v>
      </c>
      <c r="C10100" s="9" t="s">
        <v>24</v>
      </c>
      <c r="D10100" s="8">
        <v>2.8000000000000001E-2</v>
      </c>
    </row>
    <row r="10101" spans="1:4">
      <c r="A10101" t="str">
        <f t="shared" si="167"/>
        <v>1094Annual Standard Deviation</v>
      </c>
      <c r="B10101">
        <v>1094</v>
      </c>
      <c r="C10101" s="9" t="s">
        <v>35</v>
      </c>
      <c r="D10101" s="8">
        <v>2.8000000000000001E-2</v>
      </c>
    </row>
    <row r="10102" spans="1:4">
      <c r="A10102" t="str">
        <f t="shared" si="167"/>
        <v>1094Annual Variance</v>
      </c>
      <c r="B10102">
        <v>1094</v>
      </c>
      <c r="C10102" s="9" t="s">
        <v>36</v>
      </c>
      <c r="D10102" s="8">
        <v>1E-3</v>
      </c>
    </row>
    <row r="10103" spans="1:4">
      <c r="A10103" t="str">
        <f t="shared" si="167"/>
        <v>1094Information Ratio</v>
      </c>
      <c r="B10103">
        <v>1094</v>
      </c>
      <c r="C10103" s="9" t="s">
        <v>37</v>
      </c>
      <c r="D10103" s="8">
        <v>-1.609</v>
      </c>
    </row>
    <row r="10104" spans="1:4">
      <c r="A10104" t="str">
        <f t="shared" si="167"/>
        <v>1094Tracking Error</v>
      </c>
      <c r="B10104">
        <v>1094</v>
      </c>
      <c r="C10104" s="9" t="s">
        <v>38</v>
      </c>
      <c r="D10104" s="8">
        <v>7.0999999999999994E-2</v>
      </c>
    </row>
    <row r="10105" spans="1:4">
      <c r="A10105" t="str">
        <f t="shared" si="167"/>
        <v>1094Treynor Ratio</v>
      </c>
      <c r="B10105">
        <v>1094</v>
      </c>
      <c r="C10105" s="9" t="s">
        <v>39</v>
      </c>
      <c r="D10105" s="8">
        <v>-2.222</v>
      </c>
    </row>
    <row r="10106" spans="1:4">
      <c r="A10106" t="str">
        <f t="shared" si="167"/>
        <v>1094Total Fees</v>
      </c>
      <c r="B10106">
        <v>1094</v>
      </c>
      <c r="C10106" s="9" t="s">
        <v>40</v>
      </c>
      <c r="D10106" s="8">
        <v>0</v>
      </c>
    </row>
    <row r="10107" spans="1:4">
      <c r="A10107" t="str">
        <f t="shared" si="167"/>
        <v>1094Estimated Strategy Capacity</v>
      </c>
      <c r="B10107">
        <v>1094</v>
      </c>
      <c r="C10107" s="9" t="s">
        <v>41</v>
      </c>
      <c r="D10107" s="8">
        <v>5100000</v>
      </c>
    </row>
    <row r="10108" spans="1:4">
      <c r="A10108" t="str">
        <f t="shared" si="167"/>
        <v>1095PSR</v>
      </c>
      <c r="B10108">
        <v>1095</v>
      </c>
      <c r="C10108" s="9" t="s">
        <v>27</v>
      </c>
      <c r="D10108" s="8">
        <v>1.4E-3</v>
      </c>
    </row>
    <row r="10109" spans="1:4">
      <c r="A10109" t="str">
        <f t="shared" si="167"/>
        <v>1095Sharpe Ratio</v>
      </c>
      <c r="B10109">
        <v>1095</v>
      </c>
      <c r="C10109" s="9" t="s">
        <v>1</v>
      </c>
      <c r="D10109" s="8">
        <v>-1.778</v>
      </c>
    </row>
    <row r="10110" spans="1:4">
      <c r="A10110" t="str">
        <f t="shared" si="167"/>
        <v>1095Total Trades</v>
      </c>
      <c r="B10110">
        <v>1095</v>
      </c>
      <c r="C10110" s="9" t="s">
        <v>28</v>
      </c>
      <c r="D10110" s="8">
        <v>585</v>
      </c>
    </row>
    <row r="10111" spans="1:4">
      <c r="A10111" t="str">
        <f t="shared" si="167"/>
        <v>1095Average Win</v>
      </c>
      <c r="B10111">
        <v>1095</v>
      </c>
      <c r="C10111" s="9" t="s">
        <v>25</v>
      </c>
      <c r="D10111" s="8">
        <v>5.9999999999999995E-4</v>
      </c>
    </row>
    <row r="10112" spans="1:4">
      <c r="A10112" t="str">
        <f t="shared" si="167"/>
        <v>1095Average Loss</v>
      </c>
      <c r="B10112">
        <v>1095</v>
      </c>
      <c r="C10112" s="9" t="s">
        <v>29</v>
      </c>
      <c r="D10112" s="8">
        <v>-2.2000000000000001E-3</v>
      </c>
    </row>
    <row r="10113" spans="1:4">
      <c r="A10113" t="str">
        <f t="shared" si="167"/>
        <v>1095Compounding Annual Return</v>
      </c>
      <c r="B10113">
        <v>1095</v>
      </c>
      <c r="C10113" s="9" t="s">
        <v>30</v>
      </c>
      <c r="D10113" s="8">
        <v>-6.769E-2</v>
      </c>
    </row>
    <row r="10114" spans="1:4">
      <c r="A10114" t="str">
        <f t="shared" si="167"/>
        <v>1095Drawdown</v>
      </c>
      <c r="B10114">
        <v>1095</v>
      </c>
      <c r="C10114" s="9" t="s">
        <v>8</v>
      </c>
      <c r="D10114" s="8">
        <v>5.2999999999999999E-2</v>
      </c>
    </row>
    <row r="10115" spans="1:4">
      <c r="A10115" t="str">
        <f t="shared" si="167"/>
        <v>1095Expectancy</v>
      </c>
      <c r="B10115">
        <v>1095</v>
      </c>
      <c r="C10115" s="9" t="s">
        <v>31</v>
      </c>
      <c r="D10115" s="8">
        <v>-0.16</v>
      </c>
    </row>
    <row r="10116" spans="1:4">
      <c r="A10116" t="str">
        <f t="shared" si="167"/>
        <v>1095Net Profit</v>
      </c>
      <c r="B10116">
        <v>1095</v>
      </c>
      <c r="C10116" s="9" t="s">
        <v>32</v>
      </c>
      <c r="D10116" s="8">
        <v>-4.5589999999999999E-2</v>
      </c>
    </row>
    <row r="10117" spans="1:4">
      <c r="A10117" t="str">
        <f t="shared" si="167"/>
        <v>1095Loss Rate</v>
      </c>
      <c r="B10117">
        <v>1095</v>
      </c>
      <c r="C10117" s="9" t="s">
        <v>33</v>
      </c>
      <c r="D10117" s="8">
        <v>0.34</v>
      </c>
    </row>
    <row r="10118" spans="1:4">
      <c r="A10118" t="str">
        <f t="shared" si="167"/>
        <v>1095Win Rate</v>
      </c>
      <c r="B10118">
        <v>1095</v>
      </c>
      <c r="C10118" s="9" t="s">
        <v>34</v>
      </c>
      <c r="D10118" s="8">
        <v>0.66</v>
      </c>
    </row>
    <row r="10119" spans="1:4">
      <c r="A10119" t="str">
        <f t="shared" si="167"/>
        <v>1095Profit-Loss Ratio</v>
      </c>
      <c r="B10119">
        <v>1095</v>
      </c>
      <c r="C10119" s="9" t="s">
        <v>26</v>
      </c>
      <c r="D10119" s="8">
        <v>0.28000000000000003</v>
      </c>
    </row>
    <row r="10120" spans="1:4">
      <c r="A10120" t="str">
        <f t="shared" si="167"/>
        <v>1095Alpha</v>
      </c>
      <c r="B10120">
        <v>1095</v>
      </c>
      <c r="C10120" s="9" t="s">
        <v>23</v>
      </c>
      <c r="D10120" s="8">
        <v>-4.5999999999999999E-2</v>
      </c>
    </row>
    <row r="10121" spans="1:4">
      <c r="A10121" t="str">
        <f t="shared" si="167"/>
        <v>1095Beta</v>
      </c>
      <c r="B10121">
        <v>1095</v>
      </c>
      <c r="C10121" s="9" t="s">
        <v>24</v>
      </c>
      <c r="D10121" s="8">
        <v>-1.2999999999999999E-2</v>
      </c>
    </row>
    <row r="10122" spans="1:4">
      <c r="A10122" t="str">
        <f t="shared" si="167"/>
        <v>1095Annual Standard Deviation</v>
      </c>
      <c r="B10122">
        <v>1095</v>
      </c>
      <c r="C10122" s="9" t="s">
        <v>35</v>
      </c>
      <c r="D10122" s="8">
        <v>2.5999999999999999E-2</v>
      </c>
    </row>
    <row r="10123" spans="1:4">
      <c r="A10123" t="str">
        <f t="shared" si="167"/>
        <v>1095Annual Variance</v>
      </c>
      <c r="B10123">
        <v>1095</v>
      </c>
      <c r="C10123" s="9" t="s">
        <v>36</v>
      </c>
      <c r="D10123" s="8">
        <v>1E-3</v>
      </c>
    </row>
    <row r="10124" spans="1:4">
      <c r="A10124" t="str">
        <f t="shared" si="167"/>
        <v>1095Information Ratio</v>
      </c>
      <c r="B10124">
        <v>1095</v>
      </c>
      <c r="C10124" s="9" t="s">
        <v>37</v>
      </c>
      <c r="D10124" s="8">
        <v>-1.3180000000000001</v>
      </c>
    </row>
    <row r="10125" spans="1:4">
      <c r="A10125" t="str">
        <f t="shared" si="167"/>
        <v>1095Tracking Error</v>
      </c>
      <c r="B10125">
        <v>1095</v>
      </c>
      <c r="C10125" s="9" t="s">
        <v>38</v>
      </c>
      <c r="D10125" s="8">
        <v>7.2999999999999995E-2</v>
      </c>
    </row>
    <row r="10126" spans="1:4">
      <c r="A10126" t="str">
        <f t="shared" si="167"/>
        <v>1095Treynor Ratio</v>
      </c>
      <c r="B10126">
        <v>1095</v>
      </c>
      <c r="C10126" s="9" t="s">
        <v>39</v>
      </c>
      <c r="D10126" s="8">
        <v>3.6850000000000001</v>
      </c>
    </row>
    <row r="10127" spans="1:4">
      <c r="A10127" t="str">
        <f t="shared" si="167"/>
        <v>1095Total Fees</v>
      </c>
      <c r="B10127">
        <v>1095</v>
      </c>
      <c r="C10127" s="9" t="s">
        <v>40</v>
      </c>
      <c r="D10127" s="8">
        <v>0</v>
      </c>
    </row>
    <row r="10128" spans="1:4">
      <c r="A10128" t="str">
        <f t="shared" si="167"/>
        <v>1095Estimated Strategy Capacity</v>
      </c>
      <c r="B10128">
        <v>1095</v>
      </c>
      <c r="C10128" s="9" t="s">
        <v>41</v>
      </c>
      <c r="D10128" s="8">
        <v>5300000</v>
      </c>
    </row>
    <row r="10129" spans="1:4">
      <c r="A10129" t="str">
        <f t="shared" si="167"/>
        <v>1096PSR</v>
      </c>
      <c r="B10129">
        <v>1096</v>
      </c>
      <c r="C10129" s="9" t="s">
        <v>27</v>
      </c>
      <c r="D10129" s="8">
        <v>0</v>
      </c>
    </row>
    <row r="10130" spans="1:4">
      <c r="A10130" t="str">
        <f t="shared" ref="A10130:A10193" si="168">B10130&amp;C10130</f>
        <v>1096Sharpe Ratio</v>
      </c>
      <c r="B10130">
        <v>1096</v>
      </c>
      <c r="C10130" s="9" t="s">
        <v>1</v>
      </c>
      <c r="D10130" s="8">
        <v>-2.6419999999999999</v>
      </c>
    </row>
    <row r="10131" spans="1:4">
      <c r="A10131" t="str">
        <f t="shared" si="168"/>
        <v>1096Total Trades</v>
      </c>
      <c r="B10131">
        <v>1096</v>
      </c>
      <c r="C10131" s="9" t="s">
        <v>28</v>
      </c>
      <c r="D10131" s="8">
        <v>794</v>
      </c>
    </row>
    <row r="10132" spans="1:4">
      <c r="A10132" t="str">
        <f t="shared" si="168"/>
        <v>1096Average Win</v>
      </c>
      <c r="B10132">
        <v>1096</v>
      </c>
      <c r="C10132" s="9" t="s">
        <v>25</v>
      </c>
      <c r="D10132" s="8">
        <v>2.9999999999999997E-4</v>
      </c>
    </row>
    <row r="10133" spans="1:4">
      <c r="A10133" t="str">
        <f t="shared" si="168"/>
        <v>1096Average Loss</v>
      </c>
      <c r="B10133">
        <v>1096</v>
      </c>
      <c r="C10133" s="9" t="s">
        <v>29</v>
      </c>
      <c r="D10133" s="8">
        <v>-2.3E-3</v>
      </c>
    </row>
    <row r="10134" spans="1:4">
      <c r="A10134" t="str">
        <f t="shared" si="168"/>
        <v>1096Compounding Annual Return</v>
      </c>
      <c r="B10134">
        <v>1096</v>
      </c>
      <c r="C10134" s="9" t="s">
        <v>30</v>
      </c>
      <c r="D10134" s="8">
        <v>-0.10329000000000001</v>
      </c>
    </row>
    <row r="10135" spans="1:4">
      <c r="A10135" t="str">
        <f t="shared" si="168"/>
        <v>1096Drawdown</v>
      </c>
      <c r="B10135">
        <v>1096</v>
      </c>
      <c r="C10135" s="9" t="s">
        <v>8</v>
      </c>
      <c r="D10135" s="8">
        <v>7.1999999999999995E-2</v>
      </c>
    </row>
    <row r="10136" spans="1:4">
      <c r="A10136" t="str">
        <f t="shared" si="168"/>
        <v>1096Expectancy</v>
      </c>
      <c r="B10136">
        <v>1096</v>
      </c>
      <c r="C10136" s="9" t="s">
        <v>31</v>
      </c>
      <c r="D10136" s="8">
        <v>-0.245</v>
      </c>
    </row>
    <row r="10137" spans="1:4">
      <c r="A10137" t="str">
        <f t="shared" si="168"/>
        <v>1096Net Profit</v>
      </c>
      <c r="B10137">
        <v>1096</v>
      </c>
      <c r="C10137" s="9" t="s">
        <v>32</v>
      </c>
      <c r="D10137" s="8">
        <v>-7.0000000000000007E-2</v>
      </c>
    </row>
    <row r="10138" spans="1:4">
      <c r="A10138" t="str">
        <f t="shared" si="168"/>
        <v>1096Loss Rate</v>
      </c>
      <c r="B10138">
        <v>1096</v>
      </c>
      <c r="C10138" s="9" t="s">
        <v>33</v>
      </c>
      <c r="D10138" s="8">
        <v>0.33</v>
      </c>
    </row>
    <row r="10139" spans="1:4">
      <c r="A10139" t="str">
        <f t="shared" si="168"/>
        <v>1096Win Rate</v>
      </c>
      <c r="B10139">
        <v>1096</v>
      </c>
      <c r="C10139" s="9" t="s">
        <v>34</v>
      </c>
      <c r="D10139" s="8">
        <v>0.67</v>
      </c>
    </row>
    <row r="10140" spans="1:4">
      <c r="A10140" t="str">
        <f t="shared" si="168"/>
        <v>1096Profit-Loss Ratio</v>
      </c>
      <c r="B10140">
        <v>1096</v>
      </c>
      <c r="C10140" s="9" t="s">
        <v>26</v>
      </c>
      <c r="D10140" s="8">
        <v>0.13</v>
      </c>
    </row>
    <row r="10141" spans="1:4">
      <c r="A10141" t="str">
        <f t="shared" si="168"/>
        <v>1096Alpha</v>
      </c>
      <c r="B10141">
        <v>1096</v>
      </c>
      <c r="C10141" s="9" t="s">
        <v>23</v>
      </c>
      <c r="D10141" s="8">
        <v>-7.3999999999999996E-2</v>
      </c>
    </row>
    <row r="10142" spans="1:4">
      <c r="A10142" t="str">
        <f t="shared" si="168"/>
        <v>1096Beta</v>
      </c>
      <c r="B10142">
        <v>1096</v>
      </c>
      <c r="C10142" s="9" t="s">
        <v>24</v>
      </c>
      <c r="D10142" s="8">
        <v>2.5999999999999999E-2</v>
      </c>
    </row>
    <row r="10143" spans="1:4">
      <c r="A10143" t="str">
        <f t="shared" si="168"/>
        <v>1096Annual Standard Deviation</v>
      </c>
      <c r="B10143">
        <v>1096</v>
      </c>
      <c r="C10143" s="9" t="s">
        <v>35</v>
      </c>
      <c r="D10143" s="8">
        <v>2.7E-2</v>
      </c>
    </row>
    <row r="10144" spans="1:4">
      <c r="A10144" t="str">
        <f t="shared" si="168"/>
        <v>1096Annual Variance</v>
      </c>
      <c r="B10144">
        <v>1096</v>
      </c>
      <c r="C10144" s="9" t="s">
        <v>36</v>
      </c>
      <c r="D10144" s="8">
        <v>1E-3</v>
      </c>
    </row>
    <row r="10145" spans="1:4">
      <c r="A10145" t="str">
        <f t="shared" si="168"/>
        <v>1096Information Ratio</v>
      </c>
      <c r="B10145">
        <v>1096</v>
      </c>
      <c r="C10145" s="9" t="s">
        <v>37</v>
      </c>
      <c r="D10145" s="8">
        <v>-1.752</v>
      </c>
    </row>
    <row r="10146" spans="1:4">
      <c r="A10146" t="str">
        <f t="shared" si="168"/>
        <v>1096Tracking Error</v>
      </c>
      <c r="B10146">
        <v>1096</v>
      </c>
      <c r="C10146" s="9" t="s">
        <v>38</v>
      </c>
      <c r="D10146" s="8">
        <v>7.0999999999999994E-2</v>
      </c>
    </row>
    <row r="10147" spans="1:4">
      <c r="A10147" t="str">
        <f t="shared" si="168"/>
        <v>1096Treynor Ratio</v>
      </c>
      <c r="B10147">
        <v>1096</v>
      </c>
      <c r="C10147" s="9" t="s">
        <v>39</v>
      </c>
      <c r="D10147" s="8">
        <v>-2.8119999999999998</v>
      </c>
    </row>
    <row r="10148" spans="1:4">
      <c r="A10148" t="str">
        <f t="shared" si="168"/>
        <v>1096Total Fees</v>
      </c>
      <c r="B10148">
        <v>1096</v>
      </c>
      <c r="C10148" s="9" t="s">
        <v>40</v>
      </c>
      <c r="D10148" s="8">
        <v>0</v>
      </c>
    </row>
    <row r="10149" spans="1:4">
      <c r="A10149" t="str">
        <f t="shared" si="168"/>
        <v>1096Estimated Strategy Capacity</v>
      </c>
      <c r="B10149">
        <v>1096</v>
      </c>
      <c r="C10149" s="9" t="s">
        <v>41</v>
      </c>
      <c r="D10149" s="8">
        <v>64000000</v>
      </c>
    </row>
    <row r="10150" spans="1:4">
      <c r="A10150" t="str">
        <f t="shared" si="168"/>
        <v>1097PSR</v>
      </c>
      <c r="B10150">
        <v>1097</v>
      </c>
      <c r="C10150" s="9" t="s">
        <v>27</v>
      </c>
      <c r="D10150" s="8">
        <v>0</v>
      </c>
    </row>
    <row r="10151" spans="1:4">
      <c r="A10151" t="str">
        <f t="shared" si="168"/>
        <v>1097Sharpe Ratio</v>
      </c>
      <c r="B10151">
        <v>1097</v>
      </c>
      <c r="C10151" s="9" t="s">
        <v>1</v>
      </c>
      <c r="D10151" s="8">
        <v>-2.6579999999999999</v>
      </c>
    </row>
    <row r="10152" spans="1:4">
      <c r="A10152" t="str">
        <f t="shared" si="168"/>
        <v>1097Total Trades</v>
      </c>
      <c r="B10152">
        <v>1097</v>
      </c>
      <c r="C10152" s="9" t="s">
        <v>28</v>
      </c>
      <c r="D10152" s="8">
        <v>545</v>
      </c>
    </row>
    <row r="10153" spans="1:4">
      <c r="A10153" t="str">
        <f t="shared" si="168"/>
        <v>1097Average Win</v>
      </c>
      <c r="B10153">
        <v>1097</v>
      </c>
      <c r="C10153" s="9" t="s">
        <v>25</v>
      </c>
      <c r="D10153" s="8">
        <v>5.0000000000000001E-4</v>
      </c>
    </row>
    <row r="10154" spans="1:4">
      <c r="A10154" t="str">
        <f t="shared" si="168"/>
        <v>1097Average Loss</v>
      </c>
      <c r="B10154">
        <v>1097</v>
      </c>
      <c r="C10154" s="9" t="s">
        <v>29</v>
      </c>
      <c r="D10154" s="8">
        <v>-3.3E-3</v>
      </c>
    </row>
    <row r="10155" spans="1:4">
      <c r="A10155" t="str">
        <f t="shared" si="168"/>
        <v>1097Compounding Annual Return</v>
      </c>
      <c r="B10155">
        <v>1097</v>
      </c>
      <c r="C10155" s="9" t="s">
        <v>30</v>
      </c>
      <c r="D10155" s="8">
        <v>-0.13381000000000001</v>
      </c>
    </row>
    <row r="10156" spans="1:4">
      <c r="A10156" t="str">
        <f t="shared" si="168"/>
        <v>1097Drawdown</v>
      </c>
      <c r="B10156">
        <v>1097</v>
      </c>
      <c r="C10156" s="9" t="s">
        <v>8</v>
      </c>
      <c r="D10156" s="8">
        <v>9.2999999999999999E-2</v>
      </c>
    </row>
    <row r="10157" spans="1:4">
      <c r="A10157" t="str">
        <f t="shared" si="168"/>
        <v>1097Expectancy</v>
      </c>
      <c r="B10157">
        <v>1097</v>
      </c>
      <c r="C10157" s="9" t="s">
        <v>31</v>
      </c>
      <c r="D10157" s="8">
        <v>-0.24399999999999999</v>
      </c>
    </row>
    <row r="10158" spans="1:4">
      <c r="A10158" t="str">
        <f t="shared" si="168"/>
        <v>1097Net Profit</v>
      </c>
      <c r="B10158">
        <v>1097</v>
      </c>
      <c r="C10158" s="9" t="s">
        <v>32</v>
      </c>
      <c r="D10158" s="8">
        <v>-9.1189999999999993E-2</v>
      </c>
    </row>
    <row r="10159" spans="1:4">
      <c r="A10159" t="str">
        <f t="shared" si="168"/>
        <v>1097Loss Rate</v>
      </c>
      <c r="B10159">
        <v>1097</v>
      </c>
      <c r="C10159" s="9" t="s">
        <v>33</v>
      </c>
      <c r="D10159" s="8">
        <v>0.35</v>
      </c>
    </row>
    <row r="10160" spans="1:4">
      <c r="A10160" t="str">
        <f t="shared" si="168"/>
        <v>1097Win Rate</v>
      </c>
      <c r="B10160">
        <v>1097</v>
      </c>
      <c r="C10160" s="9" t="s">
        <v>34</v>
      </c>
      <c r="D10160" s="8">
        <v>0.65</v>
      </c>
    </row>
    <row r="10161" spans="1:4">
      <c r="A10161" t="str">
        <f t="shared" si="168"/>
        <v>1097Profit-Loss Ratio</v>
      </c>
      <c r="B10161">
        <v>1097</v>
      </c>
      <c r="C10161" s="9" t="s">
        <v>26</v>
      </c>
      <c r="D10161" s="8">
        <v>0.16</v>
      </c>
    </row>
    <row r="10162" spans="1:4">
      <c r="A10162" t="str">
        <f t="shared" si="168"/>
        <v>1097Alpha</v>
      </c>
      <c r="B10162">
        <v>1097</v>
      </c>
      <c r="C10162" s="9" t="s">
        <v>23</v>
      </c>
      <c r="D10162" s="8">
        <v>-9.6000000000000002E-2</v>
      </c>
    </row>
    <row r="10163" spans="1:4">
      <c r="A10163" t="str">
        <f t="shared" si="168"/>
        <v>1097Beta</v>
      </c>
      <c r="B10163">
        <v>1097</v>
      </c>
      <c r="C10163" s="9" t="s">
        <v>24</v>
      </c>
      <c r="D10163" s="8">
        <v>3.6999999999999998E-2</v>
      </c>
    </row>
    <row r="10164" spans="1:4">
      <c r="A10164" t="str">
        <f t="shared" si="168"/>
        <v>1097Annual Standard Deviation</v>
      </c>
      <c r="B10164">
        <v>1097</v>
      </c>
      <c r="C10164" s="9" t="s">
        <v>35</v>
      </c>
      <c r="D10164" s="8">
        <v>3.5000000000000003E-2</v>
      </c>
    </row>
    <row r="10165" spans="1:4">
      <c r="A10165" t="str">
        <f t="shared" si="168"/>
        <v>1097Annual Variance</v>
      </c>
      <c r="B10165">
        <v>1097</v>
      </c>
      <c r="C10165" s="9" t="s">
        <v>36</v>
      </c>
      <c r="D10165" s="8">
        <v>1E-3</v>
      </c>
    </row>
    <row r="10166" spans="1:4">
      <c r="A10166" t="str">
        <f t="shared" si="168"/>
        <v>1097Information Ratio</v>
      </c>
      <c r="B10166">
        <v>1097</v>
      </c>
      <c r="C10166" s="9" t="s">
        <v>37</v>
      </c>
      <c r="D10166" s="8">
        <v>-1.98</v>
      </c>
    </row>
    <row r="10167" spans="1:4">
      <c r="A10167" t="str">
        <f t="shared" si="168"/>
        <v>1097Tracking Error</v>
      </c>
      <c r="B10167">
        <v>1097</v>
      </c>
      <c r="C10167" s="9" t="s">
        <v>38</v>
      </c>
      <c r="D10167" s="8">
        <v>7.3999999999999996E-2</v>
      </c>
    </row>
    <row r="10168" spans="1:4">
      <c r="A10168" t="str">
        <f t="shared" si="168"/>
        <v>1097Treynor Ratio</v>
      </c>
      <c r="B10168">
        <v>1097</v>
      </c>
      <c r="C10168" s="9" t="s">
        <v>39</v>
      </c>
      <c r="D10168" s="8">
        <v>-2.5659999999999998</v>
      </c>
    </row>
    <row r="10169" spans="1:4">
      <c r="A10169" t="str">
        <f t="shared" si="168"/>
        <v>1097Total Fees</v>
      </c>
      <c r="B10169">
        <v>1097</v>
      </c>
      <c r="C10169" s="9" t="s">
        <v>40</v>
      </c>
      <c r="D10169" s="8">
        <v>0</v>
      </c>
    </row>
    <row r="10170" spans="1:4">
      <c r="A10170" t="str">
        <f t="shared" si="168"/>
        <v>1097Estimated Strategy Capacity</v>
      </c>
      <c r="B10170">
        <v>1097</v>
      </c>
      <c r="C10170" s="9" t="s">
        <v>41</v>
      </c>
      <c r="D10170" s="8">
        <v>11000000</v>
      </c>
    </row>
    <row r="10171" spans="1:4">
      <c r="A10171" t="str">
        <f t="shared" si="168"/>
        <v>1098PSR</v>
      </c>
      <c r="B10171">
        <v>1098</v>
      </c>
      <c r="C10171" s="9" t="s">
        <v>27</v>
      </c>
      <c r="D10171" s="8">
        <v>4.0000000000000003E-5</v>
      </c>
    </row>
    <row r="10172" spans="1:4">
      <c r="A10172" t="str">
        <f t="shared" si="168"/>
        <v>1098Sharpe Ratio</v>
      </c>
      <c r="B10172">
        <v>1098</v>
      </c>
      <c r="C10172" s="9" t="s">
        <v>1</v>
      </c>
      <c r="D10172" s="8">
        <v>-2.198</v>
      </c>
    </row>
    <row r="10173" spans="1:4">
      <c r="A10173" t="str">
        <f t="shared" si="168"/>
        <v>1098Total Trades</v>
      </c>
      <c r="B10173">
        <v>1098</v>
      </c>
      <c r="C10173" s="9" t="s">
        <v>28</v>
      </c>
      <c r="D10173" s="8">
        <v>471</v>
      </c>
    </row>
    <row r="10174" spans="1:4">
      <c r="A10174" t="str">
        <f t="shared" si="168"/>
        <v>1098Average Win</v>
      </c>
      <c r="B10174">
        <v>1098</v>
      </c>
      <c r="C10174" s="9" t="s">
        <v>25</v>
      </c>
      <c r="D10174" s="8">
        <v>5.9999999999999995E-4</v>
      </c>
    </row>
    <row r="10175" spans="1:4">
      <c r="A10175" t="str">
        <f t="shared" si="168"/>
        <v>1098Average Loss</v>
      </c>
      <c r="B10175">
        <v>1098</v>
      </c>
      <c r="C10175" s="9" t="s">
        <v>29</v>
      </c>
      <c r="D10175" s="8">
        <v>-3.2000000000000002E-3</v>
      </c>
    </row>
    <row r="10176" spans="1:4">
      <c r="A10176" t="str">
        <f t="shared" si="168"/>
        <v>1098Compounding Annual Return</v>
      </c>
      <c r="B10176">
        <v>1098</v>
      </c>
      <c r="C10176" s="9" t="s">
        <v>30</v>
      </c>
      <c r="D10176" s="8">
        <v>-0.10177</v>
      </c>
    </row>
    <row r="10177" spans="1:4">
      <c r="A10177" t="str">
        <f t="shared" si="168"/>
        <v>1098Drawdown</v>
      </c>
      <c r="B10177">
        <v>1098</v>
      </c>
      <c r="C10177" s="9" t="s">
        <v>8</v>
      </c>
      <c r="D10177" s="8">
        <v>7.0000000000000007E-2</v>
      </c>
    </row>
    <row r="10178" spans="1:4">
      <c r="A10178" t="str">
        <f t="shared" si="168"/>
        <v>1098Expectancy</v>
      </c>
      <c r="B10178">
        <v>1098</v>
      </c>
      <c r="C10178" s="9" t="s">
        <v>31</v>
      </c>
      <c r="D10178" s="8">
        <v>-0.19800000000000001</v>
      </c>
    </row>
    <row r="10179" spans="1:4">
      <c r="A10179" t="str">
        <f t="shared" si="168"/>
        <v>1098Net Profit</v>
      </c>
      <c r="B10179">
        <v>1098</v>
      </c>
      <c r="C10179" s="9" t="s">
        <v>32</v>
      </c>
      <c r="D10179" s="8">
        <v>-6.8949999999999997E-2</v>
      </c>
    </row>
    <row r="10180" spans="1:4">
      <c r="A10180" t="str">
        <f t="shared" si="168"/>
        <v>1098Loss Rate</v>
      </c>
      <c r="B10180">
        <v>1098</v>
      </c>
      <c r="C10180" s="9" t="s">
        <v>33</v>
      </c>
      <c r="D10180" s="8">
        <v>0.33</v>
      </c>
    </row>
    <row r="10181" spans="1:4">
      <c r="A10181" t="str">
        <f t="shared" si="168"/>
        <v>1098Win Rate</v>
      </c>
      <c r="B10181">
        <v>1098</v>
      </c>
      <c r="C10181" s="9" t="s">
        <v>34</v>
      </c>
      <c r="D10181" s="8">
        <v>0.67</v>
      </c>
    </row>
    <row r="10182" spans="1:4">
      <c r="A10182" t="str">
        <f t="shared" si="168"/>
        <v>1098Profit-Loss Ratio</v>
      </c>
      <c r="B10182">
        <v>1098</v>
      </c>
      <c r="C10182" s="9" t="s">
        <v>26</v>
      </c>
      <c r="D10182" s="8">
        <v>0.19</v>
      </c>
    </row>
    <row r="10183" spans="1:4">
      <c r="A10183" t="str">
        <f t="shared" si="168"/>
        <v>1098Alpha</v>
      </c>
      <c r="B10183">
        <v>1098</v>
      </c>
      <c r="C10183" s="9" t="s">
        <v>23</v>
      </c>
      <c r="D10183" s="8">
        <v>-7.0000000000000007E-2</v>
      </c>
    </row>
    <row r="10184" spans="1:4">
      <c r="A10184" t="str">
        <f t="shared" si="168"/>
        <v>1098Beta</v>
      </c>
      <c r="B10184">
        <v>1098</v>
      </c>
      <c r="C10184" s="9" t="s">
        <v>24</v>
      </c>
      <c r="D10184" s="8">
        <v>-1.4999999999999999E-2</v>
      </c>
    </row>
    <row r="10185" spans="1:4">
      <c r="A10185" t="str">
        <f t="shared" si="168"/>
        <v>1098Annual Standard Deviation</v>
      </c>
      <c r="B10185">
        <v>1098</v>
      </c>
      <c r="C10185" s="9" t="s">
        <v>35</v>
      </c>
      <c r="D10185" s="8">
        <v>3.2000000000000001E-2</v>
      </c>
    </row>
    <row r="10186" spans="1:4">
      <c r="A10186" t="str">
        <f t="shared" si="168"/>
        <v>1098Annual Variance</v>
      </c>
      <c r="B10186">
        <v>1098</v>
      </c>
      <c r="C10186" s="9" t="s">
        <v>36</v>
      </c>
      <c r="D10186" s="8">
        <v>1E-3</v>
      </c>
    </row>
    <row r="10187" spans="1:4">
      <c r="A10187" t="str">
        <f t="shared" si="168"/>
        <v>1098Information Ratio</v>
      </c>
      <c r="B10187">
        <v>1098</v>
      </c>
      <c r="C10187" s="9" t="s">
        <v>37</v>
      </c>
      <c r="D10187" s="8">
        <v>-1.63</v>
      </c>
    </row>
    <row r="10188" spans="1:4">
      <c r="A10188" t="str">
        <f t="shared" si="168"/>
        <v>1098Tracking Error</v>
      </c>
      <c r="B10188">
        <v>1098</v>
      </c>
      <c r="C10188" s="9" t="s">
        <v>38</v>
      </c>
      <c r="D10188" s="8">
        <v>7.5999999999999998E-2</v>
      </c>
    </row>
    <row r="10189" spans="1:4">
      <c r="A10189" t="str">
        <f t="shared" si="168"/>
        <v>1098Treynor Ratio</v>
      </c>
      <c r="B10189">
        <v>1098</v>
      </c>
      <c r="C10189" s="9" t="s">
        <v>39</v>
      </c>
      <c r="D10189" s="8">
        <v>4.7539999999999996</v>
      </c>
    </row>
    <row r="10190" spans="1:4">
      <c r="A10190" t="str">
        <f t="shared" si="168"/>
        <v>1098Total Fees</v>
      </c>
      <c r="B10190">
        <v>1098</v>
      </c>
      <c r="C10190" s="9" t="s">
        <v>40</v>
      </c>
      <c r="D10190" s="8">
        <v>0</v>
      </c>
    </row>
    <row r="10191" spans="1:4">
      <c r="A10191" t="str">
        <f t="shared" si="168"/>
        <v>1098Estimated Strategy Capacity</v>
      </c>
      <c r="B10191">
        <v>1098</v>
      </c>
      <c r="C10191" s="9" t="s">
        <v>41</v>
      </c>
      <c r="D10191" s="8">
        <v>7900000</v>
      </c>
    </row>
    <row r="10192" spans="1:4">
      <c r="A10192" t="str">
        <f t="shared" si="168"/>
        <v>1117PSR</v>
      </c>
      <c r="B10192">
        <v>1117</v>
      </c>
      <c r="C10192" s="9" t="s">
        <v>27</v>
      </c>
      <c r="D10192" s="8">
        <v>0.14457</v>
      </c>
    </row>
    <row r="10193" spans="1:4">
      <c r="A10193" t="str">
        <f t="shared" si="168"/>
        <v>1117Sharpe Ratio</v>
      </c>
      <c r="B10193">
        <v>1117</v>
      </c>
      <c r="C10193" s="9" t="s">
        <v>1</v>
      </c>
      <c r="D10193" s="8">
        <v>-8.1000000000000003E-2</v>
      </c>
    </row>
    <row r="10194" spans="1:4">
      <c r="A10194" t="str">
        <f t="shared" ref="A10194:A10257" si="169">B10194&amp;C10194</f>
        <v>1117Total Trades</v>
      </c>
      <c r="B10194">
        <v>1117</v>
      </c>
      <c r="C10194" s="9" t="s">
        <v>28</v>
      </c>
      <c r="D10194" s="8">
        <v>1677</v>
      </c>
    </row>
    <row r="10195" spans="1:4">
      <c r="A10195" t="str">
        <f t="shared" si="169"/>
        <v>1117Average Win</v>
      </c>
      <c r="B10195">
        <v>1117</v>
      </c>
      <c r="C10195" s="9" t="s">
        <v>25</v>
      </c>
      <c r="D10195" s="8">
        <v>1.1999999999999999E-3</v>
      </c>
    </row>
    <row r="10196" spans="1:4">
      <c r="A10196" t="str">
        <f t="shared" si="169"/>
        <v>1117Average Loss</v>
      </c>
      <c r="B10196">
        <v>1117</v>
      </c>
      <c r="C10196" s="9" t="s">
        <v>29</v>
      </c>
      <c r="D10196" s="8">
        <v>-2.5999999999999999E-3</v>
      </c>
    </row>
    <row r="10197" spans="1:4">
      <c r="A10197" t="str">
        <f t="shared" si="169"/>
        <v>1117Compounding Annual Return</v>
      </c>
      <c r="B10197">
        <v>1117</v>
      </c>
      <c r="C10197" s="9" t="s">
        <v>30</v>
      </c>
      <c r="D10197" s="8">
        <v>-6.45E-3</v>
      </c>
    </row>
    <row r="10198" spans="1:4">
      <c r="A10198" t="str">
        <f t="shared" si="169"/>
        <v>1117Drawdown</v>
      </c>
      <c r="B10198">
        <v>1117</v>
      </c>
      <c r="C10198" s="9" t="s">
        <v>8</v>
      </c>
      <c r="D10198" s="8">
        <v>3.9E-2</v>
      </c>
    </row>
    <row r="10199" spans="1:4">
      <c r="A10199" t="str">
        <f t="shared" si="169"/>
        <v>1117Expectancy</v>
      </c>
      <c r="B10199">
        <v>1117</v>
      </c>
      <c r="C10199" s="9" t="s">
        <v>31</v>
      </c>
      <c r="D10199" s="8">
        <v>-1.2999999999999999E-2</v>
      </c>
    </row>
    <row r="10200" spans="1:4">
      <c r="A10200" t="str">
        <f t="shared" si="169"/>
        <v>1117Net Profit</v>
      </c>
      <c r="B10200">
        <v>1117</v>
      </c>
      <c r="C10200" s="9" t="s">
        <v>32</v>
      </c>
      <c r="D10200" s="8">
        <v>-4.3E-3</v>
      </c>
    </row>
    <row r="10201" spans="1:4">
      <c r="A10201" t="str">
        <f t="shared" si="169"/>
        <v>1117Loss Rate</v>
      </c>
      <c r="B10201">
        <v>1117</v>
      </c>
      <c r="C10201" s="9" t="s">
        <v>33</v>
      </c>
      <c r="D10201" s="8">
        <v>0.34</v>
      </c>
    </row>
    <row r="10202" spans="1:4">
      <c r="A10202" t="str">
        <f t="shared" si="169"/>
        <v>1117Win Rate</v>
      </c>
      <c r="B10202">
        <v>1117</v>
      </c>
      <c r="C10202" s="9" t="s">
        <v>34</v>
      </c>
      <c r="D10202" s="8">
        <v>0.66</v>
      </c>
    </row>
    <row r="10203" spans="1:4">
      <c r="A10203" t="str">
        <f t="shared" si="169"/>
        <v>1117Profit-Loss Ratio</v>
      </c>
      <c r="B10203">
        <v>1117</v>
      </c>
      <c r="C10203" s="9" t="s">
        <v>26</v>
      </c>
      <c r="D10203" s="8">
        <v>0.49</v>
      </c>
    </row>
    <row r="10204" spans="1:4">
      <c r="A10204" t="str">
        <f t="shared" si="169"/>
        <v>1117Alpha</v>
      </c>
      <c r="B10204">
        <v>1117</v>
      </c>
      <c r="C10204" s="9" t="s">
        <v>23</v>
      </c>
      <c r="D10204" s="8">
        <v>0</v>
      </c>
    </row>
    <row r="10205" spans="1:4">
      <c r="A10205" t="str">
        <f t="shared" si="169"/>
        <v>1117Beta</v>
      </c>
      <c r="B10205">
        <v>1117</v>
      </c>
      <c r="C10205" s="9" t="s">
        <v>24</v>
      </c>
      <c r="D10205" s="8">
        <v>-6.2E-2</v>
      </c>
    </row>
    <row r="10206" spans="1:4">
      <c r="A10206" t="str">
        <f t="shared" si="169"/>
        <v>1117Annual Standard Deviation</v>
      </c>
      <c r="B10206">
        <v>1117</v>
      </c>
      <c r="C10206" s="9" t="s">
        <v>35</v>
      </c>
      <c r="D10206" s="8">
        <v>4.3999999999999997E-2</v>
      </c>
    </row>
    <row r="10207" spans="1:4">
      <c r="A10207" t="str">
        <f t="shared" si="169"/>
        <v>1117Annual Variance</v>
      </c>
      <c r="B10207">
        <v>1117</v>
      </c>
      <c r="C10207" s="9" t="s">
        <v>36</v>
      </c>
      <c r="D10207" s="8">
        <v>2E-3</v>
      </c>
    </row>
    <row r="10208" spans="1:4">
      <c r="A10208" t="str">
        <f t="shared" si="169"/>
        <v>1117Information Ratio</v>
      </c>
      <c r="B10208">
        <v>1117</v>
      </c>
      <c r="C10208" s="9" t="s">
        <v>37</v>
      </c>
      <c r="D10208" s="8">
        <v>-0.66300000000000003</v>
      </c>
    </row>
    <row r="10209" spans="1:4">
      <c r="A10209" t="str">
        <f t="shared" si="169"/>
        <v>1117Tracking Error</v>
      </c>
      <c r="B10209">
        <v>1117</v>
      </c>
      <c r="C10209" s="9" t="s">
        <v>38</v>
      </c>
      <c r="D10209" s="8">
        <v>8.4000000000000005E-2</v>
      </c>
    </row>
    <row r="10210" spans="1:4">
      <c r="A10210" t="str">
        <f t="shared" si="169"/>
        <v>1117Treynor Ratio</v>
      </c>
      <c r="B10210">
        <v>1117</v>
      </c>
      <c r="C10210" s="9" t="s">
        <v>39</v>
      </c>
      <c r="D10210" s="8">
        <v>5.7000000000000002E-2</v>
      </c>
    </row>
    <row r="10211" spans="1:4">
      <c r="A10211" t="str">
        <f t="shared" si="169"/>
        <v>1117Total Fees</v>
      </c>
      <c r="B10211">
        <v>1117</v>
      </c>
      <c r="C10211" s="9" t="s">
        <v>40</v>
      </c>
      <c r="D10211" s="8">
        <v>0</v>
      </c>
    </row>
    <row r="10212" spans="1:4">
      <c r="A10212" t="str">
        <f t="shared" si="169"/>
        <v>1117Estimated Strategy Capacity</v>
      </c>
      <c r="B10212">
        <v>1117</v>
      </c>
      <c r="C10212" s="9" t="s">
        <v>41</v>
      </c>
      <c r="D10212" s="8">
        <v>4500000</v>
      </c>
    </row>
    <row r="10213" spans="1:4">
      <c r="A10213" t="str">
        <f t="shared" si="169"/>
        <v>1118PSR</v>
      </c>
      <c r="B10213">
        <v>1118</v>
      </c>
      <c r="C10213" s="9" t="s">
        <v>27</v>
      </c>
      <c r="D10213" s="8">
        <v>0.32229999999999998</v>
      </c>
    </row>
    <row r="10214" spans="1:4">
      <c r="A10214" t="str">
        <f t="shared" si="169"/>
        <v>1118Sharpe Ratio</v>
      </c>
      <c r="B10214">
        <v>1118</v>
      </c>
      <c r="C10214" s="9" t="s">
        <v>1</v>
      </c>
      <c r="D10214" s="8">
        <v>0.52800000000000002</v>
      </c>
    </row>
    <row r="10215" spans="1:4">
      <c r="A10215" t="str">
        <f t="shared" si="169"/>
        <v>1118Total Trades</v>
      </c>
      <c r="B10215">
        <v>1118</v>
      </c>
      <c r="C10215" s="9" t="s">
        <v>28</v>
      </c>
      <c r="D10215" s="8">
        <v>1091</v>
      </c>
    </row>
    <row r="10216" spans="1:4">
      <c r="A10216" t="str">
        <f t="shared" si="169"/>
        <v>1118Average Win</v>
      </c>
      <c r="B10216">
        <v>1118</v>
      </c>
      <c r="C10216" s="9" t="s">
        <v>25</v>
      </c>
      <c r="D10216" s="8">
        <v>2.0999999999999999E-3</v>
      </c>
    </row>
    <row r="10217" spans="1:4">
      <c r="A10217" t="str">
        <f t="shared" si="169"/>
        <v>1118Average Loss</v>
      </c>
      <c r="B10217">
        <v>1118</v>
      </c>
      <c r="C10217" s="9" t="s">
        <v>29</v>
      </c>
      <c r="D10217" s="8">
        <v>-3.5999999999999999E-3</v>
      </c>
    </row>
    <row r="10218" spans="1:4">
      <c r="A10218" t="str">
        <f t="shared" si="169"/>
        <v>1118Compounding Annual Return</v>
      </c>
      <c r="B10218">
        <v>1118</v>
      </c>
      <c r="C10218" s="9" t="s">
        <v>30</v>
      </c>
      <c r="D10218" s="8">
        <v>3.7609999999999998E-2</v>
      </c>
    </row>
    <row r="10219" spans="1:4">
      <c r="A10219" t="str">
        <f t="shared" si="169"/>
        <v>1118Drawdown</v>
      </c>
      <c r="B10219">
        <v>1118</v>
      </c>
      <c r="C10219" s="9" t="s">
        <v>8</v>
      </c>
      <c r="D10219" s="8">
        <v>4.2000000000000003E-2</v>
      </c>
    </row>
    <row r="10220" spans="1:4">
      <c r="A10220" t="str">
        <f t="shared" si="169"/>
        <v>1118Expectancy</v>
      </c>
      <c r="B10220">
        <v>1118</v>
      </c>
      <c r="C10220" s="9" t="s">
        <v>31</v>
      </c>
      <c r="D10220" s="8">
        <v>5.6000000000000001E-2</v>
      </c>
    </row>
    <row r="10221" spans="1:4">
      <c r="A10221" t="str">
        <f t="shared" si="169"/>
        <v>1118Net Profit</v>
      </c>
      <c r="B10221">
        <v>1118</v>
      </c>
      <c r="C10221" s="9" t="s">
        <v>32</v>
      </c>
      <c r="D10221" s="8">
        <v>2.4879999999999999E-2</v>
      </c>
    </row>
    <row r="10222" spans="1:4">
      <c r="A10222" t="str">
        <f t="shared" si="169"/>
        <v>1118Loss Rate</v>
      </c>
      <c r="B10222">
        <v>1118</v>
      </c>
      <c r="C10222" s="9" t="s">
        <v>33</v>
      </c>
      <c r="D10222" s="8">
        <v>0.33</v>
      </c>
    </row>
    <row r="10223" spans="1:4">
      <c r="A10223" t="str">
        <f t="shared" si="169"/>
        <v>1118Win Rate</v>
      </c>
      <c r="B10223">
        <v>1118</v>
      </c>
      <c r="C10223" s="9" t="s">
        <v>34</v>
      </c>
      <c r="D10223" s="8">
        <v>0.67</v>
      </c>
    </row>
    <row r="10224" spans="1:4">
      <c r="A10224" t="str">
        <f t="shared" si="169"/>
        <v>1118Profit-Loss Ratio</v>
      </c>
      <c r="B10224">
        <v>1118</v>
      </c>
      <c r="C10224" s="9" t="s">
        <v>26</v>
      </c>
      <c r="D10224" s="8">
        <v>0.56999999999999995</v>
      </c>
    </row>
    <row r="10225" spans="1:4">
      <c r="A10225" t="str">
        <f t="shared" si="169"/>
        <v>1118Alpha</v>
      </c>
      <c r="B10225">
        <v>1118</v>
      </c>
      <c r="C10225" s="9" t="s">
        <v>23</v>
      </c>
      <c r="D10225" s="8">
        <v>3.5999999999999997E-2</v>
      </c>
    </row>
    <row r="10226" spans="1:4">
      <c r="A10226" t="str">
        <f t="shared" si="169"/>
        <v>1118Beta</v>
      </c>
      <c r="B10226">
        <v>1118</v>
      </c>
      <c r="C10226" s="9" t="s">
        <v>24</v>
      </c>
      <c r="D10226" s="8">
        <v>-0.17100000000000001</v>
      </c>
    </row>
    <row r="10227" spans="1:4">
      <c r="A10227" t="str">
        <f t="shared" si="169"/>
        <v>1118Annual Standard Deviation</v>
      </c>
      <c r="B10227">
        <v>1118</v>
      </c>
      <c r="C10227" s="9" t="s">
        <v>35</v>
      </c>
      <c r="D10227" s="8">
        <v>5.1999999999999998E-2</v>
      </c>
    </row>
    <row r="10228" spans="1:4">
      <c r="A10228" t="str">
        <f t="shared" si="169"/>
        <v>1118Annual Variance</v>
      </c>
      <c r="B10228">
        <v>1118</v>
      </c>
      <c r="C10228" s="9" t="s">
        <v>36</v>
      </c>
      <c r="D10228" s="8">
        <v>3.0000000000000001E-3</v>
      </c>
    </row>
    <row r="10229" spans="1:4">
      <c r="A10229" t="str">
        <f t="shared" si="169"/>
        <v>1118Information Ratio</v>
      </c>
      <c r="B10229">
        <v>1118</v>
      </c>
      <c r="C10229" s="9" t="s">
        <v>37</v>
      </c>
      <c r="D10229" s="8">
        <v>-0.26300000000000001</v>
      </c>
    </row>
    <row r="10230" spans="1:4">
      <c r="A10230" t="str">
        <f t="shared" si="169"/>
        <v>1118Tracking Error</v>
      </c>
      <c r="B10230">
        <v>1118</v>
      </c>
      <c r="C10230" s="9" t="s">
        <v>38</v>
      </c>
      <c r="D10230" s="8">
        <v>9.2999999999999999E-2</v>
      </c>
    </row>
    <row r="10231" spans="1:4">
      <c r="A10231" t="str">
        <f t="shared" si="169"/>
        <v>1118Treynor Ratio</v>
      </c>
      <c r="B10231">
        <v>1118</v>
      </c>
      <c r="C10231" s="9" t="s">
        <v>39</v>
      </c>
      <c r="D10231" s="8">
        <v>-0.16</v>
      </c>
    </row>
    <row r="10232" spans="1:4">
      <c r="A10232" t="str">
        <f t="shared" si="169"/>
        <v>1118Total Fees</v>
      </c>
      <c r="B10232">
        <v>1118</v>
      </c>
      <c r="C10232" s="9" t="s">
        <v>40</v>
      </c>
      <c r="D10232" s="8">
        <v>0</v>
      </c>
    </row>
    <row r="10233" spans="1:4">
      <c r="A10233" t="str">
        <f t="shared" si="169"/>
        <v>1118Estimated Strategy Capacity</v>
      </c>
      <c r="B10233">
        <v>1118</v>
      </c>
      <c r="C10233" s="9" t="s">
        <v>41</v>
      </c>
      <c r="D10233" s="8">
        <v>4900000</v>
      </c>
    </row>
    <row r="10234" spans="1:4">
      <c r="A10234" t="str">
        <f t="shared" si="169"/>
        <v>1119PSR</v>
      </c>
      <c r="B10234">
        <v>1119</v>
      </c>
      <c r="C10234" s="9" t="s">
        <v>27</v>
      </c>
      <c r="D10234" s="8">
        <v>0.22269</v>
      </c>
    </row>
    <row r="10235" spans="1:4">
      <c r="A10235" t="str">
        <f t="shared" si="169"/>
        <v>1119Sharpe Ratio</v>
      </c>
      <c r="B10235">
        <v>1119</v>
      </c>
      <c r="C10235" s="9" t="s">
        <v>1</v>
      </c>
      <c r="D10235" s="8">
        <v>0.216</v>
      </c>
    </row>
    <row r="10236" spans="1:4">
      <c r="A10236" t="str">
        <f t="shared" si="169"/>
        <v>1119Total Trades</v>
      </c>
      <c r="B10236">
        <v>1119</v>
      </c>
      <c r="C10236" s="9" t="s">
        <v>28</v>
      </c>
      <c r="D10236" s="8">
        <v>876</v>
      </c>
    </row>
    <row r="10237" spans="1:4">
      <c r="A10237" t="str">
        <f t="shared" si="169"/>
        <v>1119Average Win</v>
      </c>
      <c r="B10237">
        <v>1119</v>
      </c>
      <c r="C10237" s="9" t="s">
        <v>25</v>
      </c>
      <c r="D10237" s="8">
        <v>1.9E-3</v>
      </c>
    </row>
    <row r="10238" spans="1:4">
      <c r="A10238" t="str">
        <f t="shared" si="169"/>
        <v>1119Average Loss</v>
      </c>
      <c r="B10238">
        <v>1119</v>
      </c>
      <c r="C10238" s="9" t="s">
        <v>29</v>
      </c>
      <c r="D10238" s="8">
        <v>-4.0000000000000001E-3</v>
      </c>
    </row>
    <row r="10239" spans="1:4">
      <c r="A10239" t="str">
        <f t="shared" si="169"/>
        <v>1119Compounding Annual Return</v>
      </c>
      <c r="B10239">
        <v>1119</v>
      </c>
      <c r="C10239" s="9" t="s">
        <v>30</v>
      </c>
      <c r="D10239" s="8">
        <v>1.3259999999999999E-2</v>
      </c>
    </row>
    <row r="10240" spans="1:4">
      <c r="A10240" t="str">
        <f t="shared" si="169"/>
        <v>1119Drawdown</v>
      </c>
      <c r="B10240">
        <v>1119</v>
      </c>
      <c r="C10240" s="9" t="s">
        <v>8</v>
      </c>
      <c r="D10240" s="8">
        <v>4.9000000000000002E-2</v>
      </c>
    </row>
    <row r="10241" spans="1:4">
      <c r="A10241" t="str">
        <f t="shared" si="169"/>
        <v>1119Expectancy</v>
      </c>
      <c r="B10241">
        <v>1119</v>
      </c>
      <c r="C10241" s="9" t="s">
        <v>31</v>
      </c>
      <c r="D10241" s="8">
        <v>2.3E-2</v>
      </c>
    </row>
    <row r="10242" spans="1:4">
      <c r="A10242" t="str">
        <f t="shared" si="169"/>
        <v>1119Net Profit</v>
      </c>
      <c r="B10242">
        <v>1119</v>
      </c>
      <c r="C10242" s="9" t="s">
        <v>32</v>
      </c>
      <c r="D10242" s="8">
        <v>8.8100000000000001E-3</v>
      </c>
    </row>
    <row r="10243" spans="1:4">
      <c r="A10243" t="str">
        <f t="shared" si="169"/>
        <v>1119Loss Rate</v>
      </c>
      <c r="B10243">
        <v>1119</v>
      </c>
      <c r="C10243" s="9" t="s">
        <v>33</v>
      </c>
      <c r="D10243" s="8">
        <v>0.31</v>
      </c>
    </row>
    <row r="10244" spans="1:4">
      <c r="A10244" t="str">
        <f t="shared" si="169"/>
        <v>1119Win Rate</v>
      </c>
      <c r="B10244">
        <v>1119</v>
      </c>
      <c r="C10244" s="9" t="s">
        <v>34</v>
      </c>
      <c r="D10244" s="8">
        <v>0.69</v>
      </c>
    </row>
    <row r="10245" spans="1:4">
      <c r="A10245" t="str">
        <f t="shared" si="169"/>
        <v>1119Profit-Loss Ratio</v>
      </c>
      <c r="B10245">
        <v>1119</v>
      </c>
      <c r="C10245" s="9" t="s">
        <v>26</v>
      </c>
      <c r="D10245" s="8">
        <v>0.48</v>
      </c>
    </row>
    <row r="10246" spans="1:4">
      <c r="A10246" t="str">
        <f t="shared" si="169"/>
        <v>1119Alpha</v>
      </c>
      <c r="B10246">
        <v>1119</v>
      </c>
      <c r="C10246" s="9" t="s">
        <v>23</v>
      </c>
      <c r="D10246" s="8">
        <v>1.7999999999999999E-2</v>
      </c>
    </row>
    <row r="10247" spans="1:4">
      <c r="A10247" t="str">
        <f t="shared" si="169"/>
        <v>1119Beta</v>
      </c>
      <c r="B10247">
        <v>1119</v>
      </c>
      <c r="C10247" s="9" t="s">
        <v>24</v>
      </c>
      <c r="D10247" s="8">
        <v>-0.14499999999999999</v>
      </c>
    </row>
    <row r="10248" spans="1:4">
      <c r="A10248" t="str">
        <f t="shared" si="169"/>
        <v>1119Annual Standard Deviation</v>
      </c>
      <c r="B10248">
        <v>1119</v>
      </c>
      <c r="C10248" s="9" t="s">
        <v>35</v>
      </c>
      <c r="D10248" s="8">
        <v>4.8000000000000001E-2</v>
      </c>
    </row>
    <row r="10249" spans="1:4">
      <c r="A10249" t="str">
        <f t="shared" si="169"/>
        <v>1119Annual Variance</v>
      </c>
      <c r="B10249">
        <v>1119</v>
      </c>
      <c r="C10249" s="9" t="s">
        <v>36</v>
      </c>
      <c r="D10249" s="8">
        <v>2E-3</v>
      </c>
    </row>
    <row r="10250" spans="1:4">
      <c r="A10250" t="str">
        <f t="shared" si="169"/>
        <v>1119Information Ratio</v>
      </c>
      <c r="B10250">
        <v>1119</v>
      </c>
      <c r="C10250" s="9" t="s">
        <v>37</v>
      </c>
      <c r="D10250" s="8">
        <v>-0.46100000000000002</v>
      </c>
    </row>
    <row r="10251" spans="1:4">
      <c r="A10251" t="str">
        <f t="shared" si="169"/>
        <v>1119Tracking Error</v>
      </c>
      <c r="B10251">
        <v>1119</v>
      </c>
      <c r="C10251" s="9" t="s">
        <v>38</v>
      </c>
      <c r="D10251" s="8">
        <v>0.09</v>
      </c>
    </row>
    <row r="10252" spans="1:4">
      <c r="A10252" t="str">
        <f t="shared" si="169"/>
        <v>1119Treynor Ratio</v>
      </c>
      <c r="B10252">
        <v>1119</v>
      </c>
      <c r="C10252" s="9" t="s">
        <v>39</v>
      </c>
      <c r="D10252" s="8">
        <v>-7.0999999999999994E-2</v>
      </c>
    </row>
    <row r="10253" spans="1:4">
      <c r="A10253" t="str">
        <f t="shared" si="169"/>
        <v>1119Total Fees</v>
      </c>
      <c r="B10253">
        <v>1119</v>
      </c>
      <c r="C10253" s="9" t="s">
        <v>40</v>
      </c>
      <c r="D10253" s="8">
        <v>0</v>
      </c>
    </row>
    <row r="10254" spans="1:4">
      <c r="A10254" t="str">
        <f t="shared" si="169"/>
        <v>1119Estimated Strategy Capacity</v>
      </c>
      <c r="B10254">
        <v>1119</v>
      </c>
      <c r="C10254" s="9" t="s">
        <v>41</v>
      </c>
      <c r="D10254" s="8">
        <v>5200000</v>
      </c>
    </row>
    <row r="10255" spans="1:4">
      <c r="A10255" t="str">
        <f t="shared" si="169"/>
        <v>1120PSR</v>
      </c>
      <c r="B10255">
        <v>1120</v>
      </c>
      <c r="C10255" s="9" t="s">
        <v>27</v>
      </c>
      <c r="D10255" s="8">
        <v>0.18096000000000001</v>
      </c>
    </row>
    <row r="10256" spans="1:4">
      <c r="A10256" t="str">
        <f t="shared" si="169"/>
        <v>1120Sharpe Ratio</v>
      </c>
      <c r="B10256">
        <v>1120</v>
      </c>
      <c r="C10256" s="9" t="s">
        <v>1</v>
      </c>
      <c r="D10256" s="8">
        <v>7.2999999999999995E-2</v>
      </c>
    </row>
    <row r="10257" spans="1:4">
      <c r="A10257" t="str">
        <f t="shared" si="169"/>
        <v>1120Total Trades</v>
      </c>
      <c r="B10257">
        <v>1120</v>
      </c>
      <c r="C10257" s="9" t="s">
        <v>28</v>
      </c>
      <c r="D10257" s="8">
        <v>969</v>
      </c>
    </row>
    <row r="10258" spans="1:4">
      <c r="A10258" t="str">
        <f t="shared" ref="A10258:A10321" si="170">B10258&amp;C10258</f>
        <v>1120Average Win</v>
      </c>
      <c r="B10258">
        <v>1120</v>
      </c>
      <c r="C10258" s="9" t="s">
        <v>25</v>
      </c>
      <c r="D10258" s="8">
        <v>1.4E-3</v>
      </c>
    </row>
    <row r="10259" spans="1:4">
      <c r="A10259" t="str">
        <f t="shared" si="170"/>
        <v>1120Average Loss</v>
      </c>
      <c r="B10259">
        <v>1120</v>
      </c>
      <c r="C10259" s="9" t="s">
        <v>29</v>
      </c>
      <c r="D10259" s="8">
        <v>-2.3999999999999998E-3</v>
      </c>
    </row>
    <row r="10260" spans="1:4">
      <c r="A10260" t="str">
        <f t="shared" si="170"/>
        <v>1120Compounding Annual Return</v>
      </c>
      <c r="B10260">
        <v>1120</v>
      </c>
      <c r="C10260" s="9" t="s">
        <v>30</v>
      </c>
      <c r="D10260" s="8">
        <v>2.9199999999999999E-3</v>
      </c>
    </row>
    <row r="10261" spans="1:4">
      <c r="A10261" t="str">
        <f t="shared" si="170"/>
        <v>1120Drawdown</v>
      </c>
      <c r="B10261">
        <v>1120</v>
      </c>
      <c r="C10261" s="9" t="s">
        <v>8</v>
      </c>
      <c r="D10261" s="8">
        <v>2.5000000000000001E-2</v>
      </c>
    </row>
    <row r="10262" spans="1:4">
      <c r="A10262" t="str">
        <f t="shared" si="170"/>
        <v>1120Expectancy</v>
      </c>
      <c r="B10262">
        <v>1120</v>
      </c>
      <c r="C10262" s="9" t="s">
        <v>31</v>
      </c>
      <c r="D10262" s="8">
        <v>1.4E-2</v>
      </c>
    </row>
    <row r="10263" spans="1:4">
      <c r="A10263" t="str">
        <f t="shared" si="170"/>
        <v>1120Net Profit</v>
      </c>
      <c r="B10263">
        <v>1120</v>
      </c>
      <c r="C10263" s="9" t="s">
        <v>32</v>
      </c>
      <c r="D10263" s="8">
        <v>1.9400000000000001E-3</v>
      </c>
    </row>
    <row r="10264" spans="1:4">
      <c r="A10264" t="str">
        <f t="shared" si="170"/>
        <v>1120Loss Rate</v>
      </c>
      <c r="B10264">
        <v>1120</v>
      </c>
      <c r="C10264" s="9" t="s">
        <v>33</v>
      </c>
      <c r="D10264" s="8">
        <v>0.36</v>
      </c>
    </row>
    <row r="10265" spans="1:4">
      <c r="A10265" t="str">
        <f t="shared" si="170"/>
        <v>1120Win Rate</v>
      </c>
      <c r="B10265">
        <v>1120</v>
      </c>
      <c r="C10265" s="9" t="s">
        <v>34</v>
      </c>
      <c r="D10265" s="8">
        <v>0.64</v>
      </c>
    </row>
    <row r="10266" spans="1:4">
      <c r="A10266" t="str">
        <f t="shared" si="170"/>
        <v>1120Profit-Loss Ratio</v>
      </c>
      <c r="B10266">
        <v>1120</v>
      </c>
      <c r="C10266" s="9" t="s">
        <v>26</v>
      </c>
      <c r="D10266" s="8">
        <v>0.59</v>
      </c>
    </row>
    <row r="10267" spans="1:4">
      <c r="A10267" t="str">
        <f t="shared" si="170"/>
        <v>1120Alpha</v>
      </c>
      <c r="B10267">
        <v>1120</v>
      </c>
      <c r="C10267" s="9" t="s">
        <v>23</v>
      </c>
      <c r="D10267" s="8">
        <v>4.0000000000000001E-3</v>
      </c>
    </row>
    <row r="10268" spans="1:4">
      <c r="A10268" t="str">
        <f t="shared" si="170"/>
        <v>1120Beta</v>
      </c>
      <c r="B10268">
        <v>1120</v>
      </c>
      <c r="C10268" s="9" t="s">
        <v>24</v>
      </c>
      <c r="D10268" s="8">
        <v>-3.5000000000000003E-2</v>
      </c>
    </row>
    <row r="10269" spans="1:4">
      <c r="A10269" t="str">
        <f t="shared" si="170"/>
        <v>1120Annual Standard Deviation</v>
      </c>
      <c r="B10269">
        <v>1120</v>
      </c>
      <c r="C10269" s="9" t="s">
        <v>35</v>
      </c>
      <c r="D10269" s="8">
        <v>3.6999999999999998E-2</v>
      </c>
    </row>
    <row r="10270" spans="1:4">
      <c r="A10270" t="str">
        <f t="shared" si="170"/>
        <v>1120Annual Variance</v>
      </c>
      <c r="B10270">
        <v>1120</v>
      </c>
      <c r="C10270" s="9" t="s">
        <v>36</v>
      </c>
      <c r="D10270" s="8">
        <v>1E-3</v>
      </c>
    </row>
    <row r="10271" spans="1:4">
      <c r="A10271" t="str">
        <f t="shared" si="170"/>
        <v>1120Information Ratio</v>
      </c>
      <c r="B10271">
        <v>1120</v>
      </c>
      <c r="C10271" s="9" t="s">
        <v>37</v>
      </c>
      <c r="D10271" s="8">
        <v>-0.59</v>
      </c>
    </row>
    <row r="10272" spans="1:4">
      <c r="A10272" t="str">
        <f t="shared" si="170"/>
        <v>1120Tracking Error</v>
      </c>
      <c r="B10272">
        <v>1120</v>
      </c>
      <c r="C10272" s="9" t="s">
        <v>38</v>
      </c>
      <c r="D10272" s="8">
        <v>7.9000000000000001E-2</v>
      </c>
    </row>
    <row r="10273" spans="1:4">
      <c r="A10273" t="str">
        <f t="shared" si="170"/>
        <v>1120Treynor Ratio</v>
      </c>
      <c r="B10273">
        <v>1120</v>
      </c>
      <c r="C10273" s="9" t="s">
        <v>39</v>
      </c>
      <c r="D10273" s="8">
        <v>-7.8E-2</v>
      </c>
    </row>
    <row r="10274" spans="1:4">
      <c r="A10274" t="str">
        <f t="shared" si="170"/>
        <v>1120Total Fees</v>
      </c>
      <c r="B10274">
        <v>1120</v>
      </c>
      <c r="C10274" s="9" t="s">
        <v>40</v>
      </c>
      <c r="D10274" s="8">
        <v>0</v>
      </c>
    </row>
    <row r="10275" spans="1:4">
      <c r="A10275" t="str">
        <f t="shared" si="170"/>
        <v>1120Estimated Strategy Capacity</v>
      </c>
      <c r="B10275">
        <v>1120</v>
      </c>
      <c r="C10275" s="9" t="s">
        <v>41</v>
      </c>
      <c r="D10275" s="8">
        <v>5500000</v>
      </c>
    </row>
    <row r="10276" spans="1:4">
      <c r="A10276" t="str">
        <f t="shared" si="170"/>
        <v>1121PSR</v>
      </c>
      <c r="B10276">
        <v>1121</v>
      </c>
      <c r="C10276" s="9" t="s">
        <v>27</v>
      </c>
      <c r="D10276" s="8">
        <v>0.32883000000000001</v>
      </c>
    </row>
    <row r="10277" spans="1:4">
      <c r="A10277" t="str">
        <f t="shared" si="170"/>
        <v>1121Sharpe Ratio</v>
      </c>
      <c r="B10277">
        <v>1121</v>
      </c>
      <c r="C10277" s="9" t="s">
        <v>1</v>
      </c>
      <c r="D10277" s="8">
        <v>0.56000000000000005</v>
      </c>
    </row>
    <row r="10278" spans="1:4">
      <c r="A10278" t="str">
        <f t="shared" si="170"/>
        <v>1121Total Trades</v>
      </c>
      <c r="B10278">
        <v>1121</v>
      </c>
      <c r="C10278" s="9" t="s">
        <v>28</v>
      </c>
      <c r="D10278" s="8">
        <v>645</v>
      </c>
    </row>
    <row r="10279" spans="1:4">
      <c r="A10279" t="str">
        <f t="shared" si="170"/>
        <v>1121Average Win</v>
      </c>
      <c r="B10279">
        <v>1121</v>
      </c>
      <c r="C10279" s="9" t="s">
        <v>25</v>
      </c>
      <c r="D10279" s="8">
        <v>2.3E-3</v>
      </c>
    </row>
    <row r="10280" spans="1:4">
      <c r="A10280" t="str">
        <f t="shared" si="170"/>
        <v>1121Average Loss</v>
      </c>
      <c r="B10280">
        <v>1121</v>
      </c>
      <c r="C10280" s="9" t="s">
        <v>29</v>
      </c>
      <c r="D10280" s="8">
        <v>-3.3999999999999998E-3</v>
      </c>
    </row>
    <row r="10281" spans="1:4">
      <c r="A10281" t="str">
        <f t="shared" si="170"/>
        <v>1121Compounding Annual Return</v>
      </c>
      <c r="B10281">
        <v>1121</v>
      </c>
      <c r="C10281" s="9" t="s">
        <v>30</v>
      </c>
      <c r="D10281" s="8">
        <v>4.2799999999999998E-2</v>
      </c>
    </row>
    <row r="10282" spans="1:4">
      <c r="A10282" t="str">
        <f t="shared" si="170"/>
        <v>1121Drawdown</v>
      </c>
      <c r="B10282">
        <v>1121</v>
      </c>
      <c r="C10282" s="9" t="s">
        <v>8</v>
      </c>
      <c r="D10282" s="8">
        <v>3.2000000000000001E-2</v>
      </c>
    </row>
    <row r="10283" spans="1:4">
      <c r="A10283" t="str">
        <f t="shared" si="170"/>
        <v>1121Expectancy</v>
      </c>
      <c r="B10283">
        <v>1121</v>
      </c>
      <c r="C10283" s="9" t="s">
        <v>31</v>
      </c>
      <c r="D10283" s="8">
        <v>9.7000000000000003E-2</v>
      </c>
    </row>
    <row r="10284" spans="1:4">
      <c r="A10284" t="str">
        <f t="shared" si="170"/>
        <v>1121Net Profit</v>
      </c>
      <c r="B10284">
        <v>1121</v>
      </c>
      <c r="C10284" s="9" t="s">
        <v>32</v>
      </c>
      <c r="D10284" s="8">
        <v>2.8289999999999999E-2</v>
      </c>
    </row>
    <row r="10285" spans="1:4">
      <c r="A10285" t="str">
        <f t="shared" si="170"/>
        <v>1121Loss Rate</v>
      </c>
      <c r="B10285">
        <v>1121</v>
      </c>
      <c r="C10285" s="9" t="s">
        <v>33</v>
      </c>
      <c r="D10285" s="8">
        <v>0.34</v>
      </c>
    </row>
    <row r="10286" spans="1:4">
      <c r="A10286" t="str">
        <f t="shared" si="170"/>
        <v>1121Win Rate</v>
      </c>
      <c r="B10286">
        <v>1121</v>
      </c>
      <c r="C10286" s="9" t="s">
        <v>34</v>
      </c>
      <c r="D10286" s="8">
        <v>0.66</v>
      </c>
    </row>
    <row r="10287" spans="1:4">
      <c r="A10287" t="str">
        <f t="shared" si="170"/>
        <v>1121Profit-Loss Ratio</v>
      </c>
      <c r="B10287">
        <v>1121</v>
      </c>
      <c r="C10287" s="9" t="s">
        <v>26</v>
      </c>
      <c r="D10287" s="8">
        <v>0.67</v>
      </c>
    </row>
    <row r="10288" spans="1:4">
      <c r="A10288" t="str">
        <f t="shared" si="170"/>
        <v>1121Alpha</v>
      </c>
      <c r="B10288">
        <v>1121</v>
      </c>
      <c r="C10288" s="9" t="s">
        <v>23</v>
      </c>
      <c r="D10288" s="8">
        <v>3.7999999999999999E-2</v>
      </c>
    </row>
    <row r="10289" spans="1:4">
      <c r="A10289" t="str">
        <f t="shared" si="170"/>
        <v>1121Beta</v>
      </c>
      <c r="B10289">
        <v>1121</v>
      </c>
      <c r="C10289" s="9" t="s">
        <v>24</v>
      </c>
      <c r="D10289" s="8">
        <v>-0.13400000000000001</v>
      </c>
    </row>
    <row r="10290" spans="1:4">
      <c r="A10290" t="str">
        <f t="shared" si="170"/>
        <v>1121Annual Standard Deviation</v>
      </c>
      <c r="B10290">
        <v>1121</v>
      </c>
      <c r="C10290" s="9" t="s">
        <v>35</v>
      </c>
      <c r="D10290" s="8">
        <v>5.5E-2</v>
      </c>
    </row>
    <row r="10291" spans="1:4">
      <c r="A10291" t="str">
        <f t="shared" si="170"/>
        <v>1121Annual Variance</v>
      </c>
      <c r="B10291">
        <v>1121</v>
      </c>
      <c r="C10291" s="9" t="s">
        <v>36</v>
      </c>
      <c r="D10291" s="8">
        <v>3.0000000000000001E-3</v>
      </c>
    </row>
    <row r="10292" spans="1:4">
      <c r="A10292" t="str">
        <f t="shared" si="170"/>
        <v>1121Information Ratio</v>
      </c>
      <c r="B10292">
        <v>1121</v>
      </c>
      <c r="C10292" s="9" t="s">
        <v>37</v>
      </c>
      <c r="D10292" s="8">
        <v>-0.19400000000000001</v>
      </c>
    </row>
    <row r="10293" spans="1:4">
      <c r="A10293" t="str">
        <f t="shared" si="170"/>
        <v>1121Tracking Error</v>
      </c>
      <c r="B10293">
        <v>1121</v>
      </c>
      <c r="C10293" s="9" t="s">
        <v>38</v>
      </c>
      <c r="D10293" s="8">
        <v>9.4E-2</v>
      </c>
    </row>
    <row r="10294" spans="1:4">
      <c r="A10294" t="str">
        <f t="shared" si="170"/>
        <v>1121Treynor Ratio</v>
      </c>
      <c r="B10294">
        <v>1121</v>
      </c>
      <c r="C10294" s="9" t="s">
        <v>39</v>
      </c>
      <c r="D10294" s="8">
        <v>-0.23100000000000001</v>
      </c>
    </row>
    <row r="10295" spans="1:4">
      <c r="A10295" t="str">
        <f t="shared" si="170"/>
        <v>1121Total Fees</v>
      </c>
      <c r="B10295">
        <v>1121</v>
      </c>
      <c r="C10295" s="9" t="s">
        <v>40</v>
      </c>
      <c r="D10295" s="8">
        <v>0</v>
      </c>
    </row>
    <row r="10296" spans="1:4">
      <c r="A10296" t="str">
        <f t="shared" si="170"/>
        <v>1121Estimated Strategy Capacity</v>
      </c>
      <c r="B10296">
        <v>1121</v>
      </c>
      <c r="C10296" s="9" t="s">
        <v>41</v>
      </c>
      <c r="D10296" s="8">
        <v>5300000</v>
      </c>
    </row>
    <row r="10297" spans="1:4">
      <c r="A10297" t="str">
        <f t="shared" si="170"/>
        <v>1122PSR</v>
      </c>
      <c r="B10297">
        <v>1122</v>
      </c>
      <c r="C10297" s="9" t="s">
        <v>27</v>
      </c>
      <c r="D10297" s="8">
        <v>0.45856999999999998</v>
      </c>
    </row>
    <row r="10298" spans="1:4">
      <c r="A10298" t="str">
        <f t="shared" si="170"/>
        <v>1122Sharpe Ratio</v>
      </c>
      <c r="B10298">
        <v>1122</v>
      </c>
      <c r="C10298" s="9" t="s">
        <v>1</v>
      </c>
      <c r="D10298" s="8">
        <v>0.91400000000000003</v>
      </c>
    </row>
    <row r="10299" spans="1:4">
      <c r="A10299" t="str">
        <f t="shared" si="170"/>
        <v>1122Total Trades</v>
      </c>
      <c r="B10299">
        <v>1122</v>
      </c>
      <c r="C10299" s="9" t="s">
        <v>28</v>
      </c>
      <c r="D10299" s="8">
        <v>531</v>
      </c>
    </row>
    <row r="10300" spans="1:4">
      <c r="A10300" t="str">
        <f t="shared" si="170"/>
        <v>1122Average Win</v>
      </c>
      <c r="B10300">
        <v>1122</v>
      </c>
      <c r="C10300" s="9" t="s">
        <v>25</v>
      </c>
      <c r="D10300" s="8">
        <v>2.3E-3</v>
      </c>
    </row>
    <row r="10301" spans="1:4">
      <c r="A10301" t="str">
        <f t="shared" si="170"/>
        <v>1122Average Loss</v>
      </c>
      <c r="B10301">
        <v>1122</v>
      </c>
      <c r="C10301" s="9" t="s">
        <v>29</v>
      </c>
      <c r="D10301" s="8">
        <v>-3.3999999999999998E-3</v>
      </c>
    </row>
    <row r="10302" spans="1:4">
      <c r="A10302" t="str">
        <f t="shared" si="170"/>
        <v>1122Compounding Annual Return</v>
      </c>
      <c r="B10302">
        <v>1122</v>
      </c>
      <c r="C10302" s="9" t="s">
        <v>30</v>
      </c>
      <c r="D10302" s="8">
        <v>6.0139999999999999E-2</v>
      </c>
    </row>
    <row r="10303" spans="1:4">
      <c r="A10303" t="str">
        <f t="shared" si="170"/>
        <v>1122Drawdown</v>
      </c>
      <c r="B10303">
        <v>1122</v>
      </c>
      <c r="C10303" s="9" t="s">
        <v>8</v>
      </c>
      <c r="D10303" s="8">
        <v>3.3000000000000002E-2</v>
      </c>
    </row>
    <row r="10304" spans="1:4">
      <c r="A10304" t="str">
        <f t="shared" si="170"/>
        <v>1122Expectancy</v>
      </c>
      <c r="B10304">
        <v>1122</v>
      </c>
      <c r="C10304" s="9" t="s">
        <v>31</v>
      </c>
      <c r="D10304" s="8">
        <v>0.14499999999999999</v>
      </c>
    </row>
    <row r="10305" spans="1:4">
      <c r="A10305" t="str">
        <f t="shared" si="170"/>
        <v>1122Net Profit</v>
      </c>
      <c r="B10305">
        <v>1122</v>
      </c>
      <c r="C10305" s="9" t="s">
        <v>32</v>
      </c>
      <c r="D10305" s="8">
        <v>3.9640000000000002E-2</v>
      </c>
    </row>
    <row r="10306" spans="1:4">
      <c r="A10306" t="str">
        <f t="shared" si="170"/>
        <v>1122Loss Rate</v>
      </c>
      <c r="B10306">
        <v>1122</v>
      </c>
      <c r="C10306" s="9" t="s">
        <v>33</v>
      </c>
      <c r="D10306" s="8">
        <v>0.32</v>
      </c>
    </row>
    <row r="10307" spans="1:4">
      <c r="A10307" t="str">
        <f t="shared" si="170"/>
        <v>1122Win Rate</v>
      </c>
      <c r="B10307">
        <v>1122</v>
      </c>
      <c r="C10307" s="9" t="s">
        <v>34</v>
      </c>
      <c r="D10307" s="8">
        <v>0.68</v>
      </c>
    </row>
    <row r="10308" spans="1:4">
      <c r="A10308" t="str">
        <f t="shared" si="170"/>
        <v>1122Profit-Loss Ratio</v>
      </c>
      <c r="B10308">
        <v>1122</v>
      </c>
      <c r="C10308" s="9" t="s">
        <v>26</v>
      </c>
      <c r="D10308" s="8">
        <v>0.69</v>
      </c>
    </row>
    <row r="10309" spans="1:4">
      <c r="A10309" t="str">
        <f t="shared" si="170"/>
        <v>1122Alpha</v>
      </c>
      <c r="B10309">
        <v>1122</v>
      </c>
      <c r="C10309" s="9" t="s">
        <v>23</v>
      </c>
      <c r="D10309" s="8">
        <v>5.0999999999999997E-2</v>
      </c>
    </row>
    <row r="10310" spans="1:4">
      <c r="A10310" t="str">
        <f t="shared" si="170"/>
        <v>1122Beta</v>
      </c>
      <c r="B10310">
        <v>1122</v>
      </c>
      <c r="C10310" s="9" t="s">
        <v>24</v>
      </c>
      <c r="D10310" s="8">
        <v>-0.16500000000000001</v>
      </c>
    </row>
    <row r="10311" spans="1:4">
      <c r="A10311" t="str">
        <f t="shared" si="170"/>
        <v>1122Annual Standard Deviation</v>
      </c>
      <c r="B10311">
        <v>1122</v>
      </c>
      <c r="C10311" s="9" t="s">
        <v>35</v>
      </c>
      <c r="D10311" s="8">
        <v>4.5999999999999999E-2</v>
      </c>
    </row>
    <row r="10312" spans="1:4">
      <c r="A10312" t="str">
        <f t="shared" si="170"/>
        <v>1122Annual Variance</v>
      </c>
      <c r="B10312">
        <v>1122</v>
      </c>
      <c r="C10312" s="9" t="s">
        <v>36</v>
      </c>
      <c r="D10312" s="8">
        <v>2E-3</v>
      </c>
    </row>
    <row r="10313" spans="1:4">
      <c r="A10313" t="str">
        <f t="shared" si="170"/>
        <v>1122Information Ratio</v>
      </c>
      <c r="B10313">
        <v>1122</v>
      </c>
      <c r="C10313" s="9" t="s">
        <v>37</v>
      </c>
      <c r="D10313" s="8">
        <v>-0.105</v>
      </c>
    </row>
    <row r="10314" spans="1:4">
      <c r="A10314" t="str">
        <f t="shared" si="170"/>
        <v>1122Tracking Error</v>
      </c>
      <c r="B10314">
        <v>1122</v>
      </c>
      <c r="C10314" s="9" t="s">
        <v>38</v>
      </c>
      <c r="D10314" s="8">
        <v>0.09</v>
      </c>
    </row>
    <row r="10315" spans="1:4">
      <c r="A10315" t="str">
        <f t="shared" si="170"/>
        <v>1122Treynor Ratio</v>
      </c>
      <c r="B10315">
        <v>1122</v>
      </c>
      <c r="C10315" s="9" t="s">
        <v>39</v>
      </c>
      <c r="D10315" s="8">
        <v>-0.25800000000000001</v>
      </c>
    </row>
    <row r="10316" spans="1:4">
      <c r="A10316" t="str">
        <f t="shared" si="170"/>
        <v>1122Total Fees</v>
      </c>
      <c r="B10316">
        <v>1122</v>
      </c>
      <c r="C10316" s="9" t="s">
        <v>40</v>
      </c>
      <c r="D10316" s="8">
        <v>0</v>
      </c>
    </row>
    <row r="10317" spans="1:4">
      <c r="A10317" t="str">
        <f t="shared" si="170"/>
        <v>1122Estimated Strategy Capacity</v>
      </c>
      <c r="B10317">
        <v>1122</v>
      </c>
      <c r="C10317" s="9" t="s">
        <v>41</v>
      </c>
      <c r="D10317" s="8">
        <v>5500000</v>
      </c>
    </row>
    <row r="10318" spans="1:4">
      <c r="A10318" t="str">
        <f t="shared" si="170"/>
        <v>1123PSR</v>
      </c>
      <c r="B10318">
        <v>1123</v>
      </c>
      <c r="C10318" s="9" t="s">
        <v>27</v>
      </c>
      <c r="D10318" s="8">
        <v>9.5699999999999993E-2</v>
      </c>
    </row>
    <row r="10319" spans="1:4">
      <c r="A10319" t="str">
        <f t="shared" si="170"/>
        <v>1123Sharpe Ratio</v>
      </c>
      <c r="B10319">
        <v>1123</v>
      </c>
      <c r="C10319" s="9" t="s">
        <v>1</v>
      </c>
      <c r="D10319" s="8">
        <v>-0.33400000000000002</v>
      </c>
    </row>
    <row r="10320" spans="1:4">
      <c r="A10320" t="str">
        <f t="shared" si="170"/>
        <v>1123Total Trades</v>
      </c>
      <c r="B10320">
        <v>1123</v>
      </c>
      <c r="C10320" s="9" t="s">
        <v>28</v>
      </c>
      <c r="D10320" s="8">
        <v>680</v>
      </c>
    </row>
    <row r="10321" spans="1:4">
      <c r="A10321" t="str">
        <f t="shared" si="170"/>
        <v>1123Average Win</v>
      </c>
      <c r="B10321">
        <v>1123</v>
      </c>
      <c r="C10321" s="9" t="s">
        <v>25</v>
      </c>
      <c r="D10321" s="8">
        <v>1.2999999999999999E-3</v>
      </c>
    </row>
    <row r="10322" spans="1:4">
      <c r="A10322" t="str">
        <f t="shared" ref="A10322:A10385" si="171">B10322&amp;C10322</f>
        <v>1123Average Loss</v>
      </c>
      <c r="B10322">
        <v>1123</v>
      </c>
      <c r="C10322" s="9" t="s">
        <v>29</v>
      </c>
      <c r="D10322" s="8">
        <v>-2.7000000000000001E-3</v>
      </c>
    </row>
    <row r="10323" spans="1:4">
      <c r="A10323" t="str">
        <f t="shared" si="171"/>
        <v>1123Compounding Annual Return</v>
      </c>
      <c r="B10323">
        <v>1123</v>
      </c>
      <c r="C10323" s="9" t="s">
        <v>30</v>
      </c>
      <c r="D10323" s="8">
        <v>-1.4E-2</v>
      </c>
    </row>
    <row r="10324" spans="1:4">
      <c r="A10324" t="str">
        <f t="shared" si="171"/>
        <v>1123Drawdown</v>
      </c>
      <c r="B10324">
        <v>1123</v>
      </c>
      <c r="C10324" s="9" t="s">
        <v>8</v>
      </c>
      <c r="D10324" s="8">
        <v>3.7999999999999999E-2</v>
      </c>
    </row>
    <row r="10325" spans="1:4">
      <c r="A10325" t="str">
        <f t="shared" si="171"/>
        <v>1123Expectancy</v>
      </c>
      <c r="B10325">
        <v>1123</v>
      </c>
      <c r="C10325" s="9" t="s">
        <v>31</v>
      </c>
      <c r="D10325" s="8">
        <v>-5.8999999999999997E-2</v>
      </c>
    </row>
    <row r="10326" spans="1:4">
      <c r="A10326" t="str">
        <f t="shared" si="171"/>
        <v>1123Net Profit</v>
      </c>
      <c r="B10326">
        <v>1123</v>
      </c>
      <c r="C10326" s="9" t="s">
        <v>32</v>
      </c>
      <c r="D10326" s="8">
        <v>-9.3399999999999993E-3</v>
      </c>
    </row>
    <row r="10327" spans="1:4">
      <c r="A10327" t="str">
        <f t="shared" si="171"/>
        <v>1123Loss Rate</v>
      </c>
      <c r="B10327">
        <v>1123</v>
      </c>
      <c r="C10327" s="9" t="s">
        <v>33</v>
      </c>
      <c r="D10327" s="8">
        <v>0.36</v>
      </c>
    </row>
    <row r="10328" spans="1:4">
      <c r="A10328" t="str">
        <f t="shared" si="171"/>
        <v>1123Win Rate</v>
      </c>
      <c r="B10328">
        <v>1123</v>
      </c>
      <c r="C10328" s="9" t="s">
        <v>34</v>
      </c>
      <c r="D10328" s="8">
        <v>0.64</v>
      </c>
    </row>
    <row r="10329" spans="1:4">
      <c r="A10329" t="str">
        <f t="shared" si="171"/>
        <v>1123Profit-Loss Ratio</v>
      </c>
      <c r="B10329">
        <v>1123</v>
      </c>
      <c r="C10329" s="9" t="s">
        <v>26</v>
      </c>
      <c r="D10329" s="8">
        <v>0.47</v>
      </c>
    </row>
    <row r="10330" spans="1:4">
      <c r="A10330" t="str">
        <f t="shared" si="171"/>
        <v>1123Alpha</v>
      </c>
      <c r="B10330">
        <v>1123</v>
      </c>
      <c r="C10330" s="9" t="s">
        <v>23</v>
      </c>
      <c r="D10330" s="8">
        <v>-6.0000000000000001E-3</v>
      </c>
    </row>
    <row r="10331" spans="1:4">
      <c r="A10331" t="str">
        <f t="shared" si="171"/>
        <v>1123Beta</v>
      </c>
      <c r="B10331">
        <v>1123</v>
      </c>
      <c r="C10331" s="9" t="s">
        <v>24</v>
      </c>
      <c r="D10331" s="8">
        <v>-0.06</v>
      </c>
    </row>
    <row r="10332" spans="1:4">
      <c r="A10332" t="str">
        <f t="shared" si="171"/>
        <v>1123Annual Standard Deviation</v>
      </c>
      <c r="B10332">
        <v>1123</v>
      </c>
      <c r="C10332" s="9" t="s">
        <v>35</v>
      </c>
      <c r="D10332" s="8">
        <v>2.8000000000000001E-2</v>
      </c>
    </row>
    <row r="10333" spans="1:4">
      <c r="A10333" t="str">
        <f t="shared" si="171"/>
        <v>1123Annual Variance</v>
      </c>
      <c r="B10333">
        <v>1123</v>
      </c>
      <c r="C10333" s="9" t="s">
        <v>36</v>
      </c>
      <c r="D10333" s="8">
        <v>1E-3</v>
      </c>
    </row>
    <row r="10334" spans="1:4">
      <c r="A10334" t="str">
        <f t="shared" si="171"/>
        <v>1123Information Ratio</v>
      </c>
      <c r="B10334">
        <v>1123</v>
      </c>
      <c r="C10334" s="9" t="s">
        <v>37</v>
      </c>
      <c r="D10334" s="8">
        <v>-0.80100000000000005</v>
      </c>
    </row>
    <row r="10335" spans="1:4">
      <c r="A10335" t="str">
        <f t="shared" si="171"/>
        <v>1123Tracking Error</v>
      </c>
      <c r="B10335">
        <v>1123</v>
      </c>
      <c r="C10335" s="9" t="s">
        <v>38</v>
      </c>
      <c r="D10335" s="8">
        <v>7.5999999999999998E-2</v>
      </c>
    </row>
    <row r="10336" spans="1:4">
      <c r="A10336" t="str">
        <f t="shared" si="171"/>
        <v>1123Treynor Ratio</v>
      </c>
      <c r="B10336">
        <v>1123</v>
      </c>
      <c r="C10336" s="9" t="s">
        <v>39</v>
      </c>
      <c r="D10336" s="8">
        <v>0.156</v>
      </c>
    </row>
    <row r="10337" spans="1:4">
      <c r="A10337" t="str">
        <f t="shared" si="171"/>
        <v>1123Total Fees</v>
      </c>
      <c r="B10337">
        <v>1123</v>
      </c>
      <c r="C10337" s="9" t="s">
        <v>40</v>
      </c>
      <c r="D10337" s="8">
        <v>0</v>
      </c>
    </row>
    <row r="10338" spans="1:4">
      <c r="A10338" t="str">
        <f t="shared" si="171"/>
        <v>1123Estimated Strategy Capacity</v>
      </c>
      <c r="B10338">
        <v>1123</v>
      </c>
      <c r="C10338" s="9" t="s">
        <v>41</v>
      </c>
      <c r="D10338" s="8">
        <v>7900000</v>
      </c>
    </row>
    <row r="10339" spans="1:4">
      <c r="A10339" t="str">
        <f t="shared" si="171"/>
        <v>1124PSR</v>
      </c>
      <c r="B10339">
        <v>1124</v>
      </c>
      <c r="C10339" s="9" t="s">
        <v>27</v>
      </c>
      <c r="D10339" s="8">
        <v>0.18096000000000001</v>
      </c>
    </row>
    <row r="10340" spans="1:4">
      <c r="A10340" t="str">
        <f t="shared" si="171"/>
        <v>1124Sharpe Ratio</v>
      </c>
      <c r="B10340">
        <v>1124</v>
      </c>
      <c r="C10340" s="9" t="s">
        <v>1</v>
      </c>
      <c r="D10340" s="8">
        <v>6.9000000000000006E-2</v>
      </c>
    </row>
    <row r="10341" spans="1:4">
      <c r="A10341" t="str">
        <f t="shared" si="171"/>
        <v>1124Total Trades</v>
      </c>
      <c r="B10341">
        <v>1124</v>
      </c>
      <c r="C10341" s="9" t="s">
        <v>28</v>
      </c>
      <c r="D10341" s="8">
        <v>465</v>
      </c>
    </row>
    <row r="10342" spans="1:4">
      <c r="A10342" t="str">
        <f t="shared" si="171"/>
        <v>1124Average Win</v>
      </c>
      <c r="B10342">
        <v>1124</v>
      </c>
      <c r="C10342" s="9" t="s">
        <v>25</v>
      </c>
      <c r="D10342" s="8">
        <v>2.7000000000000001E-3</v>
      </c>
    </row>
    <row r="10343" spans="1:4">
      <c r="A10343" t="str">
        <f t="shared" si="171"/>
        <v>1124Average Loss</v>
      </c>
      <c r="B10343">
        <v>1124</v>
      </c>
      <c r="C10343" s="9" t="s">
        <v>29</v>
      </c>
      <c r="D10343" s="8">
        <v>-5.1999999999999998E-3</v>
      </c>
    </row>
    <row r="10344" spans="1:4">
      <c r="A10344" t="str">
        <f t="shared" si="171"/>
        <v>1124Compounding Annual Return</v>
      </c>
      <c r="B10344">
        <v>1124</v>
      </c>
      <c r="C10344" s="9" t="s">
        <v>30</v>
      </c>
      <c r="D10344" s="8">
        <v>3.0200000000000001E-3</v>
      </c>
    </row>
    <row r="10345" spans="1:4">
      <c r="A10345" t="str">
        <f t="shared" si="171"/>
        <v>1124Drawdown</v>
      </c>
      <c r="B10345">
        <v>1124</v>
      </c>
      <c r="C10345" s="9" t="s">
        <v>8</v>
      </c>
      <c r="D10345" s="8">
        <v>6.0999999999999999E-2</v>
      </c>
    </row>
    <row r="10346" spans="1:4">
      <c r="A10346" t="str">
        <f t="shared" si="171"/>
        <v>1124Expectancy</v>
      </c>
      <c r="B10346">
        <v>1124</v>
      </c>
      <c r="C10346" s="9" t="s">
        <v>31</v>
      </c>
      <c r="D10346" s="8">
        <v>1.6E-2</v>
      </c>
    </row>
    <row r="10347" spans="1:4">
      <c r="A10347" t="str">
        <f t="shared" si="171"/>
        <v>1124Net Profit</v>
      </c>
      <c r="B10347">
        <v>1124</v>
      </c>
      <c r="C10347" s="9" t="s">
        <v>32</v>
      </c>
      <c r="D10347" s="8">
        <v>2.0100000000000001E-3</v>
      </c>
    </row>
    <row r="10348" spans="1:4">
      <c r="A10348" t="str">
        <f t="shared" si="171"/>
        <v>1124Loss Rate</v>
      </c>
      <c r="B10348">
        <v>1124</v>
      </c>
      <c r="C10348" s="9" t="s">
        <v>33</v>
      </c>
      <c r="D10348" s="8">
        <v>0.33</v>
      </c>
    </row>
    <row r="10349" spans="1:4">
      <c r="A10349" t="str">
        <f t="shared" si="171"/>
        <v>1124Win Rate</v>
      </c>
      <c r="B10349">
        <v>1124</v>
      </c>
      <c r="C10349" s="9" t="s">
        <v>34</v>
      </c>
      <c r="D10349" s="8">
        <v>0.67</v>
      </c>
    </row>
    <row r="10350" spans="1:4">
      <c r="A10350" t="str">
        <f t="shared" si="171"/>
        <v>1124Profit-Loss Ratio</v>
      </c>
      <c r="B10350">
        <v>1124</v>
      </c>
      <c r="C10350" s="9" t="s">
        <v>26</v>
      </c>
      <c r="D10350" s="8">
        <v>0.51</v>
      </c>
    </row>
    <row r="10351" spans="1:4">
      <c r="A10351" t="str">
        <f t="shared" si="171"/>
        <v>1124Alpha</v>
      </c>
      <c r="B10351">
        <v>1124</v>
      </c>
      <c r="C10351" s="9" t="s">
        <v>23</v>
      </c>
      <c r="D10351" s="8">
        <v>8.9999999999999993E-3</v>
      </c>
    </row>
    <row r="10352" spans="1:4">
      <c r="A10352" t="str">
        <f t="shared" si="171"/>
        <v>1124Beta</v>
      </c>
      <c r="B10352">
        <v>1124</v>
      </c>
      <c r="C10352" s="9" t="s">
        <v>24</v>
      </c>
      <c r="D10352" s="8">
        <v>-0.122</v>
      </c>
    </row>
    <row r="10353" spans="1:4">
      <c r="A10353" t="str">
        <f t="shared" si="171"/>
        <v>1124Annual Standard Deviation</v>
      </c>
      <c r="B10353">
        <v>1124</v>
      </c>
      <c r="C10353" s="9" t="s">
        <v>35</v>
      </c>
      <c r="D10353" s="8">
        <v>4.4999999999999998E-2</v>
      </c>
    </row>
    <row r="10354" spans="1:4">
      <c r="A10354" t="str">
        <f t="shared" si="171"/>
        <v>1124Annual Variance</v>
      </c>
      <c r="B10354">
        <v>1124</v>
      </c>
      <c r="C10354" s="9" t="s">
        <v>36</v>
      </c>
      <c r="D10354" s="8">
        <v>2E-3</v>
      </c>
    </row>
    <row r="10355" spans="1:4">
      <c r="A10355" t="str">
        <f t="shared" si="171"/>
        <v>1124Information Ratio</v>
      </c>
      <c r="B10355">
        <v>1124</v>
      </c>
      <c r="C10355" s="9" t="s">
        <v>37</v>
      </c>
      <c r="D10355" s="8">
        <v>-0.55800000000000005</v>
      </c>
    </row>
    <row r="10356" spans="1:4">
      <c r="A10356" t="str">
        <f t="shared" si="171"/>
        <v>1124Tracking Error</v>
      </c>
      <c r="B10356">
        <v>1124</v>
      </c>
      <c r="C10356" s="9" t="s">
        <v>38</v>
      </c>
      <c r="D10356" s="8">
        <v>8.7999999999999995E-2</v>
      </c>
    </row>
    <row r="10357" spans="1:4">
      <c r="A10357" t="str">
        <f t="shared" si="171"/>
        <v>1124Treynor Ratio</v>
      </c>
      <c r="B10357">
        <v>1124</v>
      </c>
      <c r="C10357" s="9" t="s">
        <v>39</v>
      </c>
      <c r="D10357" s="8">
        <v>-2.5999999999999999E-2</v>
      </c>
    </row>
    <row r="10358" spans="1:4">
      <c r="A10358" t="str">
        <f t="shared" si="171"/>
        <v>1124Total Fees</v>
      </c>
      <c r="B10358">
        <v>1124</v>
      </c>
      <c r="C10358" s="9" t="s">
        <v>40</v>
      </c>
      <c r="D10358" s="8">
        <v>0</v>
      </c>
    </row>
    <row r="10359" spans="1:4">
      <c r="A10359" t="str">
        <f t="shared" si="171"/>
        <v>1124Estimated Strategy Capacity</v>
      </c>
      <c r="B10359">
        <v>1124</v>
      </c>
      <c r="C10359" s="9" t="s">
        <v>41</v>
      </c>
      <c r="D10359" s="8">
        <v>6000000</v>
      </c>
    </row>
    <row r="10360" spans="1:4">
      <c r="A10360" t="str">
        <f t="shared" si="171"/>
        <v>1125PSR</v>
      </c>
      <c r="B10360">
        <v>1125</v>
      </c>
      <c r="C10360" s="9" t="s">
        <v>27</v>
      </c>
      <c r="D10360" s="8">
        <v>0.10403999999999999</v>
      </c>
    </row>
    <row r="10361" spans="1:4">
      <c r="A10361" t="str">
        <f t="shared" si="171"/>
        <v>1125Sharpe Ratio</v>
      </c>
      <c r="B10361">
        <v>1125</v>
      </c>
      <c r="C10361" s="9" t="s">
        <v>1</v>
      </c>
      <c r="D10361" s="8">
        <v>-0.28799999999999998</v>
      </c>
    </row>
    <row r="10362" spans="1:4">
      <c r="A10362" t="str">
        <f t="shared" si="171"/>
        <v>1125Total Trades</v>
      </c>
      <c r="B10362">
        <v>1125</v>
      </c>
      <c r="C10362" s="9" t="s">
        <v>28</v>
      </c>
      <c r="D10362" s="8">
        <v>384</v>
      </c>
    </row>
    <row r="10363" spans="1:4">
      <c r="A10363" t="str">
        <f t="shared" si="171"/>
        <v>1125Average Win</v>
      </c>
      <c r="B10363">
        <v>1125</v>
      </c>
      <c r="C10363" s="9" t="s">
        <v>25</v>
      </c>
      <c r="D10363" s="8">
        <v>2.7000000000000001E-3</v>
      </c>
    </row>
    <row r="10364" spans="1:4">
      <c r="A10364" t="str">
        <f t="shared" si="171"/>
        <v>1125Average Loss</v>
      </c>
      <c r="B10364">
        <v>1125</v>
      </c>
      <c r="C10364" s="9" t="s">
        <v>29</v>
      </c>
      <c r="D10364" s="8">
        <v>-5.1999999999999998E-3</v>
      </c>
    </row>
    <row r="10365" spans="1:4">
      <c r="A10365" t="str">
        <f t="shared" si="171"/>
        <v>1125Compounding Annual Return</v>
      </c>
      <c r="B10365">
        <v>1125</v>
      </c>
      <c r="C10365" s="9" t="s">
        <v>30</v>
      </c>
      <c r="D10365" s="8">
        <v>-2.0369999999999999E-2</v>
      </c>
    </row>
    <row r="10366" spans="1:4">
      <c r="A10366" t="str">
        <f t="shared" si="171"/>
        <v>1125Drawdown</v>
      </c>
      <c r="B10366">
        <v>1125</v>
      </c>
      <c r="C10366" s="9" t="s">
        <v>8</v>
      </c>
      <c r="D10366" s="8">
        <v>6.6000000000000003E-2</v>
      </c>
    </row>
    <row r="10367" spans="1:4">
      <c r="A10367" t="str">
        <f t="shared" si="171"/>
        <v>1125Expectancy</v>
      </c>
      <c r="B10367">
        <v>1125</v>
      </c>
      <c r="C10367" s="9" t="s">
        <v>31</v>
      </c>
      <c r="D10367" s="8">
        <v>-3.3000000000000002E-2</v>
      </c>
    </row>
    <row r="10368" spans="1:4">
      <c r="A10368" t="str">
        <f t="shared" si="171"/>
        <v>1125Net Profit</v>
      </c>
      <c r="B10368">
        <v>1125</v>
      </c>
      <c r="C10368" s="9" t="s">
        <v>32</v>
      </c>
      <c r="D10368" s="8">
        <v>-1.3610000000000001E-2</v>
      </c>
    </row>
    <row r="10369" spans="1:4">
      <c r="A10369" t="str">
        <f t="shared" si="171"/>
        <v>1125Loss Rate</v>
      </c>
      <c r="B10369">
        <v>1125</v>
      </c>
      <c r="C10369" s="9" t="s">
        <v>33</v>
      </c>
      <c r="D10369" s="8">
        <v>0.36</v>
      </c>
    </row>
    <row r="10370" spans="1:4">
      <c r="A10370" t="str">
        <f t="shared" si="171"/>
        <v>1125Win Rate</v>
      </c>
      <c r="B10370">
        <v>1125</v>
      </c>
      <c r="C10370" s="9" t="s">
        <v>34</v>
      </c>
      <c r="D10370" s="8">
        <v>0.64</v>
      </c>
    </row>
    <row r="10371" spans="1:4">
      <c r="A10371" t="str">
        <f t="shared" si="171"/>
        <v>1125Profit-Loss Ratio</v>
      </c>
      <c r="B10371">
        <v>1125</v>
      </c>
      <c r="C10371" s="9" t="s">
        <v>26</v>
      </c>
      <c r="D10371" s="8">
        <v>0.52</v>
      </c>
    </row>
    <row r="10372" spans="1:4">
      <c r="A10372" t="str">
        <f t="shared" si="171"/>
        <v>1125Alpha</v>
      </c>
      <c r="B10372">
        <v>1125</v>
      </c>
      <c r="C10372" s="9" t="s">
        <v>23</v>
      </c>
      <c r="D10372" s="8">
        <v>-7.0000000000000001E-3</v>
      </c>
    </row>
    <row r="10373" spans="1:4">
      <c r="A10373" t="str">
        <f t="shared" si="171"/>
        <v>1125Beta</v>
      </c>
      <c r="B10373">
        <v>1125</v>
      </c>
      <c r="C10373" s="9" t="s">
        <v>24</v>
      </c>
      <c r="D10373" s="8">
        <v>-0.11899999999999999</v>
      </c>
    </row>
    <row r="10374" spans="1:4">
      <c r="A10374" t="str">
        <f t="shared" si="171"/>
        <v>1125Annual Standard Deviation</v>
      </c>
      <c r="B10374">
        <v>1125</v>
      </c>
      <c r="C10374" s="9" t="s">
        <v>35</v>
      </c>
      <c r="D10374" s="8">
        <v>4.5999999999999999E-2</v>
      </c>
    </row>
    <row r="10375" spans="1:4">
      <c r="A10375" t="str">
        <f t="shared" si="171"/>
        <v>1125Annual Variance</v>
      </c>
      <c r="B10375">
        <v>1125</v>
      </c>
      <c r="C10375" s="9" t="s">
        <v>36</v>
      </c>
      <c r="D10375" s="8">
        <v>2E-3</v>
      </c>
    </row>
    <row r="10376" spans="1:4">
      <c r="A10376" t="str">
        <f t="shared" si="171"/>
        <v>1125Information Ratio</v>
      </c>
      <c r="B10376">
        <v>1125</v>
      </c>
      <c r="C10376" s="9" t="s">
        <v>37</v>
      </c>
      <c r="D10376" s="8">
        <v>-0.74199999999999999</v>
      </c>
    </row>
    <row r="10377" spans="1:4">
      <c r="A10377" t="str">
        <f t="shared" si="171"/>
        <v>1125Tracking Error</v>
      </c>
      <c r="B10377">
        <v>1125</v>
      </c>
      <c r="C10377" s="9" t="s">
        <v>38</v>
      </c>
      <c r="D10377" s="8">
        <v>8.7999999999999995E-2</v>
      </c>
    </row>
    <row r="10378" spans="1:4">
      <c r="A10378" t="str">
        <f t="shared" si="171"/>
        <v>1125Treynor Ratio</v>
      </c>
      <c r="B10378">
        <v>1125</v>
      </c>
      <c r="C10378" s="9" t="s">
        <v>39</v>
      </c>
      <c r="D10378" s="8">
        <v>0.11</v>
      </c>
    </row>
    <row r="10379" spans="1:4">
      <c r="A10379" t="str">
        <f t="shared" si="171"/>
        <v>1125Total Fees</v>
      </c>
      <c r="B10379">
        <v>1125</v>
      </c>
      <c r="C10379" s="9" t="s">
        <v>40</v>
      </c>
      <c r="D10379" s="8">
        <v>0</v>
      </c>
    </row>
    <row r="10380" spans="1:4">
      <c r="A10380" t="str">
        <f t="shared" si="171"/>
        <v>1125Estimated Strategy Capacity</v>
      </c>
      <c r="B10380">
        <v>1125</v>
      </c>
      <c r="C10380" s="9" t="s">
        <v>41</v>
      </c>
      <c r="D10380" s="8">
        <v>6200000</v>
      </c>
    </row>
    <row r="10381" spans="1:4">
      <c r="A10381" t="str">
        <f t="shared" si="171"/>
        <v>775PSR</v>
      </c>
      <c r="B10381">
        <v>775</v>
      </c>
      <c r="C10381" s="9" t="s">
        <v>27</v>
      </c>
      <c r="D10381" s="8">
        <v>4.0000000000000003E-5</v>
      </c>
    </row>
    <row r="10382" spans="1:4">
      <c r="A10382" t="str">
        <f t="shared" si="171"/>
        <v>775Sharpe Ratio</v>
      </c>
      <c r="B10382">
        <v>775</v>
      </c>
      <c r="C10382" s="9" t="s">
        <v>1</v>
      </c>
      <c r="D10382" s="8">
        <v>-2.153</v>
      </c>
    </row>
    <row r="10383" spans="1:4">
      <c r="A10383" t="str">
        <f t="shared" si="171"/>
        <v>775Total Trades</v>
      </c>
      <c r="B10383">
        <v>775</v>
      </c>
      <c r="C10383" s="9" t="s">
        <v>28</v>
      </c>
      <c r="D10383" s="8">
        <v>842</v>
      </c>
    </row>
    <row r="10384" spans="1:4">
      <c r="A10384" t="str">
        <f t="shared" si="171"/>
        <v>775Average Win</v>
      </c>
      <c r="B10384">
        <v>775</v>
      </c>
      <c r="C10384" s="9" t="s">
        <v>25</v>
      </c>
      <c r="D10384" s="8">
        <v>1E-4</v>
      </c>
    </row>
    <row r="10385" spans="1:4">
      <c r="A10385" t="str">
        <f t="shared" si="171"/>
        <v>775Average Loss</v>
      </c>
      <c r="B10385">
        <v>775</v>
      </c>
      <c r="C10385" s="9" t="s">
        <v>29</v>
      </c>
      <c r="D10385" s="8">
        <v>-6.9999999999999999E-4</v>
      </c>
    </row>
    <row r="10386" spans="1:4">
      <c r="A10386" t="str">
        <f t="shared" ref="A10386:A10449" si="172">B10386&amp;C10386</f>
        <v>775Compounding Annual Return</v>
      </c>
      <c r="B10386">
        <v>775</v>
      </c>
      <c r="C10386" s="9" t="s">
        <v>30</v>
      </c>
      <c r="D10386" s="8">
        <v>-2.0539999999999999E-2</v>
      </c>
    </row>
    <row r="10387" spans="1:4">
      <c r="A10387" t="str">
        <f t="shared" si="172"/>
        <v>775Drawdown</v>
      </c>
      <c r="B10387">
        <v>775</v>
      </c>
      <c r="C10387" s="9" t="s">
        <v>8</v>
      </c>
      <c r="D10387" s="8">
        <v>1.4999999999999999E-2</v>
      </c>
    </row>
    <row r="10388" spans="1:4">
      <c r="A10388" t="str">
        <f t="shared" si="172"/>
        <v>775Expectancy</v>
      </c>
      <c r="B10388">
        <v>775</v>
      </c>
      <c r="C10388" s="9" t="s">
        <v>31</v>
      </c>
      <c r="D10388" s="8">
        <v>-0.215</v>
      </c>
    </row>
    <row r="10389" spans="1:4">
      <c r="A10389" t="str">
        <f t="shared" si="172"/>
        <v>775Net Profit</v>
      </c>
      <c r="B10389">
        <v>775</v>
      </c>
      <c r="C10389" s="9" t="s">
        <v>32</v>
      </c>
      <c r="D10389" s="8">
        <v>-1.372E-2</v>
      </c>
    </row>
    <row r="10390" spans="1:4">
      <c r="A10390" t="str">
        <f t="shared" si="172"/>
        <v>775Loss Rate</v>
      </c>
      <c r="B10390">
        <v>775</v>
      </c>
      <c r="C10390" s="9" t="s">
        <v>33</v>
      </c>
      <c r="D10390" s="8">
        <v>0.34</v>
      </c>
    </row>
    <row r="10391" spans="1:4">
      <c r="A10391" t="str">
        <f t="shared" si="172"/>
        <v>775Win Rate</v>
      </c>
      <c r="B10391">
        <v>775</v>
      </c>
      <c r="C10391" s="9" t="s">
        <v>34</v>
      </c>
      <c r="D10391" s="8">
        <v>0.66</v>
      </c>
    </row>
    <row r="10392" spans="1:4">
      <c r="A10392" t="str">
        <f t="shared" si="172"/>
        <v>775Profit-Loss Ratio</v>
      </c>
      <c r="B10392">
        <v>775</v>
      </c>
      <c r="C10392" s="9" t="s">
        <v>26</v>
      </c>
      <c r="D10392" s="8">
        <v>0.19</v>
      </c>
    </row>
    <row r="10393" spans="1:4">
      <c r="A10393" t="str">
        <f t="shared" si="172"/>
        <v>775Alpha</v>
      </c>
      <c r="B10393">
        <v>775</v>
      </c>
      <c r="C10393" s="9" t="s">
        <v>23</v>
      </c>
      <c r="D10393" s="8">
        <v>-1.4E-2</v>
      </c>
    </row>
    <row r="10394" spans="1:4">
      <c r="A10394" t="str">
        <f t="shared" si="172"/>
        <v>775Beta</v>
      </c>
      <c r="B10394">
        <v>775</v>
      </c>
      <c r="C10394" s="9" t="s">
        <v>24</v>
      </c>
      <c r="D10394" s="8">
        <v>-8.0000000000000002E-3</v>
      </c>
    </row>
    <row r="10395" spans="1:4">
      <c r="A10395" t="str">
        <f t="shared" si="172"/>
        <v>775Annual Standard Deviation</v>
      </c>
      <c r="B10395">
        <v>775</v>
      </c>
      <c r="C10395" s="9" t="s">
        <v>35</v>
      </c>
      <c r="D10395" s="8">
        <v>7.0000000000000001E-3</v>
      </c>
    </row>
    <row r="10396" spans="1:4">
      <c r="A10396" t="str">
        <f t="shared" si="172"/>
        <v>775Annual Variance</v>
      </c>
      <c r="B10396">
        <v>775</v>
      </c>
      <c r="C10396" s="9" t="s">
        <v>36</v>
      </c>
      <c r="D10396" s="8">
        <v>0</v>
      </c>
    </row>
    <row r="10397" spans="1:4">
      <c r="A10397" t="str">
        <f t="shared" si="172"/>
        <v>775Information Ratio</v>
      </c>
      <c r="B10397">
        <v>775</v>
      </c>
      <c r="C10397" s="9" t="s">
        <v>37</v>
      </c>
      <c r="D10397" s="8">
        <v>-0.97199999999999998</v>
      </c>
    </row>
    <row r="10398" spans="1:4">
      <c r="A10398" t="str">
        <f t="shared" si="172"/>
        <v>775Tracking Error</v>
      </c>
      <c r="B10398">
        <v>775</v>
      </c>
      <c r="C10398" s="9" t="s">
        <v>38</v>
      </c>
      <c r="D10398" s="8">
        <v>6.8000000000000005E-2</v>
      </c>
    </row>
    <row r="10399" spans="1:4">
      <c r="A10399" t="str">
        <f t="shared" si="172"/>
        <v>775Treynor Ratio</v>
      </c>
      <c r="B10399">
        <v>775</v>
      </c>
      <c r="C10399" s="9" t="s">
        <v>39</v>
      </c>
      <c r="D10399" s="8">
        <v>1.7989999999999999</v>
      </c>
    </row>
    <row r="10400" spans="1:4">
      <c r="A10400" t="str">
        <f t="shared" si="172"/>
        <v>775Total Fees</v>
      </c>
      <c r="B10400">
        <v>775</v>
      </c>
      <c r="C10400" s="9" t="s">
        <v>40</v>
      </c>
      <c r="D10400" s="8">
        <v>0</v>
      </c>
    </row>
    <row r="10401" spans="1:4">
      <c r="A10401" t="str">
        <f t="shared" si="172"/>
        <v>775Estimated Strategy Capacity</v>
      </c>
      <c r="B10401">
        <v>775</v>
      </c>
      <c r="C10401" s="9" t="s">
        <v>41</v>
      </c>
      <c r="D10401" s="8">
        <v>6500000</v>
      </c>
    </row>
    <row r="10402" spans="1:4">
      <c r="A10402" t="str">
        <f t="shared" si="172"/>
        <v>776PSR</v>
      </c>
      <c r="B10402">
        <v>776</v>
      </c>
      <c r="C10402" s="9" t="s">
        <v>27</v>
      </c>
      <c r="D10402" s="8">
        <v>5.96E-3</v>
      </c>
    </row>
    <row r="10403" spans="1:4">
      <c r="A10403" t="str">
        <f t="shared" si="172"/>
        <v>776Sharpe Ratio</v>
      </c>
      <c r="B10403">
        <v>776</v>
      </c>
      <c r="C10403" s="9" t="s">
        <v>1</v>
      </c>
      <c r="D10403" s="8">
        <v>-1.454</v>
      </c>
    </row>
    <row r="10404" spans="1:4">
      <c r="A10404" t="str">
        <f t="shared" si="172"/>
        <v>776Total Trades</v>
      </c>
      <c r="B10404">
        <v>776</v>
      </c>
      <c r="C10404" s="9" t="s">
        <v>28</v>
      </c>
      <c r="D10404" s="8">
        <v>648</v>
      </c>
    </row>
    <row r="10405" spans="1:4">
      <c r="A10405" t="str">
        <f t="shared" si="172"/>
        <v>776Average Win</v>
      </c>
      <c r="B10405">
        <v>776</v>
      </c>
      <c r="C10405" s="9" t="s">
        <v>25</v>
      </c>
      <c r="D10405" s="8">
        <v>5.0000000000000001E-4</v>
      </c>
    </row>
    <row r="10406" spans="1:4">
      <c r="A10406" t="str">
        <f t="shared" si="172"/>
        <v>776Average Loss</v>
      </c>
      <c r="B10406">
        <v>776</v>
      </c>
      <c r="C10406" s="9" t="s">
        <v>29</v>
      </c>
      <c r="D10406" s="8">
        <v>-1.6000000000000001E-3</v>
      </c>
    </row>
    <row r="10407" spans="1:4">
      <c r="A10407" t="str">
        <f t="shared" si="172"/>
        <v>776Compounding Annual Return</v>
      </c>
      <c r="B10407">
        <v>776</v>
      </c>
      <c r="C10407" s="9" t="s">
        <v>30</v>
      </c>
      <c r="D10407" s="8">
        <v>-3.3500000000000002E-2</v>
      </c>
    </row>
    <row r="10408" spans="1:4">
      <c r="A10408" t="str">
        <f t="shared" si="172"/>
        <v>776Drawdown</v>
      </c>
      <c r="B10408">
        <v>776</v>
      </c>
      <c r="C10408" s="9" t="s">
        <v>8</v>
      </c>
      <c r="D10408" s="8">
        <v>3.5999999999999997E-2</v>
      </c>
    </row>
    <row r="10409" spans="1:4">
      <c r="A10409" t="str">
        <f t="shared" si="172"/>
        <v>776Expectancy</v>
      </c>
      <c r="B10409">
        <v>776</v>
      </c>
      <c r="C10409" s="9" t="s">
        <v>31</v>
      </c>
      <c r="D10409" s="8">
        <v>-0.154</v>
      </c>
    </row>
    <row r="10410" spans="1:4">
      <c r="A10410" t="str">
        <f t="shared" si="172"/>
        <v>776Net Profit</v>
      </c>
      <c r="B10410">
        <v>776</v>
      </c>
      <c r="C10410" s="9" t="s">
        <v>32</v>
      </c>
      <c r="D10410" s="8">
        <v>-2.2419999999999999E-2</v>
      </c>
    </row>
    <row r="10411" spans="1:4">
      <c r="A10411" t="str">
        <f t="shared" si="172"/>
        <v>776Loss Rate</v>
      </c>
      <c r="B10411">
        <v>776</v>
      </c>
      <c r="C10411" s="9" t="s">
        <v>33</v>
      </c>
      <c r="D10411" s="8">
        <v>0.34</v>
      </c>
    </row>
    <row r="10412" spans="1:4">
      <c r="A10412" t="str">
        <f t="shared" si="172"/>
        <v>776Win Rate</v>
      </c>
      <c r="B10412">
        <v>776</v>
      </c>
      <c r="C10412" s="9" t="s">
        <v>34</v>
      </c>
      <c r="D10412" s="8">
        <v>0.66</v>
      </c>
    </row>
    <row r="10413" spans="1:4">
      <c r="A10413" t="str">
        <f t="shared" si="172"/>
        <v>776Profit-Loss Ratio</v>
      </c>
      <c r="B10413">
        <v>776</v>
      </c>
      <c r="C10413" s="9" t="s">
        <v>26</v>
      </c>
      <c r="D10413" s="8">
        <v>0.28000000000000003</v>
      </c>
    </row>
    <row r="10414" spans="1:4">
      <c r="A10414" t="str">
        <f t="shared" si="172"/>
        <v>776Alpha</v>
      </c>
      <c r="B10414">
        <v>776</v>
      </c>
      <c r="C10414" s="9" t="s">
        <v>23</v>
      </c>
      <c r="D10414" s="8">
        <v>-2.1999999999999999E-2</v>
      </c>
    </row>
    <row r="10415" spans="1:4">
      <c r="A10415" t="str">
        <f t="shared" si="172"/>
        <v>776Beta</v>
      </c>
      <c r="B10415">
        <v>776</v>
      </c>
      <c r="C10415" s="9" t="s">
        <v>24</v>
      </c>
      <c r="D10415" s="8">
        <v>-1.9E-2</v>
      </c>
    </row>
    <row r="10416" spans="1:4">
      <c r="A10416" t="str">
        <f t="shared" si="172"/>
        <v>776Annual Standard Deviation</v>
      </c>
      <c r="B10416">
        <v>776</v>
      </c>
      <c r="C10416" s="9" t="s">
        <v>35</v>
      </c>
      <c r="D10416" s="8">
        <v>1.6E-2</v>
      </c>
    </row>
    <row r="10417" spans="1:4">
      <c r="A10417" t="str">
        <f t="shared" si="172"/>
        <v>776Annual Variance</v>
      </c>
      <c r="B10417">
        <v>776</v>
      </c>
      <c r="C10417" s="9" t="s">
        <v>36</v>
      </c>
      <c r="D10417" s="8">
        <v>0</v>
      </c>
    </row>
    <row r="10418" spans="1:4">
      <c r="A10418" t="str">
        <f t="shared" si="172"/>
        <v>776Information Ratio</v>
      </c>
      <c r="B10418">
        <v>776</v>
      </c>
      <c r="C10418" s="9" t="s">
        <v>37</v>
      </c>
      <c r="D10418" s="8">
        <v>-1.0289999999999999</v>
      </c>
    </row>
    <row r="10419" spans="1:4">
      <c r="A10419" t="str">
        <f t="shared" si="172"/>
        <v>776Tracking Error</v>
      </c>
      <c r="B10419">
        <v>776</v>
      </c>
      <c r="C10419" s="9" t="s">
        <v>38</v>
      </c>
      <c r="D10419" s="8">
        <v>7.0000000000000007E-2</v>
      </c>
    </row>
    <row r="10420" spans="1:4">
      <c r="A10420" t="str">
        <f t="shared" si="172"/>
        <v>776Treynor Ratio</v>
      </c>
      <c r="B10420">
        <v>776</v>
      </c>
      <c r="C10420" s="9" t="s">
        <v>39</v>
      </c>
      <c r="D10420" s="8">
        <v>1.2110000000000001</v>
      </c>
    </row>
    <row r="10421" spans="1:4">
      <c r="A10421" t="str">
        <f t="shared" si="172"/>
        <v>776Total Fees</v>
      </c>
      <c r="B10421">
        <v>776</v>
      </c>
      <c r="C10421" s="9" t="s">
        <v>40</v>
      </c>
      <c r="D10421" s="8">
        <v>0</v>
      </c>
    </row>
    <row r="10422" spans="1:4">
      <c r="A10422" t="str">
        <f t="shared" si="172"/>
        <v>776Estimated Strategy Capacity</v>
      </c>
      <c r="B10422">
        <v>776</v>
      </c>
      <c r="C10422" s="9" t="s">
        <v>41</v>
      </c>
      <c r="D10422" s="8">
        <v>6500000</v>
      </c>
    </row>
    <row r="10423" spans="1:4">
      <c r="A10423" t="str">
        <f t="shared" si="172"/>
        <v>777PSR</v>
      </c>
      <c r="B10423">
        <v>777</v>
      </c>
      <c r="C10423" s="9" t="s">
        <v>27</v>
      </c>
      <c r="D10423" s="8">
        <v>1.506E-2</v>
      </c>
    </row>
    <row r="10424" spans="1:4">
      <c r="A10424" t="str">
        <f t="shared" si="172"/>
        <v>777Sharpe Ratio</v>
      </c>
      <c r="B10424">
        <v>777</v>
      </c>
      <c r="C10424" s="9" t="s">
        <v>1</v>
      </c>
      <c r="D10424" s="8">
        <v>-1.123</v>
      </c>
    </row>
    <row r="10425" spans="1:4">
      <c r="A10425" t="str">
        <f t="shared" si="172"/>
        <v>777Total Trades</v>
      </c>
      <c r="B10425">
        <v>777</v>
      </c>
      <c r="C10425" s="9" t="s">
        <v>28</v>
      </c>
      <c r="D10425" s="8">
        <v>505</v>
      </c>
    </row>
    <row r="10426" spans="1:4">
      <c r="A10426" t="str">
        <f t="shared" si="172"/>
        <v>777Average Win</v>
      </c>
      <c r="B10426">
        <v>777</v>
      </c>
      <c r="C10426" s="9" t="s">
        <v>25</v>
      </c>
      <c r="D10426" s="8">
        <v>5.9999999999999995E-4</v>
      </c>
    </row>
    <row r="10427" spans="1:4">
      <c r="A10427" t="str">
        <f t="shared" si="172"/>
        <v>777Average Loss</v>
      </c>
      <c r="B10427">
        <v>777</v>
      </c>
      <c r="C10427" s="9" t="s">
        <v>29</v>
      </c>
      <c r="D10427" s="8">
        <v>-2.3E-3</v>
      </c>
    </row>
    <row r="10428" spans="1:4">
      <c r="A10428" t="str">
        <f t="shared" si="172"/>
        <v>777Compounding Annual Return</v>
      </c>
      <c r="B10428">
        <v>777</v>
      </c>
      <c r="C10428" s="9" t="s">
        <v>30</v>
      </c>
      <c r="D10428" s="8">
        <v>-3.2500000000000001E-2</v>
      </c>
    </row>
    <row r="10429" spans="1:4">
      <c r="A10429" t="str">
        <f t="shared" si="172"/>
        <v>777Drawdown</v>
      </c>
      <c r="B10429">
        <v>777</v>
      </c>
      <c r="C10429" s="9" t="s">
        <v>8</v>
      </c>
      <c r="D10429" s="8">
        <v>0.05</v>
      </c>
    </row>
    <row r="10430" spans="1:4">
      <c r="A10430" t="str">
        <f t="shared" si="172"/>
        <v>777Expectancy</v>
      </c>
      <c r="B10430">
        <v>777</v>
      </c>
      <c r="C10430" s="9" t="s">
        <v>31</v>
      </c>
      <c r="D10430" s="8">
        <v>-0.107</v>
      </c>
    </row>
    <row r="10431" spans="1:4">
      <c r="A10431" t="str">
        <f t="shared" si="172"/>
        <v>777Net Profit</v>
      </c>
      <c r="B10431">
        <v>777</v>
      </c>
      <c r="C10431" s="9" t="s">
        <v>32</v>
      </c>
      <c r="D10431" s="8">
        <v>-2.1749999999999999E-2</v>
      </c>
    </row>
    <row r="10432" spans="1:4">
      <c r="A10432" t="str">
        <f t="shared" si="172"/>
        <v>777Loss Rate</v>
      </c>
      <c r="B10432">
        <v>777</v>
      </c>
      <c r="C10432" s="9" t="s">
        <v>33</v>
      </c>
      <c r="D10432" s="8">
        <v>0.3</v>
      </c>
    </row>
    <row r="10433" spans="1:4">
      <c r="A10433" t="str">
        <f t="shared" si="172"/>
        <v>777Win Rate</v>
      </c>
      <c r="B10433">
        <v>777</v>
      </c>
      <c r="C10433" s="9" t="s">
        <v>34</v>
      </c>
      <c r="D10433" s="8">
        <v>0.7</v>
      </c>
    </row>
    <row r="10434" spans="1:4">
      <c r="A10434" t="str">
        <f t="shared" si="172"/>
        <v>777Profit-Loss Ratio</v>
      </c>
      <c r="B10434">
        <v>777</v>
      </c>
      <c r="C10434" s="9" t="s">
        <v>26</v>
      </c>
      <c r="D10434" s="8">
        <v>0.27</v>
      </c>
    </row>
    <row r="10435" spans="1:4">
      <c r="A10435" t="str">
        <f t="shared" si="172"/>
        <v>777Alpha</v>
      </c>
      <c r="B10435">
        <v>777</v>
      </c>
      <c r="C10435" s="9" t="s">
        <v>23</v>
      </c>
      <c r="D10435" s="8">
        <v>-2.1999999999999999E-2</v>
      </c>
    </row>
    <row r="10436" spans="1:4">
      <c r="A10436" t="str">
        <f t="shared" si="172"/>
        <v>777Beta</v>
      </c>
      <c r="B10436">
        <v>777</v>
      </c>
      <c r="C10436" s="9" t="s">
        <v>24</v>
      </c>
      <c r="D10436" s="8">
        <v>-5.0000000000000001E-3</v>
      </c>
    </row>
    <row r="10437" spans="1:4">
      <c r="A10437" t="str">
        <f t="shared" si="172"/>
        <v>777Annual Standard Deviation</v>
      </c>
      <c r="B10437">
        <v>777</v>
      </c>
      <c r="C10437" s="9" t="s">
        <v>35</v>
      </c>
      <c r="D10437" s="8">
        <v>0.02</v>
      </c>
    </row>
    <row r="10438" spans="1:4">
      <c r="A10438" t="str">
        <f t="shared" si="172"/>
        <v>777Annual Variance</v>
      </c>
      <c r="B10438">
        <v>777</v>
      </c>
      <c r="C10438" s="9" t="s">
        <v>36</v>
      </c>
      <c r="D10438" s="8">
        <v>0</v>
      </c>
    </row>
    <row r="10439" spans="1:4">
      <c r="A10439" t="str">
        <f t="shared" si="172"/>
        <v>777Information Ratio</v>
      </c>
      <c r="B10439">
        <v>777</v>
      </c>
      <c r="C10439" s="9" t="s">
        <v>37</v>
      </c>
      <c r="D10439" s="8">
        <v>-1.056</v>
      </c>
    </row>
    <row r="10440" spans="1:4">
      <c r="A10440" t="str">
        <f t="shared" si="172"/>
        <v>777Tracking Error</v>
      </c>
      <c r="B10440">
        <v>777</v>
      </c>
      <c r="C10440" s="9" t="s">
        <v>38</v>
      </c>
      <c r="D10440" s="8">
        <v>7.0000000000000007E-2</v>
      </c>
    </row>
    <row r="10441" spans="1:4">
      <c r="A10441" t="str">
        <f t="shared" si="172"/>
        <v>777Treynor Ratio</v>
      </c>
      <c r="B10441">
        <v>777</v>
      </c>
      <c r="C10441" s="9" t="s">
        <v>39</v>
      </c>
      <c r="D10441" s="8">
        <v>4.9290000000000003</v>
      </c>
    </row>
    <row r="10442" spans="1:4">
      <c r="A10442" t="str">
        <f t="shared" si="172"/>
        <v>777Total Fees</v>
      </c>
      <c r="B10442">
        <v>777</v>
      </c>
      <c r="C10442" s="9" t="s">
        <v>40</v>
      </c>
      <c r="D10442" s="8">
        <v>0</v>
      </c>
    </row>
    <row r="10443" spans="1:4">
      <c r="A10443" t="str">
        <f t="shared" si="172"/>
        <v>777Estimated Strategy Capacity</v>
      </c>
      <c r="B10443">
        <v>777</v>
      </c>
      <c r="C10443" s="9" t="s">
        <v>41</v>
      </c>
      <c r="D10443" s="8">
        <v>6400000</v>
      </c>
    </row>
    <row r="10444" spans="1:4">
      <c r="A10444" t="str">
        <f t="shared" si="172"/>
        <v>778PSR</v>
      </c>
      <c r="B10444">
        <v>778</v>
      </c>
      <c r="C10444" s="9" t="s">
        <v>27</v>
      </c>
      <c r="D10444" s="8">
        <v>0</v>
      </c>
    </row>
    <row r="10445" spans="1:4">
      <c r="A10445" t="str">
        <f t="shared" si="172"/>
        <v>778Sharpe Ratio</v>
      </c>
      <c r="B10445">
        <v>778</v>
      </c>
      <c r="C10445" s="9" t="s">
        <v>1</v>
      </c>
      <c r="D10445" s="8">
        <v>-3.0870000000000002</v>
      </c>
    </row>
    <row r="10446" spans="1:4">
      <c r="A10446" t="str">
        <f t="shared" si="172"/>
        <v>778Total Trades</v>
      </c>
      <c r="B10446">
        <v>778</v>
      </c>
      <c r="C10446" s="9" t="s">
        <v>28</v>
      </c>
      <c r="D10446" s="8">
        <v>873</v>
      </c>
    </row>
    <row r="10447" spans="1:4">
      <c r="A10447" t="str">
        <f t="shared" si="172"/>
        <v>778Average Win</v>
      </c>
      <c r="B10447">
        <v>778</v>
      </c>
      <c r="C10447" s="9" t="s">
        <v>25</v>
      </c>
      <c r="D10447" s="8">
        <v>1E-4</v>
      </c>
    </row>
    <row r="10448" spans="1:4">
      <c r="A10448" t="str">
        <f t="shared" si="172"/>
        <v>778Average Loss</v>
      </c>
      <c r="B10448">
        <v>778</v>
      </c>
      <c r="C10448" s="9" t="s">
        <v>29</v>
      </c>
      <c r="D10448" s="8">
        <v>-5.0000000000000001E-4</v>
      </c>
    </row>
    <row r="10449" spans="1:4">
      <c r="A10449" t="str">
        <f t="shared" si="172"/>
        <v>778Compounding Annual Return</v>
      </c>
      <c r="B10449">
        <v>778</v>
      </c>
      <c r="C10449" s="9" t="s">
        <v>30</v>
      </c>
      <c r="D10449" s="8">
        <v>-2.298E-2</v>
      </c>
    </row>
    <row r="10450" spans="1:4">
      <c r="A10450" t="str">
        <f t="shared" ref="A10450:A10513" si="173">B10450&amp;C10450</f>
        <v>778Drawdown</v>
      </c>
      <c r="B10450">
        <v>778</v>
      </c>
      <c r="C10450" s="9" t="s">
        <v>8</v>
      </c>
      <c r="D10450" s="8">
        <v>1.4999999999999999E-2</v>
      </c>
    </row>
    <row r="10451" spans="1:4">
      <c r="A10451" t="str">
        <f t="shared" si="173"/>
        <v>778Expectancy</v>
      </c>
      <c r="B10451">
        <v>778</v>
      </c>
      <c r="C10451" s="9" t="s">
        <v>31</v>
      </c>
      <c r="D10451" s="8">
        <v>-0.30599999999999999</v>
      </c>
    </row>
    <row r="10452" spans="1:4">
      <c r="A10452" t="str">
        <f t="shared" si="173"/>
        <v>778Net Profit</v>
      </c>
      <c r="B10452">
        <v>778</v>
      </c>
      <c r="C10452" s="9" t="s">
        <v>32</v>
      </c>
      <c r="D10452" s="8">
        <v>-1.5350000000000001E-2</v>
      </c>
    </row>
    <row r="10453" spans="1:4">
      <c r="A10453" t="str">
        <f t="shared" si="173"/>
        <v>778Loss Rate</v>
      </c>
      <c r="B10453">
        <v>778</v>
      </c>
      <c r="C10453" s="9" t="s">
        <v>33</v>
      </c>
      <c r="D10453" s="8">
        <v>0.4</v>
      </c>
    </row>
    <row r="10454" spans="1:4">
      <c r="A10454" t="str">
        <f t="shared" si="173"/>
        <v>778Win Rate</v>
      </c>
      <c r="B10454">
        <v>778</v>
      </c>
      <c r="C10454" s="9" t="s">
        <v>34</v>
      </c>
      <c r="D10454" s="8">
        <v>0.6</v>
      </c>
    </row>
    <row r="10455" spans="1:4">
      <c r="A10455" t="str">
        <f t="shared" si="173"/>
        <v>778Profit-Loss Ratio</v>
      </c>
      <c r="B10455">
        <v>778</v>
      </c>
      <c r="C10455" s="9" t="s">
        <v>26</v>
      </c>
      <c r="D10455" s="8">
        <v>0.16</v>
      </c>
    </row>
    <row r="10456" spans="1:4">
      <c r="A10456" t="str">
        <f t="shared" si="173"/>
        <v>778Alpha</v>
      </c>
      <c r="B10456">
        <v>778</v>
      </c>
      <c r="C10456" s="9" t="s">
        <v>23</v>
      </c>
      <c r="D10456" s="8">
        <v>-1.6E-2</v>
      </c>
    </row>
    <row r="10457" spans="1:4">
      <c r="A10457" t="str">
        <f t="shared" si="173"/>
        <v>778Beta</v>
      </c>
      <c r="B10457">
        <v>778</v>
      </c>
      <c r="C10457" s="9" t="s">
        <v>24</v>
      </c>
      <c r="D10457" s="8">
        <v>-5.0000000000000001E-3</v>
      </c>
    </row>
    <row r="10458" spans="1:4">
      <c r="A10458" t="str">
        <f t="shared" si="173"/>
        <v>778Annual Standard Deviation</v>
      </c>
      <c r="B10458">
        <v>778</v>
      </c>
      <c r="C10458" s="9" t="s">
        <v>35</v>
      </c>
      <c r="D10458" s="8">
        <v>5.0000000000000001E-3</v>
      </c>
    </row>
    <row r="10459" spans="1:4">
      <c r="A10459" t="str">
        <f t="shared" si="173"/>
        <v>778Annual Variance</v>
      </c>
      <c r="B10459">
        <v>778</v>
      </c>
      <c r="C10459" s="9" t="s">
        <v>36</v>
      </c>
      <c r="D10459" s="8">
        <v>0</v>
      </c>
    </row>
    <row r="10460" spans="1:4">
      <c r="A10460" t="str">
        <f t="shared" si="173"/>
        <v>778Information Ratio</v>
      </c>
      <c r="B10460">
        <v>778</v>
      </c>
      <c r="C10460" s="9" t="s">
        <v>37</v>
      </c>
      <c r="D10460" s="8">
        <v>-1.002</v>
      </c>
    </row>
    <row r="10461" spans="1:4">
      <c r="A10461" t="str">
        <f t="shared" si="173"/>
        <v>778Tracking Error</v>
      </c>
      <c r="B10461">
        <v>778</v>
      </c>
      <c r="C10461" s="9" t="s">
        <v>38</v>
      </c>
      <c r="D10461" s="8">
        <v>6.8000000000000005E-2</v>
      </c>
    </row>
    <row r="10462" spans="1:4">
      <c r="A10462" t="str">
        <f t="shared" si="173"/>
        <v>778Treynor Ratio</v>
      </c>
      <c r="B10462">
        <v>778</v>
      </c>
      <c r="C10462" s="9" t="s">
        <v>39</v>
      </c>
      <c r="D10462" s="8">
        <v>3.2320000000000002</v>
      </c>
    </row>
    <row r="10463" spans="1:4">
      <c r="A10463" t="str">
        <f t="shared" si="173"/>
        <v>778Total Fees</v>
      </c>
      <c r="B10463">
        <v>778</v>
      </c>
      <c r="C10463" s="9" t="s">
        <v>40</v>
      </c>
      <c r="D10463" s="8">
        <v>0</v>
      </c>
    </row>
    <row r="10464" spans="1:4">
      <c r="A10464" t="str">
        <f t="shared" si="173"/>
        <v>778Estimated Strategy Capacity</v>
      </c>
      <c r="B10464">
        <v>778</v>
      </c>
      <c r="C10464" s="9" t="s">
        <v>41</v>
      </c>
      <c r="D10464" s="8">
        <v>6700000</v>
      </c>
    </row>
    <row r="10465" spans="1:4">
      <c r="A10465" t="str">
        <f t="shared" si="173"/>
        <v>779PSR</v>
      </c>
      <c r="B10465">
        <v>779</v>
      </c>
      <c r="C10465" s="9" t="s">
        <v>27</v>
      </c>
      <c r="D10465" s="8">
        <v>1.0000000000000001E-5</v>
      </c>
    </row>
    <row r="10466" spans="1:4">
      <c r="A10466" t="str">
        <f t="shared" si="173"/>
        <v>779Sharpe Ratio</v>
      </c>
      <c r="B10466">
        <v>779</v>
      </c>
      <c r="C10466" s="9" t="s">
        <v>1</v>
      </c>
      <c r="D10466" s="8">
        <v>-2.7309999999999999</v>
      </c>
    </row>
    <row r="10467" spans="1:4">
      <c r="A10467" t="str">
        <f t="shared" si="173"/>
        <v>779Total Trades</v>
      </c>
      <c r="B10467">
        <v>779</v>
      </c>
      <c r="C10467" s="9" t="s">
        <v>28</v>
      </c>
      <c r="D10467" s="8">
        <v>696</v>
      </c>
    </row>
    <row r="10468" spans="1:4">
      <c r="A10468" t="str">
        <f t="shared" si="173"/>
        <v>779Average Win</v>
      </c>
      <c r="B10468">
        <v>779</v>
      </c>
      <c r="C10468" s="9" t="s">
        <v>25</v>
      </c>
      <c r="D10468" s="8">
        <v>2.9999999999999997E-4</v>
      </c>
    </row>
    <row r="10469" spans="1:4">
      <c r="A10469" t="str">
        <f t="shared" si="173"/>
        <v>779Average Loss</v>
      </c>
      <c r="B10469">
        <v>779</v>
      </c>
      <c r="C10469" s="9" t="s">
        <v>29</v>
      </c>
      <c r="D10469" s="8">
        <v>-1.2999999999999999E-3</v>
      </c>
    </row>
    <row r="10470" spans="1:4">
      <c r="A10470" t="str">
        <f t="shared" si="173"/>
        <v>779Compounding Annual Return</v>
      </c>
      <c r="B10470">
        <v>779</v>
      </c>
      <c r="C10470" s="9" t="s">
        <v>30</v>
      </c>
      <c r="D10470" s="8">
        <v>-5.3949999999999998E-2</v>
      </c>
    </row>
    <row r="10471" spans="1:4">
      <c r="A10471" t="str">
        <f t="shared" si="173"/>
        <v>779Drawdown</v>
      </c>
      <c r="B10471">
        <v>779</v>
      </c>
      <c r="C10471" s="9" t="s">
        <v>8</v>
      </c>
      <c r="D10471" s="8">
        <v>3.7999999999999999E-2</v>
      </c>
    </row>
    <row r="10472" spans="1:4">
      <c r="A10472" t="str">
        <f t="shared" si="173"/>
        <v>779Expectancy</v>
      </c>
      <c r="B10472">
        <v>779</v>
      </c>
      <c r="C10472" s="9" t="s">
        <v>31</v>
      </c>
      <c r="D10472" s="8">
        <v>-0.25700000000000001</v>
      </c>
    </row>
    <row r="10473" spans="1:4">
      <c r="A10473" t="str">
        <f t="shared" si="173"/>
        <v>779Net Profit</v>
      </c>
      <c r="B10473">
        <v>779</v>
      </c>
      <c r="C10473" s="9" t="s">
        <v>32</v>
      </c>
      <c r="D10473" s="8">
        <v>-3.6240000000000001E-2</v>
      </c>
    </row>
    <row r="10474" spans="1:4">
      <c r="A10474" t="str">
        <f t="shared" si="173"/>
        <v>779Loss Rate</v>
      </c>
      <c r="B10474">
        <v>779</v>
      </c>
      <c r="C10474" s="9" t="s">
        <v>33</v>
      </c>
      <c r="D10474" s="8">
        <v>0.39</v>
      </c>
    </row>
    <row r="10475" spans="1:4">
      <c r="A10475" t="str">
        <f t="shared" si="173"/>
        <v>779Win Rate</v>
      </c>
      <c r="B10475">
        <v>779</v>
      </c>
      <c r="C10475" s="9" t="s">
        <v>34</v>
      </c>
      <c r="D10475" s="8">
        <v>0.61</v>
      </c>
    </row>
    <row r="10476" spans="1:4">
      <c r="A10476" t="str">
        <f t="shared" si="173"/>
        <v>779Profit-Loss Ratio</v>
      </c>
      <c r="B10476">
        <v>779</v>
      </c>
      <c r="C10476" s="9" t="s">
        <v>26</v>
      </c>
      <c r="D10476" s="8">
        <v>0.21</v>
      </c>
    </row>
    <row r="10477" spans="1:4">
      <c r="A10477" t="str">
        <f t="shared" si="173"/>
        <v>779Alpha</v>
      </c>
      <c r="B10477">
        <v>779</v>
      </c>
      <c r="C10477" s="9" t="s">
        <v>23</v>
      </c>
      <c r="D10477" s="8">
        <v>-3.6999999999999998E-2</v>
      </c>
    </row>
    <row r="10478" spans="1:4">
      <c r="A10478" t="str">
        <f t="shared" si="173"/>
        <v>779Beta</v>
      </c>
      <c r="B10478">
        <v>779</v>
      </c>
      <c r="C10478" s="9" t="s">
        <v>24</v>
      </c>
      <c r="D10478" s="8">
        <v>-1.9E-2</v>
      </c>
    </row>
    <row r="10479" spans="1:4">
      <c r="A10479" t="str">
        <f t="shared" si="173"/>
        <v>779Annual Standard Deviation</v>
      </c>
      <c r="B10479">
        <v>779</v>
      </c>
      <c r="C10479" s="9" t="s">
        <v>35</v>
      </c>
      <c r="D10479" s="8">
        <v>1.4E-2</v>
      </c>
    </row>
    <row r="10480" spans="1:4">
      <c r="A10480" t="str">
        <f t="shared" si="173"/>
        <v>779Annual Variance</v>
      </c>
      <c r="B10480">
        <v>779</v>
      </c>
      <c r="C10480" s="9" t="s">
        <v>36</v>
      </c>
      <c r="D10480" s="8">
        <v>0</v>
      </c>
    </row>
    <row r="10481" spans="1:4">
      <c r="A10481" t="str">
        <f t="shared" si="173"/>
        <v>779Information Ratio</v>
      </c>
      <c r="B10481">
        <v>779</v>
      </c>
      <c r="C10481" s="9" t="s">
        <v>37</v>
      </c>
      <c r="D10481" s="8">
        <v>-1.282</v>
      </c>
    </row>
    <row r="10482" spans="1:4">
      <c r="A10482" t="str">
        <f t="shared" si="173"/>
        <v>779Tracking Error</v>
      </c>
      <c r="B10482">
        <v>779</v>
      </c>
      <c r="C10482" s="9" t="s">
        <v>38</v>
      </c>
      <c r="D10482" s="8">
        <v>7.0000000000000007E-2</v>
      </c>
    </row>
    <row r="10483" spans="1:4">
      <c r="A10483" t="str">
        <f t="shared" si="173"/>
        <v>779Treynor Ratio</v>
      </c>
      <c r="B10483">
        <v>779</v>
      </c>
      <c r="C10483" s="9" t="s">
        <v>39</v>
      </c>
      <c r="D10483" s="8">
        <v>2.0329999999999999</v>
      </c>
    </row>
    <row r="10484" spans="1:4">
      <c r="A10484" t="str">
        <f t="shared" si="173"/>
        <v>779Total Fees</v>
      </c>
      <c r="B10484">
        <v>779</v>
      </c>
      <c r="C10484" s="9" t="s">
        <v>40</v>
      </c>
      <c r="D10484" s="8">
        <v>0</v>
      </c>
    </row>
    <row r="10485" spans="1:4">
      <c r="A10485" t="str">
        <f t="shared" si="173"/>
        <v>779Estimated Strategy Capacity</v>
      </c>
      <c r="B10485">
        <v>779</v>
      </c>
      <c r="C10485" s="9" t="s">
        <v>41</v>
      </c>
      <c r="D10485" s="8">
        <v>7400000</v>
      </c>
    </row>
    <row r="10486" spans="1:4">
      <c r="A10486" t="str">
        <f t="shared" si="173"/>
        <v>780PSR</v>
      </c>
      <c r="B10486">
        <v>780</v>
      </c>
      <c r="C10486" s="9" t="s">
        <v>27</v>
      </c>
      <c r="D10486" s="8">
        <v>2.3900000000000002E-3</v>
      </c>
    </row>
    <row r="10487" spans="1:4">
      <c r="A10487" t="str">
        <f t="shared" si="173"/>
        <v>780Sharpe Ratio</v>
      </c>
      <c r="B10487">
        <v>780</v>
      </c>
      <c r="C10487" s="9" t="s">
        <v>1</v>
      </c>
      <c r="D10487" s="8">
        <v>-1.5880000000000001</v>
      </c>
    </row>
    <row r="10488" spans="1:4">
      <c r="A10488" t="str">
        <f t="shared" si="173"/>
        <v>780Total Trades</v>
      </c>
      <c r="B10488">
        <v>780</v>
      </c>
      <c r="C10488" s="9" t="s">
        <v>28</v>
      </c>
      <c r="D10488" s="8">
        <v>535</v>
      </c>
    </row>
    <row r="10489" spans="1:4">
      <c r="A10489" t="str">
        <f t="shared" si="173"/>
        <v>780Average Win</v>
      </c>
      <c r="B10489">
        <v>780</v>
      </c>
      <c r="C10489" s="9" t="s">
        <v>25</v>
      </c>
      <c r="D10489" s="8">
        <v>5.9999999999999995E-4</v>
      </c>
    </row>
    <row r="10490" spans="1:4">
      <c r="A10490" t="str">
        <f t="shared" si="173"/>
        <v>780Average Loss</v>
      </c>
      <c r="B10490">
        <v>780</v>
      </c>
      <c r="C10490" s="9" t="s">
        <v>29</v>
      </c>
      <c r="D10490" s="8">
        <v>-2.0999999999999999E-3</v>
      </c>
    </row>
    <row r="10491" spans="1:4">
      <c r="A10491" t="str">
        <f t="shared" si="173"/>
        <v>780Compounding Annual Return</v>
      </c>
      <c r="B10491">
        <v>780</v>
      </c>
      <c r="C10491" s="9" t="s">
        <v>30</v>
      </c>
      <c r="D10491" s="8">
        <v>-4.7010000000000003E-2</v>
      </c>
    </row>
    <row r="10492" spans="1:4">
      <c r="A10492" t="str">
        <f t="shared" si="173"/>
        <v>780Drawdown</v>
      </c>
      <c r="B10492">
        <v>780</v>
      </c>
      <c r="C10492" s="9" t="s">
        <v>8</v>
      </c>
      <c r="D10492" s="8">
        <v>3.7999999999999999E-2</v>
      </c>
    </row>
    <row r="10493" spans="1:4">
      <c r="A10493" t="str">
        <f t="shared" si="173"/>
        <v>780Expectancy</v>
      </c>
      <c r="B10493">
        <v>780</v>
      </c>
      <c r="C10493" s="9" t="s">
        <v>31</v>
      </c>
      <c r="D10493" s="8">
        <v>-0.161</v>
      </c>
    </row>
    <row r="10494" spans="1:4">
      <c r="A10494" t="str">
        <f t="shared" si="173"/>
        <v>780Net Profit</v>
      </c>
      <c r="B10494">
        <v>780</v>
      </c>
      <c r="C10494" s="9" t="s">
        <v>32</v>
      </c>
      <c r="D10494" s="8">
        <v>-3.1550000000000002E-2</v>
      </c>
    </row>
    <row r="10495" spans="1:4">
      <c r="A10495" t="str">
        <f t="shared" si="173"/>
        <v>780Loss Rate</v>
      </c>
      <c r="B10495">
        <v>780</v>
      </c>
      <c r="C10495" s="9" t="s">
        <v>33</v>
      </c>
      <c r="D10495" s="8">
        <v>0.34</v>
      </c>
    </row>
    <row r="10496" spans="1:4">
      <c r="A10496" t="str">
        <f t="shared" si="173"/>
        <v>780Win Rate</v>
      </c>
      <c r="B10496">
        <v>780</v>
      </c>
      <c r="C10496" s="9" t="s">
        <v>34</v>
      </c>
      <c r="D10496" s="8">
        <v>0.66</v>
      </c>
    </row>
    <row r="10497" spans="1:4">
      <c r="A10497" t="str">
        <f t="shared" si="173"/>
        <v>780Profit-Loss Ratio</v>
      </c>
      <c r="B10497">
        <v>780</v>
      </c>
      <c r="C10497" s="9" t="s">
        <v>26</v>
      </c>
      <c r="D10497" s="8">
        <v>0.27</v>
      </c>
    </row>
    <row r="10498" spans="1:4">
      <c r="A10498" t="str">
        <f t="shared" si="173"/>
        <v>780Alpha</v>
      </c>
      <c r="B10498">
        <v>780</v>
      </c>
      <c r="C10498" s="9" t="s">
        <v>23</v>
      </c>
      <c r="D10498" s="8">
        <v>-3.1E-2</v>
      </c>
    </row>
    <row r="10499" spans="1:4">
      <c r="A10499" t="str">
        <f t="shared" si="173"/>
        <v>780Beta</v>
      </c>
      <c r="B10499">
        <v>780</v>
      </c>
      <c r="C10499" s="9" t="s">
        <v>24</v>
      </c>
      <c r="D10499" s="8">
        <v>-3.9E-2</v>
      </c>
    </row>
    <row r="10500" spans="1:4">
      <c r="A10500" t="str">
        <f t="shared" si="173"/>
        <v>780Annual Standard Deviation</v>
      </c>
      <c r="B10500">
        <v>780</v>
      </c>
      <c r="C10500" s="9" t="s">
        <v>35</v>
      </c>
      <c r="D10500" s="8">
        <v>2.1000000000000001E-2</v>
      </c>
    </row>
    <row r="10501" spans="1:4">
      <c r="A10501" t="str">
        <f t="shared" si="173"/>
        <v>780Annual Variance</v>
      </c>
      <c r="B10501">
        <v>780</v>
      </c>
      <c r="C10501" s="9" t="s">
        <v>36</v>
      </c>
      <c r="D10501" s="8">
        <v>0</v>
      </c>
    </row>
    <row r="10502" spans="1:4">
      <c r="A10502" t="str">
        <f t="shared" si="173"/>
        <v>780Information Ratio</v>
      </c>
      <c r="B10502">
        <v>780</v>
      </c>
      <c r="C10502" s="9" t="s">
        <v>37</v>
      </c>
      <c r="D10502" s="8">
        <v>-1.1619999999999999</v>
      </c>
    </row>
    <row r="10503" spans="1:4">
      <c r="A10503" t="str">
        <f t="shared" si="173"/>
        <v>780Tracking Error</v>
      </c>
      <c r="B10503">
        <v>780</v>
      </c>
      <c r="C10503" s="9" t="s">
        <v>38</v>
      </c>
      <c r="D10503" s="8">
        <v>7.2999999999999995E-2</v>
      </c>
    </row>
    <row r="10504" spans="1:4">
      <c r="A10504" t="str">
        <f t="shared" si="173"/>
        <v>780Treynor Ratio</v>
      </c>
      <c r="B10504">
        <v>780</v>
      </c>
      <c r="C10504" s="9" t="s">
        <v>39</v>
      </c>
      <c r="D10504" s="8">
        <v>0.83399999999999996</v>
      </c>
    </row>
    <row r="10505" spans="1:4">
      <c r="A10505" t="str">
        <f t="shared" si="173"/>
        <v>780Total Fees</v>
      </c>
      <c r="B10505">
        <v>780</v>
      </c>
      <c r="C10505" s="9" t="s">
        <v>40</v>
      </c>
      <c r="D10505" s="8">
        <v>0</v>
      </c>
    </row>
    <row r="10506" spans="1:4">
      <c r="A10506" t="str">
        <f t="shared" si="173"/>
        <v>780Estimated Strategy Capacity</v>
      </c>
      <c r="B10506">
        <v>780</v>
      </c>
      <c r="C10506" s="9" t="s">
        <v>41</v>
      </c>
      <c r="D10506" s="8">
        <v>7500000</v>
      </c>
    </row>
    <row r="10507" spans="1:4">
      <c r="A10507" t="str">
        <f t="shared" si="173"/>
        <v>781PSR</v>
      </c>
      <c r="B10507">
        <v>781</v>
      </c>
      <c r="C10507" s="9" t="s">
        <v>27</v>
      </c>
      <c r="D10507" s="8">
        <v>0.15648999999999999</v>
      </c>
    </row>
    <row r="10508" spans="1:4">
      <c r="A10508" t="str">
        <f t="shared" si="173"/>
        <v>781Sharpe Ratio</v>
      </c>
      <c r="B10508">
        <v>781</v>
      </c>
      <c r="C10508" s="9" t="s">
        <v>1</v>
      </c>
      <c r="D10508" s="8">
        <v>-3.3000000000000002E-2</v>
      </c>
    </row>
    <row r="10509" spans="1:4">
      <c r="A10509" t="str">
        <f t="shared" si="173"/>
        <v>781Total Trades</v>
      </c>
      <c r="B10509">
        <v>781</v>
      </c>
      <c r="C10509" s="9" t="s">
        <v>28</v>
      </c>
      <c r="D10509" s="8">
        <v>760</v>
      </c>
    </row>
    <row r="10510" spans="1:4">
      <c r="A10510" t="str">
        <f t="shared" si="173"/>
        <v>781Average Win</v>
      </c>
      <c r="B10510">
        <v>781</v>
      </c>
      <c r="C10510" s="9" t="s">
        <v>25</v>
      </c>
      <c r="D10510" s="8">
        <v>1E-4</v>
      </c>
    </row>
    <row r="10511" spans="1:4">
      <c r="A10511" t="str">
        <f t="shared" si="173"/>
        <v>781Average Loss</v>
      </c>
      <c r="B10511">
        <v>781</v>
      </c>
      <c r="C10511" s="9" t="s">
        <v>29</v>
      </c>
      <c r="D10511" s="8">
        <v>-2.9999999999999997E-4</v>
      </c>
    </row>
    <row r="10512" spans="1:4">
      <c r="A10512" t="str">
        <f t="shared" si="173"/>
        <v>781Compounding Annual Return</v>
      </c>
      <c r="B10512">
        <v>781</v>
      </c>
      <c r="C10512" s="9" t="s">
        <v>30</v>
      </c>
      <c r="D10512" s="8">
        <v>-2.3000000000000001E-4</v>
      </c>
    </row>
    <row r="10513" spans="1:4">
      <c r="A10513" t="str">
        <f t="shared" si="173"/>
        <v>781Drawdown</v>
      </c>
      <c r="B10513">
        <v>781</v>
      </c>
      <c r="C10513" s="9" t="s">
        <v>8</v>
      </c>
      <c r="D10513" s="8">
        <v>5.0000000000000001E-3</v>
      </c>
    </row>
    <row r="10514" spans="1:4">
      <c r="A10514" t="str">
        <f t="shared" ref="A10514:A10577" si="174">B10514&amp;C10514</f>
        <v>781Expectancy</v>
      </c>
      <c r="B10514">
        <v>781</v>
      </c>
      <c r="C10514" s="9" t="s">
        <v>31</v>
      </c>
      <c r="D10514" s="8">
        <v>-4.0000000000000001E-3</v>
      </c>
    </row>
    <row r="10515" spans="1:4">
      <c r="A10515" t="str">
        <f t="shared" si="174"/>
        <v>781Net Profit</v>
      </c>
      <c r="B10515">
        <v>781</v>
      </c>
      <c r="C10515" s="9" t="s">
        <v>32</v>
      </c>
      <c r="D10515" s="8">
        <v>-1.4999999999999999E-4</v>
      </c>
    </row>
    <row r="10516" spans="1:4">
      <c r="A10516" t="str">
        <f t="shared" si="174"/>
        <v>781Loss Rate</v>
      </c>
      <c r="B10516">
        <v>781</v>
      </c>
      <c r="C10516" s="9" t="s">
        <v>33</v>
      </c>
      <c r="D10516" s="8">
        <v>0.34</v>
      </c>
    </row>
    <row r="10517" spans="1:4">
      <c r="A10517" t="str">
        <f t="shared" si="174"/>
        <v>781Win Rate</v>
      </c>
      <c r="B10517">
        <v>781</v>
      </c>
      <c r="C10517" s="9" t="s">
        <v>34</v>
      </c>
      <c r="D10517" s="8">
        <v>0.66</v>
      </c>
    </row>
    <row r="10518" spans="1:4">
      <c r="A10518" t="str">
        <f t="shared" si="174"/>
        <v>781Profit-Loss Ratio</v>
      </c>
      <c r="B10518">
        <v>781</v>
      </c>
      <c r="C10518" s="9" t="s">
        <v>26</v>
      </c>
      <c r="D10518" s="8">
        <v>0.51</v>
      </c>
    </row>
    <row r="10519" spans="1:4">
      <c r="A10519" t="str">
        <f t="shared" si="174"/>
        <v>781Alpha</v>
      </c>
      <c r="B10519">
        <v>781</v>
      </c>
      <c r="C10519" s="9" t="s">
        <v>23</v>
      </c>
      <c r="D10519" s="8">
        <v>0</v>
      </c>
    </row>
    <row r="10520" spans="1:4">
      <c r="A10520" t="str">
        <f t="shared" si="174"/>
        <v>781Beta</v>
      </c>
      <c r="B10520">
        <v>781</v>
      </c>
      <c r="C10520" s="9" t="s">
        <v>24</v>
      </c>
      <c r="D10520" s="8">
        <v>0</v>
      </c>
    </row>
    <row r="10521" spans="1:4">
      <c r="A10521" t="str">
        <f t="shared" si="174"/>
        <v>781Annual Standard Deviation</v>
      </c>
      <c r="B10521">
        <v>781</v>
      </c>
      <c r="C10521" s="9" t="s">
        <v>35</v>
      </c>
      <c r="D10521" s="8">
        <v>5.0000000000000001E-3</v>
      </c>
    </row>
    <row r="10522" spans="1:4">
      <c r="A10522" t="str">
        <f t="shared" si="174"/>
        <v>781Annual Variance</v>
      </c>
      <c r="B10522">
        <v>781</v>
      </c>
      <c r="C10522" s="9" t="s">
        <v>36</v>
      </c>
      <c r="D10522" s="8">
        <v>0</v>
      </c>
    </row>
    <row r="10523" spans="1:4">
      <c r="A10523" t="str">
        <f t="shared" si="174"/>
        <v>781Information Ratio</v>
      </c>
      <c r="B10523">
        <v>781</v>
      </c>
      <c r="C10523" s="9" t="s">
        <v>37</v>
      </c>
      <c r="D10523" s="8">
        <v>-0.77300000000000002</v>
      </c>
    </row>
    <row r="10524" spans="1:4">
      <c r="A10524" t="str">
        <f t="shared" si="174"/>
        <v>781Tracking Error</v>
      </c>
      <c r="B10524">
        <v>781</v>
      </c>
      <c r="C10524" s="9" t="s">
        <v>38</v>
      </c>
      <c r="D10524" s="8">
        <v>6.7000000000000004E-2</v>
      </c>
    </row>
    <row r="10525" spans="1:4">
      <c r="A10525" t="str">
        <f t="shared" si="174"/>
        <v>781Treynor Ratio</v>
      </c>
      <c r="B10525">
        <v>781</v>
      </c>
      <c r="C10525" s="9" t="s">
        <v>39</v>
      </c>
      <c r="D10525" s="8">
        <v>-0.63900000000000001</v>
      </c>
    </row>
    <row r="10526" spans="1:4">
      <c r="A10526" t="str">
        <f t="shared" si="174"/>
        <v>781Total Fees</v>
      </c>
      <c r="B10526">
        <v>781</v>
      </c>
      <c r="C10526" s="9" t="s">
        <v>40</v>
      </c>
      <c r="D10526" s="8">
        <v>0</v>
      </c>
    </row>
    <row r="10527" spans="1:4">
      <c r="A10527" t="str">
        <f t="shared" si="174"/>
        <v>781Estimated Strategy Capacity</v>
      </c>
      <c r="B10527">
        <v>781</v>
      </c>
      <c r="C10527" s="9" t="s">
        <v>41</v>
      </c>
      <c r="D10527" s="8">
        <v>6600000</v>
      </c>
    </row>
    <row r="10528" spans="1:4">
      <c r="A10528" t="str">
        <f t="shared" si="174"/>
        <v>782PSR</v>
      </c>
      <c r="B10528">
        <v>782</v>
      </c>
      <c r="C10528" s="9" t="s">
        <v>27</v>
      </c>
      <c r="D10528" s="8">
        <v>0.12211</v>
      </c>
    </row>
    <row r="10529" spans="1:4">
      <c r="A10529" t="str">
        <f t="shared" si="174"/>
        <v>782Sharpe Ratio</v>
      </c>
      <c r="B10529">
        <v>782</v>
      </c>
      <c r="C10529" s="9" t="s">
        <v>1</v>
      </c>
      <c r="D10529" s="8">
        <v>-0.187</v>
      </c>
    </row>
    <row r="10530" spans="1:4">
      <c r="A10530" t="str">
        <f t="shared" si="174"/>
        <v>782Total Trades</v>
      </c>
      <c r="B10530">
        <v>782</v>
      </c>
      <c r="C10530" s="9" t="s">
        <v>28</v>
      </c>
      <c r="D10530" s="8">
        <v>601</v>
      </c>
    </row>
    <row r="10531" spans="1:4">
      <c r="A10531" t="str">
        <f t="shared" si="174"/>
        <v>782Average Win</v>
      </c>
      <c r="B10531">
        <v>782</v>
      </c>
      <c r="C10531" s="9" t="s">
        <v>25</v>
      </c>
      <c r="D10531" s="8">
        <v>4.0000000000000002E-4</v>
      </c>
    </row>
    <row r="10532" spans="1:4">
      <c r="A10532" t="str">
        <f t="shared" si="174"/>
        <v>782Average Loss</v>
      </c>
      <c r="B10532">
        <v>782</v>
      </c>
      <c r="C10532" s="9" t="s">
        <v>29</v>
      </c>
      <c r="D10532" s="8">
        <v>-1E-3</v>
      </c>
    </row>
    <row r="10533" spans="1:4">
      <c r="A10533" t="str">
        <f t="shared" si="174"/>
        <v>782Compounding Annual Return</v>
      </c>
      <c r="B10533">
        <v>782</v>
      </c>
      <c r="C10533" s="9" t="s">
        <v>30</v>
      </c>
      <c r="D10533" s="8">
        <v>-4.4299999999999999E-3</v>
      </c>
    </row>
    <row r="10534" spans="1:4">
      <c r="A10534" t="str">
        <f t="shared" si="174"/>
        <v>782Drawdown</v>
      </c>
      <c r="B10534">
        <v>782</v>
      </c>
      <c r="C10534" s="9" t="s">
        <v>8</v>
      </c>
      <c r="D10534" s="8">
        <v>1.7999999999999999E-2</v>
      </c>
    </row>
    <row r="10535" spans="1:4">
      <c r="A10535" t="str">
        <f t="shared" si="174"/>
        <v>782Expectancy</v>
      </c>
      <c r="B10535">
        <v>782</v>
      </c>
      <c r="C10535" s="9" t="s">
        <v>31</v>
      </c>
      <c r="D10535" s="8">
        <v>-2.9000000000000001E-2</v>
      </c>
    </row>
    <row r="10536" spans="1:4">
      <c r="A10536" t="str">
        <f t="shared" si="174"/>
        <v>782Net Profit</v>
      </c>
      <c r="B10536">
        <v>782</v>
      </c>
      <c r="C10536" s="9" t="s">
        <v>32</v>
      </c>
      <c r="D10536" s="8">
        <v>-2.9499999999999999E-3</v>
      </c>
    </row>
    <row r="10537" spans="1:4">
      <c r="A10537" t="str">
        <f t="shared" si="174"/>
        <v>782Loss Rate</v>
      </c>
      <c r="B10537">
        <v>782</v>
      </c>
      <c r="C10537" s="9" t="s">
        <v>33</v>
      </c>
      <c r="D10537" s="8">
        <v>0.32</v>
      </c>
    </row>
    <row r="10538" spans="1:4">
      <c r="A10538" t="str">
        <f t="shared" si="174"/>
        <v>782Win Rate</v>
      </c>
      <c r="B10538">
        <v>782</v>
      </c>
      <c r="C10538" s="9" t="s">
        <v>34</v>
      </c>
      <c r="D10538" s="8">
        <v>0.68</v>
      </c>
    </row>
    <row r="10539" spans="1:4">
      <c r="A10539" t="str">
        <f t="shared" si="174"/>
        <v>782Profit-Loss Ratio</v>
      </c>
      <c r="B10539">
        <v>782</v>
      </c>
      <c r="C10539" s="9" t="s">
        <v>26</v>
      </c>
      <c r="D10539" s="8">
        <v>0.43</v>
      </c>
    </row>
    <row r="10540" spans="1:4">
      <c r="A10540" t="str">
        <f t="shared" si="174"/>
        <v>782Alpha</v>
      </c>
      <c r="B10540">
        <v>782</v>
      </c>
      <c r="C10540" s="9" t="s">
        <v>23</v>
      </c>
      <c r="D10540" s="8">
        <v>-2E-3</v>
      </c>
    </row>
    <row r="10541" spans="1:4">
      <c r="A10541" t="str">
        <f t="shared" si="174"/>
        <v>782Beta</v>
      </c>
      <c r="B10541">
        <v>782</v>
      </c>
      <c r="C10541" s="9" t="s">
        <v>24</v>
      </c>
      <c r="D10541" s="8">
        <v>-1.2E-2</v>
      </c>
    </row>
    <row r="10542" spans="1:4">
      <c r="A10542" t="str">
        <f t="shared" si="174"/>
        <v>782Annual Standard Deviation</v>
      </c>
      <c r="B10542">
        <v>782</v>
      </c>
      <c r="C10542" s="9" t="s">
        <v>35</v>
      </c>
      <c r="D10542" s="8">
        <v>1.6E-2</v>
      </c>
    </row>
    <row r="10543" spans="1:4">
      <c r="A10543" t="str">
        <f t="shared" si="174"/>
        <v>782Annual Variance</v>
      </c>
      <c r="B10543">
        <v>782</v>
      </c>
      <c r="C10543" s="9" t="s">
        <v>36</v>
      </c>
      <c r="D10543" s="8">
        <v>0</v>
      </c>
    </row>
    <row r="10544" spans="1:4">
      <c r="A10544" t="str">
        <f t="shared" si="174"/>
        <v>782Information Ratio</v>
      </c>
      <c r="B10544">
        <v>782</v>
      </c>
      <c r="C10544" s="9" t="s">
        <v>37</v>
      </c>
      <c r="D10544" s="8">
        <v>-0.78600000000000003</v>
      </c>
    </row>
    <row r="10545" spans="1:4">
      <c r="A10545" t="str">
        <f t="shared" si="174"/>
        <v>782Tracking Error</v>
      </c>
      <c r="B10545">
        <v>782</v>
      </c>
      <c r="C10545" s="9" t="s">
        <v>38</v>
      </c>
      <c r="D10545" s="8">
        <v>7.0000000000000007E-2</v>
      </c>
    </row>
    <row r="10546" spans="1:4">
      <c r="A10546" t="str">
        <f t="shared" si="174"/>
        <v>782Treynor Ratio</v>
      </c>
      <c r="B10546">
        <v>782</v>
      </c>
      <c r="C10546" s="9" t="s">
        <v>39</v>
      </c>
      <c r="D10546" s="8">
        <v>0.249</v>
      </c>
    </row>
    <row r="10547" spans="1:4">
      <c r="A10547" t="str">
        <f t="shared" si="174"/>
        <v>782Total Fees</v>
      </c>
      <c r="B10547">
        <v>782</v>
      </c>
      <c r="C10547" s="9" t="s">
        <v>40</v>
      </c>
      <c r="D10547" s="8">
        <v>0</v>
      </c>
    </row>
    <row r="10548" spans="1:4">
      <c r="A10548" t="str">
        <f t="shared" si="174"/>
        <v>782Estimated Strategy Capacity</v>
      </c>
      <c r="B10548">
        <v>782</v>
      </c>
      <c r="C10548" s="9" t="s">
        <v>41</v>
      </c>
      <c r="D10548" s="8">
        <v>6900000</v>
      </c>
    </row>
    <row r="10549" spans="1:4">
      <c r="A10549" t="str">
        <f t="shared" si="174"/>
        <v>783PSR</v>
      </c>
      <c r="B10549">
        <v>783</v>
      </c>
      <c r="C10549" s="9" t="s">
        <v>27</v>
      </c>
      <c r="D10549" s="8">
        <v>0.15756000000000001</v>
      </c>
    </row>
    <row r="10550" spans="1:4">
      <c r="A10550" t="str">
        <f t="shared" si="174"/>
        <v>783Sharpe Ratio</v>
      </c>
      <c r="B10550">
        <v>783</v>
      </c>
      <c r="C10550" s="9" t="s">
        <v>1</v>
      </c>
      <c r="D10550" s="8">
        <v>-2.8000000000000001E-2</v>
      </c>
    </row>
    <row r="10551" spans="1:4">
      <c r="A10551" t="str">
        <f t="shared" si="174"/>
        <v>783Total Trades</v>
      </c>
      <c r="B10551">
        <v>783</v>
      </c>
      <c r="C10551" s="9" t="s">
        <v>28</v>
      </c>
      <c r="D10551" s="8">
        <v>454</v>
      </c>
    </row>
    <row r="10552" spans="1:4">
      <c r="A10552" t="str">
        <f t="shared" si="174"/>
        <v>783Average Win</v>
      </c>
      <c r="B10552">
        <v>783</v>
      </c>
      <c r="C10552" s="9" t="s">
        <v>25</v>
      </c>
      <c r="D10552" s="8">
        <v>5.0000000000000001E-4</v>
      </c>
    </row>
    <row r="10553" spans="1:4">
      <c r="A10553" t="str">
        <f t="shared" si="174"/>
        <v>783Average Loss</v>
      </c>
      <c r="B10553">
        <v>783</v>
      </c>
      <c r="C10553" s="9" t="s">
        <v>29</v>
      </c>
      <c r="D10553" s="8">
        <v>-1.1999999999999999E-3</v>
      </c>
    </row>
    <row r="10554" spans="1:4">
      <c r="A10554" t="str">
        <f t="shared" si="174"/>
        <v>783Compounding Annual Return</v>
      </c>
      <c r="B10554">
        <v>783</v>
      </c>
      <c r="C10554" s="9" t="s">
        <v>30</v>
      </c>
      <c r="D10554" s="8">
        <v>-9.5E-4</v>
      </c>
    </row>
    <row r="10555" spans="1:4">
      <c r="A10555" t="str">
        <f t="shared" si="174"/>
        <v>783Drawdown</v>
      </c>
      <c r="B10555">
        <v>783</v>
      </c>
      <c r="C10555" s="9" t="s">
        <v>8</v>
      </c>
      <c r="D10555" s="8">
        <v>1.4999999999999999E-2</v>
      </c>
    </row>
    <row r="10556" spans="1:4">
      <c r="A10556" t="str">
        <f t="shared" si="174"/>
        <v>783Expectancy</v>
      </c>
      <c r="B10556">
        <v>783</v>
      </c>
      <c r="C10556" s="9" t="s">
        <v>31</v>
      </c>
      <c r="D10556" s="8">
        <v>-7.0000000000000001E-3</v>
      </c>
    </row>
    <row r="10557" spans="1:4">
      <c r="A10557" t="str">
        <f t="shared" si="174"/>
        <v>783Net Profit</v>
      </c>
      <c r="B10557">
        <v>783</v>
      </c>
      <c r="C10557" s="9" t="s">
        <v>32</v>
      </c>
      <c r="D10557" s="8">
        <v>-6.3000000000000003E-4</v>
      </c>
    </row>
    <row r="10558" spans="1:4">
      <c r="A10558" t="str">
        <f t="shared" si="174"/>
        <v>783Loss Rate</v>
      </c>
      <c r="B10558">
        <v>783</v>
      </c>
      <c r="C10558" s="9" t="s">
        <v>33</v>
      </c>
      <c r="D10558" s="8">
        <v>0.32</v>
      </c>
    </row>
    <row r="10559" spans="1:4">
      <c r="A10559" t="str">
        <f t="shared" si="174"/>
        <v>783Win Rate</v>
      </c>
      <c r="B10559">
        <v>783</v>
      </c>
      <c r="C10559" s="9" t="s">
        <v>34</v>
      </c>
      <c r="D10559" s="8">
        <v>0.68</v>
      </c>
    </row>
    <row r="10560" spans="1:4">
      <c r="A10560" t="str">
        <f t="shared" si="174"/>
        <v>783Profit-Loss Ratio</v>
      </c>
      <c r="B10560">
        <v>783</v>
      </c>
      <c r="C10560" s="9" t="s">
        <v>26</v>
      </c>
      <c r="D10560" s="8">
        <v>0.46</v>
      </c>
    </row>
    <row r="10561" spans="1:4">
      <c r="A10561" t="str">
        <f t="shared" si="174"/>
        <v>783Alpha</v>
      </c>
      <c r="B10561">
        <v>783</v>
      </c>
      <c r="C10561" s="9" t="s">
        <v>23</v>
      </c>
      <c r="D10561" s="8">
        <v>0</v>
      </c>
    </row>
    <row r="10562" spans="1:4">
      <c r="A10562" t="str">
        <f t="shared" si="174"/>
        <v>783Beta</v>
      </c>
      <c r="B10562">
        <v>783</v>
      </c>
      <c r="C10562" s="9" t="s">
        <v>24</v>
      </c>
      <c r="D10562" s="8">
        <v>-1.4999999999999999E-2</v>
      </c>
    </row>
    <row r="10563" spans="1:4">
      <c r="A10563" t="str">
        <f t="shared" si="174"/>
        <v>783Annual Standard Deviation</v>
      </c>
      <c r="B10563">
        <v>783</v>
      </c>
      <c r="C10563" s="9" t="s">
        <v>35</v>
      </c>
      <c r="D10563" s="8">
        <v>1.7999999999999999E-2</v>
      </c>
    </row>
    <row r="10564" spans="1:4">
      <c r="A10564" t="str">
        <f t="shared" si="174"/>
        <v>783Annual Variance</v>
      </c>
      <c r="B10564">
        <v>783</v>
      </c>
      <c r="C10564" s="9" t="s">
        <v>36</v>
      </c>
      <c r="D10564" s="8">
        <v>0</v>
      </c>
    </row>
    <row r="10565" spans="1:4">
      <c r="A10565" t="str">
        <f t="shared" si="174"/>
        <v>783Information Ratio</v>
      </c>
      <c r="B10565">
        <v>783</v>
      </c>
      <c r="C10565" s="9" t="s">
        <v>37</v>
      </c>
      <c r="D10565" s="8">
        <v>-0.74299999999999999</v>
      </c>
    </row>
    <row r="10566" spans="1:4">
      <c r="A10566" t="str">
        <f t="shared" si="174"/>
        <v>783Tracking Error</v>
      </c>
      <c r="B10566">
        <v>783</v>
      </c>
      <c r="C10566" s="9" t="s">
        <v>38</v>
      </c>
      <c r="D10566" s="8">
        <v>7.0999999999999994E-2</v>
      </c>
    </row>
    <row r="10567" spans="1:4">
      <c r="A10567" t="str">
        <f t="shared" si="174"/>
        <v>783Treynor Ratio</v>
      </c>
      <c r="B10567">
        <v>783</v>
      </c>
      <c r="C10567" s="9" t="s">
        <v>39</v>
      </c>
      <c r="D10567" s="8">
        <v>3.4000000000000002E-2</v>
      </c>
    </row>
    <row r="10568" spans="1:4">
      <c r="A10568" t="str">
        <f t="shared" si="174"/>
        <v>783Total Fees</v>
      </c>
      <c r="B10568">
        <v>783</v>
      </c>
      <c r="C10568" s="9" t="s">
        <v>40</v>
      </c>
      <c r="D10568" s="8">
        <v>0</v>
      </c>
    </row>
    <row r="10569" spans="1:4">
      <c r="A10569" t="str">
        <f t="shared" si="174"/>
        <v>783Estimated Strategy Capacity</v>
      </c>
      <c r="B10569">
        <v>783</v>
      </c>
      <c r="C10569" s="9" t="s">
        <v>41</v>
      </c>
      <c r="D10569" s="8">
        <v>7000000</v>
      </c>
    </row>
    <row r="10570" spans="1:4">
      <c r="A10570" t="str">
        <f t="shared" si="174"/>
        <v>802PSR</v>
      </c>
      <c r="B10570">
        <v>802</v>
      </c>
      <c r="C10570" s="9" t="s">
        <v>27</v>
      </c>
      <c r="D10570" s="8">
        <v>4.9300000000000004E-3</v>
      </c>
    </row>
    <row r="10571" spans="1:4">
      <c r="A10571" t="str">
        <f t="shared" si="174"/>
        <v>802Sharpe Ratio</v>
      </c>
      <c r="B10571">
        <v>802</v>
      </c>
      <c r="C10571" s="9" t="s">
        <v>1</v>
      </c>
      <c r="D10571" s="8">
        <v>-1.5149999999999999</v>
      </c>
    </row>
    <row r="10572" spans="1:4">
      <c r="A10572" t="str">
        <f t="shared" si="174"/>
        <v>802Total Trades</v>
      </c>
      <c r="B10572">
        <v>802</v>
      </c>
      <c r="C10572" s="9" t="s">
        <v>28</v>
      </c>
      <c r="D10572" s="8">
        <v>1229</v>
      </c>
    </row>
    <row r="10573" spans="1:4">
      <c r="A10573" t="str">
        <f t="shared" si="174"/>
        <v>802Average Win</v>
      </c>
      <c r="B10573">
        <v>802</v>
      </c>
      <c r="C10573" s="9" t="s">
        <v>25</v>
      </c>
      <c r="D10573" s="8">
        <v>2.0000000000000001E-4</v>
      </c>
    </row>
    <row r="10574" spans="1:4">
      <c r="A10574" t="str">
        <f t="shared" si="174"/>
        <v>802Average Loss</v>
      </c>
      <c r="B10574">
        <v>802</v>
      </c>
      <c r="C10574" s="9" t="s">
        <v>29</v>
      </c>
      <c r="D10574" s="8">
        <v>-6.9999999999999999E-4</v>
      </c>
    </row>
    <row r="10575" spans="1:4">
      <c r="A10575" t="str">
        <f t="shared" si="174"/>
        <v>802Compounding Annual Return</v>
      </c>
      <c r="B10575">
        <v>802</v>
      </c>
      <c r="C10575" s="9" t="s">
        <v>30</v>
      </c>
      <c r="D10575" s="8">
        <v>-1.9380000000000001E-2</v>
      </c>
    </row>
    <row r="10576" spans="1:4">
      <c r="A10576" t="str">
        <f t="shared" si="174"/>
        <v>802Drawdown</v>
      </c>
      <c r="B10576">
        <v>802</v>
      </c>
      <c r="C10576" s="9" t="s">
        <v>8</v>
      </c>
      <c r="D10576" s="8">
        <v>1.4999999999999999E-2</v>
      </c>
    </row>
    <row r="10577" spans="1:4">
      <c r="A10577" t="str">
        <f t="shared" si="174"/>
        <v>802Expectancy</v>
      </c>
      <c r="B10577">
        <v>802</v>
      </c>
      <c r="C10577" s="9" t="s">
        <v>31</v>
      </c>
      <c r="D10577" s="8">
        <v>-0.17699999999999999</v>
      </c>
    </row>
    <row r="10578" spans="1:4">
      <c r="A10578" t="str">
        <f t="shared" ref="A10578:A10641" si="175">B10578&amp;C10578</f>
        <v>802Net Profit</v>
      </c>
      <c r="B10578">
        <v>802</v>
      </c>
      <c r="C10578" s="9" t="s">
        <v>32</v>
      </c>
      <c r="D10578" s="8">
        <v>-1.294E-2</v>
      </c>
    </row>
    <row r="10579" spans="1:4">
      <c r="A10579" t="str">
        <f t="shared" si="175"/>
        <v>802Loss Rate</v>
      </c>
      <c r="B10579">
        <v>802</v>
      </c>
      <c r="C10579" s="9" t="s">
        <v>33</v>
      </c>
      <c r="D10579" s="8">
        <v>0.39</v>
      </c>
    </row>
    <row r="10580" spans="1:4">
      <c r="A10580" t="str">
        <f t="shared" si="175"/>
        <v>802Win Rate</v>
      </c>
      <c r="B10580">
        <v>802</v>
      </c>
      <c r="C10580" s="9" t="s">
        <v>34</v>
      </c>
      <c r="D10580" s="8">
        <v>0.61</v>
      </c>
    </row>
    <row r="10581" spans="1:4">
      <c r="A10581" t="str">
        <f t="shared" si="175"/>
        <v>802Profit-Loss Ratio</v>
      </c>
      <c r="B10581">
        <v>802</v>
      </c>
      <c r="C10581" s="9" t="s">
        <v>26</v>
      </c>
      <c r="D10581" s="8">
        <v>0.35</v>
      </c>
    </row>
    <row r="10582" spans="1:4">
      <c r="A10582" t="str">
        <f t="shared" si="175"/>
        <v>802Alpha</v>
      </c>
      <c r="B10582">
        <v>802</v>
      </c>
      <c r="C10582" s="9" t="s">
        <v>23</v>
      </c>
      <c r="D10582" s="8">
        <v>-1.4999999999999999E-2</v>
      </c>
    </row>
    <row r="10583" spans="1:4">
      <c r="A10583" t="str">
        <f t="shared" si="175"/>
        <v>802Beta</v>
      </c>
      <c r="B10583">
        <v>802</v>
      </c>
      <c r="C10583" s="9" t="s">
        <v>24</v>
      </c>
      <c r="D10583" s="8">
        <v>2.1999999999999999E-2</v>
      </c>
    </row>
    <row r="10584" spans="1:4">
      <c r="A10584" t="str">
        <f t="shared" si="175"/>
        <v>802Annual Standard Deviation</v>
      </c>
      <c r="B10584">
        <v>802</v>
      </c>
      <c r="C10584" s="9" t="s">
        <v>35</v>
      </c>
      <c r="D10584" s="8">
        <v>8.9999999999999993E-3</v>
      </c>
    </row>
    <row r="10585" spans="1:4">
      <c r="A10585" t="str">
        <f t="shared" si="175"/>
        <v>802Annual Variance</v>
      </c>
      <c r="B10585">
        <v>802</v>
      </c>
      <c r="C10585" s="9" t="s">
        <v>36</v>
      </c>
      <c r="D10585" s="8">
        <v>0</v>
      </c>
    </row>
    <row r="10586" spans="1:4">
      <c r="A10586" t="str">
        <f t="shared" si="175"/>
        <v>802Information Ratio</v>
      </c>
      <c r="B10586">
        <v>802</v>
      </c>
      <c r="C10586" s="9" t="s">
        <v>37</v>
      </c>
      <c r="D10586" s="8">
        <v>-0.98499999999999999</v>
      </c>
    </row>
    <row r="10587" spans="1:4">
      <c r="A10587" t="str">
        <f t="shared" si="175"/>
        <v>802Tracking Error</v>
      </c>
      <c r="B10587">
        <v>802</v>
      </c>
      <c r="C10587" s="9" t="s">
        <v>38</v>
      </c>
      <c r="D10587" s="8">
        <v>6.6000000000000003E-2</v>
      </c>
    </row>
    <row r="10588" spans="1:4">
      <c r="A10588" t="str">
        <f t="shared" si="175"/>
        <v>802Treynor Ratio</v>
      </c>
      <c r="B10588">
        <v>802</v>
      </c>
      <c r="C10588" s="9" t="s">
        <v>39</v>
      </c>
      <c r="D10588" s="8">
        <v>-0.60599999999999998</v>
      </c>
    </row>
    <row r="10589" spans="1:4">
      <c r="A10589" t="str">
        <f t="shared" si="175"/>
        <v>802Total Fees</v>
      </c>
      <c r="B10589">
        <v>802</v>
      </c>
      <c r="C10589" s="9" t="s">
        <v>40</v>
      </c>
      <c r="D10589" s="8">
        <v>0</v>
      </c>
    </row>
    <row r="10590" spans="1:4">
      <c r="A10590" t="str">
        <f t="shared" si="175"/>
        <v>802Estimated Strategy Capacity</v>
      </c>
      <c r="B10590">
        <v>802</v>
      </c>
      <c r="C10590" s="9" t="s">
        <v>41</v>
      </c>
      <c r="D10590" s="8">
        <v>190000000</v>
      </c>
    </row>
    <row r="10591" spans="1:4">
      <c r="A10591" t="str">
        <f t="shared" si="175"/>
        <v>803PSR</v>
      </c>
      <c r="B10591">
        <v>803</v>
      </c>
      <c r="C10591" s="9" t="s">
        <v>27</v>
      </c>
      <c r="D10591" s="8">
        <v>1.553E-2</v>
      </c>
    </row>
    <row r="10592" spans="1:4">
      <c r="A10592" t="str">
        <f t="shared" si="175"/>
        <v>803Sharpe Ratio</v>
      </c>
      <c r="B10592">
        <v>803</v>
      </c>
      <c r="C10592" s="9" t="s">
        <v>1</v>
      </c>
      <c r="D10592" s="8">
        <v>-1.089</v>
      </c>
    </row>
    <row r="10593" spans="1:4">
      <c r="A10593" t="str">
        <f t="shared" si="175"/>
        <v>803Total Trades</v>
      </c>
      <c r="B10593">
        <v>803</v>
      </c>
      <c r="C10593" s="9" t="s">
        <v>28</v>
      </c>
      <c r="D10593" s="8">
        <v>1024</v>
      </c>
    </row>
    <row r="10594" spans="1:4">
      <c r="A10594" t="str">
        <f t="shared" si="175"/>
        <v>803Average Win</v>
      </c>
      <c r="B10594">
        <v>803</v>
      </c>
      <c r="C10594" s="9" t="s">
        <v>25</v>
      </c>
      <c r="D10594" s="8">
        <v>1.1000000000000001E-3</v>
      </c>
    </row>
    <row r="10595" spans="1:4">
      <c r="A10595" t="str">
        <f t="shared" si="175"/>
        <v>803Average Loss</v>
      </c>
      <c r="B10595">
        <v>803</v>
      </c>
      <c r="C10595" s="9" t="s">
        <v>29</v>
      </c>
      <c r="D10595" s="8">
        <v>-2.5999999999999999E-3</v>
      </c>
    </row>
    <row r="10596" spans="1:4">
      <c r="A10596" t="str">
        <f t="shared" si="175"/>
        <v>803Compounding Annual Return</v>
      </c>
      <c r="B10596">
        <v>803</v>
      </c>
      <c r="C10596" s="9" t="s">
        <v>30</v>
      </c>
      <c r="D10596" s="8">
        <v>-5.6140000000000002E-2</v>
      </c>
    </row>
    <row r="10597" spans="1:4">
      <c r="A10597" t="str">
        <f t="shared" si="175"/>
        <v>803Drawdown</v>
      </c>
      <c r="B10597">
        <v>803</v>
      </c>
      <c r="C10597" s="9" t="s">
        <v>8</v>
      </c>
      <c r="D10597" s="8">
        <v>4.9000000000000002E-2</v>
      </c>
    </row>
    <row r="10598" spans="1:4">
      <c r="A10598" t="str">
        <f t="shared" si="175"/>
        <v>803Expectancy</v>
      </c>
      <c r="B10598">
        <v>803</v>
      </c>
      <c r="C10598" s="9" t="s">
        <v>31</v>
      </c>
      <c r="D10598" s="8">
        <v>-0.13800000000000001</v>
      </c>
    </row>
    <row r="10599" spans="1:4">
      <c r="A10599" t="str">
        <f t="shared" si="175"/>
        <v>803Net Profit</v>
      </c>
      <c r="B10599">
        <v>803</v>
      </c>
      <c r="C10599" s="9" t="s">
        <v>32</v>
      </c>
      <c r="D10599" s="8">
        <v>-3.773E-2</v>
      </c>
    </row>
    <row r="10600" spans="1:4">
      <c r="A10600" t="str">
        <f t="shared" si="175"/>
        <v>803Loss Rate</v>
      </c>
      <c r="B10600">
        <v>803</v>
      </c>
      <c r="C10600" s="9" t="s">
        <v>33</v>
      </c>
      <c r="D10600" s="8">
        <v>0.39</v>
      </c>
    </row>
    <row r="10601" spans="1:4">
      <c r="A10601" t="str">
        <f t="shared" si="175"/>
        <v>803Win Rate</v>
      </c>
      <c r="B10601">
        <v>803</v>
      </c>
      <c r="C10601" s="9" t="s">
        <v>34</v>
      </c>
      <c r="D10601" s="8">
        <v>0.61</v>
      </c>
    </row>
    <row r="10602" spans="1:4">
      <c r="A10602" t="str">
        <f t="shared" si="175"/>
        <v>803Profit-Loss Ratio</v>
      </c>
      <c r="B10602">
        <v>803</v>
      </c>
      <c r="C10602" s="9" t="s">
        <v>26</v>
      </c>
      <c r="D10602" s="8">
        <v>0.42</v>
      </c>
    </row>
    <row r="10603" spans="1:4">
      <c r="A10603" t="str">
        <f t="shared" si="175"/>
        <v>803Alpha</v>
      </c>
      <c r="B10603">
        <v>803</v>
      </c>
      <c r="C10603" s="9" t="s">
        <v>23</v>
      </c>
      <c r="D10603" s="8">
        <v>-4.4999999999999998E-2</v>
      </c>
    </row>
    <row r="10604" spans="1:4">
      <c r="A10604" t="str">
        <f t="shared" si="175"/>
        <v>803Beta</v>
      </c>
      <c r="B10604">
        <v>803</v>
      </c>
      <c r="C10604" s="9" t="s">
        <v>24</v>
      </c>
      <c r="D10604" s="8">
        <v>0.122</v>
      </c>
    </row>
    <row r="10605" spans="1:4">
      <c r="A10605" t="str">
        <f t="shared" si="175"/>
        <v>803Annual Standard Deviation</v>
      </c>
      <c r="B10605">
        <v>803</v>
      </c>
      <c r="C10605" s="9" t="s">
        <v>35</v>
      </c>
      <c r="D10605" s="8">
        <v>3.5000000000000003E-2</v>
      </c>
    </row>
    <row r="10606" spans="1:4">
      <c r="A10606" t="str">
        <f t="shared" si="175"/>
        <v>803Annual Variance</v>
      </c>
      <c r="B10606">
        <v>803</v>
      </c>
      <c r="C10606" s="9" t="s">
        <v>36</v>
      </c>
      <c r="D10606" s="8">
        <v>1E-3</v>
      </c>
    </row>
    <row r="10607" spans="1:4">
      <c r="A10607" t="str">
        <f t="shared" si="175"/>
        <v>803Information Ratio</v>
      </c>
      <c r="B10607">
        <v>803</v>
      </c>
      <c r="C10607" s="9" t="s">
        <v>37</v>
      </c>
      <c r="D10607" s="8">
        <v>-1.325</v>
      </c>
    </row>
    <row r="10608" spans="1:4">
      <c r="A10608" t="str">
        <f t="shared" si="175"/>
        <v>803Tracking Error</v>
      </c>
      <c r="B10608">
        <v>803</v>
      </c>
      <c r="C10608" s="9" t="s">
        <v>38</v>
      </c>
      <c r="D10608" s="8">
        <v>6.8000000000000005E-2</v>
      </c>
    </row>
    <row r="10609" spans="1:4">
      <c r="A10609" t="str">
        <f t="shared" si="175"/>
        <v>803Treynor Ratio</v>
      </c>
      <c r="B10609">
        <v>803</v>
      </c>
      <c r="C10609" s="9" t="s">
        <v>39</v>
      </c>
      <c r="D10609" s="8">
        <v>-0.316</v>
      </c>
    </row>
    <row r="10610" spans="1:4">
      <c r="A10610" t="str">
        <f t="shared" si="175"/>
        <v>803Total Fees</v>
      </c>
      <c r="B10610">
        <v>803</v>
      </c>
      <c r="C10610" s="9" t="s">
        <v>40</v>
      </c>
      <c r="D10610" s="8">
        <v>0</v>
      </c>
    </row>
    <row r="10611" spans="1:4">
      <c r="A10611" t="str">
        <f t="shared" si="175"/>
        <v>803Estimated Strategy Capacity</v>
      </c>
      <c r="B10611">
        <v>803</v>
      </c>
      <c r="C10611" s="9" t="s">
        <v>41</v>
      </c>
      <c r="D10611" s="8">
        <v>20000000</v>
      </c>
    </row>
    <row r="10612" spans="1:4">
      <c r="A10612" t="str">
        <f t="shared" si="175"/>
        <v>804PSR</v>
      </c>
      <c r="B10612">
        <v>804</v>
      </c>
      <c r="C10612" s="9" t="s">
        <v>27</v>
      </c>
      <c r="D10612" s="8">
        <v>4.5809999999999997E-2</v>
      </c>
    </row>
    <row r="10613" spans="1:4">
      <c r="A10613" t="str">
        <f t="shared" si="175"/>
        <v>804Sharpe Ratio</v>
      </c>
      <c r="B10613">
        <v>804</v>
      </c>
      <c r="C10613" s="9" t="s">
        <v>1</v>
      </c>
      <c r="D10613" s="8">
        <v>-0.69199999999999995</v>
      </c>
    </row>
    <row r="10614" spans="1:4">
      <c r="A10614" t="str">
        <f t="shared" si="175"/>
        <v>804Total Trades</v>
      </c>
      <c r="B10614">
        <v>804</v>
      </c>
      <c r="C10614" s="9" t="s">
        <v>28</v>
      </c>
      <c r="D10614" s="8">
        <v>808</v>
      </c>
    </row>
    <row r="10615" spans="1:4">
      <c r="A10615" t="str">
        <f t="shared" si="175"/>
        <v>804Average Win</v>
      </c>
      <c r="B10615">
        <v>804</v>
      </c>
      <c r="C10615" s="9" t="s">
        <v>25</v>
      </c>
      <c r="D10615" s="8">
        <v>1.8E-3</v>
      </c>
    </row>
    <row r="10616" spans="1:4">
      <c r="A10616" t="str">
        <f t="shared" si="175"/>
        <v>804Average Loss</v>
      </c>
      <c r="B10616">
        <v>804</v>
      </c>
      <c r="C10616" s="9" t="s">
        <v>29</v>
      </c>
      <c r="D10616" s="8">
        <v>-3.0999999999999999E-3</v>
      </c>
    </row>
    <row r="10617" spans="1:4">
      <c r="A10617" t="str">
        <f t="shared" si="175"/>
        <v>804Compounding Annual Return</v>
      </c>
      <c r="B10617">
        <v>804</v>
      </c>
      <c r="C10617" s="9" t="s">
        <v>30</v>
      </c>
      <c r="D10617" s="8">
        <v>-4.8829999999999998E-2</v>
      </c>
    </row>
    <row r="10618" spans="1:4">
      <c r="A10618" t="str">
        <f t="shared" si="175"/>
        <v>804Drawdown</v>
      </c>
      <c r="B10618">
        <v>804</v>
      </c>
      <c r="C10618" s="9" t="s">
        <v>8</v>
      </c>
      <c r="D10618" s="8">
        <v>6.0999999999999999E-2</v>
      </c>
    </row>
    <row r="10619" spans="1:4">
      <c r="A10619" t="str">
        <f t="shared" si="175"/>
        <v>804Expectancy</v>
      </c>
      <c r="B10619">
        <v>804</v>
      </c>
      <c r="C10619" s="9" t="s">
        <v>31</v>
      </c>
      <c r="D10619" s="8">
        <v>-0.106</v>
      </c>
    </row>
    <row r="10620" spans="1:4">
      <c r="A10620" t="str">
        <f t="shared" si="175"/>
        <v>804Net Profit</v>
      </c>
      <c r="B10620">
        <v>804</v>
      </c>
      <c r="C10620" s="9" t="s">
        <v>32</v>
      </c>
      <c r="D10620" s="8">
        <v>-3.2779999999999997E-2</v>
      </c>
    </row>
    <row r="10621" spans="1:4">
      <c r="A10621" t="str">
        <f t="shared" si="175"/>
        <v>804Loss Rate</v>
      </c>
      <c r="B10621">
        <v>804</v>
      </c>
      <c r="C10621" s="9" t="s">
        <v>33</v>
      </c>
      <c r="D10621" s="8">
        <v>0.44</v>
      </c>
    </row>
    <row r="10622" spans="1:4">
      <c r="A10622" t="str">
        <f t="shared" si="175"/>
        <v>804Win Rate</v>
      </c>
      <c r="B10622">
        <v>804</v>
      </c>
      <c r="C10622" s="9" t="s">
        <v>34</v>
      </c>
      <c r="D10622" s="8">
        <v>0.56000000000000005</v>
      </c>
    </row>
    <row r="10623" spans="1:4">
      <c r="A10623" t="str">
        <f t="shared" si="175"/>
        <v>804Profit-Loss Ratio</v>
      </c>
      <c r="B10623">
        <v>804</v>
      </c>
      <c r="C10623" s="9" t="s">
        <v>26</v>
      </c>
      <c r="D10623" s="8">
        <v>0.6</v>
      </c>
    </row>
    <row r="10624" spans="1:4">
      <c r="A10624" t="str">
        <f t="shared" si="175"/>
        <v>804Alpha</v>
      </c>
      <c r="B10624">
        <v>804</v>
      </c>
      <c r="C10624" s="9" t="s">
        <v>23</v>
      </c>
      <c r="D10624" s="8">
        <v>-4.1000000000000002E-2</v>
      </c>
    </row>
    <row r="10625" spans="1:4">
      <c r="A10625" t="str">
        <f t="shared" si="175"/>
        <v>804Beta</v>
      </c>
      <c r="B10625">
        <v>804</v>
      </c>
      <c r="C10625" s="9" t="s">
        <v>24</v>
      </c>
      <c r="D10625" s="8">
        <v>0.158</v>
      </c>
    </row>
    <row r="10626" spans="1:4">
      <c r="A10626" t="str">
        <f t="shared" si="175"/>
        <v>804Annual Standard Deviation</v>
      </c>
      <c r="B10626">
        <v>804</v>
      </c>
      <c r="C10626" s="9" t="s">
        <v>35</v>
      </c>
      <c r="D10626" s="8">
        <v>4.8000000000000001E-2</v>
      </c>
    </row>
    <row r="10627" spans="1:4">
      <c r="A10627" t="str">
        <f t="shared" si="175"/>
        <v>804Annual Variance</v>
      </c>
      <c r="B10627">
        <v>804</v>
      </c>
      <c r="C10627" s="9" t="s">
        <v>36</v>
      </c>
      <c r="D10627" s="8">
        <v>2E-3</v>
      </c>
    </row>
    <row r="10628" spans="1:4">
      <c r="A10628" t="str">
        <f t="shared" si="175"/>
        <v>804Information Ratio</v>
      </c>
      <c r="B10628">
        <v>804</v>
      </c>
      <c r="C10628" s="9" t="s">
        <v>37</v>
      </c>
      <c r="D10628" s="8">
        <v>-1.1599999999999999</v>
      </c>
    </row>
    <row r="10629" spans="1:4">
      <c r="A10629" t="str">
        <f t="shared" si="175"/>
        <v>804Tracking Error</v>
      </c>
      <c r="B10629">
        <v>804</v>
      </c>
      <c r="C10629" s="9" t="s">
        <v>38</v>
      </c>
      <c r="D10629" s="8">
        <v>7.2999999999999995E-2</v>
      </c>
    </row>
    <row r="10630" spans="1:4">
      <c r="A10630" t="str">
        <f t="shared" si="175"/>
        <v>804Treynor Ratio</v>
      </c>
      <c r="B10630">
        <v>804</v>
      </c>
      <c r="C10630" s="9" t="s">
        <v>39</v>
      </c>
      <c r="D10630" s="8">
        <v>-0.20799999999999999</v>
      </c>
    </row>
    <row r="10631" spans="1:4">
      <c r="A10631" t="str">
        <f t="shared" si="175"/>
        <v>804Total Fees</v>
      </c>
      <c r="B10631">
        <v>804</v>
      </c>
      <c r="C10631" s="9" t="s">
        <v>40</v>
      </c>
      <c r="D10631" s="8">
        <v>0</v>
      </c>
    </row>
    <row r="10632" spans="1:4">
      <c r="A10632" t="str">
        <f t="shared" si="175"/>
        <v>804Estimated Strategy Capacity</v>
      </c>
      <c r="B10632">
        <v>804</v>
      </c>
      <c r="C10632" s="9" t="s">
        <v>41</v>
      </c>
      <c r="D10632" s="8">
        <v>6000000</v>
      </c>
    </row>
    <row r="10633" spans="1:4">
      <c r="A10633" t="str">
        <f t="shared" si="175"/>
        <v>805PSR</v>
      </c>
      <c r="B10633">
        <v>805</v>
      </c>
      <c r="C10633" s="9" t="s">
        <v>27</v>
      </c>
      <c r="D10633" s="8">
        <v>5.0160000000000003E-2</v>
      </c>
    </row>
    <row r="10634" spans="1:4">
      <c r="A10634" t="str">
        <f t="shared" si="175"/>
        <v>805Sharpe Ratio</v>
      </c>
      <c r="B10634">
        <v>805</v>
      </c>
      <c r="C10634" s="9" t="s">
        <v>1</v>
      </c>
      <c r="D10634" s="8">
        <v>-0.64400000000000002</v>
      </c>
    </row>
    <row r="10635" spans="1:4">
      <c r="A10635" t="str">
        <f t="shared" si="175"/>
        <v>805Total Trades</v>
      </c>
      <c r="B10635">
        <v>805</v>
      </c>
      <c r="C10635" s="9" t="s">
        <v>28</v>
      </c>
      <c r="D10635" s="8">
        <v>822</v>
      </c>
    </row>
    <row r="10636" spans="1:4">
      <c r="A10636" t="str">
        <f t="shared" si="175"/>
        <v>805Average Win</v>
      </c>
      <c r="B10636">
        <v>805</v>
      </c>
      <c r="C10636" s="9" t="s">
        <v>25</v>
      </c>
      <c r="D10636" s="8">
        <v>4.0000000000000002E-4</v>
      </c>
    </row>
    <row r="10637" spans="1:4">
      <c r="A10637" t="str">
        <f t="shared" si="175"/>
        <v>805Average Loss</v>
      </c>
      <c r="B10637">
        <v>805</v>
      </c>
      <c r="C10637" s="9" t="s">
        <v>29</v>
      </c>
      <c r="D10637" s="8">
        <v>-5.9999999999999995E-4</v>
      </c>
    </row>
    <row r="10638" spans="1:4">
      <c r="A10638" t="str">
        <f t="shared" si="175"/>
        <v>805Compounding Annual Return</v>
      </c>
      <c r="B10638">
        <v>805</v>
      </c>
      <c r="C10638" s="9" t="s">
        <v>30</v>
      </c>
      <c r="D10638" s="8">
        <v>-8.7799999999999996E-3</v>
      </c>
    </row>
    <row r="10639" spans="1:4">
      <c r="A10639" t="str">
        <f t="shared" si="175"/>
        <v>805Drawdown</v>
      </c>
      <c r="B10639">
        <v>805</v>
      </c>
      <c r="C10639" s="9" t="s">
        <v>8</v>
      </c>
      <c r="D10639" s="8">
        <v>8.9999999999999993E-3</v>
      </c>
    </row>
    <row r="10640" spans="1:4">
      <c r="A10640" t="str">
        <f t="shared" si="175"/>
        <v>805Expectancy</v>
      </c>
      <c r="B10640">
        <v>805</v>
      </c>
      <c r="C10640" s="9" t="s">
        <v>31</v>
      </c>
      <c r="D10640" s="8">
        <v>-0.121</v>
      </c>
    </row>
    <row r="10641" spans="1:4">
      <c r="A10641" t="str">
        <f t="shared" si="175"/>
        <v>805Net Profit</v>
      </c>
      <c r="B10641">
        <v>805</v>
      </c>
      <c r="C10641" s="9" t="s">
        <v>32</v>
      </c>
      <c r="D10641" s="8">
        <v>-5.8500000000000002E-3</v>
      </c>
    </row>
    <row r="10642" spans="1:4">
      <c r="A10642" t="str">
        <f t="shared" ref="A10642:A10705" si="176">B10642&amp;C10642</f>
        <v>805Loss Rate</v>
      </c>
      <c r="B10642">
        <v>805</v>
      </c>
      <c r="C10642" s="9" t="s">
        <v>33</v>
      </c>
      <c r="D10642" s="8">
        <v>0.43</v>
      </c>
    </row>
    <row r="10643" spans="1:4">
      <c r="A10643" t="str">
        <f t="shared" si="176"/>
        <v>805Win Rate</v>
      </c>
      <c r="B10643">
        <v>805</v>
      </c>
      <c r="C10643" s="9" t="s">
        <v>34</v>
      </c>
      <c r="D10643" s="8">
        <v>0.56999999999999995</v>
      </c>
    </row>
    <row r="10644" spans="1:4">
      <c r="A10644" t="str">
        <f t="shared" si="176"/>
        <v>805Profit-Loss Ratio</v>
      </c>
      <c r="B10644">
        <v>805</v>
      </c>
      <c r="C10644" s="9" t="s">
        <v>26</v>
      </c>
      <c r="D10644" s="8">
        <v>0.55000000000000004</v>
      </c>
    </row>
    <row r="10645" spans="1:4">
      <c r="A10645" t="str">
        <f t="shared" si="176"/>
        <v>805Alpha</v>
      </c>
      <c r="B10645">
        <v>805</v>
      </c>
      <c r="C10645" s="9" t="s">
        <v>23</v>
      </c>
      <c r="D10645" s="8">
        <v>-6.0000000000000001E-3</v>
      </c>
    </row>
    <row r="10646" spans="1:4">
      <c r="A10646" t="str">
        <f t="shared" si="176"/>
        <v>805Beta</v>
      </c>
      <c r="B10646">
        <v>805</v>
      </c>
      <c r="C10646" s="9" t="s">
        <v>24</v>
      </c>
      <c r="D10646" s="8">
        <v>8.9999999999999993E-3</v>
      </c>
    </row>
    <row r="10647" spans="1:4">
      <c r="A10647" t="str">
        <f t="shared" si="176"/>
        <v>805Annual Standard Deviation</v>
      </c>
      <c r="B10647">
        <v>805</v>
      </c>
      <c r="C10647" s="9" t="s">
        <v>35</v>
      </c>
      <c r="D10647" s="8">
        <v>8.9999999999999993E-3</v>
      </c>
    </row>
    <row r="10648" spans="1:4">
      <c r="A10648" t="str">
        <f t="shared" si="176"/>
        <v>805Annual Variance</v>
      </c>
      <c r="B10648">
        <v>805</v>
      </c>
      <c r="C10648" s="9" t="s">
        <v>36</v>
      </c>
      <c r="D10648" s="8">
        <v>0</v>
      </c>
    </row>
    <row r="10649" spans="1:4">
      <c r="A10649" t="str">
        <f t="shared" si="176"/>
        <v>805Information Ratio</v>
      </c>
      <c r="B10649">
        <v>805</v>
      </c>
      <c r="C10649" s="9" t="s">
        <v>37</v>
      </c>
      <c r="D10649" s="8">
        <v>-0.82099999999999995</v>
      </c>
    </row>
    <row r="10650" spans="1:4">
      <c r="A10650" t="str">
        <f t="shared" si="176"/>
        <v>805Tracking Error</v>
      </c>
      <c r="B10650">
        <v>805</v>
      </c>
      <c r="C10650" s="9" t="s">
        <v>38</v>
      </c>
      <c r="D10650" s="8">
        <v>6.7000000000000004E-2</v>
      </c>
    </row>
    <row r="10651" spans="1:4">
      <c r="A10651" t="str">
        <f t="shared" si="176"/>
        <v>805Treynor Ratio</v>
      </c>
      <c r="B10651">
        <v>805</v>
      </c>
      <c r="C10651" s="9" t="s">
        <v>39</v>
      </c>
      <c r="D10651" s="8">
        <v>-0.70499999999999996</v>
      </c>
    </row>
    <row r="10652" spans="1:4">
      <c r="A10652" t="str">
        <f t="shared" si="176"/>
        <v>805Total Fees</v>
      </c>
      <c r="B10652">
        <v>805</v>
      </c>
      <c r="C10652" s="9" t="s">
        <v>40</v>
      </c>
      <c r="D10652" s="8">
        <v>0</v>
      </c>
    </row>
    <row r="10653" spans="1:4">
      <c r="A10653" t="str">
        <f t="shared" si="176"/>
        <v>805Estimated Strategy Capacity</v>
      </c>
      <c r="B10653">
        <v>805</v>
      </c>
      <c r="C10653" s="9" t="s">
        <v>41</v>
      </c>
      <c r="D10653" s="8">
        <v>170000000</v>
      </c>
    </row>
    <row r="10654" spans="1:4">
      <c r="A10654" t="str">
        <f t="shared" si="176"/>
        <v>806PSR</v>
      </c>
      <c r="B10654">
        <v>806</v>
      </c>
      <c r="C10654" s="9" t="s">
        <v>27</v>
      </c>
      <c r="D10654" s="8">
        <v>0.22696</v>
      </c>
    </row>
    <row r="10655" spans="1:4">
      <c r="A10655" t="str">
        <f t="shared" si="176"/>
        <v>806Sharpe Ratio</v>
      </c>
      <c r="B10655">
        <v>806</v>
      </c>
      <c r="C10655" s="9" t="s">
        <v>1</v>
      </c>
      <c r="D10655" s="8">
        <v>0.23599999999999999</v>
      </c>
    </row>
    <row r="10656" spans="1:4">
      <c r="A10656" t="str">
        <f t="shared" si="176"/>
        <v>806Total Trades</v>
      </c>
      <c r="B10656">
        <v>806</v>
      </c>
      <c r="C10656" s="9" t="s">
        <v>28</v>
      </c>
      <c r="D10656" s="8">
        <v>703</v>
      </c>
    </row>
    <row r="10657" spans="1:4">
      <c r="A10657" t="str">
        <f t="shared" si="176"/>
        <v>806Average Win</v>
      </c>
      <c r="B10657">
        <v>806</v>
      </c>
      <c r="C10657" s="9" t="s">
        <v>25</v>
      </c>
      <c r="D10657" s="8">
        <v>1.5E-3</v>
      </c>
    </row>
    <row r="10658" spans="1:4">
      <c r="A10658" t="str">
        <f t="shared" si="176"/>
        <v>806Average Loss</v>
      </c>
      <c r="B10658">
        <v>806</v>
      </c>
      <c r="C10658" s="9" t="s">
        <v>29</v>
      </c>
      <c r="D10658" s="8">
        <v>-2.0999999999999999E-3</v>
      </c>
    </row>
    <row r="10659" spans="1:4">
      <c r="A10659" t="str">
        <f t="shared" si="176"/>
        <v>806Compounding Annual Return</v>
      </c>
      <c r="B10659">
        <v>806</v>
      </c>
      <c r="C10659" s="9" t="s">
        <v>30</v>
      </c>
      <c r="D10659" s="8">
        <v>1.0489999999999999E-2</v>
      </c>
    </row>
    <row r="10660" spans="1:4">
      <c r="A10660" t="str">
        <f t="shared" si="176"/>
        <v>806Drawdown</v>
      </c>
      <c r="B10660">
        <v>806</v>
      </c>
      <c r="C10660" s="9" t="s">
        <v>8</v>
      </c>
      <c r="D10660" s="8">
        <v>2.1999999999999999E-2</v>
      </c>
    </row>
    <row r="10661" spans="1:4">
      <c r="A10661" t="str">
        <f t="shared" si="176"/>
        <v>806Expectancy</v>
      </c>
      <c r="B10661">
        <v>806</v>
      </c>
      <c r="C10661" s="9" t="s">
        <v>31</v>
      </c>
      <c r="D10661" s="8">
        <v>4.8000000000000001E-2</v>
      </c>
    </row>
    <row r="10662" spans="1:4">
      <c r="A10662" t="str">
        <f t="shared" si="176"/>
        <v>806Net Profit</v>
      </c>
      <c r="B10662">
        <v>806</v>
      </c>
      <c r="C10662" s="9" t="s">
        <v>32</v>
      </c>
      <c r="D10662" s="8">
        <v>6.9699999999999996E-3</v>
      </c>
    </row>
    <row r="10663" spans="1:4">
      <c r="A10663" t="str">
        <f t="shared" si="176"/>
        <v>806Loss Rate</v>
      </c>
      <c r="B10663">
        <v>806</v>
      </c>
      <c r="C10663" s="9" t="s">
        <v>33</v>
      </c>
      <c r="D10663" s="8">
        <v>0.39</v>
      </c>
    </row>
    <row r="10664" spans="1:4">
      <c r="A10664" t="str">
        <f t="shared" si="176"/>
        <v>806Win Rate</v>
      </c>
      <c r="B10664">
        <v>806</v>
      </c>
      <c r="C10664" s="9" t="s">
        <v>34</v>
      </c>
      <c r="D10664" s="8">
        <v>0.61</v>
      </c>
    </row>
    <row r="10665" spans="1:4">
      <c r="A10665" t="str">
        <f t="shared" si="176"/>
        <v>806Profit-Loss Ratio</v>
      </c>
      <c r="B10665">
        <v>806</v>
      </c>
      <c r="C10665" s="9" t="s">
        <v>26</v>
      </c>
      <c r="D10665" s="8">
        <v>0.72</v>
      </c>
    </row>
    <row r="10666" spans="1:4">
      <c r="A10666" t="str">
        <f t="shared" si="176"/>
        <v>806Alpha</v>
      </c>
      <c r="B10666">
        <v>806</v>
      </c>
      <c r="C10666" s="9" t="s">
        <v>23</v>
      </c>
      <c r="D10666" s="8">
        <v>4.0000000000000001E-3</v>
      </c>
    </row>
    <row r="10667" spans="1:4">
      <c r="A10667" t="str">
        <f t="shared" si="176"/>
        <v>806Beta</v>
      </c>
      <c r="B10667">
        <v>806</v>
      </c>
      <c r="C10667" s="9" t="s">
        <v>24</v>
      </c>
      <c r="D10667" s="8">
        <v>8.5000000000000006E-2</v>
      </c>
    </row>
    <row r="10668" spans="1:4">
      <c r="A10668" t="str">
        <f t="shared" si="176"/>
        <v>806Annual Standard Deviation</v>
      </c>
      <c r="B10668">
        <v>806</v>
      </c>
      <c r="C10668" s="9" t="s">
        <v>35</v>
      </c>
      <c r="D10668" s="8">
        <v>3.3000000000000002E-2</v>
      </c>
    </row>
    <row r="10669" spans="1:4">
      <c r="A10669" t="str">
        <f t="shared" si="176"/>
        <v>806Annual Variance</v>
      </c>
      <c r="B10669">
        <v>806</v>
      </c>
      <c r="C10669" s="9" t="s">
        <v>36</v>
      </c>
      <c r="D10669" s="8">
        <v>1E-3</v>
      </c>
    </row>
    <row r="10670" spans="1:4">
      <c r="A10670" t="str">
        <f t="shared" si="176"/>
        <v>806Information Ratio</v>
      </c>
      <c r="B10670">
        <v>806</v>
      </c>
      <c r="C10670" s="9" t="s">
        <v>37</v>
      </c>
      <c r="D10670" s="8">
        <v>-0.59499999999999997</v>
      </c>
    </row>
    <row r="10671" spans="1:4">
      <c r="A10671" t="str">
        <f t="shared" si="176"/>
        <v>806Tracking Error</v>
      </c>
      <c r="B10671">
        <v>806</v>
      </c>
      <c r="C10671" s="9" t="s">
        <v>38</v>
      </c>
      <c r="D10671" s="8">
        <v>7.0000000000000007E-2</v>
      </c>
    </row>
    <row r="10672" spans="1:4">
      <c r="A10672" t="str">
        <f t="shared" si="176"/>
        <v>806Treynor Ratio</v>
      </c>
      <c r="B10672">
        <v>806</v>
      </c>
      <c r="C10672" s="9" t="s">
        <v>39</v>
      </c>
      <c r="D10672" s="8">
        <v>9.1999999999999998E-2</v>
      </c>
    </row>
    <row r="10673" spans="1:4">
      <c r="A10673" t="str">
        <f t="shared" si="176"/>
        <v>806Total Fees</v>
      </c>
      <c r="B10673">
        <v>806</v>
      </c>
      <c r="C10673" s="9" t="s">
        <v>40</v>
      </c>
      <c r="D10673" s="8">
        <v>0</v>
      </c>
    </row>
    <row r="10674" spans="1:4">
      <c r="A10674" t="str">
        <f t="shared" si="176"/>
        <v>806Estimated Strategy Capacity</v>
      </c>
      <c r="B10674">
        <v>806</v>
      </c>
      <c r="C10674" s="9" t="s">
        <v>41</v>
      </c>
      <c r="D10674" s="8">
        <v>19000000</v>
      </c>
    </row>
    <row r="10675" spans="1:4">
      <c r="A10675" t="str">
        <f t="shared" si="176"/>
        <v>807PSR</v>
      </c>
      <c r="B10675">
        <v>807</v>
      </c>
      <c r="C10675" s="9" t="s">
        <v>27</v>
      </c>
      <c r="D10675" s="8">
        <v>0.14913000000000001</v>
      </c>
    </row>
    <row r="10676" spans="1:4">
      <c r="A10676" t="str">
        <f t="shared" si="176"/>
        <v>807Sharpe Ratio</v>
      </c>
      <c r="B10676">
        <v>807</v>
      </c>
      <c r="C10676" s="9" t="s">
        <v>1</v>
      </c>
      <c r="D10676" s="8">
        <v>-6.4000000000000001E-2</v>
      </c>
    </row>
    <row r="10677" spans="1:4">
      <c r="A10677" t="str">
        <f t="shared" si="176"/>
        <v>807Total Trades</v>
      </c>
      <c r="B10677">
        <v>807</v>
      </c>
      <c r="C10677" s="9" t="s">
        <v>28</v>
      </c>
      <c r="D10677" s="8">
        <v>566</v>
      </c>
    </row>
    <row r="10678" spans="1:4">
      <c r="A10678" t="str">
        <f t="shared" si="176"/>
        <v>807Average Win</v>
      </c>
      <c r="B10678">
        <v>807</v>
      </c>
      <c r="C10678" s="9" t="s">
        <v>25</v>
      </c>
      <c r="D10678" s="8">
        <v>2.0999999999999999E-3</v>
      </c>
    </row>
    <row r="10679" spans="1:4">
      <c r="A10679" t="str">
        <f t="shared" si="176"/>
        <v>807Average Loss</v>
      </c>
      <c r="B10679">
        <v>807</v>
      </c>
      <c r="C10679" s="9" t="s">
        <v>29</v>
      </c>
      <c r="D10679" s="8">
        <v>-3.5999999999999999E-3</v>
      </c>
    </row>
    <row r="10680" spans="1:4">
      <c r="A10680" t="str">
        <f t="shared" si="176"/>
        <v>807Compounding Annual Return</v>
      </c>
      <c r="B10680">
        <v>807</v>
      </c>
      <c r="C10680" s="9" t="s">
        <v>30</v>
      </c>
      <c r="D10680" s="8">
        <v>-4.3699999999999998E-3</v>
      </c>
    </row>
    <row r="10681" spans="1:4">
      <c r="A10681" t="str">
        <f t="shared" si="176"/>
        <v>807Drawdown</v>
      </c>
      <c r="B10681">
        <v>807</v>
      </c>
      <c r="C10681" s="9" t="s">
        <v>8</v>
      </c>
      <c r="D10681" s="8">
        <v>4.2000000000000003E-2</v>
      </c>
    </row>
    <row r="10682" spans="1:4">
      <c r="A10682" t="str">
        <f t="shared" si="176"/>
        <v>807Expectancy</v>
      </c>
      <c r="B10682">
        <v>807</v>
      </c>
      <c r="C10682" s="9" t="s">
        <v>31</v>
      </c>
      <c r="D10682" s="8">
        <v>-8.0000000000000002E-3</v>
      </c>
    </row>
    <row r="10683" spans="1:4">
      <c r="A10683" t="str">
        <f t="shared" si="176"/>
        <v>807Net Profit</v>
      </c>
      <c r="B10683">
        <v>807</v>
      </c>
      <c r="C10683" s="9" t="s">
        <v>32</v>
      </c>
      <c r="D10683" s="8">
        <v>-2.9099999999999998E-3</v>
      </c>
    </row>
    <row r="10684" spans="1:4">
      <c r="A10684" t="str">
        <f t="shared" si="176"/>
        <v>807Loss Rate</v>
      </c>
      <c r="B10684">
        <v>807</v>
      </c>
      <c r="C10684" s="9" t="s">
        <v>33</v>
      </c>
      <c r="D10684" s="8">
        <v>0.37</v>
      </c>
    </row>
    <row r="10685" spans="1:4">
      <c r="A10685" t="str">
        <f t="shared" si="176"/>
        <v>807Win Rate</v>
      </c>
      <c r="B10685">
        <v>807</v>
      </c>
      <c r="C10685" s="9" t="s">
        <v>34</v>
      </c>
      <c r="D10685" s="8">
        <v>0.63</v>
      </c>
    </row>
    <row r="10686" spans="1:4">
      <c r="A10686" t="str">
        <f t="shared" si="176"/>
        <v>807Profit-Loss Ratio</v>
      </c>
      <c r="B10686">
        <v>807</v>
      </c>
      <c r="C10686" s="9" t="s">
        <v>26</v>
      </c>
      <c r="D10686" s="8">
        <v>0.56999999999999995</v>
      </c>
    </row>
    <row r="10687" spans="1:4">
      <c r="A10687" t="str">
        <f t="shared" si="176"/>
        <v>807Alpha</v>
      </c>
      <c r="B10687">
        <v>807</v>
      </c>
      <c r="C10687" s="9" t="s">
        <v>23</v>
      </c>
      <c r="D10687" s="8">
        <v>-8.0000000000000002E-3</v>
      </c>
    </row>
    <row r="10688" spans="1:4">
      <c r="A10688" t="str">
        <f t="shared" si="176"/>
        <v>807Beta</v>
      </c>
      <c r="B10688">
        <v>807</v>
      </c>
      <c r="C10688" s="9" t="s">
        <v>24</v>
      </c>
      <c r="D10688" s="8">
        <v>0.11600000000000001</v>
      </c>
    </row>
    <row r="10689" spans="1:4">
      <c r="A10689" t="str">
        <f t="shared" si="176"/>
        <v>807Annual Standard Deviation</v>
      </c>
      <c r="B10689">
        <v>807</v>
      </c>
      <c r="C10689" s="9" t="s">
        <v>35</v>
      </c>
      <c r="D10689" s="8">
        <v>3.6999999999999998E-2</v>
      </c>
    </row>
    <row r="10690" spans="1:4">
      <c r="A10690" t="str">
        <f t="shared" si="176"/>
        <v>807Annual Variance</v>
      </c>
      <c r="B10690">
        <v>807</v>
      </c>
      <c r="C10690" s="9" t="s">
        <v>36</v>
      </c>
      <c r="D10690" s="8">
        <v>1E-3</v>
      </c>
    </row>
    <row r="10691" spans="1:4">
      <c r="A10691" t="str">
        <f t="shared" si="176"/>
        <v>807Information Ratio</v>
      </c>
      <c r="B10691">
        <v>807</v>
      </c>
      <c r="C10691" s="9" t="s">
        <v>37</v>
      </c>
      <c r="D10691" s="8">
        <v>-0.78100000000000003</v>
      </c>
    </row>
    <row r="10692" spans="1:4">
      <c r="A10692" t="str">
        <f t="shared" si="176"/>
        <v>807Tracking Error</v>
      </c>
      <c r="B10692">
        <v>807</v>
      </c>
      <c r="C10692" s="9" t="s">
        <v>38</v>
      </c>
      <c r="D10692" s="8">
        <v>6.9000000000000006E-2</v>
      </c>
    </row>
    <row r="10693" spans="1:4">
      <c r="A10693" t="str">
        <f t="shared" si="176"/>
        <v>807Treynor Ratio</v>
      </c>
      <c r="B10693">
        <v>807</v>
      </c>
      <c r="C10693" s="9" t="s">
        <v>39</v>
      </c>
      <c r="D10693" s="8">
        <v>-0.02</v>
      </c>
    </row>
    <row r="10694" spans="1:4">
      <c r="A10694" t="str">
        <f t="shared" si="176"/>
        <v>807Total Fees</v>
      </c>
      <c r="B10694">
        <v>807</v>
      </c>
      <c r="C10694" s="9" t="s">
        <v>40</v>
      </c>
      <c r="D10694" s="8">
        <v>0</v>
      </c>
    </row>
    <row r="10695" spans="1:4">
      <c r="A10695" t="str">
        <f t="shared" si="176"/>
        <v>807Estimated Strategy Capacity</v>
      </c>
      <c r="B10695">
        <v>807</v>
      </c>
      <c r="C10695" s="9" t="s">
        <v>41</v>
      </c>
      <c r="D10695" s="8">
        <v>6100000</v>
      </c>
    </row>
    <row r="10696" spans="1:4">
      <c r="A10696" t="str">
        <f t="shared" si="176"/>
        <v>808PSR</v>
      </c>
      <c r="B10696">
        <v>808</v>
      </c>
      <c r="C10696" s="9" t="s">
        <v>27</v>
      </c>
      <c r="D10696" s="8">
        <v>1.239E-2</v>
      </c>
    </row>
    <row r="10697" spans="1:4">
      <c r="A10697" t="str">
        <f t="shared" si="176"/>
        <v>808Sharpe Ratio</v>
      </c>
      <c r="B10697">
        <v>808</v>
      </c>
      <c r="C10697" s="9" t="s">
        <v>1</v>
      </c>
      <c r="D10697" s="8">
        <v>-1.054</v>
      </c>
    </row>
    <row r="10698" spans="1:4">
      <c r="A10698" t="str">
        <f t="shared" si="176"/>
        <v>808Total Trades</v>
      </c>
      <c r="B10698">
        <v>808</v>
      </c>
      <c r="C10698" s="9" t="s">
        <v>28</v>
      </c>
      <c r="D10698" s="8">
        <v>622</v>
      </c>
    </row>
    <row r="10699" spans="1:4">
      <c r="A10699" t="str">
        <f t="shared" si="176"/>
        <v>808Average Win</v>
      </c>
      <c r="B10699">
        <v>808</v>
      </c>
      <c r="C10699" s="9" t="s">
        <v>25</v>
      </c>
      <c r="D10699" s="8">
        <v>2.0000000000000001E-4</v>
      </c>
    </row>
    <row r="10700" spans="1:4">
      <c r="A10700" t="str">
        <f t="shared" si="176"/>
        <v>808Average Loss</v>
      </c>
      <c r="B10700">
        <v>808</v>
      </c>
      <c r="C10700" s="9" t="s">
        <v>29</v>
      </c>
      <c r="D10700" s="8">
        <v>-5.9999999999999995E-4</v>
      </c>
    </row>
    <row r="10701" spans="1:4">
      <c r="A10701" t="str">
        <f t="shared" si="176"/>
        <v>808Compounding Annual Return</v>
      </c>
      <c r="B10701">
        <v>808</v>
      </c>
      <c r="C10701" s="9" t="s">
        <v>30</v>
      </c>
      <c r="D10701" s="8">
        <v>-1.542E-2</v>
      </c>
    </row>
    <row r="10702" spans="1:4">
      <c r="A10702" t="str">
        <f t="shared" si="176"/>
        <v>808Drawdown</v>
      </c>
      <c r="B10702">
        <v>808</v>
      </c>
      <c r="C10702" s="9" t="s">
        <v>8</v>
      </c>
      <c r="D10702" s="8">
        <v>1.4E-2</v>
      </c>
    </row>
    <row r="10703" spans="1:4">
      <c r="A10703" t="str">
        <f t="shared" si="176"/>
        <v>808Expectancy</v>
      </c>
      <c r="B10703">
        <v>808</v>
      </c>
      <c r="C10703" s="9" t="s">
        <v>31</v>
      </c>
      <c r="D10703" s="8">
        <v>-0.28699999999999998</v>
      </c>
    </row>
    <row r="10704" spans="1:4">
      <c r="A10704" t="str">
        <f t="shared" si="176"/>
        <v>808Net Profit</v>
      </c>
      <c r="B10704">
        <v>808</v>
      </c>
      <c r="C10704" s="9" t="s">
        <v>32</v>
      </c>
      <c r="D10704" s="8">
        <v>-1.0290000000000001E-2</v>
      </c>
    </row>
    <row r="10705" spans="1:4">
      <c r="A10705" t="str">
        <f t="shared" si="176"/>
        <v>808Loss Rate</v>
      </c>
      <c r="B10705">
        <v>808</v>
      </c>
      <c r="C10705" s="9" t="s">
        <v>33</v>
      </c>
      <c r="D10705" s="8">
        <v>0.43</v>
      </c>
    </row>
    <row r="10706" spans="1:4">
      <c r="A10706" t="str">
        <f t="shared" ref="A10706:A10769" si="177">B10706&amp;C10706</f>
        <v>808Win Rate</v>
      </c>
      <c r="B10706">
        <v>808</v>
      </c>
      <c r="C10706" s="9" t="s">
        <v>34</v>
      </c>
      <c r="D10706" s="8">
        <v>0.56999999999999995</v>
      </c>
    </row>
    <row r="10707" spans="1:4">
      <c r="A10707" t="str">
        <f t="shared" si="177"/>
        <v>808Profit-Loss Ratio</v>
      </c>
      <c r="B10707">
        <v>808</v>
      </c>
      <c r="C10707" s="9" t="s">
        <v>26</v>
      </c>
      <c r="D10707" s="8">
        <v>0.26</v>
      </c>
    </row>
    <row r="10708" spans="1:4">
      <c r="A10708" t="str">
        <f t="shared" si="177"/>
        <v>808Alpha</v>
      </c>
      <c r="B10708">
        <v>808</v>
      </c>
      <c r="C10708" s="9" t="s">
        <v>23</v>
      </c>
      <c r="D10708" s="8">
        <v>-1.2E-2</v>
      </c>
    </row>
    <row r="10709" spans="1:4">
      <c r="A10709" t="str">
        <f t="shared" si="177"/>
        <v>808Beta</v>
      </c>
      <c r="B10709">
        <v>808</v>
      </c>
      <c r="C10709" s="9" t="s">
        <v>24</v>
      </c>
      <c r="D10709" s="8">
        <v>0.03</v>
      </c>
    </row>
    <row r="10710" spans="1:4">
      <c r="A10710" t="str">
        <f t="shared" si="177"/>
        <v>808Annual Standard Deviation</v>
      </c>
      <c r="B10710">
        <v>808</v>
      </c>
      <c r="C10710" s="9" t="s">
        <v>35</v>
      </c>
      <c r="D10710" s="8">
        <v>0.01</v>
      </c>
    </row>
    <row r="10711" spans="1:4">
      <c r="A10711" t="str">
        <f t="shared" si="177"/>
        <v>808Annual Variance</v>
      </c>
      <c r="B10711">
        <v>808</v>
      </c>
      <c r="C10711" s="9" t="s">
        <v>36</v>
      </c>
      <c r="D10711" s="8">
        <v>0</v>
      </c>
    </row>
    <row r="10712" spans="1:4">
      <c r="A10712" t="str">
        <f t="shared" si="177"/>
        <v>808Information Ratio</v>
      </c>
      <c r="B10712">
        <v>808</v>
      </c>
      <c r="C10712" s="9" t="s">
        <v>37</v>
      </c>
      <c r="D10712" s="8">
        <v>-0.94799999999999995</v>
      </c>
    </row>
    <row r="10713" spans="1:4">
      <c r="A10713" t="str">
        <f t="shared" si="177"/>
        <v>808Tracking Error</v>
      </c>
      <c r="B10713">
        <v>808</v>
      </c>
      <c r="C10713" s="9" t="s">
        <v>38</v>
      </c>
      <c r="D10713" s="8">
        <v>6.6000000000000003E-2</v>
      </c>
    </row>
    <row r="10714" spans="1:4">
      <c r="A10714" t="str">
        <f t="shared" si="177"/>
        <v>808Treynor Ratio</v>
      </c>
      <c r="B10714">
        <v>808</v>
      </c>
      <c r="C10714" s="9" t="s">
        <v>39</v>
      </c>
      <c r="D10714" s="8">
        <v>-0.35799999999999998</v>
      </c>
    </row>
    <row r="10715" spans="1:4">
      <c r="A10715" t="str">
        <f t="shared" si="177"/>
        <v>808Total Fees</v>
      </c>
      <c r="B10715">
        <v>808</v>
      </c>
      <c r="C10715" s="9" t="s">
        <v>40</v>
      </c>
      <c r="D10715" s="8">
        <v>0</v>
      </c>
    </row>
    <row r="10716" spans="1:4">
      <c r="A10716" t="str">
        <f t="shared" si="177"/>
        <v>808Estimated Strategy Capacity</v>
      </c>
      <c r="B10716">
        <v>808</v>
      </c>
      <c r="C10716" s="9" t="s">
        <v>41</v>
      </c>
      <c r="D10716" s="8">
        <v>47000000</v>
      </c>
    </row>
    <row r="10717" spans="1:4">
      <c r="A10717" t="str">
        <f t="shared" si="177"/>
        <v>809PSR</v>
      </c>
      <c r="B10717">
        <v>809</v>
      </c>
      <c r="C10717" s="9" t="s">
        <v>27</v>
      </c>
      <c r="D10717" s="8">
        <v>3.9530000000000003E-2</v>
      </c>
    </row>
    <row r="10718" spans="1:4">
      <c r="A10718" t="str">
        <f t="shared" si="177"/>
        <v>809Sharpe Ratio</v>
      </c>
      <c r="B10718">
        <v>809</v>
      </c>
      <c r="C10718" s="9" t="s">
        <v>1</v>
      </c>
      <c r="D10718" s="8">
        <v>-0.74399999999999999</v>
      </c>
    </row>
    <row r="10719" spans="1:4">
      <c r="A10719" t="str">
        <f t="shared" si="177"/>
        <v>809Total Trades</v>
      </c>
      <c r="B10719">
        <v>809</v>
      </c>
      <c r="C10719" s="9" t="s">
        <v>28</v>
      </c>
      <c r="D10719" s="8">
        <v>540</v>
      </c>
    </row>
    <row r="10720" spans="1:4">
      <c r="A10720" t="str">
        <f t="shared" si="177"/>
        <v>809Average Win</v>
      </c>
      <c r="B10720">
        <v>809</v>
      </c>
      <c r="C10720" s="9" t="s">
        <v>25</v>
      </c>
      <c r="D10720" s="8">
        <v>8.0000000000000004E-4</v>
      </c>
    </row>
    <row r="10721" spans="1:4">
      <c r="A10721" t="str">
        <f t="shared" si="177"/>
        <v>809Average Loss</v>
      </c>
      <c r="B10721">
        <v>809</v>
      </c>
      <c r="C10721" s="9" t="s">
        <v>29</v>
      </c>
      <c r="D10721" s="8">
        <v>-2.3E-3</v>
      </c>
    </row>
    <row r="10722" spans="1:4">
      <c r="A10722" t="str">
        <f t="shared" si="177"/>
        <v>809Compounding Annual Return</v>
      </c>
      <c r="B10722">
        <v>809</v>
      </c>
      <c r="C10722" s="9" t="s">
        <v>30</v>
      </c>
      <c r="D10722" s="8">
        <v>-3.3820000000000003E-2</v>
      </c>
    </row>
    <row r="10723" spans="1:4">
      <c r="A10723" t="str">
        <f t="shared" si="177"/>
        <v>809Drawdown</v>
      </c>
      <c r="B10723">
        <v>809</v>
      </c>
      <c r="C10723" s="9" t="s">
        <v>8</v>
      </c>
      <c r="D10723" s="8">
        <v>3.6999999999999998E-2</v>
      </c>
    </row>
    <row r="10724" spans="1:4">
      <c r="A10724" t="str">
        <f t="shared" si="177"/>
        <v>809Expectancy</v>
      </c>
      <c r="B10724">
        <v>809</v>
      </c>
      <c r="C10724" s="9" t="s">
        <v>31</v>
      </c>
      <c r="D10724" s="8">
        <v>-0.16600000000000001</v>
      </c>
    </row>
    <row r="10725" spans="1:4">
      <c r="A10725" t="str">
        <f t="shared" si="177"/>
        <v>809Net Profit</v>
      </c>
      <c r="B10725">
        <v>809</v>
      </c>
      <c r="C10725" s="9" t="s">
        <v>32</v>
      </c>
      <c r="D10725" s="8">
        <v>-2.264E-2</v>
      </c>
    </row>
    <row r="10726" spans="1:4">
      <c r="A10726" t="str">
        <f t="shared" si="177"/>
        <v>809Loss Rate</v>
      </c>
      <c r="B10726">
        <v>809</v>
      </c>
      <c r="C10726" s="9" t="s">
        <v>33</v>
      </c>
      <c r="D10726" s="8">
        <v>0.38</v>
      </c>
    </row>
    <row r="10727" spans="1:4">
      <c r="A10727" t="str">
        <f t="shared" si="177"/>
        <v>809Win Rate</v>
      </c>
      <c r="B10727">
        <v>809</v>
      </c>
      <c r="C10727" s="9" t="s">
        <v>34</v>
      </c>
      <c r="D10727" s="8">
        <v>0.62</v>
      </c>
    </row>
    <row r="10728" spans="1:4">
      <c r="A10728" t="str">
        <f t="shared" si="177"/>
        <v>809Profit-Loss Ratio</v>
      </c>
      <c r="B10728">
        <v>809</v>
      </c>
      <c r="C10728" s="9" t="s">
        <v>26</v>
      </c>
      <c r="D10728" s="8">
        <v>0.35</v>
      </c>
    </row>
    <row r="10729" spans="1:4">
      <c r="A10729" t="str">
        <f t="shared" si="177"/>
        <v>809Alpha</v>
      </c>
      <c r="B10729">
        <v>809</v>
      </c>
      <c r="C10729" s="9" t="s">
        <v>23</v>
      </c>
      <c r="D10729" s="8">
        <v>-2.8000000000000001E-2</v>
      </c>
    </row>
    <row r="10730" spans="1:4">
      <c r="A10730" t="str">
        <f t="shared" si="177"/>
        <v>809Beta</v>
      </c>
      <c r="B10730">
        <v>809</v>
      </c>
      <c r="C10730" s="9" t="s">
        <v>24</v>
      </c>
      <c r="D10730" s="8">
        <v>8.6999999999999994E-2</v>
      </c>
    </row>
    <row r="10731" spans="1:4">
      <c r="A10731" t="str">
        <f t="shared" si="177"/>
        <v>809Annual Standard Deviation</v>
      </c>
      <c r="B10731">
        <v>809</v>
      </c>
      <c r="C10731" s="9" t="s">
        <v>35</v>
      </c>
      <c r="D10731" s="8">
        <v>3.1E-2</v>
      </c>
    </row>
    <row r="10732" spans="1:4">
      <c r="A10732" t="str">
        <f t="shared" si="177"/>
        <v>809Annual Variance</v>
      </c>
      <c r="B10732">
        <v>809</v>
      </c>
      <c r="C10732" s="9" t="s">
        <v>36</v>
      </c>
      <c r="D10732" s="8">
        <v>1E-3</v>
      </c>
    </row>
    <row r="10733" spans="1:4">
      <c r="A10733" t="str">
        <f t="shared" si="177"/>
        <v>809Information Ratio</v>
      </c>
      <c r="B10733">
        <v>809</v>
      </c>
      <c r="C10733" s="9" t="s">
        <v>37</v>
      </c>
      <c r="D10733" s="8">
        <v>-1.0940000000000001</v>
      </c>
    </row>
    <row r="10734" spans="1:4">
      <c r="A10734" t="str">
        <f t="shared" si="177"/>
        <v>809Tracking Error</v>
      </c>
      <c r="B10734">
        <v>809</v>
      </c>
      <c r="C10734" s="9" t="s">
        <v>38</v>
      </c>
      <c r="D10734" s="8">
        <v>6.9000000000000006E-2</v>
      </c>
    </row>
    <row r="10735" spans="1:4">
      <c r="A10735" t="str">
        <f t="shared" si="177"/>
        <v>809Treynor Ratio</v>
      </c>
      <c r="B10735">
        <v>809</v>
      </c>
      <c r="C10735" s="9" t="s">
        <v>39</v>
      </c>
      <c r="D10735" s="8">
        <v>-0.26700000000000002</v>
      </c>
    </row>
    <row r="10736" spans="1:4">
      <c r="A10736" t="str">
        <f t="shared" si="177"/>
        <v>809Total Fees</v>
      </c>
      <c r="B10736">
        <v>809</v>
      </c>
      <c r="C10736" s="9" t="s">
        <v>40</v>
      </c>
      <c r="D10736" s="8">
        <v>0</v>
      </c>
    </row>
    <row r="10737" spans="1:4">
      <c r="A10737" t="str">
        <f t="shared" si="177"/>
        <v>809Estimated Strategy Capacity</v>
      </c>
      <c r="B10737">
        <v>809</v>
      </c>
      <c r="C10737" s="9" t="s">
        <v>41</v>
      </c>
      <c r="D10737" s="8">
        <v>7300000</v>
      </c>
    </row>
    <row r="10738" spans="1:4">
      <c r="A10738" t="str">
        <f t="shared" si="177"/>
        <v>810PSR</v>
      </c>
      <c r="B10738">
        <v>810</v>
      </c>
      <c r="C10738" s="9" t="s">
        <v>27</v>
      </c>
      <c r="D10738" s="8">
        <v>8.0599999999999995E-3</v>
      </c>
    </row>
    <row r="10739" spans="1:4">
      <c r="A10739" t="str">
        <f t="shared" si="177"/>
        <v>810Sharpe Ratio</v>
      </c>
      <c r="B10739">
        <v>810</v>
      </c>
      <c r="C10739" s="9" t="s">
        <v>1</v>
      </c>
      <c r="D10739" s="8">
        <v>-1.278</v>
      </c>
    </row>
    <row r="10740" spans="1:4">
      <c r="A10740" t="str">
        <f t="shared" si="177"/>
        <v>810Total Trades</v>
      </c>
      <c r="B10740">
        <v>810</v>
      </c>
      <c r="C10740" s="9" t="s">
        <v>28</v>
      </c>
      <c r="D10740" s="8">
        <v>438</v>
      </c>
    </row>
    <row r="10741" spans="1:4">
      <c r="A10741" t="str">
        <f t="shared" si="177"/>
        <v>810Average Win</v>
      </c>
      <c r="B10741">
        <v>810</v>
      </c>
      <c r="C10741" s="9" t="s">
        <v>25</v>
      </c>
      <c r="D10741" s="8">
        <v>1.2999999999999999E-3</v>
      </c>
    </row>
    <row r="10742" spans="1:4">
      <c r="A10742" t="str">
        <f t="shared" si="177"/>
        <v>810Average Loss</v>
      </c>
      <c r="B10742">
        <v>810</v>
      </c>
      <c r="C10742" s="9" t="s">
        <v>29</v>
      </c>
      <c r="D10742" s="8">
        <v>-4.0000000000000001E-3</v>
      </c>
    </row>
    <row r="10743" spans="1:4">
      <c r="A10743" t="str">
        <f t="shared" si="177"/>
        <v>810Compounding Annual Return</v>
      </c>
      <c r="B10743">
        <v>810</v>
      </c>
      <c r="C10743" s="9" t="s">
        <v>30</v>
      </c>
      <c r="D10743" s="8">
        <v>-6.8339999999999998E-2</v>
      </c>
    </row>
    <row r="10744" spans="1:4">
      <c r="A10744" t="str">
        <f t="shared" si="177"/>
        <v>810Drawdown</v>
      </c>
      <c r="B10744">
        <v>810</v>
      </c>
      <c r="C10744" s="9" t="s">
        <v>8</v>
      </c>
      <c r="D10744" s="8">
        <v>6.2E-2</v>
      </c>
    </row>
    <row r="10745" spans="1:4">
      <c r="A10745" t="str">
        <f t="shared" si="177"/>
        <v>810Expectancy</v>
      </c>
      <c r="B10745">
        <v>810</v>
      </c>
      <c r="C10745" s="9" t="s">
        <v>31</v>
      </c>
      <c r="D10745" s="8">
        <v>-0.21</v>
      </c>
    </row>
    <row r="10746" spans="1:4">
      <c r="A10746" t="str">
        <f t="shared" si="177"/>
        <v>810Net Profit</v>
      </c>
      <c r="B10746">
        <v>810</v>
      </c>
      <c r="C10746" s="9" t="s">
        <v>32</v>
      </c>
      <c r="D10746" s="8">
        <v>-4.6030000000000001E-2</v>
      </c>
    </row>
    <row r="10747" spans="1:4">
      <c r="A10747" t="str">
        <f t="shared" si="177"/>
        <v>810Loss Rate</v>
      </c>
      <c r="B10747">
        <v>810</v>
      </c>
      <c r="C10747" s="9" t="s">
        <v>33</v>
      </c>
      <c r="D10747" s="8">
        <v>0.4</v>
      </c>
    </row>
    <row r="10748" spans="1:4">
      <c r="A10748" t="str">
        <f t="shared" si="177"/>
        <v>810Win Rate</v>
      </c>
      <c r="B10748">
        <v>810</v>
      </c>
      <c r="C10748" s="9" t="s">
        <v>34</v>
      </c>
      <c r="D10748" s="8">
        <v>0.6</v>
      </c>
    </row>
    <row r="10749" spans="1:4">
      <c r="A10749" t="str">
        <f t="shared" si="177"/>
        <v>810Profit-Loss Ratio</v>
      </c>
      <c r="B10749">
        <v>810</v>
      </c>
      <c r="C10749" s="9" t="s">
        <v>26</v>
      </c>
      <c r="D10749" s="8">
        <v>0.32</v>
      </c>
    </row>
    <row r="10750" spans="1:4">
      <c r="A10750" t="str">
        <f t="shared" si="177"/>
        <v>810Alpha</v>
      </c>
      <c r="B10750">
        <v>810</v>
      </c>
      <c r="C10750" s="9" t="s">
        <v>23</v>
      </c>
      <c r="D10750" s="8">
        <v>-5.1999999999999998E-2</v>
      </c>
    </row>
    <row r="10751" spans="1:4">
      <c r="A10751" t="str">
        <f t="shared" si="177"/>
        <v>810Beta</v>
      </c>
      <c r="B10751">
        <v>810</v>
      </c>
      <c r="C10751" s="9" t="s">
        <v>24</v>
      </c>
      <c r="D10751" s="8">
        <v>8.7999999999999995E-2</v>
      </c>
    </row>
    <row r="10752" spans="1:4">
      <c r="A10752" t="str">
        <f t="shared" si="177"/>
        <v>810Annual Standard Deviation</v>
      </c>
      <c r="B10752">
        <v>810</v>
      </c>
      <c r="C10752" s="9" t="s">
        <v>35</v>
      </c>
      <c r="D10752" s="8">
        <v>3.6999999999999998E-2</v>
      </c>
    </row>
    <row r="10753" spans="1:4">
      <c r="A10753" t="str">
        <f t="shared" si="177"/>
        <v>810Annual Variance</v>
      </c>
      <c r="B10753">
        <v>810</v>
      </c>
      <c r="C10753" s="9" t="s">
        <v>36</v>
      </c>
      <c r="D10753" s="8">
        <v>1E-3</v>
      </c>
    </row>
    <row r="10754" spans="1:4">
      <c r="A10754" t="str">
        <f t="shared" si="177"/>
        <v>810Information Ratio</v>
      </c>
      <c r="B10754">
        <v>810</v>
      </c>
      <c r="C10754" s="9" t="s">
        <v>37</v>
      </c>
      <c r="D10754" s="8">
        <v>-1.39</v>
      </c>
    </row>
    <row r="10755" spans="1:4">
      <c r="A10755" t="str">
        <f t="shared" si="177"/>
        <v>810Tracking Error</v>
      </c>
      <c r="B10755">
        <v>810</v>
      </c>
      <c r="C10755" s="9" t="s">
        <v>38</v>
      </c>
      <c r="D10755" s="8">
        <v>7.0999999999999994E-2</v>
      </c>
    </row>
    <row r="10756" spans="1:4">
      <c r="A10756" t="str">
        <f t="shared" si="177"/>
        <v>810Treynor Ratio</v>
      </c>
      <c r="B10756">
        <v>810</v>
      </c>
      <c r="C10756" s="9" t="s">
        <v>39</v>
      </c>
      <c r="D10756" s="8">
        <v>-0.53600000000000003</v>
      </c>
    </row>
    <row r="10757" spans="1:4">
      <c r="A10757" t="str">
        <f t="shared" si="177"/>
        <v>810Total Fees</v>
      </c>
      <c r="B10757">
        <v>810</v>
      </c>
      <c r="C10757" s="9" t="s">
        <v>40</v>
      </c>
      <c r="D10757" s="8">
        <v>0</v>
      </c>
    </row>
    <row r="10758" spans="1:4">
      <c r="A10758" t="str">
        <f t="shared" si="177"/>
        <v>810Estimated Strategy Capacity</v>
      </c>
      <c r="B10758">
        <v>810</v>
      </c>
      <c r="C10758" s="9" t="s">
        <v>41</v>
      </c>
      <c r="D10758" s="8">
        <v>4600000</v>
      </c>
    </row>
    <row r="10759" spans="1:4">
      <c r="A10759" t="str">
        <f t="shared" si="177"/>
        <v>829PSR</v>
      </c>
      <c r="B10759">
        <v>829</v>
      </c>
      <c r="C10759" s="9" t="s">
        <v>27</v>
      </c>
      <c r="D10759" s="8">
        <v>0.38532</v>
      </c>
    </row>
    <row r="10760" spans="1:4">
      <c r="A10760" t="str">
        <f t="shared" si="177"/>
        <v>829Sharpe Ratio</v>
      </c>
      <c r="B10760">
        <v>829</v>
      </c>
      <c r="C10760" s="9" t="s">
        <v>1</v>
      </c>
      <c r="D10760" s="8">
        <v>0.71</v>
      </c>
    </row>
    <row r="10761" spans="1:4">
      <c r="A10761" t="str">
        <f t="shared" si="177"/>
        <v>829Total Trades</v>
      </c>
      <c r="B10761">
        <v>829</v>
      </c>
      <c r="C10761" s="9" t="s">
        <v>28</v>
      </c>
      <c r="D10761" s="8">
        <v>1137</v>
      </c>
    </row>
    <row r="10762" spans="1:4">
      <c r="A10762" t="str">
        <f t="shared" si="177"/>
        <v>829Average Win</v>
      </c>
      <c r="B10762">
        <v>829</v>
      </c>
      <c r="C10762" s="9" t="s">
        <v>25</v>
      </c>
      <c r="D10762" s="8">
        <v>5.9999999999999995E-4</v>
      </c>
    </row>
    <row r="10763" spans="1:4">
      <c r="A10763" t="str">
        <f t="shared" si="177"/>
        <v>829Average Loss</v>
      </c>
      <c r="B10763">
        <v>829</v>
      </c>
      <c r="C10763" s="9" t="s">
        <v>29</v>
      </c>
      <c r="D10763" s="8">
        <v>-1E-3</v>
      </c>
    </row>
    <row r="10764" spans="1:4">
      <c r="A10764" t="str">
        <f t="shared" si="177"/>
        <v>829Compounding Annual Return</v>
      </c>
      <c r="B10764">
        <v>829</v>
      </c>
      <c r="C10764" s="9" t="s">
        <v>30</v>
      </c>
      <c r="D10764" s="8">
        <v>1.2460000000000001E-2</v>
      </c>
    </row>
    <row r="10765" spans="1:4">
      <c r="A10765" t="str">
        <f t="shared" si="177"/>
        <v>829Drawdown</v>
      </c>
      <c r="B10765">
        <v>829</v>
      </c>
      <c r="C10765" s="9" t="s">
        <v>8</v>
      </c>
      <c r="D10765" s="8">
        <v>1.0999999999999999E-2</v>
      </c>
    </row>
    <row r="10766" spans="1:4">
      <c r="A10766" t="str">
        <f t="shared" si="177"/>
        <v>829Expectancy</v>
      </c>
      <c r="B10766">
        <v>829</v>
      </c>
      <c r="C10766" s="9" t="s">
        <v>31</v>
      </c>
      <c r="D10766" s="8">
        <v>0.10100000000000001</v>
      </c>
    </row>
    <row r="10767" spans="1:4">
      <c r="A10767" t="str">
        <f t="shared" si="177"/>
        <v>829Net Profit</v>
      </c>
      <c r="B10767">
        <v>829</v>
      </c>
      <c r="C10767" s="9" t="s">
        <v>32</v>
      </c>
      <c r="D10767" s="8">
        <v>8.2799999999999992E-3</v>
      </c>
    </row>
    <row r="10768" spans="1:4">
      <c r="A10768" t="str">
        <f t="shared" si="177"/>
        <v>829Loss Rate</v>
      </c>
      <c r="B10768">
        <v>829</v>
      </c>
      <c r="C10768" s="9" t="s">
        <v>33</v>
      </c>
      <c r="D10768" s="8">
        <v>0.3</v>
      </c>
    </row>
    <row r="10769" spans="1:4">
      <c r="A10769" t="str">
        <f t="shared" si="177"/>
        <v>829Win Rate</v>
      </c>
      <c r="B10769">
        <v>829</v>
      </c>
      <c r="C10769" s="9" t="s">
        <v>34</v>
      </c>
      <c r="D10769" s="8">
        <v>0.7</v>
      </c>
    </row>
    <row r="10770" spans="1:4">
      <c r="A10770" t="str">
        <f t="shared" ref="A10770:A10833" si="178">B10770&amp;C10770</f>
        <v>829Profit-Loss Ratio</v>
      </c>
      <c r="B10770">
        <v>829</v>
      </c>
      <c r="C10770" s="9" t="s">
        <v>26</v>
      </c>
      <c r="D10770" s="8">
        <v>0.56999999999999995</v>
      </c>
    </row>
    <row r="10771" spans="1:4">
      <c r="A10771" t="str">
        <f t="shared" si="178"/>
        <v>829Alpha</v>
      </c>
      <c r="B10771">
        <v>829</v>
      </c>
      <c r="C10771" s="9" t="s">
        <v>23</v>
      </c>
      <c r="D10771" s="8">
        <v>8.9999999999999993E-3</v>
      </c>
    </row>
    <row r="10772" spans="1:4">
      <c r="A10772" t="str">
        <f t="shared" si="178"/>
        <v>829Beta</v>
      </c>
      <c r="B10772">
        <v>829</v>
      </c>
      <c r="C10772" s="9" t="s">
        <v>24</v>
      </c>
      <c r="D10772" s="8">
        <v>1E-3</v>
      </c>
    </row>
    <row r="10773" spans="1:4">
      <c r="A10773" t="str">
        <f t="shared" si="178"/>
        <v>829Annual Standard Deviation</v>
      </c>
      <c r="B10773">
        <v>829</v>
      </c>
      <c r="C10773" s="9" t="s">
        <v>35</v>
      </c>
      <c r="D10773" s="8">
        <v>1.2E-2</v>
      </c>
    </row>
    <row r="10774" spans="1:4">
      <c r="A10774" t="str">
        <f t="shared" si="178"/>
        <v>829Annual Variance</v>
      </c>
      <c r="B10774">
        <v>829</v>
      </c>
      <c r="C10774" s="9" t="s">
        <v>36</v>
      </c>
      <c r="D10774" s="8">
        <v>0</v>
      </c>
    </row>
    <row r="10775" spans="1:4">
      <c r="A10775" t="str">
        <f t="shared" si="178"/>
        <v>829Information Ratio</v>
      </c>
      <c r="B10775">
        <v>829</v>
      </c>
      <c r="C10775" s="9" t="s">
        <v>37</v>
      </c>
      <c r="D10775" s="8">
        <v>-0.63300000000000001</v>
      </c>
    </row>
    <row r="10776" spans="1:4">
      <c r="A10776" t="str">
        <f t="shared" si="178"/>
        <v>829Tracking Error</v>
      </c>
      <c r="B10776">
        <v>829</v>
      </c>
      <c r="C10776" s="9" t="s">
        <v>38</v>
      </c>
      <c r="D10776" s="8">
        <v>6.8000000000000005E-2</v>
      </c>
    </row>
    <row r="10777" spans="1:4">
      <c r="A10777" t="str">
        <f t="shared" si="178"/>
        <v>829Treynor Ratio</v>
      </c>
      <c r="B10777">
        <v>829</v>
      </c>
      <c r="C10777" s="9" t="s">
        <v>39</v>
      </c>
      <c r="D10777" s="8">
        <v>8.0060000000000002</v>
      </c>
    </row>
    <row r="10778" spans="1:4">
      <c r="A10778" t="str">
        <f t="shared" si="178"/>
        <v>829Total Fees</v>
      </c>
      <c r="B10778">
        <v>829</v>
      </c>
      <c r="C10778" s="9" t="s">
        <v>40</v>
      </c>
      <c r="D10778" s="8">
        <v>0</v>
      </c>
    </row>
    <row r="10779" spans="1:4">
      <c r="A10779" t="str">
        <f t="shared" si="178"/>
        <v>829Estimated Strategy Capacity</v>
      </c>
      <c r="B10779">
        <v>829</v>
      </c>
      <c r="C10779" s="9" t="s">
        <v>41</v>
      </c>
      <c r="D10779" s="8">
        <v>14000000000</v>
      </c>
    </row>
    <row r="10780" spans="1:4">
      <c r="A10780" t="str">
        <f t="shared" si="178"/>
        <v>830PSR</v>
      </c>
      <c r="B10780">
        <v>830</v>
      </c>
      <c r="C10780" s="9" t="s">
        <v>27</v>
      </c>
      <c r="D10780" s="8">
        <v>5.9029999999999999E-2</v>
      </c>
    </row>
    <row r="10781" spans="1:4">
      <c r="A10781" t="str">
        <f t="shared" si="178"/>
        <v>830Sharpe Ratio</v>
      </c>
      <c r="B10781">
        <v>830</v>
      </c>
      <c r="C10781" s="9" t="s">
        <v>1</v>
      </c>
      <c r="D10781" s="8">
        <v>-0.59099999999999997</v>
      </c>
    </row>
    <row r="10782" spans="1:4">
      <c r="A10782" t="str">
        <f t="shared" si="178"/>
        <v>830Total Trades</v>
      </c>
      <c r="B10782">
        <v>830</v>
      </c>
      <c r="C10782" s="9" t="s">
        <v>28</v>
      </c>
      <c r="D10782" s="8">
        <v>829</v>
      </c>
    </row>
    <row r="10783" spans="1:4">
      <c r="A10783" t="str">
        <f t="shared" si="178"/>
        <v>830Average Win</v>
      </c>
      <c r="B10783">
        <v>830</v>
      </c>
      <c r="C10783" s="9" t="s">
        <v>25</v>
      </c>
      <c r="D10783" s="8">
        <v>1.1999999999999999E-3</v>
      </c>
    </row>
    <row r="10784" spans="1:4">
      <c r="A10784" t="str">
        <f t="shared" si="178"/>
        <v>830Average Loss</v>
      </c>
      <c r="B10784">
        <v>830</v>
      </c>
      <c r="C10784" s="9" t="s">
        <v>29</v>
      </c>
      <c r="D10784" s="8">
        <v>-3.0999999999999999E-3</v>
      </c>
    </row>
    <row r="10785" spans="1:4">
      <c r="A10785" t="str">
        <f t="shared" si="178"/>
        <v>830Compounding Annual Return</v>
      </c>
      <c r="B10785">
        <v>830</v>
      </c>
      <c r="C10785" s="9" t="s">
        <v>30</v>
      </c>
      <c r="D10785" s="8">
        <v>-2.4819999999999998E-2</v>
      </c>
    </row>
    <row r="10786" spans="1:4">
      <c r="A10786" t="str">
        <f t="shared" si="178"/>
        <v>830Drawdown</v>
      </c>
      <c r="B10786">
        <v>830</v>
      </c>
      <c r="C10786" s="9" t="s">
        <v>8</v>
      </c>
      <c r="D10786" s="8">
        <v>4.1000000000000002E-2</v>
      </c>
    </row>
    <row r="10787" spans="1:4">
      <c r="A10787" t="str">
        <f t="shared" si="178"/>
        <v>830Expectancy</v>
      </c>
      <c r="B10787">
        <v>830</v>
      </c>
      <c r="C10787" s="9" t="s">
        <v>31</v>
      </c>
      <c r="D10787" s="8">
        <v>-7.8E-2</v>
      </c>
    </row>
    <row r="10788" spans="1:4">
      <c r="A10788" t="str">
        <f t="shared" si="178"/>
        <v>830Net Profit</v>
      </c>
      <c r="B10788">
        <v>830</v>
      </c>
      <c r="C10788" s="9" t="s">
        <v>32</v>
      </c>
      <c r="D10788" s="8">
        <v>-1.6590000000000001E-2</v>
      </c>
    </row>
    <row r="10789" spans="1:4">
      <c r="A10789" t="str">
        <f t="shared" si="178"/>
        <v>830Loss Rate</v>
      </c>
      <c r="B10789">
        <v>830</v>
      </c>
      <c r="C10789" s="9" t="s">
        <v>33</v>
      </c>
      <c r="D10789" s="8">
        <v>0.34</v>
      </c>
    </row>
    <row r="10790" spans="1:4">
      <c r="A10790" t="str">
        <f t="shared" si="178"/>
        <v>830Win Rate</v>
      </c>
      <c r="B10790">
        <v>830</v>
      </c>
      <c r="C10790" s="9" t="s">
        <v>34</v>
      </c>
      <c r="D10790" s="8">
        <v>0.66</v>
      </c>
    </row>
    <row r="10791" spans="1:4">
      <c r="A10791" t="str">
        <f t="shared" si="178"/>
        <v>830Profit-Loss Ratio</v>
      </c>
      <c r="B10791">
        <v>830</v>
      </c>
      <c r="C10791" s="9" t="s">
        <v>26</v>
      </c>
      <c r="D10791" s="8">
        <v>0.39</v>
      </c>
    </row>
    <row r="10792" spans="1:4">
      <c r="A10792" t="str">
        <f t="shared" si="178"/>
        <v>830Alpha</v>
      </c>
      <c r="B10792">
        <v>830</v>
      </c>
      <c r="C10792" s="9" t="s">
        <v>23</v>
      </c>
      <c r="D10792" s="8">
        <v>-1.4999999999999999E-2</v>
      </c>
    </row>
    <row r="10793" spans="1:4">
      <c r="A10793" t="str">
        <f t="shared" si="178"/>
        <v>830Beta</v>
      </c>
      <c r="B10793">
        <v>830</v>
      </c>
      <c r="C10793" s="9" t="s">
        <v>24</v>
      </c>
      <c r="D10793" s="8">
        <v>-2.7E-2</v>
      </c>
    </row>
    <row r="10794" spans="1:4">
      <c r="A10794" t="str">
        <f t="shared" si="178"/>
        <v>830Annual Standard Deviation</v>
      </c>
      <c r="B10794">
        <v>830</v>
      </c>
      <c r="C10794" s="9" t="s">
        <v>35</v>
      </c>
      <c r="D10794" s="8">
        <v>2.9000000000000001E-2</v>
      </c>
    </row>
    <row r="10795" spans="1:4">
      <c r="A10795" t="str">
        <f t="shared" si="178"/>
        <v>830Annual Variance</v>
      </c>
      <c r="B10795">
        <v>830</v>
      </c>
      <c r="C10795" s="9" t="s">
        <v>36</v>
      </c>
      <c r="D10795" s="8">
        <v>1E-3</v>
      </c>
    </row>
    <row r="10796" spans="1:4">
      <c r="A10796" t="str">
        <f t="shared" si="178"/>
        <v>830Information Ratio</v>
      </c>
      <c r="B10796">
        <v>830</v>
      </c>
      <c r="C10796" s="9" t="s">
        <v>37</v>
      </c>
      <c r="D10796" s="8">
        <v>-0.92100000000000004</v>
      </c>
    </row>
    <row r="10797" spans="1:4">
      <c r="A10797" t="str">
        <f t="shared" si="178"/>
        <v>830Tracking Error</v>
      </c>
      <c r="B10797">
        <v>830</v>
      </c>
      <c r="C10797" s="9" t="s">
        <v>38</v>
      </c>
      <c r="D10797" s="8">
        <v>7.4999999999999997E-2</v>
      </c>
    </row>
    <row r="10798" spans="1:4">
      <c r="A10798" t="str">
        <f t="shared" si="178"/>
        <v>830Treynor Ratio</v>
      </c>
      <c r="B10798">
        <v>830</v>
      </c>
      <c r="C10798" s="9" t="s">
        <v>39</v>
      </c>
      <c r="D10798" s="8">
        <v>0.63500000000000001</v>
      </c>
    </row>
    <row r="10799" spans="1:4">
      <c r="A10799" t="str">
        <f t="shared" si="178"/>
        <v>830Total Fees</v>
      </c>
      <c r="B10799">
        <v>830</v>
      </c>
      <c r="C10799" s="9" t="s">
        <v>40</v>
      </c>
      <c r="D10799" s="8">
        <v>0</v>
      </c>
    </row>
    <row r="10800" spans="1:4">
      <c r="A10800" t="str">
        <f t="shared" si="178"/>
        <v>830Estimated Strategy Capacity</v>
      </c>
      <c r="B10800">
        <v>830</v>
      </c>
      <c r="C10800" s="9" t="s">
        <v>41</v>
      </c>
      <c r="D10800" s="8">
        <v>1400000000</v>
      </c>
    </row>
    <row r="10801" spans="1:4">
      <c r="A10801" t="str">
        <f t="shared" si="178"/>
        <v>831PSR</v>
      </c>
      <c r="B10801">
        <v>831</v>
      </c>
      <c r="C10801" s="9" t="s">
        <v>27</v>
      </c>
      <c r="D10801" s="8">
        <v>0.13471</v>
      </c>
    </row>
    <row r="10802" spans="1:4">
      <c r="A10802" t="str">
        <f t="shared" si="178"/>
        <v>831Sharpe Ratio</v>
      </c>
      <c r="B10802">
        <v>831</v>
      </c>
      <c r="C10802" s="9" t="s">
        <v>1</v>
      </c>
      <c r="D10802" s="8">
        <v>-0.128</v>
      </c>
    </row>
    <row r="10803" spans="1:4">
      <c r="A10803" t="str">
        <f t="shared" si="178"/>
        <v>831Total Trades</v>
      </c>
      <c r="B10803">
        <v>831</v>
      </c>
      <c r="C10803" s="9" t="s">
        <v>28</v>
      </c>
      <c r="D10803" s="8">
        <v>606</v>
      </c>
    </row>
    <row r="10804" spans="1:4">
      <c r="A10804" t="str">
        <f t="shared" si="178"/>
        <v>831Average Win</v>
      </c>
      <c r="B10804">
        <v>831</v>
      </c>
      <c r="C10804" s="9" t="s">
        <v>25</v>
      </c>
      <c r="D10804" s="8">
        <v>1.9E-3</v>
      </c>
    </row>
    <row r="10805" spans="1:4">
      <c r="A10805" t="str">
        <f t="shared" si="178"/>
        <v>831Average Loss</v>
      </c>
      <c r="B10805">
        <v>831</v>
      </c>
      <c r="C10805" s="9" t="s">
        <v>29</v>
      </c>
      <c r="D10805" s="8">
        <v>-4.0000000000000001E-3</v>
      </c>
    </row>
    <row r="10806" spans="1:4">
      <c r="A10806" t="str">
        <f t="shared" si="178"/>
        <v>831Compounding Annual Return</v>
      </c>
      <c r="B10806">
        <v>831</v>
      </c>
      <c r="C10806" s="9" t="s">
        <v>30</v>
      </c>
      <c r="D10806" s="8">
        <v>-7.9600000000000001E-3</v>
      </c>
    </row>
    <row r="10807" spans="1:4">
      <c r="A10807" t="str">
        <f t="shared" si="178"/>
        <v>831Drawdown</v>
      </c>
      <c r="B10807">
        <v>831</v>
      </c>
      <c r="C10807" s="9" t="s">
        <v>8</v>
      </c>
      <c r="D10807" s="8">
        <v>4.4999999999999998E-2</v>
      </c>
    </row>
    <row r="10808" spans="1:4">
      <c r="A10808" t="str">
        <f t="shared" si="178"/>
        <v>831Expectancy</v>
      </c>
      <c r="B10808">
        <v>831</v>
      </c>
      <c r="C10808" s="9" t="s">
        <v>31</v>
      </c>
      <c r="D10808" s="8">
        <v>-2.4E-2</v>
      </c>
    </row>
    <row r="10809" spans="1:4">
      <c r="A10809" t="str">
        <f t="shared" si="178"/>
        <v>831Net Profit</v>
      </c>
      <c r="B10809">
        <v>831</v>
      </c>
      <c r="C10809" s="9" t="s">
        <v>32</v>
      </c>
      <c r="D10809" s="8">
        <v>-5.3E-3</v>
      </c>
    </row>
    <row r="10810" spans="1:4">
      <c r="A10810" t="str">
        <f t="shared" si="178"/>
        <v>831Loss Rate</v>
      </c>
      <c r="B10810">
        <v>831</v>
      </c>
      <c r="C10810" s="9" t="s">
        <v>33</v>
      </c>
      <c r="D10810" s="8">
        <v>0.34</v>
      </c>
    </row>
    <row r="10811" spans="1:4">
      <c r="A10811" t="str">
        <f t="shared" si="178"/>
        <v>831Win Rate</v>
      </c>
      <c r="B10811">
        <v>831</v>
      </c>
      <c r="C10811" s="9" t="s">
        <v>34</v>
      </c>
      <c r="D10811" s="8">
        <v>0.66</v>
      </c>
    </row>
    <row r="10812" spans="1:4">
      <c r="A10812" t="str">
        <f t="shared" si="178"/>
        <v>831Profit-Loss Ratio</v>
      </c>
      <c r="B10812">
        <v>831</v>
      </c>
      <c r="C10812" s="9" t="s">
        <v>26</v>
      </c>
      <c r="D10812" s="8">
        <v>0.48</v>
      </c>
    </row>
    <row r="10813" spans="1:4">
      <c r="A10813" t="str">
        <f t="shared" si="178"/>
        <v>831Alpha</v>
      </c>
      <c r="B10813">
        <v>831</v>
      </c>
      <c r="C10813" s="9" t="s">
        <v>23</v>
      </c>
      <c r="D10813" s="8">
        <v>-5.0000000000000001E-3</v>
      </c>
    </row>
    <row r="10814" spans="1:4">
      <c r="A10814" t="str">
        <f t="shared" si="178"/>
        <v>831Beta</v>
      </c>
      <c r="B10814">
        <v>831</v>
      </c>
      <c r="C10814" s="9" t="s">
        <v>24</v>
      </c>
      <c r="D10814" s="8">
        <v>1.0999999999999999E-2</v>
      </c>
    </row>
    <row r="10815" spans="1:4">
      <c r="A10815" t="str">
        <f t="shared" si="178"/>
        <v>831Annual Standard Deviation</v>
      </c>
      <c r="B10815">
        <v>831</v>
      </c>
      <c r="C10815" s="9" t="s">
        <v>35</v>
      </c>
      <c r="D10815" s="8">
        <v>3.7999999999999999E-2</v>
      </c>
    </row>
    <row r="10816" spans="1:4">
      <c r="A10816" t="str">
        <f t="shared" si="178"/>
        <v>831Annual Variance</v>
      </c>
      <c r="B10816">
        <v>831</v>
      </c>
      <c r="C10816" s="9" t="s">
        <v>36</v>
      </c>
      <c r="D10816" s="8">
        <v>1E-3</v>
      </c>
    </row>
    <row r="10817" spans="1:4">
      <c r="A10817" t="str">
        <f t="shared" si="178"/>
        <v>831Information Ratio</v>
      </c>
      <c r="B10817">
        <v>831</v>
      </c>
      <c r="C10817" s="9" t="s">
        <v>37</v>
      </c>
      <c r="D10817" s="8">
        <v>-0.70699999999999996</v>
      </c>
    </row>
    <row r="10818" spans="1:4">
      <c r="A10818" t="str">
        <f t="shared" si="178"/>
        <v>831Tracking Error</v>
      </c>
      <c r="B10818">
        <v>831</v>
      </c>
      <c r="C10818" s="9" t="s">
        <v>38</v>
      </c>
      <c r="D10818" s="8">
        <v>7.5999999999999998E-2</v>
      </c>
    </row>
    <row r="10819" spans="1:4">
      <c r="A10819" t="str">
        <f t="shared" si="178"/>
        <v>831Treynor Ratio</v>
      </c>
      <c r="B10819">
        <v>831</v>
      </c>
      <c r="C10819" s="9" t="s">
        <v>39</v>
      </c>
      <c r="D10819" s="8">
        <v>-0.42899999999999999</v>
      </c>
    </row>
    <row r="10820" spans="1:4">
      <c r="A10820" t="str">
        <f t="shared" si="178"/>
        <v>831Total Fees</v>
      </c>
      <c r="B10820">
        <v>831</v>
      </c>
      <c r="C10820" s="9" t="s">
        <v>40</v>
      </c>
      <c r="D10820" s="8">
        <v>0</v>
      </c>
    </row>
    <row r="10821" spans="1:4">
      <c r="A10821" t="str">
        <f t="shared" si="178"/>
        <v>831Estimated Strategy Capacity</v>
      </c>
      <c r="B10821">
        <v>831</v>
      </c>
      <c r="C10821" s="9" t="s">
        <v>41</v>
      </c>
      <c r="D10821" s="8">
        <v>300000000</v>
      </c>
    </row>
    <row r="10822" spans="1:4">
      <c r="A10822" t="str">
        <f t="shared" si="178"/>
        <v>832PSR</v>
      </c>
      <c r="B10822">
        <v>832</v>
      </c>
      <c r="C10822" s="9" t="s">
        <v>27</v>
      </c>
      <c r="D10822" s="8">
        <v>0.12748000000000001</v>
      </c>
    </row>
    <row r="10823" spans="1:4">
      <c r="A10823" t="str">
        <f t="shared" si="178"/>
        <v>832Sharpe Ratio</v>
      </c>
      <c r="B10823">
        <v>832</v>
      </c>
      <c r="C10823" s="9" t="s">
        <v>1</v>
      </c>
      <c r="D10823" s="8">
        <v>-0.157</v>
      </c>
    </row>
    <row r="10824" spans="1:4">
      <c r="A10824" t="str">
        <f t="shared" si="178"/>
        <v>832Total Trades</v>
      </c>
      <c r="B10824">
        <v>832</v>
      </c>
      <c r="C10824" s="9" t="s">
        <v>28</v>
      </c>
      <c r="D10824" s="8">
        <v>703</v>
      </c>
    </row>
    <row r="10825" spans="1:4">
      <c r="A10825" t="str">
        <f t="shared" si="178"/>
        <v>832Average Win</v>
      </c>
      <c r="B10825">
        <v>832</v>
      </c>
      <c r="C10825" s="9" t="s">
        <v>25</v>
      </c>
      <c r="D10825" s="8">
        <v>6.9999999999999999E-4</v>
      </c>
    </row>
    <row r="10826" spans="1:4">
      <c r="A10826" t="str">
        <f t="shared" si="178"/>
        <v>832Average Loss</v>
      </c>
      <c r="B10826">
        <v>832</v>
      </c>
      <c r="C10826" s="9" t="s">
        <v>29</v>
      </c>
      <c r="D10826" s="8">
        <v>-1.6000000000000001E-3</v>
      </c>
    </row>
    <row r="10827" spans="1:4">
      <c r="A10827" t="str">
        <f t="shared" si="178"/>
        <v>832Compounding Annual Return</v>
      </c>
      <c r="B10827">
        <v>832</v>
      </c>
      <c r="C10827" s="9" t="s">
        <v>30</v>
      </c>
      <c r="D10827" s="8">
        <v>-3.8500000000000001E-3</v>
      </c>
    </row>
    <row r="10828" spans="1:4">
      <c r="A10828" t="str">
        <f t="shared" si="178"/>
        <v>832Drawdown</v>
      </c>
      <c r="B10828">
        <v>832</v>
      </c>
      <c r="C10828" s="9" t="s">
        <v>8</v>
      </c>
      <c r="D10828" s="8">
        <v>2.4E-2</v>
      </c>
    </row>
    <row r="10829" spans="1:4">
      <c r="A10829" t="str">
        <f t="shared" si="178"/>
        <v>832Expectancy</v>
      </c>
      <c r="B10829">
        <v>832</v>
      </c>
      <c r="C10829" s="9" t="s">
        <v>31</v>
      </c>
      <c r="D10829" s="8">
        <v>-4.1000000000000002E-2</v>
      </c>
    </row>
    <row r="10830" spans="1:4">
      <c r="A10830" t="str">
        <f t="shared" si="178"/>
        <v>832Net Profit</v>
      </c>
      <c r="B10830">
        <v>832</v>
      </c>
      <c r="C10830" s="9" t="s">
        <v>32</v>
      </c>
      <c r="D10830" s="8">
        <v>-2.5600000000000002E-3</v>
      </c>
    </row>
    <row r="10831" spans="1:4">
      <c r="A10831" t="str">
        <f t="shared" si="178"/>
        <v>832Loss Rate</v>
      </c>
      <c r="B10831">
        <v>832</v>
      </c>
      <c r="C10831" s="9" t="s">
        <v>33</v>
      </c>
      <c r="D10831" s="8">
        <v>0.33</v>
      </c>
    </row>
    <row r="10832" spans="1:4">
      <c r="A10832" t="str">
        <f t="shared" si="178"/>
        <v>832Win Rate</v>
      </c>
      <c r="B10832">
        <v>832</v>
      </c>
      <c r="C10832" s="9" t="s">
        <v>34</v>
      </c>
      <c r="D10832" s="8">
        <v>0.67</v>
      </c>
    </row>
    <row r="10833" spans="1:4">
      <c r="A10833" t="str">
        <f t="shared" si="178"/>
        <v>832Profit-Loss Ratio</v>
      </c>
      <c r="B10833">
        <v>832</v>
      </c>
      <c r="C10833" s="9" t="s">
        <v>26</v>
      </c>
      <c r="D10833" s="8">
        <v>0.43</v>
      </c>
    </row>
    <row r="10834" spans="1:4">
      <c r="A10834" t="str">
        <f t="shared" ref="A10834:A10897" si="179">B10834&amp;C10834</f>
        <v>832Alpha</v>
      </c>
      <c r="B10834">
        <v>832</v>
      </c>
      <c r="C10834" s="9" t="s">
        <v>23</v>
      </c>
      <c r="D10834" s="8">
        <v>-2E-3</v>
      </c>
    </row>
    <row r="10835" spans="1:4">
      <c r="A10835" t="str">
        <f t="shared" si="179"/>
        <v>832Beta</v>
      </c>
      <c r="B10835">
        <v>832</v>
      </c>
      <c r="C10835" s="9" t="s">
        <v>24</v>
      </c>
      <c r="D10835" s="8">
        <v>-6.0000000000000001E-3</v>
      </c>
    </row>
    <row r="10836" spans="1:4">
      <c r="A10836" t="str">
        <f t="shared" si="179"/>
        <v>832Annual Standard Deviation</v>
      </c>
      <c r="B10836">
        <v>832</v>
      </c>
      <c r="C10836" s="9" t="s">
        <v>35</v>
      </c>
      <c r="D10836" s="8">
        <v>1.6E-2</v>
      </c>
    </row>
    <row r="10837" spans="1:4">
      <c r="A10837" t="str">
        <f t="shared" si="179"/>
        <v>832Annual Variance</v>
      </c>
      <c r="B10837">
        <v>832</v>
      </c>
      <c r="C10837" s="9" t="s">
        <v>36</v>
      </c>
      <c r="D10837" s="8">
        <v>0</v>
      </c>
    </row>
    <row r="10838" spans="1:4">
      <c r="A10838" t="str">
        <f t="shared" si="179"/>
        <v>832Information Ratio</v>
      </c>
      <c r="B10838">
        <v>832</v>
      </c>
      <c r="C10838" s="9" t="s">
        <v>37</v>
      </c>
      <c r="D10838" s="8">
        <v>-0.78300000000000003</v>
      </c>
    </row>
    <row r="10839" spans="1:4">
      <c r="A10839" t="str">
        <f t="shared" si="179"/>
        <v>832Tracking Error</v>
      </c>
      <c r="B10839">
        <v>832</v>
      </c>
      <c r="C10839" s="9" t="s">
        <v>38</v>
      </c>
      <c r="D10839" s="8">
        <v>7.0000000000000007E-2</v>
      </c>
    </row>
    <row r="10840" spans="1:4">
      <c r="A10840" t="str">
        <f t="shared" si="179"/>
        <v>832Treynor Ratio</v>
      </c>
      <c r="B10840">
        <v>832</v>
      </c>
      <c r="C10840" s="9" t="s">
        <v>39</v>
      </c>
      <c r="D10840" s="8">
        <v>0.40500000000000003</v>
      </c>
    </row>
    <row r="10841" spans="1:4">
      <c r="A10841" t="str">
        <f t="shared" si="179"/>
        <v>832Total Fees</v>
      </c>
      <c r="B10841">
        <v>832</v>
      </c>
      <c r="C10841" s="9" t="s">
        <v>40</v>
      </c>
      <c r="D10841" s="8">
        <v>0</v>
      </c>
    </row>
    <row r="10842" spans="1:4">
      <c r="A10842" t="str">
        <f t="shared" si="179"/>
        <v>832Estimated Strategy Capacity</v>
      </c>
      <c r="B10842">
        <v>832</v>
      </c>
      <c r="C10842" s="9" t="s">
        <v>41</v>
      </c>
      <c r="D10842" s="8">
        <v>21000000000</v>
      </c>
    </row>
    <row r="10843" spans="1:4">
      <c r="A10843" t="str">
        <f t="shared" si="179"/>
        <v>833PSR</v>
      </c>
      <c r="B10843">
        <v>833</v>
      </c>
      <c r="C10843" s="9" t="s">
        <v>27</v>
      </c>
      <c r="D10843" s="8">
        <v>8.6080000000000004E-2</v>
      </c>
    </row>
    <row r="10844" spans="1:4">
      <c r="A10844" t="str">
        <f t="shared" si="179"/>
        <v>833Sharpe Ratio</v>
      </c>
      <c r="B10844">
        <v>833</v>
      </c>
      <c r="C10844" s="9" t="s">
        <v>1</v>
      </c>
      <c r="D10844" s="8">
        <v>-0.38400000000000001</v>
      </c>
    </row>
    <row r="10845" spans="1:4">
      <c r="A10845" t="str">
        <f t="shared" si="179"/>
        <v>833Total Trades</v>
      </c>
      <c r="B10845">
        <v>833</v>
      </c>
      <c r="C10845" s="9" t="s">
        <v>28</v>
      </c>
      <c r="D10845" s="8">
        <v>519</v>
      </c>
    </row>
    <row r="10846" spans="1:4">
      <c r="A10846" t="str">
        <f t="shared" si="179"/>
        <v>833Average Win</v>
      </c>
      <c r="B10846">
        <v>833</v>
      </c>
      <c r="C10846" s="9" t="s">
        <v>25</v>
      </c>
      <c r="D10846" s="8">
        <v>1.5E-3</v>
      </c>
    </row>
    <row r="10847" spans="1:4">
      <c r="A10847" t="str">
        <f t="shared" si="179"/>
        <v>833Average Loss</v>
      </c>
      <c r="B10847">
        <v>833</v>
      </c>
      <c r="C10847" s="9" t="s">
        <v>29</v>
      </c>
      <c r="D10847" s="8">
        <v>-3.7000000000000002E-3</v>
      </c>
    </row>
    <row r="10848" spans="1:4">
      <c r="A10848" t="str">
        <f t="shared" si="179"/>
        <v>833Compounding Annual Return</v>
      </c>
      <c r="B10848">
        <v>833</v>
      </c>
      <c r="C10848" s="9" t="s">
        <v>30</v>
      </c>
      <c r="D10848" s="8">
        <v>-1.7590000000000001E-2</v>
      </c>
    </row>
    <row r="10849" spans="1:4">
      <c r="A10849" t="str">
        <f t="shared" si="179"/>
        <v>833Drawdown</v>
      </c>
      <c r="B10849">
        <v>833</v>
      </c>
      <c r="C10849" s="9" t="s">
        <v>8</v>
      </c>
      <c r="D10849" s="8">
        <v>4.3999999999999997E-2</v>
      </c>
    </row>
    <row r="10850" spans="1:4">
      <c r="A10850" t="str">
        <f t="shared" si="179"/>
        <v>833Expectancy</v>
      </c>
      <c r="B10850">
        <v>833</v>
      </c>
      <c r="C10850" s="9" t="s">
        <v>31</v>
      </c>
      <c r="D10850" s="8">
        <v>-7.0000000000000007E-2</v>
      </c>
    </row>
    <row r="10851" spans="1:4">
      <c r="A10851" t="str">
        <f t="shared" si="179"/>
        <v>833Net Profit</v>
      </c>
      <c r="B10851">
        <v>833</v>
      </c>
      <c r="C10851" s="9" t="s">
        <v>32</v>
      </c>
      <c r="D10851" s="8">
        <v>-1.174E-2</v>
      </c>
    </row>
    <row r="10852" spans="1:4">
      <c r="A10852" t="str">
        <f t="shared" si="179"/>
        <v>833Loss Rate</v>
      </c>
      <c r="B10852">
        <v>833</v>
      </c>
      <c r="C10852" s="9" t="s">
        <v>33</v>
      </c>
      <c r="D10852" s="8">
        <v>0.35</v>
      </c>
    </row>
    <row r="10853" spans="1:4">
      <c r="A10853" t="str">
        <f t="shared" si="179"/>
        <v>833Win Rate</v>
      </c>
      <c r="B10853">
        <v>833</v>
      </c>
      <c r="C10853" s="9" t="s">
        <v>34</v>
      </c>
      <c r="D10853" s="8">
        <v>0.65</v>
      </c>
    </row>
    <row r="10854" spans="1:4">
      <c r="A10854" t="str">
        <f t="shared" si="179"/>
        <v>833Profit-Loss Ratio</v>
      </c>
      <c r="B10854">
        <v>833</v>
      </c>
      <c r="C10854" s="9" t="s">
        <v>26</v>
      </c>
      <c r="D10854" s="8">
        <v>0.42</v>
      </c>
    </row>
    <row r="10855" spans="1:4">
      <c r="A10855" t="str">
        <f t="shared" si="179"/>
        <v>833Alpha</v>
      </c>
      <c r="B10855">
        <v>833</v>
      </c>
      <c r="C10855" s="9" t="s">
        <v>23</v>
      </c>
      <c r="D10855" s="8">
        <v>-1.2E-2</v>
      </c>
    </row>
    <row r="10856" spans="1:4">
      <c r="A10856" t="str">
        <f t="shared" si="179"/>
        <v>833Beta</v>
      </c>
      <c r="B10856">
        <v>833</v>
      </c>
      <c r="C10856" s="9" t="s">
        <v>24</v>
      </c>
      <c r="D10856" s="8">
        <v>1.2999999999999999E-2</v>
      </c>
    </row>
    <row r="10857" spans="1:4">
      <c r="A10857" t="str">
        <f t="shared" si="179"/>
        <v>833Annual Standard Deviation</v>
      </c>
      <c r="B10857">
        <v>833</v>
      </c>
      <c r="C10857" s="9" t="s">
        <v>35</v>
      </c>
      <c r="D10857" s="8">
        <v>3.1E-2</v>
      </c>
    </row>
    <row r="10858" spans="1:4">
      <c r="A10858" t="str">
        <f t="shared" si="179"/>
        <v>833Annual Variance</v>
      </c>
      <c r="B10858">
        <v>833</v>
      </c>
      <c r="C10858" s="9" t="s">
        <v>36</v>
      </c>
      <c r="D10858" s="8">
        <v>1E-3</v>
      </c>
    </row>
    <row r="10859" spans="1:4">
      <c r="A10859" t="str">
        <f t="shared" si="179"/>
        <v>833Information Ratio</v>
      </c>
      <c r="B10859">
        <v>833</v>
      </c>
      <c r="C10859" s="9" t="s">
        <v>37</v>
      </c>
      <c r="D10859" s="8">
        <v>-0.871</v>
      </c>
    </row>
    <row r="10860" spans="1:4">
      <c r="A10860" t="str">
        <f t="shared" si="179"/>
        <v>833Tracking Error</v>
      </c>
      <c r="B10860">
        <v>833</v>
      </c>
      <c r="C10860" s="9" t="s">
        <v>38</v>
      </c>
      <c r="D10860" s="8">
        <v>7.2999999999999995E-2</v>
      </c>
    </row>
    <row r="10861" spans="1:4">
      <c r="A10861" t="str">
        <f t="shared" si="179"/>
        <v>833Treynor Ratio</v>
      </c>
      <c r="B10861">
        <v>833</v>
      </c>
      <c r="C10861" s="9" t="s">
        <v>39</v>
      </c>
      <c r="D10861" s="8">
        <v>-0.89100000000000001</v>
      </c>
    </row>
    <row r="10862" spans="1:4">
      <c r="A10862" t="str">
        <f t="shared" si="179"/>
        <v>833Total Fees</v>
      </c>
      <c r="B10862">
        <v>833</v>
      </c>
      <c r="C10862" s="9" t="s">
        <v>40</v>
      </c>
      <c r="D10862" s="8">
        <v>0</v>
      </c>
    </row>
    <row r="10863" spans="1:4">
      <c r="A10863" t="str">
        <f t="shared" si="179"/>
        <v>833Estimated Strategy Capacity</v>
      </c>
      <c r="B10863">
        <v>833</v>
      </c>
      <c r="C10863" s="9" t="s">
        <v>41</v>
      </c>
      <c r="D10863" s="8">
        <v>2100000000</v>
      </c>
    </row>
    <row r="10864" spans="1:4">
      <c r="A10864" t="str">
        <f t="shared" si="179"/>
        <v>834PSR</v>
      </c>
      <c r="B10864">
        <v>834</v>
      </c>
      <c r="C10864" s="9" t="s">
        <v>27</v>
      </c>
      <c r="D10864" s="8">
        <v>0.20243</v>
      </c>
    </row>
    <row r="10865" spans="1:4">
      <c r="A10865" t="str">
        <f t="shared" si="179"/>
        <v>834Sharpe Ratio</v>
      </c>
      <c r="B10865">
        <v>834</v>
      </c>
      <c r="C10865" s="9" t="s">
        <v>1</v>
      </c>
      <c r="D10865" s="8">
        <v>0.153</v>
      </c>
    </row>
    <row r="10866" spans="1:4">
      <c r="A10866" t="str">
        <f t="shared" si="179"/>
        <v>834Total Trades</v>
      </c>
      <c r="B10866">
        <v>834</v>
      </c>
      <c r="C10866" s="9" t="s">
        <v>28</v>
      </c>
      <c r="D10866" s="8">
        <v>384</v>
      </c>
    </row>
    <row r="10867" spans="1:4">
      <c r="A10867" t="str">
        <f t="shared" si="179"/>
        <v>834Average Win</v>
      </c>
      <c r="B10867">
        <v>834</v>
      </c>
      <c r="C10867" s="9" t="s">
        <v>25</v>
      </c>
      <c r="D10867" s="8">
        <v>2.3999999999999998E-3</v>
      </c>
    </row>
    <row r="10868" spans="1:4">
      <c r="A10868" t="str">
        <f t="shared" si="179"/>
        <v>834Average Loss</v>
      </c>
      <c r="B10868">
        <v>834</v>
      </c>
      <c r="C10868" s="9" t="s">
        <v>29</v>
      </c>
      <c r="D10868" s="8">
        <v>-5.1000000000000004E-3</v>
      </c>
    </row>
    <row r="10869" spans="1:4">
      <c r="A10869" t="str">
        <f t="shared" si="179"/>
        <v>834Compounding Annual Return</v>
      </c>
      <c r="B10869">
        <v>834</v>
      </c>
      <c r="C10869" s="9" t="s">
        <v>30</v>
      </c>
      <c r="D10869" s="8">
        <v>7.9299999999999995E-3</v>
      </c>
    </row>
    <row r="10870" spans="1:4">
      <c r="A10870" t="str">
        <f t="shared" si="179"/>
        <v>834Drawdown</v>
      </c>
      <c r="B10870">
        <v>834</v>
      </c>
      <c r="C10870" s="9" t="s">
        <v>8</v>
      </c>
      <c r="D10870" s="8">
        <v>3.6999999999999998E-2</v>
      </c>
    </row>
    <row r="10871" spans="1:4">
      <c r="A10871" t="str">
        <f t="shared" si="179"/>
        <v>834Expectancy</v>
      </c>
      <c r="B10871">
        <v>834</v>
      </c>
      <c r="C10871" s="9" t="s">
        <v>31</v>
      </c>
      <c r="D10871" s="8">
        <v>1.9E-2</v>
      </c>
    </row>
    <row r="10872" spans="1:4">
      <c r="A10872" t="str">
        <f t="shared" si="179"/>
        <v>834Net Profit</v>
      </c>
      <c r="B10872">
        <v>834</v>
      </c>
      <c r="C10872" s="9" t="s">
        <v>32</v>
      </c>
      <c r="D10872" s="8">
        <v>5.2700000000000004E-3</v>
      </c>
    </row>
    <row r="10873" spans="1:4">
      <c r="A10873" t="str">
        <f t="shared" si="179"/>
        <v>834Loss Rate</v>
      </c>
      <c r="B10873">
        <v>834</v>
      </c>
      <c r="C10873" s="9" t="s">
        <v>33</v>
      </c>
      <c r="D10873" s="8">
        <v>0.31</v>
      </c>
    </row>
    <row r="10874" spans="1:4">
      <c r="A10874" t="str">
        <f t="shared" si="179"/>
        <v>834Win Rate</v>
      </c>
      <c r="B10874">
        <v>834</v>
      </c>
      <c r="C10874" s="9" t="s">
        <v>34</v>
      </c>
      <c r="D10874" s="8">
        <v>0.69</v>
      </c>
    </row>
    <row r="10875" spans="1:4">
      <c r="A10875" t="str">
        <f t="shared" si="179"/>
        <v>834Profit-Loss Ratio</v>
      </c>
      <c r="B10875">
        <v>834</v>
      </c>
      <c r="C10875" s="9" t="s">
        <v>26</v>
      </c>
      <c r="D10875" s="8">
        <v>0.47</v>
      </c>
    </row>
    <row r="10876" spans="1:4">
      <c r="A10876" t="str">
        <f t="shared" si="179"/>
        <v>834Alpha</v>
      </c>
      <c r="B10876">
        <v>834</v>
      </c>
      <c r="C10876" s="9" t="s">
        <v>23</v>
      </c>
      <c r="D10876" s="8">
        <v>4.0000000000000001E-3</v>
      </c>
    </row>
    <row r="10877" spans="1:4">
      <c r="A10877" t="str">
        <f t="shared" si="179"/>
        <v>834Beta</v>
      </c>
      <c r="B10877">
        <v>834</v>
      </c>
      <c r="C10877" s="9" t="s">
        <v>24</v>
      </c>
      <c r="D10877" s="8">
        <v>4.1000000000000002E-2</v>
      </c>
    </row>
    <row r="10878" spans="1:4">
      <c r="A10878" t="str">
        <f t="shared" si="179"/>
        <v>834Annual Standard Deviation</v>
      </c>
      <c r="B10878">
        <v>834</v>
      </c>
      <c r="C10878" s="9" t="s">
        <v>35</v>
      </c>
      <c r="D10878" s="8">
        <v>4.1000000000000002E-2</v>
      </c>
    </row>
    <row r="10879" spans="1:4">
      <c r="A10879" t="str">
        <f t="shared" si="179"/>
        <v>834Annual Variance</v>
      </c>
      <c r="B10879">
        <v>834</v>
      </c>
      <c r="C10879" s="9" t="s">
        <v>36</v>
      </c>
      <c r="D10879" s="8">
        <v>2E-3</v>
      </c>
    </row>
    <row r="10880" spans="1:4">
      <c r="A10880" t="str">
        <f t="shared" si="179"/>
        <v>834Information Ratio</v>
      </c>
      <c r="B10880">
        <v>834</v>
      </c>
      <c r="C10880" s="9" t="s">
        <v>37</v>
      </c>
      <c r="D10880" s="8">
        <v>-0.59499999999999997</v>
      </c>
    </row>
    <row r="10881" spans="1:4">
      <c r="A10881" t="str">
        <f t="shared" si="179"/>
        <v>834Tracking Error</v>
      </c>
      <c r="B10881">
        <v>834</v>
      </c>
      <c r="C10881" s="9" t="s">
        <v>38</v>
      </c>
      <c r="D10881" s="8">
        <v>7.6999999999999999E-2</v>
      </c>
    </row>
    <row r="10882" spans="1:4">
      <c r="A10882" t="str">
        <f t="shared" si="179"/>
        <v>834Treynor Ratio</v>
      </c>
      <c r="B10882">
        <v>834</v>
      </c>
      <c r="C10882" s="9" t="s">
        <v>39</v>
      </c>
      <c r="D10882" s="8">
        <v>0.154</v>
      </c>
    </row>
    <row r="10883" spans="1:4">
      <c r="A10883" t="str">
        <f t="shared" si="179"/>
        <v>834Total Fees</v>
      </c>
      <c r="B10883">
        <v>834</v>
      </c>
      <c r="C10883" s="9" t="s">
        <v>40</v>
      </c>
      <c r="D10883" s="8">
        <v>0</v>
      </c>
    </row>
    <row r="10884" spans="1:4">
      <c r="A10884" t="str">
        <f t="shared" si="179"/>
        <v>834Estimated Strategy Capacity</v>
      </c>
      <c r="B10884">
        <v>834</v>
      </c>
      <c r="C10884" s="9" t="s">
        <v>41</v>
      </c>
      <c r="D10884" s="8">
        <v>670000000</v>
      </c>
    </row>
    <row r="10885" spans="1:4">
      <c r="A10885" t="str">
        <f t="shared" si="179"/>
        <v>835PSR</v>
      </c>
      <c r="B10885">
        <v>835</v>
      </c>
      <c r="C10885" s="9" t="s">
        <v>27</v>
      </c>
      <c r="D10885" s="8">
        <v>0.19963</v>
      </c>
    </row>
    <row r="10886" spans="1:4">
      <c r="A10886" t="str">
        <f t="shared" si="179"/>
        <v>835Sharpe Ratio</v>
      </c>
      <c r="B10886">
        <v>835</v>
      </c>
      <c r="C10886" s="9" t="s">
        <v>1</v>
      </c>
      <c r="D10886" s="8">
        <v>0.14499999999999999</v>
      </c>
    </row>
    <row r="10887" spans="1:4">
      <c r="A10887" t="str">
        <f t="shared" si="179"/>
        <v>835Total Trades</v>
      </c>
      <c r="B10887">
        <v>835</v>
      </c>
      <c r="C10887" s="9" t="s">
        <v>28</v>
      </c>
      <c r="D10887" s="8">
        <v>553</v>
      </c>
    </row>
    <row r="10888" spans="1:4">
      <c r="A10888" t="str">
        <f t="shared" si="179"/>
        <v>835Average Win</v>
      </c>
      <c r="B10888">
        <v>835</v>
      </c>
      <c r="C10888" s="9" t="s">
        <v>25</v>
      </c>
      <c r="D10888" s="8">
        <v>5.9999999999999995E-4</v>
      </c>
    </row>
    <row r="10889" spans="1:4">
      <c r="A10889" t="str">
        <f t="shared" si="179"/>
        <v>835Average Loss</v>
      </c>
      <c r="B10889">
        <v>835</v>
      </c>
      <c r="C10889" s="9" t="s">
        <v>29</v>
      </c>
      <c r="D10889" s="8">
        <v>-1E-3</v>
      </c>
    </row>
    <row r="10890" spans="1:4">
      <c r="A10890" t="str">
        <f t="shared" si="179"/>
        <v>835Compounding Annual Return</v>
      </c>
      <c r="B10890">
        <v>835</v>
      </c>
      <c r="C10890" s="9" t="s">
        <v>30</v>
      </c>
      <c r="D10890" s="8">
        <v>2.3700000000000001E-3</v>
      </c>
    </row>
    <row r="10891" spans="1:4">
      <c r="A10891" t="str">
        <f t="shared" si="179"/>
        <v>835Drawdown</v>
      </c>
      <c r="B10891">
        <v>835</v>
      </c>
      <c r="C10891" s="9" t="s">
        <v>8</v>
      </c>
      <c r="D10891" s="8">
        <v>1.2E-2</v>
      </c>
    </row>
    <row r="10892" spans="1:4">
      <c r="A10892" t="str">
        <f t="shared" si="179"/>
        <v>835Expectancy</v>
      </c>
      <c r="B10892">
        <v>835</v>
      </c>
      <c r="C10892" s="9" t="s">
        <v>31</v>
      </c>
      <c r="D10892" s="8">
        <v>3.6999999999999998E-2</v>
      </c>
    </row>
    <row r="10893" spans="1:4">
      <c r="A10893" t="str">
        <f t="shared" si="179"/>
        <v>835Net Profit</v>
      </c>
      <c r="B10893">
        <v>835</v>
      </c>
      <c r="C10893" s="9" t="s">
        <v>32</v>
      </c>
      <c r="D10893" s="8">
        <v>1.58E-3</v>
      </c>
    </row>
    <row r="10894" spans="1:4">
      <c r="A10894" t="str">
        <f t="shared" si="179"/>
        <v>835Loss Rate</v>
      </c>
      <c r="B10894">
        <v>835</v>
      </c>
      <c r="C10894" s="9" t="s">
        <v>33</v>
      </c>
      <c r="D10894" s="8">
        <v>0.35</v>
      </c>
    </row>
    <row r="10895" spans="1:4">
      <c r="A10895" t="str">
        <f t="shared" si="179"/>
        <v>835Win Rate</v>
      </c>
      <c r="B10895">
        <v>835</v>
      </c>
      <c r="C10895" s="9" t="s">
        <v>34</v>
      </c>
      <c r="D10895" s="8">
        <v>0.65</v>
      </c>
    </row>
    <row r="10896" spans="1:4">
      <c r="A10896" t="str">
        <f t="shared" si="179"/>
        <v>835Profit-Loss Ratio</v>
      </c>
      <c r="B10896">
        <v>835</v>
      </c>
      <c r="C10896" s="9" t="s">
        <v>26</v>
      </c>
      <c r="D10896" s="8">
        <v>0.59</v>
      </c>
    </row>
    <row r="10897" spans="1:4">
      <c r="A10897" t="str">
        <f t="shared" si="179"/>
        <v>835Alpha</v>
      </c>
      <c r="B10897">
        <v>835</v>
      </c>
      <c r="C10897" s="9" t="s">
        <v>23</v>
      </c>
      <c r="D10897" s="8">
        <v>1E-3</v>
      </c>
    </row>
    <row r="10898" spans="1:4">
      <c r="A10898" t="str">
        <f t="shared" ref="A10898:A10961" si="180">B10898&amp;C10898</f>
        <v>835Beta</v>
      </c>
      <c r="B10898">
        <v>835</v>
      </c>
      <c r="C10898" s="9" t="s">
        <v>24</v>
      </c>
      <c r="D10898" s="8">
        <v>8.9999999999999993E-3</v>
      </c>
    </row>
    <row r="10899" spans="1:4">
      <c r="A10899" t="str">
        <f t="shared" si="180"/>
        <v>835Annual Standard Deviation</v>
      </c>
      <c r="B10899">
        <v>835</v>
      </c>
      <c r="C10899" s="9" t="s">
        <v>35</v>
      </c>
      <c r="D10899" s="8">
        <v>1.2E-2</v>
      </c>
    </row>
    <row r="10900" spans="1:4">
      <c r="A10900" t="str">
        <f t="shared" si="180"/>
        <v>835Annual Variance</v>
      </c>
      <c r="B10900">
        <v>835</v>
      </c>
      <c r="C10900" s="9" t="s">
        <v>36</v>
      </c>
      <c r="D10900" s="8">
        <v>0</v>
      </c>
    </row>
    <row r="10901" spans="1:4">
      <c r="A10901" t="str">
        <f t="shared" si="180"/>
        <v>835Information Ratio</v>
      </c>
      <c r="B10901">
        <v>835</v>
      </c>
      <c r="C10901" s="9" t="s">
        <v>37</v>
      </c>
      <c r="D10901" s="8">
        <v>-0.74199999999999999</v>
      </c>
    </row>
    <row r="10902" spans="1:4">
      <c r="A10902" t="str">
        <f t="shared" si="180"/>
        <v>835Tracking Error</v>
      </c>
      <c r="B10902">
        <v>835</v>
      </c>
      <c r="C10902" s="9" t="s">
        <v>38</v>
      </c>
      <c r="D10902" s="8">
        <v>6.8000000000000005E-2</v>
      </c>
    </row>
    <row r="10903" spans="1:4">
      <c r="A10903" t="str">
        <f t="shared" si="180"/>
        <v>835Treynor Ratio</v>
      </c>
      <c r="B10903">
        <v>835</v>
      </c>
      <c r="C10903" s="9" t="s">
        <v>39</v>
      </c>
      <c r="D10903" s="8">
        <v>0.19</v>
      </c>
    </row>
    <row r="10904" spans="1:4">
      <c r="A10904" t="str">
        <f t="shared" si="180"/>
        <v>835Total Fees</v>
      </c>
      <c r="B10904">
        <v>835</v>
      </c>
      <c r="C10904" s="9" t="s">
        <v>40</v>
      </c>
      <c r="D10904" s="8">
        <v>0</v>
      </c>
    </row>
    <row r="10905" spans="1:4">
      <c r="A10905" t="str">
        <f t="shared" si="180"/>
        <v>835Estimated Strategy Capacity</v>
      </c>
      <c r="B10905">
        <v>835</v>
      </c>
      <c r="C10905" s="9" t="s">
        <v>41</v>
      </c>
      <c r="D10905" s="8">
        <v>12000000</v>
      </c>
    </row>
    <row r="10906" spans="1:4">
      <c r="A10906" t="str">
        <f t="shared" si="180"/>
        <v>836PSR</v>
      </c>
      <c r="B10906">
        <v>836</v>
      </c>
      <c r="C10906" s="9" t="s">
        <v>27</v>
      </c>
      <c r="D10906" s="8">
        <v>0.24882000000000001</v>
      </c>
    </row>
    <row r="10907" spans="1:4">
      <c r="A10907" t="str">
        <f t="shared" si="180"/>
        <v>836Sharpe Ratio</v>
      </c>
      <c r="B10907">
        <v>836</v>
      </c>
      <c r="C10907" s="9" t="s">
        <v>1</v>
      </c>
      <c r="D10907" s="8">
        <v>0.314</v>
      </c>
    </row>
    <row r="10908" spans="1:4">
      <c r="A10908" t="str">
        <f t="shared" si="180"/>
        <v>836Total Trades</v>
      </c>
      <c r="B10908">
        <v>836</v>
      </c>
      <c r="C10908" s="9" t="s">
        <v>28</v>
      </c>
      <c r="D10908" s="8">
        <v>421</v>
      </c>
    </row>
    <row r="10909" spans="1:4">
      <c r="A10909" t="str">
        <f t="shared" si="180"/>
        <v>836Average Win</v>
      </c>
      <c r="B10909">
        <v>836</v>
      </c>
      <c r="C10909" s="9" t="s">
        <v>25</v>
      </c>
      <c r="D10909" s="8">
        <v>1.2999999999999999E-3</v>
      </c>
    </row>
    <row r="10910" spans="1:4">
      <c r="A10910" t="str">
        <f t="shared" si="180"/>
        <v>836Average Loss</v>
      </c>
      <c r="B10910">
        <v>836</v>
      </c>
      <c r="C10910" s="9" t="s">
        <v>29</v>
      </c>
      <c r="D10910" s="8">
        <v>-2.5000000000000001E-3</v>
      </c>
    </row>
    <row r="10911" spans="1:4">
      <c r="A10911" t="str">
        <f t="shared" si="180"/>
        <v>836Compounding Annual Return</v>
      </c>
      <c r="B10911">
        <v>836</v>
      </c>
      <c r="C10911" s="9" t="s">
        <v>30</v>
      </c>
      <c r="D10911" s="8">
        <v>1.1809999999999999E-2</v>
      </c>
    </row>
    <row r="10912" spans="1:4">
      <c r="A10912" t="str">
        <f t="shared" si="180"/>
        <v>836Drawdown</v>
      </c>
      <c r="B10912">
        <v>836</v>
      </c>
      <c r="C10912" s="9" t="s">
        <v>8</v>
      </c>
      <c r="D10912" s="8">
        <v>2.1000000000000001E-2</v>
      </c>
    </row>
    <row r="10913" spans="1:4">
      <c r="A10913" t="str">
        <f t="shared" si="180"/>
        <v>836Expectancy</v>
      </c>
      <c r="B10913">
        <v>836</v>
      </c>
      <c r="C10913" s="9" t="s">
        <v>31</v>
      </c>
      <c r="D10913" s="8">
        <v>0.09</v>
      </c>
    </row>
    <row r="10914" spans="1:4">
      <c r="A10914" t="str">
        <f t="shared" si="180"/>
        <v>836Net Profit</v>
      </c>
      <c r="B10914">
        <v>836</v>
      </c>
      <c r="C10914" s="9" t="s">
        <v>32</v>
      </c>
      <c r="D10914" s="8">
        <v>7.8499999999999993E-3</v>
      </c>
    </row>
    <row r="10915" spans="1:4">
      <c r="A10915" t="str">
        <f t="shared" si="180"/>
        <v>836Loss Rate</v>
      </c>
      <c r="B10915">
        <v>836</v>
      </c>
      <c r="C10915" s="9" t="s">
        <v>33</v>
      </c>
      <c r="D10915" s="8">
        <v>0.28000000000000003</v>
      </c>
    </row>
    <row r="10916" spans="1:4">
      <c r="A10916" t="str">
        <f t="shared" si="180"/>
        <v>836Win Rate</v>
      </c>
      <c r="B10916">
        <v>836</v>
      </c>
      <c r="C10916" s="9" t="s">
        <v>34</v>
      </c>
      <c r="D10916" s="8">
        <v>0.72</v>
      </c>
    </row>
    <row r="10917" spans="1:4">
      <c r="A10917" t="str">
        <f t="shared" si="180"/>
        <v>836Profit-Loss Ratio</v>
      </c>
      <c r="B10917">
        <v>836</v>
      </c>
      <c r="C10917" s="9" t="s">
        <v>26</v>
      </c>
      <c r="D10917" s="8">
        <v>0.51</v>
      </c>
    </row>
    <row r="10918" spans="1:4">
      <c r="A10918" t="str">
        <f t="shared" si="180"/>
        <v>836Alpha</v>
      </c>
      <c r="B10918">
        <v>836</v>
      </c>
      <c r="C10918" s="9" t="s">
        <v>23</v>
      </c>
      <c r="D10918" s="8">
        <v>7.0000000000000001E-3</v>
      </c>
    </row>
    <row r="10919" spans="1:4">
      <c r="A10919" t="str">
        <f t="shared" si="180"/>
        <v>836Beta</v>
      </c>
      <c r="B10919">
        <v>836</v>
      </c>
      <c r="C10919" s="9" t="s">
        <v>24</v>
      </c>
      <c r="D10919" s="8">
        <v>2.4E-2</v>
      </c>
    </row>
    <row r="10920" spans="1:4">
      <c r="A10920" t="str">
        <f t="shared" si="180"/>
        <v>836Annual Standard Deviation</v>
      </c>
      <c r="B10920">
        <v>836</v>
      </c>
      <c r="C10920" s="9" t="s">
        <v>35</v>
      </c>
      <c r="D10920" s="8">
        <v>2.7E-2</v>
      </c>
    </row>
    <row r="10921" spans="1:4">
      <c r="A10921" t="str">
        <f t="shared" si="180"/>
        <v>836Annual Variance</v>
      </c>
      <c r="B10921">
        <v>836</v>
      </c>
      <c r="C10921" s="9" t="s">
        <v>36</v>
      </c>
      <c r="D10921" s="8">
        <v>1E-3</v>
      </c>
    </row>
    <row r="10922" spans="1:4">
      <c r="A10922" t="str">
        <f t="shared" si="180"/>
        <v>836Information Ratio</v>
      </c>
      <c r="B10922">
        <v>836</v>
      </c>
      <c r="C10922" s="9" t="s">
        <v>37</v>
      </c>
      <c r="D10922" s="8">
        <v>-0.61</v>
      </c>
    </row>
    <row r="10923" spans="1:4">
      <c r="A10923" t="str">
        <f t="shared" si="180"/>
        <v>836Tracking Error</v>
      </c>
      <c r="B10923">
        <v>836</v>
      </c>
      <c r="C10923" s="9" t="s">
        <v>38</v>
      </c>
      <c r="D10923" s="8">
        <v>7.0999999999999994E-2</v>
      </c>
    </row>
    <row r="10924" spans="1:4">
      <c r="A10924" t="str">
        <f t="shared" si="180"/>
        <v>836Treynor Ratio</v>
      </c>
      <c r="B10924">
        <v>836</v>
      </c>
      <c r="C10924" s="9" t="s">
        <v>39</v>
      </c>
      <c r="D10924" s="8">
        <v>0.36099999999999999</v>
      </c>
    </row>
    <row r="10925" spans="1:4">
      <c r="A10925" t="str">
        <f t="shared" si="180"/>
        <v>836Total Fees</v>
      </c>
      <c r="B10925">
        <v>836</v>
      </c>
      <c r="C10925" s="9" t="s">
        <v>40</v>
      </c>
      <c r="D10925" s="8">
        <v>0</v>
      </c>
    </row>
    <row r="10926" spans="1:4">
      <c r="A10926" t="str">
        <f t="shared" si="180"/>
        <v>836Estimated Strategy Capacity</v>
      </c>
      <c r="B10926">
        <v>836</v>
      </c>
      <c r="C10926" s="9" t="s">
        <v>41</v>
      </c>
      <c r="D10926" s="8">
        <v>9900000</v>
      </c>
    </row>
    <row r="10927" spans="1:4">
      <c r="A10927" t="str">
        <f t="shared" si="180"/>
        <v>837PSR</v>
      </c>
      <c r="B10927">
        <v>837</v>
      </c>
      <c r="C10927" s="9" t="s">
        <v>27</v>
      </c>
      <c r="D10927" s="8">
        <v>0.30095</v>
      </c>
    </row>
    <row r="10928" spans="1:4">
      <c r="A10928" t="str">
        <f t="shared" si="180"/>
        <v>837Sharpe Ratio</v>
      </c>
      <c r="B10928">
        <v>837</v>
      </c>
      <c r="C10928" s="9" t="s">
        <v>1</v>
      </c>
      <c r="D10928" s="8">
        <v>0.48199999999999998</v>
      </c>
    </row>
    <row r="10929" spans="1:4">
      <c r="A10929" t="str">
        <f t="shared" si="180"/>
        <v>837Total Trades</v>
      </c>
      <c r="B10929">
        <v>837</v>
      </c>
      <c r="C10929" s="9" t="s">
        <v>28</v>
      </c>
      <c r="D10929" s="8">
        <v>301</v>
      </c>
    </row>
    <row r="10930" spans="1:4">
      <c r="A10930" t="str">
        <f t="shared" si="180"/>
        <v>837Average Win</v>
      </c>
      <c r="B10930">
        <v>837</v>
      </c>
      <c r="C10930" s="9" t="s">
        <v>25</v>
      </c>
      <c r="D10930" s="8">
        <v>2E-3</v>
      </c>
    </row>
    <row r="10931" spans="1:4">
      <c r="A10931" t="str">
        <f t="shared" si="180"/>
        <v>837Average Loss</v>
      </c>
      <c r="B10931">
        <v>837</v>
      </c>
      <c r="C10931" s="9" t="s">
        <v>29</v>
      </c>
      <c r="D10931" s="8">
        <v>-3.0999999999999999E-3</v>
      </c>
    </row>
    <row r="10932" spans="1:4">
      <c r="A10932" t="str">
        <f t="shared" si="180"/>
        <v>837Compounding Annual Return</v>
      </c>
      <c r="B10932">
        <v>837</v>
      </c>
      <c r="C10932" s="9" t="s">
        <v>30</v>
      </c>
      <c r="D10932" s="8">
        <v>2.7310000000000001E-2</v>
      </c>
    </row>
    <row r="10933" spans="1:4">
      <c r="A10933" t="str">
        <f t="shared" si="180"/>
        <v>837Drawdown</v>
      </c>
      <c r="B10933">
        <v>837</v>
      </c>
      <c r="C10933" s="9" t="s">
        <v>8</v>
      </c>
      <c r="D10933" s="8">
        <v>2.5999999999999999E-2</v>
      </c>
    </row>
    <row r="10934" spans="1:4">
      <c r="A10934" t="str">
        <f t="shared" si="180"/>
        <v>837Expectancy</v>
      </c>
      <c r="B10934">
        <v>837</v>
      </c>
      <c r="C10934" s="9" t="s">
        <v>31</v>
      </c>
      <c r="D10934" s="8">
        <v>0.13600000000000001</v>
      </c>
    </row>
    <row r="10935" spans="1:4">
      <c r="A10935" t="str">
        <f t="shared" si="180"/>
        <v>837Net Profit</v>
      </c>
      <c r="B10935">
        <v>837</v>
      </c>
      <c r="C10935" s="9" t="s">
        <v>32</v>
      </c>
      <c r="D10935" s="8">
        <v>1.8100000000000002E-2</v>
      </c>
    </row>
    <row r="10936" spans="1:4">
      <c r="A10936" t="str">
        <f t="shared" si="180"/>
        <v>837Loss Rate</v>
      </c>
      <c r="B10936">
        <v>837</v>
      </c>
      <c r="C10936" s="9" t="s">
        <v>33</v>
      </c>
      <c r="D10936" s="8">
        <v>0.31</v>
      </c>
    </row>
    <row r="10937" spans="1:4">
      <c r="A10937" t="str">
        <f t="shared" si="180"/>
        <v>837Win Rate</v>
      </c>
      <c r="B10937">
        <v>837</v>
      </c>
      <c r="C10937" s="9" t="s">
        <v>34</v>
      </c>
      <c r="D10937" s="8">
        <v>0.69</v>
      </c>
    </row>
    <row r="10938" spans="1:4">
      <c r="A10938" t="str">
        <f t="shared" si="180"/>
        <v>837Profit-Loss Ratio</v>
      </c>
      <c r="B10938">
        <v>837</v>
      </c>
      <c r="C10938" s="9" t="s">
        <v>26</v>
      </c>
      <c r="D10938" s="8">
        <v>0.64</v>
      </c>
    </row>
    <row r="10939" spans="1:4">
      <c r="A10939" t="str">
        <f t="shared" si="180"/>
        <v>837Alpha</v>
      </c>
      <c r="B10939">
        <v>837</v>
      </c>
      <c r="C10939" s="9" t="s">
        <v>23</v>
      </c>
      <c r="D10939" s="8">
        <v>1.7999999999999999E-2</v>
      </c>
    </row>
    <row r="10940" spans="1:4">
      <c r="A10940" t="str">
        <f t="shared" si="180"/>
        <v>837Beta</v>
      </c>
      <c r="B10940">
        <v>837</v>
      </c>
      <c r="C10940" s="9" t="s">
        <v>24</v>
      </c>
      <c r="D10940" s="8">
        <v>3.1E-2</v>
      </c>
    </row>
    <row r="10941" spans="1:4">
      <c r="A10941" t="str">
        <f t="shared" si="180"/>
        <v>837Annual Standard Deviation</v>
      </c>
      <c r="B10941">
        <v>837</v>
      </c>
      <c r="C10941" s="9" t="s">
        <v>35</v>
      </c>
      <c r="D10941" s="8">
        <v>4.1000000000000002E-2</v>
      </c>
    </row>
    <row r="10942" spans="1:4">
      <c r="A10942" t="str">
        <f t="shared" si="180"/>
        <v>837Annual Variance</v>
      </c>
      <c r="B10942">
        <v>837</v>
      </c>
      <c r="C10942" s="9" t="s">
        <v>36</v>
      </c>
      <c r="D10942" s="8">
        <v>2E-3</v>
      </c>
    </row>
    <row r="10943" spans="1:4">
      <c r="A10943" t="str">
        <f t="shared" si="180"/>
        <v>837Information Ratio</v>
      </c>
      <c r="B10943">
        <v>837</v>
      </c>
      <c r="C10943" s="9" t="s">
        <v>37</v>
      </c>
      <c r="D10943" s="8">
        <v>-0.41899999999999998</v>
      </c>
    </row>
    <row r="10944" spans="1:4">
      <c r="A10944" t="str">
        <f t="shared" si="180"/>
        <v>837Tracking Error</v>
      </c>
      <c r="B10944">
        <v>837</v>
      </c>
      <c r="C10944" s="9" t="s">
        <v>38</v>
      </c>
      <c r="D10944" s="8">
        <v>7.6999999999999999E-2</v>
      </c>
    </row>
    <row r="10945" spans="1:4">
      <c r="A10945" t="str">
        <f t="shared" si="180"/>
        <v>837Treynor Ratio</v>
      </c>
      <c r="B10945">
        <v>837</v>
      </c>
      <c r="C10945" s="9" t="s">
        <v>39</v>
      </c>
      <c r="D10945" s="8">
        <v>0.626</v>
      </c>
    </row>
    <row r="10946" spans="1:4">
      <c r="A10946" t="str">
        <f t="shared" si="180"/>
        <v>837Total Fees</v>
      </c>
      <c r="B10946">
        <v>837</v>
      </c>
      <c r="C10946" s="9" t="s">
        <v>40</v>
      </c>
      <c r="D10946" s="8">
        <v>0</v>
      </c>
    </row>
    <row r="10947" spans="1:4">
      <c r="A10947" t="str">
        <f t="shared" si="180"/>
        <v>837Estimated Strategy Capacity</v>
      </c>
      <c r="B10947">
        <v>837</v>
      </c>
      <c r="C10947" s="9" t="s">
        <v>41</v>
      </c>
      <c r="D10947" s="8">
        <v>9100000</v>
      </c>
    </row>
    <row r="10948" spans="1:4">
      <c r="A10948" t="str">
        <f t="shared" si="180"/>
        <v>856PSR</v>
      </c>
      <c r="B10948">
        <v>856</v>
      </c>
      <c r="C10948" s="9" t="s">
        <v>27</v>
      </c>
      <c r="D10948" s="8">
        <v>9.6519999999999995E-2</v>
      </c>
    </row>
    <row r="10949" spans="1:4">
      <c r="A10949" t="str">
        <f t="shared" si="180"/>
        <v>856Sharpe Ratio</v>
      </c>
      <c r="B10949">
        <v>856</v>
      </c>
      <c r="C10949" s="9" t="s">
        <v>1</v>
      </c>
      <c r="D10949" s="8">
        <v>-0.33300000000000002</v>
      </c>
    </row>
    <row r="10950" spans="1:4">
      <c r="A10950" t="str">
        <f t="shared" si="180"/>
        <v>856Total Trades</v>
      </c>
      <c r="B10950">
        <v>856</v>
      </c>
      <c r="C10950" s="9" t="s">
        <v>28</v>
      </c>
      <c r="D10950" s="8">
        <v>1146</v>
      </c>
    </row>
    <row r="10951" spans="1:4">
      <c r="A10951" t="str">
        <f t="shared" si="180"/>
        <v>856Average Win</v>
      </c>
      <c r="B10951">
        <v>856</v>
      </c>
      <c r="C10951" s="9" t="s">
        <v>25</v>
      </c>
      <c r="D10951" s="8">
        <v>4.0000000000000002E-4</v>
      </c>
    </row>
    <row r="10952" spans="1:4">
      <c r="A10952" t="str">
        <f t="shared" si="180"/>
        <v>856Average Loss</v>
      </c>
      <c r="B10952">
        <v>856</v>
      </c>
      <c r="C10952" s="9" t="s">
        <v>29</v>
      </c>
      <c r="D10952" s="8">
        <v>-8.9999999999999998E-4</v>
      </c>
    </row>
    <row r="10953" spans="1:4">
      <c r="A10953" t="str">
        <f t="shared" si="180"/>
        <v>856Compounding Annual Return</v>
      </c>
      <c r="B10953">
        <v>856</v>
      </c>
      <c r="C10953" s="9" t="s">
        <v>30</v>
      </c>
      <c r="D10953" s="8">
        <v>-4.8799999999999998E-3</v>
      </c>
    </row>
    <row r="10954" spans="1:4">
      <c r="A10954" t="str">
        <f t="shared" si="180"/>
        <v>856Drawdown</v>
      </c>
      <c r="B10954">
        <v>856</v>
      </c>
      <c r="C10954" s="9" t="s">
        <v>8</v>
      </c>
      <c r="D10954" s="8">
        <v>8.9999999999999993E-3</v>
      </c>
    </row>
    <row r="10955" spans="1:4">
      <c r="A10955" t="str">
        <f t="shared" si="180"/>
        <v>856Expectancy</v>
      </c>
      <c r="B10955">
        <v>856</v>
      </c>
      <c r="C10955" s="9" t="s">
        <v>31</v>
      </c>
      <c r="D10955" s="8">
        <v>-4.2999999999999997E-2</v>
      </c>
    </row>
    <row r="10956" spans="1:4">
      <c r="A10956" t="str">
        <f t="shared" si="180"/>
        <v>856Net Profit</v>
      </c>
      <c r="B10956">
        <v>856</v>
      </c>
      <c r="C10956" s="9" t="s">
        <v>32</v>
      </c>
      <c r="D10956" s="8">
        <v>-3.2499999999999999E-3</v>
      </c>
    </row>
    <row r="10957" spans="1:4">
      <c r="A10957" t="str">
        <f t="shared" si="180"/>
        <v>856Loss Rate</v>
      </c>
      <c r="B10957">
        <v>856</v>
      </c>
      <c r="C10957" s="9" t="s">
        <v>33</v>
      </c>
      <c r="D10957" s="8">
        <v>0.36</v>
      </c>
    </row>
    <row r="10958" spans="1:4">
      <c r="A10958" t="str">
        <f t="shared" si="180"/>
        <v>856Win Rate</v>
      </c>
      <c r="B10958">
        <v>856</v>
      </c>
      <c r="C10958" s="9" t="s">
        <v>34</v>
      </c>
      <c r="D10958" s="8">
        <v>0.64</v>
      </c>
    </row>
    <row r="10959" spans="1:4">
      <c r="A10959" t="str">
        <f t="shared" si="180"/>
        <v>856Profit-Loss Ratio</v>
      </c>
      <c r="B10959">
        <v>856</v>
      </c>
      <c r="C10959" s="9" t="s">
        <v>26</v>
      </c>
      <c r="D10959" s="8">
        <v>0.51</v>
      </c>
    </row>
    <row r="10960" spans="1:4">
      <c r="A10960" t="str">
        <f t="shared" si="180"/>
        <v>856Alpha</v>
      </c>
      <c r="B10960">
        <v>856</v>
      </c>
      <c r="C10960" s="9" t="s">
        <v>23</v>
      </c>
      <c r="D10960" s="8">
        <v>-5.0000000000000001E-3</v>
      </c>
    </row>
    <row r="10961" spans="1:4">
      <c r="A10961" t="str">
        <f t="shared" si="180"/>
        <v>856Beta</v>
      </c>
      <c r="B10961">
        <v>856</v>
      </c>
      <c r="C10961" s="9" t="s">
        <v>24</v>
      </c>
      <c r="D10961" s="8">
        <v>3.9E-2</v>
      </c>
    </row>
    <row r="10962" spans="1:4">
      <c r="A10962" t="str">
        <f t="shared" ref="A10962:A11025" si="181">B10962&amp;C10962</f>
        <v>856Annual Standard Deviation</v>
      </c>
      <c r="B10962">
        <v>856</v>
      </c>
      <c r="C10962" s="9" t="s">
        <v>35</v>
      </c>
      <c r="D10962" s="8">
        <v>0.01</v>
      </c>
    </row>
    <row r="10963" spans="1:4">
      <c r="A10963" t="str">
        <f t="shared" si="181"/>
        <v>856Annual Variance</v>
      </c>
      <c r="B10963">
        <v>856</v>
      </c>
      <c r="C10963" s="9" t="s">
        <v>36</v>
      </c>
      <c r="D10963" s="8">
        <v>0</v>
      </c>
    </row>
    <row r="10964" spans="1:4">
      <c r="A10964" t="str">
        <f t="shared" si="181"/>
        <v>856Information Ratio</v>
      </c>
      <c r="B10964">
        <v>856</v>
      </c>
      <c r="C10964" s="9" t="s">
        <v>37</v>
      </c>
      <c r="D10964" s="8">
        <v>-0.80400000000000005</v>
      </c>
    </row>
    <row r="10965" spans="1:4">
      <c r="A10965" t="str">
        <f t="shared" si="181"/>
        <v>856Tracking Error</v>
      </c>
      <c r="B10965">
        <v>856</v>
      </c>
      <c r="C10965" s="9" t="s">
        <v>38</v>
      </c>
      <c r="D10965" s="8">
        <v>6.5000000000000002E-2</v>
      </c>
    </row>
    <row r="10966" spans="1:4">
      <c r="A10966" t="str">
        <f t="shared" si="181"/>
        <v>856Treynor Ratio</v>
      </c>
      <c r="B10966">
        <v>856</v>
      </c>
      <c r="C10966" s="9" t="s">
        <v>39</v>
      </c>
      <c r="D10966" s="8">
        <v>-8.5999999999999993E-2</v>
      </c>
    </row>
    <row r="10967" spans="1:4">
      <c r="A10967" t="str">
        <f t="shared" si="181"/>
        <v>856Total Fees</v>
      </c>
      <c r="B10967">
        <v>856</v>
      </c>
      <c r="C10967" s="9" t="s">
        <v>40</v>
      </c>
      <c r="D10967" s="8">
        <v>0</v>
      </c>
    </row>
    <row r="10968" spans="1:4">
      <c r="A10968" t="str">
        <f t="shared" si="181"/>
        <v>856Estimated Strategy Capacity</v>
      </c>
      <c r="B10968">
        <v>856</v>
      </c>
      <c r="C10968" s="9" t="s">
        <v>41</v>
      </c>
      <c r="D10968" s="8">
        <v>8700000</v>
      </c>
    </row>
    <row r="10969" spans="1:4">
      <c r="A10969" t="str">
        <f t="shared" si="181"/>
        <v>857PSR</v>
      </c>
      <c r="B10969">
        <v>857</v>
      </c>
      <c r="C10969" s="9" t="s">
        <v>27</v>
      </c>
      <c r="D10969" s="8">
        <v>0.25697999999999999</v>
      </c>
    </row>
    <row r="10970" spans="1:4">
      <c r="A10970" t="str">
        <f t="shared" si="181"/>
        <v>857Sharpe Ratio</v>
      </c>
      <c r="B10970">
        <v>857</v>
      </c>
      <c r="C10970" s="9" t="s">
        <v>1</v>
      </c>
      <c r="D10970" s="8">
        <v>0.33900000000000002</v>
      </c>
    </row>
    <row r="10971" spans="1:4">
      <c r="A10971" t="str">
        <f t="shared" si="181"/>
        <v>857Total Trades</v>
      </c>
      <c r="B10971">
        <v>857</v>
      </c>
      <c r="C10971" s="9" t="s">
        <v>28</v>
      </c>
      <c r="D10971" s="8">
        <v>868</v>
      </c>
    </row>
    <row r="10972" spans="1:4">
      <c r="A10972" t="str">
        <f t="shared" si="181"/>
        <v>857Average Win</v>
      </c>
      <c r="B10972">
        <v>857</v>
      </c>
      <c r="C10972" s="9" t="s">
        <v>25</v>
      </c>
      <c r="D10972" s="8">
        <v>1.4E-3</v>
      </c>
    </row>
    <row r="10973" spans="1:4">
      <c r="A10973" t="str">
        <f t="shared" si="181"/>
        <v>857Average Loss</v>
      </c>
      <c r="B10973">
        <v>857</v>
      </c>
      <c r="C10973" s="9" t="s">
        <v>29</v>
      </c>
      <c r="D10973" s="8">
        <v>-2.5999999999999999E-3</v>
      </c>
    </row>
    <row r="10974" spans="1:4">
      <c r="A10974" t="str">
        <f t="shared" si="181"/>
        <v>857Compounding Annual Return</v>
      </c>
      <c r="B10974">
        <v>857</v>
      </c>
      <c r="C10974" s="9" t="s">
        <v>30</v>
      </c>
      <c r="D10974" s="8">
        <v>1.1849999999999999E-2</v>
      </c>
    </row>
    <row r="10975" spans="1:4">
      <c r="A10975" t="str">
        <f t="shared" si="181"/>
        <v>857Drawdown</v>
      </c>
      <c r="B10975">
        <v>857</v>
      </c>
      <c r="C10975" s="9" t="s">
        <v>8</v>
      </c>
      <c r="D10975" s="8">
        <v>2.1999999999999999E-2</v>
      </c>
    </row>
    <row r="10976" spans="1:4">
      <c r="A10976" t="str">
        <f t="shared" si="181"/>
        <v>857Expectancy</v>
      </c>
      <c r="B10976">
        <v>857</v>
      </c>
      <c r="C10976" s="9" t="s">
        <v>31</v>
      </c>
      <c r="D10976" s="8">
        <v>3.9E-2</v>
      </c>
    </row>
    <row r="10977" spans="1:4">
      <c r="A10977" t="str">
        <f t="shared" si="181"/>
        <v>857Net Profit</v>
      </c>
      <c r="B10977">
        <v>857</v>
      </c>
      <c r="C10977" s="9" t="s">
        <v>32</v>
      </c>
      <c r="D10977" s="8">
        <v>7.8700000000000003E-3</v>
      </c>
    </row>
    <row r="10978" spans="1:4">
      <c r="A10978" t="str">
        <f t="shared" si="181"/>
        <v>857Loss Rate</v>
      </c>
      <c r="B10978">
        <v>857</v>
      </c>
      <c r="C10978" s="9" t="s">
        <v>33</v>
      </c>
      <c r="D10978" s="8">
        <v>0.33</v>
      </c>
    </row>
    <row r="10979" spans="1:4">
      <c r="A10979" t="str">
        <f t="shared" si="181"/>
        <v>857Win Rate</v>
      </c>
      <c r="B10979">
        <v>857</v>
      </c>
      <c r="C10979" s="9" t="s">
        <v>34</v>
      </c>
      <c r="D10979" s="8">
        <v>0.67</v>
      </c>
    </row>
    <row r="10980" spans="1:4">
      <c r="A10980" t="str">
        <f t="shared" si="181"/>
        <v>857Profit-Loss Ratio</v>
      </c>
      <c r="B10980">
        <v>857</v>
      </c>
      <c r="C10980" s="9" t="s">
        <v>26</v>
      </c>
      <c r="D10980" s="8">
        <v>0.55000000000000004</v>
      </c>
    </row>
    <row r="10981" spans="1:4">
      <c r="A10981" t="str">
        <f t="shared" si="181"/>
        <v>857Alpha</v>
      </c>
      <c r="B10981">
        <v>857</v>
      </c>
      <c r="C10981" s="9" t="s">
        <v>23</v>
      </c>
      <c r="D10981" s="8">
        <v>3.0000000000000001E-3</v>
      </c>
    </row>
    <row r="10982" spans="1:4">
      <c r="A10982" t="str">
        <f t="shared" si="181"/>
        <v>857Beta</v>
      </c>
      <c r="B10982">
        <v>857</v>
      </c>
      <c r="C10982" s="9" t="s">
        <v>24</v>
      </c>
      <c r="D10982" s="8">
        <v>0.11899999999999999</v>
      </c>
    </row>
    <row r="10983" spans="1:4">
      <c r="A10983" t="str">
        <f t="shared" si="181"/>
        <v>857Annual Standard Deviation</v>
      </c>
      <c r="B10983">
        <v>857</v>
      </c>
      <c r="C10983" s="9" t="s">
        <v>35</v>
      </c>
      <c r="D10983" s="8">
        <v>2.5000000000000001E-2</v>
      </c>
    </row>
    <row r="10984" spans="1:4">
      <c r="A10984" t="str">
        <f t="shared" si="181"/>
        <v>857Annual Variance</v>
      </c>
      <c r="B10984">
        <v>857</v>
      </c>
      <c r="C10984" s="9" t="s">
        <v>36</v>
      </c>
      <c r="D10984" s="8">
        <v>1E-3</v>
      </c>
    </row>
    <row r="10985" spans="1:4">
      <c r="A10985" t="str">
        <f t="shared" si="181"/>
        <v>857Information Ratio</v>
      </c>
      <c r="B10985">
        <v>857</v>
      </c>
      <c r="C10985" s="9" t="s">
        <v>37</v>
      </c>
      <c r="D10985" s="8">
        <v>-0.63700000000000001</v>
      </c>
    </row>
    <row r="10986" spans="1:4">
      <c r="A10986" t="str">
        <f t="shared" si="181"/>
        <v>857Tracking Error</v>
      </c>
      <c r="B10986">
        <v>857</v>
      </c>
      <c r="C10986" s="9" t="s">
        <v>38</v>
      </c>
      <c r="D10986" s="8">
        <v>6.4000000000000001E-2</v>
      </c>
    </row>
    <row r="10987" spans="1:4">
      <c r="A10987" t="str">
        <f t="shared" si="181"/>
        <v>857Treynor Ratio</v>
      </c>
      <c r="B10987">
        <v>857</v>
      </c>
      <c r="C10987" s="9" t="s">
        <v>39</v>
      </c>
      <c r="D10987" s="8">
        <v>7.1999999999999995E-2</v>
      </c>
    </row>
    <row r="10988" spans="1:4">
      <c r="A10988" t="str">
        <f t="shared" si="181"/>
        <v>857Total Fees</v>
      </c>
      <c r="B10988">
        <v>857</v>
      </c>
      <c r="C10988" s="9" t="s">
        <v>40</v>
      </c>
      <c r="D10988" s="8">
        <v>0</v>
      </c>
    </row>
    <row r="10989" spans="1:4">
      <c r="A10989" t="str">
        <f t="shared" si="181"/>
        <v>857Estimated Strategy Capacity</v>
      </c>
      <c r="B10989">
        <v>857</v>
      </c>
      <c r="C10989" s="9" t="s">
        <v>41</v>
      </c>
      <c r="D10989" s="8">
        <v>8900000</v>
      </c>
    </row>
    <row r="10990" spans="1:4">
      <c r="A10990" t="str">
        <f t="shared" si="181"/>
        <v>858PSR</v>
      </c>
      <c r="B10990">
        <v>858</v>
      </c>
      <c r="C10990" s="9" t="s">
        <v>27</v>
      </c>
      <c r="D10990" s="8">
        <v>0.1283</v>
      </c>
    </row>
    <row r="10991" spans="1:4">
      <c r="A10991" t="str">
        <f t="shared" si="181"/>
        <v>858Sharpe Ratio</v>
      </c>
      <c r="B10991">
        <v>858</v>
      </c>
      <c r="C10991" s="9" t="s">
        <v>1</v>
      </c>
      <c r="D10991" s="8">
        <v>-0.158</v>
      </c>
    </row>
    <row r="10992" spans="1:4">
      <c r="A10992" t="str">
        <f t="shared" si="181"/>
        <v>858Total Trades</v>
      </c>
      <c r="B10992">
        <v>858</v>
      </c>
      <c r="C10992" s="9" t="s">
        <v>28</v>
      </c>
      <c r="D10992" s="8">
        <v>635</v>
      </c>
    </row>
    <row r="10993" spans="1:4">
      <c r="A10993" t="str">
        <f t="shared" si="181"/>
        <v>858Average Win</v>
      </c>
      <c r="B10993">
        <v>858</v>
      </c>
      <c r="C10993" s="9" t="s">
        <v>25</v>
      </c>
      <c r="D10993" s="8">
        <v>2.0999999999999999E-3</v>
      </c>
    </row>
    <row r="10994" spans="1:4">
      <c r="A10994" t="str">
        <f t="shared" si="181"/>
        <v>858Average Loss</v>
      </c>
      <c r="B10994">
        <v>858</v>
      </c>
      <c r="C10994" s="9" t="s">
        <v>29</v>
      </c>
      <c r="D10994" s="8">
        <v>-4.0000000000000001E-3</v>
      </c>
    </row>
    <row r="10995" spans="1:4">
      <c r="A10995" t="str">
        <f t="shared" si="181"/>
        <v>858Compounding Annual Return</v>
      </c>
      <c r="B10995">
        <v>858</v>
      </c>
      <c r="C10995" s="9" t="s">
        <v>30</v>
      </c>
      <c r="D10995" s="8">
        <v>-8.9800000000000001E-3</v>
      </c>
    </row>
    <row r="10996" spans="1:4">
      <c r="A10996" t="str">
        <f t="shared" si="181"/>
        <v>858Drawdown</v>
      </c>
      <c r="B10996">
        <v>858</v>
      </c>
      <c r="C10996" s="9" t="s">
        <v>8</v>
      </c>
      <c r="D10996" s="8">
        <v>0.05</v>
      </c>
    </row>
    <row r="10997" spans="1:4">
      <c r="A10997" t="str">
        <f t="shared" si="181"/>
        <v>858Expectancy</v>
      </c>
      <c r="B10997">
        <v>858</v>
      </c>
      <c r="C10997" s="9" t="s">
        <v>31</v>
      </c>
      <c r="D10997" s="8">
        <v>-1.7000000000000001E-2</v>
      </c>
    </row>
    <row r="10998" spans="1:4">
      <c r="A10998" t="str">
        <f t="shared" si="181"/>
        <v>858Net Profit</v>
      </c>
      <c r="B10998">
        <v>858</v>
      </c>
      <c r="C10998" s="9" t="s">
        <v>32</v>
      </c>
      <c r="D10998" s="8">
        <v>-5.9800000000000001E-3</v>
      </c>
    </row>
    <row r="10999" spans="1:4">
      <c r="A10999" t="str">
        <f t="shared" si="181"/>
        <v>858Loss Rate</v>
      </c>
      <c r="B10999">
        <v>858</v>
      </c>
      <c r="C10999" s="9" t="s">
        <v>33</v>
      </c>
      <c r="D10999" s="8">
        <v>0.36</v>
      </c>
    </row>
    <row r="11000" spans="1:4">
      <c r="A11000" t="str">
        <f t="shared" si="181"/>
        <v>858Win Rate</v>
      </c>
      <c r="B11000">
        <v>858</v>
      </c>
      <c r="C11000" s="9" t="s">
        <v>34</v>
      </c>
      <c r="D11000" s="8">
        <v>0.64</v>
      </c>
    </row>
    <row r="11001" spans="1:4">
      <c r="A11001" t="str">
        <f t="shared" si="181"/>
        <v>858Profit-Loss Ratio</v>
      </c>
      <c r="B11001">
        <v>858</v>
      </c>
      <c r="C11001" s="9" t="s">
        <v>26</v>
      </c>
      <c r="D11001" s="8">
        <v>0.53</v>
      </c>
    </row>
    <row r="11002" spans="1:4">
      <c r="A11002" t="str">
        <f t="shared" si="181"/>
        <v>858Alpha</v>
      </c>
      <c r="B11002">
        <v>858</v>
      </c>
      <c r="C11002" s="9" t="s">
        <v>23</v>
      </c>
      <c r="D11002" s="8">
        <v>-1.4999999999999999E-2</v>
      </c>
    </row>
    <row r="11003" spans="1:4">
      <c r="A11003" t="str">
        <f t="shared" si="181"/>
        <v>858Beta</v>
      </c>
      <c r="B11003">
        <v>858</v>
      </c>
      <c r="C11003" s="9" t="s">
        <v>24</v>
      </c>
      <c r="D11003" s="8">
        <v>0.186</v>
      </c>
    </row>
    <row r="11004" spans="1:4">
      <c r="A11004" t="str">
        <f t="shared" si="181"/>
        <v>858Annual Standard Deviation</v>
      </c>
      <c r="B11004">
        <v>858</v>
      </c>
      <c r="C11004" s="9" t="s">
        <v>35</v>
      </c>
      <c r="D11004" s="8">
        <v>3.5000000000000003E-2</v>
      </c>
    </row>
    <row r="11005" spans="1:4">
      <c r="A11005" t="str">
        <f t="shared" si="181"/>
        <v>858Annual Variance</v>
      </c>
      <c r="B11005">
        <v>858</v>
      </c>
      <c r="C11005" s="9" t="s">
        <v>36</v>
      </c>
      <c r="D11005" s="8">
        <v>1E-3</v>
      </c>
    </row>
    <row r="11006" spans="1:4">
      <c r="A11006" t="str">
        <f t="shared" si="181"/>
        <v>858Information Ratio</v>
      </c>
      <c r="B11006">
        <v>858</v>
      </c>
      <c r="C11006" s="9" t="s">
        <v>37</v>
      </c>
      <c r="D11006" s="8">
        <v>-0.85699999999999998</v>
      </c>
    </row>
    <row r="11007" spans="1:4">
      <c r="A11007" t="str">
        <f t="shared" si="181"/>
        <v>858Tracking Error</v>
      </c>
      <c r="B11007">
        <v>858</v>
      </c>
      <c r="C11007" s="9" t="s">
        <v>38</v>
      </c>
      <c r="D11007" s="8">
        <v>6.4000000000000001E-2</v>
      </c>
    </row>
    <row r="11008" spans="1:4">
      <c r="A11008" t="str">
        <f t="shared" si="181"/>
        <v>858Treynor Ratio</v>
      </c>
      <c r="B11008">
        <v>858</v>
      </c>
      <c r="C11008" s="9" t="s">
        <v>39</v>
      </c>
      <c r="D11008" s="8">
        <v>-0.03</v>
      </c>
    </row>
    <row r="11009" spans="1:4">
      <c r="A11009" t="str">
        <f t="shared" si="181"/>
        <v>858Total Fees</v>
      </c>
      <c r="B11009">
        <v>858</v>
      </c>
      <c r="C11009" s="9" t="s">
        <v>40</v>
      </c>
      <c r="D11009" s="8">
        <v>0</v>
      </c>
    </row>
    <row r="11010" spans="1:4">
      <c r="A11010" t="str">
        <f t="shared" si="181"/>
        <v>858Estimated Strategy Capacity</v>
      </c>
      <c r="B11010">
        <v>858</v>
      </c>
      <c r="C11010" s="9" t="s">
        <v>41</v>
      </c>
      <c r="D11010" s="8">
        <v>9100000</v>
      </c>
    </row>
    <row r="11011" spans="1:4">
      <c r="A11011" t="str">
        <f t="shared" si="181"/>
        <v>859PSR</v>
      </c>
      <c r="B11011">
        <v>859</v>
      </c>
      <c r="C11011" s="9" t="s">
        <v>27</v>
      </c>
      <c r="D11011" s="8">
        <v>0.53608999999999996</v>
      </c>
    </row>
    <row r="11012" spans="1:4">
      <c r="A11012" t="str">
        <f t="shared" si="181"/>
        <v>859Sharpe Ratio</v>
      </c>
      <c r="B11012">
        <v>859</v>
      </c>
      <c r="C11012" s="9" t="s">
        <v>1</v>
      </c>
      <c r="D11012" s="8">
        <v>1.1000000000000001</v>
      </c>
    </row>
    <row r="11013" spans="1:4">
      <c r="A11013" t="str">
        <f t="shared" si="181"/>
        <v>859Total Trades</v>
      </c>
      <c r="B11013">
        <v>859</v>
      </c>
      <c r="C11013" s="9" t="s">
        <v>28</v>
      </c>
      <c r="D11013" s="8">
        <v>807</v>
      </c>
    </row>
    <row r="11014" spans="1:4">
      <c r="A11014" t="str">
        <f t="shared" si="181"/>
        <v>859Average Win</v>
      </c>
      <c r="B11014">
        <v>859</v>
      </c>
      <c r="C11014" s="9" t="s">
        <v>25</v>
      </c>
      <c r="D11014" s="8">
        <v>1E-3</v>
      </c>
    </row>
    <row r="11015" spans="1:4">
      <c r="A11015" t="str">
        <f t="shared" si="181"/>
        <v>859Average Loss</v>
      </c>
      <c r="B11015">
        <v>859</v>
      </c>
      <c r="C11015" s="9" t="s">
        <v>29</v>
      </c>
      <c r="D11015" s="8">
        <v>-8.9999999999999998E-4</v>
      </c>
    </row>
    <row r="11016" spans="1:4">
      <c r="A11016" t="str">
        <f t="shared" si="181"/>
        <v>859Compounding Annual Return</v>
      </c>
      <c r="B11016">
        <v>859</v>
      </c>
      <c r="C11016" s="9" t="s">
        <v>30</v>
      </c>
      <c r="D11016" s="8">
        <v>2.2710000000000001E-2</v>
      </c>
    </row>
    <row r="11017" spans="1:4">
      <c r="A11017" t="str">
        <f t="shared" si="181"/>
        <v>859Drawdown</v>
      </c>
      <c r="B11017">
        <v>859</v>
      </c>
      <c r="C11017" s="9" t="s">
        <v>8</v>
      </c>
      <c r="D11017" s="8">
        <v>1.4E-2</v>
      </c>
    </row>
    <row r="11018" spans="1:4">
      <c r="A11018" t="str">
        <f t="shared" si="181"/>
        <v>859Expectancy</v>
      </c>
      <c r="B11018">
        <v>859</v>
      </c>
      <c r="C11018" s="9" t="s">
        <v>31</v>
      </c>
      <c r="D11018" s="8">
        <v>0.25900000000000001</v>
      </c>
    </row>
    <row r="11019" spans="1:4">
      <c r="A11019" t="str">
        <f t="shared" si="181"/>
        <v>859Net Profit</v>
      </c>
      <c r="B11019">
        <v>859</v>
      </c>
      <c r="C11019" s="9" t="s">
        <v>32</v>
      </c>
      <c r="D11019" s="8">
        <v>1.506E-2</v>
      </c>
    </row>
    <row r="11020" spans="1:4">
      <c r="A11020" t="str">
        <f t="shared" si="181"/>
        <v>859Loss Rate</v>
      </c>
      <c r="B11020">
        <v>859</v>
      </c>
      <c r="C11020" s="9" t="s">
        <v>33</v>
      </c>
      <c r="D11020" s="8">
        <v>0.39</v>
      </c>
    </row>
    <row r="11021" spans="1:4">
      <c r="A11021" t="str">
        <f t="shared" si="181"/>
        <v>859Win Rate</v>
      </c>
      <c r="B11021">
        <v>859</v>
      </c>
      <c r="C11021" s="9" t="s">
        <v>34</v>
      </c>
      <c r="D11021" s="8">
        <v>0.61</v>
      </c>
    </row>
    <row r="11022" spans="1:4">
      <c r="A11022" t="str">
        <f t="shared" si="181"/>
        <v>859Profit-Loss Ratio</v>
      </c>
      <c r="B11022">
        <v>859</v>
      </c>
      <c r="C11022" s="9" t="s">
        <v>26</v>
      </c>
      <c r="D11022" s="8">
        <v>1.08</v>
      </c>
    </row>
    <row r="11023" spans="1:4">
      <c r="A11023" t="str">
        <f t="shared" si="181"/>
        <v>859Alpha</v>
      </c>
      <c r="B11023">
        <v>859</v>
      </c>
      <c r="C11023" s="9" t="s">
        <v>23</v>
      </c>
      <c r="D11023" s="8">
        <v>1.2999999999999999E-2</v>
      </c>
    </row>
    <row r="11024" spans="1:4">
      <c r="A11024" t="str">
        <f t="shared" si="181"/>
        <v>859Beta</v>
      </c>
      <c r="B11024">
        <v>859</v>
      </c>
      <c r="C11024" s="9" t="s">
        <v>24</v>
      </c>
      <c r="D11024" s="8">
        <v>4.4999999999999998E-2</v>
      </c>
    </row>
    <row r="11025" spans="1:4">
      <c r="A11025" t="str">
        <f t="shared" si="181"/>
        <v>859Annual Standard Deviation</v>
      </c>
      <c r="B11025">
        <v>859</v>
      </c>
      <c r="C11025" s="9" t="s">
        <v>35</v>
      </c>
      <c r="D11025" s="8">
        <v>1.4E-2</v>
      </c>
    </row>
    <row r="11026" spans="1:4">
      <c r="A11026" t="str">
        <f t="shared" ref="A11026:A11089" si="182">B11026&amp;C11026</f>
        <v>859Annual Variance</v>
      </c>
      <c r="B11026">
        <v>859</v>
      </c>
      <c r="C11026" s="9" t="s">
        <v>36</v>
      </c>
      <c r="D11026" s="8">
        <v>0</v>
      </c>
    </row>
    <row r="11027" spans="1:4">
      <c r="A11027" t="str">
        <f t="shared" si="182"/>
        <v>859Information Ratio</v>
      </c>
      <c r="B11027">
        <v>859</v>
      </c>
      <c r="C11027" s="9" t="s">
        <v>37</v>
      </c>
      <c r="D11027" s="8">
        <v>-0.55000000000000004</v>
      </c>
    </row>
    <row r="11028" spans="1:4">
      <c r="A11028" t="str">
        <f t="shared" si="182"/>
        <v>859Tracking Error</v>
      </c>
      <c r="B11028">
        <v>859</v>
      </c>
      <c r="C11028" s="9" t="s">
        <v>38</v>
      </c>
      <c r="D11028" s="8">
        <v>6.6000000000000003E-2</v>
      </c>
    </row>
    <row r="11029" spans="1:4">
      <c r="A11029" t="str">
        <f t="shared" si="182"/>
        <v>859Treynor Ratio</v>
      </c>
      <c r="B11029">
        <v>859</v>
      </c>
      <c r="C11029" s="9" t="s">
        <v>39</v>
      </c>
      <c r="D11029" s="8">
        <v>0.34799999999999998</v>
      </c>
    </row>
    <row r="11030" spans="1:4">
      <c r="A11030" t="str">
        <f t="shared" si="182"/>
        <v>859Total Fees</v>
      </c>
      <c r="B11030">
        <v>859</v>
      </c>
      <c r="C11030" s="9" t="s">
        <v>40</v>
      </c>
      <c r="D11030" s="8">
        <v>0</v>
      </c>
    </row>
    <row r="11031" spans="1:4">
      <c r="A11031" t="str">
        <f t="shared" si="182"/>
        <v>859Estimated Strategy Capacity</v>
      </c>
      <c r="B11031">
        <v>859</v>
      </c>
      <c r="C11031" s="9" t="s">
        <v>41</v>
      </c>
      <c r="D11031" s="8">
        <v>7900000</v>
      </c>
    </row>
    <row r="11032" spans="1:4">
      <c r="A11032" t="str">
        <f t="shared" si="182"/>
        <v>860PSR</v>
      </c>
      <c r="B11032">
        <v>860</v>
      </c>
      <c r="C11032" s="9" t="s">
        <v>27</v>
      </c>
      <c r="D11032" s="8">
        <v>0.60116000000000003</v>
      </c>
    </row>
    <row r="11033" spans="1:4">
      <c r="A11033" t="str">
        <f t="shared" si="182"/>
        <v>860Sharpe Ratio</v>
      </c>
      <c r="B11033">
        <v>860</v>
      </c>
      <c r="C11033" s="9" t="s">
        <v>1</v>
      </c>
      <c r="D11033" s="8">
        <v>1.288</v>
      </c>
    </row>
    <row r="11034" spans="1:4">
      <c r="A11034" t="str">
        <f t="shared" si="182"/>
        <v>860Total Trades</v>
      </c>
      <c r="B11034">
        <v>860</v>
      </c>
      <c r="C11034" s="9" t="s">
        <v>28</v>
      </c>
      <c r="D11034" s="8">
        <v>614</v>
      </c>
    </row>
    <row r="11035" spans="1:4">
      <c r="A11035" t="str">
        <f t="shared" si="182"/>
        <v>860Average Win</v>
      </c>
      <c r="B11035">
        <v>860</v>
      </c>
      <c r="C11035" s="9" t="s">
        <v>25</v>
      </c>
      <c r="D11035" s="8">
        <v>2.0999999999999999E-3</v>
      </c>
    </row>
    <row r="11036" spans="1:4">
      <c r="A11036" t="str">
        <f t="shared" si="182"/>
        <v>860Average Loss</v>
      </c>
      <c r="B11036">
        <v>860</v>
      </c>
      <c r="C11036" s="9" t="s">
        <v>29</v>
      </c>
      <c r="D11036" s="8">
        <v>-2.3999999999999998E-3</v>
      </c>
    </row>
    <row r="11037" spans="1:4">
      <c r="A11037" t="str">
        <f t="shared" si="182"/>
        <v>860Compounding Annual Return</v>
      </c>
      <c r="B11037">
        <v>860</v>
      </c>
      <c r="C11037" s="9" t="s">
        <v>30</v>
      </c>
      <c r="D11037" s="8">
        <v>5.1639999999999998E-2</v>
      </c>
    </row>
    <row r="11038" spans="1:4">
      <c r="A11038" t="str">
        <f t="shared" si="182"/>
        <v>860Drawdown</v>
      </c>
      <c r="B11038">
        <v>860</v>
      </c>
      <c r="C11038" s="9" t="s">
        <v>8</v>
      </c>
      <c r="D11038" s="8">
        <v>2.9000000000000001E-2</v>
      </c>
    </row>
    <row r="11039" spans="1:4">
      <c r="A11039" t="str">
        <f t="shared" si="182"/>
        <v>860Expectancy</v>
      </c>
      <c r="B11039">
        <v>860</v>
      </c>
      <c r="C11039" s="9" t="s">
        <v>31</v>
      </c>
      <c r="D11039" s="8">
        <v>0.23200000000000001</v>
      </c>
    </row>
    <row r="11040" spans="1:4">
      <c r="A11040" t="str">
        <f t="shared" si="182"/>
        <v>860Net Profit</v>
      </c>
      <c r="B11040">
        <v>860</v>
      </c>
      <c r="C11040" s="9" t="s">
        <v>32</v>
      </c>
      <c r="D11040" s="8">
        <v>3.4079999999999999E-2</v>
      </c>
    </row>
    <row r="11041" spans="1:4">
      <c r="A11041" t="str">
        <f t="shared" si="182"/>
        <v>860Loss Rate</v>
      </c>
      <c r="B11041">
        <v>860</v>
      </c>
      <c r="C11041" s="9" t="s">
        <v>33</v>
      </c>
      <c r="D11041" s="8">
        <v>0.34</v>
      </c>
    </row>
    <row r="11042" spans="1:4">
      <c r="A11042" t="str">
        <f t="shared" si="182"/>
        <v>860Win Rate</v>
      </c>
      <c r="B11042">
        <v>860</v>
      </c>
      <c r="C11042" s="9" t="s">
        <v>34</v>
      </c>
      <c r="D11042" s="8">
        <v>0.66</v>
      </c>
    </row>
    <row r="11043" spans="1:4">
      <c r="A11043" t="str">
        <f t="shared" si="182"/>
        <v>860Profit-Loss Ratio</v>
      </c>
      <c r="B11043">
        <v>860</v>
      </c>
      <c r="C11043" s="9" t="s">
        <v>26</v>
      </c>
      <c r="D11043" s="8">
        <v>0.88</v>
      </c>
    </row>
    <row r="11044" spans="1:4">
      <c r="A11044" t="str">
        <f t="shared" si="182"/>
        <v>860Alpha</v>
      </c>
      <c r="B11044">
        <v>860</v>
      </c>
      <c r="C11044" s="9" t="s">
        <v>23</v>
      </c>
      <c r="D11044" s="8">
        <v>3.1E-2</v>
      </c>
    </row>
    <row r="11045" spans="1:4">
      <c r="A11045" t="str">
        <f t="shared" si="182"/>
        <v>860Beta</v>
      </c>
      <c r="B11045">
        <v>860</v>
      </c>
      <c r="C11045" s="9" t="s">
        <v>24</v>
      </c>
      <c r="D11045" s="8">
        <v>9.0999999999999998E-2</v>
      </c>
    </row>
    <row r="11046" spans="1:4">
      <c r="A11046" t="str">
        <f t="shared" si="182"/>
        <v>860Annual Standard Deviation</v>
      </c>
      <c r="B11046">
        <v>860</v>
      </c>
      <c r="C11046" s="9" t="s">
        <v>35</v>
      </c>
      <c r="D11046" s="8">
        <v>2.8000000000000001E-2</v>
      </c>
    </row>
    <row r="11047" spans="1:4">
      <c r="A11047" t="str">
        <f t="shared" si="182"/>
        <v>860Annual Variance</v>
      </c>
      <c r="B11047">
        <v>860</v>
      </c>
      <c r="C11047" s="9" t="s">
        <v>36</v>
      </c>
      <c r="D11047" s="8">
        <v>1E-3</v>
      </c>
    </row>
    <row r="11048" spans="1:4">
      <c r="A11048" t="str">
        <f t="shared" si="182"/>
        <v>860Information Ratio</v>
      </c>
      <c r="B11048">
        <v>860</v>
      </c>
      <c r="C11048" s="9" t="s">
        <v>37</v>
      </c>
      <c r="D11048" s="8">
        <v>-0.23899999999999999</v>
      </c>
    </row>
    <row r="11049" spans="1:4">
      <c r="A11049" t="str">
        <f t="shared" si="182"/>
        <v>860Tracking Error</v>
      </c>
      <c r="B11049">
        <v>860</v>
      </c>
      <c r="C11049" s="9" t="s">
        <v>38</v>
      </c>
      <c r="D11049" s="8">
        <v>6.7000000000000004E-2</v>
      </c>
    </row>
    <row r="11050" spans="1:4">
      <c r="A11050" t="str">
        <f t="shared" si="182"/>
        <v>860Treynor Ratio</v>
      </c>
      <c r="B11050">
        <v>860</v>
      </c>
      <c r="C11050" s="9" t="s">
        <v>39</v>
      </c>
      <c r="D11050" s="8">
        <v>0.39500000000000002</v>
      </c>
    </row>
    <row r="11051" spans="1:4">
      <c r="A11051" t="str">
        <f t="shared" si="182"/>
        <v>860Total Fees</v>
      </c>
      <c r="B11051">
        <v>860</v>
      </c>
      <c r="C11051" s="9" t="s">
        <v>40</v>
      </c>
      <c r="D11051" s="8">
        <v>0</v>
      </c>
    </row>
    <row r="11052" spans="1:4">
      <c r="A11052" t="str">
        <f t="shared" si="182"/>
        <v>860Estimated Strategy Capacity</v>
      </c>
      <c r="B11052">
        <v>860</v>
      </c>
      <c r="C11052" s="9" t="s">
        <v>41</v>
      </c>
      <c r="D11052" s="8">
        <v>8000000</v>
      </c>
    </row>
    <row r="11053" spans="1:4">
      <c r="A11053" t="str">
        <f t="shared" si="182"/>
        <v>861PSR</v>
      </c>
      <c r="B11053">
        <v>861</v>
      </c>
      <c r="C11053" s="9" t="s">
        <v>27</v>
      </c>
      <c r="D11053" s="8">
        <v>0.28982999999999998</v>
      </c>
    </row>
    <row r="11054" spans="1:4">
      <c r="A11054" t="str">
        <f t="shared" si="182"/>
        <v>861Sharpe Ratio</v>
      </c>
      <c r="B11054">
        <v>861</v>
      </c>
      <c r="C11054" s="9" t="s">
        <v>1</v>
      </c>
      <c r="D11054" s="8">
        <v>0.437</v>
      </c>
    </row>
    <row r="11055" spans="1:4">
      <c r="A11055" t="str">
        <f t="shared" si="182"/>
        <v>861Total Trades</v>
      </c>
      <c r="B11055">
        <v>861</v>
      </c>
      <c r="C11055" s="9" t="s">
        <v>28</v>
      </c>
      <c r="D11055" s="8">
        <v>459</v>
      </c>
    </row>
    <row r="11056" spans="1:4">
      <c r="A11056" t="str">
        <f t="shared" si="182"/>
        <v>861Average Win</v>
      </c>
      <c r="B11056">
        <v>861</v>
      </c>
      <c r="C11056" s="9" t="s">
        <v>25</v>
      </c>
      <c r="D11056" s="8">
        <v>2.3E-3</v>
      </c>
    </row>
    <row r="11057" spans="1:4">
      <c r="A11057" t="str">
        <f t="shared" si="182"/>
        <v>861Average Loss</v>
      </c>
      <c r="B11057">
        <v>861</v>
      </c>
      <c r="C11057" s="9" t="s">
        <v>29</v>
      </c>
      <c r="D11057" s="8">
        <v>-3.0999999999999999E-3</v>
      </c>
    </row>
    <row r="11058" spans="1:4">
      <c r="A11058" t="str">
        <f t="shared" si="182"/>
        <v>861Compounding Annual Return</v>
      </c>
      <c r="B11058">
        <v>861</v>
      </c>
      <c r="C11058" s="9" t="s">
        <v>30</v>
      </c>
      <c r="D11058" s="8">
        <v>1.8960000000000001E-2</v>
      </c>
    </row>
    <row r="11059" spans="1:4">
      <c r="A11059" t="str">
        <f t="shared" si="182"/>
        <v>861Drawdown</v>
      </c>
      <c r="B11059">
        <v>861</v>
      </c>
      <c r="C11059" s="9" t="s">
        <v>8</v>
      </c>
      <c r="D11059" s="8">
        <v>3.6999999999999998E-2</v>
      </c>
    </row>
    <row r="11060" spans="1:4">
      <c r="A11060" t="str">
        <f t="shared" si="182"/>
        <v>861Expectancy</v>
      </c>
      <c r="B11060">
        <v>861</v>
      </c>
      <c r="C11060" s="9" t="s">
        <v>31</v>
      </c>
      <c r="D11060" s="8">
        <v>7.2999999999999995E-2</v>
      </c>
    </row>
    <row r="11061" spans="1:4">
      <c r="A11061" t="str">
        <f t="shared" si="182"/>
        <v>861Net Profit</v>
      </c>
      <c r="B11061">
        <v>861</v>
      </c>
      <c r="C11061" s="9" t="s">
        <v>32</v>
      </c>
      <c r="D11061" s="8">
        <v>1.2579999999999999E-2</v>
      </c>
    </row>
    <row r="11062" spans="1:4">
      <c r="A11062" t="str">
        <f t="shared" si="182"/>
        <v>861Loss Rate</v>
      </c>
      <c r="B11062">
        <v>861</v>
      </c>
      <c r="C11062" s="9" t="s">
        <v>33</v>
      </c>
      <c r="D11062" s="8">
        <v>0.39</v>
      </c>
    </row>
    <row r="11063" spans="1:4">
      <c r="A11063" t="str">
        <f t="shared" si="182"/>
        <v>861Win Rate</v>
      </c>
      <c r="B11063">
        <v>861</v>
      </c>
      <c r="C11063" s="9" t="s">
        <v>34</v>
      </c>
      <c r="D11063" s="8">
        <v>0.61</v>
      </c>
    </row>
    <row r="11064" spans="1:4">
      <c r="A11064" t="str">
        <f t="shared" si="182"/>
        <v>861Profit-Loss Ratio</v>
      </c>
      <c r="B11064">
        <v>861</v>
      </c>
      <c r="C11064" s="9" t="s">
        <v>26</v>
      </c>
      <c r="D11064" s="8">
        <v>0.76</v>
      </c>
    </row>
    <row r="11065" spans="1:4">
      <c r="A11065" t="str">
        <f t="shared" si="182"/>
        <v>861Alpha</v>
      </c>
      <c r="B11065">
        <v>861</v>
      </c>
      <c r="C11065" s="9" t="s">
        <v>23</v>
      </c>
      <c r="D11065" s="8">
        <v>8.9999999999999993E-3</v>
      </c>
    </row>
    <row r="11066" spans="1:4">
      <c r="A11066" t="str">
        <f t="shared" si="182"/>
        <v>861Beta</v>
      </c>
      <c r="B11066">
        <v>861</v>
      </c>
      <c r="C11066" s="9" t="s">
        <v>24</v>
      </c>
      <c r="D11066" s="8">
        <v>9.8000000000000004E-2</v>
      </c>
    </row>
    <row r="11067" spans="1:4">
      <c r="A11067" t="str">
        <f t="shared" si="182"/>
        <v>861Annual Standard Deviation</v>
      </c>
      <c r="B11067">
        <v>861</v>
      </c>
      <c r="C11067" s="9" t="s">
        <v>35</v>
      </c>
      <c r="D11067" s="8">
        <v>3.1E-2</v>
      </c>
    </row>
    <row r="11068" spans="1:4">
      <c r="A11068" t="str">
        <f t="shared" si="182"/>
        <v>861Annual Variance</v>
      </c>
      <c r="B11068">
        <v>861</v>
      </c>
      <c r="C11068" s="9" t="s">
        <v>36</v>
      </c>
      <c r="D11068" s="8">
        <v>1E-3</v>
      </c>
    </row>
    <row r="11069" spans="1:4">
      <c r="A11069" t="str">
        <f t="shared" si="182"/>
        <v>861Information Ratio</v>
      </c>
      <c r="B11069">
        <v>861</v>
      </c>
      <c r="C11069" s="9" t="s">
        <v>37</v>
      </c>
      <c r="D11069" s="8">
        <v>-0.52500000000000002</v>
      </c>
    </row>
    <row r="11070" spans="1:4">
      <c r="A11070" t="str">
        <f t="shared" si="182"/>
        <v>861Tracking Error</v>
      </c>
      <c r="B11070">
        <v>861</v>
      </c>
      <c r="C11070" s="9" t="s">
        <v>38</v>
      </c>
      <c r="D11070" s="8">
        <v>6.8000000000000005E-2</v>
      </c>
    </row>
    <row r="11071" spans="1:4">
      <c r="A11071" t="str">
        <f t="shared" si="182"/>
        <v>861Treynor Ratio</v>
      </c>
      <c r="B11071">
        <v>861</v>
      </c>
      <c r="C11071" s="9" t="s">
        <v>39</v>
      </c>
      <c r="D11071" s="8">
        <v>0.13800000000000001</v>
      </c>
    </row>
    <row r="11072" spans="1:4">
      <c r="A11072" t="str">
        <f t="shared" si="182"/>
        <v>861Total Fees</v>
      </c>
      <c r="B11072">
        <v>861</v>
      </c>
      <c r="C11072" s="9" t="s">
        <v>40</v>
      </c>
      <c r="D11072" s="8">
        <v>0</v>
      </c>
    </row>
    <row r="11073" spans="1:4">
      <c r="A11073" t="str">
        <f t="shared" si="182"/>
        <v>861Estimated Strategy Capacity</v>
      </c>
      <c r="B11073">
        <v>861</v>
      </c>
      <c r="C11073" s="9" t="s">
        <v>41</v>
      </c>
      <c r="D11073" s="8">
        <v>8300000</v>
      </c>
    </row>
    <row r="11074" spans="1:4">
      <c r="A11074" t="str">
        <f t="shared" si="182"/>
        <v>862PSR</v>
      </c>
      <c r="B11074">
        <v>862</v>
      </c>
      <c r="C11074" s="9" t="s">
        <v>27</v>
      </c>
      <c r="D11074" s="8">
        <v>0.10630000000000001</v>
      </c>
    </row>
    <row r="11075" spans="1:4">
      <c r="A11075" t="str">
        <f t="shared" si="182"/>
        <v>862Sharpe Ratio</v>
      </c>
      <c r="B11075">
        <v>862</v>
      </c>
      <c r="C11075" s="9" t="s">
        <v>1</v>
      </c>
      <c r="D11075" s="8">
        <v>-0.26900000000000002</v>
      </c>
    </row>
    <row r="11076" spans="1:4">
      <c r="A11076" t="str">
        <f t="shared" si="182"/>
        <v>862Total Trades</v>
      </c>
      <c r="B11076">
        <v>862</v>
      </c>
      <c r="C11076" s="9" t="s">
        <v>28</v>
      </c>
      <c r="D11076" s="8">
        <v>560</v>
      </c>
    </row>
    <row r="11077" spans="1:4">
      <c r="A11077" t="str">
        <f t="shared" si="182"/>
        <v>862Average Win</v>
      </c>
      <c r="B11077">
        <v>862</v>
      </c>
      <c r="C11077" s="9" t="s">
        <v>25</v>
      </c>
      <c r="D11077" s="8">
        <v>2.9999999999999997E-4</v>
      </c>
    </row>
    <row r="11078" spans="1:4">
      <c r="A11078" t="str">
        <f t="shared" si="182"/>
        <v>862Average Loss</v>
      </c>
      <c r="B11078">
        <v>862</v>
      </c>
      <c r="C11078" s="9" t="s">
        <v>29</v>
      </c>
      <c r="D11078" s="8">
        <v>-6.9999999999999999E-4</v>
      </c>
    </row>
    <row r="11079" spans="1:4">
      <c r="A11079" t="str">
        <f t="shared" si="182"/>
        <v>862Compounding Annual Return</v>
      </c>
      <c r="B11079">
        <v>862</v>
      </c>
      <c r="C11079" s="9" t="s">
        <v>30</v>
      </c>
      <c r="D11079" s="8">
        <v>-4.2199999999999998E-3</v>
      </c>
    </row>
    <row r="11080" spans="1:4">
      <c r="A11080" t="str">
        <f t="shared" si="182"/>
        <v>862Drawdown</v>
      </c>
      <c r="B11080">
        <v>862</v>
      </c>
      <c r="C11080" s="9" t="s">
        <v>8</v>
      </c>
      <c r="D11080" s="8">
        <v>1.0999999999999999E-2</v>
      </c>
    </row>
    <row r="11081" spans="1:4">
      <c r="A11081" t="str">
        <f t="shared" si="182"/>
        <v>862Expectancy</v>
      </c>
      <c r="B11081">
        <v>862</v>
      </c>
      <c r="C11081" s="9" t="s">
        <v>31</v>
      </c>
      <c r="D11081" s="8">
        <v>-7.0999999999999994E-2</v>
      </c>
    </row>
    <row r="11082" spans="1:4">
      <c r="A11082" t="str">
        <f t="shared" si="182"/>
        <v>862Net Profit</v>
      </c>
      <c r="B11082">
        <v>862</v>
      </c>
      <c r="C11082" s="9" t="s">
        <v>32</v>
      </c>
      <c r="D11082" s="8">
        <v>-2.81E-3</v>
      </c>
    </row>
    <row r="11083" spans="1:4">
      <c r="A11083" t="str">
        <f t="shared" si="182"/>
        <v>862Loss Rate</v>
      </c>
      <c r="B11083">
        <v>862</v>
      </c>
      <c r="C11083" s="9" t="s">
        <v>33</v>
      </c>
      <c r="D11083" s="8">
        <v>0.37</v>
      </c>
    </row>
    <row r="11084" spans="1:4">
      <c r="A11084" t="str">
        <f t="shared" si="182"/>
        <v>862Win Rate</v>
      </c>
      <c r="B11084">
        <v>862</v>
      </c>
      <c r="C11084" s="9" t="s">
        <v>34</v>
      </c>
      <c r="D11084" s="8">
        <v>0.63</v>
      </c>
    </row>
    <row r="11085" spans="1:4">
      <c r="A11085" t="str">
        <f t="shared" si="182"/>
        <v>862Profit-Loss Ratio</v>
      </c>
      <c r="B11085">
        <v>862</v>
      </c>
      <c r="C11085" s="9" t="s">
        <v>26</v>
      </c>
      <c r="D11085" s="8">
        <v>0.48</v>
      </c>
    </row>
    <row r="11086" spans="1:4">
      <c r="A11086" t="str">
        <f t="shared" si="182"/>
        <v>862Alpha</v>
      </c>
      <c r="B11086">
        <v>862</v>
      </c>
      <c r="C11086" s="9" t="s">
        <v>23</v>
      </c>
      <c r="D11086" s="8">
        <v>-5.0000000000000001E-3</v>
      </c>
    </row>
    <row r="11087" spans="1:4">
      <c r="A11087" t="str">
        <f t="shared" si="182"/>
        <v>862Beta</v>
      </c>
      <c r="B11087">
        <v>862</v>
      </c>
      <c r="C11087" s="9" t="s">
        <v>24</v>
      </c>
      <c r="D11087" s="8">
        <v>4.4999999999999998E-2</v>
      </c>
    </row>
    <row r="11088" spans="1:4">
      <c r="A11088" t="str">
        <f t="shared" si="182"/>
        <v>862Annual Standard Deviation</v>
      </c>
      <c r="B11088">
        <v>862</v>
      </c>
      <c r="C11088" s="9" t="s">
        <v>35</v>
      </c>
      <c r="D11088" s="8">
        <v>1.0999999999999999E-2</v>
      </c>
    </row>
    <row r="11089" spans="1:4">
      <c r="A11089" t="str">
        <f t="shared" si="182"/>
        <v>862Annual Variance</v>
      </c>
      <c r="B11089">
        <v>862</v>
      </c>
      <c r="C11089" s="9" t="s">
        <v>36</v>
      </c>
      <c r="D11089" s="8">
        <v>0</v>
      </c>
    </row>
    <row r="11090" spans="1:4">
      <c r="A11090" t="str">
        <f t="shared" ref="A11090:A11153" si="183">B11090&amp;C11090</f>
        <v>862Information Ratio</v>
      </c>
      <c r="B11090">
        <v>862</v>
      </c>
      <c r="C11090" s="9" t="s">
        <v>37</v>
      </c>
      <c r="D11090" s="8">
        <v>-0.84299999999999997</v>
      </c>
    </row>
    <row r="11091" spans="1:4">
      <c r="A11091" t="str">
        <f t="shared" si="183"/>
        <v>862Tracking Error</v>
      </c>
      <c r="B11091">
        <v>862</v>
      </c>
      <c r="C11091" s="9" t="s">
        <v>38</v>
      </c>
      <c r="D11091" s="8">
        <v>6.5000000000000002E-2</v>
      </c>
    </row>
    <row r="11092" spans="1:4">
      <c r="A11092" t="str">
        <f t="shared" si="183"/>
        <v>862Treynor Ratio</v>
      </c>
      <c r="B11092">
        <v>862</v>
      </c>
      <c r="C11092" s="9" t="s">
        <v>39</v>
      </c>
      <c r="D11092" s="8">
        <v>-6.4000000000000001E-2</v>
      </c>
    </row>
    <row r="11093" spans="1:4">
      <c r="A11093" t="str">
        <f t="shared" si="183"/>
        <v>862Total Fees</v>
      </c>
      <c r="B11093">
        <v>862</v>
      </c>
      <c r="C11093" s="9" t="s">
        <v>40</v>
      </c>
      <c r="D11093" s="8">
        <v>0</v>
      </c>
    </row>
    <row r="11094" spans="1:4">
      <c r="A11094" t="str">
        <f t="shared" si="183"/>
        <v>862Estimated Strategy Capacity</v>
      </c>
      <c r="B11094">
        <v>862</v>
      </c>
      <c r="C11094" s="9" t="s">
        <v>41</v>
      </c>
      <c r="D11094" s="8">
        <v>9000000</v>
      </c>
    </row>
    <row r="11095" spans="1:4">
      <c r="A11095" t="str">
        <f t="shared" si="183"/>
        <v>863PSR</v>
      </c>
      <c r="B11095">
        <v>863</v>
      </c>
      <c r="C11095" s="9" t="s">
        <v>27</v>
      </c>
      <c r="D11095" s="8">
        <v>0.13278999999999999</v>
      </c>
    </row>
    <row r="11096" spans="1:4">
      <c r="A11096" t="str">
        <f t="shared" si="183"/>
        <v>863Sharpe Ratio</v>
      </c>
      <c r="B11096">
        <v>863</v>
      </c>
      <c r="C11096" s="9" t="s">
        <v>1</v>
      </c>
      <c r="D11096" s="8">
        <v>-0.13</v>
      </c>
    </row>
    <row r="11097" spans="1:4">
      <c r="A11097" t="str">
        <f t="shared" si="183"/>
        <v>863Total Trades</v>
      </c>
      <c r="B11097">
        <v>863</v>
      </c>
      <c r="C11097" s="9" t="s">
        <v>28</v>
      </c>
      <c r="D11097" s="8">
        <v>444</v>
      </c>
    </row>
    <row r="11098" spans="1:4">
      <c r="A11098" t="str">
        <f t="shared" si="183"/>
        <v>863Average Win</v>
      </c>
      <c r="B11098">
        <v>863</v>
      </c>
      <c r="C11098" s="9" t="s">
        <v>25</v>
      </c>
      <c r="D11098" s="8">
        <v>1.4E-3</v>
      </c>
    </row>
    <row r="11099" spans="1:4">
      <c r="A11099" t="str">
        <f t="shared" si="183"/>
        <v>863Average Loss</v>
      </c>
      <c r="B11099">
        <v>863</v>
      </c>
      <c r="C11099" s="9" t="s">
        <v>29</v>
      </c>
      <c r="D11099" s="8">
        <v>-2.8999999999999998E-3</v>
      </c>
    </row>
    <row r="11100" spans="1:4">
      <c r="A11100" t="str">
        <f t="shared" si="183"/>
        <v>863Compounding Annual Return</v>
      </c>
      <c r="B11100">
        <v>863</v>
      </c>
      <c r="C11100" s="9" t="s">
        <v>30</v>
      </c>
      <c r="D11100" s="8">
        <v>-5.4999999999999997E-3</v>
      </c>
    </row>
    <row r="11101" spans="1:4">
      <c r="A11101" t="str">
        <f t="shared" si="183"/>
        <v>863Drawdown</v>
      </c>
      <c r="B11101">
        <v>863</v>
      </c>
      <c r="C11101" s="9" t="s">
        <v>8</v>
      </c>
      <c r="D11101" s="8">
        <v>3.1E-2</v>
      </c>
    </row>
    <row r="11102" spans="1:4">
      <c r="A11102" t="str">
        <f t="shared" si="183"/>
        <v>863Expectancy</v>
      </c>
      <c r="B11102">
        <v>863</v>
      </c>
      <c r="C11102" s="9" t="s">
        <v>31</v>
      </c>
      <c r="D11102" s="8">
        <v>-2.1999999999999999E-2</v>
      </c>
    </row>
    <row r="11103" spans="1:4">
      <c r="A11103" t="str">
        <f t="shared" si="183"/>
        <v>863Net Profit</v>
      </c>
      <c r="B11103">
        <v>863</v>
      </c>
      <c r="C11103" s="9" t="s">
        <v>32</v>
      </c>
      <c r="D11103" s="8">
        <v>-3.6700000000000001E-3</v>
      </c>
    </row>
    <row r="11104" spans="1:4">
      <c r="A11104" t="str">
        <f t="shared" si="183"/>
        <v>863Loss Rate</v>
      </c>
      <c r="B11104">
        <v>863</v>
      </c>
      <c r="C11104" s="9" t="s">
        <v>33</v>
      </c>
      <c r="D11104" s="8">
        <v>0.35</v>
      </c>
    </row>
    <row r="11105" spans="1:4">
      <c r="A11105" t="str">
        <f t="shared" si="183"/>
        <v>863Win Rate</v>
      </c>
      <c r="B11105">
        <v>863</v>
      </c>
      <c r="C11105" s="9" t="s">
        <v>34</v>
      </c>
      <c r="D11105" s="8">
        <v>0.65</v>
      </c>
    </row>
    <row r="11106" spans="1:4">
      <c r="A11106" t="str">
        <f t="shared" si="183"/>
        <v>863Profit-Loss Ratio</v>
      </c>
      <c r="B11106">
        <v>863</v>
      </c>
      <c r="C11106" s="9" t="s">
        <v>26</v>
      </c>
      <c r="D11106" s="8">
        <v>0.5</v>
      </c>
    </row>
    <row r="11107" spans="1:4">
      <c r="A11107" t="str">
        <f t="shared" si="183"/>
        <v>863Alpha</v>
      </c>
      <c r="B11107">
        <v>863</v>
      </c>
      <c r="C11107" s="9" t="s">
        <v>23</v>
      </c>
      <c r="D11107" s="8">
        <v>-1.0999999999999999E-2</v>
      </c>
    </row>
    <row r="11108" spans="1:4">
      <c r="A11108" t="str">
        <f t="shared" si="183"/>
        <v>863Beta</v>
      </c>
      <c r="B11108">
        <v>863</v>
      </c>
      <c r="C11108" s="9" t="s">
        <v>24</v>
      </c>
      <c r="D11108" s="8">
        <v>0.153</v>
      </c>
    </row>
    <row r="11109" spans="1:4">
      <c r="A11109" t="str">
        <f t="shared" si="183"/>
        <v>863Annual Standard Deviation</v>
      </c>
      <c r="B11109">
        <v>863</v>
      </c>
      <c r="C11109" s="9" t="s">
        <v>35</v>
      </c>
      <c r="D11109" s="8">
        <v>2.7E-2</v>
      </c>
    </row>
    <row r="11110" spans="1:4">
      <c r="A11110" t="str">
        <f t="shared" si="183"/>
        <v>863Annual Variance</v>
      </c>
      <c r="B11110">
        <v>863</v>
      </c>
      <c r="C11110" s="9" t="s">
        <v>36</v>
      </c>
      <c r="D11110" s="8">
        <v>1E-3</v>
      </c>
    </row>
    <row r="11111" spans="1:4">
      <c r="A11111" t="str">
        <f t="shared" si="183"/>
        <v>863Information Ratio</v>
      </c>
      <c r="B11111">
        <v>863</v>
      </c>
      <c r="C11111" s="9" t="s">
        <v>37</v>
      </c>
      <c r="D11111" s="8">
        <v>-0.89200000000000002</v>
      </c>
    </row>
    <row r="11112" spans="1:4">
      <c r="A11112" t="str">
        <f t="shared" si="183"/>
        <v>863Tracking Error</v>
      </c>
      <c r="B11112">
        <v>863</v>
      </c>
      <c r="C11112" s="9" t="s">
        <v>38</v>
      </c>
      <c r="D11112" s="8">
        <v>6.2E-2</v>
      </c>
    </row>
    <row r="11113" spans="1:4">
      <c r="A11113" t="str">
        <f t="shared" si="183"/>
        <v>863Treynor Ratio</v>
      </c>
      <c r="B11113">
        <v>863</v>
      </c>
      <c r="C11113" s="9" t="s">
        <v>39</v>
      </c>
      <c r="D11113" s="8">
        <v>-2.3E-2</v>
      </c>
    </row>
    <row r="11114" spans="1:4">
      <c r="A11114" t="str">
        <f t="shared" si="183"/>
        <v>863Total Fees</v>
      </c>
      <c r="B11114">
        <v>863</v>
      </c>
      <c r="C11114" s="9" t="s">
        <v>40</v>
      </c>
      <c r="D11114" s="8">
        <v>0</v>
      </c>
    </row>
    <row r="11115" spans="1:4">
      <c r="A11115" t="str">
        <f t="shared" si="183"/>
        <v>863Estimated Strategy Capacity</v>
      </c>
      <c r="B11115">
        <v>863</v>
      </c>
      <c r="C11115" s="9" t="s">
        <v>41</v>
      </c>
      <c r="D11115" s="8">
        <v>8700000</v>
      </c>
    </row>
    <row r="11116" spans="1:4">
      <c r="A11116" t="str">
        <f t="shared" si="183"/>
        <v>864PSR</v>
      </c>
      <c r="B11116">
        <v>864</v>
      </c>
      <c r="C11116" s="9" t="s">
        <v>27</v>
      </c>
      <c r="D11116" s="8">
        <v>0.34156999999999998</v>
      </c>
    </row>
    <row r="11117" spans="1:4">
      <c r="A11117" t="str">
        <f t="shared" si="183"/>
        <v>864Sharpe Ratio</v>
      </c>
      <c r="B11117">
        <v>864</v>
      </c>
      <c r="C11117" s="9" t="s">
        <v>1</v>
      </c>
      <c r="D11117" s="8">
        <v>0.57799999999999996</v>
      </c>
    </row>
    <row r="11118" spans="1:4">
      <c r="A11118" t="str">
        <f t="shared" si="183"/>
        <v>864Total Trades</v>
      </c>
      <c r="B11118">
        <v>864</v>
      </c>
      <c r="C11118" s="9" t="s">
        <v>28</v>
      </c>
      <c r="D11118" s="8">
        <v>336</v>
      </c>
    </row>
    <row r="11119" spans="1:4">
      <c r="A11119" t="str">
        <f t="shared" si="183"/>
        <v>864Average Win</v>
      </c>
      <c r="B11119">
        <v>864</v>
      </c>
      <c r="C11119" s="9" t="s">
        <v>25</v>
      </c>
      <c r="D11119" s="8">
        <v>2.8999999999999998E-3</v>
      </c>
    </row>
    <row r="11120" spans="1:4">
      <c r="A11120" t="str">
        <f t="shared" si="183"/>
        <v>864Average Loss</v>
      </c>
      <c r="B11120">
        <v>864</v>
      </c>
      <c r="C11120" s="9" t="s">
        <v>29</v>
      </c>
      <c r="D11120" s="8">
        <v>-4.4000000000000003E-3</v>
      </c>
    </row>
    <row r="11121" spans="1:4">
      <c r="A11121" t="str">
        <f t="shared" si="183"/>
        <v>864Compounding Annual Return</v>
      </c>
      <c r="B11121">
        <v>864</v>
      </c>
      <c r="C11121" s="9" t="s">
        <v>30</v>
      </c>
      <c r="D11121" s="8">
        <v>3.0259999999999999E-2</v>
      </c>
    </row>
    <row r="11122" spans="1:4">
      <c r="A11122" t="str">
        <f t="shared" si="183"/>
        <v>864Drawdown</v>
      </c>
      <c r="B11122">
        <v>864</v>
      </c>
      <c r="C11122" s="9" t="s">
        <v>8</v>
      </c>
      <c r="D11122" s="8">
        <v>3.7999999999999999E-2</v>
      </c>
    </row>
    <row r="11123" spans="1:4">
      <c r="A11123" t="str">
        <f t="shared" si="183"/>
        <v>864Expectancy</v>
      </c>
      <c r="B11123">
        <v>864</v>
      </c>
      <c r="C11123" s="9" t="s">
        <v>31</v>
      </c>
      <c r="D11123" s="8">
        <v>0.105</v>
      </c>
    </row>
    <row r="11124" spans="1:4">
      <c r="A11124" t="str">
        <f t="shared" si="183"/>
        <v>864Net Profit</v>
      </c>
      <c r="B11124">
        <v>864</v>
      </c>
      <c r="C11124" s="9" t="s">
        <v>32</v>
      </c>
      <c r="D11124" s="8">
        <v>2.0039999999999999E-2</v>
      </c>
    </row>
    <row r="11125" spans="1:4">
      <c r="A11125" t="str">
        <f t="shared" si="183"/>
        <v>864Loss Rate</v>
      </c>
      <c r="B11125">
        <v>864</v>
      </c>
      <c r="C11125" s="9" t="s">
        <v>33</v>
      </c>
      <c r="D11125" s="8">
        <v>0.33</v>
      </c>
    </row>
    <row r="11126" spans="1:4">
      <c r="A11126" t="str">
        <f t="shared" si="183"/>
        <v>864Win Rate</v>
      </c>
      <c r="B11126">
        <v>864</v>
      </c>
      <c r="C11126" s="9" t="s">
        <v>34</v>
      </c>
      <c r="D11126" s="8">
        <v>0.67</v>
      </c>
    </row>
    <row r="11127" spans="1:4">
      <c r="A11127" t="str">
        <f t="shared" si="183"/>
        <v>864Profit-Loss Ratio</v>
      </c>
      <c r="B11127">
        <v>864</v>
      </c>
      <c r="C11127" s="9" t="s">
        <v>26</v>
      </c>
      <c r="D11127" s="8">
        <v>0.66</v>
      </c>
    </row>
    <row r="11128" spans="1:4">
      <c r="A11128" t="str">
        <f t="shared" si="183"/>
        <v>864Alpha</v>
      </c>
      <c r="B11128">
        <v>864</v>
      </c>
      <c r="C11128" s="9" t="s">
        <v>23</v>
      </c>
      <c r="D11128" s="8">
        <v>8.9999999999999993E-3</v>
      </c>
    </row>
    <row r="11129" spans="1:4">
      <c r="A11129" t="str">
        <f t="shared" si="183"/>
        <v>864Beta</v>
      </c>
      <c r="B11129">
        <v>864</v>
      </c>
      <c r="C11129" s="9" t="s">
        <v>24</v>
      </c>
      <c r="D11129" s="8">
        <v>0.23699999999999999</v>
      </c>
    </row>
    <row r="11130" spans="1:4">
      <c r="A11130" t="str">
        <f t="shared" si="183"/>
        <v>864Annual Standard Deviation</v>
      </c>
      <c r="B11130">
        <v>864</v>
      </c>
      <c r="C11130" s="9" t="s">
        <v>35</v>
      </c>
      <c r="D11130" s="8">
        <v>3.6999999999999998E-2</v>
      </c>
    </row>
    <row r="11131" spans="1:4">
      <c r="A11131" t="str">
        <f t="shared" si="183"/>
        <v>864Annual Variance</v>
      </c>
      <c r="B11131">
        <v>864</v>
      </c>
      <c r="C11131" s="9" t="s">
        <v>36</v>
      </c>
      <c r="D11131" s="8">
        <v>1E-3</v>
      </c>
    </row>
    <row r="11132" spans="1:4">
      <c r="A11132" t="str">
        <f t="shared" si="183"/>
        <v>864Information Ratio</v>
      </c>
      <c r="B11132">
        <v>864</v>
      </c>
      <c r="C11132" s="9" t="s">
        <v>37</v>
      </c>
      <c r="D11132" s="8">
        <v>-0.49399999999999999</v>
      </c>
    </row>
    <row r="11133" spans="1:4">
      <c r="A11133" t="str">
        <f t="shared" si="183"/>
        <v>864Tracking Error</v>
      </c>
      <c r="B11133">
        <v>864</v>
      </c>
      <c r="C11133" s="9" t="s">
        <v>38</v>
      </c>
      <c r="D11133" s="8">
        <v>6.0999999999999999E-2</v>
      </c>
    </row>
    <row r="11134" spans="1:4">
      <c r="A11134" t="str">
        <f t="shared" si="183"/>
        <v>864Treynor Ratio</v>
      </c>
      <c r="B11134">
        <v>864</v>
      </c>
      <c r="C11134" s="9" t="s">
        <v>39</v>
      </c>
      <c r="D11134" s="8">
        <v>9.0999999999999998E-2</v>
      </c>
    </row>
    <row r="11135" spans="1:4">
      <c r="A11135" t="str">
        <f t="shared" si="183"/>
        <v>864Total Fees</v>
      </c>
      <c r="B11135">
        <v>864</v>
      </c>
      <c r="C11135" s="9" t="s">
        <v>40</v>
      </c>
      <c r="D11135" s="8">
        <v>0</v>
      </c>
    </row>
    <row r="11136" spans="1:4">
      <c r="A11136" t="str">
        <f t="shared" si="183"/>
        <v>864Estimated Strategy Capacity</v>
      </c>
      <c r="B11136">
        <v>864</v>
      </c>
      <c r="C11136" s="9" t="s">
        <v>41</v>
      </c>
      <c r="D11136" s="8">
        <v>8100000</v>
      </c>
    </row>
    <row r="11137" spans="1:4">
      <c r="A11137" t="str">
        <f t="shared" si="183"/>
        <v>883PSR</v>
      </c>
      <c r="B11137">
        <v>883</v>
      </c>
      <c r="C11137" s="9" t="s">
        <v>27</v>
      </c>
      <c r="D11137" s="8">
        <v>5.271E-2</v>
      </c>
    </row>
    <row r="11138" spans="1:4">
      <c r="A11138" t="str">
        <f t="shared" si="183"/>
        <v>883Sharpe Ratio</v>
      </c>
      <c r="B11138">
        <v>883</v>
      </c>
      <c r="C11138" s="9" t="s">
        <v>1</v>
      </c>
      <c r="D11138" s="8">
        <v>-0.69699999999999995</v>
      </c>
    </row>
    <row r="11139" spans="1:4">
      <c r="A11139" t="str">
        <f t="shared" si="183"/>
        <v>883Total Trades</v>
      </c>
      <c r="B11139">
        <v>883</v>
      </c>
      <c r="C11139" s="9" t="s">
        <v>28</v>
      </c>
      <c r="D11139" s="8">
        <v>1137</v>
      </c>
    </row>
    <row r="11140" spans="1:4">
      <c r="A11140" t="str">
        <f t="shared" si="183"/>
        <v>883Average Win</v>
      </c>
      <c r="B11140">
        <v>883</v>
      </c>
      <c r="C11140" s="9" t="s">
        <v>25</v>
      </c>
      <c r="D11140" s="8">
        <v>2.0000000000000001E-4</v>
      </c>
    </row>
    <row r="11141" spans="1:4">
      <c r="A11141" t="str">
        <f t="shared" si="183"/>
        <v>883Average Loss</v>
      </c>
      <c r="B11141">
        <v>883</v>
      </c>
      <c r="C11141" s="9" t="s">
        <v>29</v>
      </c>
      <c r="D11141" s="8">
        <v>-4.0000000000000002E-4</v>
      </c>
    </row>
    <row r="11142" spans="1:4">
      <c r="A11142" t="str">
        <f t="shared" si="183"/>
        <v>883Compounding Annual Return</v>
      </c>
      <c r="B11142">
        <v>883</v>
      </c>
      <c r="C11142" s="9" t="s">
        <v>30</v>
      </c>
      <c r="D11142" s="8">
        <v>-6.8500000000000002E-3</v>
      </c>
    </row>
    <row r="11143" spans="1:4">
      <c r="A11143" t="str">
        <f t="shared" si="183"/>
        <v>883Drawdown</v>
      </c>
      <c r="B11143">
        <v>883</v>
      </c>
      <c r="C11143" s="9" t="s">
        <v>8</v>
      </c>
      <c r="D11143" s="8">
        <v>8.9999999999999993E-3</v>
      </c>
    </row>
    <row r="11144" spans="1:4">
      <c r="A11144" t="str">
        <f t="shared" si="183"/>
        <v>883Expectancy</v>
      </c>
      <c r="B11144">
        <v>883</v>
      </c>
      <c r="C11144" s="9" t="s">
        <v>31</v>
      </c>
      <c r="D11144" s="8">
        <v>-9.5000000000000001E-2</v>
      </c>
    </row>
    <row r="11145" spans="1:4">
      <c r="A11145" t="str">
        <f t="shared" si="183"/>
        <v>883Net Profit</v>
      </c>
      <c r="B11145">
        <v>883</v>
      </c>
      <c r="C11145" s="9" t="s">
        <v>32</v>
      </c>
      <c r="D11145" s="8">
        <v>-4.5599999999999998E-3</v>
      </c>
    </row>
    <row r="11146" spans="1:4">
      <c r="A11146" t="str">
        <f t="shared" si="183"/>
        <v>883Loss Rate</v>
      </c>
      <c r="B11146">
        <v>883</v>
      </c>
      <c r="C11146" s="9" t="s">
        <v>33</v>
      </c>
      <c r="D11146" s="8">
        <v>0.37</v>
      </c>
    </row>
    <row r="11147" spans="1:4">
      <c r="A11147" t="str">
        <f t="shared" si="183"/>
        <v>883Win Rate</v>
      </c>
      <c r="B11147">
        <v>883</v>
      </c>
      <c r="C11147" s="9" t="s">
        <v>34</v>
      </c>
      <c r="D11147" s="8">
        <v>0.63</v>
      </c>
    </row>
    <row r="11148" spans="1:4">
      <c r="A11148" t="str">
        <f t="shared" si="183"/>
        <v>883Profit-Loss Ratio</v>
      </c>
      <c r="B11148">
        <v>883</v>
      </c>
      <c r="C11148" s="9" t="s">
        <v>26</v>
      </c>
      <c r="D11148" s="8">
        <v>0.43</v>
      </c>
    </row>
    <row r="11149" spans="1:4">
      <c r="A11149" t="str">
        <f t="shared" si="183"/>
        <v>883Alpha</v>
      </c>
      <c r="B11149">
        <v>883</v>
      </c>
      <c r="C11149" s="9" t="s">
        <v>23</v>
      </c>
      <c r="D11149" s="8">
        <v>-4.0000000000000001E-3</v>
      </c>
    </row>
    <row r="11150" spans="1:4">
      <c r="A11150" t="str">
        <f t="shared" si="183"/>
        <v>883Beta</v>
      </c>
      <c r="B11150">
        <v>883</v>
      </c>
      <c r="C11150" s="9" t="s">
        <v>24</v>
      </c>
      <c r="D11150" s="8">
        <v>-6.0000000000000001E-3</v>
      </c>
    </row>
    <row r="11151" spans="1:4">
      <c r="A11151" t="str">
        <f t="shared" si="183"/>
        <v>883Annual Standard Deviation</v>
      </c>
      <c r="B11151">
        <v>883</v>
      </c>
      <c r="C11151" s="9" t="s">
        <v>35</v>
      </c>
      <c r="D11151" s="8">
        <v>7.0000000000000001E-3</v>
      </c>
    </row>
    <row r="11152" spans="1:4">
      <c r="A11152" t="str">
        <f t="shared" si="183"/>
        <v>883Annual Variance</v>
      </c>
      <c r="B11152">
        <v>883</v>
      </c>
      <c r="C11152" s="9" t="s">
        <v>36</v>
      </c>
      <c r="D11152" s="8">
        <v>0</v>
      </c>
    </row>
    <row r="11153" spans="1:4">
      <c r="A11153" t="str">
        <f t="shared" si="183"/>
        <v>883Information Ratio</v>
      </c>
      <c r="B11153">
        <v>883</v>
      </c>
      <c r="C11153" s="9" t="s">
        <v>37</v>
      </c>
      <c r="D11153" s="8">
        <v>-0.83299999999999996</v>
      </c>
    </row>
    <row r="11154" spans="1:4">
      <c r="A11154" t="str">
        <f t="shared" ref="A11154:A11217" si="184">B11154&amp;C11154</f>
        <v>883Tracking Error</v>
      </c>
      <c r="B11154">
        <v>883</v>
      </c>
      <c r="C11154" s="9" t="s">
        <v>38</v>
      </c>
      <c r="D11154" s="8">
        <v>6.8000000000000005E-2</v>
      </c>
    </row>
    <row r="11155" spans="1:4">
      <c r="A11155" t="str">
        <f t="shared" si="184"/>
        <v>883Treynor Ratio</v>
      </c>
      <c r="B11155">
        <v>883</v>
      </c>
      <c r="C11155" s="9" t="s">
        <v>39</v>
      </c>
      <c r="D11155" s="8">
        <v>0.75800000000000001</v>
      </c>
    </row>
    <row r="11156" spans="1:4">
      <c r="A11156" t="str">
        <f t="shared" si="184"/>
        <v>883Total Fees</v>
      </c>
      <c r="B11156">
        <v>883</v>
      </c>
      <c r="C11156" s="9" t="s">
        <v>40</v>
      </c>
      <c r="D11156" s="8">
        <v>0</v>
      </c>
    </row>
    <row r="11157" spans="1:4">
      <c r="A11157" t="str">
        <f t="shared" si="184"/>
        <v>883Estimated Strategy Capacity</v>
      </c>
      <c r="B11157">
        <v>883</v>
      </c>
      <c r="C11157" s="9" t="s">
        <v>41</v>
      </c>
      <c r="D11157" s="8">
        <v>4800000</v>
      </c>
    </row>
    <row r="11158" spans="1:4">
      <c r="A11158" t="str">
        <f t="shared" si="184"/>
        <v>884PSR</v>
      </c>
      <c r="B11158">
        <v>884</v>
      </c>
      <c r="C11158" s="9" t="s">
        <v>27</v>
      </c>
      <c r="D11158" s="8">
        <v>0.15578</v>
      </c>
    </row>
    <row r="11159" spans="1:4">
      <c r="A11159" t="str">
        <f t="shared" si="184"/>
        <v>884Sharpe Ratio</v>
      </c>
      <c r="B11159">
        <v>884</v>
      </c>
      <c r="C11159" s="9" t="s">
        <v>1</v>
      </c>
      <c r="D11159" s="8">
        <v>-3.5999999999999997E-2</v>
      </c>
    </row>
    <row r="11160" spans="1:4">
      <c r="A11160" t="str">
        <f t="shared" si="184"/>
        <v>884Total Trades</v>
      </c>
      <c r="B11160">
        <v>884</v>
      </c>
      <c r="C11160" s="9" t="s">
        <v>28</v>
      </c>
      <c r="D11160" s="8">
        <v>881</v>
      </c>
    </row>
    <row r="11161" spans="1:4">
      <c r="A11161" t="str">
        <f t="shared" si="184"/>
        <v>884Average Win</v>
      </c>
      <c r="B11161">
        <v>884</v>
      </c>
      <c r="C11161" s="9" t="s">
        <v>25</v>
      </c>
      <c r="D11161" s="8">
        <v>6.9999999999999999E-4</v>
      </c>
    </row>
    <row r="11162" spans="1:4">
      <c r="A11162" t="str">
        <f t="shared" si="184"/>
        <v>884Average Loss</v>
      </c>
      <c r="B11162">
        <v>884</v>
      </c>
      <c r="C11162" s="9" t="s">
        <v>29</v>
      </c>
      <c r="D11162" s="8">
        <v>-1.5E-3</v>
      </c>
    </row>
    <row r="11163" spans="1:4">
      <c r="A11163" t="str">
        <f t="shared" si="184"/>
        <v>884Compounding Annual Return</v>
      </c>
      <c r="B11163">
        <v>884</v>
      </c>
      <c r="C11163" s="9" t="s">
        <v>30</v>
      </c>
      <c r="D11163" s="8">
        <v>-1.4E-3</v>
      </c>
    </row>
    <row r="11164" spans="1:4">
      <c r="A11164" t="str">
        <f t="shared" si="184"/>
        <v>884Drawdown</v>
      </c>
      <c r="B11164">
        <v>884</v>
      </c>
      <c r="C11164" s="9" t="s">
        <v>8</v>
      </c>
      <c r="D11164" s="8">
        <v>2.1999999999999999E-2</v>
      </c>
    </row>
    <row r="11165" spans="1:4">
      <c r="A11165" t="str">
        <f t="shared" si="184"/>
        <v>884Expectancy</v>
      </c>
      <c r="B11165">
        <v>884</v>
      </c>
      <c r="C11165" s="9" t="s">
        <v>31</v>
      </c>
      <c r="D11165" s="8">
        <v>-5.0000000000000001E-3</v>
      </c>
    </row>
    <row r="11166" spans="1:4">
      <c r="A11166" t="str">
        <f t="shared" si="184"/>
        <v>884Net Profit</v>
      </c>
      <c r="B11166">
        <v>884</v>
      </c>
      <c r="C11166" s="9" t="s">
        <v>32</v>
      </c>
      <c r="D11166" s="8">
        <v>-9.3000000000000005E-4</v>
      </c>
    </row>
    <row r="11167" spans="1:4">
      <c r="A11167" t="str">
        <f t="shared" si="184"/>
        <v>884Loss Rate</v>
      </c>
      <c r="B11167">
        <v>884</v>
      </c>
      <c r="C11167" s="9" t="s">
        <v>33</v>
      </c>
      <c r="D11167" s="8">
        <v>0.33</v>
      </c>
    </row>
    <row r="11168" spans="1:4">
      <c r="A11168" t="str">
        <f t="shared" si="184"/>
        <v>884Win Rate</v>
      </c>
      <c r="B11168">
        <v>884</v>
      </c>
      <c r="C11168" s="9" t="s">
        <v>34</v>
      </c>
      <c r="D11168" s="8">
        <v>0.67</v>
      </c>
    </row>
    <row r="11169" spans="1:4">
      <c r="A11169" t="str">
        <f t="shared" si="184"/>
        <v>884Profit-Loss Ratio</v>
      </c>
      <c r="B11169">
        <v>884</v>
      </c>
      <c r="C11169" s="9" t="s">
        <v>26</v>
      </c>
      <c r="D11169" s="8">
        <v>0.49</v>
      </c>
    </row>
    <row r="11170" spans="1:4">
      <c r="A11170" t="str">
        <f t="shared" si="184"/>
        <v>884Alpha</v>
      </c>
      <c r="B11170">
        <v>884</v>
      </c>
      <c r="C11170" s="9" t="s">
        <v>23</v>
      </c>
      <c r="D11170" s="8">
        <v>0</v>
      </c>
    </row>
    <row r="11171" spans="1:4">
      <c r="A11171" t="str">
        <f t="shared" si="184"/>
        <v>884Beta</v>
      </c>
      <c r="B11171">
        <v>884</v>
      </c>
      <c r="C11171" s="9" t="s">
        <v>24</v>
      </c>
      <c r="D11171" s="8">
        <v>-2.3E-2</v>
      </c>
    </row>
    <row r="11172" spans="1:4">
      <c r="A11172" t="str">
        <f t="shared" si="184"/>
        <v>884Annual Standard Deviation</v>
      </c>
      <c r="B11172">
        <v>884</v>
      </c>
      <c r="C11172" s="9" t="s">
        <v>35</v>
      </c>
      <c r="D11172" s="8">
        <v>2.1000000000000001E-2</v>
      </c>
    </row>
    <row r="11173" spans="1:4">
      <c r="A11173" t="str">
        <f t="shared" si="184"/>
        <v>884Annual Variance</v>
      </c>
      <c r="B11173">
        <v>884</v>
      </c>
      <c r="C11173" s="9" t="s">
        <v>36</v>
      </c>
      <c r="D11173" s="8">
        <v>0</v>
      </c>
    </row>
    <row r="11174" spans="1:4">
      <c r="A11174" t="str">
        <f t="shared" si="184"/>
        <v>884Information Ratio</v>
      </c>
      <c r="B11174">
        <v>884</v>
      </c>
      <c r="C11174" s="9" t="s">
        <v>37</v>
      </c>
      <c r="D11174" s="8">
        <v>-0.73299999999999998</v>
      </c>
    </row>
    <row r="11175" spans="1:4">
      <c r="A11175" t="str">
        <f t="shared" si="184"/>
        <v>884Tracking Error</v>
      </c>
      <c r="B11175">
        <v>884</v>
      </c>
      <c r="C11175" s="9" t="s">
        <v>38</v>
      </c>
      <c r="D11175" s="8">
        <v>7.1999999999999995E-2</v>
      </c>
    </row>
    <row r="11176" spans="1:4">
      <c r="A11176" t="str">
        <f t="shared" si="184"/>
        <v>884Treynor Ratio</v>
      </c>
      <c r="B11176">
        <v>884</v>
      </c>
      <c r="C11176" s="9" t="s">
        <v>39</v>
      </c>
      <c r="D11176" s="8">
        <v>3.3000000000000002E-2</v>
      </c>
    </row>
    <row r="11177" spans="1:4">
      <c r="A11177" t="str">
        <f t="shared" si="184"/>
        <v>884Total Fees</v>
      </c>
      <c r="B11177">
        <v>884</v>
      </c>
      <c r="C11177" s="9" t="s">
        <v>40</v>
      </c>
      <c r="D11177" s="8">
        <v>0</v>
      </c>
    </row>
    <row r="11178" spans="1:4">
      <c r="A11178" t="str">
        <f t="shared" si="184"/>
        <v>884Estimated Strategy Capacity</v>
      </c>
      <c r="B11178">
        <v>884</v>
      </c>
      <c r="C11178" s="9" t="s">
        <v>41</v>
      </c>
      <c r="D11178" s="8">
        <v>4900000</v>
      </c>
    </row>
    <row r="11179" spans="1:4">
      <c r="A11179" t="str">
        <f t="shared" si="184"/>
        <v>885PSR</v>
      </c>
      <c r="B11179">
        <v>885</v>
      </c>
      <c r="C11179" s="9" t="s">
        <v>27</v>
      </c>
      <c r="D11179" s="8">
        <v>5.5359999999999999E-2</v>
      </c>
    </row>
    <row r="11180" spans="1:4">
      <c r="A11180" t="str">
        <f t="shared" si="184"/>
        <v>885Sharpe Ratio</v>
      </c>
      <c r="B11180">
        <v>885</v>
      </c>
      <c r="C11180" s="9" t="s">
        <v>1</v>
      </c>
      <c r="D11180" s="8">
        <v>-0.63700000000000001</v>
      </c>
    </row>
    <row r="11181" spans="1:4">
      <c r="A11181" t="str">
        <f t="shared" si="184"/>
        <v>885Total Trades</v>
      </c>
      <c r="B11181">
        <v>885</v>
      </c>
      <c r="C11181" s="9" t="s">
        <v>28</v>
      </c>
      <c r="D11181" s="8">
        <v>666</v>
      </c>
    </row>
    <row r="11182" spans="1:4">
      <c r="A11182" t="str">
        <f t="shared" si="184"/>
        <v>885Average Win</v>
      </c>
      <c r="B11182">
        <v>885</v>
      </c>
      <c r="C11182" s="9" t="s">
        <v>25</v>
      </c>
      <c r="D11182" s="8">
        <v>8.0000000000000004E-4</v>
      </c>
    </row>
    <row r="11183" spans="1:4">
      <c r="A11183" t="str">
        <f t="shared" si="184"/>
        <v>885Average Loss</v>
      </c>
      <c r="B11183">
        <v>885</v>
      </c>
      <c r="C11183" s="9" t="s">
        <v>29</v>
      </c>
      <c r="D11183" s="8">
        <v>-2.2000000000000001E-3</v>
      </c>
    </row>
    <row r="11184" spans="1:4">
      <c r="A11184" t="str">
        <f t="shared" si="184"/>
        <v>885Compounding Annual Return</v>
      </c>
      <c r="B11184">
        <v>885</v>
      </c>
      <c r="C11184" s="9" t="s">
        <v>30</v>
      </c>
      <c r="D11184" s="8">
        <v>-2.358E-2</v>
      </c>
    </row>
    <row r="11185" spans="1:4">
      <c r="A11185" t="str">
        <f t="shared" si="184"/>
        <v>885Drawdown</v>
      </c>
      <c r="B11185">
        <v>885</v>
      </c>
      <c r="C11185" s="9" t="s">
        <v>8</v>
      </c>
      <c r="D11185" s="8">
        <v>3.5999999999999997E-2</v>
      </c>
    </row>
    <row r="11186" spans="1:4">
      <c r="A11186" t="str">
        <f t="shared" si="184"/>
        <v>885Expectancy</v>
      </c>
      <c r="B11186">
        <v>885</v>
      </c>
      <c r="C11186" s="9" t="s">
        <v>31</v>
      </c>
      <c r="D11186" s="8">
        <v>-7.3999999999999996E-2</v>
      </c>
    </row>
    <row r="11187" spans="1:4">
      <c r="A11187" t="str">
        <f t="shared" si="184"/>
        <v>885Net Profit</v>
      </c>
      <c r="B11187">
        <v>885</v>
      </c>
      <c r="C11187" s="9" t="s">
        <v>32</v>
      </c>
      <c r="D11187" s="8">
        <v>-1.576E-2</v>
      </c>
    </row>
    <row r="11188" spans="1:4">
      <c r="A11188" t="str">
        <f t="shared" si="184"/>
        <v>885Loss Rate</v>
      </c>
      <c r="B11188">
        <v>885</v>
      </c>
      <c r="C11188" s="9" t="s">
        <v>33</v>
      </c>
      <c r="D11188" s="8">
        <v>0.32</v>
      </c>
    </row>
    <row r="11189" spans="1:4">
      <c r="A11189" t="str">
        <f t="shared" si="184"/>
        <v>885Win Rate</v>
      </c>
      <c r="B11189">
        <v>885</v>
      </c>
      <c r="C11189" s="9" t="s">
        <v>34</v>
      </c>
      <c r="D11189" s="8">
        <v>0.68</v>
      </c>
    </row>
    <row r="11190" spans="1:4">
      <c r="A11190" t="str">
        <f t="shared" si="184"/>
        <v>885Profit-Loss Ratio</v>
      </c>
      <c r="B11190">
        <v>885</v>
      </c>
      <c r="C11190" s="9" t="s">
        <v>26</v>
      </c>
      <c r="D11190" s="8">
        <v>0.37</v>
      </c>
    </row>
    <row r="11191" spans="1:4">
      <c r="A11191" t="str">
        <f t="shared" si="184"/>
        <v>885Alpha</v>
      </c>
      <c r="B11191">
        <v>885</v>
      </c>
      <c r="C11191" s="9" t="s">
        <v>23</v>
      </c>
      <c r="D11191" s="8">
        <v>-1.2999999999999999E-2</v>
      </c>
    </row>
    <row r="11192" spans="1:4">
      <c r="A11192" t="str">
        <f t="shared" si="184"/>
        <v>885Beta</v>
      </c>
      <c r="B11192">
        <v>885</v>
      </c>
      <c r="C11192" s="9" t="s">
        <v>24</v>
      </c>
      <c r="D11192" s="8">
        <v>-5.1999999999999998E-2</v>
      </c>
    </row>
    <row r="11193" spans="1:4">
      <c r="A11193" t="str">
        <f t="shared" si="184"/>
        <v>885Annual Standard Deviation</v>
      </c>
      <c r="B11193">
        <v>885</v>
      </c>
      <c r="C11193" s="9" t="s">
        <v>35</v>
      </c>
      <c r="D11193" s="8">
        <v>2.5000000000000001E-2</v>
      </c>
    </row>
    <row r="11194" spans="1:4">
      <c r="A11194" t="str">
        <f t="shared" si="184"/>
        <v>885Annual Variance</v>
      </c>
      <c r="B11194">
        <v>885</v>
      </c>
      <c r="C11194" s="9" t="s">
        <v>36</v>
      </c>
      <c r="D11194" s="8">
        <v>1E-3</v>
      </c>
    </row>
    <row r="11195" spans="1:4">
      <c r="A11195" t="str">
        <f t="shared" si="184"/>
        <v>885Information Ratio</v>
      </c>
      <c r="B11195">
        <v>885</v>
      </c>
      <c r="C11195" s="9" t="s">
        <v>37</v>
      </c>
      <c r="D11195" s="8">
        <v>-0.90600000000000003</v>
      </c>
    </row>
    <row r="11196" spans="1:4">
      <c r="A11196" t="str">
        <f t="shared" si="184"/>
        <v>885Tracking Error</v>
      </c>
      <c r="B11196">
        <v>885</v>
      </c>
      <c r="C11196" s="9" t="s">
        <v>38</v>
      </c>
      <c r="D11196" s="8">
        <v>7.4999999999999997E-2</v>
      </c>
    </row>
    <row r="11197" spans="1:4">
      <c r="A11197" t="str">
        <f t="shared" si="184"/>
        <v>885Treynor Ratio</v>
      </c>
      <c r="B11197">
        <v>885</v>
      </c>
      <c r="C11197" s="9" t="s">
        <v>39</v>
      </c>
      <c r="D11197" s="8">
        <v>0.307</v>
      </c>
    </row>
    <row r="11198" spans="1:4">
      <c r="A11198" t="str">
        <f t="shared" si="184"/>
        <v>885Total Fees</v>
      </c>
      <c r="B11198">
        <v>885</v>
      </c>
      <c r="C11198" s="9" t="s">
        <v>40</v>
      </c>
      <c r="D11198" s="8">
        <v>0</v>
      </c>
    </row>
    <row r="11199" spans="1:4">
      <c r="A11199" t="str">
        <f t="shared" si="184"/>
        <v>885Estimated Strategy Capacity</v>
      </c>
      <c r="B11199">
        <v>885</v>
      </c>
      <c r="C11199" s="9" t="s">
        <v>41</v>
      </c>
      <c r="D11199" s="8">
        <v>5000000</v>
      </c>
    </row>
    <row r="11200" spans="1:4">
      <c r="A11200" t="str">
        <f t="shared" si="184"/>
        <v>886PSR</v>
      </c>
      <c r="B11200">
        <v>886</v>
      </c>
      <c r="C11200" s="9" t="s">
        <v>27</v>
      </c>
      <c r="D11200" s="8">
        <v>1.5E-3</v>
      </c>
    </row>
    <row r="11201" spans="1:4">
      <c r="A11201" t="str">
        <f t="shared" si="184"/>
        <v>886Sharpe Ratio</v>
      </c>
      <c r="B11201">
        <v>886</v>
      </c>
      <c r="C11201" s="9" t="s">
        <v>1</v>
      </c>
      <c r="D11201" s="8">
        <v>-1.3919999999999999</v>
      </c>
    </row>
    <row r="11202" spans="1:4">
      <c r="A11202" t="str">
        <f t="shared" si="184"/>
        <v>886Total Trades</v>
      </c>
      <c r="B11202">
        <v>886</v>
      </c>
      <c r="C11202" s="9" t="s">
        <v>28</v>
      </c>
      <c r="D11202" s="8">
        <v>935</v>
      </c>
    </row>
    <row r="11203" spans="1:4">
      <c r="A11203" t="str">
        <f t="shared" si="184"/>
        <v>886Average Win</v>
      </c>
      <c r="B11203">
        <v>886</v>
      </c>
      <c r="C11203" s="9" t="s">
        <v>25</v>
      </c>
      <c r="D11203" s="8">
        <v>1E-4</v>
      </c>
    </row>
    <row r="11204" spans="1:4">
      <c r="A11204" t="str">
        <f t="shared" si="184"/>
        <v>886Average Loss</v>
      </c>
      <c r="B11204">
        <v>886</v>
      </c>
      <c r="C11204" s="9" t="s">
        <v>29</v>
      </c>
      <c r="D11204" s="8">
        <v>-5.9999999999999995E-4</v>
      </c>
    </row>
    <row r="11205" spans="1:4">
      <c r="A11205" t="str">
        <f t="shared" si="184"/>
        <v>886Compounding Annual Return</v>
      </c>
      <c r="B11205">
        <v>886</v>
      </c>
      <c r="C11205" s="9" t="s">
        <v>30</v>
      </c>
      <c r="D11205" s="8">
        <v>-1.5140000000000001E-2</v>
      </c>
    </row>
    <row r="11206" spans="1:4">
      <c r="A11206" t="str">
        <f t="shared" si="184"/>
        <v>886Drawdown</v>
      </c>
      <c r="B11206">
        <v>886</v>
      </c>
      <c r="C11206" s="9" t="s">
        <v>8</v>
      </c>
      <c r="D11206" s="8">
        <v>1.4E-2</v>
      </c>
    </row>
    <row r="11207" spans="1:4">
      <c r="A11207" t="str">
        <f t="shared" si="184"/>
        <v>886Expectancy</v>
      </c>
      <c r="B11207">
        <v>886</v>
      </c>
      <c r="C11207" s="9" t="s">
        <v>31</v>
      </c>
      <c r="D11207" s="8">
        <v>-0.17299999999999999</v>
      </c>
    </row>
    <row r="11208" spans="1:4">
      <c r="A11208" t="str">
        <f t="shared" si="184"/>
        <v>886Net Profit</v>
      </c>
      <c r="B11208">
        <v>886</v>
      </c>
      <c r="C11208" s="9" t="s">
        <v>32</v>
      </c>
      <c r="D11208" s="8">
        <v>-1.01E-2</v>
      </c>
    </row>
    <row r="11209" spans="1:4">
      <c r="A11209" t="str">
        <f t="shared" si="184"/>
        <v>886Loss Rate</v>
      </c>
      <c r="B11209">
        <v>886</v>
      </c>
      <c r="C11209" s="9" t="s">
        <v>33</v>
      </c>
      <c r="D11209" s="8">
        <v>0.34</v>
      </c>
    </row>
    <row r="11210" spans="1:4">
      <c r="A11210" t="str">
        <f t="shared" si="184"/>
        <v>886Win Rate</v>
      </c>
      <c r="B11210">
        <v>886</v>
      </c>
      <c r="C11210" s="9" t="s">
        <v>34</v>
      </c>
      <c r="D11210" s="8">
        <v>0.66</v>
      </c>
    </row>
    <row r="11211" spans="1:4">
      <c r="A11211" t="str">
        <f t="shared" si="184"/>
        <v>886Profit-Loss Ratio</v>
      </c>
      <c r="B11211">
        <v>886</v>
      </c>
      <c r="C11211" s="9" t="s">
        <v>26</v>
      </c>
      <c r="D11211" s="8">
        <v>0.25</v>
      </c>
    </row>
    <row r="11212" spans="1:4">
      <c r="A11212" t="str">
        <f t="shared" si="184"/>
        <v>886Alpha</v>
      </c>
      <c r="B11212">
        <v>886</v>
      </c>
      <c r="C11212" s="9" t="s">
        <v>23</v>
      </c>
      <c r="D11212" s="8">
        <v>-8.9999999999999993E-3</v>
      </c>
    </row>
    <row r="11213" spans="1:4">
      <c r="A11213" t="str">
        <f t="shared" si="184"/>
        <v>886Beta</v>
      </c>
      <c r="B11213">
        <v>886</v>
      </c>
      <c r="C11213" s="9" t="s">
        <v>24</v>
      </c>
      <c r="D11213" s="8">
        <v>-2.3E-2</v>
      </c>
    </row>
    <row r="11214" spans="1:4">
      <c r="A11214" t="str">
        <f t="shared" si="184"/>
        <v>886Annual Standard Deviation</v>
      </c>
      <c r="B11214">
        <v>886</v>
      </c>
      <c r="C11214" s="9" t="s">
        <v>35</v>
      </c>
      <c r="D11214" s="8">
        <v>8.0000000000000002E-3</v>
      </c>
    </row>
    <row r="11215" spans="1:4">
      <c r="A11215" t="str">
        <f t="shared" si="184"/>
        <v>886Annual Variance</v>
      </c>
      <c r="B11215">
        <v>886</v>
      </c>
      <c r="C11215" s="9" t="s">
        <v>36</v>
      </c>
      <c r="D11215" s="8">
        <v>0</v>
      </c>
    </row>
    <row r="11216" spans="1:4">
      <c r="A11216" t="str">
        <f t="shared" si="184"/>
        <v>886Information Ratio</v>
      </c>
      <c r="B11216">
        <v>886</v>
      </c>
      <c r="C11216" s="9" t="s">
        <v>37</v>
      </c>
      <c r="D11216" s="8">
        <v>-0.86299999999999999</v>
      </c>
    </row>
    <row r="11217" spans="1:4">
      <c r="A11217" t="str">
        <f t="shared" si="184"/>
        <v>886Tracking Error</v>
      </c>
      <c r="B11217">
        <v>886</v>
      </c>
      <c r="C11217" s="9" t="s">
        <v>38</v>
      </c>
      <c r="D11217" s="8">
        <v>6.9000000000000006E-2</v>
      </c>
    </row>
    <row r="11218" spans="1:4">
      <c r="A11218" t="str">
        <f t="shared" ref="A11218:A11281" si="185">B11218&amp;C11218</f>
        <v>886Treynor Ratio</v>
      </c>
      <c r="B11218">
        <v>886</v>
      </c>
      <c r="C11218" s="9" t="s">
        <v>39</v>
      </c>
      <c r="D11218" s="8">
        <v>0.45200000000000001</v>
      </c>
    </row>
    <row r="11219" spans="1:4">
      <c r="A11219" t="str">
        <f t="shared" si="185"/>
        <v>886Total Fees</v>
      </c>
      <c r="B11219">
        <v>886</v>
      </c>
      <c r="C11219" s="9" t="s">
        <v>40</v>
      </c>
      <c r="D11219" s="8">
        <v>0</v>
      </c>
    </row>
    <row r="11220" spans="1:4">
      <c r="A11220" t="str">
        <f t="shared" si="185"/>
        <v>886Estimated Strategy Capacity</v>
      </c>
      <c r="B11220">
        <v>886</v>
      </c>
      <c r="C11220" s="9" t="s">
        <v>41</v>
      </c>
      <c r="D11220" s="8">
        <v>6700000000</v>
      </c>
    </row>
    <row r="11221" spans="1:4">
      <c r="A11221" t="str">
        <f t="shared" si="185"/>
        <v>887PSR</v>
      </c>
      <c r="B11221">
        <v>887</v>
      </c>
      <c r="C11221" s="9" t="s">
        <v>27</v>
      </c>
      <c r="D11221" s="8">
        <v>0.10446999999999999</v>
      </c>
    </row>
    <row r="11222" spans="1:4">
      <c r="A11222" t="str">
        <f t="shared" si="185"/>
        <v>887Sharpe Ratio</v>
      </c>
      <c r="B11222">
        <v>887</v>
      </c>
      <c r="C11222" s="9" t="s">
        <v>1</v>
      </c>
      <c r="D11222" s="8">
        <v>-0.27</v>
      </c>
    </row>
    <row r="11223" spans="1:4">
      <c r="A11223" t="str">
        <f t="shared" si="185"/>
        <v>887Total Trades</v>
      </c>
      <c r="B11223">
        <v>887</v>
      </c>
      <c r="C11223" s="9" t="s">
        <v>28</v>
      </c>
      <c r="D11223" s="8">
        <v>751</v>
      </c>
    </row>
    <row r="11224" spans="1:4">
      <c r="A11224" t="str">
        <f t="shared" si="185"/>
        <v>887Average Win</v>
      </c>
      <c r="B11224">
        <v>887</v>
      </c>
      <c r="C11224" s="9" t="s">
        <v>25</v>
      </c>
      <c r="D11224" s="8">
        <v>6.9999999999999999E-4</v>
      </c>
    </row>
    <row r="11225" spans="1:4">
      <c r="A11225" t="str">
        <f t="shared" si="185"/>
        <v>887Average Loss</v>
      </c>
      <c r="B11225">
        <v>887</v>
      </c>
      <c r="C11225" s="9" t="s">
        <v>29</v>
      </c>
      <c r="D11225" s="8">
        <v>-1.4E-3</v>
      </c>
    </row>
    <row r="11226" spans="1:4">
      <c r="A11226" t="str">
        <f t="shared" si="185"/>
        <v>887Compounding Annual Return</v>
      </c>
      <c r="B11226">
        <v>887</v>
      </c>
      <c r="C11226" s="9" t="s">
        <v>30</v>
      </c>
      <c r="D11226" s="8">
        <v>-8.4700000000000001E-3</v>
      </c>
    </row>
    <row r="11227" spans="1:4">
      <c r="A11227" t="str">
        <f t="shared" si="185"/>
        <v>887Drawdown</v>
      </c>
      <c r="B11227">
        <v>887</v>
      </c>
      <c r="C11227" s="9" t="s">
        <v>8</v>
      </c>
      <c r="D11227" s="8">
        <v>2.4E-2</v>
      </c>
    </row>
    <row r="11228" spans="1:4">
      <c r="A11228" t="str">
        <f t="shared" si="185"/>
        <v>887Expectancy</v>
      </c>
      <c r="B11228">
        <v>887</v>
      </c>
      <c r="C11228" s="9" t="s">
        <v>31</v>
      </c>
      <c r="D11228" s="8">
        <v>-3.6999999999999998E-2</v>
      </c>
    </row>
    <row r="11229" spans="1:4">
      <c r="A11229" t="str">
        <f t="shared" si="185"/>
        <v>887Net Profit</v>
      </c>
      <c r="B11229">
        <v>887</v>
      </c>
      <c r="C11229" s="9" t="s">
        <v>32</v>
      </c>
      <c r="D11229" s="8">
        <v>-5.64E-3</v>
      </c>
    </row>
    <row r="11230" spans="1:4">
      <c r="A11230" t="str">
        <f t="shared" si="185"/>
        <v>887Loss Rate</v>
      </c>
      <c r="B11230">
        <v>887</v>
      </c>
      <c r="C11230" s="9" t="s">
        <v>33</v>
      </c>
      <c r="D11230" s="8">
        <v>0.35</v>
      </c>
    </row>
    <row r="11231" spans="1:4">
      <c r="A11231" t="str">
        <f t="shared" si="185"/>
        <v>887Win Rate</v>
      </c>
      <c r="B11231">
        <v>887</v>
      </c>
      <c r="C11231" s="9" t="s">
        <v>34</v>
      </c>
      <c r="D11231" s="8">
        <v>0.65</v>
      </c>
    </row>
    <row r="11232" spans="1:4">
      <c r="A11232" t="str">
        <f t="shared" si="185"/>
        <v>887Profit-Loss Ratio</v>
      </c>
      <c r="B11232">
        <v>887</v>
      </c>
      <c r="C11232" s="9" t="s">
        <v>26</v>
      </c>
      <c r="D11232" s="8">
        <v>0.48</v>
      </c>
    </row>
    <row r="11233" spans="1:4">
      <c r="A11233" t="str">
        <f t="shared" si="185"/>
        <v>887Alpha</v>
      </c>
      <c r="B11233">
        <v>887</v>
      </c>
      <c r="C11233" s="9" t="s">
        <v>23</v>
      </c>
      <c r="D11233" s="8">
        <v>-3.0000000000000001E-3</v>
      </c>
    </row>
    <row r="11234" spans="1:4">
      <c r="A11234" t="str">
        <f t="shared" si="185"/>
        <v>887Beta</v>
      </c>
      <c r="B11234">
        <v>887</v>
      </c>
      <c r="C11234" s="9" t="s">
        <v>24</v>
      </c>
      <c r="D11234" s="8">
        <v>-5.2999999999999999E-2</v>
      </c>
    </row>
    <row r="11235" spans="1:4">
      <c r="A11235" t="str">
        <f t="shared" si="185"/>
        <v>887Annual Standard Deviation</v>
      </c>
      <c r="B11235">
        <v>887</v>
      </c>
      <c r="C11235" s="9" t="s">
        <v>35</v>
      </c>
      <c r="D11235" s="8">
        <v>2.1000000000000001E-2</v>
      </c>
    </row>
    <row r="11236" spans="1:4">
      <c r="A11236" t="str">
        <f t="shared" si="185"/>
        <v>887Annual Variance</v>
      </c>
      <c r="B11236">
        <v>887</v>
      </c>
      <c r="C11236" s="9" t="s">
        <v>36</v>
      </c>
      <c r="D11236" s="8">
        <v>0</v>
      </c>
    </row>
    <row r="11237" spans="1:4">
      <c r="A11237" t="str">
        <f t="shared" si="185"/>
        <v>887Information Ratio</v>
      </c>
      <c r="B11237">
        <v>887</v>
      </c>
      <c r="C11237" s="9" t="s">
        <v>37</v>
      </c>
      <c r="D11237" s="8">
        <v>-0.74399999999999999</v>
      </c>
    </row>
    <row r="11238" spans="1:4">
      <c r="A11238" t="str">
        <f t="shared" si="185"/>
        <v>887Tracking Error</v>
      </c>
      <c r="B11238">
        <v>887</v>
      </c>
      <c r="C11238" s="9" t="s">
        <v>38</v>
      </c>
      <c r="D11238" s="8">
        <v>7.3999999999999996E-2</v>
      </c>
    </row>
    <row r="11239" spans="1:4">
      <c r="A11239" t="str">
        <f t="shared" si="185"/>
        <v>887Treynor Ratio</v>
      </c>
      <c r="B11239">
        <v>887</v>
      </c>
      <c r="C11239" s="9" t="s">
        <v>39</v>
      </c>
      <c r="D11239" s="8">
        <v>0.107</v>
      </c>
    </row>
    <row r="11240" spans="1:4">
      <c r="A11240" t="str">
        <f t="shared" si="185"/>
        <v>887Total Fees</v>
      </c>
      <c r="B11240">
        <v>887</v>
      </c>
      <c r="C11240" s="9" t="s">
        <v>40</v>
      </c>
      <c r="D11240" s="8">
        <v>0</v>
      </c>
    </row>
    <row r="11241" spans="1:4">
      <c r="A11241" t="str">
        <f t="shared" si="185"/>
        <v>887Estimated Strategy Capacity</v>
      </c>
      <c r="B11241">
        <v>887</v>
      </c>
      <c r="C11241" s="9" t="s">
        <v>41</v>
      </c>
      <c r="D11241" s="8">
        <v>710000000</v>
      </c>
    </row>
    <row r="11242" spans="1:4">
      <c r="A11242" t="str">
        <f t="shared" si="185"/>
        <v>888PSR</v>
      </c>
      <c r="B11242">
        <v>888</v>
      </c>
      <c r="C11242" s="9" t="s">
        <v>27</v>
      </c>
      <c r="D11242" s="8">
        <v>0.12318999999999999</v>
      </c>
    </row>
    <row r="11243" spans="1:4">
      <c r="A11243" t="str">
        <f t="shared" si="185"/>
        <v>888Sharpe Ratio</v>
      </c>
      <c r="B11243">
        <v>888</v>
      </c>
      <c r="C11243" s="9" t="s">
        <v>1</v>
      </c>
      <c r="D11243" s="8">
        <v>-0.184</v>
      </c>
    </row>
    <row r="11244" spans="1:4">
      <c r="A11244" t="str">
        <f t="shared" si="185"/>
        <v>888Total Trades</v>
      </c>
      <c r="B11244">
        <v>888</v>
      </c>
      <c r="C11244" s="9" t="s">
        <v>28</v>
      </c>
      <c r="D11244" s="8">
        <v>572</v>
      </c>
    </row>
    <row r="11245" spans="1:4">
      <c r="A11245" t="str">
        <f t="shared" si="185"/>
        <v>888Average Win</v>
      </c>
      <c r="B11245">
        <v>888</v>
      </c>
      <c r="C11245" s="9" t="s">
        <v>25</v>
      </c>
      <c r="D11245" s="8">
        <v>8.0000000000000004E-4</v>
      </c>
    </row>
    <row r="11246" spans="1:4">
      <c r="A11246" t="str">
        <f t="shared" si="185"/>
        <v>888Average Loss</v>
      </c>
      <c r="B11246">
        <v>888</v>
      </c>
      <c r="C11246" s="9" t="s">
        <v>29</v>
      </c>
      <c r="D11246" s="8">
        <v>-1.9E-3</v>
      </c>
    </row>
    <row r="11247" spans="1:4">
      <c r="A11247" t="str">
        <f t="shared" si="185"/>
        <v>888Compounding Annual Return</v>
      </c>
      <c r="B11247">
        <v>888</v>
      </c>
      <c r="C11247" s="9" t="s">
        <v>30</v>
      </c>
      <c r="D11247" s="8">
        <v>-7.1599999999999997E-3</v>
      </c>
    </row>
    <row r="11248" spans="1:4">
      <c r="A11248" t="str">
        <f t="shared" si="185"/>
        <v>888Drawdown</v>
      </c>
      <c r="B11248">
        <v>888</v>
      </c>
      <c r="C11248" s="9" t="s">
        <v>8</v>
      </c>
      <c r="D11248" s="8">
        <v>3.5000000000000003E-2</v>
      </c>
    </row>
    <row r="11249" spans="1:4">
      <c r="A11249" t="str">
        <f t="shared" si="185"/>
        <v>888Expectancy</v>
      </c>
      <c r="B11249">
        <v>888</v>
      </c>
      <c r="C11249" s="9" t="s">
        <v>31</v>
      </c>
      <c r="D11249" s="8">
        <v>-2.5000000000000001E-2</v>
      </c>
    </row>
    <row r="11250" spans="1:4">
      <c r="A11250" t="str">
        <f t="shared" si="185"/>
        <v>888Net Profit</v>
      </c>
      <c r="B11250">
        <v>888</v>
      </c>
      <c r="C11250" s="9" t="s">
        <v>32</v>
      </c>
      <c r="D11250" s="8">
        <v>-4.7699999999999999E-3</v>
      </c>
    </row>
    <row r="11251" spans="1:4">
      <c r="A11251" t="str">
        <f t="shared" si="185"/>
        <v>888Loss Rate</v>
      </c>
      <c r="B11251">
        <v>888</v>
      </c>
      <c r="C11251" s="9" t="s">
        <v>33</v>
      </c>
      <c r="D11251" s="8">
        <v>0.32</v>
      </c>
    </row>
    <row r="11252" spans="1:4">
      <c r="A11252" t="str">
        <f t="shared" si="185"/>
        <v>888Win Rate</v>
      </c>
      <c r="B11252">
        <v>888</v>
      </c>
      <c r="C11252" s="9" t="s">
        <v>34</v>
      </c>
      <c r="D11252" s="8">
        <v>0.68</v>
      </c>
    </row>
    <row r="11253" spans="1:4">
      <c r="A11253" t="str">
        <f t="shared" si="185"/>
        <v>888Profit-Loss Ratio</v>
      </c>
      <c r="B11253">
        <v>888</v>
      </c>
      <c r="C11253" s="9" t="s">
        <v>26</v>
      </c>
      <c r="D11253" s="8">
        <v>0.44</v>
      </c>
    </row>
    <row r="11254" spans="1:4">
      <c r="A11254" t="str">
        <f t="shared" si="185"/>
        <v>888Alpha</v>
      </c>
      <c r="B11254">
        <v>888</v>
      </c>
      <c r="C11254" s="9" t="s">
        <v>23</v>
      </c>
      <c r="D11254" s="8">
        <v>-2E-3</v>
      </c>
    </row>
    <row r="11255" spans="1:4">
      <c r="A11255" t="str">
        <f t="shared" si="185"/>
        <v>888Beta</v>
      </c>
      <c r="B11255">
        <v>888</v>
      </c>
      <c r="C11255" s="9" t="s">
        <v>24</v>
      </c>
      <c r="D11255" s="8">
        <v>-4.7E-2</v>
      </c>
    </row>
    <row r="11256" spans="1:4">
      <c r="A11256" t="str">
        <f t="shared" si="185"/>
        <v>888Annual Standard Deviation</v>
      </c>
      <c r="B11256">
        <v>888</v>
      </c>
      <c r="C11256" s="9" t="s">
        <v>35</v>
      </c>
      <c r="D11256" s="8">
        <v>2.5000000000000001E-2</v>
      </c>
    </row>
    <row r="11257" spans="1:4">
      <c r="A11257" t="str">
        <f t="shared" si="185"/>
        <v>888Annual Variance</v>
      </c>
      <c r="B11257">
        <v>888</v>
      </c>
      <c r="C11257" s="9" t="s">
        <v>36</v>
      </c>
      <c r="D11257" s="8">
        <v>1E-3</v>
      </c>
    </row>
    <row r="11258" spans="1:4">
      <c r="A11258" t="str">
        <f t="shared" si="185"/>
        <v>888Information Ratio</v>
      </c>
      <c r="B11258">
        <v>888</v>
      </c>
      <c r="C11258" s="9" t="s">
        <v>37</v>
      </c>
      <c r="D11258" s="8">
        <v>-0.72099999999999997</v>
      </c>
    </row>
    <row r="11259" spans="1:4">
      <c r="A11259" t="str">
        <f t="shared" si="185"/>
        <v>888Tracking Error</v>
      </c>
      <c r="B11259">
        <v>888</v>
      </c>
      <c r="C11259" s="9" t="s">
        <v>38</v>
      </c>
      <c r="D11259" s="8">
        <v>7.4999999999999997E-2</v>
      </c>
    </row>
    <row r="11260" spans="1:4">
      <c r="A11260" t="str">
        <f t="shared" si="185"/>
        <v>888Treynor Ratio</v>
      </c>
      <c r="B11260">
        <v>888</v>
      </c>
      <c r="C11260" s="9" t="s">
        <v>39</v>
      </c>
      <c r="D11260" s="8">
        <v>9.9000000000000005E-2</v>
      </c>
    </row>
    <row r="11261" spans="1:4">
      <c r="A11261" t="str">
        <f t="shared" si="185"/>
        <v>888Total Fees</v>
      </c>
      <c r="B11261">
        <v>888</v>
      </c>
      <c r="C11261" s="9" t="s">
        <v>40</v>
      </c>
      <c r="D11261" s="8">
        <v>0</v>
      </c>
    </row>
    <row r="11262" spans="1:4">
      <c r="A11262" t="str">
        <f t="shared" si="185"/>
        <v>888Estimated Strategy Capacity</v>
      </c>
      <c r="B11262">
        <v>888</v>
      </c>
      <c r="C11262" s="9" t="s">
        <v>41</v>
      </c>
      <c r="D11262" s="8">
        <v>150000000</v>
      </c>
    </row>
    <row r="11263" spans="1:4">
      <c r="A11263" t="str">
        <f t="shared" si="185"/>
        <v>889PSR</v>
      </c>
      <c r="B11263">
        <v>889</v>
      </c>
      <c r="C11263" s="9" t="s">
        <v>27</v>
      </c>
      <c r="D11263" s="8">
        <v>0.10492</v>
      </c>
    </row>
    <row r="11264" spans="1:4">
      <c r="A11264" t="str">
        <f t="shared" si="185"/>
        <v>889Sharpe Ratio</v>
      </c>
      <c r="B11264">
        <v>889</v>
      </c>
      <c r="C11264" s="9" t="s">
        <v>1</v>
      </c>
      <c r="D11264" s="8">
        <v>-0.33300000000000002</v>
      </c>
    </row>
    <row r="11265" spans="1:4">
      <c r="A11265" t="str">
        <f t="shared" si="185"/>
        <v>889Total Trades</v>
      </c>
      <c r="B11265">
        <v>889</v>
      </c>
      <c r="C11265" s="9" t="s">
        <v>28</v>
      </c>
      <c r="D11265" s="8">
        <v>674</v>
      </c>
    </row>
    <row r="11266" spans="1:4">
      <c r="A11266" t="str">
        <f t="shared" si="185"/>
        <v>889Average Win</v>
      </c>
      <c r="B11266">
        <v>889</v>
      </c>
      <c r="C11266" s="9" t="s">
        <v>25</v>
      </c>
      <c r="D11266" s="8">
        <v>2.0000000000000001E-4</v>
      </c>
    </row>
    <row r="11267" spans="1:4">
      <c r="A11267" t="str">
        <f t="shared" si="185"/>
        <v>889Average Loss</v>
      </c>
      <c r="B11267">
        <v>889</v>
      </c>
      <c r="C11267" s="9" t="s">
        <v>29</v>
      </c>
      <c r="D11267" s="8">
        <v>-5.0000000000000001E-4</v>
      </c>
    </row>
    <row r="11268" spans="1:4">
      <c r="A11268" t="str">
        <f t="shared" si="185"/>
        <v>889Compounding Annual Return</v>
      </c>
      <c r="B11268">
        <v>889</v>
      </c>
      <c r="C11268" s="9" t="s">
        <v>30</v>
      </c>
      <c r="D11268" s="8">
        <v>-3.2699999999999999E-3</v>
      </c>
    </row>
    <row r="11269" spans="1:4">
      <c r="A11269" t="str">
        <f t="shared" si="185"/>
        <v>889Drawdown</v>
      </c>
      <c r="B11269">
        <v>889</v>
      </c>
      <c r="C11269" s="9" t="s">
        <v>8</v>
      </c>
      <c r="D11269" s="8">
        <v>8.9999999999999993E-3</v>
      </c>
    </row>
    <row r="11270" spans="1:4">
      <c r="A11270" t="str">
        <f t="shared" si="185"/>
        <v>889Expectancy</v>
      </c>
      <c r="B11270">
        <v>889</v>
      </c>
      <c r="C11270" s="9" t="s">
        <v>31</v>
      </c>
      <c r="D11270" s="8">
        <v>-6.2E-2</v>
      </c>
    </row>
    <row r="11271" spans="1:4">
      <c r="A11271" t="str">
        <f t="shared" si="185"/>
        <v>889Net Profit</v>
      </c>
      <c r="B11271">
        <v>889</v>
      </c>
      <c r="C11271" s="9" t="s">
        <v>32</v>
      </c>
      <c r="D11271" s="8">
        <v>-2.1800000000000001E-3</v>
      </c>
    </row>
    <row r="11272" spans="1:4">
      <c r="A11272" t="str">
        <f t="shared" si="185"/>
        <v>889Loss Rate</v>
      </c>
      <c r="B11272">
        <v>889</v>
      </c>
      <c r="C11272" s="9" t="s">
        <v>33</v>
      </c>
      <c r="D11272" s="8">
        <v>0.37</v>
      </c>
    </row>
    <row r="11273" spans="1:4">
      <c r="A11273" t="str">
        <f t="shared" si="185"/>
        <v>889Win Rate</v>
      </c>
      <c r="B11273">
        <v>889</v>
      </c>
      <c r="C11273" s="9" t="s">
        <v>34</v>
      </c>
      <c r="D11273" s="8">
        <v>0.63</v>
      </c>
    </row>
    <row r="11274" spans="1:4">
      <c r="A11274" t="str">
        <f t="shared" si="185"/>
        <v>889Profit-Loss Ratio</v>
      </c>
      <c r="B11274">
        <v>889</v>
      </c>
      <c r="C11274" s="9" t="s">
        <v>26</v>
      </c>
      <c r="D11274" s="8">
        <v>0.5</v>
      </c>
    </row>
    <row r="11275" spans="1:4">
      <c r="A11275" t="str">
        <f t="shared" si="185"/>
        <v>889Alpha</v>
      </c>
      <c r="B11275">
        <v>889</v>
      </c>
      <c r="C11275" s="9" t="s">
        <v>23</v>
      </c>
      <c r="D11275" s="8">
        <v>-2E-3</v>
      </c>
    </row>
    <row r="11276" spans="1:4">
      <c r="A11276" t="str">
        <f t="shared" si="185"/>
        <v>889Beta</v>
      </c>
      <c r="B11276">
        <v>889</v>
      </c>
      <c r="C11276" s="9" t="s">
        <v>24</v>
      </c>
      <c r="D11276" s="8">
        <v>-8.9999999999999993E-3</v>
      </c>
    </row>
    <row r="11277" spans="1:4">
      <c r="A11277" t="str">
        <f t="shared" si="185"/>
        <v>889Annual Standard Deviation</v>
      </c>
      <c r="B11277">
        <v>889</v>
      </c>
      <c r="C11277" s="9" t="s">
        <v>35</v>
      </c>
      <c r="D11277" s="8">
        <v>7.0000000000000001E-3</v>
      </c>
    </row>
    <row r="11278" spans="1:4">
      <c r="A11278" t="str">
        <f t="shared" si="185"/>
        <v>889Annual Variance</v>
      </c>
      <c r="B11278">
        <v>889</v>
      </c>
      <c r="C11278" s="9" t="s">
        <v>36</v>
      </c>
      <c r="D11278" s="8">
        <v>0</v>
      </c>
    </row>
    <row r="11279" spans="1:4">
      <c r="A11279" t="str">
        <f t="shared" si="185"/>
        <v>889Information Ratio</v>
      </c>
      <c r="B11279">
        <v>889</v>
      </c>
      <c r="C11279" s="9" t="s">
        <v>37</v>
      </c>
      <c r="D11279" s="8">
        <v>-0.79400000000000004</v>
      </c>
    </row>
    <row r="11280" spans="1:4">
      <c r="A11280" t="str">
        <f t="shared" si="185"/>
        <v>889Tracking Error</v>
      </c>
      <c r="B11280">
        <v>889</v>
      </c>
      <c r="C11280" s="9" t="s">
        <v>38</v>
      </c>
      <c r="D11280" s="8">
        <v>6.8000000000000005E-2</v>
      </c>
    </row>
    <row r="11281" spans="1:4">
      <c r="A11281" t="str">
        <f t="shared" si="185"/>
        <v>889Treynor Ratio</v>
      </c>
      <c r="B11281">
        <v>889</v>
      </c>
      <c r="C11281" s="9" t="s">
        <v>39</v>
      </c>
      <c r="D11281" s="8">
        <v>0.25</v>
      </c>
    </row>
    <row r="11282" spans="1:4">
      <c r="A11282" t="str">
        <f t="shared" ref="A11282:A11345" si="186">B11282&amp;C11282</f>
        <v>889Total Fees</v>
      </c>
      <c r="B11282">
        <v>889</v>
      </c>
      <c r="C11282" s="9" t="s">
        <v>40</v>
      </c>
      <c r="D11282" s="8">
        <v>0</v>
      </c>
    </row>
    <row r="11283" spans="1:4">
      <c r="A11283" t="str">
        <f t="shared" si="186"/>
        <v>889Estimated Strategy Capacity</v>
      </c>
      <c r="B11283">
        <v>889</v>
      </c>
      <c r="C11283" s="9" t="s">
        <v>41</v>
      </c>
      <c r="D11283" s="8">
        <v>4700000000</v>
      </c>
    </row>
    <row r="11284" spans="1:4">
      <c r="A11284" t="str">
        <f t="shared" si="186"/>
        <v>890PSR</v>
      </c>
      <c r="B11284">
        <v>890</v>
      </c>
      <c r="C11284" s="9" t="s">
        <v>27</v>
      </c>
      <c r="D11284" s="8">
        <v>0.14940000000000001</v>
      </c>
    </row>
    <row r="11285" spans="1:4">
      <c r="A11285" t="str">
        <f t="shared" si="186"/>
        <v>890Sharpe Ratio</v>
      </c>
      <c r="B11285">
        <v>890</v>
      </c>
      <c r="C11285" s="9" t="s">
        <v>1</v>
      </c>
      <c r="D11285" s="8">
        <v>-6.7000000000000004E-2</v>
      </c>
    </row>
    <row r="11286" spans="1:4">
      <c r="A11286" t="str">
        <f t="shared" si="186"/>
        <v>890Total Trades</v>
      </c>
      <c r="B11286">
        <v>890</v>
      </c>
      <c r="C11286" s="9" t="s">
        <v>28</v>
      </c>
      <c r="D11286" s="8">
        <v>545</v>
      </c>
    </row>
    <row r="11287" spans="1:4">
      <c r="A11287" t="str">
        <f t="shared" si="186"/>
        <v>890Average Win</v>
      </c>
      <c r="B11287">
        <v>890</v>
      </c>
      <c r="C11287" s="9" t="s">
        <v>25</v>
      </c>
      <c r="D11287" s="8">
        <v>8.0000000000000004E-4</v>
      </c>
    </row>
    <row r="11288" spans="1:4">
      <c r="A11288" t="str">
        <f t="shared" si="186"/>
        <v>890Average Loss</v>
      </c>
      <c r="B11288">
        <v>890</v>
      </c>
      <c r="C11288" s="9" t="s">
        <v>29</v>
      </c>
      <c r="D11288" s="8">
        <v>-1.5E-3</v>
      </c>
    </row>
    <row r="11289" spans="1:4">
      <c r="A11289" t="str">
        <f t="shared" si="186"/>
        <v>890Compounding Annual Return</v>
      </c>
      <c r="B11289">
        <v>890</v>
      </c>
      <c r="C11289" s="9" t="s">
        <v>30</v>
      </c>
      <c r="D11289" s="8">
        <v>-1.9499999999999999E-3</v>
      </c>
    </row>
    <row r="11290" spans="1:4">
      <c r="A11290" t="str">
        <f t="shared" si="186"/>
        <v>890Drawdown</v>
      </c>
      <c r="B11290">
        <v>890</v>
      </c>
      <c r="C11290" s="9" t="s">
        <v>8</v>
      </c>
      <c r="D11290" s="8">
        <v>2.1000000000000001E-2</v>
      </c>
    </row>
    <row r="11291" spans="1:4">
      <c r="A11291" t="str">
        <f t="shared" si="186"/>
        <v>890Expectancy</v>
      </c>
      <c r="B11291">
        <v>890</v>
      </c>
      <c r="C11291" s="9" t="s">
        <v>31</v>
      </c>
      <c r="D11291" s="8">
        <v>-1.0999999999999999E-2</v>
      </c>
    </row>
    <row r="11292" spans="1:4">
      <c r="A11292" t="str">
        <f t="shared" si="186"/>
        <v>890Net Profit</v>
      </c>
      <c r="B11292">
        <v>890</v>
      </c>
      <c r="C11292" s="9" t="s">
        <v>32</v>
      </c>
      <c r="D11292" s="8">
        <v>-1.2999999999999999E-3</v>
      </c>
    </row>
    <row r="11293" spans="1:4">
      <c r="A11293" t="str">
        <f t="shared" si="186"/>
        <v>890Loss Rate</v>
      </c>
      <c r="B11293">
        <v>890</v>
      </c>
      <c r="C11293" s="9" t="s">
        <v>33</v>
      </c>
      <c r="D11293" s="8">
        <v>0.35</v>
      </c>
    </row>
    <row r="11294" spans="1:4">
      <c r="A11294" t="str">
        <f t="shared" si="186"/>
        <v>890Win Rate</v>
      </c>
      <c r="B11294">
        <v>890</v>
      </c>
      <c r="C11294" s="9" t="s">
        <v>34</v>
      </c>
      <c r="D11294" s="8">
        <v>0.65</v>
      </c>
    </row>
    <row r="11295" spans="1:4">
      <c r="A11295" t="str">
        <f t="shared" si="186"/>
        <v>890Profit-Loss Ratio</v>
      </c>
      <c r="B11295">
        <v>890</v>
      </c>
      <c r="C11295" s="9" t="s">
        <v>26</v>
      </c>
      <c r="D11295" s="8">
        <v>0.53</v>
      </c>
    </row>
    <row r="11296" spans="1:4">
      <c r="A11296" t="str">
        <f t="shared" si="186"/>
        <v>890Alpha</v>
      </c>
      <c r="B11296">
        <v>890</v>
      </c>
      <c r="C11296" s="9" t="s">
        <v>23</v>
      </c>
      <c r="D11296" s="8">
        <v>0</v>
      </c>
    </row>
    <row r="11297" spans="1:4">
      <c r="A11297" t="str">
        <f t="shared" si="186"/>
        <v>890Beta</v>
      </c>
      <c r="B11297">
        <v>890</v>
      </c>
      <c r="C11297" s="9" t="s">
        <v>24</v>
      </c>
      <c r="D11297" s="8">
        <v>-2.8000000000000001E-2</v>
      </c>
    </row>
    <row r="11298" spans="1:4">
      <c r="A11298" t="str">
        <f t="shared" si="186"/>
        <v>890Annual Standard Deviation</v>
      </c>
      <c r="B11298">
        <v>890</v>
      </c>
      <c r="C11298" s="9" t="s">
        <v>35</v>
      </c>
      <c r="D11298" s="8">
        <v>1.7999999999999999E-2</v>
      </c>
    </row>
    <row r="11299" spans="1:4">
      <c r="A11299" t="str">
        <f t="shared" si="186"/>
        <v>890Annual Variance</v>
      </c>
      <c r="B11299">
        <v>890</v>
      </c>
      <c r="C11299" s="9" t="s">
        <v>36</v>
      </c>
      <c r="D11299" s="8">
        <v>0</v>
      </c>
    </row>
    <row r="11300" spans="1:4">
      <c r="A11300" t="str">
        <f t="shared" si="186"/>
        <v>890Information Ratio</v>
      </c>
      <c r="B11300">
        <v>890</v>
      </c>
      <c r="C11300" s="9" t="s">
        <v>37</v>
      </c>
      <c r="D11300" s="8">
        <v>-0.74399999999999999</v>
      </c>
    </row>
    <row r="11301" spans="1:4">
      <c r="A11301" t="str">
        <f t="shared" si="186"/>
        <v>890Tracking Error</v>
      </c>
      <c r="B11301">
        <v>890</v>
      </c>
      <c r="C11301" s="9" t="s">
        <v>38</v>
      </c>
      <c r="D11301" s="8">
        <v>7.0999999999999994E-2</v>
      </c>
    </row>
    <row r="11302" spans="1:4">
      <c r="A11302" t="str">
        <f t="shared" si="186"/>
        <v>890Treynor Ratio</v>
      </c>
      <c r="B11302">
        <v>890</v>
      </c>
      <c r="C11302" s="9" t="s">
        <v>39</v>
      </c>
      <c r="D11302" s="8">
        <v>4.2000000000000003E-2</v>
      </c>
    </row>
    <row r="11303" spans="1:4">
      <c r="A11303" t="str">
        <f t="shared" si="186"/>
        <v>890Total Fees</v>
      </c>
      <c r="B11303">
        <v>890</v>
      </c>
      <c r="C11303" s="9" t="s">
        <v>40</v>
      </c>
      <c r="D11303" s="8">
        <v>0</v>
      </c>
    </row>
    <row r="11304" spans="1:4">
      <c r="A11304" t="str">
        <f t="shared" si="186"/>
        <v>890Estimated Strategy Capacity</v>
      </c>
      <c r="B11304">
        <v>890</v>
      </c>
      <c r="C11304" s="9" t="s">
        <v>41</v>
      </c>
      <c r="D11304" s="8">
        <v>500000000</v>
      </c>
    </row>
    <row r="11305" spans="1:4">
      <c r="A11305" t="str">
        <f t="shared" si="186"/>
        <v>891PSR</v>
      </c>
      <c r="B11305">
        <v>891</v>
      </c>
      <c r="C11305" s="9" t="s">
        <v>27</v>
      </c>
      <c r="D11305" s="8">
        <v>2.615E-2</v>
      </c>
    </row>
    <row r="11306" spans="1:4">
      <c r="A11306" t="str">
        <f t="shared" si="186"/>
        <v>891Sharpe Ratio</v>
      </c>
      <c r="B11306">
        <v>891</v>
      </c>
      <c r="C11306" s="9" t="s">
        <v>1</v>
      </c>
      <c r="D11306" s="8">
        <v>-0.99</v>
      </c>
    </row>
    <row r="11307" spans="1:4">
      <c r="A11307" t="str">
        <f t="shared" si="186"/>
        <v>891Total Trades</v>
      </c>
      <c r="B11307">
        <v>891</v>
      </c>
      <c r="C11307" s="9" t="s">
        <v>28</v>
      </c>
      <c r="D11307" s="8">
        <v>416</v>
      </c>
    </row>
    <row r="11308" spans="1:4">
      <c r="A11308" t="str">
        <f t="shared" si="186"/>
        <v>891Average Win</v>
      </c>
      <c r="B11308">
        <v>891</v>
      </c>
      <c r="C11308" s="9" t="s">
        <v>25</v>
      </c>
      <c r="D11308" s="8">
        <v>8.9999999999999998E-4</v>
      </c>
    </row>
    <row r="11309" spans="1:4">
      <c r="A11309" t="str">
        <f t="shared" si="186"/>
        <v>891Average Loss</v>
      </c>
      <c r="B11309">
        <v>891</v>
      </c>
      <c r="C11309" s="9" t="s">
        <v>29</v>
      </c>
      <c r="D11309" s="8">
        <v>-2.2000000000000001E-3</v>
      </c>
    </row>
    <row r="11310" spans="1:4">
      <c r="A11310" t="str">
        <f t="shared" si="186"/>
        <v>891Compounding Annual Return</v>
      </c>
      <c r="B11310">
        <v>891</v>
      </c>
      <c r="C11310" s="9" t="s">
        <v>30</v>
      </c>
      <c r="D11310" s="8">
        <v>-3.074E-2</v>
      </c>
    </row>
    <row r="11311" spans="1:4">
      <c r="A11311" t="str">
        <f t="shared" si="186"/>
        <v>891Drawdown</v>
      </c>
      <c r="B11311">
        <v>891</v>
      </c>
      <c r="C11311" s="9" t="s">
        <v>8</v>
      </c>
      <c r="D11311" s="8">
        <v>3.6999999999999998E-2</v>
      </c>
    </row>
    <row r="11312" spans="1:4">
      <c r="A11312" t="str">
        <f t="shared" si="186"/>
        <v>891Expectancy</v>
      </c>
      <c r="B11312">
        <v>891</v>
      </c>
      <c r="C11312" s="9" t="s">
        <v>31</v>
      </c>
      <c r="D11312" s="8">
        <v>-0.14699999999999999</v>
      </c>
    </row>
    <row r="11313" spans="1:4">
      <c r="A11313" t="str">
        <f t="shared" si="186"/>
        <v>891Net Profit</v>
      </c>
      <c r="B11313">
        <v>891</v>
      </c>
      <c r="C11313" s="9" t="s">
        <v>32</v>
      </c>
      <c r="D11313" s="8">
        <v>-2.0570000000000001E-2</v>
      </c>
    </row>
    <row r="11314" spans="1:4">
      <c r="A11314" t="str">
        <f t="shared" si="186"/>
        <v>891Loss Rate</v>
      </c>
      <c r="B11314">
        <v>891</v>
      </c>
      <c r="C11314" s="9" t="s">
        <v>33</v>
      </c>
      <c r="D11314" s="8">
        <v>0.39</v>
      </c>
    </row>
    <row r="11315" spans="1:4">
      <c r="A11315" t="str">
        <f t="shared" si="186"/>
        <v>891Win Rate</v>
      </c>
      <c r="B11315">
        <v>891</v>
      </c>
      <c r="C11315" s="9" t="s">
        <v>34</v>
      </c>
      <c r="D11315" s="8">
        <v>0.61</v>
      </c>
    </row>
    <row r="11316" spans="1:4">
      <c r="A11316" t="str">
        <f t="shared" si="186"/>
        <v>891Profit-Loss Ratio</v>
      </c>
      <c r="B11316">
        <v>891</v>
      </c>
      <c r="C11316" s="9" t="s">
        <v>26</v>
      </c>
      <c r="D11316" s="8">
        <v>0.4</v>
      </c>
    </row>
    <row r="11317" spans="1:4">
      <c r="A11317" t="str">
        <f t="shared" si="186"/>
        <v>891Alpha</v>
      </c>
      <c r="B11317">
        <v>891</v>
      </c>
      <c r="C11317" s="9" t="s">
        <v>23</v>
      </c>
      <c r="D11317" s="8">
        <v>-1.9E-2</v>
      </c>
    </row>
    <row r="11318" spans="1:4">
      <c r="A11318" t="str">
        <f t="shared" si="186"/>
        <v>891Beta</v>
      </c>
      <c r="B11318">
        <v>891</v>
      </c>
      <c r="C11318" s="9" t="s">
        <v>24</v>
      </c>
      <c r="D11318" s="8">
        <v>-0.04</v>
      </c>
    </row>
    <row r="11319" spans="1:4">
      <c r="A11319" t="str">
        <f t="shared" si="186"/>
        <v>891Annual Standard Deviation</v>
      </c>
      <c r="B11319">
        <v>891</v>
      </c>
      <c r="C11319" s="9" t="s">
        <v>35</v>
      </c>
      <c r="D11319" s="8">
        <v>2.1000000000000001E-2</v>
      </c>
    </row>
    <row r="11320" spans="1:4">
      <c r="A11320" t="str">
        <f t="shared" si="186"/>
        <v>891Annual Variance</v>
      </c>
      <c r="B11320">
        <v>891</v>
      </c>
      <c r="C11320" s="9" t="s">
        <v>36</v>
      </c>
      <c r="D11320" s="8">
        <v>0</v>
      </c>
    </row>
    <row r="11321" spans="1:4">
      <c r="A11321" t="str">
        <f t="shared" si="186"/>
        <v>891Information Ratio</v>
      </c>
      <c r="B11321">
        <v>891</v>
      </c>
      <c r="C11321" s="9" t="s">
        <v>37</v>
      </c>
      <c r="D11321" s="8">
        <v>-1</v>
      </c>
    </row>
    <row r="11322" spans="1:4">
      <c r="A11322" t="str">
        <f t="shared" si="186"/>
        <v>891Tracking Error</v>
      </c>
      <c r="B11322">
        <v>891</v>
      </c>
      <c r="C11322" s="9" t="s">
        <v>38</v>
      </c>
      <c r="D11322" s="8">
        <v>7.2999999999999995E-2</v>
      </c>
    </row>
    <row r="11323" spans="1:4">
      <c r="A11323" t="str">
        <f t="shared" si="186"/>
        <v>891Treynor Ratio</v>
      </c>
      <c r="B11323">
        <v>891</v>
      </c>
      <c r="C11323" s="9" t="s">
        <v>39</v>
      </c>
      <c r="D11323" s="8">
        <v>0.52600000000000002</v>
      </c>
    </row>
    <row r="11324" spans="1:4">
      <c r="A11324" t="str">
        <f t="shared" si="186"/>
        <v>891Total Fees</v>
      </c>
      <c r="B11324">
        <v>891</v>
      </c>
      <c r="C11324" s="9" t="s">
        <v>40</v>
      </c>
      <c r="D11324" s="8">
        <v>0</v>
      </c>
    </row>
    <row r="11325" spans="1:4">
      <c r="A11325" t="str">
        <f t="shared" si="186"/>
        <v>891Estimated Strategy Capacity</v>
      </c>
      <c r="B11325">
        <v>891</v>
      </c>
      <c r="C11325" s="9" t="s">
        <v>41</v>
      </c>
      <c r="D11325" s="8">
        <v>120000000</v>
      </c>
    </row>
    <row r="11326" spans="1:4">
      <c r="A11326" t="str">
        <f t="shared" si="186"/>
        <v>910PSR</v>
      </c>
      <c r="B11326">
        <v>910</v>
      </c>
      <c r="C11326" s="9" t="s">
        <v>27</v>
      </c>
      <c r="D11326" s="8">
        <v>0.25767000000000001</v>
      </c>
    </row>
    <row r="11327" spans="1:4">
      <c r="A11327" t="str">
        <f t="shared" si="186"/>
        <v>910Sharpe Ratio</v>
      </c>
      <c r="B11327">
        <v>910</v>
      </c>
      <c r="C11327" s="9" t="s">
        <v>1</v>
      </c>
      <c r="D11327" s="8">
        <v>0.33</v>
      </c>
    </row>
    <row r="11328" spans="1:4">
      <c r="A11328" t="str">
        <f t="shared" si="186"/>
        <v>910Total Trades</v>
      </c>
      <c r="B11328">
        <v>910</v>
      </c>
      <c r="C11328" s="9" t="s">
        <v>28</v>
      </c>
      <c r="D11328" s="8">
        <v>1080</v>
      </c>
    </row>
    <row r="11329" spans="1:4">
      <c r="A11329" t="str">
        <f t="shared" si="186"/>
        <v>910Average Win</v>
      </c>
      <c r="B11329">
        <v>910</v>
      </c>
      <c r="C11329" s="9" t="s">
        <v>25</v>
      </c>
      <c r="D11329" s="8">
        <v>2.0000000000000001E-4</v>
      </c>
    </row>
    <row r="11330" spans="1:4">
      <c r="A11330" t="str">
        <f t="shared" si="186"/>
        <v>910Average Loss</v>
      </c>
      <c r="B11330">
        <v>910</v>
      </c>
      <c r="C11330" s="9" t="s">
        <v>29</v>
      </c>
      <c r="D11330" s="8">
        <v>-4.0000000000000002E-4</v>
      </c>
    </row>
    <row r="11331" spans="1:4">
      <c r="A11331" t="str">
        <f t="shared" si="186"/>
        <v>910Compounding Annual Return</v>
      </c>
      <c r="B11331">
        <v>910</v>
      </c>
      <c r="C11331" s="9" t="s">
        <v>30</v>
      </c>
      <c r="D11331" s="8">
        <v>3.7499999999999999E-3</v>
      </c>
    </row>
    <row r="11332" spans="1:4">
      <c r="A11332" t="str">
        <f t="shared" si="186"/>
        <v>910Drawdown</v>
      </c>
      <c r="B11332">
        <v>910</v>
      </c>
      <c r="C11332" s="9" t="s">
        <v>8</v>
      </c>
      <c r="D11332" s="8">
        <v>5.0000000000000001E-3</v>
      </c>
    </row>
    <row r="11333" spans="1:4">
      <c r="A11333" t="str">
        <f t="shared" si="186"/>
        <v>910Expectancy</v>
      </c>
      <c r="B11333">
        <v>910</v>
      </c>
      <c r="C11333" s="9" t="s">
        <v>31</v>
      </c>
      <c r="D11333" s="8">
        <v>4.4999999999999998E-2</v>
      </c>
    </row>
    <row r="11334" spans="1:4">
      <c r="A11334" t="str">
        <f t="shared" si="186"/>
        <v>910Net Profit</v>
      </c>
      <c r="B11334">
        <v>910</v>
      </c>
      <c r="C11334" s="9" t="s">
        <v>32</v>
      </c>
      <c r="D11334" s="8">
        <v>2.49E-3</v>
      </c>
    </row>
    <row r="11335" spans="1:4">
      <c r="A11335" t="str">
        <f t="shared" si="186"/>
        <v>910Loss Rate</v>
      </c>
      <c r="B11335">
        <v>910</v>
      </c>
      <c r="C11335" s="9" t="s">
        <v>33</v>
      </c>
      <c r="D11335" s="8">
        <v>0.33</v>
      </c>
    </row>
    <row r="11336" spans="1:4">
      <c r="A11336" t="str">
        <f t="shared" si="186"/>
        <v>910Win Rate</v>
      </c>
      <c r="B11336">
        <v>910</v>
      </c>
      <c r="C11336" s="9" t="s">
        <v>34</v>
      </c>
      <c r="D11336" s="8">
        <v>0.67</v>
      </c>
    </row>
    <row r="11337" spans="1:4">
      <c r="A11337" t="str">
        <f t="shared" si="186"/>
        <v>910Profit-Loss Ratio</v>
      </c>
      <c r="B11337">
        <v>910</v>
      </c>
      <c r="C11337" s="9" t="s">
        <v>26</v>
      </c>
      <c r="D11337" s="8">
        <v>0.55000000000000004</v>
      </c>
    </row>
    <row r="11338" spans="1:4">
      <c r="A11338" t="str">
        <f t="shared" si="186"/>
        <v>910Alpha</v>
      </c>
      <c r="B11338">
        <v>910</v>
      </c>
      <c r="C11338" s="9" t="s">
        <v>23</v>
      </c>
      <c r="D11338" s="8">
        <v>3.0000000000000001E-3</v>
      </c>
    </row>
    <row r="11339" spans="1:4">
      <c r="A11339" t="str">
        <f t="shared" si="186"/>
        <v>910Beta</v>
      </c>
      <c r="B11339">
        <v>910</v>
      </c>
      <c r="C11339" s="9" t="s">
        <v>24</v>
      </c>
      <c r="D11339" s="8">
        <v>-3.0000000000000001E-3</v>
      </c>
    </row>
    <row r="11340" spans="1:4">
      <c r="A11340" t="str">
        <f t="shared" si="186"/>
        <v>910Annual Standard Deviation</v>
      </c>
      <c r="B11340">
        <v>910</v>
      </c>
      <c r="C11340" s="9" t="s">
        <v>35</v>
      </c>
      <c r="D11340" s="8">
        <v>8.0000000000000002E-3</v>
      </c>
    </row>
    <row r="11341" spans="1:4">
      <c r="A11341" t="str">
        <f t="shared" si="186"/>
        <v>910Annual Variance</v>
      </c>
      <c r="B11341">
        <v>910</v>
      </c>
      <c r="C11341" s="9" t="s">
        <v>36</v>
      </c>
      <c r="D11341" s="8">
        <v>0</v>
      </c>
    </row>
    <row r="11342" spans="1:4">
      <c r="A11342" t="str">
        <f t="shared" si="186"/>
        <v>910Information Ratio</v>
      </c>
      <c r="B11342">
        <v>910</v>
      </c>
      <c r="C11342" s="9" t="s">
        <v>37</v>
      </c>
      <c r="D11342" s="8">
        <v>-0.72599999999999998</v>
      </c>
    </row>
    <row r="11343" spans="1:4">
      <c r="A11343" t="str">
        <f t="shared" si="186"/>
        <v>910Tracking Error</v>
      </c>
      <c r="B11343">
        <v>910</v>
      </c>
      <c r="C11343" s="9" t="s">
        <v>38</v>
      </c>
      <c r="D11343" s="8">
        <v>6.8000000000000005E-2</v>
      </c>
    </row>
    <row r="11344" spans="1:4">
      <c r="A11344" t="str">
        <f t="shared" si="186"/>
        <v>910Treynor Ratio</v>
      </c>
      <c r="B11344">
        <v>910</v>
      </c>
      <c r="C11344" s="9" t="s">
        <v>39</v>
      </c>
      <c r="D11344" s="8">
        <v>-0.76500000000000001</v>
      </c>
    </row>
    <row r="11345" spans="1:4">
      <c r="A11345" t="str">
        <f t="shared" si="186"/>
        <v>910Total Fees</v>
      </c>
      <c r="B11345">
        <v>910</v>
      </c>
      <c r="C11345" s="9" t="s">
        <v>40</v>
      </c>
      <c r="D11345" s="8">
        <v>0</v>
      </c>
    </row>
    <row r="11346" spans="1:4">
      <c r="A11346" t="str">
        <f t="shared" ref="A11346:A11410" si="187">B11346&amp;C11346</f>
        <v>910Estimated Strategy Capacity</v>
      </c>
      <c r="B11346">
        <v>910</v>
      </c>
      <c r="C11346" s="9" t="s">
        <v>41</v>
      </c>
      <c r="D11346" s="8">
        <v>18000000</v>
      </c>
    </row>
    <row r="11347" spans="1:4">
      <c r="A11347" t="str">
        <f t="shared" si="187"/>
        <v>911PSR</v>
      </c>
      <c r="B11347">
        <v>911</v>
      </c>
      <c r="C11347" s="9" t="s">
        <v>27</v>
      </c>
      <c r="D11347" s="8">
        <v>8.4320000000000006E-2</v>
      </c>
    </row>
    <row r="11348" spans="1:4">
      <c r="A11348" t="str">
        <f t="shared" si="187"/>
        <v>911Sharpe Ratio</v>
      </c>
      <c r="B11348">
        <v>911</v>
      </c>
      <c r="C11348" s="9" t="s">
        <v>1</v>
      </c>
      <c r="D11348" s="8">
        <v>-0.38200000000000001</v>
      </c>
    </row>
    <row r="11349" spans="1:4">
      <c r="A11349" t="str">
        <f t="shared" si="187"/>
        <v>911Total Trades</v>
      </c>
      <c r="B11349">
        <v>911</v>
      </c>
      <c r="C11349" s="9" t="s">
        <v>28</v>
      </c>
      <c r="D11349" s="8">
        <v>858</v>
      </c>
    </row>
    <row r="11350" spans="1:4">
      <c r="A11350" t="str">
        <f t="shared" si="187"/>
        <v>911Average Win</v>
      </c>
      <c r="B11350">
        <v>911</v>
      </c>
      <c r="C11350" s="9" t="s">
        <v>25</v>
      </c>
      <c r="D11350" s="8">
        <v>6.9999999999999999E-4</v>
      </c>
    </row>
    <row r="11351" spans="1:4">
      <c r="A11351" t="str">
        <f t="shared" si="187"/>
        <v>911Average Loss</v>
      </c>
      <c r="B11351">
        <v>911</v>
      </c>
      <c r="C11351" s="9" t="s">
        <v>29</v>
      </c>
      <c r="D11351" s="8">
        <v>-1.6999999999999999E-3</v>
      </c>
    </row>
    <row r="11352" spans="1:4">
      <c r="A11352" t="str">
        <f t="shared" si="187"/>
        <v>911Compounding Annual Return</v>
      </c>
      <c r="B11352">
        <v>911</v>
      </c>
      <c r="C11352" s="9" t="s">
        <v>30</v>
      </c>
      <c r="D11352" s="8">
        <v>-1.2579999999999999E-2</v>
      </c>
    </row>
    <row r="11353" spans="1:4">
      <c r="A11353" t="str">
        <f t="shared" si="187"/>
        <v>911Drawdown</v>
      </c>
      <c r="B11353">
        <v>911</v>
      </c>
      <c r="C11353" s="9" t="s">
        <v>8</v>
      </c>
      <c r="D11353" s="8">
        <v>0.02</v>
      </c>
    </row>
    <row r="11354" spans="1:4">
      <c r="A11354" t="str">
        <f t="shared" si="187"/>
        <v>911Expectancy</v>
      </c>
      <c r="B11354">
        <v>911</v>
      </c>
      <c r="C11354" s="9" t="s">
        <v>31</v>
      </c>
      <c r="D11354" s="8">
        <v>-3.5999999999999997E-2</v>
      </c>
    </row>
    <row r="11355" spans="1:4">
      <c r="A11355" t="str">
        <f t="shared" si="187"/>
        <v>911Net Profit</v>
      </c>
      <c r="B11355">
        <v>911</v>
      </c>
      <c r="C11355" s="9" t="s">
        <v>32</v>
      </c>
      <c r="D11355" s="8">
        <v>-8.3899999999999999E-3</v>
      </c>
    </row>
    <row r="11356" spans="1:4">
      <c r="A11356" t="str">
        <f t="shared" si="187"/>
        <v>911Loss Rate</v>
      </c>
      <c r="B11356">
        <v>911</v>
      </c>
      <c r="C11356" s="9" t="s">
        <v>33</v>
      </c>
      <c r="D11356" s="8">
        <v>0.32</v>
      </c>
    </row>
    <row r="11357" spans="1:4">
      <c r="A11357" t="str">
        <f t="shared" si="187"/>
        <v>911Win Rate</v>
      </c>
      <c r="B11357">
        <v>911</v>
      </c>
      <c r="C11357" s="9" t="s">
        <v>34</v>
      </c>
      <c r="D11357" s="8">
        <v>0.68</v>
      </c>
    </row>
    <row r="11358" spans="1:4">
      <c r="A11358" t="str">
        <f t="shared" si="187"/>
        <v>911Profit-Loss Ratio</v>
      </c>
      <c r="B11358">
        <v>911</v>
      </c>
      <c r="C11358" s="9" t="s">
        <v>26</v>
      </c>
      <c r="D11358" s="8">
        <v>0.43</v>
      </c>
    </row>
    <row r="11359" spans="1:4">
      <c r="A11359" t="str">
        <f t="shared" si="187"/>
        <v>911Alpha</v>
      </c>
      <c r="B11359">
        <v>911</v>
      </c>
      <c r="C11359" s="9" t="s">
        <v>23</v>
      </c>
      <c r="D11359" s="8">
        <v>-0.01</v>
      </c>
    </row>
    <row r="11360" spans="1:4">
      <c r="A11360" t="str">
        <f t="shared" si="187"/>
        <v>911Beta</v>
      </c>
      <c r="B11360">
        <v>911</v>
      </c>
      <c r="C11360" s="9" t="s">
        <v>24</v>
      </c>
      <c r="D11360" s="8">
        <v>2.9000000000000001E-2</v>
      </c>
    </row>
    <row r="11361" spans="1:4">
      <c r="A11361" t="str">
        <f t="shared" si="187"/>
        <v>911Annual Standard Deviation</v>
      </c>
      <c r="B11361">
        <v>911</v>
      </c>
      <c r="C11361" s="9" t="s">
        <v>35</v>
      </c>
      <c r="D11361" s="8">
        <v>2.1999999999999999E-2</v>
      </c>
    </row>
    <row r="11362" spans="1:4">
      <c r="A11362" t="str">
        <f t="shared" si="187"/>
        <v>911Annual Variance</v>
      </c>
      <c r="B11362">
        <v>911</v>
      </c>
      <c r="C11362" s="9" t="s">
        <v>36</v>
      </c>
      <c r="D11362" s="8">
        <v>0</v>
      </c>
    </row>
    <row r="11363" spans="1:4">
      <c r="A11363" t="str">
        <f t="shared" si="187"/>
        <v>911Information Ratio</v>
      </c>
      <c r="B11363">
        <v>911</v>
      </c>
      <c r="C11363" s="9" t="s">
        <v>37</v>
      </c>
      <c r="D11363" s="8">
        <v>-0.876</v>
      </c>
    </row>
    <row r="11364" spans="1:4">
      <c r="A11364" t="str">
        <f t="shared" si="187"/>
        <v>911Tracking Error</v>
      </c>
      <c r="B11364">
        <v>911</v>
      </c>
      <c r="C11364" s="9" t="s">
        <v>38</v>
      </c>
      <c r="D11364" s="8">
        <v>6.9000000000000006E-2</v>
      </c>
    </row>
    <row r="11365" spans="1:4">
      <c r="A11365" t="str">
        <f t="shared" si="187"/>
        <v>911Treynor Ratio</v>
      </c>
      <c r="B11365">
        <v>911</v>
      </c>
      <c r="C11365" s="9" t="s">
        <v>39</v>
      </c>
      <c r="D11365" s="8">
        <v>-0.29799999999999999</v>
      </c>
    </row>
    <row r="11366" spans="1:4">
      <c r="A11366" t="str">
        <f t="shared" si="187"/>
        <v>911Total Fees</v>
      </c>
      <c r="B11366">
        <v>911</v>
      </c>
      <c r="C11366" s="9" t="s">
        <v>40</v>
      </c>
      <c r="D11366" s="8">
        <v>0</v>
      </c>
    </row>
    <row r="11367" spans="1:4">
      <c r="A11367" t="str">
        <f t="shared" si="187"/>
        <v>911Estimated Strategy Capacity</v>
      </c>
      <c r="B11367">
        <v>911</v>
      </c>
      <c r="C11367" s="9" t="s">
        <v>41</v>
      </c>
      <c r="D11367" s="8">
        <v>4900000</v>
      </c>
    </row>
    <row r="11368" spans="1:4">
      <c r="A11368" t="str">
        <f t="shared" si="187"/>
        <v>912PSR</v>
      </c>
      <c r="B11368">
        <v>912</v>
      </c>
      <c r="C11368" s="9" t="s">
        <v>27</v>
      </c>
      <c r="D11368" s="8">
        <v>3.63E-3</v>
      </c>
    </row>
    <row r="11369" spans="1:4">
      <c r="A11369" t="str">
        <f t="shared" si="187"/>
        <v>912Sharpe Ratio</v>
      </c>
      <c r="B11369">
        <v>912</v>
      </c>
      <c r="C11369" s="9" t="s">
        <v>1</v>
      </c>
      <c r="D11369" s="8">
        <v>-1.4139999999999999</v>
      </c>
    </row>
    <row r="11370" spans="1:4">
      <c r="A11370" t="str">
        <f t="shared" si="187"/>
        <v>912Total Trades</v>
      </c>
      <c r="B11370">
        <v>912</v>
      </c>
      <c r="C11370" s="9" t="s">
        <v>28</v>
      </c>
      <c r="D11370" s="8">
        <v>648</v>
      </c>
    </row>
    <row r="11371" spans="1:4">
      <c r="A11371" t="str">
        <f t="shared" si="187"/>
        <v>912Average Win</v>
      </c>
      <c r="B11371">
        <v>912</v>
      </c>
      <c r="C11371" s="9" t="s">
        <v>25</v>
      </c>
      <c r="D11371" s="8">
        <v>8.0000000000000004E-4</v>
      </c>
    </row>
    <row r="11372" spans="1:4">
      <c r="A11372" t="str">
        <f t="shared" si="187"/>
        <v>912Average Loss</v>
      </c>
      <c r="B11372">
        <v>912</v>
      </c>
      <c r="C11372" s="9" t="s">
        <v>29</v>
      </c>
      <c r="D11372" s="8">
        <v>-2.8E-3</v>
      </c>
    </row>
    <row r="11373" spans="1:4">
      <c r="A11373" t="str">
        <f t="shared" si="187"/>
        <v>912Compounding Annual Return</v>
      </c>
      <c r="B11373">
        <v>912</v>
      </c>
      <c r="C11373" s="9" t="s">
        <v>30</v>
      </c>
      <c r="D11373" s="8">
        <v>-5.8200000000000002E-2</v>
      </c>
    </row>
    <row r="11374" spans="1:4">
      <c r="A11374" t="str">
        <f t="shared" si="187"/>
        <v>912Drawdown</v>
      </c>
      <c r="B11374">
        <v>912</v>
      </c>
      <c r="C11374" s="9" t="s">
        <v>8</v>
      </c>
      <c r="D11374" s="8">
        <v>4.4999999999999998E-2</v>
      </c>
    </row>
    <row r="11375" spans="1:4">
      <c r="A11375" t="str">
        <f t="shared" si="187"/>
        <v>912Expectancy</v>
      </c>
      <c r="B11375">
        <v>912</v>
      </c>
      <c r="C11375" s="9" t="s">
        <v>31</v>
      </c>
      <c r="D11375" s="8">
        <v>-0.13100000000000001</v>
      </c>
    </row>
    <row r="11376" spans="1:4">
      <c r="A11376" t="str">
        <f t="shared" si="187"/>
        <v>912Net Profit</v>
      </c>
      <c r="B11376">
        <v>912</v>
      </c>
      <c r="C11376" s="9" t="s">
        <v>32</v>
      </c>
      <c r="D11376" s="8">
        <v>-3.9129999999999998E-2</v>
      </c>
    </row>
    <row r="11377" spans="1:4">
      <c r="A11377" t="str">
        <f t="shared" si="187"/>
        <v>912Loss Rate</v>
      </c>
      <c r="B11377">
        <v>912</v>
      </c>
      <c r="C11377" s="9" t="s">
        <v>33</v>
      </c>
      <c r="D11377" s="8">
        <v>0.33</v>
      </c>
    </row>
    <row r="11378" spans="1:4">
      <c r="A11378" t="str">
        <f t="shared" si="187"/>
        <v>912Win Rate</v>
      </c>
      <c r="B11378">
        <v>912</v>
      </c>
      <c r="C11378" s="9" t="s">
        <v>34</v>
      </c>
      <c r="D11378" s="8">
        <v>0.67</v>
      </c>
    </row>
    <row r="11379" spans="1:4">
      <c r="A11379" t="str">
        <f t="shared" si="187"/>
        <v>912Profit-Loss Ratio</v>
      </c>
      <c r="B11379">
        <v>912</v>
      </c>
      <c r="C11379" s="9" t="s">
        <v>26</v>
      </c>
      <c r="D11379" s="8">
        <v>0.3</v>
      </c>
    </row>
    <row r="11380" spans="1:4">
      <c r="A11380" t="str">
        <f t="shared" si="187"/>
        <v>912Alpha</v>
      </c>
      <c r="B11380">
        <v>912</v>
      </c>
      <c r="C11380" s="9" t="s">
        <v>23</v>
      </c>
      <c r="D11380" s="8">
        <v>-4.2000000000000003E-2</v>
      </c>
    </row>
    <row r="11381" spans="1:4">
      <c r="A11381" t="str">
        <f t="shared" si="187"/>
        <v>912Beta</v>
      </c>
      <c r="B11381">
        <v>912</v>
      </c>
      <c r="C11381" s="9" t="s">
        <v>24</v>
      </c>
      <c r="D11381" s="8">
        <v>2.5000000000000001E-2</v>
      </c>
    </row>
    <row r="11382" spans="1:4">
      <c r="A11382" t="str">
        <f t="shared" si="187"/>
        <v>912Annual Standard Deviation</v>
      </c>
      <c r="B11382">
        <v>912</v>
      </c>
      <c r="C11382" s="9" t="s">
        <v>35</v>
      </c>
      <c r="D11382" s="8">
        <v>2.9000000000000001E-2</v>
      </c>
    </row>
    <row r="11383" spans="1:4">
      <c r="A11383" t="str">
        <f t="shared" si="187"/>
        <v>912Annual Variance</v>
      </c>
      <c r="B11383">
        <v>912</v>
      </c>
      <c r="C11383" s="9" t="s">
        <v>36</v>
      </c>
      <c r="D11383" s="8">
        <v>1E-3</v>
      </c>
    </row>
    <row r="11384" spans="1:4">
      <c r="A11384" t="str">
        <f t="shared" si="187"/>
        <v>912Information Ratio</v>
      </c>
      <c r="B11384">
        <v>912</v>
      </c>
      <c r="C11384" s="9" t="s">
        <v>37</v>
      </c>
      <c r="D11384" s="8">
        <v>-1.2909999999999999</v>
      </c>
    </row>
    <row r="11385" spans="1:4">
      <c r="A11385" t="str">
        <f t="shared" si="187"/>
        <v>912Tracking Error</v>
      </c>
      <c r="B11385">
        <v>912</v>
      </c>
      <c r="C11385" s="9" t="s">
        <v>38</v>
      </c>
      <c r="D11385" s="8">
        <v>7.0999999999999994E-2</v>
      </c>
    </row>
    <row r="11386" spans="1:4">
      <c r="A11386" t="str">
        <f t="shared" si="187"/>
        <v>912Treynor Ratio</v>
      </c>
      <c r="B11386">
        <v>912</v>
      </c>
      <c r="C11386" s="9" t="s">
        <v>39</v>
      </c>
      <c r="D11386" s="8">
        <v>-1.6020000000000001</v>
      </c>
    </row>
    <row r="11387" spans="1:4">
      <c r="A11387" t="str">
        <f t="shared" si="187"/>
        <v>912Total Fees</v>
      </c>
      <c r="B11387">
        <v>912</v>
      </c>
      <c r="C11387" s="9" t="s">
        <v>40</v>
      </c>
      <c r="D11387" s="8">
        <v>0</v>
      </c>
    </row>
    <row r="11388" spans="1:4">
      <c r="A11388" t="str">
        <f t="shared" si="187"/>
        <v>912Estimated Strategy Capacity</v>
      </c>
      <c r="B11388">
        <v>912</v>
      </c>
      <c r="C11388" s="9" t="s">
        <v>41</v>
      </c>
      <c r="D11388" s="8">
        <v>5500000</v>
      </c>
    </row>
    <row r="11389" spans="1:4">
      <c r="A11389" t="str">
        <f t="shared" si="187"/>
        <v>913PSR</v>
      </c>
      <c r="B11389">
        <v>913</v>
      </c>
      <c r="C11389" s="9" t="s">
        <v>27</v>
      </c>
      <c r="D11389" s="8">
        <v>4.4000000000000002E-4</v>
      </c>
    </row>
    <row r="11390" spans="1:4">
      <c r="A11390" t="str">
        <f t="shared" si="187"/>
        <v>913Sharpe Ratio</v>
      </c>
      <c r="B11390">
        <v>913</v>
      </c>
      <c r="C11390" s="9" t="s">
        <v>1</v>
      </c>
      <c r="D11390" s="8">
        <v>-1.6539999999999999</v>
      </c>
    </row>
    <row r="11391" spans="1:4">
      <c r="A11391" t="str">
        <f t="shared" si="187"/>
        <v>913Total Trades</v>
      </c>
      <c r="B11391">
        <v>913</v>
      </c>
      <c r="C11391" s="9" t="s">
        <v>28</v>
      </c>
      <c r="D11391" s="8">
        <v>923</v>
      </c>
    </row>
    <row r="11392" spans="1:4">
      <c r="A11392" t="str">
        <f t="shared" si="187"/>
        <v>913Average Win</v>
      </c>
      <c r="B11392">
        <v>913</v>
      </c>
      <c r="C11392" s="9" t="s">
        <v>25</v>
      </c>
      <c r="D11392" s="8">
        <v>1E-4</v>
      </c>
    </row>
    <row r="11393" spans="1:4">
      <c r="A11393" t="str">
        <f t="shared" si="187"/>
        <v>913Average Loss</v>
      </c>
      <c r="B11393">
        <v>913</v>
      </c>
      <c r="C11393" s="9" t="s">
        <v>29</v>
      </c>
      <c r="D11393" s="8">
        <v>-5.0000000000000001E-4</v>
      </c>
    </row>
    <row r="11394" spans="1:4">
      <c r="A11394" t="str">
        <f t="shared" si="187"/>
        <v>913Compounding Annual Return</v>
      </c>
      <c r="B11394">
        <v>913</v>
      </c>
      <c r="C11394" s="9" t="s">
        <v>30</v>
      </c>
      <c r="D11394" s="8">
        <v>-2.0219999999999998E-2</v>
      </c>
    </row>
    <row r="11395" spans="1:4">
      <c r="A11395" t="str">
        <f t="shared" si="187"/>
        <v>913Drawdown</v>
      </c>
      <c r="B11395">
        <v>913</v>
      </c>
      <c r="C11395" s="9" t="s">
        <v>8</v>
      </c>
      <c r="D11395" s="8">
        <v>1.7000000000000001E-2</v>
      </c>
    </row>
    <row r="11396" spans="1:4">
      <c r="A11396" t="str">
        <f t="shared" si="187"/>
        <v>913Expectancy</v>
      </c>
      <c r="B11396">
        <v>913</v>
      </c>
      <c r="C11396" s="9" t="s">
        <v>31</v>
      </c>
      <c r="D11396" s="8">
        <v>-0.23400000000000001</v>
      </c>
    </row>
    <row r="11397" spans="1:4">
      <c r="A11397" t="str">
        <f t="shared" si="187"/>
        <v>913Net Profit</v>
      </c>
      <c r="B11397">
        <v>913</v>
      </c>
      <c r="C11397" s="9" t="s">
        <v>32</v>
      </c>
      <c r="D11397" s="8">
        <v>-1.35E-2</v>
      </c>
    </row>
    <row r="11398" spans="1:4">
      <c r="A11398" t="str">
        <f t="shared" si="187"/>
        <v>913Loss Rate</v>
      </c>
      <c r="B11398">
        <v>913</v>
      </c>
      <c r="C11398" s="9" t="s">
        <v>33</v>
      </c>
      <c r="D11398" s="8">
        <v>0.41</v>
      </c>
    </row>
    <row r="11399" spans="1:4">
      <c r="A11399" t="str">
        <f t="shared" si="187"/>
        <v>913Win Rate</v>
      </c>
      <c r="B11399">
        <v>913</v>
      </c>
      <c r="C11399" s="9" t="s">
        <v>34</v>
      </c>
      <c r="D11399" s="8">
        <v>0.59</v>
      </c>
    </row>
    <row r="11400" spans="1:4">
      <c r="A11400" t="str">
        <f t="shared" si="187"/>
        <v>913Profit-Loss Ratio</v>
      </c>
      <c r="B11400">
        <v>913</v>
      </c>
      <c r="C11400" s="9" t="s">
        <v>26</v>
      </c>
      <c r="D11400" s="8">
        <v>0.28999999999999998</v>
      </c>
    </row>
    <row r="11401" spans="1:4">
      <c r="A11401" t="str">
        <f t="shared" si="187"/>
        <v>913Alpha</v>
      </c>
      <c r="B11401">
        <v>913</v>
      </c>
      <c r="C11401" s="9" t="s">
        <v>23</v>
      </c>
      <c r="D11401" s="8">
        <v>-1.4E-2</v>
      </c>
    </row>
    <row r="11402" spans="1:4">
      <c r="A11402" t="str">
        <f t="shared" si="187"/>
        <v>913Beta</v>
      </c>
      <c r="B11402">
        <v>913</v>
      </c>
      <c r="C11402" s="9" t="s">
        <v>24</v>
      </c>
      <c r="D11402" s="8">
        <v>4.0000000000000001E-3</v>
      </c>
    </row>
    <row r="11403" spans="1:4">
      <c r="A11403" t="str">
        <f t="shared" si="187"/>
        <v>913Annual Standard Deviation</v>
      </c>
      <c r="B11403">
        <v>913</v>
      </c>
      <c r="C11403" s="9" t="s">
        <v>35</v>
      </c>
      <c r="D11403" s="8">
        <v>8.0000000000000002E-3</v>
      </c>
    </row>
    <row r="11404" spans="1:4">
      <c r="A11404" t="str">
        <f t="shared" si="187"/>
        <v>913Annual Variance</v>
      </c>
      <c r="B11404">
        <v>913</v>
      </c>
      <c r="C11404" s="9" t="s">
        <v>36</v>
      </c>
      <c r="D11404" s="8">
        <v>0</v>
      </c>
    </row>
    <row r="11405" spans="1:4">
      <c r="A11405" t="str">
        <f t="shared" si="187"/>
        <v>913Information Ratio</v>
      </c>
      <c r="B11405">
        <v>913</v>
      </c>
      <c r="C11405" s="9" t="s">
        <v>37</v>
      </c>
      <c r="D11405" s="8">
        <v>-0.97699999999999998</v>
      </c>
    </row>
    <row r="11406" spans="1:4">
      <c r="A11406" t="str">
        <f t="shared" si="187"/>
        <v>913Tracking Error</v>
      </c>
      <c r="B11406">
        <v>913</v>
      </c>
      <c r="C11406" s="9" t="s">
        <v>38</v>
      </c>
      <c r="D11406" s="8">
        <v>6.8000000000000005E-2</v>
      </c>
    </row>
    <row r="11407" spans="1:4">
      <c r="A11407" t="str">
        <f t="shared" si="187"/>
        <v>913Treynor Ratio</v>
      </c>
      <c r="B11407">
        <v>913</v>
      </c>
      <c r="C11407" s="9" t="s">
        <v>39</v>
      </c>
      <c r="D11407" s="8">
        <v>-3.77</v>
      </c>
    </row>
    <row r="11408" spans="1:4">
      <c r="A11408" t="str">
        <f t="shared" si="187"/>
        <v>913Total Fees</v>
      </c>
      <c r="B11408">
        <v>913</v>
      </c>
      <c r="C11408" s="9" t="s">
        <v>40</v>
      </c>
      <c r="D11408" s="8">
        <v>0</v>
      </c>
    </row>
    <row r="11409" spans="1:4">
      <c r="A11409" t="str">
        <f t="shared" si="187"/>
        <v>913Estimated Strategy Capacity</v>
      </c>
      <c r="B11409">
        <v>913</v>
      </c>
      <c r="C11409" s="9" t="s">
        <v>41</v>
      </c>
      <c r="D11409" s="8">
        <v>190000000</v>
      </c>
    </row>
    <row r="11410" spans="1:4">
      <c r="A11410" t="str">
        <f t="shared" si="187"/>
        <v>914PSR</v>
      </c>
      <c r="B11410">
        <v>914</v>
      </c>
      <c r="C11410" s="9" t="s">
        <v>27</v>
      </c>
      <c r="D11410" s="8">
        <v>2.4000000000000001E-4</v>
      </c>
    </row>
    <row r="11411" spans="1:4">
      <c r="A11411" t="str">
        <f t="shared" ref="A11411:A11474" si="188">B11411&amp;C11411</f>
        <v>914Sharpe Ratio</v>
      </c>
      <c r="B11411">
        <v>914</v>
      </c>
      <c r="C11411" s="9" t="s">
        <v>1</v>
      </c>
      <c r="D11411" s="8">
        <v>-1.8560000000000001</v>
      </c>
    </row>
    <row r="11412" spans="1:4">
      <c r="A11412" t="str">
        <f t="shared" si="188"/>
        <v>914Total Trades</v>
      </c>
      <c r="B11412">
        <v>914</v>
      </c>
      <c r="C11412" s="9" t="s">
        <v>28</v>
      </c>
      <c r="D11412" s="8">
        <v>741</v>
      </c>
    </row>
    <row r="11413" spans="1:4">
      <c r="A11413" t="str">
        <f t="shared" si="188"/>
        <v>914Average Win</v>
      </c>
      <c r="B11413">
        <v>914</v>
      </c>
      <c r="C11413" s="9" t="s">
        <v>25</v>
      </c>
      <c r="D11413" s="8">
        <v>4.0000000000000002E-4</v>
      </c>
    </row>
    <row r="11414" spans="1:4">
      <c r="A11414" t="str">
        <f t="shared" si="188"/>
        <v>914Average Loss</v>
      </c>
      <c r="B11414">
        <v>914</v>
      </c>
      <c r="C11414" s="9" t="s">
        <v>29</v>
      </c>
      <c r="D11414" s="8">
        <v>-1.6999999999999999E-3</v>
      </c>
    </row>
    <row r="11415" spans="1:4">
      <c r="A11415" t="str">
        <f t="shared" si="188"/>
        <v>914Compounding Annual Return</v>
      </c>
      <c r="B11415">
        <v>914</v>
      </c>
      <c r="C11415" s="9" t="s">
        <v>30</v>
      </c>
      <c r="D11415" s="8">
        <v>-6.3619999999999996E-2</v>
      </c>
    </row>
    <row r="11416" spans="1:4">
      <c r="A11416" t="str">
        <f t="shared" si="188"/>
        <v>914Drawdown</v>
      </c>
      <c r="B11416">
        <v>914</v>
      </c>
      <c r="C11416" s="9" t="s">
        <v>8</v>
      </c>
      <c r="D11416" s="8">
        <v>4.4999999999999998E-2</v>
      </c>
    </row>
    <row r="11417" spans="1:4">
      <c r="A11417" t="str">
        <f t="shared" si="188"/>
        <v>914Expectancy</v>
      </c>
      <c r="B11417">
        <v>914</v>
      </c>
      <c r="C11417" s="9" t="s">
        <v>31</v>
      </c>
      <c r="D11417" s="8">
        <v>-0.23300000000000001</v>
      </c>
    </row>
    <row r="11418" spans="1:4">
      <c r="A11418" t="str">
        <f t="shared" si="188"/>
        <v>914Net Profit</v>
      </c>
      <c r="B11418">
        <v>914</v>
      </c>
      <c r="C11418" s="9" t="s">
        <v>32</v>
      </c>
      <c r="D11418" s="8">
        <v>-4.2810000000000001E-2</v>
      </c>
    </row>
    <row r="11419" spans="1:4">
      <c r="A11419" t="str">
        <f t="shared" si="188"/>
        <v>914Loss Rate</v>
      </c>
      <c r="B11419">
        <v>914</v>
      </c>
      <c r="C11419" s="9" t="s">
        <v>33</v>
      </c>
      <c r="D11419" s="8">
        <v>0.39</v>
      </c>
    </row>
    <row r="11420" spans="1:4">
      <c r="A11420" t="str">
        <f t="shared" si="188"/>
        <v>914Win Rate</v>
      </c>
      <c r="B11420">
        <v>914</v>
      </c>
      <c r="C11420" s="9" t="s">
        <v>34</v>
      </c>
      <c r="D11420" s="8">
        <v>0.61</v>
      </c>
    </row>
    <row r="11421" spans="1:4">
      <c r="A11421" t="str">
        <f t="shared" si="188"/>
        <v>914Profit-Loss Ratio</v>
      </c>
      <c r="B11421">
        <v>914</v>
      </c>
      <c r="C11421" s="9" t="s">
        <v>26</v>
      </c>
      <c r="D11421" s="8">
        <v>0.26</v>
      </c>
    </row>
    <row r="11422" spans="1:4">
      <c r="A11422" t="str">
        <f t="shared" si="188"/>
        <v>914Alpha</v>
      </c>
      <c r="B11422">
        <v>914</v>
      </c>
      <c r="C11422" s="9" t="s">
        <v>23</v>
      </c>
      <c r="D11422" s="8">
        <v>-4.5999999999999999E-2</v>
      </c>
    </row>
    <row r="11423" spans="1:4">
      <c r="A11423" t="str">
        <f t="shared" si="188"/>
        <v>914Beta</v>
      </c>
      <c r="B11423">
        <v>914</v>
      </c>
      <c r="C11423" s="9" t="s">
        <v>24</v>
      </c>
      <c r="D11423" s="8">
        <v>2.8000000000000001E-2</v>
      </c>
    </row>
    <row r="11424" spans="1:4">
      <c r="A11424" t="str">
        <f t="shared" si="188"/>
        <v>914Annual Standard Deviation</v>
      </c>
      <c r="B11424">
        <v>914</v>
      </c>
      <c r="C11424" s="9" t="s">
        <v>35</v>
      </c>
      <c r="D11424" s="8">
        <v>2.4E-2</v>
      </c>
    </row>
    <row r="11425" spans="1:4">
      <c r="A11425" t="str">
        <f t="shared" si="188"/>
        <v>914Annual Variance</v>
      </c>
      <c r="B11425">
        <v>914</v>
      </c>
      <c r="C11425" s="9" t="s">
        <v>36</v>
      </c>
      <c r="D11425" s="8">
        <v>1E-3</v>
      </c>
    </row>
    <row r="11426" spans="1:4">
      <c r="A11426" t="str">
        <f t="shared" si="188"/>
        <v>914Information Ratio</v>
      </c>
      <c r="B11426">
        <v>914</v>
      </c>
      <c r="C11426" s="9" t="s">
        <v>37</v>
      </c>
      <c r="D11426" s="8">
        <v>-1.383</v>
      </c>
    </row>
    <row r="11427" spans="1:4">
      <c r="A11427" t="str">
        <f t="shared" si="188"/>
        <v>914Tracking Error</v>
      </c>
      <c r="B11427">
        <v>914</v>
      </c>
      <c r="C11427" s="9" t="s">
        <v>38</v>
      </c>
      <c r="D11427" s="8">
        <v>7.0000000000000007E-2</v>
      </c>
    </row>
    <row r="11428" spans="1:4">
      <c r="A11428" t="str">
        <f t="shared" si="188"/>
        <v>914Treynor Ratio</v>
      </c>
      <c r="B11428">
        <v>914</v>
      </c>
      <c r="C11428" s="9" t="s">
        <v>39</v>
      </c>
      <c r="D11428" s="8">
        <v>-1.575</v>
      </c>
    </row>
    <row r="11429" spans="1:4">
      <c r="A11429" t="str">
        <f t="shared" si="188"/>
        <v>914Total Fees</v>
      </c>
      <c r="B11429">
        <v>914</v>
      </c>
      <c r="C11429" s="9" t="s">
        <v>40</v>
      </c>
      <c r="D11429" s="8">
        <v>0</v>
      </c>
    </row>
    <row r="11430" spans="1:4">
      <c r="A11430" t="str">
        <f t="shared" si="188"/>
        <v>914Estimated Strategy Capacity</v>
      </c>
      <c r="B11430">
        <v>914</v>
      </c>
      <c r="C11430" s="9" t="s">
        <v>41</v>
      </c>
      <c r="D11430" s="8">
        <v>24000000</v>
      </c>
    </row>
    <row r="11431" spans="1:4">
      <c r="A11431" t="str">
        <f t="shared" si="188"/>
        <v>915PSR</v>
      </c>
      <c r="B11431">
        <v>915</v>
      </c>
      <c r="C11431" s="9" t="s">
        <v>27</v>
      </c>
      <c r="D11431" s="8">
        <v>3.0000000000000001E-5</v>
      </c>
    </row>
    <row r="11432" spans="1:4">
      <c r="A11432" t="str">
        <f t="shared" si="188"/>
        <v>915Sharpe Ratio</v>
      </c>
      <c r="B11432">
        <v>915</v>
      </c>
      <c r="C11432" s="9" t="s">
        <v>1</v>
      </c>
      <c r="D11432" s="8">
        <v>-2.0649999999999999</v>
      </c>
    </row>
    <row r="11433" spans="1:4">
      <c r="A11433" t="str">
        <f t="shared" si="188"/>
        <v>915Total Trades</v>
      </c>
      <c r="B11433">
        <v>915</v>
      </c>
      <c r="C11433" s="9" t="s">
        <v>28</v>
      </c>
      <c r="D11433" s="8">
        <v>573</v>
      </c>
    </row>
    <row r="11434" spans="1:4">
      <c r="A11434" t="str">
        <f t="shared" si="188"/>
        <v>915Average Win</v>
      </c>
      <c r="B11434">
        <v>915</v>
      </c>
      <c r="C11434" s="9" t="s">
        <v>25</v>
      </c>
      <c r="D11434" s="8">
        <v>5.0000000000000001E-4</v>
      </c>
    </row>
    <row r="11435" spans="1:4">
      <c r="A11435" t="str">
        <f t="shared" si="188"/>
        <v>915Average Loss</v>
      </c>
      <c r="B11435">
        <v>915</v>
      </c>
      <c r="C11435" s="9" t="s">
        <v>29</v>
      </c>
      <c r="D11435" s="8">
        <v>-2.3E-3</v>
      </c>
    </row>
    <row r="11436" spans="1:4">
      <c r="A11436" t="str">
        <f t="shared" si="188"/>
        <v>915Compounding Annual Return</v>
      </c>
      <c r="B11436">
        <v>915</v>
      </c>
      <c r="C11436" s="9" t="s">
        <v>30</v>
      </c>
      <c r="D11436" s="8">
        <v>-8.2150000000000001E-2</v>
      </c>
    </row>
    <row r="11437" spans="1:4">
      <c r="A11437" t="str">
        <f t="shared" si="188"/>
        <v>915Drawdown</v>
      </c>
      <c r="B11437">
        <v>915</v>
      </c>
      <c r="C11437" s="9" t="s">
        <v>8</v>
      </c>
      <c r="D11437" s="8">
        <v>5.7000000000000002E-2</v>
      </c>
    </row>
    <row r="11438" spans="1:4">
      <c r="A11438" t="str">
        <f t="shared" si="188"/>
        <v>915Expectancy</v>
      </c>
      <c r="B11438">
        <v>915</v>
      </c>
      <c r="C11438" s="9" t="s">
        <v>31</v>
      </c>
      <c r="D11438" s="8">
        <v>-0.24099999999999999</v>
      </c>
    </row>
    <row r="11439" spans="1:4">
      <c r="A11439" t="str">
        <f t="shared" si="188"/>
        <v>915Net Profit</v>
      </c>
      <c r="B11439">
        <v>915</v>
      </c>
      <c r="C11439" s="9" t="s">
        <v>32</v>
      </c>
      <c r="D11439" s="8">
        <v>-5.5460000000000002E-2</v>
      </c>
    </row>
    <row r="11440" spans="1:4">
      <c r="A11440" t="str">
        <f t="shared" si="188"/>
        <v>915Loss Rate</v>
      </c>
      <c r="B11440">
        <v>915</v>
      </c>
      <c r="C11440" s="9" t="s">
        <v>33</v>
      </c>
      <c r="D11440" s="8">
        <v>0.38</v>
      </c>
    </row>
    <row r="11441" spans="1:4">
      <c r="A11441" t="str">
        <f t="shared" si="188"/>
        <v>915Win Rate</v>
      </c>
      <c r="B11441">
        <v>915</v>
      </c>
      <c r="C11441" s="9" t="s">
        <v>34</v>
      </c>
      <c r="D11441" s="8">
        <v>0.62</v>
      </c>
    </row>
    <row r="11442" spans="1:4">
      <c r="A11442" t="str">
        <f t="shared" si="188"/>
        <v>915Profit-Loss Ratio</v>
      </c>
      <c r="B11442">
        <v>915</v>
      </c>
      <c r="C11442" s="9" t="s">
        <v>26</v>
      </c>
      <c r="D11442" s="8">
        <v>0.22</v>
      </c>
    </row>
    <row r="11443" spans="1:4">
      <c r="A11443" t="str">
        <f t="shared" si="188"/>
        <v>915Alpha</v>
      </c>
      <c r="B11443">
        <v>915</v>
      </c>
      <c r="C11443" s="9" t="s">
        <v>23</v>
      </c>
      <c r="D11443" s="8">
        <v>-5.8000000000000003E-2</v>
      </c>
    </row>
    <row r="11444" spans="1:4">
      <c r="A11444" t="str">
        <f t="shared" si="188"/>
        <v>915Beta</v>
      </c>
      <c r="B11444">
        <v>915</v>
      </c>
      <c r="C11444" s="9" t="s">
        <v>24</v>
      </c>
      <c r="D11444" s="8">
        <v>1.2E-2</v>
      </c>
    </row>
    <row r="11445" spans="1:4">
      <c r="A11445" t="str">
        <f t="shared" si="188"/>
        <v>915Annual Standard Deviation</v>
      </c>
      <c r="B11445">
        <v>915</v>
      </c>
      <c r="C11445" s="9" t="s">
        <v>35</v>
      </c>
      <c r="D11445" s="8">
        <v>2.8000000000000001E-2</v>
      </c>
    </row>
    <row r="11446" spans="1:4">
      <c r="A11446" t="str">
        <f t="shared" si="188"/>
        <v>915Annual Variance</v>
      </c>
      <c r="B11446">
        <v>915</v>
      </c>
      <c r="C11446" s="9" t="s">
        <v>36</v>
      </c>
      <c r="D11446" s="8">
        <v>1E-3</v>
      </c>
    </row>
    <row r="11447" spans="1:4">
      <c r="A11447" t="str">
        <f t="shared" si="188"/>
        <v>915Information Ratio</v>
      </c>
      <c r="B11447">
        <v>915</v>
      </c>
      <c r="C11447" s="9" t="s">
        <v>37</v>
      </c>
      <c r="D11447" s="8">
        <v>-1.5169999999999999</v>
      </c>
    </row>
    <row r="11448" spans="1:4">
      <c r="A11448" t="str">
        <f t="shared" si="188"/>
        <v>915Tracking Error</v>
      </c>
      <c r="B11448">
        <v>915</v>
      </c>
      <c r="C11448" s="9" t="s">
        <v>38</v>
      </c>
      <c r="D11448" s="8">
        <v>7.1999999999999995E-2</v>
      </c>
    </row>
    <row r="11449" spans="1:4">
      <c r="A11449" t="str">
        <f t="shared" si="188"/>
        <v>915Treynor Ratio</v>
      </c>
      <c r="B11449">
        <v>915</v>
      </c>
      <c r="C11449" s="9" t="s">
        <v>39</v>
      </c>
      <c r="D11449" s="8">
        <v>-4.976</v>
      </c>
    </row>
    <row r="11450" spans="1:4">
      <c r="A11450" t="str">
        <f t="shared" si="188"/>
        <v>915Total Fees</v>
      </c>
      <c r="B11450">
        <v>915</v>
      </c>
      <c r="C11450" s="9" t="s">
        <v>40</v>
      </c>
      <c r="D11450" s="8">
        <v>0</v>
      </c>
    </row>
    <row r="11451" spans="1:4">
      <c r="A11451" t="str">
        <f t="shared" si="188"/>
        <v>915Estimated Strategy Capacity</v>
      </c>
      <c r="B11451">
        <v>915</v>
      </c>
      <c r="C11451" s="9" t="s">
        <v>41</v>
      </c>
      <c r="D11451" s="8">
        <v>7800000</v>
      </c>
    </row>
    <row r="11452" spans="1:4">
      <c r="A11452" t="str">
        <f t="shared" si="188"/>
        <v>916PSR</v>
      </c>
      <c r="B11452">
        <v>916</v>
      </c>
      <c r="C11452" s="9" t="s">
        <v>27</v>
      </c>
      <c r="D11452" s="8">
        <v>2.707E-2</v>
      </c>
    </row>
    <row r="11453" spans="1:4">
      <c r="A11453" t="str">
        <f t="shared" si="188"/>
        <v>916Sharpe Ratio</v>
      </c>
      <c r="B11453">
        <v>916</v>
      </c>
      <c r="C11453" s="9" t="s">
        <v>1</v>
      </c>
      <c r="D11453" s="8">
        <v>-0.98499999999999999</v>
      </c>
    </row>
    <row r="11454" spans="1:4">
      <c r="A11454" t="str">
        <f t="shared" si="188"/>
        <v>916Total Trades</v>
      </c>
      <c r="B11454">
        <v>916</v>
      </c>
      <c r="C11454" s="9" t="s">
        <v>28</v>
      </c>
      <c r="D11454" s="8">
        <v>736</v>
      </c>
    </row>
    <row r="11455" spans="1:4">
      <c r="A11455" t="str">
        <f t="shared" si="188"/>
        <v>916Average Win</v>
      </c>
      <c r="B11455">
        <v>916</v>
      </c>
      <c r="C11455" s="9" t="s">
        <v>25</v>
      </c>
      <c r="D11455" s="8">
        <v>1E-4</v>
      </c>
    </row>
    <row r="11456" spans="1:4">
      <c r="A11456" t="str">
        <f t="shared" si="188"/>
        <v>916Average Loss</v>
      </c>
      <c r="B11456">
        <v>916</v>
      </c>
      <c r="C11456" s="9" t="s">
        <v>29</v>
      </c>
      <c r="D11456" s="8">
        <v>-4.0000000000000002E-4</v>
      </c>
    </row>
    <row r="11457" spans="1:4">
      <c r="A11457" t="str">
        <f t="shared" si="188"/>
        <v>916Compounding Annual Return</v>
      </c>
      <c r="B11457">
        <v>916</v>
      </c>
      <c r="C11457" s="9" t="s">
        <v>30</v>
      </c>
      <c r="D11457" s="8">
        <v>-1.1429999999999999E-2</v>
      </c>
    </row>
    <row r="11458" spans="1:4">
      <c r="A11458" t="str">
        <f t="shared" si="188"/>
        <v>916Drawdown</v>
      </c>
      <c r="B11458">
        <v>916</v>
      </c>
      <c r="C11458" s="9" t="s">
        <v>8</v>
      </c>
      <c r="D11458" s="8">
        <v>0.01</v>
      </c>
    </row>
    <row r="11459" spans="1:4">
      <c r="A11459" t="str">
        <f t="shared" si="188"/>
        <v>916Expectancy</v>
      </c>
      <c r="B11459">
        <v>916</v>
      </c>
      <c r="C11459" s="9" t="s">
        <v>31</v>
      </c>
      <c r="D11459" s="8">
        <v>-0.20599999999999999</v>
      </c>
    </row>
    <row r="11460" spans="1:4">
      <c r="A11460" t="str">
        <f t="shared" si="188"/>
        <v>916Net Profit</v>
      </c>
      <c r="B11460">
        <v>916</v>
      </c>
      <c r="C11460" s="9" t="s">
        <v>32</v>
      </c>
      <c r="D11460" s="8">
        <v>-7.62E-3</v>
      </c>
    </row>
    <row r="11461" spans="1:4">
      <c r="A11461" t="str">
        <f t="shared" si="188"/>
        <v>916Loss Rate</v>
      </c>
      <c r="B11461">
        <v>916</v>
      </c>
      <c r="C11461" s="9" t="s">
        <v>33</v>
      </c>
      <c r="D11461" s="8">
        <v>0.41</v>
      </c>
    </row>
    <row r="11462" spans="1:4">
      <c r="A11462" t="str">
        <f t="shared" si="188"/>
        <v>916Win Rate</v>
      </c>
      <c r="B11462">
        <v>916</v>
      </c>
      <c r="C11462" s="9" t="s">
        <v>34</v>
      </c>
      <c r="D11462" s="8">
        <v>0.59</v>
      </c>
    </row>
    <row r="11463" spans="1:4">
      <c r="A11463" t="str">
        <f t="shared" si="188"/>
        <v>916Profit-Loss Ratio</v>
      </c>
      <c r="B11463">
        <v>916</v>
      </c>
      <c r="C11463" s="9" t="s">
        <v>26</v>
      </c>
      <c r="D11463" s="8">
        <v>0.35</v>
      </c>
    </row>
    <row r="11464" spans="1:4">
      <c r="A11464" t="str">
        <f t="shared" si="188"/>
        <v>916Alpha</v>
      </c>
      <c r="B11464">
        <v>916</v>
      </c>
      <c r="C11464" s="9" t="s">
        <v>23</v>
      </c>
      <c r="D11464" s="8">
        <v>-8.0000000000000002E-3</v>
      </c>
    </row>
    <row r="11465" spans="1:4">
      <c r="A11465" t="str">
        <f t="shared" si="188"/>
        <v>916Beta</v>
      </c>
      <c r="B11465">
        <v>916</v>
      </c>
      <c r="C11465" s="9" t="s">
        <v>24</v>
      </c>
      <c r="D11465" s="8">
        <v>-6.0000000000000001E-3</v>
      </c>
    </row>
    <row r="11466" spans="1:4">
      <c r="A11466" t="str">
        <f t="shared" si="188"/>
        <v>916Annual Standard Deviation</v>
      </c>
      <c r="B11466">
        <v>916</v>
      </c>
      <c r="C11466" s="9" t="s">
        <v>35</v>
      </c>
      <c r="D11466" s="8">
        <v>8.0000000000000002E-3</v>
      </c>
    </row>
    <row r="11467" spans="1:4">
      <c r="A11467" t="str">
        <f t="shared" si="188"/>
        <v>916Annual Variance</v>
      </c>
      <c r="B11467">
        <v>916</v>
      </c>
      <c r="C11467" s="9" t="s">
        <v>36</v>
      </c>
      <c r="D11467" s="8">
        <v>0</v>
      </c>
    </row>
    <row r="11468" spans="1:4">
      <c r="A11468" t="str">
        <f t="shared" si="188"/>
        <v>916Information Ratio</v>
      </c>
      <c r="B11468">
        <v>916</v>
      </c>
      <c r="C11468" s="9" t="s">
        <v>37</v>
      </c>
      <c r="D11468" s="8">
        <v>-0.83899999999999997</v>
      </c>
    </row>
    <row r="11469" spans="1:4">
      <c r="A11469" t="str">
        <f t="shared" si="188"/>
        <v>916Tracking Error</v>
      </c>
      <c r="B11469">
        <v>916</v>
      </c>
      <c r="C11469" s="9" t="s">
        <v>38</v>
      </c>
      <c r="D11469" s="8">
        <v>6.8000000000000005E-2</v>
      </c>
    </row>
    <row r="11470" spans="1:4">
      <c r="A11470" t="str">
        <f t="shared" si="188"/>
        <v>916Treynor Ratio</v>
      </c>
      <c r="B11470">
        <v>916</v>
      </c>
      <c r="C11470" s="9" t="s">
        <v>39</v>
      </c>
      <c r="D11470" s="8">
        <v>1.321</v>
      </c>
    </row>
    <row r="11471" spans="1:4">
      <c r="A11471" t="str">
        <f t="shared" si="188"/>
        <v>916Total Fees</v>
      </c>
      <c r="B11471">
        <v>916</v>
      </c>
      <c r="C11471" s="9" t="s">
        <v>40</v>
      </c>
      <c r="D11471" s="8">
        <v>0</v>
      </c>
    </row>
    <row r="11472" spans="1:4">
      <c r="A11472" t="str">
        <f t="shared" si="188"/>
        <v>916Estimated Strategy Capacity</v>
      </c>
      <c r="B11472">
        <v>916</v>
      </c>
      <c r="C11472" s="9" t="s">
        <v>41</v>
      </c>
      <c r="D11472" s="8">
        <v>2400000000</v>
      </c>
    </row>
    <row r="11473" spans="1:4">
      <c r="A11473" t="str">
        <f t="shared" si="188"/>
        <v>917PSR</v>
      </c>
      <c r="B11473">
        <v>917</v>
      </c>
      <c r="C11473" s="9" t="s">
        <v>27</v>
      </c>
      <c r="D11473" s="8">
        <v>5.9999999999999995E-4</v>
      </c>
    </row>
    <row r="11474" spans="1:4">
      <c r="A11474" t="str">
        <f t="shared" si="188"/>
        <v>917Sharpe Ratio</v>
      </c>
      <c r="B11474">
        <v>917</v>
      </c>
      <c r="C11474" s="9" t="s">
        <v>1</v>
      </c>
      <c r="D11474" s="8">
        <v>-1.7969999999999999</v>
      </c>
    </row>
    <row r="11475" spans="1:4">
      <c r="A11475" t="str">
        <f t="shared" ref="A11475:A11538" si="189">B11475&amp;C11475</f>
        <v>917Total Trades</v>
      </c>
      <c r="B11475">
        <v>917</v>
      </c>
      <c r="C11475" s="9" t="s">
        <v>28</v>
      </c>
      <c r="D11475" s="8">
        <v>613</v>
      </c>
    </row>
    <row r="11476" spans="1:4">
      <c r="A11476" t="str">
        <f t="shared" si="189"/>
        <v>917Average Win</v>
      </c>
      <c r="B11476">
        <v>917</v>
      </c>
      <c r="C11476" s="9" t="s">
        <v>25</v>
      </c>
      <c r="D11476" s="8">
        <v>5.0000000000000001E-4</v>
      </c>
    </row>
    <row r="11477" spans="1:4">
      <c r="A11477" t="str">
        <f t="shared" si="189"/>
        <v>917Average Loss</v>
      </c>
      <c r="B11477">
        <v>917</v>
      </c>
      <c r="C11477" s="9" t="s">
        <v>29</v>
      </c>
      <c r="D11477" s="8">
        <v>-1.6999999999999999E-3</v>
      </c>
    </row>
    <row r="11478" spans="1:4">
      <c r="A11478" t="str">
        <f t="shared" si="189"/>
        <v>917Compounding Annual Return</v>
      </c>
      <c r="B11478">
        <v>917</v>
      </c>
      <c r="C11478" s="9" t="s">
        <v>30</v>
      </c>
      <c r="D11478" s="8">
        <v>-5.577E-2</v>
      </c>
    </row>
    <row r="11479" spans="1:4">
      <c r="A11479" t="str">
        <f t="shared" si="189"/>
        <v>917Drawdown</v>
      </c>
      <c r="B11479">
        <v>917</v>
      </c>
      <c r="C11479" s="9" t="s">
        <v>8</v>
      </c>
      <c r="D11479" s="8">
        <v>4.9000000000000002E-2</v>
      </c>
    </row>
    <row r="11480" spans="1:4">
      <c r="A11480" t="str">
        <f t="shared" si="189"/>
        <v>917Expectancy</v>
      </c>
      <c r="B11480">
        <v>917</v>
      </c>
      <c r="C11480" s="9" t="s">
        <v>31</v>
      </c>
      <c r="D11480" s="8">
        <v>-0.25700000000000001</v>
      </c>
    </row>
    <row r="11481" spans="1:4">
      <c r="A11481" t="str">
        <f t="shared" si="189"/>
        <v>917Net Profit</v>
      </c>
      <c r="B11481">
        <v>917</v>
      </c>
      <c r="C11481" s="9" t="s">
        <v>32</v>
      </c>
      <c r="D11481" s="8">
        <v>-3.7479999999999999E-2</v>
      </c>
    </row>
    <row r="11482" spans="1:4">
      <c r="A11482" t="str">
        <f t="shared" si="189"/>
        <v>917Loss Rate</v>
      </c>
      <c r="B11482">
        <v>917</v>
      </c>
      <c r="C11482" s="9" t="s">
        <v>33</v>
      </c>
      <c r="D11482" s="8">
        <v>0.42</v>
      </c>
    </row>
    <row r="11483" spans="1:4">
      <c r="A11483" t="str">
        <f t="shared" si="189"/>
        <v>917Win Rate</v>
      </c>
      <c r="B11483">
        <v>917</v>
      </c>
      <c r="C11483" s="9" t="s">
        <v>34</v>
      </c>
      <c r="D11483" s="8">
        <v>0.57999999999999996</v>
      </c>
    </row>
    <row r="11484" spans="1:4">
      <c r="A11484" t="str">
        <f t="shared" si="189"/>
        <v>917Profit-Loss Ratio</v>
      </c>
      <c r="B11484">
        <v>917</v>
      </c>
      <c r="C11484" s="9" t="s">
        <v>26</v>
      </c>
      <c r="D11484" s="8">
        <v>0.27</v>
      </c>
    </row>
    <row r="11485" spans="1:4">
      <c r="A11485" t="str">
        <f t="shared" si="189"/>
        <v>917Alpha</v>
      </c>
      <c r="B11485">
        <v>917</v>
      </c>
      <c r="C11485" s="9" t="s">
        <v>23</v>
      </c>
      <c r="D11485" s="8">
        <v>-3.7999999999999999E-2</v>
      </c>
    </row>
    <row r="11486" spans="1:4">
      <c r="A11486" t="str">
        <f t="shared" si="189"/>
        <v>917Beta</v>
      </c>
      <c r="B11486">
        <v>917</v>
      </c>
      <c r="C11486" s="9" t="s">
        <v>24</v>
      </c>
      <c r="D11486" s="8">
        <v>-1.6E-2</v>
      </c>
    </row>
    <row r="11487" spans="1:4">
      <c r="A11487" t="str">
        <f t="shared" si="189"/>
        <v>917Annual Standard Deviation</v>
      </c>
      <c r="B11487">
        <v>917</v>
      </c>
      <c r="C11487" s="9" t="s">
        <v>35</v>
      </c>
      <c r="D11487" s="8">
        <v>2.1999999999999999E-2</v>
      </c>
    </row>
    <row r="11488" spans="1:4">
      <c r="A11488" t="str">
        <f t="shared" si="189"/>
        <v>917Annual Variance</v>
      </c>
      <c r="B11488">
        <v>917</v>
      </c>
      <c r="C11488" s="9" t="s">
        <v>36</v>
      </c>
      <c r="D11488" s="8">
        <v>0</v>
      </c>
    </row>
    <row r="11489" spans="1:4">
      <c r="A11489" t="str">
        <f t="shared" si="189"/>
        <v>917Information Ratio</v>
      </c>
      <c r="B11489">
        <v>917</v>
      </c>
      <c r="C11489" s="9" t="s">
        <v>37</v>
      </c>
      <c r="D11489" s="8">
        <v>-1.2669999999999999</v>
      </c>
    </row>
    <row r="11490" spans="1:4">
      <c r="A11490" t="str">
        <f t="shared" si="189"/>
        <v>917Tracking Error</v>
      </c>
      <c r="B11490">
        <v>917</v>
      </c>
      <c r="C11490" s="9" t="s">
        <v>38</v>
      </c>
      <c r="D11490" s="8">
        <v>7.1999999999999995E-2</v>
      </c>
    </row>
    <row r="11491" spans="1:4">
      <c r="A11491" t="str">
        <f t="shared" si="189"/>
        <v>917Treynor Ratio</v>
      </c>
      <c r="B11491">
        <v>917</v>
      </c>
      <c r="C11491" s="9" t="s">
        <v>39</v>
      </c>
      <c r="D11491" s="8">
        <v>2.5009999999999999</v>
      </c>
    </row>
    <row r="11492" spans="1:4">
      <c r="A11492" t="str">
        <f t="shared" si="189"/>
        <v>917Total Fees</v>
      </c>
      <c r="B11492">
        <v>917</v>
      </c>
      <c r="C11492" s="9" t="s">
        <v>40</v>
      </c>
      <c r="D11492" s="8">
        <v>0</v>
      </c>
    </row>
    <row r="11493" spans="1:4">
      <c r="A11493" t="str">
        <f t="shared" si="189"/>
        <v>917Estimated Strategy Capacity</v>
      </c>
      <c r="B11493">
        <v>917</v>
      </c>
      <c r="C11493" s="9" t="s">
        <v>41</v>
      </c>
      <c r="D11493" s="8">
        <v>290000000</v>
      </c>
    </row>
    <row r="11494" spans="1:4">
      <c r="A11494" t="str">
        <f t="shared" si="189"/>
        <v>918PSR</v>
      </c>
      <c r="B11494">
        <v>918</v>
      </c>
      <c r="C11494" s="9" t="s">
        <v>27</v>
      </c>
      <c r="D11494" s="8">
        <v>1.108E-2</v>
      </c>
    </row>
    <row r="11495" spans="1:4">
      <c r="A11495" t="str">
        <f t="shared" si="189"/>
        <v>918Sharpe Ratio</v>
      </c>
      <c r="B11495">
        <v>918</v>
      </c>
      <c r="C11495" s="9" t="s">
        <v>1</v>
      </c>
      <c r="D11495" s="8">
        <v>-1.079</v>
      </c>
    </row>
    <row r="11496" spans="1:4">
      <c r="A11496" t="str">
        <f t="shared" si="189"/>
        <v>918Total Trades</v>
      </c>
      <c r="B11496">
        <v>918</v>
      </c>
      <c r="C11496" s="9" t="s">
        <v>28</v>
      </c>
      <c r="D11496" s="8">
        <v>495</v>
      </c>
    </row>
    <row r="11497" spans="1:4">
      <c r="A11497" t="str">
        <f t="shared" si="189"/>
        <v>918Average Win</v>
      </c>
      <c r="B11497">
        <v>918</v>
      </c>
      <c r="C11497" s="9" t="s">
        <v>25</v>
      </c>
      <c r="D11497" s="8">
        <v>1E-3</v>
      </c>
    </row>
    <row r="11498" spans="1:4">
      <c r="A11498" t="str">
        <f t="shared" si="189"/>
        <v>918Average Loss</v>
      </c>
      <c r="B11498">
        <v>918</v>
      </c>
      <c r="C11498" s="9" t="s">
        <v>29</v>
      </c>
      <c r="D11498" s="8">
        <v>-2.7000000000000001E-3</v>
      </c>
    </row>
    <row r="11499" spans="1:4">
      <c r="A11499" t="str">
        <f t="shared" si="189"/>
        <v>918Compounding Annual Return</v>
      </c>
      <c r="B11499">
        <v>918</v>
      </c>
      <c r="C11499" s="9" t="s">
        <v>30</v>
      </c>
      <c r="D11499" s="8">
        <v>-4.8169999999999998E-2</v>
      </c>
    </row>
    <row r="11500" spans="1:4">
      <c r="A11500" t="str">
        <f t="shared" si="189"/>
        <v>918Drawdown</v>
      </c>
      <c r="B11500">
        <v>918</v>
      </c>
      <c r="C11500" s="9" t="s">
        <v>8</v>
      </c>
      <c r="D11500" s="8">
        <v>6.2E-2</v>
      </c>
    </row>
    <row r="11501" spans="1:4">
      <c r="A11501" t="str">
        <f t="shared" si="189"/>
        <v>918Expectancy</v>
      </c>
      <c r="B11501">
        <v>918</v>
      </c>
      <c r="C11501" s="9" t="s">
        <v>31</v>
      </c>
      <c r="D11501" s="8">
        <v>-0.151</v>
      </c>
    </row>
    <row r="11502" spans="1:4">
      <c r="A11502" t="str">
        <f t="shared" si="189"/>
        <v>918Net Profit</v>
      </c>
      <c r="B11502">
        <v>918</v>
      </c>
      <c r="C11502" s="9" t="s">
        <v>32</v>
      </c>
      <c r="D11502" s="8">
        <v>-3.2329999999999998E-2</v>
      </c>
    </row>
    <row r="11503" spans="1:4">
      <c r="A11503" t="str">
        <f t="shared" si="189"/>
        <v>918Loss Rate</v>
      </c>
      <c r="B11503">
        <v>918</v>
      </c>
      <c r="C11503" s="9" t="s">
        <v>33</v>
      </c>
      <c r="D11503" s="8">
        <v>0.38</v>
      </c>
    </row>
    <row r="11504" spans="1:4">
      <c r="A11504" t="str">
        <f t="shared" si="189"/>
        <v>918Win Rate</v>
      </c>
      <c r="B11504">
        <v>918</v>
      </c>
      <c r="C11504" s="9" t="s">
        <v>34</v>
      </c>
      <c r="D11504" s="8">
        <v>0.62</v>
      </c>
    </row>
    <row r="11505" spans="1:4">
      <c r="A11505" t="str">
        <f t="shared" si="189"/>
        <v>918Profit-Loss Ratio</v>
      </c>
      <c r="B11505">
        <v>918</v>
      </c>
      <c r="C11505" s="9" t="s">
        <v>26</v>
      </c>
      <c r="D11505" s="8">
        <v>0.38</v>
      </c>
    </row>
    <row r="11506" spans="1:4">
      <c r="A11506" t="str">
        <f t="shared" si="189"/>
        <v>918Alpha</v>
      </c>
      <c r="B11506">
        <v>918</v>
      </c>
      <c r="C11506" s="9" t="s">
        <v>23</v>
      </c>
      <c r="D11506" s="8">
        <v>-3.3000000000000002E-2</v>
      </c>
    </row>
    <row r="11507" spans="1:4">
      <c r="A11507" t="str">
        <f t="shared" si="189"/>
        <v>918Beta</v>
      </c>
      <c r="B11507">
        <v>918</v>
      </c>
      <c r="C11507" s="9" t="s">
        <v>24</v>
      </c>
      <c r="D11507" s="8">
        <v>3.0000000000000001E-3</v>
      </c>
    </row>
    <row r="11508" spans="1:4">
      <c r="A11508" t="str">
        <f t="shared" si="189"/>
        <v>918Annual Standard Deviation</v>
      </c>
      <c r="B11508">
        <v>918</v>
      </c>
      <c r="C11508" s="9" t="s">
        <v>35</v>
      </c>
      <c r="D11508" s="8">
        <v>3.1E-2</v>
      </c>
    </row>
    <row r="11509" spans="1:4">
      <c r="A11509" t="str">
        <f t="shared" si="189"/>
        <v>918Annual Variance</v>
      </c>
      <c r="B11509">
        <v>918</v>
      </c>
      <c r="C11509" s="9" t="s">
        <v>36</v>
      </c>
      <c r="D11509" s="8">
        <v>1E-3</v>
      </c>
    </row>
    <row r="11510" spans="1:4">
      <c r="A11510" t="str">
        <f t="shared" si="189"/>
        <v>918Information Ratio</v>
      </c>
      <c r="B11510">
        <v>918</v>
      </c>
      <c r="C11510" s="9" t="s">
        <v>37</v>
      </c>
      <c r="D11510" s="8">
        <v>-1.1539999999999999</v>
      </c>
    </row>
    <row r="11511" spans="1:4">
      <c r="A11511" t="str">
        <f t="shared" si="189"/>
        <v>918Tracking Error</v>
      </c>
      <c r="B11511">
        <v>918</v>
      </c>
      <c r="C11511" s="9" t="s">
        <v>38</v>
      </c>
      <c r="D11511" s="8">
        <v>7.3999999999999996E-2</v>
      </c>
    </row>
    <row r="11512" spans="1:4">
      <c r="A11512" t="str">
        <f t="shared" si="189"/>
        <v>918Treynor Ratio</v>
      </c>
      <c r="B11512">
        <v>918</v>
      </c>
      <c r="C11512" s="9" t="s">
        <v>39</v>
      </c>
      <c r="D11512" s="8">
        <v>-12.081</v>
      </c>
    </row>
    <row r="11513" spans="1:4">
      <c r="A11513" t="str">
        <f t="shared" si="189"/>
        <v>918Total Fees</v>
      </c>
      <c r="B11513">
        <v>918</v>
      </c>
      <c r="C11513" s="9" t="s">
        <v>40</v>
      </c>
      <c r="D11513" s="8">
        <v>0</v>
      </c>
    </row>
    <row r="11514" spans="1:4">
      <c r="A11514" t="str">
        <f t="shared" si="189"/>
        <v>918Estimated Strategy Capacity</v>
      </c>
      <c r="B11514">
        <v>918</v>
      </c>
      <c r="C11514" s="9" t="s">
        <v>41</v>
      </c>
      <c r="D11514" s="8">
        <v>67000000</v>
      </c>
    </row>
    <row r="11515" spans="1:4">
      <c r="A11515" t="str">
        <f t="shared" si="189"/>
        <v>937PSR</v>
      </c>
      <c r="B11515">
        <v>937</v>
      </c>
      <c r="C11515" s="9" t="s">
        <v>27</v>
      </c>
      <c r="D11515" s="8">
        <v>0.15426999999999999</v>
      </c>
    </row>
    <row r="11516" spans="1:4">
      <c r="A11516" t="str">
        <f t="shared" si="189"/>
        <v>937Sharpe Ratio</v>
      </c>
      <c r="B11516">
        <v>937</v>
      </c>
      <c r="C11516" s="9" t="s">
        <v>1</v>
      </c>
      <c r="D11516" s="8">
        <v>-4.2999999999999997E-2</v>
      </c>
    </row>
    <row r="11517" spans="1:4">
      <c r="A11517" t="str">
        <f t="shared" si="189"/>
        <v>937Total Trades</v>
      </c>
      <c r="B11517">
        <v>937</v>
      </c>
      <c r="C11517" s="9" t="s">
        <v>28</v>
      </c>
      <c r="D11517" s="8">
        <v>1435</v>
      </c>
    </row>
    <row r="11518" spans="1:4">
      <c r="A11518" t="str">
        <f t="shared" si="189"/>
        <v>937Average Win</v>
      </c>
      <c r="B11518">
        <v>937</v>
      </c>
      <c r="C11518" s="9" t="s">
        <v>25</v>
      </c>
      <c r="D11518" s="8">
        <v>5.0000000000000001E-4</v>
      </c>
    </row>
    <row r="11519" spans="1:4">
      <c r="A11519" t="str">
        <f t="shared" si="189"/>
        <v>937Average Loss</v>
      </c>
      <c r="B11519">
        <v>937</v>
      </c>
      <c r="C11519" s="9" t="s">
        <v>29</v>
      </c>
      <c r="D11519" s="8">
        <v>-1.1000000000000001E-3</v>
      </c>
    </row>
    <row r="11520" spans="1:4">
      <c r="A11520" t="str">
        <f t="shared" si="189"/>
        <v>937Compounding Annual Return</v>
      </c>
      <c r="B11520">
        <v>937</v>
      </c>
      <c r="C11520" s="9" t="s">
        <v>30</v>
      </c>
      <c r="D11520" s="8">
        <v>-9.2000000000000003E-4</v>
      </c>
    </row>
    <row r="11521" spans="1:4">
      <c r="A11521" t="str">
        <f t="shared" si="189"/>
        <v>937Drawdown</v>
      </c>
      <c r="B11521">
        <v>937</v>
      </c>
      <c r="C11521" s="9" t="s">
        <v>8</v>
      </c>
      <c r="D11521" s="8">
        <v>1.2999999999999999E-2</v>
      </c>
    </row>
    <row r="11522" spans="1:4">
      <c r="A11522" t="str">
        <f t="shared" si="189"/>
        <v>937Expectancy</v>
      </c>
      <c r="B11522">
        <v>937</v>
      </c>
      <c r="C11522" s="9" t="s">
        <v>31</v>
      </c>
      <c r="D11522" s="8">
        <v>-8.0000000000000002E-3</v>
      </c>
    </row>
    <row r="11523" spans="1:4">
      <c r="A11523" t="str">
        <f t="shared" si="189"/>
        <v>937Net Profit</v>
      </c>
      <c r="B11523">
        <v>937</v>
      </c>
      <c r="C11523" s="9" t="s">
        <v>32</v>
      </c>
      <c r="D11523" s="8">
        <v>-6.0999999999999997E-4</v>
      </c>
    </row>
    <row r="11524" spans="1:4">
      <c r="A11524" t="str">
        <f t="shared" si="189"/>
        <v>937Loss Rate</v>
      </c>
      <c r="B11524">
        <v>937</v>
      </c>
      <c r="C11524" s="9" t="s">
        <v>33</v>
      </c>
      <c r="D11524" s="8">
        <v>0.31</v>
      </c>
    </row>
    <row r="11525" spans="1:4">
      <c r="A11525" t="str">
        <f t="shared" si="189"/>
        <v>937Win Rate</v>
      </c>
      <c r="B11525">
        <v>937</v>
      </c>
      <c r="C11525" s="9" t="s">
        <v>34</v>
      </c>
      <c r="D11525" s="8">
        <v>0.69</v>
      </c>
    </row>
    <row r="11526" spans="1:4">
      <c r="A11526" t="str">
        <f t="shared" si="189"/>
        <v>937Profit-Loss Ratio</v>
      </c>
      <c r="B11526">
        <v>937</v>
      </c>
      <c r="C11526" s="9" t="s">
        <v>26</v>
      </c>
      <c r="D11526" s="8">
        <v>0.43</v>
      </c>
    </row>
    <row r="11527" spans="1:4">
      <c r="A11527" t="str">
        <f t="shared" si="189"/>
        <v>937Alpha</v>
      </c>
      <c r="B11527">
        <v>937</v>
      </c>
      <c r="C11527" s="9" t="s">
        <v>23</v>
      </c>
      <c r="D11527" s="8">
        <v>0</v>
      </c>
    </row>
    <row r="11528" spans="1:4">
      <c r="A11528" t="str">
        <f t="shared" si="189"/>
        <v>937Beta</v>
      </c>
      <c r="B11528">
        <v>937</v>
      </c>
      <c r="C11528" s="9" t="s">
        <v>24</v>
      </c>
      <c r="D11528" s="8">
        <v>-1.2E-2</v>
      </c>
    </row>
    <row r="11529" spans="1:4">
      <c r="A11529" t="str">
        <f t="shared" si="189"/>
        <v>937Annual Standard Deviation</v>
      </c>
      <c r="B11529">
        <v>937</v>
      </c>
      <c r="C11529" s="9" t="s">
        <v>35</v>
      </c>
      <c r="D11529" s="8">
        <v>1.2999999999999999E-2</v>
      </c>
    </row>
    <row r="11530" spans="1:4">
      <c r="A11530" t="str">
        <f t="shared" si="189"/>
        <v>937Annual Variance</v>
      </c>
      <c r="B11530">
        <v>937</v>
      </c>
      <c r="C11530" s="9" t="s">
        <v>36</v>
      </c>
      <c r="D11530" s="8">
        <v>0</v>
      </c>
    </row>
    <row r="11531" spans="1:4">
      <c r="A11531" t="str">
        <f t="shared" si="189"/>
        <v>937Information Ratio</v>
      </c>
      <c r="B11531">
        <v>937</v>
      </c>
      <c r="C11531" s="9" t="s">
        <v>37</v>
      </c>
      <c r="D11531" s="8">
        <v>-0.75700000000000001</v>
      </c>
    </row>
    <row r="11532" spans="1:4">
      <c r="A11532" t="str">
        <f t="shared" si="189"/>
        <v>937Tracking Error</v>
      </c>
      <c r="B11532">
        <v>937</v>
      </c>
      <c r="C11532" s="9" t="s">
        <v>38</v>
      </c>
      <c r="D11532" s="8">
        <v>6.9000000000000006E-2</v>
      </c>
    </row>
    <row r="11533" spans="1:4">
      <c r="A11533" t="str">
        <f t="shared" si="189"/>
        <v>937Treynor Ratio</v>
      </c>
      <c r="B11533">
        <v>937</v>
      </c>
      <c r="C11533" s="9" t="s">
        <v>39</v>
      </c>
      <c r="D11533" s="8">
        <v>4.4999999999999998E-2</v>
      </c>
    </row>
    <row r="11534" spans="1:4">
      <c r="A11534" t="str">
        <f t="shared" si="189"/>
        <v>937Total Fees</v>
      </c>
      <c r="B11534">
        <v>937</v>
      </c>
      <c r="C11534" s="9" t="s">
        <v>40</v>
      </c>
      <c r="D11534" s="8">
        <v>0</v>
      </c>
    </row>
    <row r="11535" spans="1:4">
      <c r="A11535" t="str">
        <f t="shared" si="189"/>
        <v>937Estimated Strategy Capacity</v>
      </c>
      <c r="B11535">
        <v>937</v>
      </c>
      <c r="C11535" s="9" t="s">
        <v>41</v>
      </c>
      <c r="D11535" s="8">
        <v>4600000</v>
      </c>
    </row>
    <row r="11536" spans="1:4">
      <c r="A11536" t="str">
        <f t="shared" si="189"/>
        <v>938PSR</v>
      </c>
      <c r="B11536">
        <v>938</v>
      </c>
      <c r="C11536" s="9" t="s">
        <v>27</v>
      </c>
      <c r="D11536" s="8">
        <v>0.12497</v>
      </c>
    </row>
    <row r="11537" spans="1:4">
      <c r="A11537" t="str">
        <f t="shared" si="189"/>
        <v>938Sharpe Ratio</v>
      </c>
      <c r="B11537">
        <v>938</v>
      </c>
      <c r="C11537" s="9" t="s">
        <v>1</v>
      </c>
      <c r="D11537" s="8">
        <v>-0.18</v>
      </c>
    </row>
    <row r="11538" spans="1:4">
      <c r="A11538" t="str">
        <f t="shared" si="189"/>
        <v>938Total Trades</v>
      </c>
      <c r="B11538">
        <v>938</v>
      </c>
      <c r="C11538" s="9" t="s">
        <v>28</v>
      </c>
      <c r="D11538" s="8">
        <v>1105</v>
      </c>
    </row>
    <row r="11539" spans="1:4">
      <c r="A11539" t="str">
        <f t="shared" ref="A11539:A11602" si="190">B11539&amp;C11539</f>
        <v>938Average Win</v>
      </c>
      <c r="B11539">
        <v>938</v>
      </c>
      <c r="C11539" s="9" t="s">
        <v>25</v>
      </c>
      <c r="D11539" s="8">
        <v>1.1000000000000001E-3</v>
      </c>
    </row>
    <row r="11540" spans="1:4">
      <c r="A11540" t="str">
        <f t="shared" si="190"/>
        <v>938Average Loss</v>
      </c>
      <c r="B11540">
        <v>938</v>
      </c>
      <c r="C11540" s="9" t="s">
        <v>29</v>
      </c>
      <c r="D11540" s="8">
        <v>-2.0999999999999999E-3</v>
      </c>
    </row>
    <row r="11541" spans="1:4">
      <c r="A11541" t="str">
        <f t="shared" si="190"/>
        <v>938Compounding Annual Return</v>
      </c>
      <c r="B11541">
        <v>938</v>
      </c>
      <c r="C11541" s="9" t="s">
        <v>30</v>
      </c>
      <c r="D11541" s="8">
        <v>-9.4599999999999997E-3</v>
      </c>
    </row>
    <row r="11542" spans="1:4">
      <c r="A11542" t="str">
        <f t="shared" si="190"/>
        <v>938Drawdown</v>
      </c>
      <c r="B11542">
        <v>938</v>
      </c>
      <c r="C11542" s="9" t="s">
        <v>8</v>
      </c>
      <c r="D11542" s="8">
        <v>3.5000000000000003E-2</v>
      </c>
    </row>
    <row r="11543" spans="1:4">
      <c r="A11543" t="str">
        <f t="shared" si="190"/>
        <v>938Expectancy</v>
      </c>
      <c r="B11543">
        <v>938</v>
      </c>
      <c r="C11543" s="9" t="s">
        <v>31</v>
      </c>
      <c r="D11543" s="8">
        <v>-3.3000000000000002E-2</v>
      </c>
    </row>
    <row r="11544" spans="1:4">
      <c r="A11544" t="str">
        <f t="shared" si="190"/>
        <v>938Net Profit</v>
      </c>
      <c r="B11544">
        <v>938</v>
      </c>
      <c r="C11544" s="9" t="s">
        <v>32</v>
      </c>
      <c r="D11544" s="8">
        <v>-6.3099999999999996E-3</v>
      </c>
    </row>
    <row r="11545" spans="1:4">
      <c r="A11545" t="str">
        <f t="shared" si="190"/>
        <v>938Loss Rate</v>
      </c>
      <c r="B11545">
        <v>938</v>
      </c>
      <c r="C11545" s="9" t="s">
        <v>33</v>
      </c>
      <c r="D11545" s="8">
        <v>0.36</v>
      </c>
    </row>
    <row r="11546" spans="1:4">
      <c r="A11546" t="str">
        <f t="shared" si="190"/>
        <v>938Win Rate</v>
      </c>
      <c r="B11546">
        <v>938</v>
      </c>
      <c r="C11546" s="9" t="s">
        <v>34</v>
      </c>
      <c r="D11546" s="8">
        <v>0.64</v>
      </c>
    </row>
    <row r="11547" spans="1:4">
      <c r="A11547" t="str">
        <f t="shared" si="190"/>
        <v>938Profit-Loss Ratio</v>
      </c>
      <c r="B11547">
        <v>938</v>
      </c>
      <c r="C11547" s="9" t="s">
        <v>26</v>
      </c>
      <c r="D11547" s="8">
        <v>0.52</v>
      </c>
    </row>
    <row r="11548" spans="1:4">
      <c r="A11548" t="str">
        <f t="shared" si="190"/>
        <v>938Alpha</v>
      </c>
      <c r="B11548">
        <v>938</v>
      </c>
      <c r="C11548" s="9" t="s">
        <v>23</v>
      </c>
      <c r="D11548" s="8">
        <v>-2E-3</v>
      </c>
    </row>
    <row r="11549" spans="1:4">
      <c r="A11549" t="str">
        <f t="shared" si="190"/>
        <v>938Beta</v>
      </c>
      <c r="B11549">
        <v>938</v>
      </c>
      <c r="C11549" s="9" t="s">
        <v>24</v>
      </c>
      <c r="D11549" s="8">
        <v>-0.08</v>
      </c>
    </row>
    <row r="11550" spans="1:4">
      <c r="A11550" t="str">
        <f t="shared" si="190"/>
        <v>938Annual Standard Deviation</v>
      </c>
      <c r="B11550">
        <v>938</v>
      </c>
      <c r="C11550" s="9" t="s">
        <v>35</v>
      </c>
      <c r="D11550" s="8">
        <v>3.3000000000000002E-2</v>
      </c>
    </row>
    <row r="11551" spans="1:4">
      <c r="A11551" t="str">
        <f t="shared" si="190"/>
        <v>938Annual Variance</v>
      </c>
      <c r="B11551">
        <v>938</v>
      </c>
      <c r="C11551" s="9" t="s">
        <v>36</v>
      </c>
      <c r="D11551" s="8">
        <v>1E-3</v>
      </c>
    </row>
    <row r="11552" spans="1:4">
      <c r="A11552" t="str">
        <f t="shared" si="190"/>
        <v>938Information Ratio</v>
      </c>
      <c r="B11552">
        <v>938</v>
      </c>
      <c r="C11552" s="9" t="s">
        <v>37</v>
      </c>
      <c r="D11552" s="8">
        <v>-0.72599999999999998</v>
      </c>
    </row>
    <row r="11553" spans="1:4">
      <c r="A11553" t="str">
        <f t="shared" si="190"/>
        <v>938Tracking Error</v>
      </c>
      <c r="B11553">
        <v>938</v>
      </c>
      <c r="C11553" s="9" t="s">
        <v>38</v>
      </c>
      <c r="D11553" s="8">
        <v>0.08</v>
      </c>
    </row>
    <row r="11554" spans="1:4">
      <c r="A11554" t="str">
        <f t="shared" si="190"/>
        <v>938Treynor Ratio</v>
      </c>
      <c r="B11554">
        <v>938</v>
      </c>
      <c r="C11554" s="9" t="s">
        <v>39</v>
      </c>
      <c r="D11554" s="8">
        <v>7.4999999999999997E-2</v>
      </c>
    </row>
    <row r="11555" spans="1:4">
      <c r="A11555" t="str">
        <f t="shared" si="190"/>
        <v>938Total Fees</v>
      </c>
      <c r="B11555">
        <v>938</v>
      </c>
      <c r="C11555" s="9" t="s">
        <v>40</v>
      </c>
      <c r="D11555" s="8">
        <v>0</v>
      </c>
    </row>
    <row r="11556" spans="1:4">
      <c r="A11556" t="str">
        <f t="shared" si="190"/>
        <v>938Estimated Strategy Capacity</v>
      </c>
      <c r="B11556">
        <v>938</v>
      </c>
      <c r="C11556" s="9" t="s">
        <v>41</v>
      </c>
      <c r="D11556" s="8">
        <v>4800000</v>
      </c>
    </row>
    <row r="11557" spans="1:4">
      <c r="A11557" t="str">
        <f t="shared" si="190"/>
        <v>939PSR</v>
      </c>
      <c r="B11557">
        <v>939</v>
      </c>
      <c r="C11557" s="9" t="s">
        <v>27</v>
      </c>
      <c r="D11557" s="8">
        <v>0.12273000000000001</v>
      </c>
    </row>
    <row r="11558" spans="1:4">
      <c r="A11558" t="str">
        <f t="shared" si="190"/>
        <v>939Sharpe Ratio</v>
      </c>
      <c r="B11558">
        <v>939</v>
      </c>
      <c r="C11558" s="9" t="s">
        <v>1</v>
      </c>
      <c r="D11558" s="8">
        <v>-0.19600000000000001</v>
      </c>
    </row>
    <row r="11559" spans="1:4">
      <c r="A11559" t="str">
        <f t="shared" si="190"/>
        <v>939Total Trades</v>
      </c>
      <c r="B11559">
        <v>939</v>
      </c>
      <c r="C11559" s="9" t="s">
        <v>28</v>
      </c>
      <c r="D11559" s="8">
        <v>831</v>
      </c>
    </row>
    <row r="11560" spans="1:4">
      <c r="A11560" t="str">
        <f t="shared" si="190"/>
        <v>939Average Win</v>
      </c>
      <c r="B11560">
        <v>939</v>
      </c>
      <c r="C11560" s="9" t="s">
        <v>25</v>
      </c>
      <c r="D11560" s="8">
        <v>1.6000000000000001E-3</v>
      </c>
    </row>
    <row r="11561" spans="1:4">
      <c r="A11561" t="str">
        <f t="shared" si="190"/>
        <v>939Average Loss</v>
      </c>
      <c r="B11561">
        <v>939</v>
      </c>
      <c r="C11561" s="9" t="s">
        <v>29</v>
      </c>
      <c r="D11561" s="8">
        <v>-3.0999999999999999E-3</v>
      </c>
    </row>
    <row r="11562" spans="1:4">
      <c r="A11562" t="str">
        <f t="shared" si="190"/>
        <v>939Compounding Annual Return</v>
      </c>
      <c r="B11562">
        <v>939</v>
      </c>
      <c r="C11562" s="9" t="s">
        <v>30</v>
      </c>
      <c r="D11562" s="8">
        <v>-1.4319999999999999E-2</v>
      </c>
    </row>
    <row r="11563" spans="1:4">
      <c r="A11563" t="str">
        <f t="shared" si="190"/>
        <v>939Drawdown</v>
      </c>
      <c r="B11563">
        <v>939</v>
      </c>
      <c r="C11563" s="9" t="s">
        <v>8</v>
      </c>
      <c r="D11563" s="8">
        <v>4.2999999999999997E-2</v>
      </c>
    </row>
    <row r="11564" spans="1:4">
      <c r="A11564" t="str">
        <f t="shared" si="190"/>
        <v>939Expectancy</v>
      </c>
      <c r="B11564">
        <v>939</v>
      </c>
      <c r="C11564" s="9" t="s">
        <v>31</v>
      </c>
      <c r="D11564" s="8">
        <v>-3.5000000000000003E-2</v>
      </c>
    </row>
    <row r="11565" spans="1:4">
      <c r="A11565" t="str">
        <f t="shared" si="190"/>
        <v>939Net Profit</v>
      </c>
      <c r="B11565">
        <v>939</v>
      </c>
      <c r="C11565" s="9" t="s">
        <v>32</v>
      </c>
      <c r="D11565" s="8">
        <v>-9.5499999999999995E-3</v>
      </c>
    </row>
    <row r="11566" spans="1:4">
      <c r="A11566" t="str">
        <f t="shared" si="190"/>
        <v>939Loss Rate</v>
      </c>
      <c r="B11566">
        <v>939</v>
      </c>
      <c r="C11566" s="9" t="s">
        <v>33</v>
      </c>
      <c r="D11566" s="8">
        <v>0.37</v>
      </c>
    </row>
    <row r="11567" spans="1:4">
      <c r="A11567" t="str">
        <f t="shared" si="190"/>
        <v>939Win Rate</v>
      </c>
      <c r="B11567">
        <v>939</v>
      </c>
      <c r="C11567" s="9" t="s">
        <v>34</v>
      </c>
      <c r="D11567" s="8">
        <v>0.63</v>
      </c>
    </row>
    <row r="11568" spans="1:4">
      <c r="A11568" t="str">
        <f t="shared" si="190"/>
        <v>939Profit-Loss Ratio</v>
      </c>
      <c r="B11568">
        <v>939</v>
      </c>
      <c r="C11568" s="9" t="s">
        <v>26</v>
      </c>
      <c r="D11568" s="8">
        <v>0.53</v>
      </c>
    </row>
    <row r="11569" spans="1:4">
      <c r="A11569" t="str">
        <f t="shared" si="190"/>
        <v>939Alpha</v>
      </c>
      <c r="B11569">
        <v>939</v>
      </c>
      <c r="C11569" s="9" t="s">
        <v>23</v>
      </c>
      <c r="D11569" s="8">
        <v>-3.0000000000000001E-3</v>
      </c>
    </row>
    <row r="11570" spans="1:4">
      <c r="A11570" t="str">
        <f t="shared" si="190"/>
        <v>939Beta</v>
      </c>
      <c r="B11570">
        <v>939</v>
      </c>
      <c r="C11570" s="9" t="s">
        <v>24</v>
      </c>
      <c r="D11570" s="8">
        <v>-0.122</v>
      </c>
    </row>
    <row r="11571" spans="1:4">
      <c r="A11571" t="str">
        <f t="shared" si="190"/>
        <v>939Annual Standard Deviation</v>
      </c>
      <c r="B11571">
        <v>939</v>
      </c>
      <c r="C11571" s="9" t="s">
        <v>35</v>
      </c>
      <c r="D11571" s="8">
        <v>4.5999999999999999E-2</v>
      </c>
    </row>
    <row r="11572" spans="1:4">
      <c r="A11572" t="str">
        <f t="shared" si="190"/>
        <v>939Annual Variance</v>
      </c>
      <c r="B11572">
        <v>939</v>
      </c>
      <c r="C11572" s="9" t="s">
        <v>36</v>
      </c>
      <c r="D11572" s="8">
        <v>2E-3</v>
      </c>
    </row>
    <row r="11573" spans="1:4">
      <c r="A11573" t="str">
        <f t="shared" si="190"/>
        <v>939Information Ratio</v>
      </c>
      <c r="B11573">
        <v>939</v>
      </c>
      <c r="C11573" s="9" t="s">
        <v>37</v>
      </c>
      <c r="D11573" s="8">
        <v>-0.69299999999999995</v>
      </c>
    </row>
    <row r="11574" spans="1:4">
      <c r="A11574" t="str">
        <f t="shared" si="190"/>
        <v>939Tracking Error</v>
      </c>
      <c r="B11574">
        <v>939</v>
      </c>
      <c r="C11574" s="9" t="s">
        <v>38</v>
      </c>
      <c r="D11574" s="8">
        <v>8.7999999999999995E-2</v>
      </c>
    </row>
    <row r="11575" spans="1:4">
      <c r="A11575" t="str">
        <f t="shared" si="190"/>
        <v>939Treynor Ratio</v>
      </c>
      <c r="B11575">
        <v>939</v>
      </c>
      <c r="C11575" s="9" t="s">
        <v>39</v>
      </c>
      <c r="D11575" s="8">
        <v>7.2999999999999995E-2</v>
      </c>
    </row>
    <row r="11576" spans="1:4">
      <c r="A11576" t="str">
        <f t="shared" si="190"/>
        <v>939Total Fees</v>
      </c>
      <c r="B11576">
        <v>939</v>
      </c>
      <c r="C11576" s="9" t="s">
        <v>40</v>
      </c>
      <c r="D11576" s="8">
        <v>0</v>
      </c>
    </row>
    <row r="11577" spans="1:4">
      <c r="A11577" t="str">
        <f t="shared" si="190"/>
        <v>939Estimated Strategy Capacity</v>
      </c>
      <c r="B11577">
        <v>939</v>
      </c>
      <c r="C11577" s="9" t="s">
        <v>41</v>
      </c>
      <c r="D11577" s="8">
        <v>5100000</v>
      </c>
    </row>
    <row r="11578" spans="1:4">
      <c r="A11578" t="str">
        <f t="shared" si="190"/>
        <v>940PSR</v>
      </c>
      <c r="B11578">
        <v>940</v>
      </c>
      <c r="C11578" s="9" t="s">
        <v>27</v>
      </c>
      <c r="D11578" s="8">
        <v>7.2980000000000003E-2</v>
      </c>
    </row>
    <row r="11579" spans="1:4">
      <c r="A11579" t="str">
        <f t="shared" si="190"/>
        <v>940Sharpe Ratio</v>
      </c>
      <c r="B11579">
        <v>940</v>
      </c>
      <c r="C11579" s="9" t="s">
        <v>1</v>
      </c>
      <c r="D11579" s="8">
        <v>-0.39500000000000002</v>
      </c>
    </row>
    <row r="11580" spans="1:4">
      <c r="A11580" t="str">
        <f t="shared" si="190"/>
        <v>940Total Trades</v>
      </c>
      <c r="B11580">
        <v>940</v>
      </c>
      <c r="C11580" s="9" t="s">
        <v>28</v>
      </c>
      <c r="D11580" s="8">
        <v>728</v>
      </c>
    </row>
    <row r="11581" spans="1:4">
      <c r="A11581" t="str">
        <f t="shared" si="190"/>
        <v>940Average Win</v>
      </c>
      <c r="B11581">
        <v>940</v>
      </c>
      <c r="C11581" s="9" t="s">
        <v>25</v>
      </c>
      <c r="D11581" s="8">
        <v>5.0000000000000001E-4</v>
      </c>
    </row>
    <row r="11582" spans="1:4">
      <c r="A11582" t="str">
        <f t="shared" si="190"/>
        <v>940Average Loss</v>
      </c>
      <c r="B11582">
        <v>940</v>
      </c>
      <c r="C11582" s="9" t="s">
        <v>29</v>
      </c>
      <c r="D11582" s="8">
        <v>-1.2999999999999999E-3</v>
      </c>
    </row>
    <row r="11583" spans="1:4">
      <c r="A11583" t="str">
        <f t="shared" si="190"/>
        <v>940Compounding Annual Return</v>
      </c>
      <c r="B11583">
        <v>940</v>
      </c>
      <c r="C11583" s="9" t="s">
        <v>30</v>
      </c>
      <c r="D11583" s="8">
        <v>-7.9699999999999997E-3</v>
      </c>
    </row>
    <row r="11584" spans="1:4">
      <c r="A11584" t="str">
        <f t="shared" si="190"/>
        <v>940Drawdown</v>
      </c>
      <c r="B11584">
        <v>940</v>
      </c>
      <c r="C11584" s="9" t="s">
        <v>8</v>
      </c>
      <c r="D11584" s="8">
        <v>1.0999999999999999E-2</v>
      </c>
    </row>
    <row r="11585" spans="1:4">
      <c r="A11585" t="str">
        <f t="shared" si="190"/>
        <v>940Expectancy</v>
      </c>
      <c r="B11585">
        <v>940</v>
      </c>
      <c r="C11585" s="9" t="s">
        <v>31</v>
      </c>
      <c r="D11585" s="8">
        <v>-6.8000000000000005E-2</v>
      </c>
    </row>
    <row r="11586" spans="1:4">
      <c r="A11586" t="str">
        <f t="shared" si="190"/>
        <v>940Net Profit</v>
      </c>
      <c r="B11586">
        <v>940</v>
      </c>
      <c r="C11586" s="9" t="s">
        <v>32</v>
      </c>
      <c r="D11586" s="8">
        <v>-5.3099999999999996E-3</v>
      </c>
    </row>
    <row r="11587" spans="1:4">
      <c r="A11587" t="str">
        <f t="shared" si="190"/>
        <v>940Loss Rate</v>
      </c>
      <c r="B11587">
        <v>940</v>
      </c>
      <c r="C11587" s="9" t="s">
        <v>33</v>
      </c>
      <c r="D11587" s="8">
        <v>0.32</v>
      </c>
    </row>
    <row r="11588" spans="1:4">
      <c r="A11588" t="str">
        <f t="shared" si="190"/>
        <v>940Win Rate</v>
      </c>
      <c r="B11588">
        <v>940</v>
      </c>
      <c r="C11588" s="9" t="s">
        <v>34</v>
      </c>
      <c r="D11588" s="8">
        <v>0.68</v>
      </c>
    </row>
    <row r="11589" spans="1:4">
      <c r="A11589" t="str">
        <f t="shared" si="190"/>
        <v>940Profit-Loss Ratio</v>
      </c>
      <c r="B11589">
        <v>940</v>
      </c>
      <c r="C11589" s="9" t="s">
        <v>26</v>
      </c>
      <c r="D11589" s="8">
        <v>0.38</v>
      </c>
    </row>
    <row r="11590" spans="1:4">
      <c r="A11590" t="str">
        <f t="shared" si="190"/>
        <v>940Alpha</v>
      </c>
      <c r="B11590">
        <v>940</v>
      </c>
      <c r="C11590" s="9" t="s">
        <v>23</v>
      </c>
      <c r="D11590" s="8">
        <v>-5.0000000000000001E-3</v>
      </c>
    </row>
    <row r="11591" spans="1:4">
      <c r="A11591" t="str">
        <f t="shared" si="190"/>
        <v>940Beta</v>
      </c>
      <c r="B11591">
        <v>940</v>
      </c>
      <c r="C11591" s="9" t="s">
        <v>24</v>
      </c>
      <c r="D11591" s="8">
        <v>-1.6E-2</v>
      </c>
    </row>
    <row r="11592" spans="1:4">
      <c r="A11592" t="str">
        <f t="shared" si="190"/>
        <v>940Annual Standard Deviation</v>
      </c>
      <c r="B11592">
        <v>940</v>
      </c>
      <c r="C11592" s="9" t="s">
        <v>35</v>
      </c>
      <c r="D11592" s="8">
        <v>1.4E-2</v>
      </c>
    </row>
    <row r="11593" spans="1:4">
      <c r="A11593" t="str">
        <f t="shared" si="190"/>
        <v>940Annual Variance</v>
      </c>
      <c r="B11593">
        <v>940</v>
      </c>
      <c r="C11593" s="9" t="s">
        <v>36</v>
      </c>
      <c r="D11593" s="8">
        <v>0</v>
      </c>
    </row>
    <row r="11594" spans="1:4">
      <c r="A11594" t="str">
        <f t="shared" si="190"/>
        <v>940Information Ratio</v>
      </c>
      <c r="B11594">
        <v>940</v>
      </c>
      <c r="C11594" s="9" t="s">
        <v>37</v>
      </c>
      <c r="D11594" s="8">
        <v>-0.82299999999999995</v>
      </c>
    </row>
    <row r="11595" spans="1:4">
      <c r="A11595" t="str">
        <f t="shared" si="190"/>
        <v>940Tracking Error</v>
      </c>
      <c r="B11595">
        <v>940</v>
      </c>
      <c r="C11595" s="9" t="s">
        <v>38</v>
      </c>
      <c r="D11595" s="8">
        <v>7.0000000000000007E-2</v>
      </c>
    </row>
    <row r="11596" spans="1:4">
      <c r="A11596" t="str">
        <f t="shared" si="190"/>
        <v>940Treynor Ratio</v>
      </c>
      <c r="B11596">
        <v>940</v>
      </c>
      <c r="C11596" s="9" t="s">
        <v>39</v>
      </c>
      <c r="D11596" s="8">
        <v>0.33200000000000002</v>
      </c>
    </row>
    <row r="11597" spans="1:4">
      <c r="A11597" t="str">
        <f t="shared" si="190"/>
        <v>940Total Fees</v>
      </c>
      <c r="B11597">
        <v>940</v>
      </c>
      <c r="C11597" s="9" t="s">
        <v>40</v>
      </c>
      <c r="D11597" s="8">
        <v>0</v>
      </c>
    </row>
    <row r="11598" spans="1:4">
      <c r="A11598" t="str">
        <f t="shared" si="190"/>
        <v>940Estimated Strategy Capacity</v>
      </c>
      <c r="B11598">
        <v>940</v>
      </c>
      <c r="C11598" s="9" t="s">
        <v>41</v>
      </c>
      <c r="D11598" s="8">
        <v>15000000</v>
      </c>
    </row>
    <row r="11599" spans="1:4">
      <c r="A11599" t="str">
        <f t="shared" si="190"/>
        <v>941PSR</v>
      </c>
      <c r="B11599">
        <v>941</v>
      </c>
      <c r="C11599" s="9" t="s">
        <v>27</v>
      </c>
      <c r="D11599" s="8">
        <v>7.0269999999999999E-2</v>
      </c>
    </row>
    <row r="11600" spans="1:4">
      <c r="A11600" t="str">
        <f t="shared" si="190"/>
        <v>941Sharpe Ratio</v>
      </c>
      <c r="B11600">
        <v>941</v>
      </c>
      <c r="C11600" s="9" t="s">
        <v>1</v>
      </c>
      <c r="D11600" s="8">
        <v>-0.46600000000000003</v>
      </c>
    </row>
    <row r="11601" spans="1:4">
      <c r="A11601" t="str">
        <f t="shared" si="190"/>
        <v>941Total Trades</v>
      </c>
      <c r="B11601">
        <v>941</v>
      </c>
      <c r="C11601" s="9" t="s">
        <v>28</v>
      </c>
      <c r="D11601" s="8">
        <v>568</v>
      </c>
    </row>
    <row r="11602" spans="1:4">
      <c r="A11602" t="str">
        <f t="shared" si="190"/>
        <v>941Average Win</v>
      </c>
      <c r="B11602">
        <v>941</v>
      </c>
      <c r="C11602" s="9" t="s">
        <v>25</v>
      </c>
      <c r="D11602" s="8">
        <v>1.5E-3</v>
      </c>
    </row>
    <row r="11603" spans="1:4">
      <c r="A11603" t="str">
        <f t="shared" ref="A11603:A11666" si="191">B11603&amp;C11603</f>
        <v>941Average Loss</v>
      </c>
      <c r="B11603">
        <v>941</v>
      </c>
      <c r="C11603" s="9" t="s">
        <v>29</v>
      </c>
      <c r="D11603" s="8">
        <v>-4.4000000000000003E-3</v>
      </c>
    </row>
    <row r="11604" spans="1:4">
      <c r="A11604" t="str">
        <f t="shared" si="191"/>
        <v>941Compounding Annual Return</v>
      </c>
      <c r="B11604">
        <v>941</v>
      </c>
      <c r="C11604" s="9" t="s">
        <v>30</v>
      </c>
      <c r="D11604" s="8">
        <v>-2.6620000000000001E-2</v>
      </c>
    </row>
    <row r="11605" spans="1:4">
      <c r="A11605" t="str">
        <f t="shared" si="191"/>
        <v>941Drawdown</v>
      </c>
      <c r="B11605">
        <v>941</v>
      </c>
      <c r="C11605" s="9" t="s">
        <v>8</v>
      </c>
      <c r="D11605" s="8">
        <v>3.1E-2</v>
      </c>
    </row>
    <row r="11606" spans="1:4">
      <c r="A11606" t="str">
        <f t="shared" si="191"/>
        <v>941Expectancy</v>
      </c>
      <c r="B11606">
        <v>941</v>
      </c>
      <c r="C11606" s="9" t="s">
        <v>31</v>
      </c>
      <c r="D11606" s="8">
        <v>-6.5000000000000002E-2</v>
      </c>
    </row>
    <row r="11607" spans="1:4">
      <c r="A11607" t="str">
        <f t="shared" si="191"/>
        <v>941Net Profit</v>
      </c>
      <c r="B11607">
        <v>941</v>
      </c>
      <c r="C11607" s="9" t="s">
        <v>32</v>
      </c>
      <c r="D11607" s="8">
        <v>-1.78E-2</v>
      </c>
    </row>
    <row r="11608" spans="1:4">
      <c r="A11608" t="str">
        <f t="shared" si="191"/>
        <v>941Loss Rate</v>
      </c>
      <c r="B11608">
        <v>941</v>
      </c>
      <c r="C11608" s="9" t="s">
        <v>33</v>
      </c>
      <c r="D11608" s="8">
        <v>0.3</v>
      </c>
    </row>
    <row r="11609" spans="1:4">
      <c r="A11609" t="str">
        <f t="shared" si="191"/>
        <v>941Win Rate</v>
      </c>
      <c r="B11609">
        <v>941</v>
      </c>
      <c r="C11609" s="9" t="s">
        <v>34</v>
      </c>
      <c r="D11609" s="8">
        <v>0.7</v>
      </c>
    </row>
    <row r="11610" spans="1:4">
      <c r="A11610" t="str">
        <f t="shared" si="191"/>
        <v>941Profit-Loss Ratio</v>
      </c>
      <c r="B11610">
        <v>941</v>
      </c>
      <c r="C11610" s="9" t="s">
        <v>26</v>
      </c>
      <c r="D11610" s="8">
        <v>0.34</v>
      </c>
    </row>
    <row r="11611" spans="1:4">
      <c r="A11611" t="str">
        <f t="shared" si="191"/>
        <v>941Alpha</v>
      </c>
      <c r="B11611">
        <v>941</v>
      </c>
      <c r="C11611" s="9" t="s">
        <v>23</v>
      </c>
      <c r="D11611" s="8">
        <v>-1.2999999999999999E-2</v>
      </c>
    </row>
    <row r="11612" spans="1:4">
      <c r="A11612" t="str">
        <f t="shared" si="191"/>
        <v>941Beta</v>
      </c>
      <c r="B11612">
        <v>941</v>
      </c>
      <c r="C11612" s="9" t="s">
        <v>24</v>
      </c>
      <c r="D11612" s="8">
        <v>-9.1999999999999998E-2</v>
      </c>
    </row>
    <row r="11613" spans="1:4">
      <c r="A11613" t="str">
        <f t="shared" si="191"/>
        <v>941Annual Standard Deviation</v>
      </c>
      <c r="B11613">
        <v>941</v>
      </c>
      <c r="C11613" s="9" t="s">
        <v>35</v>
      </c>
      <c r="D11613" s="8">
        <v>3.7999999999999999E-2</v>
      </c>
    </row>
    <row r="11614" spans="1:4">
      <c r="A11614" t="str">
        <f t="shared" si="191"/>
        <v>941Annual Variance</v>
      </c>
      <c r="B11614">
        <v>941</v>
      </c>
      <c r="C11614" s="9" t="s">
        <v>36</v>
      </c>
      <c r="D11614" s="8">
        <v>1E-3</v>
      </c>
    </row>
    <row r="11615" spans="1:4">
      <c r="A11615" t="str">
        <f t="shared" si="191"/>
        <v>941Information Ratio</v>
      </c>
      <c r="B11615">
        <v>941</v>
      </c>
      <c r="C11615" s="9" t="s">
        <v>37</v>
      </c>
      <c r="D11615" s="8">
        <v>-0.84499999999999997</v>
      </c>
    </row>
    <row r="11616" spans="1:4">
      <c r="A11616" t="str">
        <f t="shared" si="191"/>
        <v>941Tracking Error</v>
      </c>
      <c r="B11616">
        <v>941</v>
      </c>
      <c r="C11616" s="9" t="s">
        <v>38</v>
      </c>
      <c r="D11616" s="8">
        <v>8.3000000000000004E-2</v>
      </c>
    </row>
    <row r="11617" spans="1:4">
      <c r="A11617" t="str">
        <f t="shared" si="191"/>
        <v>941Treynor Ratio</v>
      </c>
      <c r="B11617">
        <v>941</v>
      </c>
      <c r="C11617" s="9" t="s">
        <v>39</v>
      </c>
      <c r="D11617" s="8">
        <v>0.19400000000000001</v>
      </c>
    </row>
    <row r="11618" spans="1:4">
      <c r="A11618" t="str">
        <f t="shared" si="191"/>
        <v>941Total Fees</v>
      </c>
      <c r="B11618">
        <v>941</v>
      </c>
      <c r="C11618" s="9" t="s">
        <v>40</v>
      </c>
      <c r="D11618" s="8">
        <v>0</v>
      </c>
    </row>
    <row r="11619" spans="1:4">
      <c r="A11619" t="str">
        <f t="shared" si="191"/>
        <v>941Estimated Strategy Capacity</v>
      </c>
      <c r="B11619">
        <v>941</v>
      </c>
      <c r="C11619" s="9" t="s">
        <v>41</v>
      </c>
      <c r="D11619" s="8">
        <v>6000000</v>
      </c>
    </row>
    <row r="11620" spans="1:4">
      <c r="A11620" t="str">
        <f t="shared" si="191"/>
        <v>942PSR</v>
      </c>
      <c r="B11620">
        <v>942</v>
      </c>
      <c r="C11620" s="9" t="s">
        <v>27</v>
      </c>
      <c r="D11620" s="8">
        <v>4.8509999999999998E-2</v>
      </c>
    </row>
    <row r="11621" spans="1:4">
      <c r="A11621" t="str">
        <f t="shared" si="191"/>
        <v>942Sharpe Ratio</v>
      </c>
      <c r="B11621">
        <v>942</v>
      </c>
      <c r="C11621" s="9" t="s">
        <v>1</v>
      </c>
      <c r="D11621" s="8">
        <v>-0.66800000000000004</v>
      </c>
    </row>
    <row r="11622" spans="1:4">
      <c r="A11622" t="str">
        <f t="shared" si="191"/>
        <v>942Total Trades</v>
      </c>
      <c r="B11622">
        <v>942</v>
      </c>
      <c r="C11622" s="9" t="s">
        <v>28</v>
      </c>
      <c r="D11622" s="8">
        <v>425</v>
      </c>
    </row>
    <row r="11623" spans="1:4">
      <c r="A11623" t="str">
        <f t="shared" si="191"/>
        <v>942Average Win</v>
      </c>
      <c r="B11623">
        <v>942</v>
      </c>
      <c r="C11623" s="9" t="s">
        <v>25</v>
      </c>
      <c r="D11623" s="8">
        <v>2E-3</v>
      </c>
    </row>
    <row r="11624" spans="1:4">
      <c r="A11624" t="str">
        <f t="shared" si="191"/>
        <v>942Average Loss</v>
      </c>
      <c r="B11624">
        <v>942</v>
      </c>
      <c r="C11624" s="9" t="s">
        <v>29</v>
      </c>
      <c r="D11624" s="8">
        <v>-4.4999999999999997E-3</v>
      </c>
    </row>
    <row r="11625" spans="1:4">
      <c r="A11625" t="str">
        <f t="shared" si="191"/>
        <v>942Compounding Annual Return</v>
      </c>
      <c r="B11625">
        <v>942</v>
      </c>
      <c r="C11625" s="9" t="s">
        <v>30</v>
      </c>
      <c r="D11625" s="8">
        <v>-4.3400000000000001E-2</v>
      </c>
    </row>
    <row r="11626" spans="1:4">
      <c r="A11626" t="str">
        <f t="shared" si="191"/>
        <v>942Drawdown</v>
      </c>
      <c r="B11626">
        <v>942</v>
      </c>
      <c r="C11626" s="9" t="s">
        <v>8</v>
      </c>
      <c r="D11626" s="8">
        <v>4.2000000000000003E-2</v>
      </c>
    </row>
    <row r="11627" spans="1:4">
      <c r="A11627" t="str">
        <f t="shared" si="191"/>
        <v>942Expectancy</v>
      </c>
      <c r="B11627">
        <v>942</v>
      </c>
      <c r="C11627" s="9" t="s">
        <v>31</v>
      </c>
      <c r="D11627" s="8">
        <v>-0.111</v>
      </c>
    </row>
    <row r="11628" spans="1:4">
      <c r="A11628" t="str">
        <f t="shared" si="191"/>
        <v>942Net Profit</v>
      </c>
      <c r="B11628">
        <v>942</v>
      </c>
      <c r="C11628" s="9" t="s">
        <v>32</v>
      </c>
      <c r="D11628" s="8">
        <v>-2.9100000000000001E-2</v>
      </c>
    </row>
    <row r="11629" spans="1:4">
      <c r="A11629" t="str">
        <f t="shared" si="191"/>
        <v>942Loss Rate</v>
      </c>
      <c r="B11629">
        <v>942</v>
      </c>
      <c r="C11629" s="9" t="s">
        <v>33</v>
      </c>
      <c r="D11629" s="8">
        <v>0.39</v>
      </c>
    </row>
    <row r="11630" spans="1:4">
      <c r="A11630" t="str">
        <f t="shared" si="191"/>
        <v>942Win Rate</v>
      </c>
      <c r="B11630">
        <v>942</v>
      </c>
      <c r="C11630" s="9" t="s">
        <v>34</v>
      </c>
      <c r="D11630" s="8">
        <v>0.61</v>
      </c>
    </row>
    <row r="11631" spans="1:4">
      <c r="A11631" t="str">
        <f t="shared" si="191"/>
        <v>942Profit-Loss Ratio</v>
      </c>
      <c r="B11631">
        <v>942</v>
      </c>
      <c r="C11631" s="9" t="s">
        <v>26</v>
      </c>
      <c r="D11631" s="8">
        <v>0.45</v>
      </c>
    </row>
    <row r="11632" spans="1:4">
      <c r="A11632" t="str">
        <f t="shared" si="191"/>
        <v>942Alpha</v>
      </c>
      <c r="B11632">
        <v>942</v>
      </c>
      <c r="C11632" s="9" t="s">
        <v>23</v>
      </c>
      <c r="D11632" s="8">
        <v>-2.1999999999999999E-2</v>
      </c>
    </row>
    <row r="11633" spans="1:4">
      <c r="A11633" t="str">
        <f t="shared" si="191"/>
        <v>942Beta</v>
      </c>
      <c r="B11633">
        <v>942</v>
      </c>
      <c r="C11633" s="9" t="s">
        <v>24</v>
      </c>
      <c r="D11633" s="8">
        <v>-0.155</v>
      </c>
    </row>
    <row r="11634" spans="1:4">
      <c r="A11634" t="str">
        <f t="shared" si="191"/>
        <v>942Annual Standard Deviation</v>
      </c>
      <c r="B11634">
        <v>942</v>
      </c>
      <c r="C11634" s="9" t="s">
        <v>35</v>
      </c>
      <c r="D11634" s="8">
        <v>4.3999999999999997E-2</v>
      </c>
    </row>
    <row r="11635" spans="1:4">
      <c r="A11635" t="str">
        <f t="shared" si="191"/>
        <v>942Annual Variance</v>
      </c>
      <c r="B11635">
        <v>942</v>
      </c>
      <c r="C11635" s="9" t="s">
        <v>36</v>
      </c>
      <c r="D11635" s="8">
        <v>2E-3</v>
      </c>
    </row>
    <row r="11636" spans="1:4">
      <c r="A11636" t="str">
        <f t="shared" si="191"/>
        <v>942Information Ratio</v>
      </c>
      <c r="B11636">
        <v>942</v>
      </c>
      <c r="C11636" s="9" t="s">
        <v>37</v>
      </c>
      <c r="D11636" s="8">
        <v>-0.88700000000000001</v>
      </c>
    </row>
    <row r="11637" spans="1:4">
      <c r="A11637" t="str">
        <f t="shared" si="191"/>
        <v>942Tracking Error</v>
      </c>
      <c r="B11637">
        <v>942</v>
      </c>
      <c r="C11637" s="9" t="s">
        <v>38</v>
      </c>
      <c r="D11637" s="8">
        <v>8.8999999999999996E-2</v>
      </c>
    </row>
    <row r="11638" spans="1:4">
      <c r="A11638" t="str">
        <f t="shared" si="191"/>
        <v>942Treynor Ratio</v>
      </c>
      <c r="B11638">
        <v>942</v>
      </c>
      <c r="C11638" s="9" t="s">
        <v>39</v>
      </c>
      <c r="D11638" s="8">
        <v>0.19</v>
      </c>
    </row>
    <row r="11639" spans="1:4">
      <c r="A11639" t="str">
        <f t="shared" si="191"/>
        <v>942Total Fees</v>
      </c>
      <c r="B11639">
        <v>942</v>
      </c>
      <c r="C11639" s="9" t="s">
        <v>40</v>
      </c>
      <c r="D11639" s="8">
        <v>0</v>
      </c>
    </row>
    <row r="11640" spans="1:4">
      <c r="A11640" t="str">
        <f t="shared" si="191"/>
        <v>942Estimated Strategy Capacity</v>
      </c>
      <c r="B11640">
        <v>942</v>
      </c>
      <c r="C11640" s="9" t="s">
        <v>41</v>
      </c>
      <c r="D11640" s="8">
        <v>5900000</v>
      </c>
    </row>
    <row r="11641" spans="1:4">
      <c r="A11641" t="str">
        <f t="shared" si="191"/>
        <v>943PSR</v>
      </c>
      <c r="B11641">
        <v>943</v>
      </c>
      <c r="C11641" s="9" t="s">
        <v>27</v>
      </c>
      <c r="D11641" s="8">
        <v>2.8639999999999999E-2</v>
      </c>
    </row>
    <row r="11642" spans="1:4">
      <c r="A11642" t="str">
        <f t="shared" si="191"/>
        <v>943Sharpe Ratio</v>
      </c>
      <c r="B11642">
        <v>943</v>
      </c>
      <c r="C11642" s="9" t="s">
        <v>1</v>
      </c>
      <c r="D11642" s="8">
        <v>-0.81699999999999995</v>
      </c>
    </row>
    <row r="11643" spans="1:4">
      <c r="A11643" t="str">
        <f t="shared" si="191"/>
        <v>943Total Trades</v>
      </c>
      <c r="B11643">
        <v>943</v>
      </c>
      <c r="C11643" s="9" t="s">
        <v>28</v>
      </c>
      <c r="D11643" s="8">
        <v>572</v>
      </c>
    </row>
    <row r="11644" spans="1:4">
      <c r="A11644" t="str">
        <f t="shared" si="191"/>
        <v>943Average Win</v>
      </c>
      <c r="B11644">
        <v>943</v>
      </c>
      <c r="C11644" s="9" t="s">
        <v>25</v>
      </c>
      <c r="D11644" s="8">
        <v>5.0000000000000001E-4</v>
      </c>
    </row>
    <row r="11645" spans="1:4">
      <c r="A11645" t="str">
        <f t="shared" si="191"/>
        <v>943Average Loss</v>
      </c>
      <c r="B11645">
        <v>943</v>
      </c>
      <c r="C11645" s="9" t="s">
        <v>29</v>
      </c>
      <c r="D11645" s="8">
        <v>-1.5E-3</v>
      </c>
    </row>
    <row r="11646" spans="1:4">
      <c r="A11646" t="str">
        <f t="shared" si="191"/>
        <v>943Compounding Annual Return</v>
      </c>
      <c r="B11646">
        <v>943</v>
      </c>
      <c r="C11646" s="9" t="s">
        <v>30</v>
      </c>
      <c r="D11646" s="8">
        <v>-1.3089999999999999E-2</v>
      </c>
    </row>
    <row r="11647" spans="1:4">
      <c r="A11647" t="str">
        <f t="shared" si="191"/>
        <v>943Drawdown</v>
      </c>
      <c r="B11647">
        <v>943</v>
      </c>
      <c r="C11647" s="9" t="s">
        <v>8</v>
      </c>
      <c r="D11647" s="8">
        <v>1.4E-2</v>
      </c>
    </row>
    <row r="11648" spans="1:4">
      <c r="A11648" t="str">
        <f t="shared" si="191"/>
        <v>943Expectancy</v>
      </c>
      <c r="B11648">
        <v>943</v>
      </c>
      <c r="C11648" s="9" t="s">
        <v>31</v>
      </c>
      <c r="D11648" s="8">
        <v>-0.121</v>
      </c>
    </row>
    <row r="11649" spans="1:4">
      <c r="A11649" t="str">
        <f t="shared" si="191"/>
        <v>943Net Profit</v>
      </c>
      <c r="B11649">
        <v>943</v>
      </c>
      <c r="C11649" s="9" t="s">
        <v>32</v>
      </c>
      <c r="D11649" s="8">
        <v>-8.7299999999999999E-3</v>
      </c>
    </row>
    <row r="11650" spans="1:4">
      <c r="A11650" t="str">
        <f t="shared" si="191"/>
        <v>943Loss Rate</v>
      </c>
      <c r="B11650">
        <v>943</v>
      </c>
      <c r="C11650" s="9" t="s">
        <v>33</v>
      </c>
      <c r="D11650" s="8">
        <v>0.34</v>
      </c>
    </row>
    <row r="11651" spans="1:4">
      <c r="A11651" t="str">
        <f t="shared" si="191"/>
        <v>943Win Rate</v>
      </c>
      <c r="B11651">
        <v>943</v>
      </c>
      <c r="C11651" s="9" t="s">
        <v>34</v>
      </c>
      <c r="D11651" s="8">
        <v>0.66</v>
      </c>
    </row>
    <row r="11652" spans="1:4">
      <c r="A11652" t="str">
        <f t="shared" si="191"/>
        <v>943Profit-Loss Ratio</v>
      </c>
      <c r="B11652">
        <v>943</v>
      </c>
      <c r="C11652" s="9" t="s">
        <v>26</v>
      </c>
      <c r="D11652" s="8">
        <v>0.33</v>
      </c>
    </row>
    <row r="11653" spans="1:4">
      <c r="A11653" t="str">
        <f t="shared" si="191"/>
        <v>943Alpha</v>
      </c>
      <c r="B11653">
        <v>943</v>
      </c>
      <c r="C11653" s="9" t="s">
        <v>23</v>
      </c>
      <c r="D11653" s="8">
        <v>-7.0000000000000001E-3</v>
      </c>
    </row>
    <row r="11654" spans="1:4">
      <c r="A11654" t="str">
        <f t="shared" si="191"/>
        <v>943Beta</v>
      </c>
      <c r="B11654">
        <v>943</v>
      </c>
      <c r="C11654" s="9" t="s">
        <v>24</v>
      </c>
      <c r="D11654" s="8">
        <v>-3.1E-2</v>
      </c>
    </row>
    <row r="11655" spans="1:4">
      <c r="A11655" t="str">
        <f t="shared" si="191"/>
        <v>943Annual Standard Deviation</v>
      </c>
      <c r="B11655">
        <v>943</v>
      </c>
      <c r="C11655" s="9" t="s">
        <v>35</v>
      </c>
      <c r="D11655" s="8">
        <v>1.0999999999999999E-2</v>
      </c>
    </row>
    <row r="11656" spans="1:4">
      <c r="A11656" t="str">
        <f t="shared" si="191"/>
        <v>943Annual Variance</v>
      </c>
      <c r="B11656">
        <v>943</v>
      </c>
      <c r="C11656" s="9" t="s">
        <v>36</v>
      </c>
      <c r="D11656" s="8">
        <v>0</v>
      </c>
    </row>
    <row r="11657" spans="1:4">
      <c r="A11657" t="str">
        <f t="shared" si="191"/>
        <v>943Information Ratio</v>
      </c>
      <c r="B11657">
        <v>943</v>
      </c>
      <c r="C11657" s="9" t="s">
        <v>37</v>
      </c>
      <c r="D11657" s="8">
        <v>-0.86899999999999999</v>
      </c>
    </row>
    <row r="11658" spans="1:4">
      <c r="A11658" t="str">
        <f t="shared" si="191"/>
        <v>943Tracking Error</v>
      </c>
      <c r="B11658">
        <v>943</v>
      </c>
      <c r="C11658" s="9" t="s">
        <v>38</v>
      </c>
      <c r="D11658" s="8">
        <v>7.0000000000000007E-2</v>
      </c>
    </row>
    <row r="11659" spans="1:4">
      <c r="A11659" t="str">
        <f t="shared" si="191"/>
        <v>943Treynor Ratio</v>
      </c>
      <c r="B11659">
        <v>943</v>
      </c>
      <c r="C11659" s="9" t="s">
        <v>39</v>
      </c>
      <c r="D11659" s="8">
        <v>0.29599999999999999</v>
      </c>
    </row>
    <row r="11660" spans="1:4">
      <c r="A11660" t="str">
        <f t="shared" si="191"/>
        <v>943Total Fees</v>
      </c>
      <c r="B11660">
        <v>943</v>
      </c>
      <c r="C11660" s="9" t="s">
        <v>40</v>
      </c>
      <c r="D11660" s="8">
        <v>0</v>
      </c>
    </row>
    <row r="11661" spans="1:4">
      <c r="A11661" t="str">
        <f t="shared" si="191"/>
        <v>943Estimated Strategy Capacity</v>
      </c>
      <c r="B11661">
        <v>943</v>
      </c>
      <c r="C11661" s="9" t="s">
        <v>41</v>
      </c>
      <c r="D11661" s="8">
        <v>180000000</v>
      </c>
    </row>
    <row r="11662" spans="1:4">
      <c r="A11662" t="str">
        <f t="shared" si="191"/>
        <v>944PSR</v>
      </c>
      <c r="B11662">
        <v>944</v>
      </c>
      <c r="C11662" s="9" t="s">
        <v>27</v>
      </c>
      <c r="D11662" s="8">
        <v>4.036E-2</v>
      </c>
    </row>
    <row r="11663" spans="1:4">
      <c r="A11663" t="str">
        <f t="shared" si="191"/>
        <v>944Sharpe Ratio</v>
      </c>
      <c r="B11663">
        <v>944</v>
      </c>
      <c r="C11663" s="9" t="s">
        <v>1</v>
      </c>
      <c r="D11663" s="8">
        <v>-0.71</v>
      </c>
    </row>
    <row r="11664" spans="1:4">
      <c r="A11664" t="str">
        <f t="shared" si="191"/>
        <v>944Total Trades</v>
      </c>
      <c r="B11664">
        <v>944</v>
      </c>
      <c r="C11664" s="9" t="s">
        <v>28</v>
      </c>
      <c r="D11664" s="8">
        <v>463</v>
      </c>
    </row>
    <row r="11665" spans="1:4">
      <c r="A11665" t="str">
        <f t="shared" si="191"/>
        <v>944Average Win</v>
      </c>
      <c r="B11665">
        <v>944</v>
      </c>
      <c r="C11665" s="9" t="s">
        <v>25</v>
      </c>
      <c r="D11665" s="8">
        <v>1.6000000000000001E-3</v>
      </c>
    </row>
    <row r="11666" spans="1:4">
      <c r="A11666" t="str">
        <f t="shared" si="191"/>
        <v>944Average Loss</v>
      </c>
      <c r="B11666">
        <v>944</v>
      </c>
      <c r="C11666" s="9" t="s">
        <v>29</v>
      </c>
      <c r="D11666" s="8">
        <v>-4.1000000000000003E-3</v>
      </c>
    </row>
    <row r="11667" spans="1:4">
      <c r="A11667" t="str">
        <f t="shared" ref="A11667:A11730" si="192">B11667&amp;C11667</f>
        <v>944Compounding Annual Return</v>
      </c>
      <c r="B11667">
        <v>944</v>
      </c>
      <c r="C11667" s="9" t="s">
        <v>30</v>
      </c>
      <c r="D11667" s="8">
        <v>-3.2140000000000002E-2</v>
      </c>
    </row>
    <row r="11668" spans="1:4">
      <c r="A11668" t="str">
        <f t="shared" si="192"/>
        <v>944Drawdown</v>
      </c>
      <c r="B11668">
        <v>944</v>
      </c>
      <c r="C11668" s="9" t="s">
        <v>8</v>
      </c>
      <c r="D11668" s="8">
        <v>3.5000000000000003E-2</v>
      </c>
    </row>
    <row r="11669" spans="1:4">
      <c r="A11669" t="str">
        <f t="shared" si="192"/>
        <v>944Expectancy</v>
      </c>
      <c r="B11669">
        <v>944</v>
      </c>
      <c r="C11669" s="9" t="s">
        <v>31</v>
      </c>
      <c r="D11669" s="8">
        <v>-0.112</v>
      </c>
    </row>
    <row r="11670" spans="1:4">
      <c r="A11670" t="str">
        <f t="shared" si="192"/>
        <v>944Net Profit</v>
      </c>
      <c r="B11670">
        <v>944</v>
      </c>
      <c r="C11670" s="9" t="s">
        <v>32</v>
      </c>
      <c r="D11670" s="8">
        <v>-2.1510000000000001E-2</v>
      </c>
    </row>
    <row r="11671" spans="1:4">
      <c r="A11671" t="str">
        <f t="shared" si="192"/>
        <v>944Loss Rate</v>
      </c>
      <c r="B11671">
        <v>944</v>
      </c>
      <c r="C11671" s="9" t="s">
        <v>33</v>
      </c>
      <c r="D11671" s="8">
        <v>0.36</v>
      </c>
    </row>
    <row r="11672" spans="1:4">
      <c r="A11672" t="str">
        <f t="shared" si="192"/>
        <v>944Win Rate</v>
      </c>
      <c r="B11672">
        <v>944</v>
      </c>
      <c r="C11672" s="9" t="s">
        <v>34</v>
      </c>
      <c r="D11672" s="8">
        <v>0.64</v>
      </c>
    </row>
    <row r="11673" spans="1:4">
      <c r="A11673" t="str">
        <f t="shared" si="192"/>
        <v>944Profit-Loss Ratio</v>
      </c>
      <c r="B11673">
        <v>944</v>
      </c>
      <c r="C11673" s="9" t="s">
        <v>26</v>
      </c>
      <c r="D11673" s="8">
        <v>0.39</v>
      </c>
    </row>
    <row r="11674" spans="1:4">
      <c r="A11674" t="str">
        <f t="shared" si="192"/>
        <v>944Alpha</v>
      </c>
      <c r="B11674">
        <v>944</v>
      </c>
      <c r="C11674" s="9" t="s">
        <v>23</v>
      </c>
      <c r="D11674" s="8">
        <v>-1.6E-2</v>
      </c>
    </row>
    <row r="11675" spans="1:4">
      <c r="A11675" t="str">
        <f t="shared" si="192"/>
        <v>944Beta</v>
      </c>
      <c r="B11675">
        <v>944</v>
      </c>
      <c r="C11675" s="9" t="s">
        <v>24</v>
      </c>
      <c r="D11675" s="8">
        <v>-0.11799999999999999</v>
      </c>
    </row>
    <row r="11676" spans="1:4">
      <c r="A11676" t="str">
        <f t="shared" si="192"/>
        <v>944Annual Standard Deviation</v>
      </c>
      <c r="B11676">
        <v>944</v>
      </c>
      <c r="C11676" s="9" t="s">
        <v>35</v>
      </c>
      <c r="D11676" s="8">
        <v>3.1E-2</v>
      </c>
    </row>
    <row r="11677" spans="1:4">
      <c r="A11677" t="str">
        <f t="shared" si="192"/>
        <v>944Annual Variance</v>
      </c>
      <c r="B11677">
        <v>944</v>
      </c>
      <c r="C11677" s="9" t="s">
        <v>36</v>
      </c>
      <c r="D11677" s="8">
        <v>1E-3</v>
      </c>
    </row>
    <row r="11678" spans="1:4">
      <c r="A11678" t="str">
        <f t="shared" si="192"/>
        <v>944Information Ratio</v>
      </c>
      <c r="B11678">
        <v>944</v>
      </c>
      <c r="C11678" s="9" t="s">
        <v>37</v>
      </c>
      <c r="D11678" s="8">
        <v>-0.91300000000000003</v>
      </c>
    </row>
    <row r="11679" spans="1:4">
      <c r="A11679" t="str">
        <f t="shared" si="192"/>
        <v>944Tracking Error</v>
      </c>
      <c r="B11679">
        <v>944</v>
      </c>
      <c r="C11679" s="9" t="s">
        <v>38</v>
      </c>
      <c r="D11679" s="8">
        <v>8.1000000000000003E-2</v>
      </c>
    </row>
    <row r="11680" spans="1:4">
      <c r="A11680" t="str">
        <f t="shared" si="192"/>
        <v>944Treynor Ratio</v>
      </c>
      <c r="B11680">
        <v>944</v>
      </c>
      <c r="C11680" s="9" t="s">
        <v>39</v>
      </c>
      <c r="D11680" s="8">
        <v>0.186</v>
      </c>
    </row>
    <row r="11681" spans="1:4">
      <c r="A11681" t="str">
        <f t="shared" si="192"/>
        <v>944Total Fees</v>
      </c>
      <c r="B11681">
        <v>944</v>
      </c>
      <c r="C11681" s="9" t="s">
        <v>40</v>
      </c>
      <c r="D11681" s="8">
        <v>0</v>
      </c>
    </row>
    <row r="11682" spans="1:4">
      <c r="A11682" t="str">
        <f t="shared" si="192"/>
        <v>944Estimated Strategy Capacity</v>
      </c>
      <c r="B11682">
        <v>944</v>
      </c>
      <c r="C11682" s="9" t="s">
        <v>41</v>
      </c>
      <c r="D11682" s="8">
        <v>21000000</v>
      </c>
    </row>
    <row r="11683" spans="1:4">
      <c r="A11683" t="str">
        <f t="shared" si="192"/>
        <v>945PSR</v>
      </c>
      <c r="B11683">
        <v>945</v>
      </c>
      <c r="C11683" s="9" t="s">
        <v>27</v>
      </c>
      <c r="D11683" s="8">
        <v>6.7680000000000004E-2</v>
      </c>
    </row>
    <row r="11684" spans="1:4">
      <c r="A11684" t="str">
        <f t="shared" si="192"/>
        <v>945Sharpe Ratio</v>
      </c>
      <c r="B11684">
        <v>945</v>
      </c>
      <c r="C11684" s="9" t="s">
        <v>1</v>
      </c>
      <c r="D11684" s="8">
        <v>-0.51100000000000001</v>
      </c>
    </row>
    <row r="11685" spans="1:4">
      <c r="A11685" t="str">
        <f t="shared" si="192"/>
        <v>945Total Trades</v>
      </c>
      <c r="B11685">
        <v>945</v>
      </c>
      <c r="C11685" s="9" t="s">
        <v>28</v>
      </c>
      <c r="D11685" s="8">
        <v>358</v>
      </c>
    </row>
    <row r="11686" spans="1:4">
      <c r="A11686" t="str">
        <f t="shared" si="192"/>
        <v>945Average Win</v>
      </c>
      <c r="B11686">
        <v>945</v>
      </c>
      <c r="C11686" s="9" t="s">
        <v>25</v>
      </c>
      <c r="D11686" s="8">
        <v>2.5999999999999999E-3</v>
      </c>
    </row>
    <row r="11687" spans="1:4">
      <c r="A11687" t="str">
        <f t="shared" si="192"/>
        <v>945Average Loss</v>
      </c>
      <c r="B11687">
        <v>945</v>
      </c>
      <c r="C11687" s="9" t="s">
        <v>29</v>
      </c>
      <c r="D11687" s="8">
        <v>-5.1000000000000004E-3</v>
      </c>
    </row>
    <row r="11688" spans="1:4">
      <c r="A11688" t="str">
        <f t="shared" si="192"/>
        <v>945Compounding Annual Return</v>
      </c>
      <c r="B11688">
        <v>945</v>
      </c>
      <c r="C11688" s="9" t="s">
        <v>30</v>
      </c>
      <c r="D11688" s="8">
        <v>-3.024E-2</v>
      </c>
    </row>
    <row r="11689" spans="1:4">
      <c r="A11689" t="str">
        <f t="shared" si="192"/>
        <v>945Drawdown</v>
      </c>
      <c r="B11689">
        <v>945</v>
      </c>
      <c r="C11689" s="9" t="s">
        <v>8</v>
      </c>
      <c r="D11689" s="8">
        <v>4.2000000000000003E-2</v>
      </c>
    </row>
    <row r="11690" spans="1:4">
      <c r="A11690" t="str">
        <f t="shared" si="192"/>
        <v>945Expectancy</v>
      </c>
      <c r="B11690">
        <v>945</v>
      </c>
      <c r="C11690" s="9" t="s">
        <v>31</v>
      </c>
      <c r="D11690" s="8">
        <v>-8.5000000000000006E-2</v>
      </c>
    </row>
    <row r="11691" spans="1:4">
      <c r="A11691" t="str">
        <f t="shared" si="192"/>
        <v>945Net Profit</v>
      </c>
      <c r="B11691">
        <v>945</v>
      </c>
      <c r="C11691" s="9" t="s">
        <v>32</v>
      </c>
      <c r="D11691" s="8">
        <v>-2.0230000000000001E-2</v>
      </c>
    </row>
    <row r="11692" spans="1:4">
      <c r="A11692" t="str">
        <f t="shared" si="192"/>
        <v>945Loss Rate</v>
      </c>
      <c r="B11692">
        <v>945</v>
      </c>
      <c r="C11692" s="9" t="s">
        <v>33</v>
      </c>
      <c r="D11692" s="8">
        <v>0.39</v>
      </c>
    </row>
    <row r="11693" spans="1:4">
      <c r="A11693" t="str">
        <f t="shared" si="192"/>
        <v>945Win Rate</v>
      </c>
      <c r="B11693">
        <v>945</v>
      </c>
      <c r="C11693" s="9" t="s">
        <v>34</v>
      </c>
      <c r="D11693" s="8">
        <v>0.61</v>
      </c>
    </row>
    <row r="11694" spans="1:4">
      <c r="A11694" t="str">
        <f t="shared" si="192"/>
        <v>945Profit-Loss Ratio</v>
      </c>
      <c r="B11694">
        <v>945</v>
      </c>
      <c r="C11694" s="9" t="s">
        <v>26</v>
      </c>
      <c r="D11694" s="8">
        <v>0.5</v>
      </c>
    </row>
    <row r="11695" spans="1:4">
      <c r="A11695" t="str">
        <f t="shared" si="192"/>
        <v>945Alpha</v>
      </c>
      <c r="B11695">
        <v>945</v>
      </c>
      <c r="C11695" s="9" t="s">
        <v>23</v>
      </c>
      <c r="D11695" s="8">
        <v>-1.4E-2</v>
      </c>
    </row>
    <row r="11696" spans="1:4">
      <c r="A11696" t="str">
        <f t="shared" si="192"/>
        <v>945Beta</v>
      </c>
      <c r="B11696">
        <v>945</v>
      </c>
      <c r="C11696" s="9" t="s">
        <v>24</v>
      </c>
      <c r="D11696" s="8">
        <v>-0.115</v>
      </c>
    </row>
    <row r="11697" spans="1:4">
      <c r="A11697" t="str">
        <f t="shared" si="192"/>
        <v>945Annual Standard Deviation</v>
      </c>
      <c r="B11697">
        <v>945</v>
      </c>
      <c r="C11697" s="9" t="s">
        <v>35</v>
      </c>
      <c r="D11697" s="8">
        <v>0.04</v>
      </c>
    </row>
    <row r="11698" spans="1:4">
      <c r="A11698" t="str">
        <f t="shared" si="192"/>
        <v>945Annual Variance</v>
      </c>
      <c r="B11698">
        <v>945</v>
      </c>
      <c r="C11698" s="9" t="s">
        <v>36</v>
      </c>
      <c r="D11698" s="8">
        <v>2E-3</v>
      </c>
    </row>
    <row r="11699" spans="1:4">
      <c r="A11699" t="str">
        <f t="shared" si="192"/>
        <v>945Information Ratio</v>
      </c>
      <c r="B11699">
        <v>945</v>
      </c>
      <c r="C11699" s="9" t="s">
        <v>37</v>
      </c>
      <c r="D11699" s="8">
        <v>-0.85499999999999998</v>
      </c>
    </row>
    <row r="11700" spans="1:4">
      <c r="A11700" t="str">
        <f t="shared" si="192"/>
        <v>945Tracking Error</v>
      </c>
      <c r="B11700">
        <v>945</v>
      </c>
      <c r="C11700" s="9" t="s">
        <v>38</v>
      </c>
      <c r="D11700" s="8">
        <v>8.4000000000000005E-2</v>
      </c>
    </row>
    <row r="11701" spans="1:4">
      <c r="A11701" t="str">
        <f t="shared" si="192"/>
        <v>945Treynor Ratio</v>
      </c>
      <c r="B11701">
        <v>945</v>
      </c>
      <c r="C11701" s="9" t="s">
        <v>39</v>
      </c>
      <c r="D11701" s="8">
        <v>0.17699999999999999</v>
      </c>
    </row>
    <row r="11702" spans="1:4">
      <c r="A11702" t="str">
        <f t="shared" si="192"/>
        <v>945Total Fees</v>
      </c>
      <c r="B11702">
        <v>945</v>
      </c>
      <c r="C11702" s="9" t="s">
        <v>40</v>
      </c>
      <c r="D11702" s="8">
        <v>0</v>
      </c>
    </row>
    <row r="11703" spans="1:4">
      <c r="A11703" t="str">
        <f t="shared" si="192"/>
        <v>945Estimated Strategy Capacity</v>
      </c>
      <c r="B11703">
        <v>945</v>
      </c>
      <c r="C11703" s="9" t="s">
        <v>41</v>
      </c>
      <c r="D11703" s="8">
        <v>8300000</v>
      </c>
    </row>
    <row r="11704" spans="1:4">
      <c r="A11704" t="str">
        <f t="shared" si="192"/>
        <v>2001PSR</v>
      </c>
      <c r="B11704">
        <v>2001</v>
      </c>
      <c r="C11704" s="19" t="s">
        <v>27</v>
      </c>
      <c r="D11704" s="8">
        <v>5.1249999999999997E-2</v>
      </c>
    </row>
    <row r="11705" spans="1:4">
      <c r="A11705" t="str">
        <f t="shared" si="192"/>
        <v>2001Sharpe Ratio</v>
      </c>
      <c r="B11705">
        <v>2001</v>
      </c>
      <c r="C11705" s="19" t="s">
        <v>1</v>
      </c>
      <c r="D11705" s="8">
        <v>-0.64500000000000002</v>
      </c>
    </row>
    <row r="11706" spans="1:4">
      <c r="A11706" t="str">
        <f t="shared" si="192"/>
        <v>2001Total Trades</v>
      </c>
      <c r="B11706">
        <v>2001</v>
      </c>
      <c r="C11706" s="19" t="s">
        <v>28</v>
      </c>
      <c r="D11706" s="8">
        <v>1053</v>
      </c>
    </row>
    <row r="11707" spans="1:4">
      <c r="A11707" t="str">
        <f t="shared" si="192"/>
        <v>2001Average Win</v>
      </c>
      <c r="B11707">
        <v>2001</v>
      </c>
      <c r="C11707" s="19" t="s">
        <v>25</v>
      </c>
      <c r="D11707" s="8">
        <v>2.0000000000000001E-4</v>
      </c>
    </row>
    <row r="11708" spans="1:4">
      <c r="A11708" t="str">
        <f t="shared" si="192"/>
        <v>2001Average Loss</v>
      </c>
      <c r="B11708">
        <v>2001</v>
      </c>
      <c r="C11708" s="19" t="s">
        <v>29</v>
      </c>
      <c r="D11708" s="8">
        <v>-4.0000000000000002E-4</v>
      </c>
    </row>
    <row r="11709" spans="1:4">
      <c r="A11709" t="str">
        <f t="shared" si="192"/>
        <v>2001Compounding Annual Return</v>
      </c>
      <c r="B11709">
        <v>2001</v>
      </c>
      <c r="C11709" s="19" t="s">
        <v>30</v>
      </c>
      <c r="D11709" s="8">
        <v>-6.0499999999999998E-3</v>
      </c>
    </row>
    <row r="11710" spans="1:4">
      <c r="A11710" t="str">
        <f t="shared" si="192"/>
        <v>2001Drawdown</v>
      </c>
      <c r="B11710">
        <v>2001</v>
      </c>
      <c r="C11710" s="19" t="s">
        <v>8</v>
      </c>
      <c r="D11710" s="8">
        <v>1.0999999999999999E-2</v>
      </c>
    </row>
    <row r="11711" spans="1:4">
      <c r="A11711" t="str">
        <f t="shared" si="192"/>
        <v>2001Expectancy</v>
      </c>
      <c r="B11711">
        <v>2001</v>
      </c>
      <c r="C11711" s="19" t="s">
        <v>31</v>
      </c>
      <c r="D11711" s="8">
        <v>-8.8999999999999996E-2</v>
      </c>
    </row>
    <row r="11712" spans="1:4">
      <c r="A11712" t="str">
        <f t="shared" si="192"/>
        <v>2001Net Profit</v>
      </c>
      <c r="B11712">
        <v>2001</v>
      </c>
      <c r="C11712" s="19" t="s">
        <v>32</v>
      </c>
      <c r="D11712" s="8">
        <v>-4.0499999999999998E-3</v>
      </c>
    </row>
    <row r="11713" spans="1:4">
      <c r="A11713" t="str">
        <f t="shared" si="192"/>
        <v>2001Loss Rate</v>
      </c>
      <c r="B11713">
        <v>2001</v>
      </c>
      <c r="C11713" s="19" t="s">
        <v>33</v>
      </c>
      <c r="D11713" s="8">
        <v>0.39</v>
      </c>
    </row>
    <row r="11714" spans="1:4">
      <c r="A11714" t="str">
        <f t="shared" si="192"/>
        <v>2001Win Rate</v>
      </c>
      <c r="B11714">
        <v>2001</v>
      </c>
      <c r="C11714" s="19" t="s">
        <v>34</v>
      </c>
      <c r="D11714" s="8">
        <v>0.61</v>
      </c>
    </row>
    <row r="11715" spans="1:4">
      <c r="A11715" t="str">
        <f t="shared" si="192"/>
        <v>2001Profit-Loss Ratio</v>
      </c>
      <c r="B11715">
        <v>2001</v>
      </c>
      <c r="C11715" s="19" t="s">
        <v>26</v>
      </c>
      <c r="D11715" s="8">
        <v>0.49</v>
      </c>
    </row>
    <row r="11716" spans="1:4">
      <c r="A11716" t="str">
        <f t="shared" si="192"/>
        <v>2001Alpha</v>
      </c>
      <c r="B11716">
        <v>2001</v>
      </c>
      <c r="C11716" s="19" t="s">
        <v>23</v>
      </c>
      <c r="D11716" s="8">
        <v>-4.0000000000000001E-3</v>
      </c>
    </row>
    <row r="11717" spans="1:4">
      <c r="A11717" t="str">
        <f t="shared" si="192"/>
        <v>2001Beta</v>
      </c>
      <c r="B11717">
        <v>2001</v>
      </c>
      <c r="C11717" s="19" t="s">
        <v>24</v>
      </c>
      <c r="D11717" s="8">
        <v>-8.0000000000000002E-3</v>
      </c>
    </row>
    <row r="11718" spans="1:4">
      <c r="A11718" t="str">
        <f t="shared" si="192"/>
        <v>2001Annual Standard Deviation</v>
      </c>
      <c r="B11718">
        <v>2001</v>
      </c>
      <c r="C11718" s="19" t="s">
        <v>35</v>
      </c>
      <c r="D11718" s="8">
        <v>6.0000000000000001E-3</v>
      </c>
    </row>
    <row r="11719" spans="1:4">
      <c r="A11719" t="str">
        <f t="shared" si="192"/>
        <v>2001Annual Variance</v>
      </c>
      <c r="B11719">
        <v>2001</v>
      </c>
      <c r="C11719" s="19" t="s">
        <v>36</v>
      </c>
      <c r="D11719" s="8">
        <v>0</v>
      </c>
    </row>
    <row r="11720" spans="1:4">
      <c r="A11720" t="str">
        <f t="shared" si="192"/>
        <v>2001Information Ratio</v>
      </c>
      <c r="B11720">
        <v>2001</v>
      </c>
      <c r="C11720" s="19" t="s">
        <v>37</v>
      </c>
      <c r="D11720" s="8">
        <v>-0.79800000000000004</v>
      </c>
    </row>
    <row r="11721" spans="1:4">
      <c r="A11721" t="str">
        <f t="shared" si="192"/>
        <v>2001Tracking Error</v>
      </c>
      <c r="B11721">
        <v>2001</v>
      </c>
      <c r="C11721" s="19" t="s">
        <v>38</v>
      </c>
      <c r="D11721" s="8">
        <v>6.8000000000000005E-2</v>
      </c>
    </row>
    <row r="11722" spans="1:4">
      <c r="A11722" t="str">
        <f t="shared" si="192"/>
        <v>2001Treynor Ratio</v>
      </c>
      <c r="B11722">
        <v>2001</v>
      </c>
      <c r="C11722" s="19" t="s">
        <v>39</v>
      </c>
      <c r="D11722" s="8">
        <v>0.51600000000000001</v>
      </c>
    </row>
    <row r="11723" spans="1:4">
      <c r="A11723" t="str">
        <f t="shared" si="192"/>
        <v>2001Total Fees</v>
      </c>
      <c r="B11723">
        <v>2001</v>
      </c>
      <c r="C11723" s="19" t="s">
        <v>40</v>
      </c>
      <c r="D11723" s="8">
        <v>0</v>
      </c>
    </row>
    <row r="11724" spans="1:4">
      <c r="A11724" t="str">
        <f t="shared" si="192"/>
        <v>2001Estimated Strategy Capacity</v>
      </c>
      <c r="B11724">
        <v>2001</v>
      </c>
      <c r="C11724" s="19" t="s">
        <v>41</v>
      </c>
      <c r="D11724" s="8">
        <v>2300000000</v>
      </c>
    </row>
    <row r="11725" spans="1:4">
      <c r="A11725" t="str">
        <f t="shared" si="192"/>
        <v>2002PSR</v>
      </c>
      <c r="B11725">
        <v>2002</v>
      </c>
      <c r="C11725" s="9" t="s">
        <v>27</v>
      </c>
      <c r="D11725" s="8">
        <v>5.611E-2</v>
      </c>
    </row>
    <row r="11726" spans="1:4">
      <c r="A11726" t="str">
        <f t="shared" si="192"/>
        <v>2002Sharpe Ratio</v>
      </c>
      <c r="B11726">
        <v>2002</v>
      </c>
      <c r="C11726" s="9" t="s">
        <v>1</v>
      </c>
      <c r="D11726" s="8">
        <v>-0.59899999999999998</v>
      </c>
    </row>
    <row r="11727" spans="1:4">
      <c r="A11727" t="str">
        <f t="shared" si="192"/>
        <v>2002Total Trades</v>
      </c>
      <c r="B11727">
        <v>2002</v>
      </c>
      <c r="C11727" s="9" t="s">
        <v>28</v>
      </c>
      <c r="D11727" s="8">
        <v>822</v>
      </c>
    </row>
    <row r="11728" spans="1:4">
      <c r="A11728" t="str">
        <f t="shared" si="192"/>
        <v>2002Average Win</v>
      </c>
      <c r="B11728">
        <v>2002</v>
      </c>
      <c r="C11728" s="9" t="s">
        <v>25</v>
      </c>
      <c r="D11728" s="8">
        <v>5.9999999999999995E-4</v>
      </c>
    </row>
    <row r="11729" spans="1:4">
      <c r="A11729" t="str">
        <f t="shared" si="192"/>
        <v>2002Average Loss</v>
      </c>
      <c r="B11729">
        <v>2002</v>
      </c>
      <c r="C11729" s="9" t="s">
        <v>29</v>
      </c>
      <c r="D11729" s="8">
        <v>-1.1999999999999999E-3</v>
      </c>
    </row>
    <row r="11730" spans="1:4">
      <c r="A11730" t="str">
        <f t="shared" si="192"/>
        <v>2002Compounding Annual Return</v>
      </c>
      <c r="B11730">
        <v>2002</v>
      </c>
      <c r="C11730" s="9" t="s">
        <v>30</v>
      </c>
      <c r="D11730" s="8">
        <v>-1.694E-2</v>
      </c>
    </row>
    <row r="11731" spans="1:4">
      <c r="A11731" t="str">
        <f t="shared" ref="A11731:A11767" si="193">B11731&amp;C11731</f>
        <v>2002Drawdown</v>
      </c>
      <c r="B11731">
        <v>2002</v>
      </c>
      <c r="C11731" s="9" t="s">
        <v>8</v>
      </c>
      <c r="D11731" s="8">
        <v>3.5999999999999997E-2</v>
      </c>
    </row>
    <row r="11732" spans="1:4">
      <c r="A11732" t="str">
        <f t="shared" si="193"/>
        <v>2002Expectancy</v>
      </c>
      <c r="B11732">
        <v>2002</v>
      </c>
      <c r="C11732" s="9" t="s">
        <v>31</v>
      </c>
      <c r="D11732" s="8">
        <v>-7.3999999999999996E-2</v>
      </c>
    </row>
    <row r="11733" spans="1:4">
      <c r="A11733" t="str">
        <f t="shared" si="193"/>
        <v>2002Net Profit</v>
      </c>
      <c r="B11733">
        <v>2002</v>
      </c>
      <c r="C11733" s="9" t="s">
        <v>32</v>
      </c>
      <c r="D11733" s="8">
        <v>-1.136E-2</v>
      </c>
    </row>
    <row r="11734" spans="1:4">
      <c r="A11734" t="str">
        <f t="shared" si="193"/>
        <v>2002Loss Rate</v>
      </c>
      <c r="B11734">
        <v>2002</v>
      </c>
      <c r="C11734" s="9" t="s">
        <v>33</v>
      </c>
      <c r="D11734" s="8">
        <v>0.37</v>
      </c>
    </row>
    <row r="11735" spans="1:4">
      <c r="A11735" t="str">
        <f t="shared" si="193"/>
        <v>2002Win Rate</v>
      </c>
      <c r="B11735">
        <v>2002</v>
      </c>
      <c r="C11735" s="9" t="s">
        <v>34</v>
      </c>
      <c r="D11735" s="8">
        <v>0.63</v>
      </c>
    </row>
    <row r="11736" spans="1:4">
      <c r="A11736" t="str">
        <f t="shared" si="193"/>
        <v>2002Profit-Loss Ratio</v>
      </c>
      <c r="B11736">
        <v>2002</v>
      </c>
      <c r="C11736" s="9" t="s">
        <v>26</v>
      </c>
      <c r="D11736" s="8">
        <v>0.48</v>
      </c>
    </row>
    <row r="11737" spans="1:4">
      <c r="A11737" t="str">
        <f t="shared" si="193"/>
        <v>2002Alpha</v>
      </c>
      <c r="B11737">
        <v>2002</v>
      </c>
      <c r="C11737" s="9" t="s">
        <v>23</v>
      </c>
      <c r="D11737" s="8">
        <v>-1.2E-2</v>
      </c>
    </row>
    <row r="11738" spans="1:4">
      <c r="A11738" t="str">
        <f t="shared" si="193"/>
        <v>2002Beta</v>
      </c>
      <c r="B11738">
        <v>2002</v>
      </c>
      <c r="C11738" s="9" t="s">
        <v>24</v>
      </c>
      <c r="D11738" s="8">
        <v>0</v>
      </c>
    </row>
    <row r="11739" spans="1:4">
      <c r="A11739" t="str">
        <f t="shared" si="193"/>
        <v>2002Annual Standard Deviation</v>
      </c>
      <c r="B11739">
        <v>2002</v>
      </c>
      <c r="C11739" s="9" t="s">
        <v>35</v>
      </c>
      <c r="D11739" s="8">
        <v>1.9E-2</v>
      </c>
    </row>
    <row r="11740" spans="1:4">
      <c r="A11740" t="str">
        <f t="shared" si="193"/>
        <v>2002Annual Variance</v>
      </c>
      <c r="B11740">
        <v>2002</v>
      </c>
      <c r="C11740" s="9" t="s">
        <v>36</v>
      </c>
      <c r="D11740" s="8">
        <v>0</v>
      </c>
    </row>
    <row r="11741" spans="1:4">
      <c r="A11741" t="str">
        <f t="shared" si="193"/>
        <v>2002Information Ratio</v>
      </c>
      <c r="B11741">
        <v>2002</v>
      </c>
      <c r="C11741" s="9" t="s">
        <v>37</v>
      </c>
      <c r="D11741" s="8">
        <v>-0.86799999999999999</v>
      </c>
    </row>
    <row r="11742" spans="1:4">
      <c r="A11742" t="str">
        <f t="shared" si="193"/>
        <v>2002Tracking Error</v>
      </c>
      <c r="B11742">
        <v>2002</v>
      </c>
      <c r="C11742" s="9" t="s">
        <v>38</v>
      </c>
      <c r="D11742" s="8">
        <v>7.0000000000000007E-2</v>
      </c>
    </row>
    <row r="11743" spans="1:4">
      <c r="A11743" t="str">
        <f t="shared" si="193"/>
        <v>2002Treynor Ratio</v>
      </c>
      <c r="B11743">
        <v>2002</v>
      </c>
      <c r="C11743" s="9" t="s">
        <v>39</v>
      </c>
      <c r="D11743" s="8">
        <v>-35.96</v>
      </c>
    </row>
    <row r="11744" spans="1:4">
      <c r="A11744" t="str">
        <f t="shared" si="193"/>
        <v>2002Total Fees</v>
      </c>
      <c r="B11744">
        <v>2002</v>
      </c>
      <c r="C11744" s="9" t="s">
        <v>40</v>
      </c>
      <c r="D11744" s="8">
        <v>0</v>
      </c>
    </row>
    <row r="11745" spans="1:4">
      <c r="A11745" t="str">
        <f t="shared" si="193"/>
        <v>2002Estimated Strategy Capacity</v>
      </c>
      <c r="B11745">
        <v>2002</v>
      </c>
      <c r="C11745" s="9" t="s">
        <v>41</v>
      </c>
      <c r="D11745" s="8">
        <v>240000000</v>
      </c>
    </row>
    <row r="11746" spans="1:4">
      <c r="A11746" t="str">
        <f t="shared" si="193"/>
        <v>2003PSR</v>
      </c>
      <c r="B11746">
        <v>2003</v>
      </c>
      <c r="C11746" s="9" t="s">
        <v>27</v>
      </c>
      <c r="D11746" s="8">
        <v>2.307E-2</v>
      </c>
    </row>
    <row r="11747" spans="1:4">
      <c r="A11747" t="str">
        <f t="shared" si="193"/>
        <v>2003Sharpe Ratio</v>
      </c>
      <c r="B11747">
        <v>2003</v>
      </c>
      <c r="C11747" s="9" t="s">
        <v>1</v>
      </c>
      <c r="D11747" s="8">
        <v>-1.018</v>
      </c>
    </row>
    <row r="11748" spans="1:4">
      <c r="A11748" t="str">
        <f t="shared" si="193"/>
        <v>2003Total Trades</v>
      </c>
      <c r="B11748">
        <v>2003</v>
      </c>
      <c r="C11748" s="9" t="s">
        <v>28</v>
      </c>
      <c r="D11748" s="8">
        <v>627</v>
      </c>
    </row>
    <row r="11749" spans="1:4">
      <c r="A11749" t="str">
        <f t="shared" si="193"/>
        <v>2003Average Win</v>
      </c>
      <c r="B11749">
        <v>2003</v>
      </c>
      <c r="C11749" s="9" t="s">
        <v>25</v>
      </c>
      <c r="D11749" s="8">
        <v>8.0000000000000004E-4</v>
      </c>
    </row>
    <row r="11750" spans="1:4">
      <c r="A11750" t="str">
        <f t="shared" si="193"/>
        <v>2003Average Loss</v>
      </c>
      <c r="B11750">
        <v>2003</v>
      </c>
      <c r="C11750" s="9" t="s">
        <v>29</v>
      </c>
      <c r="D11750" s="8">
        <v>-1.6999999999999999E-3</v>
      </c>
    </row>
    <row r="11751" spans="1:4">
      <c r="A11751" t="str">
        <f t="shared" si="193"/>
        <v>2003Compounding Annual Return</v>
      </c>
      <c r="B11751">
        <v>2003</v>
      </c>
      <c r="C11751" s="9" t="s">
        <v>30</v>
      </c>
      <c r="D11751" s="8">
        <v>-3.492E-2</v>
      </c>
    </row>
    <row r="11752" spans="1:4">
      <c r="A11752" t="str">
        <f t="shared" si="193"/>
        <v>2003Drawdown</v>
      </c>
      <c r="B11752">
        <v>2003</v>
      </c>
      <c r="C11752" s="9" t="s">
        <v>8</v>
      </c>
      <c r="D11752" s="8">
        <v>5.0999999999999997E-2</v>
      </c>
    </row>
    <row r="11753" spans="1:4">
      <c r="A11753" t="str">
        <f t="shared" si="193"/>
        <v>2003Expectancy</v>
      </c>
      <c r="B11753">
        <v>2003</v>
      </c>
      <c r="C11753" s="9" t="s">
        <v>31</v>
      </c>
      <c r="D11753" s="8">
        <v>-0.125</v>
      </c>
    </row>
    <row r="11754" spans="1:4">
      <c r="A11754" t="str">
        <f t="shared" si="193"/>
        <v>2003Net Profit</v>
      </c>
      <c r="B11754">
        <v>2003</v>
      </c>
      <c r="C11754" s="9" t="s">
        <v>32</v>
      </c>
      <c r="D11754" s="8">
        <v>-2.3480000000000001E-2</v>
      </c>
    </row>
    <row r="11755" spans="1:4">
      <c r="A11755" t="str">
        <f t="shared" si="193"/>
        <v>2003Loss Rate</v>
      </c>
      <c r="B11755">
        <v>2003</v>
      </c>
      <c r="C11755" s="9" t="s">
        <v>33</v>
      </c>
      <c r="D11755" s="8">
        <v>0.42</v>
      </c>
    </row>
    <row r="11756" spans="1:4">
      <c r="A11756" t="str">
        <f t="shared" si="193"/>
        <v>2003Win Rate</v>
      </c>
      <c r="B11756">
        <v>2003</v>
      </c>
      <c r="C11756" s="9" t="s">
        <v>34</v>
      </c>
      <c r="D11756" s="8">
        <v>0.57999999999999996</v>
      </c>
    </row>
    <row r="11757" spans="1:4">
      <c r="A11757" t="str">
        <f t="shared" si="193"/>
        <v>2003Profit-Loss Ratio</v>
      </c>
      <c r="B11757">
        <v>2003</v>
      </c>
      <c r="C11757" s="9" t="s">
        <v>26</v>
      </c>
      <c r="D11757" s="8">
        <v>0.5</v>
      </c>
    </row>
    <row r="11758" spans="1:4">
      <c r="A11758" t="str">
        <f t="shared" si="193"/>
        <v>2003Alpha</v>
      </c>
      <c r="B11758">
        <v>2003</v>
      </c>
      <c r="C11758" s="9" t="s">
        <v>23</v>
      </c>
      <c r="D11758" s="8">
        <v>-2.4E-2</v>
      </c>
    </row>
    <row r="11759" spans="1:4">
      <c r="A11759" t="str">
        <f t="shared" si="193"/>
        <v>2003Beta</v>
      </c>
      <c r="B11759">
        <v>2003</v>
      </c>
      <c r="C11759" s="9" t="s">
        <v>24</v>
      </c>
      <c r="D11759" s="8">
        <v>-2E-3</v>
      </c>
    </row>
    <row r="11760" spans="1:4">
      <c r="A11760" t="str">
        <f t="shared" si="193"/>
        <v>2003Annual Standard Deviation</v>
      </c>
      <c r="B11760">
        <v>2003</v>
      </c>
      <c r="C11760" s="9" t="s">
        <v>35</v>
      </c>
      <c r="D11760" s="8">
        <v>2.4E-2</v>
      </c>
    </row>
    <row r="11761" spans="1:4">
      <c r="A11761" t="str">
        <f t="shared" si="193"/>
        <v>2003Annual Variance</v>
      </c>
      <c r="B11761">
        <v>2003</v>
      </c>
      <c r="C11761" s="9" t="s">
        <v>36</v>
      </c>
      <c r="D11761" s="8">
        <v>1E-3</v>
      </c>
    </row>
    <row r="11762" spans="1:4">
      <c r="A11762" t="str">
        <f t="shared" si="193"/>
        <v>2003Information Ratio</v>
      </c>
      <c r="B11762">
        <v>2003</v>
      </c>
      <c r="C11762" s="9" t="s">
        <v>37</v>
      </c>
      <c r="D11762" s="8">
        <v>-1.0249999999999999</v>
      </c>
    </row>
    <row r="11763" spans="1:4">
      <c r="A11763" t="str">
        <f t="shared" si="193"/>
        <v>2003Tracking Error</v>
      </c>
      <c r="B11763">
        <v>2003</v>
      </c>
      <c r="C11763" s="9" t="s">
        <v>38</v>
      </c>
      <c r="D11763" s="8">
        <v>7.0999999999999994E-2</v>
      </c>
    </row>
    <row r="11764" spans="1:4">
      <c r="A11764" t="str">
        <f t="shared" si="193"/>
        <v>2003Treynor Ratio</v>
      </c>
      <c r="B11764">
        <v>2003</v>
      </c>
      <c r="C11764" s="9" t="s">
        <v>39</v>
      </c>
      <c r="D11764" s="8">
        <v>10.906000000000001</v>
      </c>
    </row>
    <row r="11765" spans="1:4">
      <c r="A11765" t="str">
        <f t="shared" si="193"/>
        <v>2003Total Fees</v>
      </c>
      <c r="B11765">
        <v>2003</v>
      </c>
      <c r="C11765" s="9" t="s">
        <v>40</v>
      </c>
      <c r="D11765" s="8">
        <v>0</v>
      </c>
    </row>
    <row r="11766" spans="1:4">
      <c r="A11766" t="str">
        <f t="shared" si="193"/>
        <v>2003Estimated Strategy Capacity</v>
      </c>
      <c r="B11766">
        <v>2003</v>
      </c>
      <c r="C11766" s="9" t="s">
        <v>41</v>
      </c>
      <c r="D11766" s="8">
        <v>52000000</v>
      </c>
    </row>
    <row r="11767" spans="1:4">
      <c r="A11767" t="str">
        <f t="shared" si="193"/>
        <v>2004PSR</v>
      </c>
      <c r="B11767">
        <v>2004</v>
      </c>
      <c r="C11767" s="9" t="s">
        <v>27</v>
      </c>
      <c r="D11767" s="8">
        <v>2.0000000000000002E-5</v>
      </c>
    </row>
    <row r="11768" spans="1:4">
      <c r="A11768" t="str">
        <f t="shared" ref="A11768:A11831" si="194">B11768&amp;C11768</f>
        <v>2004Sharpe Ratio</v>
      </c>
      <c r="B11768">
        <v>2004</v>
      </c>
      <c r="C11768" s="9" t="s">
        <v>1</v>
      </c>
      <c r="D11768" s="8">
        <v>-2.085</v>
      </c>
    </row>
    <row r="11769" spans="1:4">
      <c r="A11769" t="str">
        <f t="shared" si="194"/>
        <v>2004Total Trades</v>
      </c>
      <c r="B11769">
        <v>2004</v>
      </c>
      <c r="C11769" s="9" t="s">
        <v>28</v>
      </c>
      <c r="D11769" s="8">
        <v>1163</v>
      </c>
    </row>
    <row r="11770" spans="1:4">
      <c r="A11770" t="str">
        <f t="shared" si="194"/>
        <v>2004Average Win</v>
      </c>
      <c r="B11770">
        <v>2004</v>
      </c>
      <c r="C11770" s="9" t="s">
        <v>25</v>
      </c>
      <c r="D11770" s="8">
        <v>1E-4</v>
      </c>
    </row>
    <row r="11771" spans="1:4">
      <c r="A11771" t="str">
        <f t="shared" si="194"/>
        <v>2004Average Loss</v>
      </c>
      <c r="B11771">
        <v>2004</v>
      </c>
      <c r="C11771" s="9" t="s">
        <v>29</v>
      </c>
      <c r="D11771" s="8">
        <v>-4.0000000000000002E-4</v>
      </c>
    </row>
    <row r="11772" spans="1:4">
      <c r="A11772" t="str">
        <f t="shared" si="194"/>
        <v>2004Compounding Annual Return</v>
      </c>
      <c r="B11772">
        <v>2004</v>
      </c>
      <c r="C11772" s="9" t="s">
        <v>30</v>
      </c>
      <c r="D11772" s="8">
        <v>-1.9890000000000001E-2</v>
      </c>
    </row>
    <row r="11773" spans="1:4">
      <c r="A11773" t="str">
        <f t="shared" si="194"/>
        <v>2004Drawdown</v>
      </c>
      <c r="B11773">
        <v>2004</v>
      </c>
      <c r="C11773" s="9" t="s">
        <v>8</v>
      </c>
      <c r="D11773" s="8">
        <v>1.4E-2</v>
      </c>
    </row>
    <row r="11774" spans="1:4">
      <c r="A11774" t="str">
        <f t="shared" si="194"/>
        <v>2004Expectancy</v>
      </c>
      <c r="B11774">
        <v>2004</v>
      </c>
      <c r="C11774" s="9" t="s">
        <v>31</v>
      </c>
      <c r="D11774" s="8">
        <v>-0.255</v>
      </c>
    </row>
    <row r="11775" spans="1:4">
      <c r="A11775" t="str">
        <f t="shared" si="194"/>
        <v>2004Net Profit</v>
      </c>
      <c r="B11775">
        <v>2004</v>
      </c>
      <c r="C11775" s="9" t="s">
        <v>32</v>
      </c>
      <c r="D11775" s="8">
        <v>-1.3339999999999999E-2</v>
      </c>
    </row>
    <row r="11776" spans="1:4">
      <c r="A11776" t="str">
        <f t="shared" si="194"/>
        <v>2004Loss Rate</v>
      </c>
      <c r="B11776">
        <v>2004</v>
      </c>
      <c r="C11776" s="9" t="s">
        <v>33</v>
      </c>
      <c r="D11776" s="8">
        <v>0.39</v>
      </c>
    </row>
    <row r="11777" spans="1:4">
      <c r="A11777" t="str">
        <f t="shared" si="194"/>
        <v>2004Win Rate</v>
      </c>
      <c r="B11777">
        <v>2004</v>
      </c>
      <c r="C11777" s="9" t="s">
        <v>34</v>
      </c>
      <c r="D11777" s="8">
        <v>0.61</v>
      </c>
    </row>
    <row r="11778" spans="1:4">
      <c r="A11778" t="str">
        <f t="shared" si="194"/>
        <v>2004Profit-Loss Ratio</v>
      </c>
      <c r="B11778">
        <v>2004</v>
      </c>
      <c r="C11778" s="9" t="s">
        <v>26</v>
      </c>
      <c r="D11778" s="8">
        <v>0.23</v>
      </c>
    </row>
    <row r="11779" spans="1:4">
      <c r="A11779" t="str">
        <f t="shared" si="194"/>
        <v>2004Alpha</v>
      </c>
      <c r="B11779">
        <v>2004</v>
      </c>
      <c r="C11779" s="9" t="s">
        <v>23</v>
      </c>
      <c r="D11779" s="8">
        <v>-1.4E-2</v>
      </c>
    </row>
    <row r="11780" spans="1:4">
      <c r="A11780" t="str">
        <f t="shared" si="194"/>
        <v>2004Beta</v>
      </c>
      <c r="B11780">
        <v>2004</v>
      </c>
      <c r="C11780" s="9" t="s">
        <v>24</v>
      </c>
      <c r="D11780" s="8">
        <v>4.0000000000000001E-3</v>
      </c>
    </row>
    <row r="11781" spans="1:4">
      <c r="A11781" t="str">
        <f t="shared" si="194"/>
        <v>2004Annual Standard Deviation</v>
      </c>
      <c r="B11781">
        <v>2004</v>
      </c>
      <c r="C11781" s="9" t="s">
        <v>35</v>
      </c>
      <c r="D11781" s="8">
        <v>7.0000000000000001E-3</v>
      </c>
    </row>
    <row r="11782" spans="1:4">
      <c r="A11782" t="str">
        <f t="shared" si="194"/>
        <v>2004Annual Variance</v>
      </c>
      <c r="B11782">
        <v>2004</v>
      </c>
      <c r="C11782" s="9" t="s">
        <v>36</v>
      </c>
      <c r="D11782" s="8">
        <v>0</v>
      </c>
    </row>
    <row r="11783" spans="1:4">
      <c r="A11783" t="str">
        <f t="shared" si="194"/>
        <v>2004Information Ratio</v>
      </c>
      <c r="B11783">
        <v>2004</v>
      </c>
      <c r="C11783" s="9" t="s">
        <v>37</v>
      </c>
      <c r="D11783" s="8">
        <v>-0.93500000000000005</v>
      </c>
    </row>
    <row r="11784" spans="1:4">
      <c r="A11784" t="str">
        <f t="shared" si="194"/>
        <v>2004Tracking Error</v>
      </c>
      <c r="B11784">
        <v>2004</v>
      </c>
      <c r="C11784" s="9" t="s">
        <v>38</v>
      </c>
      <c r="D11784" s="8">
        <v>6.7000000000000004E-2</v>
      </c>
    </row>
    <row r="11785" spans="1:4">
      <c r="A11785" t="str">
        <f t="shared" si="194"/>
        <v>2004Treynor Ratio</v>
      </c>
      <c r="B11785">
        <v>2004</v>
      </c>
      <c r="C11785" s="9" t="s">
        <v>39</v>
      </c>
      <c r="D11785" s="8">
        <v>-3.8809999999999998</v>
      </c>
    </row>
    <row r="11786" spans="1:4">
      <c r="A11786" t="str">
        <f t="shared" si="194"/>
        <v>2004Total Fees</v>
      </c>
      <c r="B11786">
        <v>2004</v>
      </c>
      <c r="C11786" s="9" t="s">
        <v>40</v>
      </c>
      <c r="D11786" s="8">
        <v>0</v>
      </c>
    </row>
    <row r="11787" spans="1:4">
      <c r="A11787" t="str">
        <f t="shared" si="194"/>
        <v>2004Estimated Strategy Capacity</v>
      </c>
      <c r="B11787">
        <v>2004</v>
      </c>
      <c r="C11787" s="9" t="s">
        <v>41</v>
      </c>
      <c r="D11787" s="8">
        <v>31000000</v>
      </c>
    </row>
    <row r="11788" spans="1:4">
      <c r="A11788" t="str">
        <f t="shared" si="194"/>
        <v>2005PSR</v>
      </c>
      <c r="B11788">
        <v>2005</v>
      </c>
      <c r="C11788" s="9" t="s">
        <v>27</v>
      </c>
      <c r="D11788" s="8">
        <v>1.6000000000000001E-4</v>
      </c>
    </row>
    <row r="11789" spans="1:4">
      <c r="A11789" t="str">
        <f t="shared" si="194"/>
        <v>2005Sharpe Ratio</v>
      </c>
      <c r="B11789">
        <v>2005</v>
      </c>
      <c r="C11789" s="9" t="s">
        <v>1</v>
      </c>
      <c r="D11789" s="8">
        <v>-2.0830000000000002</v>
      </c>
    </row>
    <row r="11790" spans="1:4">
      <c r="A11790" t="str">
        <f t="shared" si="194"/>
        <v>2005Total Trades</v>
      </c>
      <c r="B11790">
        <v>2005</v>
      </c>
      <c r="C11790" s="9" t="s">
        <v>28</v>
      </c>
      <c r="D11790" s="8">
        <v>913</v>
      </c>
    </row>
    <row r="11791" spans="1:4">
      <c r="A11791" t="str">
        <f t="shared" si="194"/>
        <v>2005Average Win</v>
      </c>
      <c r="B11791">
        <v>2005</v>
      </c>
      <c r="C11791" s="9" t="s">
        <v>25</v>
      </c>
      <c r="D11791" s="8">
        <v>2.9999999999999997E-4</v>
      </c>
    </row>
    <row r="11792" spans="1:4">
      <c r="A11792" t="str">
        <f t="shared" si="194"/>
        <v>2005Average Loss</v>
      </c>
      <c r="B11792">
        <v>2005</v>
      </c>
      <c r="C11792" s="9" t="s">
        <v>29</v>
      </c>
      <c r="D11792" s="8">
        <v>-1.1999999999999999E-3</v>
      </c>
    </row>
    <row r="11793" spans="1:4">
      <c r="A11793" t="str">
        <f t="shared" si="194"/>
        <v>2005Compounding Annual Return</v>
      </c>
      <c r="B11793">
        <v>2005</v>
      </c>
      <c r="C11793" s="9" t="s">
        <v>30</v>
      </c>
      <c r="D11793" s="8">
        <v>-5.8749999999999997E-2</v>
      </c>
    </row>
    <row r="11794" spans="1:4">
      <c r="A11794" t="str">
        <f t="shared" si="194"/>
        <v>2005Drawdown</v>
      </c>
      <c r="B11794">
        <v>2005</v>
      </c>
      <c r="C11794" s="9" t="s">
        <v>8</v>
      </c>
      <c r="D11794" s="8">
        <v>4.2000000000000003E-2</v>
      </c>
    </row>
    <row r="11795" spans="1:4">
      <c r="A11795" t="str">
        <f t="shared" si="194"/>
        <v>2005Expectancy</v>
      </c>
      <c r="B11795">
        <v>2005</v>
      </c>
      <c r="C11795" s="9" t="s">
        <v>31</v>
      </c>
      <c r="D11795" s="8">
        <v>-0.24</v>
      </c>
    </row>
    <row r="11796" spans="1:4">
      <c r="A11796" t="str">
        <f t="shared" si="194"/>
        <v>2005Net Profit</v>
      </c>
      <c r="B11796">
        <v>2005</v>
      </c>
      <c r="C11796" s="9" t="s">
        <v>32</v>
      </c>
      <c r="D11796" s="8">
        <v>-3.9660000000000001E-2</v>
      </c>
    </row>
    <row r="11797" spans="1:4">
      <c r="A11797" t="str">
        <f t="shared" si="194"/>
        <v>2005Loss Rate</v>
      </c>
      <c r="B11797">
        <v>2005</v>
      </c>
      <c r="C11797" s="9" t="s">
        <v>33</v>
      </c>
      <c r="D11797" s="8">
        <v>0.39</v>
      </c>
    </row>
    <row r="11798" spans="1:4">
      <c r="A11798" t="str">
        <f t="shared" si="194"/>
        <v>2005Win Rate</v>
      </c>
      <c r="B11798">
        <v>2005</v>
      </c>
      <c r="C11798" s="9" t="s">
        <v>34</v>
      </c>
      <c r="D11798" s="8">
        <v>0.61</v>
      </c>
    </row>
    <row r="11799" spans="1:4">
      <c r="A11799" t="str">
        <f t="shared" si="194"/>
        <v>2005Profit-Loss Ratio</v>
      </c>
      <c r="B11799">
        <v>2005</v>
      </c>
      <c r="C11799" s="9" t="s">
        <v>26</v>
      </c>
      <c r="D11799" s="8">
        <v>0.24</v>
      </c>
    </row>
    <row r="11800" spans="1:4">
      <c r="A11800" t="str">
        <f t="shared" si="194"/>
        <v>2005Alpha</v>
      </c>
      <c r="B11800">
        <v>2005</v>
      </c>
      <c r="C11800" s="9" t="s">
        <v>23</v>
      </c>
      <c r="D11800" s="8">
        <v>-4.1000000000000002E-2</v>
      </c>
    </row>
    <row r="11801" spans="1:4">
      <c r="A11801" t="str">
        <f t="shared" si="194"/>
        <v>2005Beta</v>
      </c>
      <c r="B11801">
        <v>2005</v>
      </c>
      <c r="C11801" s="9" t="s">
        <v>24</v>
      </c>
      <c r="D11801" s="8">
        <v>-5.0000000000000001E-3</v>
      </c>
    </row>
    <row r="11802" spans="1:4">
      <c r="A11802" t="str">
        <f t="shared" si="194"/>
        <v>2005Annual Standard Deviation</v>
      </c>
      <c r="B11802">
        <v>2005</v>
      </c>
      <c r="C11802" s="9" t="s">
        <v>35</v>
      </c>
      <c r="D11802" s="8">
        <v>0.02</v>
      </c>
    </row>
    <row r="11803" spans="1:4">
      <c r="A11803" t="str">
        <f t="shared" si="194"/>
        <v>2005Annual Variance</v>
      </c>
      <c r="B11803">
        <v>2005</v>
      </c>
      <c r="C11803" s="9" t="s">
        <v>36</v>
      </c>
      <c r="D11803" s="8">
        <v>0</v>
      </c>
    </row>
    <row r="11804" spans="1:4">
      <c r="A11804" t="str">
        <f t="shared" si="194"/>
        <v>2005Information Ratio</v>
      </c>
      <c r="B11804">
        <v>2005</v>
      </c>
      <c r="C11804" s="9" t="s">
        <v>37</v>
      </c>
      <c r="D11804" s="8">
        <v>-1.28</v>
      </c>
    </row>
    <row r="11805" spans="1:4">
      <c r="A11805" t="str">
        <f t="shared" si="194"/>
        <v>2005Tracking Error</v>
      </c>
      <c r="B11805">
        <v>2005</v>
      </c>
      <c r="C11805" s="9" t="s">
        <v>38</v>
      </c>
      <c r="D11805" s="8">
        <v>7.0000000000000007E-2</v>
      </c>
    </row>
    <row r="11806" spans="1:4">
      <c r="A11806" t="str">
        <f t="shared" si="194"/>
        <v>2005Treynor Ratio</v>
      </c>
      <c r="B11806">
        <v>2005</v>
      </c>
      <c r="C11806" s="9" t="s">
        <v>39</v>
      </c>
      <c r="D11806" s="8">
        <v>7.6210000000000004</v>
      </c>
    </row>
    <row r="11807" spans="1:4">
      <c r="A11807" t="str">
        <f t="shared" si="194"/>
        <v>2005Total Fees</v>
      </c>
      <c r="B11807">
        <v>2005</v>
      </c>
      <c r="C11807" s="9" t="s">
        <v>40</v>
      </c>
      <c r="D11807" s="8">
        <v>0</v>
      </c>
    </row>
    <row r="11808" spans="1:4">
      <c r="A11808" t="str">
        <f t="shared" si="194"/>
        <v>2005Estimated Strategy Capacity</v>
      </c>
      <c r="B11808">
        <v>2005</v>
      </c>
      <c r="C11808" s="9" t="s">
        <v>41</v>
      </c>
      <c r="D11808" s="8">
        <v>7400000</v>
      </c>
    </row>
    <row r="11809" spans="1:4">
      <c r="A11809" t="str">
        <f t="shared" si="194"/>
        <v>2006PSR</v>
      </c>
      <c r="B11809">
        <v>2006</v>
      </c>
      <c r="C11809" s="9" t="s">
        <v>27</v>
      </c>
      <c r="D11809" s="8">
        <v>7.2000000000000005E-4</v>
      </c>
    </row>
    <row r="11810" spans="1:4">
      <c r="A11810" t="str">
        <f t="shared" si="194"/>
        <v>2006Sharpe Ratio</v>
      </c>
      <c r="B11810">
        <v>2006</v>
      </c>
      <c r="C11810" s="9" t="s">
        <v>1</v>
      </c>
      <c r="D11810" s="8">
        <v>-2.0089999999999999</v>
      </c>
    </row>
    <row r="11811" spans="1:4">
      <c r="A11811" t="str">
        <f t="shared" si="194"/>
        <v>2006Total Trades</v>
      </c>
      <c r="B11811">
        <v>2006</v>
      </c>
      <c r="C11811" s="9" t="s">
        <v>28</v>
      </c>
      <c r="D11811" s="8">
        <v>702</v>
      </c>
    </row>
    <row r="11812" spans="1:4">
      <c r="A11812" t="str">
        <f t="shared" si="194"/>
        <v>2006Average Win</v>
      </c>
      <c r="B11812">
        <v>2006</v>
      </c>
      <c r="C11812" s="9" t="s">
        <v>25</v>
      </c>
      <c r="D11812" s="8">
        <v>5.0000000000000001E-4</v>
      </c>
    </row>
    <row r="11813" spans="1:4">
      <c r="A11813" t="str">
        <f t="shared" si="194"/>
        <v>2006Average Loss</v>
      </c>
      <c r="B11813">
        <v>2006</v>
      </c>
      <c r="C11813" s="9" t="s">
        <v>29</v>
      </c>
      <c r="D11813" s="8">
        <v>-1.6999999999999999E-3</v>
      </c>
    </row>
    <row r="11814" spans="1:4">
      <c r="A11814" t="str">
        <f t="shared" si="194"/>
        <v>2006Compounding Annual Return</v>
      </c>
      <c r="B11814">
        <v>2006</v>
      </c>
      <c r="C11814" s="9" t="s">
        <v>30</v>
      </c>
      <c r="D11814" s="8">
        <v>-7.5240000000000001E-2</v>
      </c>
    </row>
    <row r="11815" spans="1:4">
      <c r="A11815" t="str">
        <f t="shared" si="194"/>
        <v>2006Drawdown</v>
      </c>
      <c r="B11815">
        <v>2006</v>
      </c>
      <c r="C11815" s="9" t="s">
        <v>8</v>
      </c>
      <c r="D11815" s="8">
        <v>5.8000000000000003E-2</v>
      </c>
    </row>
    <row r="11816" spans="1:4">
      <c r="A11816" t="str">
        <f t="shared" si="194"/>
        <v>2006Expectancy</v>
      </c>
      <c r="B11816">
        <v>2006</v>
      </c>
      <c r="C11816" s="9" t="s">
        <v>31</v>
      </c>
      <c r="D11816" s="8">
        <v>-0.23499999999999999</v>
      </c>
    </row>
    <row r="11817" spans="1:4">
      <c r="A11817" t="str">
        <f t="shared" si="194"/>
        <v>2006Net Profit</v>
      </c>
      <c r="B11817">
        <v>2006</v>
      </c>
      <c r="C11817" s="9" t="s">
        <v>32</v>
      </c>
      <c r="D11817" s="8">
        <v>-5.0939999999999999E-2</v>
      </c>
    </row>
    <row r="11818" spans="1:4">
      <c r="A11818" t="str">
        <f t="shared" si="194"/>
        <v>2006Loss Rate</v>
      </c>
      <c r="B11818">
        <v>2006</v>
      </c>
      <c r="C11818" s="9" t="s">
        <v>33</v>
      </c>
      <c r="D11818" s="8">
        <v>0.41</v>
      </c>
    </row>
    <row r="11819" spans="1:4">
      <c r="A11819" t="str">
        <f t="shared" si="194"/>
        <v>2006Win Rate</v>
      </c>
      <c r="B11819">
        <v>2006</v>
      </c>
      <c r="C11819" s="9" t="s">
        <v>34</v>
      </c>
      <c r="D11819" s="8">
        <v>0.59</v>
      </c>
    </row>
    <row r="11820" spans="1:4">
      <c r="A11820" t="str">
        <f t="shared" si="194"/>
        <v>2006Profit-Loss Ratio</v>
      </c>
      <c r="B11820">
        <v>2006</v>
      </c>
      <c r="C11820" s="9" t="s">
        <v>26</v>
      </c>
      <c r="D11820" s="8">
        <v>0.3</v>
      </c>
    </row>
    <row r="11821" spans="1:4">
      <c r="A11821" t="str">
        <f t="shared" si="194"/>
        <v>2006Alpha</v>
      </c>
      <c r="B11821">
        <v>2006</v>
      </c>
      <c r="C11821" s="9" t="s">
        <v>23</v>
      </c>
      <c r="D11821" s="8">
        <v>-4.9000000000000002E-2</v>
      </c>
    </row>
    <row r="11822" spans="1:4">
      <c r="A11822" t="str">
        <f t="shared" si="194"/>
        <v>2006Beta</v>
      </c>
      <c r="B11822">
        <v>2006</v>
      </c>
      <c r="C11822" s="9" t="s">
        <v>24</v>
      </c>
      <c r="D11822" s="8">
        <v>-7.1999999999999995E-2</v>
      </c>
    </row>
    <row r="11823" spans="1:4">
      <c r="A11823" t="str">
        <f t="shared" si="194"/>
        <v>2006Annual Standard Deviation</v>
      </c>
      <c r="B11823">
        <v>2006</v>
      </c>
      <c r="C11823" s="9" t="s">
        <v>35</v>
      </c>
      <c r="D11823" s="8">
        <v>2.5999999999999999E-2</v>
      </c>
    </row>
    <row r="11824" spans="1:4">
      <c r="A11824" t="str">
        <f t="shared" si="194"/>
        <v>2006Annual Variance</v>
      </c>
      <c r="B11824">
        <v>2006</v>
      </c>
      <c r="C11824" s="9" t="s">
        <v>36</v>
      </c>
      <c r="D11824" s="8">
        <v>1E-3</v>
      </c>
    </row>
    <row r="11825" spans="1:4">
      <c r="A11825" t="str">
        <f t="shared" si="194"/>
        <v>2006Information Ratio</v>
      </c>
      <c r="B11825">
        <v>2006</v>
      </c>
      <c r="C11825" s="9" t="s">
        <v>37</v>
      </c>
      <c r="D11825" s="8">
        <v>-1.341</v>
      </c>
    </row>
    <row r="11826" spans="1:4">
      <c r="A11826" t="str">
        <f t="shared" si="194"/>
        <v>2006Tracking Error</v>
      </c>
      <c r="B11826">
        <v>2006</v>
      </c>
      <c r="C11826" s="9" t="s">
        <v>38</v>
      </c>
      <c r="D11826" s="8">
        <v>7.5999999999999998E-2</v>
      </c>
    </row>
    <row r="11827" spans="1:4">
      <c r="A11827" t="str">
        <f t="shared" si="194"/>
        <v>2006Treynor Ratio</v>
      </c>
      <c r="B11827">
        <v>2006</v>
      </c>
      <c r="C11827" s="9" t="s">
        <v>39</v>
      </c>
      <c r="D11827" s="8">
        <v>0.72799999999999998</v>
      </c>
    </row>
    <row r="11828" spans="1:4">
      <c r="A11828" t="str">
        <f t="shared" si="194"/>
        <v>2006Total Fees</v>
      </c>
      <c r="B11828">
        <v>2006</v>
      </c>
      <c r="C11828" s="9" t="s">
        <v>40</v>
      </c>
      <c r="D11828" s="8">
        <v>0</v>
      </c>
    </row>
    <row r="11829" spans="1:4">
      <c r="A11829" t="str">
        <f t="shared" si="194"/>
        <v>2006Estimated Strategy Capacity</v>
      </c>
      <c r="B11829">
        <v>2006</v>
      </c>
      <c r="C11829" s="9" t="s">
        <v>41</v>
      </c>
      <c r="D11829" s="8">
        <v>7200000</v>
      </c>
    </row>
    <row r="11830" spans="1:4">
      <c r="A11830" t="str">
        <f t="shared" si="194"/>
        <v>2007PSR</v>
      </c>
      <c r="B11830">
        <v>2007</v>
      </c>
      <c r="C11830" s="9" t="s">
        <v>27</v>
      </c>
      <c r="D11830" s="8">
        <v>4.2130000000000001E-2</v>
      </c>
    </row>
    <row r="11831" spans="1:4">
      <c r="A11831" t="str">
        <f t="shared" si="194"/>
        <v>2007Sharpe Ratio</v>
      </c>
      <c r="B11831">
        <v>2007</v>
      </c>
      <c r="C11831" s="9" t="s">
        <v>1</v>
      </c>
      <c r="D11831" s="8">
        <v>-0.77400000000000002</v>
      </c>
    </row>
    <row r="11832" spans="1:4">
      <c r="A11832" t="str">
        <f t="shared" ref="A11832:A11895" si="195">B11832&amp;C11832</f>
        <v>2007Total Trades</v>
      </c>
      <c r="B11832">
        <v>2007</v>
      </c>
      <c r="C11832" s="9" t="s">
        <v>28</v>
      </c>
      <c r="D11832" s="8">
        <v>893</v>
      </c>
    </row>
    <row r="11833" spans="1:4">
      <c r="A11833" t="str">
        <f t="shared" si="195"/>
        <v>2007Average Win</v>
      </c>
      <c r="B11833">
        <v>2007</v>
      </c>
      <c r="C11833" s="9" t="s">
        <v>25</v>
      </c>
      <c r="D11833" s="8">
        <v>2.0000000000000001E-4</v>
      </c>
    </row>
    <row r="11834" spans="1:4">
      <c r="A11834" t="str">
        <f t="shared" si="195"/>
        <v>2007Average Loss</v>
      </c>
      <c r="B11834">
        <v>2007</v>
      </c>
      <c r="C11834" s="9" t="s">
        <v>29</v>
      </c>
      <c r="D11834" s="8">
        <v>-4.0000000000000002E-4</v>
      </c>
    </row>
    <row r="11835" spans="1:4">
      <c r="A11835" t="str">
        <f t="shared" si="195"/>
        <v>2007Compounding Annual Return</v>
      </c>
      <c r="B11835">
        <v>2007</v>
      </c>
      <c r="C11835" s="9" t="s">
        <v>30</v>
      </c>
      <c r="D11835" s="8">
        <v>-8.3499999999999998E-3</v>
      </c>
    </row>
    <row r="11836" spans="1:4">
      <c r="A11836" t="str">
        <f t="shared" si="195"/>
        <v>2007Drawdown</v>
      </c>
      <c r="B11836">
        <v>2007</v>
      </c>
      <c r="C11836" s="9" t="s">
        <v>8</v>
      </c>
      <c r="D11836" s="8">
        <v>1.4E-2</v>
      </c>
    </row>
    <row r="11837" spans="1:4">
      <c r="A11837" t="str">
        <f t="shared" si="195"/>
        <v>2007Expectancy</v>
      </c>
      <c r="B11837">
        <v>2007</v>
      </c>
      <c r="C11837" s="9" t="s">
        <v>31</v>
      </c>
      <c r="D11837" s="8">
        <v>-0.11600000000000001</v>
      </c>
    </row>
    <row r="11838" spans="1:4">
      <c r="A11838" t="str">
        <f t="shared" si="195"/>
        <v>2007Net Profit</v>
      </c>
      <c r="B11838">
        <v>2007</v>
      </c>
      <c r="C11838" s="9" t="s">
        <v>32</v>
      </c>
      <c r="D11838" s="8">
        <v>-5.5900000000000004E-3</v>
      </c>
    </row>
    <row r="11839" spans="1:4">
      <c r="A11839" t="str">
        <f t="shared" si="195"/>
        <v>2007Loss Rate</v>
      </c>
      <c r="B11839">
        <v>2007</v>
      </c>
      <c r="C11839" s="9" t="s">
        <v>33</v>
      </c>
      <c r="D11839" s="8">
        <v>0.38</v>
      </c>
    </row>
    <row r="11840" spans="1:4">
      <c r="A11840" t="str">
        <f t="shared" si="195"/>
        <v>2007Win Rate</v>
      </c>
      <c r="B11840">
        <v>2007</v>
      </c>
      <c r="C11840" s="9" t="s">
        <v>34</v>
      </c>
      <c r="D11840" s="8">
        <v>0.62</v>
      </c>
    </row>
    <row r="11841" spans="1:4">
      <c r="A11841" t="str">
        <f t="shared" si="195"/>
        <v>2007Profit-Loss Ratio</v>
      </c>
      <c r="B11841">
        <v>2007</v>
      </c>
      <c r="C11841" s="9" t="s">
        <v>26</v>
      </c>
      <c r="D11841" s="8">
        <v>0.42</v>
      </c>
    </row>
    <row r="11842" spans="1:4">
      <c r="A11842" t="str">
        <f t="shared" si="195"/>
        <v>2007Alpha</v>
      </c>
      <c r="B11842">
        <v>2007</v>
      </c>
      <c r="C11842" s="9" t="s">
        <v>23</v>
      </c>
      <c r="D11842" s="8">
        <v>-5.0000000000000001E-3</v>
      </c>
    </row>
    <row r="11843" spans="1:4">
      <c r="A11843" t="str">
        <f t="shared" si="195"/>
        <v>2007Beta</v>
      </c>
      <c r="B11843">
        <v>2007</v>
      </c>
      <c r="C11843" s="9" t="s">
        <v>24</v>
      </c>
      <c r="D11843" s="8">
        <v>-7.0000000000000001E-3</v>
      </c>
    </row>
    <row r="11844" spans="1:4">
      <c r="A11844" t="str">
        <f t="shared" si="195"/>
        <v>2007Annual Standard Deviation</v>
      </c>
      <c r="B11844">
        <v>2007</v>
      </c>
      <c r="C11844" s="9" t="s">
        <v>35</v>
      </c>
      <c r="D11844" s="8">
        <v>7.0000000000000001E-3</v>
      </c>
    </row>
    <row r="11845" spans="1:4">
      <c r="A11845" t="str">
        <f t="shared" si="195"/>
        <v>2007Annual Variance</v>
      </c>
      <c r="B11845">
        <v>2007</v>
      </c>
      <c r="C11845" s="9" t="s">
        <v>36</v>
      </c>
      <c r="D11845" s="8">
        <v>0</v>
      </c>
    </row>
    <row r="11846" spans="1:4">
      <c r="A11846" t="str">
        <f t="shared" si="195"/>
        <v>2007Information Ratio</v>
      </c>
      <c r="B11846">
        <v>2007</v>
      </c>
      <c r="C11846" s="9" t="s">
        <v>37</v>
      </c>
      <c r="D11846" s="8">
        <v>-0.82099999999999995</v>
      </c>
    </row>
    <row r="11847" spans="1:4">
      <c r="A11847" t="str">
        <f t="shared" si="195"/>
        <v>2007Tracking Error</v>
      </c>
      <c r="B11847">
        <v>2007</v>
      </c>
      <c r="C11847" s="9" t="s">
        <v>38</v>
      </c>
      <c r="D11847" s="8">
        <v>6.8000000000000005E-2</v>
      </c>
    </row>
    <row r="11848" spans="1:4">
      <c r="A11848" t="str">
        <f t="shared" si="195"/>
        <v>2007Treynor Ratio</v>
      </c>
      <c r="B11848">
        <v>2007</v>
      </c>
      <c r="C11848" s="9" t="s">
        <v>39</v>
      </c>
      <c r="D11848" s="8">
        <v>0.85199999999999998</v>
      </c>
    </row>
    <row r="11849" spans="1:4">
      <c r="A11849" t="str">
        <f t="shared" si="195"/>
        <v>2007Total Fees</v>
      </c>
      <c r="B11849">
        <v>2007</v>
      </c>
      <c r="C11849" s="9" t="s">
        <v>40</v>
      </c>
      <c r="D11849" s="8">
        <v>0</v>
      </c>
    </row>
    <row r="11850" spans="1:4">
      <c r="A11850" t="str">
        <f t="shared" si="195"/>
        <v>2007Estimated Strategy Capacity</v>
      </c>
      <c r="B11850">
        <v>2007</v>
      </c>
      <c r="C11850" s="9" t="s">
        <v>41</v>
      </c>
      <c r="D11850" s="8">
        <v>7300000</v>
      </c>
    </row>
    <row r="11851" spans="1:4">
      <c r="A11851" t="str">
        <f t="shared" si="195"/>
        <v>2008PSR</v>
      </c>
      <c r="B11851">
        <v>2008</v>
      </c>
      <c r="C11851" s="9" t="s">
        <v>27</v>
      </c>
      <c r="D11851" s="8">
        <v>1.8679999999999999E-2</v>
      </c>
    </row>
    <row r="11852" spans="1:4">
      <c r="A11852" t="str">
        <f t="shared" si="195"/>
        <v>2008Sharpe Ratio</v>
      </c>
      <c r="B11852">
        <v>2008</v>
      </c>
      <c r="C11852" s="9" t="s">
        <v>1</v>
      </c>
      <c r="D11852" s="8">
        <v>-1.131</v>
      </c>
    </row>
    <row r="11853" spans="1:4">
      <c r="A11853" t="str">
        <f t="shared" si="195"/>
        <v>2008Total Trades</v>
      </c>
      <c r="B11853">
        <v>2008</v>
      </c>
      <c r="C11853" s="9" t="s">
        <v>28</v>
      </c>
      <c r="D11853" s="8">
        <v>721</v>
      </c>
    </row>
    <row r="11854" spans="1:4">
      <c r="A11854" t="str">
        <f t="shared" si="195"/>
        <v>2008Average Win</v>
      </c>
      <c r="B11854">
        <v>2008</v>
      </c>
      <c r="C11854" s="9" t="s">
        <v>25</v>
      </c>
      <c r="D11854" s="8">
        <v>5.0000000000000001E-4</v>
      </c>
    </row>
    <row r="11855" spans="1:4">
      <c r="A11855" t="str">
        <f t="shared" si="195"/>
        <v>2008Average Loss</v>
      </c>
      <c r="B11855">
        <v>2008</v>
      </c>
      <c r="C11855" s="9" t="s">
        <v>29</v>
      </c>
      <c r="D11855" s="8">
        <v>-1.1999999999999999E-3</v>
      </c>
    </row>
    <row r="11856" spans="1:4">
      <c r="A11856" t="str">
        <f t="shared" si="195"/>
        <v>2008Compounding Annual Return</v>
      </c>
      <c r="B11856">
        <v>2008</v>
      </c>
      <c r="C11856" s="9" t="s">
        <v>30</v>
      </c>
      <c r="D11856" s="8">
        <v>-3.065E-2</v>
      </c>
    </row>
    <row r="11857" spans="1:4">
      <c r="A11857" t="str">
        <f t="shared" si="195"/>
        <v>2008Drawdown</v>
      </c>
      <c r="B11857">
        <v>2008</v>
      </c>
      <c r="C11857" s="9" t="s">
        <v>8</v>
      </c>
      <c r="D11857" s="8">
        <v>3.4000000000000002E-2</v>
      </c>
    </row>
    <row r="11858" spans="1:4">
      <c r="A11858" t="str">
        <f t="shared" si="195"/>
        <v>2008Expectancy</v>
      </c>
      <c r="B11858">
        <v>2008</v>
      </c>
      <c r="C11858" s="9" t="s">
        <v>31</v>
      </c>
      <c r="D11858" s="8">
        <v>-0.154</v>
      </c>
    </row>
    <row r="11859" spans="1:4">
      <c r="A11859" t="str">
        <f t="shared" si="195"/>
        <v>2008Net Profit</v>
      </c>
      <c r="B11859">
        <v>2008</v>
      </c>
      <c r="C11859" s="9" t="s">
        <v>32</v>
      </c>
      <c r="D11859" s="8">
        <v>-2.0590000000000001E-2</v>
      </c>
    </row>
    <row r="11860" spans="1:4">
      <c r="A11860" t="str">
        <f t="shared" si="195"/>
        <v>2008Loss Rate</v>
      </c>
      <c r="B11860">
        <v>2008</v>
      </c>
      <c r="C11860" s="9" t="s">
        <v>33</v>
      </c>
      <c r="D11860" s="8">
        <v>0.4</v>
      </c>
    </row>
    <row r="11861" spans="1:4">
      <c r="A11861" t="str">
        <f t="shared" si="195"/>
        <v>2008Win Rate</v>
      </c>
      <c r="B11861">
        <v>2008</v>
      </c>
      <c r="C11861" s="9" t="s">
        <v>34</v>
      </c>
      <c r="D11861" s="8">
        <v>0.6</v>
      </c>
    </row>
    <row r="11862" spans="1:4">
      <c r="A11862" t="str">
        <f t="shared" si="195"/>
        <v>2008Profit-Loss Ratio</v>
      </c>
      <c r="B11862">
        <v>2008</v>
      </c>
      <c r="C11862" s="9" t="s">
        <v>26</v>
      </c>
      <c r="D11862" s="8">
        <v>0.41</v>
      </c>
    </row>
    <row r="11863" spans="1:4">
      <c r="A11863" t="str">
        <f t="shared" si="195"/>
        <v>2008Alpha</v>
      </c>
      <c r="B11863">
        <v>2008</v>
      </c>
      <c r="C11863" s="9" t="s">
        <v>23</v>
      </c>
      <c r="D11863" s="8">
        <v>-2.1000000000000001E-2</v>
      </c>
    </row>
    <row r="11864" spans="1:4">
      <c r="A11864" t="str">
        <f t="shared" si="195"/>
        <v>2008Beta</v>
      </c>
      <c r="B11864">
        <v>2008</v>
      </c>
      <c r="C11864" s="9" t="s">
        <v>24</v>
      </c>
      <c r="D11864" s="8">
        <v>-5.0000000000000001E-3</v>
      </c>
    </row>
    <row r="11865" spans="1:4">
      <c r="A11865" t="str">
        <f t="shared" si="195"/>
        <v>2008Annual Standard Deviation</v>
      </c>
      <c r="B11865">
        <v>2008</v>
      </c>
      <c r="C11865" s="9" t="s">
        <v>35</v>
      </c>
      <c r="D11865" s="8">
        <v>1.9E-2</v>
      </c>
    </row>
    <row r="11866" spans="1:4">
      <c r="A11866" t="str">
        <f t="shared" si="195"/>
        <v>2008Annual Variance</v>
      </c>
      <c r="B11866">
        <v>2008</v>
      </c>
      <c r="C11866" s="9" t="s">
        <v>36</v>
      </c>
      <c r="D11866" s="8">
        <v>0</v>
      </c>
    </row>
    <row r="11867" spans="1:4">
      <c r="A11867" t="str">
        <f t="shared" si="195"/>
        <v>2008Information Ratio</v>
      </c>
      <c r="B11867">
        <v>2008</v>
      </c>
      <c r="C11867" s="9" t="s">
        <v>37</v>
      </c>
      <c r="D11867" s="8">
        <v>-1.0029999999999999</v>
      </c>
    </row>
    <row r="11868" spans="1:4">
      <c r="A11868" t="str">
        <f t="shared" si="195"/>
        <v>2008Tracking Error</v>
      </c>
      <c r="B11868">
        <v>2008</v>
      </c>
      <c r="C11868" s="9" t="s">
        <v>38</v>
      </c>
      <c r="D11868" s="8">
        <v>7.0000000000000007E-2</v>
      </c>
    </row>
    <row r="11869" spans="1:4">
      <c r="A11869" t="str">
        <f t="shared" si="195"/>
        <v>2008Treynor Ratio</v>
      </c>
      <c r="B11869">
        <v>2008</v>
      </c>
      <c r="C11869" s="9" t="s">
        <v>39</v>
      </c>
      <c r="D11869" s="8">
        <v>4.18</v>
      </c>
    </row>
    <row r="11870" spans="1:4">
      <c r="A11870" t="str">
        <f t="shared" si="195"/>
        <v>2008Total Fees</v>
      </c>
      <c r="B11870">
        <v>2008</v>
      </c>
      <c r="C11870" s="9" t="s">
        <v>40</v>
      </c>
      <c r="D11870" s="8">
        <v>0</v>
      </c>
    </row>
    <row r="11871" spans="1:4">
      <c r="A11871" t="str">
        <f t="shared" si="195"/>
        <v>2008Estimated Strategy Capacity</v>
      </c>
      <c r="B11871">
        <v>2008</v>
      </c>
      <c r="C11871" s="9" t="s">
        <v>41</v>
      </c>
      <c r="D11871" s="8">
        <v>6800000</v>
      </c>
    </row>
    <row r="11872" spans="1:4">
      <c r="A11872" t="str">
        <f t="shared" si="195"/>
        <v>2009PSR</v>
      </c>
      <c r="B11872">
        <v>2009</v>
      </c>
      <c r="C11872" s="9" t="s">
        <v>27</v>
      </c>
      <c r="D11872" s="8">
        <v>2.8330000000000001E-2</v>
      </c>
    </row>
    <row r="11873" spans="1:4">
      <c r="A11873" t="str">
        <f t="shared" si="195"/>
        <v>2009Sharpe Ratio</v>
      </c>
      <c r="B11873">
        <v>2009</v>
      </c>
      <c r="C11873" s="9" t="s">
        <v>1</v>
      </c>
      <c r="D11873" s="8">
        <v>-0.88700000000000001</v>
      </c>
    </row>
    <row r="11874" spans="1:4">
      <c r="A11874" t="str">
        <f t="shared" si="195"/>
        <v>2009Total Trades</v>
      </c>
      <c r="B11874">
        <v>2009</v>
      </c>
      <c r="C11874" s="9" t="s">
        <v>28</v>
      </c>
      <c r="D11874" s="8">
        <v>574</v>
      </c>
    </row>
    <row r="11875" spans="1:4">
      <c r="A11875" t="str">
        <f t="shared" si="195"/>
        <v>2009Average Win</v>
      </c>
      <c r="B11875">
        <v>2009</v>
      </c>
      <c r="C11875" s="9" t="s">
        <v>25</v>
      </c>
      <c r="D11875" s="8">
        <v>6.9999999999999999E-4</v>
      </c>
    </row>
    <row r="11876" spans="1:4">
      <c r="A11876" t="str">
        <f t="shared" si="195"/>
        <v>2009Average Loss</v>
      </c>
      <c r="B11876">
        <v>2009</v>
      </c>
      <c r="C11876" s="9" t="s">
        <v>29</v>
      </c>
      <c r="D11876" s="8">
        <v>-1.5E-3</v>
      </c>
    </row>
    <row r="11877" spans="1:4">
      <c r="A11877" t="str">
        <f t="shared" si="195"/>
        <v>2009Compounding Annual Return</v>
      </c>
      <c r="B11877">
        <v>2009</v>
      </c>
      <c r="C11877" s="9" t="s">
        <v>30</v>
      </c>
      <c r="D11877" s="8">
        <v>-2.794E-2</v>
      </c>
    </row>
    <row r="11878" spans="1:4">
      <c r="A11878" t="str">
        <f t="shared" si="195"/>
        <v>2009Drawdown</v>
      </c>
      <c r="B11878">
        <v>2009</v>
      </c>
      <c r="C11878" s="9" t="s">
        <v>8</v>
      </c>
      <c r="D11878" s="8">
        <v>3.2000000000000001E-2</v>
      </c>
    </row>
    <row r="11879" spans="1:4">
      <c r="A11879" t="str">
        <f t="shared" si="195"/>
        <v>2009Expectancy</v>
      </c>
      <c r="B11879">
        <v>2009</v>
      </c>
      <c r="C11879" s="9" t="s">
        <v>31</v>
      </c>
      <c r="D11879" s="8">
        <v>-0.113</v>
      </c>
    </row>
    <row r="11880" spans="1:4">
      <c r="A11880" t="str">
        <f t="shared" si="195"/>
        <v>2009Net Profit</v>
      </c>
      <c r="B11880">
        <v>2009</v>
      </c>
      <c r="C11880" s="9" t="s">
        <v>32</v>
      </c>
      <c r="D11880" s="8">
        <v>-1.8759999999999999E-2</v>
      </c>
    </row>
    <row r="11881" spans="1:4">
      <c r="A11881" t="str">
        <f t="shared" si="195"/>
        <v>2009Loss Rate</v>
      </c>
      <c r="B11881">
        <v>2009</v>
      </c>
      <c r="C11881" s="9" t="s">
        <v>33</v>
      </c>
      <c r="D11881" s="8">
        <v>0.38</v>
      </c>
    </row>
    <row r="11882" spans="1:4">
      <c r="A11882" t="str">
        <f t="shared" si="195"/>
        <v>2009Win Rate</v>
      </c>
      <c r="B11882">
        <v>2009</v>
      </c>
      <c r="C11882" s="9" t="s">
        <v>34</v>
      </c>
      <c r="D11882" s="8">
        <v>0.62</v>
      </c>
    </row>
    <row r="11883" spans="1:4">
      <c r="A11883" t="str">
        <f t="shared" si="195"/>
        <v>2009Profit-Loss Ratio</v>
      </c>
      <c r="B11883">
        <v>2009</v>
      </c>
      <c r="C11883" s="9" t="s">
        <v>26</v>
      </c>
      <c r="D11883" s="8">
        <v>0.43</v>
      </c>
    </row>
    <row r="11884" spans="1:4">
      <c r="A11884" t="str">
        <f t="shared" si="195"/>
        <v>2009Alpha</v>
      </c>
      <c r="B11884">
        <v>2009</v>
      </c>
      <c r="C11884" s="9" t="s">
        <v>23</v>
      </c>
      <c r="D11884" s="8">
        <v>-1.9E-2</v>
      </c>
    </row>
    <row r="11885" spans="1:4">
      <c r="A11885" t="str">
        <f t="shared" si="195"/>
        <v>2009Beta</v>
      </c>
      <c r="B11885">
        <v>2009</v>
      </c>
      <c r="C11885" s="9" t="s">
        <v>24</v>
      </c>
      <c r="D11885" s="8">
        <v>-1.4E-2</v>
      </c>
    </row>
    <row r="11886" spans="1:4">
      <c r="A11886" t="str">
        <f t="shared" si="195"/>
        <v>2009Annual Standard Deviation</v>
      </c>
      <c r="B11886">
        <v>2009</v>
      </c>
      <c r="C11886" s="9" t="s">
        <v>35</v>
      </c>
      <c r="D11886" s="8">
        <v>2.1999999999999999E-2</v>
      </c>
    </row>
    <row r="11887" spans="1:4">
      <c r="A11887" t="str">
        <f t="shared" si="195"/>
        <v>2009Annual Variance</v>
      </c>
      <c r="B11887">
        <v>2009</v>
      </c>
      <c r="C11887" s="9" t="s">
        <v>36</v>
      </c>
      <c r="D11887" s="8">
        <v>0</v>
      </c>
    </row>
    <row r="11888" spans="1:4">
      <c r="A11888" t="str">
        <f t="shared" si="195"/>
        <v>2009Information Ratio</v>
      </c>
      <c r="B11888">
        <v>2009</v>
      </c>
      <c r="C11888" s="9" t="s">
        <v>37</v>
      </c>
      <c r="D11888" s="8">
        <v>-0.95499999999999996</v>
      </c>
    </row>
    <row r="11889" spans="1:4">
      <c r="A11889" t="str">
        <f t="shared" si="195"/>
        <v>2009Tracking Error</v>
      </c>
      <c r="B11889">
        <v>2009</v>
      </c>
      <c r="C11889" s="9" t="s">
        <v>38</v>
      </c>
      <c r="D11889" s="8">
        <v>7.0999999999999994E-2</v>
      </c>
    </row>
    <row r="11890" spans="1:4">
      <c r="A11890" t="str">
        <f t="shared" si="195"/>
        <v>2009Treynor Ratio</v>
      </c>
      <c r="B11890">
        <v>2009</v>
      </c>
      <c r="C11890" s="9" t="s">
        <v>39</v>
      </c>
      <c r="D11890" s="8">
        <v>1.3680000000000001</v>
      </c>
    </row>
    <row r="11891" spans="1:4">
      <c r="A11891" t="str">
        <f t="shared" si="195"/>
        <v>2009Total Fees</v>
      </c>
      <c r="B11891">
        <v>2009</v>
      </c>
      <c r="C11891" s="9" t="s">
        <v>40</v>
      </c>
      <c r="D11891" s="8">
        <v>0</v>
      </c>
    </row>
    <row r="11892" spans="1:4">
      <c r="A11892" t="str">
        <f t="shared" si="195"/>
        <v>2009Estimated Strategy Capacity</v>
      </c>
      <c r="B11892">
        <v>2009</v>
      </c>
      <c r="C11892" s="9" t="s">
        <v>41</v>
      </c>
      <c r="D11892" s="8">
        <v>7400000</v>
      </c>
    </row>
    <row r="11893" spans="1:4">
      <c r="A11893" t="str">
        <f t="shared" si="195"/>
        <v>2010PSR</v>
      </c>
      <c r="B11893">
        <v>2010</v>
      </c>
      <c r="C11893" s="9" t="s">
        <v>27</v>
      </c>
      <c r="D11893" s="8">
        <v>5.0540000000000002E-2</v>
      </c>
    </row>
    <row r="11894" spans="1:4">
      <c r="A11894" t="str">
        <f t="shared" si="195"/>
        <v>2010Sharpe Ratio</v>
      </c>
      <c r="B11894">
        <v>2010</v>
      </c>
      <c r="C11894" s="9" t="s">
        <v>1</v>
      </c>
      <c r="D11894" s="8">
        <v>-0.746</v>
      </c>
    </row>
    <row r="11895" spans="1:4">
      <c r="A11895" t="str">
        <f t="shared" si="195"/>
        <v>2010Total Trades</v>
      </c>
      <c r="B11895">
        <v>2010</v>
      </c>
      <c r="C11895" s="9" t="s">
        <v>28</v>
      </c>
      <c r="D11895" s="8">
        <v>1648</v>
      </c>
    </row>
    <row r="11896" spans="1:4">
      <c r="A11896" t="str">
        <f t="shared" ref="A11896:A11959" si="196">B11896&amp;C11896</f>
        <v>2010Average Win</v>
      </c>
      <c r="B11896">
        <v>2010</v>
      </c>
      <c r="C11896" s="9" t="s">
        <v>25</v>
      </c>
      <c r="D11896" s="8">
        <v>2.9999999999999997E-4</v>
      </c>
    </row>
    <row r="11897" spans="1:4">
      <c r="A11897" t="str">
        <f t="shared" si="196"/>
        <v>2010Average Loss</v>
      </c>
      <c r="B11897">
        <v>2010</v>
      </c>
      <c r="C11897" s="9" t="s">
        <v>29</v>
      </c>
      <c r="D11897" s="8">
        <v>-5.9999999999999995E-4</v>
      </c>
    </row>
    <row r="11898" spans="1:4">
      <c r="A11898" t="str">
        <f t="shared" si="196"/>
        <v>2010Compounding Annual Return</v>
      </c>
      <c r="B11898">
        <v>2010</v>
      </c>
      <c r="C11898" s="9" t="s">
        <v>30</v>
      </c>
      <c r="D11898" s="8">
        <v>-1.098E-2</v>
      </c>
    </row>
    <row r="11899" spans="1:4">
      <c r="A11899" t="str">
        <f t="shared" si="196"/>
        <v>2010Drawdown</v>
      </c>
      <c r="B11899">
        <v>2010</v>
      </c>
      <c r="C11899" s="9" t="s">
        <v>8</v>
      </c>
      <c r="D11899" s="8">
        <v>8.9999999999999993E-3</v>
      </c>
    </row>
    <row r="11900" spans="1:4">
      <c r="A11900" t="str">
        <f t="shared" si="196"/>
        <v>2010Expectancy</v>
      </c>
      <c r="B11900">
        <v>2010</v>
      </c>
      <c r="C11900" s="9" t="s">
        <v>31</v>
      </c>
      <c r="D11900" s="8">
        <v>-8.4000000000000005E-2</v>
      </c>
    </row>
    <row r="11901" spans="1:4">
      <c r="A11901" t="str">
        <f t="shared" si="196"/>
        <v>2010Net Profit</v>
      </c>
      <c r="B11901">
        <v>2010</v>
      </c>
      <c r="C11901" s="9" t="s">
        <v>32</v>
      </c>
      <c r="D11901" s="8">
        <v>-7.3499999999999998E-3</v>
      </c>
    </row>
    <row r="11902" spans="1:4">
      <c r="A11902" t="str">
        <f t="shared" si="196"/>
        <v>2010Loss Rate</v>
      </c>
      <c r="B11902">
        <v>2010</v>
      </c>
      <c r="C11902" s="9" t="s">
        <v>33</v>
      </c>
      <c r="D11902" s="8">
        <v>0.37</v>
      </c>
    </row>
    <row r="11903" spans="1:4">
      <c r="A11903" t="str">
        <f t="shared" si="196"/>
        <v>2010Win Rate</v>
      </c>
      <c r="B11903">
        <v>2010</v>
      </c>
      <c r="C11903" s="9" t="s">
        <v>34</v>
      </c>
      <c r="D11903" s="8">
        <v>0.63</v>
      </c>
    </row>
    <row r="11904" spans="1:4">
      <c r="A11904" t="str">
        <f t="shared" si="196"/>
        <v>2010Profit-Loss Ratio</v>
      </c>
      <c r="B11904">
        <v>2010</v>
      </c>
      <c r="C11904" s="9" t="s">
        <v>26</v>
      </c>
      <c r="D11904" s="8">
        <v>0.46</v>
      </c>
    </row>
    <row r="11905" spans="1:4">
      <c r="A11905" t="str">
        <f t="shared" si="196"/>
        <v>2010Alpha</v>
      </c>
      <c r="B11905">
        <v>2010</v>
      </c>
      <c r="C11905" s="9" t="s">
        <v>23</v>
      </c>
      <c r="D11905" s="8">
        <v>-8.9999999999999993E-3</v>
      </c>
    </row>
    <row r="11906" spans="1:4">
      <c r="A11906" t="str">
        <f t="shared" si="196"/>
        <v>2010Beta</v>
      </c>
      <c r="B11906">
        <v>2010</v>
      </c>
      <c r="C11906" s="9" t="s">
        <v>24</v>
      </c>
      <c r="D11906" s="8">
        <v>0.02</v>
      </c>
    </row>
    <row r="11907" spans="1:4">
      <c r="A11907" t="str">
        <f t="shared" si="196"/>
        <v>2010Annual Standard Deviation</v>
      </c>
      <c r="B11907">
        <v>2010</v>
      </c>
      <c r="C11907" s="9" t="s">
        <v>35</v>
      </c>
      <c r="D11907" s="8">
        <v>0.01</v>
      </c>
    </row>
    <row r="11908" spans="1:4">
      <c r="A11908" t="str">
        <f t="shared" si="196"/>
        <v>2010Annual Variance</v>
      </c>
      <c r="B11908">
        <v>2010</v>
      </c>
      <c r="C11908" s="9" t="s">
        <v>36</v>
      </c>
      <c r="D11908" s="8">
        <v>0</v>
      </c>
    </row>
    <row r="11909" spans="1:4">
      <c r="A11909" t="str">
        <f t="shared" si="196"/>
        <v>2010Information Ratio</v>
      </c>
      <c r="B11909">
        <v>2010</v>
      </c>
      <c r="C11909" s="9" t="s">
        <v>37</v>
      </c>
      <c r="D11909" s="8">
        <v>-0.86599999999999999</v>
      </c>
    </row>
    <row r="11910" spans="1:4">
      <c r="A11910" t="str">
        <f t="shared" si="196"/>
        <v>2010Tracking Error</v>
      </c>
      <c r="B11910">
        <v>2010</v>
      </c>
      <c r="C11910" s="9" t="s">
        <v>38</v>
      </c>
      <c r="D11910" s="8">
        <v>6.7000000000000004E-2</v>
      </c>
    </row>
    <row r="11911" spans="1:4">
      <c r="A11911" t="str">
        <f t="shared" si="196"/>
        <v>2010Treynor Ratio</v>
      </c>
      <c r="B11911">
        <v>2010</v>
      </c>
      <c r="C11911" s="9" t="s">
        <v>39</v>
      </c>
      <c r="D11911" s="8">
        <v>-0.372</v>
      </c>
    </row>
    <row r="11912" spans="1:4">
      <c r="A11912" t="str">
        <f t="shared" si="196"/>
        <v>2010Total Fees</v>
      </c>
      <c r="B11912">
        <v>2010</v>
      </c>
      <c r="C11912" s="9" t="s">
        <v>40</v>
      </c>
      <c r="D11912" s="8">
        <v>0</v>
      </c>
    </row>
    <row r="11913" spans="1:4">
      <c r="A11913" t="str">
        <f t="shared" si="196"/>
        <v>2010Estimated Strategy Capacity</v>
      </c>
      <c r="B11913">
        <v>2010</v>
      </c>
      <c r="C11913" s="9" t="s">
        <v>41</v>
      </c>
      <c r="D11913" s="8">
        <v>1900000000</v>
      </c>
    </row>
    <row r="11914" spans="1:4">
      <c r="A11914" t="str">
        <f t="shared" si="196"/>
        <v>2011PSR</v>
      </c>
      <c r="B11914">
        <v>2011</v>
      </c>
      <c r="C11914" s="9" t="s">
        <v>27</v>
      </c>
      <c r="D11914" s="8">
        <v>3.3500000000000001E-3</v>
      </c>
    </row>
    <row r="11915" spans="1:4">
      <c r="A11915" t="str">
        <f t="shared" si="196"/>
        <v>2011Sharpe Ratio</v>
      </c>
      <c r="B11915">
        <v>2011</v>
      </c>
      <c r="C11915" s="9" t="s">
        <v>1</v>
      </c>
      <c r="D11915" s="8">
        <v>-1.65</v>
      </c>
    </row>
    <row r="11916" spans="1:4">
      <c r="A11916" t="str">
        <f t="shared" si="196"/>
        <v>2011Total Trades</v>
      </c>
      <c r="B11916">
        <v>2011</v>
      </c>
      <c r="C11916" s="9" t="s">
        <v>28</v>
      </c>
      <c r="D11916" s="8">
        <v>1371</v>
      </c>
    </row>
    <row r="11917" spans="1:4">
      <c r="A11917" t="str">
        <f t="shared" si="196"/>
        <v>2011Average Win</v>
      </c>
      <c r="B11917">
        <v>2011</v>
      </c>
      <c r="C11917" s="9" t="s">
        <v>25</v>
      </c>
      <c r="D11917" s="8">
        <v>1.1000000000000001E-3</v>
      </c>
    </row>
    <row r="11918" spans="1:4">
      <c r="A11918" t="str">
        <f t="shared" si="196"/>
        <v>2011Average Loss</v>
      </c>
      <c r="B11918">
        <v>2011</v>
      </c>
      <c r="C11918" s="9" t="s">
        <v>29</v>
      </c>
      <c r="D11918" s="8">
        <v>-3.0999999999999999E-3</v>
      </c>
    </row>
    <row r="11919" spans="1:4">
      <c r="A11919" t="str">
        <f t="shared" si="196"/>
        <v>2011Compounding Annual Return</v>
      </c>
      <c r="B11919">
        <v>2011</v>
      </c>
      <c r="C11919" s="9" t="s">
        <v>30</v>
      </c>
      <c r="D11919" s="8">
        <v>-9.0190000000000006E-2</v>
      </c>
    </row>
    <row r="11920" spans="1:4">
      <c r="A11920" t="str">
        <f t="shared" si="196"/>
        <v>2011Drawdown</v>
      </c>
      <c r="B11920">
        <v>2011</v>
      </c>
      <c r="C11920" s="9" t="s">
        <v>8</v>
      </c>
      <c r="D11920" s="8">
        <v>6.8000000000000005E-2</v>
      </c>
    </row>
    <row r="11921" spans="1:4">
      <c r="A11921" t="str">
        <f t="shared" si="196"/>
        <v>2011Expectancy</v>
      </c>
      <c r="B11921">
        <v>2011</v>
      </c>
      <c r="C11921" s="9" t="s">
        <v>31</v>
      </c>
      <c r="D11921" s="8">
        <v>-0.14299999999999999</v>
      </c>
    </row>
    <row r="11922" spans="1:4">
      <c r="A11922" t="str">
        <f t="shared" si="196"/>
        <v>2011Net Profit</v>
      </c>
      <c r="B11922">
        <v>2011</v>
      </c>
      <c r="C11922" s="9" t="s">
        <v>32</v>
      </c>
      <c r="D11922" s="8">
        <v>-6.1219999999999997E-2</v>
      </c>
    </row>
    <row r="11923" spans="1:4">
      <c r="A11923" t="str">
        <f t="shared" si="196"/>
        <v>2011Loss Rate</v>
      </c>
      <c r="B11923">
        <v>2011</v>
      </c>
      <c r="C11923" s="9" t="s">
        <v>33</v>
      </c>
      <c r="D11923" s="8">
        <v>0.37</v>
      </c>
    </row>
    <row r="11924" spans="1:4">
      <c r="A11924" t="str">
        <f t="shared" si="196"/>
        <v>2011Win Rate</v>
      </c>
      <c r="B11924">
        <v>2011</v>
      </c>
      <c r="C11924" s="9" t="s">
        <v>34</v>
      </c>
      <c r="D11924" s="8">
        <v>0.63</v>
      </c>
    </row>
    <row r="11925" spans="1:4">
      <c r="A11925" t="str">
        <f t="shared" si="196"/>
        <v>2011Profit-Loss Ratio</v>
      </c>
      <c r="B11925">
        <v>2011</v>
      </c>
      <c r="C11925" s="9" t="s">
        <v>26</v>
      </c>
      <c r="D11925" s="8">
        <v>0.36</v>
      </c>
    </row>
    <row r="11926" spans="1:4">
      <c r="A11926" t="str">
        <f t="shared" si="196"/>
        <v>2011Alpha</v>
      </c>
      <c r="B11926">
        <v>2011</v>
      </c>
      <c r="C11926" s="9" t="s">
        <v>23</v>
      </c>
      <c r="D11926" s="8">
        <v>-6.6000000000000003E-2</v>
      </c>
    </row>
    <row r="11927" spans="1:4">
      <c r="A11927" t="str">
        <f t="shared" si="196"/>
        <v>2011Beta</v>
      </c>
      <c r="B11927">
        <v>2011</v>
      </c>
      <c r="C11927" s="9" t="s">
        <v>24</v>
      </c>
      <c r="D11927" s="8">
        <v>7.3999999999999996E-2</v>
      </c>
    </row>
    <row r="11928" spans="1:4">
      <c r="A11928" t="str">
        <f t="shared" si="196"/>
        <v>2011Annual Standard Deviation</v>
      </c>
      <c r="B11928">
        <v>2011</v>
      </c>
      <c r="C11928" s="9" t="s">
        <v>35</v>
      </c>
      <c r="D11928" s="8">
        <v>3.7999999999999999E-2</v>
      </c>
    </row>
    <row r="11929" spans="1:4">
      <c r="A11929" t="str">
        <f t="shared" si="196"/>
        <v>2011Annual Variance</v>
      </c>
      <c r="B11929">
        <v>2011</v>
      </c>
      <c r="C11929" s="9" t="s">
        <v>36</v>
      </c>
      <c r="D11929" s="8">
        <v>1E-3</v>
      </c>
    </row>
    <row r="11930" spans="1:4">
      <c r="A11930" t="str">
        <f t="shared" si="196"/>
        <v>2011Information Ratio</v>
      </c>
      <c r="B11930">
        <v>2011</v>
      </c>
      <c r="C11930" s="9" t="s">
        <v>37</v>
      </c>
      <c r="D11930" s="8">
        <v>-1.5369999999999999</v>
      </c>
    </row>
    <row r="11931" spans="1:4">
      <c r="A11931" t="str">
        <f t="shared" si="196"/>
        <v>2011Tracking Error</v>
      </c>
      <c r="B11931">
        <v>2011</v>
      </c>
      <c r="C11931" s="9" t="s">
        <v>38</v>
      </c>
      <c r="D11931" s="8">
        <v>7.2999999999999995E-2</v>
      </c>
    </row>
    <row r="11932" spans="1:4">
      <c r="A11932" t="str">
        <f t="shared" si="196"/>
        <v>2011Treynor Ratio</v>
      </c>
      <c r="B11932">
        <v>2011</v>
      </c>
      <c r="C11932" s="9" t="s">
        <v>39</v>
      </c>
      <c r="D11932" s="8">
        <v>-0.85</v>
      </c>
    </row>
    <row r="11933" spans="1:4">
      <c r="A11933" t="str">
        <f t="shared" si="196"/>
        <v>2011Total Fees</v>
      </c>
      <c r="B11933">
        <v>2011</v>
      </c>
      <c r="C11933" s="9" t="s">
        <v>40</v>
      </c>
      <c r="D11933" s="8">
        <v>0</v>
      </c>
    </row>
    <row r="11934" spans="1:4">
      <c r="A11934" t="str">
        <f t="shared" si="196"/>
        <v>2011Estimated Strategy Capacity</v>
      </c>
      <c r="B11934">
        <v>2011</v>
      </c>
      <c r="C11934" s="9" t="s">
        <v>41</v>
      </c>
      <c r="D11934" s="8">
        <v>200000000</v>
      </c>
    </row>
    <row r="11935" spans="1:4">
      <c r="A11935" t="str">
        <f t="shared" si="196"/>
        <v>2012PSR</v>
      </c>
      <c r="B11935">
        <v>2012</v>
      </c>
      <c r="C11935" s="9" t="s">
        <v>27</v>
      </c>
      <c r="D11935" s="8">
        <v>1.31E-3</v>
      </c>
    </row>
    <row r="11936" spans="1:4">
      <c r="A11936" t="str">
        <f t="shared" si="196"/>
        <v>2012Sharpe Ratio</v>
      </c>
      <c r="B11936">
        <v>2012</v>
      </c>
      <c r="C11936" s="9" t="s">
        <v>1</v>
      </c>
      <c r="D11936" s="8">
        <v>-1.8160000000000001</v>
      </c>
    </row>
    <row r="11937" spans="1:4">
      <c r="A11937" t="str">
        <f t="shared" si="196"/>
        <v>2012Total Trades</v>
      </c>
      <c r="B11937">
        <v>2012</v>
      </c>
      <c r="C11937" s="9" t="s">
        <v>28</v>
      </c>
      <c r="D11937" s="8">
        <v>1039</v>
      </c>
    </row>
    <row r="11938" spans="1:4">
      <c r="A11938" t="str">
        <f t="shared" si="196"/>
        <v>2012Average Win</v>
      </c>
      <c r="B11938">
        <v>2012</v>
      </c>
      <c r="C11938" s="9" t="s">
        <v>25</v>
      </c>
      <c r="D11938" s="8">
        <v>1.2999999999999999E-3</v>
      </c>
    </row>
    <row r="11939" spans="1:4">
      <c r="A11939" t="str">
        <f t="shared" si="196"/>
        <v>2012Average Loss</v>
      </c>
      <c r="B11939">
        <v>2012</v>
      </c>
      <c r="C11939" s="9" t="s">
        <v>29</v>
      </c>
      <c r="D11939" s="8">
        <v>-4.1000000000000003E-3</v>
      </c>
    </row>
    <row r="11940" spans="1:4">
      <c r="A11940" t="str">
        <f t="shared" si="196"/>
        <v>2012Compounding Annual Return</v>
      </c>
      <c r="B11940">
        <v>2012</v>
      </c>
      <c r="C11940" s="9" t="s">
        <v>30</v>
      </c>
      <c r="D11940" s="8">
        <v>-0.1113</v>
      </c>
    </row>
    <row r="11941" spans="1:4">
      <c r="A11941" t="str">
        <f t="shared" si="196"/>
        <v>2012Drawdown</v>
      </c>
      <c r="B11941">
        <v>2012</v>
      </c>
      <c r="C11941" s="9" t="s">
        <v>8</v>
      </c>
      <c r="D11941" s="8">
        <v>8.6999999999999994E-2</v>
      </c>
    </row>
    <row r="11942" spans="1:4">
      <c r="A11942" t="str">
        <f t="shared" si="196"/>
        <v>2012Expectancy</v>
      </c>
      <c r="B11942">
        <v>2012</v>
      </c>
      <c r="C11942" s="9" t="s">
        <v>31</v>
      </c>
      <c r="D11942" s="8">
        <v>-0.14699999999999999</v>
      </c>
    </row>
    <row r="11943" spans="1:4">
      <c r="A11943" t="str">
        <f t="shared" si="196"/>
        <v>2012Net Profit</v>
      </c>
      <c r="B11943">
        <v>2012</v>
      </c>
      <c r="C11943" s="9" t="s">
        <v>32</v>
      </c>
      <c r="D11943" s="8">
        <v>-7.5829999999999995E-2</v>
      </c>
    </row>
    <row r="11944" spans="1:4">
      <c r="A11944" t="str">
        <f t="shared" si="196"/>
        <v>2012Loss Rate</v>
      </c>
      <c r="B11944">
        <v>2012</v>
      </c>
      <c r="C11944" s="9" t="s">
        <v>33</v>
      </c>
      <c r="D11944" s="8">
        <v>0.35</v>
      </c>
    </row>
    <row r="11945" spans="1:4">
      <c r="A11945" t="str">
        <f t="shared" si="196"/>
        <v>2012Win Rate</v>
      </c>
      <c r="B11945">
        <v>2012</v>
      </c>
      <c r="C11945" s="9" t="s">
        <v>34</v>
      </c>
      <c r="D11945" s="8">
        <v>0.65</v>
      </c>
    </row>
    <row r="11946" spans="1:4">
      <c r="A11946" t="str">
        <f t="shared" si="196"/>
        <v>2012Profit-Loss Ratio</v>
      </c>
      <c r="B11946">
        <v>2012</v>
      </c>
      <c r="C11946" s="9" t="s">
        <v>26</v>
      </c>
      <c r="D11946" s="8">
        <v>0.31</v>
      </c>
    </row>
    <row r="11947" spans="1:4">
      <c r="A11947" t="str">
        <f t="shared" si="196"/>
        <v>2012Alpha</v>
      </c>
      <c r="B11947">
        <v>2012</v>
      </c>
      <c r="C11947" s="9" t="s">
        <v>23</v>
      </c>
      <c r="D11947" s="8">
        <v>-8.2000000000000003E-2</v>
      </c>
    </row>
    <row r="11948" spans="1:4">
      <c r="A11948" t="str">
        <f t="shared" si="196"/>
        <v>2012Beta</v>
      </c>
      <c r="B11948">
        <v>2012</v>
      </c>
      <c r="C11948" s="9" t="s">
        <v>24</v>
      </c>
      <c r="D11948" s="8">
        <v>9.2999999999999999E-2</v>
      </c>
    </row>
    <row r="11949" spans="1:4">
      <c r="A11949" t="str">
        <f t="shared" si="196"/>
        <v>2012Annual Standard Deviation</v>
      </c>
      <c r="B11949">
        <v>2012</v>
      </c>
      <c r="C11949" s="9" t="s">
        <v>35</v>
      </c>
      <c r="D11949" s="8">
        <v>4.2999999999999997E-2</v>
      </c>
    </row>
    <row r="11950" spans="1:4">
      <c r="A11950" t="str">
        <f t="shared" si="196"/>
        <v>2012Annual Variance</v>
      </c>
      <c r="B11950">
        <v>2012</v>
      </c>
      <c r="C11950" s="9" t="s">
        <v>36</v>
      </c>
      <c r="D11950" s="8">
        <v>2E-3</v>
      </c>
    </row>
    <row r="11951" spans="1:4">
      <c r="A11951" t="str">
        <f t="shared" si="196"/>
        <v>2012Information Ratio</v>
      </c>
      <c r="B11951">
        <v>2012</v>
      </c>
      <c r="C11951" s="9" t="s">
        <v>37</v>
      </c>
      <c r="D11951" s="8">
        <v>-1.7230000000000001</v>
      </c>
    </row>
    <row r="11952" spans="1:4">
      <c r="A11952" t="str">
        <f t="shared" si="196"/>
        <v>2012Tracking Error</v>
      </c>
      <c r="B11952">
        <v>2012</v>
      </c>
      <c r="C11952" s="9" t="s">
        <v>38</v>
      </c>
      <c r="D11952" s="8">
        <v>7.3999999999999996E-2</v>
      </c>
    </row>
    <row r="11953" spans="1:4">
      <c r="A11953" t="str">
        <f t="shared" si="196"/>
        <v>2012Treynor Ratio</v>
      </c>
      <c r="B11953">
        <v>2012</v>
      </c>
      <c r="C11953" s="9" t="s">
        <v>39</v>
      </c>
      <c r="D11953" s="8">
        <v>-0.83099999999999996</v>
      </c>
    </row>
    <row r="11954" spans="1:4">
      <c r="A11954" t="str">
        <f t="shared" si="196"/>
        <v>2012Total Fees</v>
      </c>
      <c r="B11954">
        <v>2012</v>
      </c>
      <c r="C11954" s="9" t="s">
        <v>40</v>
      </c>
      <c r="D11954" s="8">
        <v>0</v>
      </c>
    </row>
    <row r="11955" spans="1:4">
      <c r="A11955" t="str">
        <f t="shared" si="196"/>
        <v>2012Estimated Strategy Capacity</v>
      </c>
      <c r="B11955">
        <v>2012</v>
      </c>
      <c r="C11955" s="9" t="s">
        <v>41</v>
      </c>
      <c r="D11955" s="8">
        <v>47000000</v>
      </c>
    </row>
    <row r="11956" spans="1:4">
      <c r="A11956" t="str">
        <f t="shared" si="196"/>
        <v>2013PSR</v>
      </c>
      <c r="B11956">
        <v>2013</v>
      </c>
      <c r="C11956" s="9" t="s">
        <v>27</v>
      </c>
      <c r="D11956" s="8">
        <v>8.6899999999999998E-3</v>
      </c>
    </row>
    <row r="11957" spans="1:4">
      <c r="A11957" t="str">
        <f t="shared" si="196"/>
        <v>2013Sharpe Ratio</v>
      </c>
      <c r="B11957">
        <v>2013</v>
      </c>
      <c r="C11957" s="9" t="s">
        <v>1</v>
      </c>
      <c r="D11957" s="8">
        <v>-1.2849999999999999</v>
      </c>
    </row>
    <row r="11958" spans="1:4">
      <c r="A11958" t="str">
        <f t="shared" si="196"/>
        <v>2013Total Trades</v>
      </c>
      <c r="B11958">
        <v>2013</v>
      </c>
      <c r="C11958" s="9" t="s">
        <v>28</v>
      </c>
      <c r="D11958" s="8">
        <v>1062</v>
      </c>
    </row>
    <row r="11959" spans="1:4">
      <c r="A11959" t="str">
        <f t="shared" si="196"/>
        <v>2013Average Win</v>
      </c>
      <c r="B11959">
        <v>2013</v>
      </c>
      <c r="C11959" s="9" t="s">
        <v>25</v>
      </c>
      <c r="D11959" s="8">
        <v>2.0000000000000001E-4</v>
      </c>
    </row>
    <row r="11960" spans="1:4">
      <c r="A11960" t="str">
        <f t="shared" ref="A11960:A12023" si="197">B11960&amp;C11960</f>
        <v>2013Average Loss</v>
      </c>
      <c r="B11960">
        <v>2013</v>
      </c>
      <c r="C11960" s="9" t="s">
        <v>29</v>
      </c>
      <c r="D11960" s="8">
        <v>-5.9999999999999995E-4</v>
      </c>
    </row>
    <row r="11961" spans="1:4">
      <c r="A11961" t="str">
        <f t="shared" si="197"/>
        <v>2013Compounding Annual Return</v>
      </c>
      <c r="B11961">
        <v>2013</v>
      </c>
      <c r="C11961" s="9" t="s">
        <v>30</v>
      </c>
      <c r="D11961" s="8">
        <v>-1.4930000000000001E-2</v>
      </c>
    </row>
    <row r="11962" spans="1:4">
      <c r="A11962" t="str">
        <f t="shared" si="197"/>
        <v>2013Drawdown</v>
      </c>
      <c r="B11962">
        <v>2013</v>
      </c>
      <c r="C11962" s="9" t="s">
        <v>8</v>
      </c>
      <c r="D11962" s="8">
        <v>1.6E-2</v>
      </c>
    </row>
    <row r="11963" spans="1:4">
      <c r="A11963" t="str">
        <f t="shared" si="197"/>
        <v>2013Expectancy</v>
      </c>
      <c r="B11963">
        <v>2013</v>
      </c>
      <c r="C11963" s="9" t="s">
        <v>31</v>
      </c>
      <c r="D11963" s="8">
        <v>-0.17199999999999999</v>
      </c>
    </row>
    <row r="11964" spans="1:4">
      <c r="A11964" t="str">
        <f t="shared" si="197"/>
        <v>2013Net Profit</v>
      </c>
      <c r="B11964">
        <v>2013</v>
      </c>
      <c r="C11964" s="9" t="s">
        <v>32</v>
      </c>
      <c r="D11964" s="8">
        <v>-0.01</v>
      </c>
    </row>
    <row r="11965" spans="1:4">
      <c r="A11965" t="str">
        <f t="shared" si="197"/>
        <v>2013Loss Rate</v>
      </c>
      <c r="B11965">
        <v>2013</v>
      </c>
      <c r="C11965" s="9" t="s">
        <v>33</v>
      </c>
      <c r="D11965" s="8">
        <v>0.37</v>
      </c>
    </row>
    <row r="11966" spans="1:4">
      <c r="A11966" t="str">
        <f t="shared" si="197"/>
        <v>2013Win Rate</v>
      </c>
      <c r="B11966">
        <v>2013</v>
      </c>
      <c r="C11966" s="9" t="s">
        <v>34</v>
      </c>
      <c r="D11966" s="8">
        <v>0.63</v>
      </c>
    </row>
    <row r="11967" spans="1:4">
      <c r="A11967" t="str">
        <f t="shared" si="197"/>
        <v>2013Profit-Loss Ratio</v>
      </c>
      <c r="B11967">
        <v>2013</v>
      </c>
      <c r="C11967" s="9" t="s">
        <v>26</v>
      </c>
      <c r="D11967" s="8">
        <v>0.32</v>
      </c>
    </row>
    <row r="11968" spans="1:4">
      <c r="A11968" t="str">
        <f t="shared" si="197"/>
        <v>2013Alpha</v>
      </c>
      <c r="B11968">
        <v>2013</v>
      </c>
      <c r="C11968" s="9" t="s">
        <v>23</v>
      </c>
      <c r="D11968" s="8">
        <v>-1.0999999999999999E-2</v>
      </c>
    </row>
    <row r="11969" spans="1:4">
      <c r="A11969" t="str">
        <f t="shared" si="197"/>
        <v>2013Beta</v>
      </c>
      <c r="B11969">
        <v>2013</v>
      </c>
      <c r="C11969" s="9" t="s">
        <v>24</v>
      </c>
      <c r="D11969" s="8">
        <v>1.6E-2</v>
      </c>
    </row>
    <row r="11970" spans="1:4">
      <c r="A11970" t="str">
        <f t="shared" si="197"/>
        <v>2013Annual Standard Deviation</v>
      </c>
      <c r="B11970">
        <v>2013</v>
      </c>
      <c r="C11970" s="9" t="s">
        <v>35</v>
      </c>
      <c r="D11970" s="8">
        <v>8.0000000000000002E-3</v>
      </c>
    </row>
    <row r="11971" spans="1:4">
      <c r="A11971" t="str">
        <f t="shared" si="197"/>
        <v>2013Annual Variance</v>
      </c>
      <c r="B11971">
        <v>2013</v>
      </c>
      <c r="C11971" s="9" t="s">
        <v>36</v>
      </c>
      <c r="D11971" s="8">
        <v>0</v>
      </c>
    </row>
    <row r="11972" spans="1:4">
      <c r="A11972" t="str">
        <f t="shared" si="197"/>
        <v>2013Information Ratio</v>
      </c>
      <c r="B11972">
        <v>2013</v>
      </c>
      <c r="C11972" s="9" t="s">
        <v>37</v>
      </c>
      <c r="D11972" s="8">
        <v>-0.89200000000000002</v>
      </c>
    </row>
    <row r="11973" spans="1:4">
      <c r="A11973" t="str">
        <f t="shared" si="197"/>
        <v>2013Tracking Error</v>
      </c>
      <c r="B11973">
        <v>2013</v>
      </c>
      <c r="C11973" s="9" t="s">
        <v>38</v>
      </c>
      <c r="D11973" s="8">
        <v>6.7000000000000004E-2</v>
      </c>
    </row>
    <row r="11974" spans="1:4">
      <c r="A11974" t="str">
        <f t="shared" si="197"/>
        <v>2013Treynor Ratio</v>
      </c>
      <c r="B11974">
        <v>2013</v>
      </c>
      <c r="C11974" s="9" t="s">
        <v>39</v>
      </c>
      <c r="D11974" s="8">
        <v>-0.64400000000000002</v>
      </c>
    </row>
    <row r="11975" spans="1:4">
      <c r="A11975" t="str">
        <f t="shared" si="197"/>
        <v>2013Total Fees</v>
      </c>
      <c r="B11975">
        <v>2013</v>
      </c>
      <c r="C11975" s="9" t="s">
        <v>40</v>
      </c>
      <c r="D11975" s="8">
        <v>0</v>
      </c>
    </row>
    <row r="11976" spans="1:4">
      <c r="A11976" t="str">
        <f t="shared" si="197"/>
        <v>2013Estimated Strategy Capacity</v>
      </c>
      <c r="B11976">
        <v>2013</v>
      </c>
      <c r="C11976" s="9" t="s">
        <v>41</v>
      </c>
      <c r="D11976" s="8">
        <v>570000000</v>
      </c>
    </row>
    <row r="11977" spans="1:4">
      <c r="A11977" t="str">
        <f t="shared" si="197"/>
        <v>2014PSR</v>
      </c>
      <c r="B11977">
        <v>2014</v>
      </c>
      <c r="C11977" s="9" t="s">
        <v>27</v>
      </c>
      <c r="D11977" s="8">
        <v>1.932E-2</v>
      </c>
    </row>
    <row r="11978" spans="1:4">
      <c r="A11978" t="str">
        <f t="shared" si="197"/>
        <v>2014Sharpe Ratio</v>
      </c>
      <c r="B11978">
        <v>2014</v>
      </c>
      <c r="C11978" s="9" t="s">
        <v>1</v>
      </c>
      <c r="D11978" s="8">
        <v>-1.052</v>
      </c>
    </row>
    <row r="11979" spans="1:4">
      <c r="A11979" t="str">
        <f t="shared" si="197"/>
        <v>2014Total Trades</v>
      </c>
      <c r="B11979">
        <v>2014</v>
      </c>
      <c r="C11979" s="9" t="s">
        <v>28</v>
      </c>
      <c r="D11979" s="8">
        <v>885</v>
      </c>
    </row>
    <row r="11980" spans="1:4">
      <c r="A11980" t="str">
        <f t="shared" si="197"/>
        <v>2014Average Win</v>
      </c>
      <c r="B11980">
        <v>2014</v>
      </c>
      <c r="C11980" s="9" t="s">
        <v>25</v>
      </c>
      <c r="D11980" s="8">
        <v>8.9999999999999998E-4</v>
      </c>
    </row>
    <row r="11981" spans="1:4">
      <c r="A11981" t="str">
        <f t="shared" si="197"/>
        <v>2014Average Loss</v>
      </c>
      <c r="B11981">
        <v>2014</v>
      </c>
      <c r="C11981" s="9" t="s">
        <v>29</v>
      </c>
      <c r="D11981" s="8">
        <v>-2.3999999999999998E-3</v>
      </c>
    </row>
    <row r="11982" spans="1:4">
      <c r="A11982" t="str">
        <f t="shared" si="197"/>
        <v>2014Compounding Annual Return</v>
      </c>
      <c r="B11982">
        <v>2014</v>
      </c>
      <c r="C11982" s="9" t="s">
        <v>30</v>
      </c>
      <c r="D11982" s="8">
        <v>-5.0259999999999999E-2</v>
      </c>
    </row>
    <row r="11983" spans="1:4">
      <c r="A11983" t="str">
        <f t="shared" si="197"/>
        <v>2014Drawdown</v>
      </c>
      <c r="B11983">
        <v>2014</v>
      </c>
      <c r="C11983" s="9" t="s">
        <v>8</v>
      </c>
      <c r="D11983" s="8">
        <v>7.0000000000000007E-2</v>
      </c>
    </row>
    <row r="11984" spans="1:4">
      <c r="A11984" t="str">
        <f t="shared" si="197"/>
        <v>2014Expectancy</v>
      </c>
      <c r="B11984">
        <v>2014</v>
      </c>
      <c r="C11984" s="9" t="s">
        <v>31</v>
      </c>
      <c r="D11984" s="8">
        <v>-0.14099999999999999</v>
      </c>
    </row>
    <row r="11985" spans="1:4">
      <c r="A11985" t="str">
        <f t="shared" si="197"/>
        <v>2014Net Profit</v>
      </c>
      <c r="B11985">
        <v>2014</v>
      </c>
      <c r="C11985" s="9" t="s">
        <v>32</v>
      </c>
      <c r="D11985" s="8">
        <v>-3.388E-2</v>
      </c>
    </row>
    <row r="11986" spans="1:4">
      <c r="A11986" t="str">
        <f t="shared" si="197"/>
        <v>2014Loss Rate</v>
      </c>
      <c r="B11986">
        <v>2014</v>
      </c>
      <c r="C11986" s="9" t="s">
        <v>33</v>
      </c>
      <c r="D11986" s="8">
        <v>0.38</v>
      </c>
    </row>
    <row r="11987" spans="1:4">
      <c r="A11987" t="str">
        <f t="shared" si="197"/>
        <v>2014Win Rate</v>
      </c>
      <c r="B11987">
        <v>2014</v>
      </c>
      <c r="C11987" s="9" t="s">
        <v>34</v>
      </c>
      <c r="D11987" s="8">
        <v>0.62</v>
      </c>
    </row>
    <row r="11988" spans="1:4">
      <c r="A11988" t="str">
        <f t="shared" si="197"/>
        <v>2014Profit-Loss Ratio</v>
      </c>
      <c r="B11988">
        <v>2014</v>
      </c>
      <c r="C11988" s="9" t="s">
        <v>26</v>
      </c>
      <c r="D11988" s="8">
        <v>0.39</v>
      </c>
    </row>
    <row r="11989" spans="1:4">
      <c r="A11989" t="str">
        <f t="shared" si="197"/>
        <v>2014Alpha</v>
      </c>
      <c r="B11989">
        <v>2014</v>
      </c>
      <c r="C11989" s="9" t="s">
        <v>23</v>
      </c>
      <c r="D11989" s="8">
        <v>-3.9E-2</v>
      </c>
    </row>
    <row r="11990" spans="1:4">
      <c r="A11990" t="str">
        <f t="shared" si="197"/>
        <v>2014Beta</v>
      </c>
      <c r="B11990">
        <v>2014</v>
      </c>
      <c r="C11990" s="9" t="s">
        <v>24</v>
      </c>
      <c r="D11990" s="8">
        <v>8.3000000000000004E-2</v>
      </c>
    </row>
    <row r="11991" spans="1:4">
      <c r="A11991" t="str">
        <f t="shared" si="197"/>
        <v>2014Annual Standard Deviation</v>
      </c>
      <c r="B11991">
        <v>2014</v>
      </c>
      <c r="C11991" s="9" t="s">
        <v>35</v>
      </c>
      <c r="D11991" s="8">
        <v>3.3000000000000002E-2</v>
      </c>
    </row>
    <row r="11992" spans="1:4">
      <c r="A11992" t="str">
        <f t="shared" si="197"/>
        <v>2014Annual Variance</v>
      </c>
      <c r="B11992">
        <v>2014</v>
      </c>
      <c r="C11992" s="9" t="s">
        <v>36</v>
      </c>
      <c r="D11992" s="8">
        <v>1E-3</v>
      </c>
    </row>
    <row r="11993" spans="1:4">
      <c r="A11993" t="str">
        <f t="shared" si="197"/>
        <v>2014Information Ratio</v>
      </c>
      <c r="B11993">
        <v>2014</v>
      </c>
      <c r="C11993" s="9" t="s">
        <v>37</v>
      </c>
      <c r="D11993" s="8">
        <v>-1.216</v>
      </c>
    </row>
    <row r="11994" spans="1:4">
      <c r="A11994" t="str">
        <f t="shared" si="197"/>
        <v>2014Tracking Error</v>
      </c>
      <c r="B11994">
        <v>2014</v>
      </c>
      <c r="C11994" s="9" t="s">
        <v>38</v>
      </c>
      <c r="D11994" s="8">
        <v>7.0000000000000007E-2</v>
      </c>
    </row>
    <row r="11995" spans="1:4">
      <c r="A11995" t="str">
        <f t="shared" si="197"/>
        <v>2014Treynor Ratio</v>
      </c>
      <c r="B11995">
        <v>2014</v>
      </c>
      <c r="C11995" s="9" t="s">
        <v>39</v>
      </c>
      <c r="D11995" s="8">
        <v>-0.41899999999999998</v>
      </c>
    </row>
    <row r="11996" spans="1:4">
      <c r="A11996" t="str">
        <f t="shared" si="197"/>
        <v>2014Total Fees</v>
      </c>
      <c r="B11996">
        <v>2014</v>
      </c>
      <c r="C11996" s="9" t="s">
        <v>40</v>
      </c>
      <c r="D11996" s="8">
        <v>0</v>
      </c>
    </row>
    <row r="11997" spans="1:4">
      <c r="A11997" t="str">
        <f t="shared" si="197"/>
        <v>2014Estimated Strategy Capacity</v>
      </c>
      <c r="B11997">
        <v>2014</v>
      </c>
      <c r="C11997" s="9" t="s">
        <v>41</v>
      </c>
      <c r="D11997" s="8">
        <v>60000000</v>
      </c>
    </row>
    <row r="11998" spans="1:4">
      <c r="A11998" t="str">
        <f t="shared" si="197"/>
        <v>2015PSR</v>
      </c>
      <c r="B11998">
        <v>2015</v>
      </c>
      <c r="C11998" s="9" t="s">
        <v>27</v>
      </c>
      <c r="D11998" s="8">
        <v>1.01E-3</v>
      </c>
    </row>
    <row r="11999" spans="1:4">
      <c r="A11999" t="str">
        <f t="shared" si="197"/>
        <v>2015Sharpe Ratio</v>
      </c>
      <c r="B11999">
        <v>2015</v>
      </c>
      <c r="C11999" s="9" t="s">
        <v>1</v>
      </c>
      <c r="D11999" s="8">
        <v>-1.843</v>
      </c>
    </row>
    <row r="12000" spans="1:4">
      <c r="A12000" t="str">
        <f t="shared" si="197"/>
        <v>2015Total Trades</v>
      </c>
      <c r="B12000">
        <v>2015</v>
      </c>
      <c r="C12000" s="9" t="s">
        <v>28</v>
      </c>
      <c r="D12000" s="8">
        <v>684</v>
      </c>
    </row>
    <row r="12001" spans="1:4">
      <c r="A12001" t="str">
        <f t="shared" si="197"/>
        <v>2015Average Win</v>
      </c>
      <c r="B12001">
        <v>2015</v>
      </c>
      <c r="C12001" s="9" t="s">
        <v>25</v>
      </c>
      <c r="D12001" s="8">
        <v>1.2999999999999999E-3</v>
      </c>
    </row>
    <row r="12002" spans="1:4">
      <c r="A12002" t="str">
        <f t="shared" si="197"/>
        <v>2015Average Loss</v>
      </c>
      <c r="B12002">
        <v>2015</v>
      </c>
      <c r="C12002" s="9" t="s">
        <v>29</v>
      </c>
      <c r="D12002" s="8">
        <v>-3.8999999999999998E-3</v>
      </c>
    </row>
    <row r="12003" spans="1:4">
      <c r="A12003" t="str">
        <f t="shared" si="197"/>
        <v>2015Compounding Annual Return</v>
      </c>
      <c r="B12003">
        <v>2015</v>
      </c>
      <c r="C12003" s="9" t="s">
        <v>30</v>
      </c>
      <c r="D12003" s="8">
        <v>-0.10911</v>
      </c>
    </row>
    <row r="12004" spans="1:4">
      <c r="A12004" t="str">
        <f t="shared" si="197"/>
        <v>2015Drawdown</v>
      </c>
      <c r="B12004">
        <v>2015</v>
      </c>
      <c r="C12004" s="9" t="s">
        <v>8</v>
      </c>
      <c r="D12004" s="8">
        <v>0.104</v>
      </c>
    </row>
    <row r="12005" spans="1:4">
      <c r="A12005" t="str">
        <f t="shared" si="197"/>
        <v>2015Expectancy</v>
      </c>
      <c r="B12005">
        <v>2015</v>
      </c>
      <c r="C12005" s="9" t="s">
        <v>31</v>
      </c>
      <c r="D12005" s="8">
        <v>-0.21099999999999999</v>
      </c>
    </row>
    <row r="12006" spans="1:4">
      <c r="A12006" t="str">
        <f t="shared" si="197"/>
        <v>2015Net Profit</v>
      </c>
      <c r="B12006">
        <v>2015</v>
      </c>
      <c r="C12006" s="9" t="s">
        <v>32</v>
      </c>
      <c r="D12006" s="8">
        <v>-7.4319999999999997E-2</v>
      </c>
    </row>
    <row r="12007" spans="1:4">
      <c r="A12007" t="str">
        <f t="shared" si="197"/>
        <v>2015Loss Rate</v>
      </c>
      <c r="B12007">
        <v>2015</v>
      </c>
      <c r="C12007" s="9" t="s">
        <v>33</v>
      </c>
      <c r="D12007" s="8">
        <v>0.4</v>
      </c>
    </row>
    <row r="12008" spans="1:4">
      <c r="A12008" t="str">
        <f t="shared" si="197"/>
        <v>2015Win Rate</v>
      </c>
      <c r="B12008">
        <v>2015</v>
      </c>
      <c r="C12008" s="9" t="s">
        <v>34</v>
      </c>
      <c r="D12008" s="8">
        <v>0.6</v>
      </c>
    </row>
    <row r="12009" spans="1:4">
      <c r="A12009" t="str">
        <f t="shared" si="197"/>
        <v>2015Profit-Loss Ratio</v>
      </c>
      <c r="B12009">
        <v>2015</v>
      </c>
      <c r="C12009" s="9" t="s">
        <v>26</v>
      </c>
      <c r="D12009" s="8">
        <v>0.32</v>
      </c>
    </row>
    <row r="12010" spans="1:4">
      <c r="A12010" t="str">
        <f t="shared" si="197"/>
        <v>2015Alpha</v>
      </c>
      <c r="B12010">
        <v>2015</v>
      </c>
      <c r="C12010" s="9" t="s">
        <v>23</v>
      </c>
      <c r="D12010" s="8">
        <v>-8.2000000000000003E-2</v>
      </c>
    </row>
    <row r="12011" spans="1:4">
      <c r="A12011" t="str">
        <f t="shared" si="197"/>
        <v>2015Beta</v>
      </c>
      <c r="B12011">
        <v>2015</v>
      </c>
      <c r="C12011" s="9" t="s">
        <v>24</v>
      </c>
      <c r="D12011" s="8">
        <v>0.124</v>
      </c>
    </row>
    <row r="12012" spans="1:4">
      <c r="A12012" t="str">
        <f t="shared" si="197"/>
        <v>2015Annual Standard Deviation</v>
      </c>
      <c r="B12012">
        <v>2015</v>
      </c>
      <c r="C12012" s="9" t="s">
        <v>35</v>
      </c>
      <c r="D12012" s="8">
        <v>4.1000000000000002E-2</v>
      </c>
    </row>
    <row r="12013" spans="1:4">
      <c r="A12013" t="str">
        <f t="shared" si="197"/>
        <v>2015Annual Variance</v>
      </c>
      <c r="B12013">
        <v>2015</v>
      </c>
      <c r="C12013" s="9" t="s">
        <v>36</v>
      </c>
      <c r="D12013" s="8">
        <v>2E-3</v>
      </c>
    </row>
    <row r="12014" spans="1:4">
      <c r="A12014" t="str">
        <f t="shared" si="197"/>
        <v>2015Information Ratio</v>
      </c>
      <c r="B12014">
        <v>2015</v>
      </c>
      <c r="C12014" s="9" t="s">
        <v>37</v>
      </c>
      <c r="D12014" s="8">
        <v>-1.7529999999999999</v>
      </c>
    </row>
    <row r="12015" spans="1:4">
      <c r="A12015" t="str">
        <f t="shared" si="197"/>
        <v>2015Tracking Error</v>
      </c>
      <c r="B12015">
        <v>2015</v>
      </c>
      <c r="C12015" s="9" t="s">
        <v>38</v>
      </c>
      <c r="D12015" s="8">
        <v>7.0999999999999994E-2</v>
      </c>
    </row>
    <row r="12016" spans="1:4">
      <c r="A12016" t="str">
        <f t="shared" si="197"/>
        <v>2015Treynor Ratio</v>
      </c>
      <c r="B12016">
        <v>2015</v>
      </c>
      <c r="C12016" s="9" t="s">
        <v>39</v>
      </c>
      <c r="D12016" s="8">
        <v>-0.61599999999999999</v>
      </c>
    </row>
    <row r="12017" spans="1:4">
      <c r="A12017" t="str">
        <f t="shared" si="197"/>
        <v>2015Total Fees</v>
      </c>
      <c r="B12017">
        <v>2015</v>
      </c>
      <c r="C12017" s="9" t="s">
        <v>40</v>
      </c>
      <c r="D12017" s="8">
        <v>0</v>
      </c>
    </row>
    <row r="12018" spans="1:4">
      <c r="A12018" t="str">
        <f t="shared" si="197"/>
        <v>2015Estimated Strategy Capacity</v>
      </c>
      <c r="B12018">
        <v>2015</v>
      </c>
      <c r="C12018" s="9" t="s">
        <v>41</v>
      </c>
      <c r="D12018" s="8">
        <v>14000000</v>
      </c>
    </row>
    <row r="12019" spans="1:4">
      <c r="A12019" t="str">
        <f t="shared" si="197"/>
        <v>2016PSR</v>
      </c>
      <c r="B12019">
        <v>2016</v>
      </c>
      <c r="C12019" s="9" t="s">
        <v>27</v>
      </c>
      <c r="D12019" s="8">
        <v>6.6100000000000006E-2</v>
      </c>
    </row>
    <row r="12020" spans="1:4">
      <c r="A12020" t="str">
        <f t="shared" si="197"/>
        <v>2016Sharpe Ratio</v>
      </c>
      <c r="B12020">
        <v>2016</v>
      </c>
      <c r="C12020" s="9" t="s">
        <v>1</v>
      </c>
      <c r="D12020" s="8">
        <v>-0.56200000000000006</v>
      </c>
    </row>
    <row r="12021" spans="1:4">
      <c r="A12021" t="str">
        <f t="shared" si="197"/>
        <v>2016Total Trades</v>
      </c>
      <c r="B12021">
        <v>2016</v>
      </c>
      <c r="C12021" s="9" t="s">
        <v>28</v>
      </c>
      <c r="D12021" s="8">
        <v>762</v>
      </c>
    </row>
    <row r="12022" spans="1:4">
      <c r="A12022" t="str">
        <f t="shared" si="197"/>
        <v>2016Average Win</v>
      </c>
      <c r="B12022">
        <v>2016</v>
      </c>
      <c r="C12022" s="9" t="s">
        <v>25</v>
      </c>
      <c r="D12022" s="8">
        <v>2.0000000000000001E-4</v>
      </c>
    </row>
    <row r="12023" spans="1:4">
      <c r="A12023" t="str">
        <f t="shared" si="197"/>
        <v>2016Average Loss</v>
      </c>
      <c r="B12023">
        <v>2016</v>
      </c>
      <c r="C12023" s="9" t="s">
        <v>29</v>
      </c>
      <c r="D12023" s="8">
        <v>-5.0000000000000001E-4</v>
      </c>
    </row>
    <row r="12024" spans="1:4">
      <c r="A12024" t="str">
        <f t="shared" ref="A12024:A12087" si="198">B12024&amp;C12024</f>
        <v>2016Compounding Annual Return</v>
      </c>
      <c r="B12024">
        <v>2016</v>
      </c>
      <c r="C12024" s="9" t="s">
        <v>30</v>
      </c>
      <c r="D12024" s="8">
        <v>-5.4900000000000001E-3</v>
      </c>
    </row>
    <row r="12025" spans="1:4">
      <c r="A12025" t="str">
        <f t="shared" si="198"/>
        <v>2016Drawdown</v>
      </c>
      <c r="B12025">
        <v>2016</v>
      </c>
      <c r="C12025" s="9" t="s">
        <v>8</v>
      </c>
      <c r="D12025" s="8">
        <v>8.9999999999999993E-3</v>
      </c>
    </row>
    <row r="12026" spans="1:4">
      <c r="A12026" t="str">
        <f t="shared" si="198"/>
        <v>2016Expectancy</v>
      </c>
      <c r="B12026">
        <v>2016</v>
      </c>
      <c r="C12026" s="9" t="s">
        <v>31</v>
      </c>
      <c r="D12026" s="8">
        <v>-9.6000000000000002E-2</v>
      </c>
    </row>
    <row r="12027" spans="1:4">
      <c r="A12027" t="str">
        <f t="shared" si="198"/>
        <v>2016Net Profit</v>
      </c>
      <c r="B12027">
        <v>2016</v>
      </c>
      <c r="C12027" s="9" t="s">
        <v>32</v>
      </c>
      <c r="D12027" s="8">
        <v>-3.6700000000000001E-3</v>
      </c>
    </row>
    <row r="12028" spans="1:4">
      <c r="A12028" t="str">
        <f t="shared" si="198"/>
        <v>2016Loss Rate</v>
      </c>
      <c r="B12028">
        <v>2016</v>
      </c>
      <c r="C12028" s="9" t="s">
        <v>33</v>
      </c>
      <c r="D12028" s="8">
        <v>0.38</v>
      </c>
    </row>
    <row r="12029" spans="1:4">
      <c r="A12029" t="str">
        <f t="shared" si="198"/>
        <v>2016Win Rate</v>
      </c>
      <c r="B12029">
        <v>2016</v>
      </c>
      <c r="C12029" s="9" t="s">
        <v>34</v>
      </c>
      <c r="D12029" s="8">
        <v>0.62</v>
      </c>
    </row>
    <row r="12030" spans="1:4">
      <c r="A12030" t="str">
        <f t="shared" si="198"/>
        <v>2016Profit-Loss Ratio</v>
      </c>
      <c r="B12030">
        <v>2016</v>
      </c>
      <c r="C12030" s="9" t="s">
        <v>26</v>
      </c>
      <c r="D12030" s="8">
        <v>0.47</v>
      </c>
    </row>
    <row r="12031" spans="1:4">
      <c r="A12031" t="str">
        <f t="shared" si="198"/>
        <v>2016Alpha</v>
      </c>
      <c r="B12031">
        <v>2016</v>
      </c>
      <c r="C12031" s="9" t="s">
        <v>23</v>
      </c>
      <c r="D12031" s="8">
        <v>-5.0000000000000001E-3</v>
      </c>
    </row>
    <row r="12032" spans="1:4">
      <c r="A12032" t="str">
        <f t="shared" si="198"/>
        <v>2016Beta</v>
      </c>
      <c r="B12032">
        <v>2016</v>
      </c>
      <c r="C12032" s="9" t="s">
        <v>24</v>
      </c>
      <c r="D12032" s="8">
        <v>0.02</v>
      </c>
    </row>
    <row r="12033" spans="1:4">
      <c r="A12033" t="str">
        <f t="shared" si="198"/>
        <v>2016Annual Standard Deviation</v>
      </c>
      <c r="B12033">
        <v>2016</v>
      </c>
      <c r="C12033" s="9" t="s">
        <v>35</v>
      </c>
      <c r="D12033" s="8">
        <v>7.0000000000000001E-3</v>
      </c>
    </row>
    <row r="12034" spans="1:4">
      <c r="A12034" t="str">
        <f t="shared" si="198"/>
        <v>2016Annual Variance</v>
      </c>
      <c r="B12034">
        <v>2016</v>
      </c>
      <c r="C12034" s="9" t="s">
        <v>36</v>
      </c>
      <c r="D12034" s="8">
        <v>0</v>
      </c>
    </row>
    <row r="12035" spans="1:4">
      <c r="A12035" t="str">
        <f t="shared" si="198"/>
        <v>2016Information Ratio</v>
      </c>
      <c r="B12035">
        <v>2016</v>
      </c>
      <c r="C12035" s="9" t="s">
        <v>37</v>
      </c>
      <c r="D12035" s="8">
        <v>-0.81399999999999995</v>
      </c>
    </row>
    <row r="12036" spans="1:4">
      <c r="A12036" t="str">
        <f t="shared" si="198"/>
        <v>2016Tracking Error</v>
      </c>
      <c r="B12036">
        <v>2016</v>
      </c>
      <c r="C12036" s="9" t="s">
        <v>38</v>
      </c>
      <c r="D12036" s="8">
        <v>6.6000000000000003E-2</v>
      </c>
    </row>
    <row r="12037" spans="1:4">
      <c r="A12037" t="str">
        <f t="shared" si="198"/>
        <v>2016Treynor Ratio</v>
      </c>
      <c r="B12037">
        <v>2016</v>
      </c>
      <c r="C12037" s="9" t="s">
        <v>39</v>
      </c>
      <c r="D12037" s="8">
        <v>-0.193</v>
      </c>
    </row>
    <row r="12038" spans="1:4">
      <c r="A12038" t="str">
        <f t="shared" si="198"/>
        <v>2016Total Fees</v>
      </c>
      <c r="B12038">
        <v>2016</v>
      </c>
      <c r="C12038" s="9" t="s">
        <v>40</v>
      </c>
      <c r="D12038" s="8">
        <v>0</v>
      </c>
    </row>
    <row r="12039" spans="1:4">
      <c r="A12039" t="str">
        <f t="shared" si="198"/>
        <v>2016Estimated Strategy Capacity</v>
      </c>
      <c r="B12039">
        <v>2016</v>
      </c>
      <c r="C12039" s="9" t="s">
        <v>41</v>
      </c>
      <c r="D12039" s="8">
        <v>1600000000</v>
      </c>
    </row>
    <row r="12040" spans="1:4">
      <c r="A12040" t="str">
        <f t="shared" si="198"/>
        <v>2017PSR</v>
      </c>
      <c r="B12040">
        <v>2017</v>
      </c>
      <c r="C12040" s="9" t="s">
        <v>27</v>
      </c>
      <c r="D12040" s="8">
        <v>3.0799999999999998E-3</v>
      </c>
    </row>
    <row r="12041" spans="1:4">
      <c r="A12041" t="str">
        <f t="shared" si="198"/>
        <v>2017Sharpe Ratio</v>
      </c>
      <c r="B12041">
        <v>2017</v>
      </c>
      <c r="C12041" s="9" t="s">
        <v>1</v>
      </c>
      <c r="D12041" s="8">
        <v>-1.5089999999999999</v>
      </c>
    </row>
    <row r="12042" spans="1:4">
      <c r="A12042" t="str">
        <f t="shared" si="198"/>
        <v>2017Total Trades</v>
      </c>
      <c r="B12042">
        <v>2017</v>
      </c>
      <c r="C12042" s="9" t="s">
        <v>28</v>
      </c>
      <c r="D12042" s="8">
        <v>655</v>
      </c>
    </row>
    <row r="12043" spans="1:4">
      <c r="A12043" t="str">
        <f t="shared" si="198"/>
        <v>2017Average Win</v>
      </c>
      <c r="B12043">
        <v>2017</v>
      </c>
      <c r="C12043" s="9" t="s">
        <v>25</v>
      </c>
      <c r="D12043" s="8">
        <v>1E-3</v>
      </c>
    </row>
    <row r="12044" spans="1:4">
      <c r="A12044" t="str">
        <f t="shared" si="198"/>
        <v>2017Average Loss</v>
      </c>
      <c r="B12044">
        <v>2017</v>
      </c>
      <c r="C12044" s="9" t="s">
        <v>29</v>
      </c>
      <c r="D12044" s="8">
        <v>-2.8999999999999998E-3</v>
      </c>
    </row>
    <row r="12045" spans="1:4">
      <c r="A12045" t="str">
        <f t="shared" si="198"/>
        <v>2017Compounding Annual Return</v>
      </c>
      <c r="B12045">
        <v>2017</v>
      </c>
      <c r="C12045" s="9" t="s">
        <v>30</v>
      </c>
      <c r="D12045" s="8">
        <v>-6.3670000000000004E-2</v>
      </c>
    </row>
    <row r="12046" spans="1:4">
      <c r="A12046" t="str">
        <f t="shared" si="198"/>
        <v>2017Drawdown</v>
      </c>
      <c r="B12046">
        <v>2017</v>
      </c>
      <c r="C12046" s="9" t="s">
        <v>8</v>
      </c>
      <c r="D12046" s="8">
        <v>5.8999999999999997E-2</v>
      </c>
    </row>
    <row r="12047" spans="1:4">
      <c r="A12047" t="str">
        <f t="shared" si="198"/>
        <v>2017Expectancy</v>
      </c>
      <c r="B12047">
        <v>2017</v>
      </c>
      <c r="C12047" s="9" t="s">
        <v>31</v>
      </c>
      <c r="D12047" s="8">
        <v>-0.20499999999999999</v>
      </c>
    </row>
    <row r="12048" spans="1:4">
      <c r="A12048" t="str">
        <f t="shared" si="198"/>
        <v>2017Net Profit</v>
      </c>
      <c r="B12048">
        <v>2017</v>
      </c>
      <c r="C12048" s="9" t="s">
        <v>32</v>
      </c>
      <c r="D12048" s="8">
        <v>-4.3020000000000003E-2</v>
      </c>
    </row>
    <row r="12049" spans="1:4">
      <c r="A12049" t="str">
        <f t="shared" si="198"/>
        <v>2017Loss Rate</v>
      </c>
      <c r="B12049">
        <v>2017</v>
      </c>
      <c r="C12049" s="9" t="s">
        <v>33</v>
      </c>
      <c r="D12049" s="8">
        <v>0.4</v>
      </c>
    </row>
    <row r="12050" spans="1:4">
      <c r="A12050" t="str">
        <f t="shared" si="198"/>
        <v>2017Win Rate</v>
      </c>
      <c r="B12050">
        <v>2017</v>
      </c>
      <c r="C12050" s="9" t="s">
        <v>34</v>
      </c>
      <c r="D12050" s="8">
        <v>0.6</v>
      </c>
    </row>
    <row r="12051" spans="1:4">
      <c r="A12051" t="str">
        <f t="shared" si="198"/>
        <v>2017Profit-Loss Ratio</v>
      </c>
      <c r="B12051">
        <v>2017</v>
      </c>
      <c r="C12051" s="9" t="s">
        <v>26</v>
      </c>
      <c r="D12051" s="8">
        <v>0.33</v>
      </c>
    </row>
    <row r="12052" spans="1:4">
      <c r="A12052" t="str">
        <f t="shared" si="198"/>
        <v>2017Alpha</v>
      </c>
      <c r="B12052">
        <v>2017</v>
      </c>
      <c r="C12052" s="9" t="s">
        <v>23</v>
      </c>
      <c r="D12052" s="8">
        <v>-4.9000000000000002E-2</v>
      </c>
    </row>
    <row r="12053" spans="1:4">
      <c r="A12053" t="str">
        <f t="shared" si="198"/>
        <v>2017Beta</v>
      </c>
      <c r="B12053">
        <v>2017</v>
      </c>
      <c r="C12053" s="9" t="s">
        <v>24</v>
      </c>
      <c r="D12053" s="8">
        <v>0.10100000000000001</v>
      </c>
    </row>
    <row r="12054" spans="1:4">
      <c r="A12054" t="str">
        <f t="shared" si="198"/>
        <v>2017Annual Standard Deviation</v>
      </c>
      <c r="B12054">
        <v>2017</v>
      </c>
      <c r="C12054" s="9" t="s">
        <v>35</v>
      </c>
      <c r="D12054" s="8">
        <v>2.9000000000000001E-2</v>
      </c>
    </row>
    <row r="12055" spans="1:4">
      <c r="A12055" t="str">
        <f t="shared" si="198"/>
        <v>2017Annual Variance</v>
      </c>
      <c r="B12055">
        <v>2017</v>
      </c>
      <c r="C12055" s="9" t="s">
        <v>36</v>
      </c>
      <c r="D12055" s="8">
        <v>1E-3</v>
      </c>
    </row>
    <row r="12056" spans="1:4">
      <c r="A12056" t="str">
        <f t="shared" si="198"/>
        <v>2017Information Ratio</v>
      </c>
      <c r="B12056">
        <v>2017</v>
      </c>
      <c r="C12056" s="9" t="s">
        <v>37</v>
      </c>
      <c r="D12056" s="8">
        <v>-1.4119999999999999</v>
      </c>
    </row>
    <row r="12057" spans="1:4">
      <c r="A12057" t="str">
        <f t="shared" si="198"/>
        <v>2017Tracking Error</v>
      </c>
      <c r="B12057">
        <v>2017</v>
      </c>
      <c r="C12057" s="9" t="s">
        <v>38</v>
      </c>
      <c r="D12057" s="8">
        <v>6.7000000000000004E-2</v>
      </c>
    </row>
    <row r="12058" spans="1:4">
      <c r="A12058" t="str">
        <f t="shared" si="198"/>
        <v>2017Treynor Ratio</v>
      </c>
      <c r="B12058">
        <v>2017</v>
      </c>
      <c r="C12058" s="9" t="s">
        <v>39</v>
      </c>
      <c r="D12058" s="8">
        <v>-0.437</v>
      </c>
    </row>
    <row r="12059" spans="1:4">
      <c r="A12059" t="str">
        <f t="shared" si="198"/>
        <v>2017Total Fees</v>
      </c>
      <c r="B12059">
        <v>2017</v>
      </c>
      <c r="C12059" s="9" t="s">
        <v>40</v>
      </c>
      <c r="D12059" s="8">
        <v>0</v>
      </c>
    </row>
    <row r="12060" spans="1:4">
      <c r="A12060" t="str">
        <f t="shared" si="198"/>
        <v>2017Estimated Strategy Capacity</v>
      </c>
      <c r="B12060">
        <v>2017</v>
      </c>
      <c r="C12060" s="9" t="s">
        <v>41</v>
      </c>
      <c r="D12060" s="8">
        <v>150000000</v>
      </c>
    </row>
    <row r="12061" spans="1:4">
      <c r="A12061" t="str">
        <f t="shared" si="198"/>
        <v>2018PSR</v>
      </c>
      <c r="B12061">
        <v>2018</v>
      </c>
      <c r="C12061" s="9" t="s">
        <v>27</v>
      </c>
      <c r="D12061" s="8">
        <v>3.3999999999999998E-3</v>
      </c>
    </row>
    <row r="12062" spans="1:4">
      <c r="A12062" t="str">
        <f t="shared" si="198"/>
        <v>2018Sharpe Ratio</v>
      </c>
      <c r="B12062">
        <v>2018</v>
      </c>
      <c r="C12062" s="9" t="s">
        <v>1</v>
      </c>
      <c r="D12062" s="8">
        <v>-1.4870000000000001</v>
      </c>
    </row>
    <row r="12063" spans="1:4">
      <c r="A12063" t="str">
        <f t="shared" si="198"/>
        <v>2018Total Trades</v>
      </c>
      <c r="B12063">
        <v>2018</v>
      </c>
      <c r="C12063" s="9" t="s">
        <v>28</v>
      </c>
      <c r="D12063" s="8">
        <v>523</v>
      </c>
    </row>
    <row r="12064" spans="1:4">
      <c r="A12064" t="str">
        <f t="shared" si="198"/>
        <v>2018Average Win</v>
      </c>
      <c r="B12064">
        <v>2018</v>
      </c>
      <c r="C12064" s="9" t="s">
        <v>25</v>
      </c>
      <c r="D12064" s="8">
        <v>1.6000000000000001E-3</v>
      </c>
    </row>
    <row r="12065" spans="1:4">
      <c r="A12065" t="str">
        <f t="shared" si="198"/>
        <v>2018Average Loss</v>
      </c>
      <c r="B12065">
        <v>2018</v>
      </c>
      <c r="C12065" s="9" t="s">
        <v>29</v>
      </c>
      <c r="D12065" s="8">
        <v>-4.7999999999999996E-3</v>
      </c>
    </row>
    <row r="12066" spans="1:4">
      <c r="A12066" t="str">
        <f t="shared" si="198"/>
        <v>2018Compounding Annual Return</v>
      </c>
      <c r="B12066">
        <v>2018</v>
      </c>
      <c r="C12066" s="9" t="s">
        <v>30</v>
      </c>
      <c r="D12066" s="8">
        <v>-9.6290000000000001E-2</v>
      </c>
    </row>
    <row r="12067" spans="1:4">
      <c r="A12067" t="str">
        <f t="shared" si="198"/>
        <v>2018Drawdown</v>
      </c>
      <c r="B12067">
        <v>2018</v>
      </c>
      <c r="C12067" s="9" t="s">
        <v>8</v>
      </c>
      <c r="D12067" s="8">
        <v>9.9000000000000005E-2</v>
      </c>
    </row>
    <row r="12068" spans="1:4">
      <c r="A12068" t="str">
        <f t="shared" si="198"/>
        <v>2018Expectancy</v>
      </c>
      <c r="B12068">
        <v>2018</v>
      </c>
      <c r="C12068" s="9" t="s">
        <v>31</v>
      </c>
      <c r="D12068" s="8">
        <v>-0.20699999999999999</v>
      </c>
    </row>
    <row r="12069" spans="1:4">
      <c r="A12069" t="str">
        <f t="shared" si="198"/>
        <v>2018Net Profit</v>
      </c>
      <c r="B12069">
        <v>2018</v>
      </c>
      <c r="C12069" s="9" t="s">
        <v>32</v>
      </c>
      <c r="D12069" s="8">
        <v>-6.5439999999999998E-2</v>
      </c>
    </row>
    <row r="12070" spans="1:4">
      <c r="A12070" t="str">
        <f t="shared" si="198"/>
        <v>2018Loss Rate</v>
      </c>
      <c r="B12070">
        <v>2018</v>
      </c>
      <c r="C12070" s="9" t="s">
        <v>33</v>
      </c>
      <c r="D12070" s="8">
        <v>0.4</v>
      </c>
    </row>
    <row r="12071" spans="1:4">
      <c r="A12071" t="str">
        <f t="shared" si="198"/>
        <v>2018Win Rate</v>
      </c>
      <c r="B12071">
        <v>2018</v>
      </c>
      <c r="C12071" s="9" t="s">
        <v>34</v>
      </c>
      <c r="D12071" s="8">
        <v>0.6</v>
      </c>
    </row>
    <row r="12072" spans="1:4">
      <c r="A12072" t="str">
        <f t="shared" si="198"/>
        <v>2018Profit-Loss Ratio</v>
      </c>
      <c r="B12072">
        <v>2018</v>
      </c>
      <c r="C12072" s="9" t="s">
        <v>26</v>
      </c>
      <c r="D12072" s="8">
        <v>0.33</v>
      </c>
    </row>
    <row r="12073" spans="1:4">
      <c r="A12073" t="str">
        <f t="shared" si="198"/>
        <v>2018Alpha</v>
      </c>
      <c r="B12073">
        <v>2018</v>
      </c>
      <c r="C12073" s="9" t="s">
        <v>23</v>
      </c>
      <c r="D12073" s="8">
        <v>-7.4999999999999997E-2</v>
      </c>
    </row>
    <row r="12074" spans="1:4">
      <c r="A12074" t="str">
        <f t="shared" si="198"/>
        <v>2018Beta</v>
      </c>
      <c r="B12074">
        <v>2018</v>
      </c>
      <c r="C12074" s="9" t="s">
        <v>24</v>
      </c>
      <c r="D12074" s="8">
        <v>0.156</v>
      </c>
    </row>
    <row r="12075" spans="1:4">
      <c r="A12075" t="str">
        <f t="shared" si="198"/>
        <v>2018Annual Standard Deviation</v>
      </c>
      <c r="B12075">
        <v>2018</v>
      </c>
      <c r="C12075" s="9" t="s">
        <v>35</v>
      </c>
      <c r="D12075" s="8">
        <v>4.4999999999999998E-2</v>
      </c>
    </row>
    <row r="12076" spans="1:4">
      <c r="A12076" t="str">
        <f t="shared" si="198"/>
        <v>2018Annual Variance</v>
      </c>
      <c r="B12076">
        <v>2018</v>
      </c>
      <c r="C12076" s="9" t="s">
        <v>36</v>
      </c>
      <c r="D12076" s="8">
        <v>2E-3</v>
      </c>
    </row>
    <row r="12077" spans="1:4">
      <c r="A12077" t="str">
        <f t="shared" si="198"/>
        <v>2018Information Ratio</v>
      </c>
      <c r="B12077">
        <v>2018</v>
      </c>
      <c r="C12077" s="9" t="s">
        <v>37</v>
      </c>
      <c r="D12077" s="8">
        <v>-1.633</v>
      </c>
    </row>
    <row r="12078" spans="1:4">
      <c r="A12078" t="str">
        <f t="shared" si="198"/>
        <v>2018Tracking Error</v>
      </c>
      <c r="B12078">
        <v>2018</v>
      </c>
      <c r="C12078" s="9" t="s">
        <v>38</v>
      </c>
      <c r="D12078" s="8">
        <v>7.1999999999999995E-2</v>
      </c>
    </row>
    <row r="12079" spans="1:4">
      <c r="A12079" t="str">
        <f t="shared" si="198"/>
        <v>2018Treynor Ratio</v>
      </c>
      <c r="B12079">
        <v>2018</v>
      </c>
      <c r="C12079" s="9" t="s">
        <v>39</v>
      </c>
      <c r="D12079" s="8">
        <v>-0.43</v>
      </c>
    </row>
    <row r="12080" spans="1:4">
      <c r="A12080" t="str">
        <f t="shared" si="198"/>
        <v>2018Total Fees</v>
      </c>
      <c r="B12080">
        <v>2018</v>
      </c>
      <c r="C12080" s="9" t="s">
        <v>40</v>
      </c>
      <c r="D12080" s="8">
        <v>0</v>
      </c>
    </row>
    <row r="12081" spans="1:4">
      <c r="A12081" t="str">
        <f t="shared" si="198"/>
        <v>2018Estimated Strategy Capacity</v>
      </c>
      <c r="B12081">
        <v>2018</v>
      </c>
      <c r="C12081" s="9" t="s">
        <v>41</v>
      </c>
      <c r="D12081" s="8">
        <v>32000000</v>
      </c>
    </row>
    <row r="12082" spans="1:4">
      <c r="A12082" t="str">
        <f t="shared" si="198"/>
        <v>2019PSR</v>
      </c>
      <c r="B12082">
        <v>2019</v>
      </c>
      <c r="C12082" s="9" t="s">
        <v>27</v>
      </c>
      <c r="D12082" s="8">
        <v>0.32643</v>
      </c>
    </row>
    <row r="12083" spans="1:4">
      <c r="A12083" t="str">
        <f t="shared" si="198"/>
        <v>2019Sharpe Ratio</v>
      </c>
      <c r="B12083">
        <v>2019</v>
      </c>
      <c r="C12083" s="9" t="s">
        <v>1</v>
      </c>
      <c r="D12083" s="8">
        <v>0.55700000000000005</v>
      </c>
    </row>
    <row r="12084" spans="1:4">
      <c r="A12084" t="str">
        <f t="shared" si="198"/>
        <v>2019Total Trades</v>
      </c>
      <c r="B12084">
        <v>2019</v>
      </c>
      <c r="C12084" s="9" t="s">
        <v>28</v>
      </c>
      <c r="D12084" s="8">
        <v>1459</v>
      </c>
    </row>
    <row r="12085" spans="1:4">
      <c r="A12085" t="str">
        <f t="shared" si="198"/>
        <v>2019Average Win</v>
      </c>
      <c r="B12085">
        <v>2019</v>
      </c>
      <c r="C12085" s="9" t="s">
        <v>25</v>
      </c>
      <c r="D12085" s="8">
        <v>6.9999999999999999E-4</v>
      </c>
    </row>
    <row r="12086" spans="1:4">
      <c r="A12086" t="str">
        <f t="shared" si="198"/>
        <v>2019Average Loss</v>
      </c>
      <c r="B12086">
        <v>2019</v>
      </c>
      <c r="C12086" s="9" t="s">
        <v>29</v>
      </c>
      <c r="D12086" s="8">
        <v>-1E-3</v>
      </c>
    </row>
    <row r="12087" spans="1:4">
      <c r="A12087" t="str">
        <f t="shared" si="198"/>
        <v>2019Compounding Annual Return</v>
      </c>
      <c r="B12087">
        <v>2019</v>
      </c>
      <c r="C12087" s="9" t="s">
        <v>30</v>
      </c>
      <c r="D12087" s="8">
        <v>1.321E-2</v>
      </c>
    </row>
    <row r="12088" spans="1:4">
      <c r="A12088" t="str">
        <f t="shared" ref="A12088:A12151" si="199">B12088&amp;C12088</f>
        <v>2019Drawdown</v>
      </c>
      <c r="B12088">
        <v>2019</v>
      </c>
      <c r="C12088" s="9" t="s">
        <v>8</v>
      </c>
      <c r="D12088" s="8">
        <v>8.0000000000000002E-3</v>
      </c>
    </row>
    <row r="12089" spans="1:4">
      <c r="A12089" t="str">
        <f t="shared" si="199"/>
        <v>2019Expectancy</v>
      </c>
      <c r="B12089">
        <v>2019</v>
      </c>
      <c r="C12089" s="9" t="s">
        <v>31</v>
      </c>
      <c r="D12089" s="8">
        <v>9.8000000000000004E-2</v>
      </c>
    </row>
    <row r="12090" spans="1:4">
      <c r="A12090" t="str">
        <f t="shared" si="199"/>
        <v>2019Net Profit</v>
      </c>
      <c r="B12090">
        <v>2019</v>
      </c>
      <c r="C12090" s="9" t="s">
        <v>32</v>
      </c>
      <c r="D12090" s="8">
        <v>8.8100000000000001E-3</v>
      </c>
    </row>
    <row r="12091" spans="1:4">
      <c r="A12091" t="str">
        <f t="shared" si="199"/>
        <v>2019Loss Rate</v>
      </c>
      <c r="B12091">
        <v>2019</v>
      </c>
      <c r="C12091" s="9" t="s">
        <v>33</v>
      </c>
      <c r="D12091" s="8">
        <v>0.38</v>
      </c>
    </row>
    <row r="12092" spans="1:4">
      <c r="A12092" t="str">
        <f t="shared" si="199"/>
        <v>2019Win Rate</v>
      </c>
      <c r="B12092">
        <v>2019</v>
      </c>
      <c r="C12092" s="9" t="s">
        <v>34</v>
      </c>
      <c r="D12092" s="8">
        <v>0.62</v>
      </c>
    </row>
    <row r="12093" spans="1:4">
      <c r="A12093" t="str">
        <f t="shared" si="199"/>
        <v>2019Profit-Loss Ratio</v>
      </c>
      <c r="B12093">
        <v>2019</v>
      </c>
      <c r="C12093" s="9" t="s">
        <v>26</v>
      </c>
      <c r="D12093" s="8">
        <v>0.76</v>
      </c>
    </row>
    <row r="12094" spans="1:4">
      <c r="A12094" t="str">
        <f t="shared" si="199"/>
        <v>2019Alpha</v>
      </c>
      <c r="B12094">
        <v>2019</v>
      </c>
      <c r="C12094" s="9" t="s">
        <v>23</v>
      </c>
      <c r="D12094" s="8">
        <v>8.9999999999999993E-3</v>
      </c>
    </row>
    <row r="12095" spans="1:4">
      <c r="A12095" t="str">
        <f t="shared" si="199"/>
        <v>2019Beta</v>
      </c>
      <c r="B12095">
        <v>2019</v>
      </c>
      <c r="C12095" s="9" t="s">
        <v>24</v>
      </c>
      <c r="D12095" s="8">
        <v>-1E-3</v>
      </c>
    </row>
    <row r="12096" spans="1:4">
      <c r="A12096" t="str">
        <f t="shared" si="199"/>
        <v>2019Annual Standard Deviation</v>
      </c>
      <c r="B12096">
        <v>2019</v>
      </c>
      <c r="C12096" s="9" t="s">
        <v>35</v>
      </c>
      <c r="D12096" s="8">
        <v>1.7000000000000001E-2</v>
      </c>
    </row>
    <row r="12097" spans="1:4">
      <c r="A12097" t="str">
        <f t="shared" si="199"/>
        <v>2019Annual Variance</v>
      </c>
      <c r="B12097">
        <v>2019</v>
      </c>
      <c r="C12097" s="9" t="s">
        <v>36</v>
      </c>
      <c r="D12097" s="8">
        <v>0</v>
      </c>
    </row>
    <row r="12098" spans="1:4">
      <c r="A12098" t="str">
        <f t="shared" si="199"/>
        <v>2019Information Ratio</v>
      </c>
      <c r="B12098">
        <v>2019</v>
      </c>
      <c r="C12098" s="9" t="s">
        <v>37</v>
      </c>
      <c r="D12098" s="8">
        <v>-0.57399999999999995</v>
      </c>
    </row>
    <row r="12099" spans="1:4">
      <c r="A12099" t="str">
        <f t="shared" si="199"/>
        <v>2019Tracking Error</v>
      </c>
      <c r="B12099">
        <v>2019</v>
      </c>
      <c r="C12099" s="9" t="s">
        <v>38</v>
      </c>
      <c r="D12099" s="8">
        <v>6.9000000000000006E-2</v>
      </c>
    </row>
    <row r="12100" spans="1:4">
      <c r="A12100" t="str">
        <f t="shared" si="199"/>
        <v>2019Treynor Ratio</v>
      </c>
      <c r="B12100">
        <v>2019</v>
      </c>
      <c r="C12100" s="9" t="s">
        <v>39</v>
      </c>
      <c r="D12100" s="8">
        <v>-9.7629999999999999</v>
      </c>
    </row>
    <row r="12101" spans="1:4">
      <c r="A12101" t="str">
        <f t="shared" si="199"/>
        <v>2019Total Fees</v>
      </c>
      <c r="B12101">
        <v>2019</v>
      </c>
      <c r="C12101" s="9" t="s">
        <v>40</v>
      </c>
      <c r="D12101" s="8">
        <v>0</v>
      </c>
    </row>
    <row r="12102" spans="1:4">
      <c r="A12102" t="str">
        <f t="shared" si="199"/>
        <v>2019Estimated Strategy Capacity</v>
      </c>
      <c r="B12102">
        <v>2019</v>
      </c>
      <c r="C12102" s="9" t="s">
        <v>41</v>
      </c>
      <c r="D12102" s="8">
        <v>610000000</v>
      </c>
    </row>
    <row r="12103" spans="1:4">
      <c r="A12103" t="str">
        <f t="shared" si="199"/>
        <v>2020PSR</v>
      </c>
      <c r="B12103">
        <v>2020</v>
      </c>
      <c r="C12103" s="9" t="s">
        <v>27</v>
      </c>
      <c r="D12103" s="8">
        <v>0.54052999999999995</v>
      </c>
    </row>
    <row r="12104" spans="1:4">
      <c r="A12104" t="str">
        <f t="shared" si="199"/>
        <v>2020Sharpe Ratio</v>
      </c>
      <c r="B12104">
        <v>2020</v>
      </c>
      <c r="C12104" s="9" t="s">
        <v>1</v>
      </c>
      <c r="D12104" s="8">
        <v>1.119</v>
      </c>
    </row>
    <row r="12105" spans="1:4">
      <c r="A12105" t="str">
        <f t="shared" si="199"/>
        <v>2020Total Trades</v>
      </c>
      <c r="B12105">
        <v>2020</v>
      </c>
      <c r="C12105" s="9" t="s">
        <v>28</v>
      </c>
      <c r="D12105" s="8">
        <v>1093</v>
      </c>
    </row>
    <row r="12106" spans="1:4">
      <c r="A12106" t="str">
        <f t="shared" si="199"/>
        <v>2020Average Win</v>
      </c>
      <c r="B12106">
        <v>2020</v>
      </c>
      <c r="C12106" s="9" t="s">
        <v>25</v>
      </c>
      <c r="D12106" s="8">
        <v>1.9E-3</v>
      </c>
    </row>
    <row r="12107" spans="1:4">
      <c r="A12107" t="str">
        <f t="shared" si="199"/>
        <v>2020Average Loss</v>
      </c>
      <c r="B12107">
        <v>2020</v>
      </c>
      <c r="C12107" s="9" t="s">
        <v>29</v>
      </c>
      <c r="D12107" s="8">
        <v>-2.3999999999999998E-3</v>
      </c>
    </row>
    <row r="12108" spans="1:4">
      <c r="A12108" t="str">
        <f t="shared" si="199"/>
        <v>2020Compounding Annual Return</v>
      </c>
      <c r="B12108">
        <v>2020</v>
      </c>
      <c r="C12108" s="9" t="s">
        <v>30</v>
      </c>
      <c r="D12108" s="8">
        <v>6.173E-2</v>
      </c>
    </row>
    <row r="12109" spans="1:4">
      <c r="A12109" t="str">
        <f t="shared" si="199"/>
        <v>2020Drawdown</v>
      </c>
      <c r="B12109">
        <v>2020</v>
      </c>
      <c r="C12109" s="9" t="s">
        <v>8</v>
      </c>
      <c r="D12109" s="8">
        <v>1.7999999999999999E-2</v>
      </c>
    </row>
    <row r="12110" spans="1:4">
      <c r="A12110" t="str">
        <f t="shared" si="199"/>
        <v>2020Expectancy</v>
      </c>
      <c r="B12110">
        <v>2020</v>
      </c>
      <c r="C12110" s="9" t="s">
        <v>31</v>
      </c>
      <c r="D12110" s="8">
        <v>0.19700000000000001</v>
      </c>
    </row>
    <row r="12111" spans="1:4">
      <c r="A12111" t="str">
        <f t="shared" si="199"/>
        <v>2020Net Profit</v>
      </c>
      <c r="B12111">
        <v>2020</v>
      </c>
      <c r="C12111" s="9" t="s">
        <v>32</v>
      </c>
      <c r="D12111" s="8">
        <v>4.0849999999999997E-2</v>
      </c>
    </row>
    <row r="12112" spans="1:4">
      <c r="A12112" t="str">
        <f t="shared" si="199"/>
        <v>2020Loss Rate</v>
      </c>
      <c r="B12112">
        <v>2020</v>
      </c>
      <c r="C12112" s="9" t="s">
        <v>33</v>
      </c>
      <c r="D12112" s="8">
        <v>0.34</v>
      </c>
    </row>
    <row r="12113" spans="1:4">
      <c r="A12113" t="str">
        <f t="shared" si="199"/>
        <v>2020Win Rate</v>
      </c>
      <c r="B12113">
        <v>2020</v>
      </c>
      <c r="C12113" s="9" t="s">
        <v>34</v>
      </c>
      <c r="D12113" s="8">
        <v>0.66</v>
      </c>
    </row>
    <row r="12114" spans="1:4">
      <c r="A12114" t="str">
        <f t="shared" si="199"/>
        <v>2020Profit-Loss Ratio</v>
      </c>
      <c r="B12114">
        <v>2020</v>
      </c>
      <c r="C12114" s="9" t="s">
        <v>26</v>
      </c>
      <c r="D12114" s="8">
        <v>0.81</v>
      </c>
    </row>
    <row r="12115" spans="1:4">
      <c r="A12115" t="str">
        <f t="shared" si="199"/>
        <v>2020Alpha</v>
      </c>
      <c r="B12115">
        <v>2020</v>
      </c>
      <c r="C12115" s="9" t="s">
        <v>23</v>
      </c>
      <c r="D12115" s="8">
        <v>4.2000000000000003E-2</v>
      </c>
    </row>
    <row r="12116" spans="1:4">
      <c r="A12116" t="str">
        <f t="shared" si="199"/>
        <v>2020Beta</v>
      </c>
      <c r="B12116">
        <v>2020</v>
      </c>
      <c r="C12116" s="9" t="s">
        <v>24</v>
      </c>
      <c r="D12116" s="8">
        <v>2.5999999999999999E-2</v>
      </c>
    </row>
    <row r="12117" spans="1:4">
      <c r="A12117" t="str">
        <f t="shared" si="199"/>
        <v>2020Annual Standard Deviation</v>
      </c>
      <c r="B12117">
        <v>2020</v>
      </c>
      <c r="C12117" s="9" t="s">
        <v>35</v>
      </c>
      <c r="D12117" s="8">
        <v>3.9E-2</v>
      </c>
    </row>
    <row r="12118" spans="1:4">
      <c r="A12118" t="str">
        <f t="shared" si="199"/>
        <v>2020Annual Variance</v>
      </c>
      <c r="B12118">
        <v>2020</v>
      </c>
      <c r="C12118" s="9" t="s">
        <v>36</v>
      </c>
      <c r="D12118" s="8">
        <v>1E-3</v>
      </c>
    </row>
    <row r="12119" spans="1:4">
      <c r="A12119" t="str">
        <f t="shared" si="199"/>
        <v>2020Information Ratio</v>
      </c>
      <c r="B12119">
        <v>2020</v>
      </c>
      <c r="C12119" s="9" t="s">
        <v>37</v>
      </c>
      <c r="D12119" s="8">
        <v>-9.1999999999999998E-2</v>
      </c>
    </row>
    <row r="12120" spans="1:4">
      <c r="A12120" t="str">
        <f t="shared" si="199"/>
        <v>2020Tracking Error</v>
      </c>
      <c r="B12120">
        <v>2020</v>
      </c>
      <c r="C12120" s="9" t="s">
        <v>38</v>
      </c>
      <c r="D12120" s="8">
        <v>7.5999999999999998E-2</v>
      </c>
    </row>
    <row r="12121" spans="1:4">
      <c r="A12121" t="str">
        <f t="shared" si="199"/>
        <v>2020Treynor Ratio</v>
      </c>
      <c r="B12121">
        <v>2020</v>
      </c>
      <c r="C12121" s="9" t="s">
        <v>39</v>
      </c>
      <c r="D12121" s="8">
        <v>1.657</v>
      </c>
    </row>
    <row r="12122" spans="1:4">
      <c r="A12122" t="str">
        <f t="shared" si="199"/>
        <v>2020Total Fees</v>
      </c>
      <c r="B12122">
        <v>2020</v>
      </c>
      <c r="C12122" s="9" t="s">
        <v>40</v>
      </c>
      <c r="D12122" s="8">
        <v>0</v>
      </c>
    </row>
    <row r="12123" spans="1:4">
      <c r="A12123" t="str">
        <f t="shared" si="199"/>
        <v>2020Estimated Strategy Capacity</v>
      </c>
      <c r="B12123">
        <v>2020</v>
      </c>
      <c r="C12123" s="9" t="s">
        <v>41</v>
      </c>
      <c r="D12123" s="8">
        <v>70000000</v>
      </c>
    </row>
    <row r="12124" spans="1:4">
      <c r="A12124" t="str">
        <f t="shared" si="199"/>
        <v>2021PSR</v>
      </c>
      <c r="B12124">
        <v>2021</v>
      </c>
      <c r="C12124" s="9" t="s">
        <v>27</v>
      </c>
      <c r="D12124" s="8">
        <v>0.46834999999999999</v>
      </c>
    </row>
    <row r="12125" spans="1:4">
      <c r="A12125" t="str">
        <f t="shared" si="199"/>
        <v>2021Sharpe Ratio</v>
      </c>
      <c r="B12125">
        <v>2021</v>
      </c>
      <c r="C12125" s="9" t="s">
        <v>1</v>
      </c>
      <c r="D12125" s="8">
        <v>0.94199999999999995</v>
      </c>
    </row>
    <row r="12126" spans="1:4">
      <c r="A12126" t="str">
        <f t="shared" si="199"/>
        <v>2021Total Trades</v>
      </c>
      <c r="B12126">
        <v>2021</v>
      </c>
      <c r="C12126" s="9" t="s">
        <v>28</v>
      </c>
      <c r="D12126" s="8">
        <v>798</v>
      </c>
    </row>
    <row r="12127" spans="1:4">
      <c r="A12127" t="str">
        <f t="shared" si="199"/>
        <v>2021Average Win</v>
      </c>
      <c r="B12127">
        <v>2021</v>
      </c>
      <c r="C12127" s="9" t="s">
        <v>25</v>
      </c>
      <c r="D12127" s="8">
        <v>2.2000000000000001E-3</v>
      </c>
    </row>
    <row r="12128" spans="1:4">
      <c r="A12128" t="str">
        <f t="shared" si="199"/>
        <v>2021Average Loss</v>
      </c>
      <c r="B12128">
        <v>2021</v>
      </c>
      <c r="C12128" s="9" t="s">
        <v>29</v>
      </c>
      <c r="D12128" s="8">
        <v>-3.0000000000000001E-3</v>
      </c>
    </row>
    <row r="12129" spans="1:4">
      <c r="A12129" t="str">
        <f t="shared" si="199"/>
        <v>2021Compounding Annual Return</v>
      </c>
      <c r="B12129">
        <v>2021</v>
      </c>
      <c r="C12129" s="9" t="s">
        <v>30</v>
      </c>
      <c r="D12129" s="8">
        <v>5.4739999999999997E-2</v>
      </c>
    </row>
    <row r="12130" spans="1:4">
      <c r="A12130" t="str">
        <f t="shared" si="199"/>
        <v>2021Drawdown</v>
      </c>
      <c r="B12130">
        <v>2021</v>
      </c>
      <c r="C12130" s="9" t="s">
        <v>8</v>
      </c>
      <c r="D12130" s="8">
        <v>2.8000000000000001E-2</v>
      </c>
    </row>
    <row r="12131" spans="1:4">
      <c r="A12131" t="str">
        <f t="shared" si="199"/>
        <v>2021Expectancy</v>
      </c>
      <c r="B12131">
        <v>2021</v>
      </c>
      <c r="C12131" s="9" t="s">
        <v>31</v>
      </c>
      <c r="D12131" s="8">
        <v>0.14199999999999999</v>
      </c>
    </row>
    <row r="12132" spans="1:4">
      <c r="A12132" t="str">
        <f t="shared" si="199"/>
        <v>2021Net Profit</v>
      </c>
      <c r="B12132">
        <v>2021</v>
      </c>
      <c r="C12132" s="9" t="s">
        <v>32</v>
      </c>
      <c r="D12132" s="8">
        <v>3.6260000000000001E-2</v>
      </c>
    </row>
    <row r="12133" spans="1:4">
      <c r="A12133" t="str">
        <f t="shared" si="199"/>
        <v>2021Loss Rate</v>
      </c>
      <c r="B12133">
        <v>2021</v>
      </c>
      <c r="C12133" s="9" t="s">
        <v>33</v>
      </c>
      <c r="D12133" s="8">
        <v>0.34</v>
      </c>
    </row>
    <row r="12134" spans="1:4">
      <c r="A12134" t="str">
        <f t="shared" si="199"/>
        <v>2021Win Rate</v>
      </c>
      <c r="B12134">
        <v>2021</v>
      </c>
      <c r="C12134" s="9" t="s">
        <v>34</v>
      </c>
      <c r="D12134" s="8">
        <v>0.66</v>
      </c>
    </row>
    <row r="12135" spans="1:4">
      <c r="A12135" t="str">
        <f t="shared" si="199"/>
        <v>2021Profit-Loss Ratio</v>
      </c>
      <c r="B12135">
        <v>2021</v>
      </c>
      <c r="C12135" s="9" t="s">
        <v>26</v>
      </c>
      <c r="D12135" s="8">
        <v>0.73</v>
      </c>
    </row>
    <row r="12136" spans="1:4">
      <c r="A12136" t="str">
        <f t="shared" si="199"/>
        <v>2021Alpha</v>
      </c>
      <c r="B12136">
        <v>2021</v>
      </c>
      <c r="C12136" s="9" t="s">
        <v>23</v>
      </c>
      <c r="D12136" s="8">
        <v>3.6999999999999998E-2</v>
      </c>
    </row>
    <row r="12137" spans="1:4">
      <c r="A12137" t="str">
        <f t="shared" si="199"/>
        <v>2021Beta</v>
      </c>
      <c r="B12137">
        <v>2021</v>
      </c>
      <c r="C12137" s="9" t="s">
        <v>24</v>
      </c>
      <c r="D12137" s="8">
        <v>2.8000000000000001E-2</v>
      </c>
    </row>
    <row r="12138" spans="1:4">
      <c r="A12138" t="str">
        <f t="shared" si="199"/>
        <v>2021Annual Standard Deviation</v>
      </c>
      <c r="B12138">
        <v>2021</v>
      </c>
      <c r="C12138" s="9" t="s">
        <v>35</v>
      </c>
      <c r="D12138" s="8">
        <v>4.1000000000000002E-2</v>
      </c>
    </row>
    <row r="12139" spans="1:4">
      <c r="A12139" t="str">
        <f t="shared" si="199"/>
        <v>2021Annual Variance</v>
      </c>
      <c r="B12139">
        <v>2021</v>
      </c>
      <c r="C12139" s="9" t="s">
        <v>36</v>
      </c>
      <c r="D12139" s="8">
        <v>2E-3</v>
      </c>
    </row>
    <row r="12140" spans="1:4">
      <c r="A12140" t="str">
        <f t="shared" si="199"/>
        <v>2021Information Ratio</v>
      </c>
      <c r="B12140">
        <v>2021</v>
      </c>
      <c r="C12140" s="9" t="s">
        <v>37</v>
      </c>
      <c r="D12140" s="8">
        <v>-0.151</v>
      </c>
    </row>
    <row r="12141" spans="1:4">
      <c r="A12141" t="str">
        <f t="shared" si="199"/>
        <v>2021Tracking Error</v>
      </c>
      <c r="B12141">
        <v>2021</v>
      </c>
      <c r="C12141" s="9" t="s">
        <v>38</v>
      </c>
      <c r="D12141" s="8">
        <v>7.6999999999999999E-2</v>
      </c>
    </row>
    <row r="12142" spans="1:4">
      <c r="A12142" t="str">
        <f t="shared" si="199"/>
        <v>2021Treynor Ratio</v>
      </c>
      <c r="B12142">
        <v>2021</v>
      </c>
      <c r="C12142" s="9" t="s">
        <v>39</v>
      </c>
      <c r="D12142" s="8">
        <v>1.3839999999999999</v>
      </c>
    </row>
    <row r="12143" spans="1:4">
      <c r="A12143" t="str">
        <f t="shared" si="199"/>
        <v>2021Total Fees</v>
      </c>
      <c r="B12143">
        <v>2021</v>
      </c>
      <c r="C12143" s="9" t="s">
        <v>40</v>
      </c>
      <c r="D12143" s="8">
        <v>0</v>
      </c>
    </row>
    <row r="12144" spans="1:4">
      <c r="A12144" t="str">
        <f t="shared" si="199"/>
        <v>2021Estimated Strategy Capacity</v>
      </c>
      <c r="B12144">
        <v>2021</v>
      </c>
      <c r="C12144" s="9" t="s">
        <v>41</v>
      </c>
      <c r="D12144" s="8">
        <v>17000000</v>
      </c>
    </row>
    <row r="12145" spans="1:4">
      <c r="A12145" t="str">
        <f t="shared" si="199"/>
        <v>2022PSR</v>
      </c>
      <c r="B12145">
        <v>2022</v>
      </c>
      <c r="C12145" s="9" t="s">
        <v>27</v>
      </c>
      <c r="D12145" s="8">
        <v>0.62219000000000002</v>
      </c>
    </row>
    <row r="12146" spans="1:4">
      <c r="A12146" t="str">
        <f t="shared" si="199"/>
        <v>2022Sharpe Ratio</v>
      </c>
      <c r="B12146">
        <v>2022</v>
      </c>
      <c r="C12146" s="9" t="s">
        <v>1</v>
      </c>
      <c r="D12146" s="8">
        <v>1.3</v>
      </c>
    </row>
    <row r="12147" spans="1:4">
      <c r="A12147" t="str">
        <f t="shared" si="199"/>
        <v>2022Total Trades</v>
      </c>
      <c r="B12147">
        <v>2022</v>
      </c>
      <c r="C12147" s="9" t="s">
        <v>28</v>
      </c>
      <c r="D12147" s="8">
        <v>907</v>
      </c>
    </row>
    <row r="12148" spans="1:4">
      <c r="A12148" t="str">
        <f t="shared" si="199"/>
        <v>2022Average Win</v>
      </c>
      <c r="B12148">
        <v>2022</v>
      </c>
      <c r="C12148" s="9" t="s">
        <v>25</v>
      </c>
      <c r="D12148" s="8">
        <v>6.9999999999999999E-4</v>
      </c>
    </row>
    <row r="12149" spans="1:4">
      <c r="A12149" t="str">
        <f t="shared" si="199"/>
        <v>2022Average Loss</v>
      </c>
      <c r="B12149">
        <v>2022</v>
      </c>
      <c r="C12149" s="9" t="s">
        <v>29</v>
      </c>
      <c r="D12149" s="8">
        <v>-8.0000000000000004E-4</v>
      </c>
    </row>
    <row r="12150" spans="1:4">
      <c r="A12150" t="str">
        <f t="shared" si="199"/>
        <v>2022Compounding Annual Return</v>
      </c>
      <c r="B12150">
        <v>2022</v>
      </c>
      <c r="C12150" s="9" t="s">
        <v>30</v>
      </c>
      <c r="D12150" s="8">
        <v>2.3910000000000001E-2</v>
      </c>
    </row>
    <row r="12151" spans="1:4">
      <c r="A12151" t="str">
        <f t="shared" si="199"/>
        <v>2022Drawdown</v>
      </c>
      <c r="B12151">
        <v>2022</v>
      </c>
      <c r="C12151" s="9" t="s">
        <v>8</v>
      </c>
      <c r="D12151" s="8">
        <v>7.0000000000000001E-3</v>
      </c>
    </row>
    <row r="12152" spans="1:4">
      <c r="A12152" t="str">
        <f t="shared" ref="A12152:A12215" si="200">B12152&amp;C12152</f>
        <v>2022Expectancy</v>
      </c>
      <c r="B12152">
        <v>2022</v>
      </c>
      <c r="C12152" s="9" t="s">
        <v>31</v>
      </c>
      <c r="D12152" s="8">
        <v>0.28399999999999997</v>
      </c>
    </row>
    <row r="12153" spans="1:4">
      <c r="A12153" t="str">
        <f t="shared" si="200"/>
        <v>2022Net Profit</v>
      </c>
      <c r="B12153">
        <v>2022</v>
      </c>
      <c r="C12153" s="9" t="s">
        <v>32</v>
      </c>
      <c r="D12153" s="8">
        <v>1.592E-2</v>
      </c>
    </row>
    <row r="12154" spans="1:4">
      <c r="A12154" t="str">
        <f t="shared" si="200"/>
        <v>2022Loss Rate</v>
      </c>
      <c r="B12154">
        <v>2022</v>
      </c>
      <c r="C12154" s="9" t="s">
        <v>33</v>
      </c>
      <c r="D12154" s="8">
        <v>0.32</v>
      </c>
    </row>
    <row r="12155" spans="1:4">
      <c r="A12155" t="str">
        <f t="shared" si="200"/>
        <v>2022Win Rate</v>
      </c>
      <c r="B12155">
        <v>2022</v>
      </c>
      <c r="C12155" s="9" t="s">
        <v>34</v>
      </c>
      <c r="D12155" s="8">
        <v>0.68</v>
      </c>
    </row>
    <row r="12156" spans="1:4">
      <c r="A12156" t="str">
        <f t="shared" si="200"/>
        <v>2022Profit-Loss Ratio</v>
      </c>
      <c r="B12156">
        <v>2022</v>
      </c>
      <c r="C12156" s="9" t="s">
        <v>26</v>
      </c>
      <c r="D12156" s="8">
        <v>0.89</v>
      </c>
    </row>
    <row r="12157" spans="1:4">
      <c r="A12157" t="str">
        <f t="shared" si="200"/>
        <v>2022Alpha</v>
      </c>
      <c r="B12157">
        <v>2022</v>
      </c>
      <c r="C12157" s="9" t="s">
        <v>23</v>
      </c>
      <c r="D12157" s="8">
        <v>1.7000000000000001E-2</v>
      </c>
    </row>
    <row r="12158" spans="1:4">
      <c r="A12158" t="str">
        <f t="shared" si="200"/>
        <v>2022Beta</v>
      </c>
      <c r="B12158">
        <v>2022</v>
      </c>
      <c r="C12158" s="9" t="s">
        <v>24</v>
      </c>
      <c r="D12158" s="8">
        <v>1E-3</v>
      </c>
    </row>
    <row r="12159" spans="1:4">
      <c r="A12159" t="str">
        <f t="shared" si="200"/>
        <v>2022Annual Standard Deviation</v>
      </c>
      <c r="B12159">
        <v>2022</v>
      </c>
      <c r="C12159" s="9" t="s">
        <v>35</v>
      </c>
      <c r="D12159" s="8">
        <v>1.2999999999999999E-2</v>
      </c>
    </row>
    <row r="12160" spans="1:4">
      <c r="A12160" t="str">
        <f t="shared" si="200"/>
        <v>2022Annual Variance</v>
      </c>
      <c r="B12160">
        <v>2022</v>
      </c>
      <c r="C12160" s="9" t="s">
        <v>36</v>
      </c>
      <c r="D12160" s="8">
        <v>0</v>
      </c>
    </row>
    <row r="12161" spans="1:4">
      <c r="A12161" t="str">
        <f t="shared" si="200"/>
        <v>2022Information Ratio</v>
      </c>
      <c r="B12161">
        <v>2022</v>
      </c>
      <c r="C12161" s="9" t="s">
        <v>37</v>
      </c>
      <c r="D12161" s="8">
        <v>-0.49</v>
      </c>
    </row>
    <row r="12162" spans="1:4">
      <c r="A12162" t="str">
        <f t="shared" si="200"/>
        <v>2022Tracking Error</v>
      </c>
      <c r="B12162">
        <v>2022</v>
      </c>
      <c r="C12162" s="9" t="s">
        <v>38</v>
      </c>
      <c r="D12162" s="8">
        <v>6.8000000000000005E-2</v>
      </c>
    </row>
    <row r="12163" spans="1:4">
      <c r="A12163" t="str">
        <f t="shared" si="200"/>
        <v>2022Treynor Ratio</v>
      </c>
      <c r="B12163">
        <v>2022</v>
      </c>
      <c r="C12163" s="9" t="s">
        <v>39</v>
      </c>
      <c r="D12163" s="8">
        <v>22.686</v>
      </c>
    </row>
    <row r="12164" spans="1:4">
      <c r="A12164" t="str">
        <f t="shared" si="200"/>
        <v>2022Total Fees</v>
      </c>
      <c r="B12164">
        <v>2022</v>
      </c>
      <c r="C12164" s="9" t="s">
        <v>40</v>
      </c>
      <c r="D12164" s="8">
        <v>0</v>
      </c>
    </row>
    <row r="12165" spans="1:4">
      <c r="A12165" t="str">
        <f t="shared" si="200"/>
        <v>2022Estimated Strategy Capacity</v>
      </c>
      <c r="B12165">
        <v>2022</v>
      </c>
      <c r="C12165" s="9" t="s">
        <v>41</v>
      </c>
      <c r="D12165" s="8">
        <v>6900000</v>
      </c>
    </row>
    <row r="12166" spans="1:4">
      <c r="A12166" t="str">
        <f t="shared" si="200"/>
        <v>2023PSR</v>
      </c>
      <c r="B12166">
        <v>2023</v>
      </c>
      <c r="C12166" s="9" t="s">
        <v>27</v>
      </c>
      <c r="D12166" s="8">
        <v>0.65010000000000001</v>
      </c>
    </row>
    <row r="12167" spans="1:4">
      <c r="A12167" t="str">
        <f t="shared" si="200"/>
        <v>2023Sharpe Ratio</v>
      </c>
      <c r="B12167">
        <v>2023</v>
      </c>
      <c r="C12167" s="9" t="s">
        <v>1</v>
      </c>
      <c r="D12167" s="8">
        <v>1.409</v>
      </c>
    </row>
    <row r="12168" spans="1:4">
      <c r="A12168" t="str">
        <f t="shared" si="200"/>
        <v>2023Total Trades</v>
      </c>
      <c r="B12168">
        <v>2023</v>
      </c>
      <c r="C12168" s="9" t="s">
        <v>28</v>
      </c>
      <c r="D12168" s="8">
        <v>690</v>
      </c>
    </row>
    <row r="12169" spans="1:4">
      <c r="A12169" t="str">
        <f t="shared" si="200"/>
        <v>2023Average Win</v>
      </c>
      <c r="B12169">
        <v>2023</v>
      </c>
      <c r="C12169" s="9" t="s">
        <v>25</v>
      </c>
      <c r="D12169" s="8">
        <v>1.6999999999999999E-3</v>
      </c>
    </row>
    <row r="12170" spans="1:4">
      <c r="A12170" t="str">
        <f t="shared" si="200"/>
        <v>2023Average Loss</v>
      </c>
      <c r="B12170">
        <v>2023</v>
      </c>
      <c r="C12170" s="9" t="s">
        <v>29</v>
      </c>
      <c r="D12170" s="8">
        <v>-2.0999999999999999E-3</v>
      </c>
    </row>
    <row r="12171" spans="1:4">
      <c r="A12171" t="str">
        <f t="shared" si="200"/>
        <v>2023Compounding Annual Return</v>
      </c>
      <c r="B12171">
        <v>2023</v>
      </c>
      <c r="C12171" s="9" t="s">
        <v>30</v>
      </c>
      <c r="D12171" s="8">
        <v>5.9119999999999999E-2</v>
      </c>
    </row>
    <row r="12172" spans="1:4">
      <c r="A12172" t="str">
        <f t="shared" si="200"/>
        <v>2023Drawdown</v>
      </c>
      <c r="B12172">
        <v>2023</v>
      </c>
      <c r="C12172" s="9" t="s">
        <v>8</v>
      </c>
      <c r="D12172" s="8">
        <v>1.6E-2</v>
      </c>
    </row>
    <row r="12173" spans="1:4">
      <c r="A12173" t="str">
        <f t="shared" si="200"/>
        <v>2023Expectancy</v>
      </c>
      <c r="B12173">
        <v>2023</v>
      </c>
      <c r="C12173" s="9" t="s">
        <v>31</v>
      </c>
      <c r="D12173" s="8">
        <v>0.27</v>
      </c>
    </row>
    <row r="12174" spans="1:4">
      <c r="A12174" t="str">
        <f t="shared" si="200"/>
        <v>2023Net Profit</v>
      </c>
      <c r="B12174">
        <v>2023</v>
      </c>
      <c r="C12174" s="9" t="s">
        <v>32</v>
      </c>
      <c r="D12174" s="8">
        <v>3.9140000000000001E-2</v>
      </c>
    </row>
    <row r="12175" spans="1:4">
      <c r="A12175" t="str">
        <f t="shared" si="200"/>
        <v>2023Loss Rate</v>
      </c>
      <c r="B12175">
        <v>2023</v>
      </c>
      <c r="C12175" s="9" t="s">
        <v>33</v>
      </c>
      <c r="D12175" s="8">
        <v>0.31</v>
      </c>
    </row>
    <row r="12176" spans="1:4">
      <c r="A12176" t="str">
        <f t="shared" si="200"/>
        <v>2023Win Rate</v>
      </c>
      <c r="B12176">
        <v>2023</v>
      </c>
      <c r="C12176" s="9" t="s">
        <v>34</v>
      </c>
      <c r="D12176" s="8">
        <v>0.69</v>
      </c>
    </row>
    <row r="12177" spans="1:4">
      <c r="A12177" t="str">
        <f t="shared" si="200"/>
        <v>2023Profit-Loss Ratio</v>
      </c>
      <c r="B12177">
        <v>2023</v>
      </c>
      <c r="C12177" s="9" t="s">
        <v>26</v>
      </c>
      <c r="D12177" s="8">
        <v>0.84</v>
      </c>
    </row>
    <row r="12178" spans="1:4">
      <c r="A12178" t="str">
        <f t="shared" si="200"/>
        <v>2023Alpha</v>
      </c>
      <c r="B12178">
        <v>2023</v>
      </c>
      <c r="C12178" s="9" t="s">
        <v>23</v>
      </c>
      <c r="D12178" s="8">
        <v>3.7999999999999999E-2</v>
      </c>
    </row>
    <row r="12179" spans="1:4">
      <c r="A12179" t="str">
        <f t="shared" si="200"/>
        <v>2023Beta</v>
      </c>
      <c r="B12179">
        <v>2023</v>
      </c>
      <c r="C12179" s="9" t="s">
        <v>24</v>
      </c>
      <c r="D12179" s="8">
        <v>5.5E-2</v>
      </c>
    </row>
    <row r="12180" spans="1:4">
      <c r="A12180" t="str">
        <f t="shared" si="200"/>
        <v>2023Annual Standard Deviation</v>
      </c>
      <c r="B12180">
        <v>2023</v>
      </c>
      <c r="C12180" s="9" t="s">
        <v>35</v>
      </c>
      <c r="D12180" s="8">
        <v>2.9000000000000001E-2</v>
      </c>
    </row>
    <row r="12181" spans="1:4">
      <c r="A12181" t="str">
        <f t="shared" si="200"/>
        <v>2023Annual Variance</v>
      </c>
      <c r="B12181">
        <v>2023</v>
      </c>
      <c r="C12181" s="9" t="s">
        <v>36</v>
      </c>
      <c r="D12181" s="8">
        <v>1E-3</v>
      </c>
    </row>
    <row r="12182" spans="1:4">
      <c r="A12182" t="str">
        <f t="shared" si="200"/>
        <v>2023Information Ratio</v>
      </c>
      <c r="B12182">
        <v>2023</v>
      </c>
      <c r="C12182" s="9" t="s">
        <v>37</v>
      </c>
      <c r="D12182" s="8">
        <v>-0.13</v>
      </c>
    </row>
    <row r="12183" spans="1:4">
      <c r="A12183" t="str">
        <f t="shared" si="200"/>
        <v>2023Tracking Error</v>
      </c>
      <c r="B12183">
        <v>2023</v>
      </c>
      <c r="C12183" s="9" t="s">
        <v>38</v>
      </c>
      <c r="D12183" s="8">
        <v>7.0000000000000007E-2</v>
      </c>
    </row>
    <row r="12184" spans="1:4">
      <c r="A12184" t="str">
        <f t="shared" si="200"/>
        <v>2023Treynor Ratio</v>
      </c>
      <c r="B12184">
        <v>2023</v>
      </c>
      <c r="C12184" s="9" t="s">
        <v>39</v>
      </c>
      <c r="D12184" s="8">
        <v>0.74299999999999999</v>
      </c>
    </row>
    <row r="12185" spans="1:4">
      <c r="A12185" t="str">
        <f t="shared" si="200"/>
        <v>2023Total Fees</v>
      </c>
      <c r="B12185">
        <v>2023</v>
      </c>
      <c r="C12185" s="9" t="s">
        <v>40</v>
      </c>
      <c r="D12185" s="8">
        <v>0</v>
      </c>
    </row>
    <row r="12186" spans="1:4">
      <c r="A12186" t="str">
        <f t="shared" si="200"/>
        <v>2023Estimated Strategy Capacity</v>
      </c>
      <c r="B12186">
        <v>2023</v>
      </c>
      <c r="C12186" s="9" t="s">
        <v>41</v>
      </c>
      <c r="D12186" s="8">
        <v>7100000</v>
      </c>
    </row>
    <row r="12187" spans="1:4">
      <c r="A12187" t="str">
        <f t="shared" si="200"/>
        <v>2024PSR</v>
      </c>
      <c r="B12187">
        <v>2024</v>
      </c>
      <c r="C12187" s="9" t="s">
        <v>27</v>
      </c>
      <c r="D12187" s="8">
        <v>0.48544999999999999</v>
      </c>
    </row>
    <row r="12188" spans="1:4">
      <c r="A12188" t="str">
        <f t="shared" si="200"/>
        <v>2024Sharpe Ratio</v>
      </c>
      <c r="B12188">
        <v>2024</v>
      </c>
      <c r="C12188" s="9" t="s">
        <v>1</v>
      </c>
      <c r="D12188" s="8">
        <v>0.98199999999999998</v>
      </c>
    </row>
    <row r="12189" spans="1:4">
      <c r="A12189" t="str">
        <f t="shared" si="200"/>
        <v>2024Total Trades</v>
      </c>
      <c r="B12189">
        <v>2024</v>
      </c>
      <c r="C12189" s="9" t="s">
        <v>28</v>
      </c>
      <c r="D12189" s="8">
        <v>514</v>
      </c>
    </row>
    <row r="12190" spans="1:4">
      <c r="A12190" t="str">
        <f t="shared" si="200"/>
        <v>2024Average Win</v>
      </c>
      <c r="B12190">
        <v>2024</v>
      </c>
      <c r="C12190" s="9" t="s">
        <v>25</v>
      </c>
      <c r="D12190" s="8">
        <v>2.3E-3</v>
      </c>
    </row>
    <row r="12191" spans="1:4">
      <c r="A12191" t="str">
        <f t="shared" si="200"/>
        <v>2024Average Loss</v>
      </c>
      <c r="B12191">
        <v>2024</v>
      </c>
      <c r="C12191" s="9" t="s">
        <v>29</v>
      </c>
      <c r="D12191" s="8">
        <v>-2.7000000000000001E-3</v>
      </c>
    </row>
    <row r="12192" spans="1:4">
      <c r="A12192" t="str">
        <f t="shared" si="200"/>
        <v>2024Compounding Annual Return</v>
      </c>
      <c r="B12192">
        <v>2024</v>
      </c>
      <c r="C12192" s="9" t="s">
        <v>30</v>
      </c>
      <c r="D12192" s="8">
        <v>5.364E-2</v>
      </c>
    </row>
    <row r="12193" spans="1:4">
      <c r="A12193" t="str">
        <f t="shared" si="200"/>
        <v>2024Drawdown</v>
      </c>
      <c r="B12193">
        <v>2024</v>
      </c>
      <c r="C12193" s="9" t="s">
        <v>8</v>
      </c>
      <c r="D12193" s="8">
        <v>2.1000000000000001E-2</v>
      </c>
    </row>
    <row r="12194" spans="1:4">
      <c r="A12194" t="str">
        <f t="shared" si="200"/>
        <v>2024Expectancy</v>
      </c>
      <c r="B12194">
        <v>2024</v>
      </c>
      <c r="C12194" s="9" t="s">
        <v>31</v>
      </c>
      <c r="D12194" s="8">
        <v>0.19500000000000001</v>
      </c>
    </row>
    <row r="12195" spans="1:4">
      <c r="A12195" t="str">
        <f t="shared" si="200"/>
        <v>2024Net Profit</v>
      </c>
      <c r="B12195">
        <v>2024</v>
      </c>
      <c r="C12195" s="9" t="s">
        <v>32</v>
      </c>
      <c r="D12195" s="8">
        <v>3.5540000000000002E-2</v>
      </c>
    </row>
    <row r="12196" spans="1:4">
      <c r="A12196" t="str">
        <f t="shared" si="200"/>
        <v>2024Loss Rate</v>
      </c>
      <c r="B12196">
        <v>2024</v>
      </c>
      <c r="C12196" s="9" t="s">
        <v>33</v>
      </c>
      <c r="D12196" s="8">
        <v>0.35</v>
      </c>
    </row>
    <row r="12197" spans="1:4">
      <c r="A12197" t="str">
        <f t="shared" si="200"/>
        <v>2024Win Rate</v>
      </c>
      <c r="B12197">
        <v>2024</v>
      </c>
      <c r="C12197" s="9" t="s">
        <v>34</v>
      </c>
      <c r="D12197" s="8">
        <v>0.65</v>
      </c>
    </row>
    <row r="12198" spans="1:4">
      <c r="A12198" t="str">
        <f t="shared" si="200"/>
        <v>2024Profit-Loss Ratio</v>
      </c>
      <c r="B12198">
        <v>2024</v>
      </c>
      <c r="C12198" s="9" t="s">
        <v>26</v>
      </c>
      <c r="D12198" s="8">
        <v>0.85</v>
      </c>
    </row>
    <row r="12199" spans="1:4">
      <c r="A12199" t="str">
        <f t="shared" si="200"/>
        <v>2024Alpha</v>
      </c>
      <c r="B12199">
        <v>2024</v>
      </c>
      <c r="C12199" s="9" t="s">
        <v>23</v>
      </c>
      <c r="D12199" s="8">
        <v>3.5999999999999997E-2</v>
      </c>
    </row>
    <row r="12200" spans="1:4">
      <c r="A12200" t="str">
        <f t="shared" si="200"/>
        <v>2024Beta</v>
      </c>
      <c r="B12200">
        <v>2024</v>
      </c>
      <c r="C12200" s="9" t="s">
        <v>24</v>
      </c>
      <c r="D12200" s="8">
        <v>3.1E-2</v>
      </c>
    </row>
    <row r="12201" spans="1:4">
      <c r="A12201" t="str">
        <f t="shared" si="200"/>
        <v>2024Annual Standard Deviation</v>
      </c>
      <c r="B12201">
        <v>2024</v>
      </c>
      <c r="C12201" s="9" t="s">
        <v>35</v>
      </c>
      <c r="D12201" s="8">
        <v>3.7999999999999999E-2</v>
      </c>
    </row>
    <row r="12202" spans="1:4">
      <c r="A12202" t="str">
        <f t="shared" si="200"/>
        <v>2024Annual Variance</v>
      </c>
      <c r="B12202">
        <v>2024</v>
      </c>
      <c r="C12202" s="9" t="s">
        <v>36</v>
      </c>
      <c r="D12202" s="8">
        <v>1E-3</v>
      </c>
    </row>
    <row r="12203" spans="1:4">
      <c r="A12203" t="str">
        <f t="shared" si="200"/>
        <v>2024Information Ratio</v>
      </c>
      <c r="B12203">
        <v>2024</v>
      </c>
      <c r="C12203" s="9" t="s">
        <v>37</v>
      </c>
      <c r="D12203" s="8">
        <v>-0.16500000000000001</v>
      </c>
    </row>
    <row r="12204" spans="1:4">
      <c r="A12204" t="str">
        <f t="shared" si="200"/>
        <v>2024Tracking Error</v>
      </c>
      <c r="B12204">
        <v>2024</v>
      </c>
      <c r="C12204" s="9" t="s">
        <v>38</v>
      </c>
      <c r="D12204" s="8">
        <v>7.4999999999999997E-2</v>
      </c>
    </row>
    <row r="12205" spans="1:4">
      <c r="A12205" t="str">
        <f t="shared" si="200"/>
        <v>2024Treynor Ratio</v>
      </c>
      <c r="B12205">
        <v>2024</v>
      </c>
      <c r="C12205" s="9" t="s">
        <v>39</v>
      </c>
      <c r="D12205" s="8">
        <v>1.2</v>
      </c>
    </row>
    <row r="12206" spans="1:4">
      <c r="A12206" t="str">
        <f t="shared" si="200"/>
        <v>2024Total Fees</v>
      </c>
      <c r="B12206">
        <v>2024</v>
      </c>
      <c r="C12206" s="9" t="s">
        <v>40</v>
      </c>
      <c r="D12206" s="8">
        <v>0</v>
      </c>
    </row>
    <row r="12207" spans="1:4">
      <c r="A12207" t="str">
        <f t="shared" si="200"/>
        <v>2024Estimated Strategy Capacity</v>
      </c>
      <c r="B12207">
        <v>2024</v>
      </c>
      <c r="C12207" s="9" t="s">
        <v>41</v>
      </c>
      <c r="D12207" s="8">
        <v>7000000</v>
      </c>
    </row>
    <row r="12208" spans="1:4">
      <c r="A12208" t="str">
        <f t="shared" si="200"/>
        <v>2025PSR</v>
      </c>
      <c r="B12208">
        <v>2025</v>
      </c>
      <c r="C12208" s="9" t="s">
        <v>27</v>
      </c>
      <c r="D12208" s="8">
        <v>0.14868000000000001</v>
      </c>
    </row>
    <row r="12209" spans="1:4">
      <c r="A12209" t="str">
        <f t="shared" si="200"/>
        <v>2025Sharpe Ratio</v>
      </c>
      <c r="B12209">
        <v>2025</v>
      </c>
      <c r="C12209" s="9" t="s">
        <v>1</v>
      </c>
      <c r="D12209" s="8">
        <v>-5.5E-2</v>
      </c>
    </row>
    <row r="12210" spans="1:4">
      <c r="A12210" t="str">
        <f t="shared" si="200"/>
        <v>2025Total Trades</v>
      </c>
      <c r="B12210">
        <v>2025</v>
      </c>
      <c r="C12210" s="9" t="s">
        <v>28</v>
      </c>
      <c r="D12210" s="8">
        <v>728</v>
      </c>
    </row>
    <row r="12211" spans="1:4">
      <c r="A12211" t="str">
        <f t="shared" si="200"/>
        <v>2025Average Win</v>
      </c>
      <c r="B12211">
        <v>2025</v>
      </c>
      <c r="C12211" s="9" t="s">
        <v>25</v>
      </c>
      <c r="D12211" s="8">
        <v>8.0000000000000004E-4</v>
      </c>
    </row>
    <row r="12212" spans="1:4">
      <c r="A12212" t="str">
        <f t="shared" si="200"/>
        <v>2025Average Loss</v>
      </c>
      <c r="B12212">
        <v>2025</v>
      </c>
      <c r="C12212" s="9" t="s">
        <v>29</v>
      </c>
      <c r="D12212" s="8">
        <v>-1.4E-3</v>
      </c>
    </row>
    <row r="12213" spans="1:4">
      <c r="A12213" t="str">
        <f t="shared" si="200"/>
        <v>2025Compounding Annual Return</v>
      </c>
      <c r="B12213">
        <v>2025</v>
      </c>
      <c r="C12213" s="9" t="s">
        <v>30</v>
      </c>
      <c r="D12213" s="8">
        <v>-1.7899999999999999E-3</v>
      </c>
    </row>
    <row r="12214" spans="1:4">
      <c r="A12214" t="str">
        <f t="shared" si="200"/>
        <v>2025Drawdown</v>
      </c>
      <c r="B12214">
        <v>2025</v>
      </c>
      <c r="C12214" s="9" t="s">
        <v>8</v>
      </c>
      <c r="D12214" s="8">
        <v>1.7000000000000001E-2</v>
      </c>
    </row>
    <row r="12215" spans="1:4">
      <c r="A12215" t="str">
        <f t="shared" si="200"/>
        <v>2025Expectancy</v>
      </c>
      <c r="B12215">
        <v>2025</v>
      </c>
      <c r="C12215" s="9" t="s">
        <v>31</v>
      </c>
      <c r="D12215" s="8">
        <v>-2.3E-2</v>
      </c>
    </row>
    <row r="12216" spans="1:4">
      <c r="A12216" t="str">
        <f t="shared" ref="A12216:A12279" si="201">B12216&amp;C12216</f>
        <v>2025Net Profit</v>
      </c>
      <c r="B12216">
        <v>2025</v>
      </c>
      <c r="C12216" s="9" t="s">
        <v>32</v>
      </c>
      <c r="D12216" s="8">
        <v>-1.1999999999999999E-3</v>
      </c>
    </row>
    <row r="12217" spans="1:4">
      <c r="A12217" t="str">
        <f t="shared" si="201"/>
        <v>2025Loss Rate</v>
      </c>
      <c r="B12217">
        <v>2025</v>
      </c>
      <c r="C12217" s="9" t="s">
        <v>33</v>
      </c>
      <c r="D12217" s="8">
        <v>0.37</v>
      </c>
    </row>
    <row r="12218" spans="1:4">
      <c r="A12218" t="str">
        <f t="shared" si="201"/>
        <v>2025Win Rate</v>
      </c>
      <c r="B12218">
        <v>2025</v>
      </c>
      <c r="C12218" s="9" t="s">
        <v>34</v>
      </c>
      <c r="D12218" s="8">
        <v>0.63</v>
      </c>
    </row>
    <row r="12219" spans="1:4">
      <c r="A12219" t="str">
        <f t="shared" si="201"/>
        <v>2025Profit-Loss Ratio</v>
      </c>
      <c r="B12219">
        <v>2025</v>
      </c>
      <c r="C12219" s="9" t="s">
        <v>26</v>
      </c>
      <c r="D12219" s="8">
        <v>0.55000000000000004</v>
      </c>
    </row>
    <row r="12220" spans="1:4">
      <c r="A12220" t="str">
        <f t="shared" si="201"/>
        <v>2025Alpha</v>
      </c>
      <c r="B12220">
        <v>2025</v>
      </c>
      <c r="C12220" s="9" t="s">
        <v>23</v>
      </c>
      <c r="D12220" s="8">
        <v>-2E-3</v>
      </c>
    </row>
    <row r="12221" spans="1:4">
      <c r="A12221" t="str">
        <f t="shared" si="201"/>
        <v>2025Beta</v>
      </c>
      <c r="B12221">
        <v>2025</v>
      </c>
      <c r="C12221" s="9" t="s">
        <v>24</v>
      </c>
      <c r="D12221" s="8">
        <v>2.9000000000000001E-2</v>
      </c>
    </row>
    <row r="12222" spans="1:4">
      <c r="A12222" t="str">
        <f t="shared" si="201"/>
        <v>2025Annual Standard Deviation</v>
      </c>
      <c r="B12222">
        <v>2025</v>
      </c>
      <c r="C12222" s="9" t="s">
        <v>35</v>
      </c>
      <c r="D12222" s="8">
        <v>1.9E-2</v>
      </c>
    </row>
    <row r="12223" spans="1:4">
      <c r="A12223" t="str">
        <f t="shared" si="201"/>
        <v>2025Annual Variance</v>
      </c>
      <c r="B12223">
        <v>2025</v>
      </c>
      <c r="C12223" s="9" t="s">
        <v>36</v>
      </c>
      <c r="D12223" s="8">
        <v>0</v>
      </c>
    </row>
    <row r="12224" spans="1:4">
      <c r="A12224" t="str">
        <f t="shared" si="201"/>
        <v>2025Information Ratio</v>
      </c>
      <c r="B12224">
        <v>2025</v>
      </c>
      <c r="C12224" s="9" t="s">
        <v>37</v>
      </c>
      <c r="D12224" s="8">
        <v>-0.73699999999999999</v>
      </c>
    </row>
    <row r="12225" spans="1:4">
      <c r="A12225" t="str">
        <f t="shared" si="201"/>
        <v>2025Tracking Error</v>
      </c>
      <c r="B12225">
        <v>2025</v>
      </c>
      <c r="C12225" s="9" t="s">
        <v>38</v>
      </c>
      <c r="D12225" s="8">
        <v>6.8000000000000005E-2</v>
      </c>
    </row>
    <row r="12226" spans="1:4">
      <c r="A12226" t="str">
        <f t="shared" si="201"/>
        <v>2025Treynor Ratio</v>
      </c>
      <c r="B12226">
        <v>2025</v>
      </c>
      <c r="C12226" s="9" t="s">
        <v>39</v>
      </c>
      <c r="D12226" s="8">
        <v>-3.5999999999999997E-2</v>
      </c>
    </row>
    <row r="12227" spans="1:4">
      <c r="A12227" t="str">
        <f t="shared" si="201"/>
        <v>2025Total Fees</v>
      </c>
      <c r="B12227">
        <v>2025</v>
      </c>
      <c r="C12227" s="9" t="s">
        <v>40</v>
      </c>
      <c r="D12227" s="8">
        <v>0</v>
      </c>
    </row>
    <row r="12228" spans="1:4">
      <c r="A12228" t="str">
        <f t="shared" si="201"/>
        <v>2025Estimated Strategy Capacity</v>
      </c>
      <c r="B12228">
        <v>2025</v>
      </c>
      <c r="C12228" s="9" t="s">
        <v>41</v>
      </c>
      <c r="D12228" s="8">
        <v>720000000</v>
      </c>
    </row>
    <row r="12229" spans="1:4">
      <c r="A12229" t="str">
        <f t="shared" si="201"/>
        <v>2026PSR</v>
      </c>
      <c r="B12229">
        <v>2026</v>
      </c>
      <c r="C12229" s="9" t="s">
        <v>27</v>
      </c>
      <c r="D12229" s="8">
        <v>0.26145000000000002</v>
      </c>
    </row>
    <row r="12230" spans="1:4">
      <c r="A12230" t="str">
        <f t="shared" si="201"/>
        <v>2026Sharpe Ratio</v>
      </c>
      <c r="B12230">
        <v>2026</v>
      </c>
      <c r="C12230" s="9" t="s">
        <v>1</v>
      </c>
      <c r="D12230" s="8">
        <v>0.32900000000000001</v>
      </c>
    </row>
    <row r="12231" spans="1:4">
      <c r="A12231" t="str">
        <f t="shared" si="201"/>
        <v>2026Total Trades</v>
      </c>
      <c r="B12231">
        <v>2026</v>
      </c>
      <c r="C12231" s="9" t="s">
        <v>28</v>
      </c>
      <c r="D12231" s="8">
        <v>542</v>
      </c>
    </row>
    <row r="12232" spans="1:4">
      <c r="A12232" t="str">
        <f t="shared" si="201"/>
        <v>2026Average Win</v>
      </c>
      <c r="B12232">
        <v>2026</v>
      </c>
      <c r="C12232" s="9" t="s">
        <v>25</v>
      </c>
      <c r="D12232" s="8">
        <v>2.0999999999999999E-3</v>
      </c>
    </row>
    <row r="12233" spans="1:4">
      <c r="A12233" t="str">
        <f t="shared" si="201"/>
        <v>2026Average Loss</v>
      </c>
      <c r="B12233">
        <v>2026</v>
      </c>
      <c r="C12233" s="9" t="s">
        <v>29</v>
      </c>
      <c r="D12233" s="8">
        <v>-4.1000000000000003E-3</v>
      </c>
    </row>
    <row r="12234" spans="1:4">
      <c r="A12234" t="str">
        <f t="shared" si="201"/>
        <v>2026Compounding Annual Return</v>
      </c>
      <c r="B12234">
        <v>2026</v>
      </c>
      <c r="C12234" s="9" t="s">
        <v>30</v>
      </c>
      <c r="D12234" s="8">
        <v>1.7610000000000001E-2</v>
      </c>
    </row>
    <row r="12235" spans="1:4">
      <c r="A12235" t="str">
        <f t="shared" si="201"/>
        <v>2026Drawdown</v>
      </c>
      <c r="B12235">
        <v>2026</v>
      </c>
      <c r="C12235" s="9" t="s">
        <v>8</v>
      </c>
      <c r="D12235" s="8">
        <v>2.8000000000000001E-2</v>
      </c>
    </row>
    <row r="12236" spans="1:4">
      <c r="A12236" t="str">
        <f t="shared" si="201"/>
        <v>2026Expectancy</v>
      </c>
      <c r="B12236">
        <v>2026</v>
      </c>
      <c r="C12236" s="9" t="s">
        <v>31</v>
      </c>
      <c r="D12236" s="8">
        <v>5.3999999999999999E-2</v>
      </c>
    </row>
    <row r="12237" spans="1:4">
      <c r="A12237" t="str">
        <f t="shared" si="201"/>
        <v>2026Net Profit</v>
      </c>
      <c r="B12237">
        <v>2026</v>
      </c>
      <c r="C12237" s="9" t="s">
        <v>32</v>
      </c>
      <c r="D12237" s="8">
        <v>1.174E-2</v>
      </c>
    </row>
    <row r="12238" spans="1:4">
      <c r="A12238" t="str">
        <f t="shared" si="201"/>
        <v>2026Loss Rate</v>
      </c>
      <c r="B12238">
        <v>2026</v>
      </c>
      <c r="C12238" s="9" t="s">
        <v>33</v>
      </c>
      <c r="D12238" s="8">
        <v>0.31</v>
      </c>
    </row>
    <row r="12239" spans="1:4">
      <c r="A12239" t="str">
        <f t="shared" si="201"/>
        <v>2026Win Rate</v>
      </c>
      <c r="B12239">
        <v>2026</v>
      </c>
      <c r="C12239" s="9" t="s">
        <v>34</v>
      </c>
      <c r="D12239" s="8">
        <v>0.69</v>
      </c>
    </row>
    <row r="12240" spans="1:4">
      <c r="A12240" t="str">
        <f t="shared" si="201"/>
        <v>2026Profit-Loss Ratio</v>
      </c>
      <c r="B12240">
        <v>2026</v>
      </c>
      <c r="C12240" s="9" t="s">
        <v>26</v>
      </c>
      <c r="D12240" s="8">
        <v>0.53</v>
      </c>
    </row>
    <row r="12241" spans="1:4">
      <c r="A12241" t="str">
        <f t="shared" si="201"/>
        <v>2026Alpha</v>
      </c>
      <c r="B12241">
        <v>2026</v>
      </c>
      <c r="C12241" s="9" t="s">
        <v>23</v>
      </c>
      <c r="D12241" s="8">
        <v>0.01</v>
      </c>
    </row>
    <row r="12242" spans="1:4">
      <c r="A12242" t="str">
        <f t="shared" si="201"/>
        <v>2026Beta</v>
      </c>
      <c r="B12242">
        <v>2026</v>
      </c>
      <c r="C12242" s="9" t="s">
        <v>24</v>
      </c>
      <c r="D12242" s="8">
        <v>6.7000000000000004E-2</v>
      </c>
    </row>
    <row r="12243" spans="1:4">
      <c r="A12243" t="str">
        <f t="shared" si="201"/>
        <v>2026Annual Standard Deviation</v>
      </c>
      <c r="B12243">
        <v>2026</v>
      </c>
      <c r="C12243" s="9" t="s">
        <v>35</v>
      </c>
      <c r="D12243" s="8">
        <v>3.9E-2</v>
      </c>
    </row>
    <row r="12244" spans="1:4">
      <c r="A12244" t="str">
        <f t="shared" si="201"/>
        <v>2026Annual Variance</v>
      </c>
      <c r="B12244">
        <v>2026</v>
      </c>
      <c r="C12244" s="9" t="s">
        <v>36</v>
      </c>
      <c r="D12244" s="8">
        <v>2E-3</v>
      </c>
    </row>
    <row r="12245" spans="1:4">
      <c r="A12245" t="str">
        <f t="shared" si="201"/>
        <v>2026Information Ratio</v>
      </c>
      <c r="B12245">
        <v>2026</v>
      </c>
      <c r="C12245" s="9" t="s">
        <v>37</v>
      </c>
      <c r="D12245" s="8">
        <v>-0.503</v>
      </c>
    </row>
    <row r="12246" spans="1:4">
      <c r="A12246" t="str">
        <f t="shared" si="201"/>
        <v>2026Tracking Error</v>
      </c>
      <c r="B12246">
        <v>2026</v>
      </c>
      <c r="C12246" s="9" t="s">
        <v>38</v>
      </c>
      <c r="D12246" s="8">
        <v>7.3999999999999996E-2</v>
      </c>
    </row>
    <row r="12247" spans="1:4">
      <c r="A12247" t="str">
        <f t="shared" si="201"/>
        <v>2026Treynor Ratio</v>
      </c>
      <c r="B12247">
        <v>2026</v>
      </c>
      <c r="C12247" s="9" t="s">
        <v>39</v>
      </c>
      <c r="D12247" s="8">
        <v>0.192</v>
      </c>
    </row>
    <row r="12248" spans="1:4">
      <c r="A12248" t="str">
        <f t="shared" si="201"/>
        <v>2026Total Fees</v>
      </c>
      <c r="B12248">
        <v>2026</v>
      </c>
      <c r="C12248" s="9" t="s">
        <v>40</v>
      </c>
      <c r="D12248" s="8">
        <v>0</v>
      </c>
    </row>
    <row r="12249" spans="1:4">
      <c r="A12249" t="str">
        <f t="shared" si="201"/>
        <v>2026Estimated Strategy Capacity</v>
      </c>
      <c r="B12249">
        <v>2026</v>
      </c>
      <c r="C12249" s="9" t="s">
        <v>41</v>
      </c>
      <c r="D12249" s="8">
        <v>83000000</v>
      </c>
    </row>
    <row r="12250" spans="1:4">
      <c r="A12250" t="str">
        <f t="shared" si="201"/>
        <v>2027PSR</v>
      </c>
      <c r="B12250">
        <v>2027</v>
      </c>
      <c r="C12250" s="9" t="s">
        <v>27</v>
      </c>
      <c r="D12250" s="8">
        <v>0.22844</v>
      </c>
    </row>
    <row r="12251" spans="1:4">
      <c r="A12251" t="str">
        <f t="shared" si="201"/>
        <v>2027Sharpe Ratio</v>
      </c>
      <c r="B12251">
        <v>2027</v>
      </c>
      <c r="C12251" s="9" t="s">
        <v>1</v>
      </c>
      <c r="D12251" s="8">
        <v>0.22800000000000001</v>
      </c>
    </row>
    <row r="12252" spans="1:4">
      <c r="A12252" t="str">
        <f t="shared" si="201"/>
        <v>2027Total Trades</v>
      </c>
      <c r="B12252">
        <v>2027</v>
      </c>
      <c r="C12252" s="9" t="s">
        <v>28</v>
      </c>
      <c r="D12252" s="8">
        <v>402</v>
      </c>
    </row>
    <row r="12253" spans="1:4">
      <c r="A12253" t="str">
        <f t="shared" si="201"/>
        <v>2027Average Win</v>
      </c>
      <c r="B12253">
        <v>2027</v>
      </c>
      <c r="C12253" s="9" t="s">
        <v>25</v>
      </c>
      <c r="D12253" s="8">
        <v>2.7000000000000001E-3</v>
      </c>
    </row>
    <row r="12254" spans="1:4">
      <c r="A12254" t="str">
        <f t="shared" si="201"/>
        <v>2027Average Loss</v>
      </c>
      <c r="B12254">
        <v>2027</v>
      </c>
      <c r="C12254" s="9" t="s">
        <v>29</v>
      </c>
      <c r="D12254" s="8">
        <v>-5.4999999999999997E-3</v>
      </c>
    </row>
    <row r="12255" spans="1:4">
      <c r="A12255" t="str">
        <f t="shared" si="201"/>
        <v>2027Compounding Annual Return</v>
      </c>
      <c r="B12255">
        <v>2027</v>
      </c>
      <c r="C12255" s="9" t="s">
        <v>30</v>
      </c>
      <c r="D12255" s="8">
        <v>1.3599999999999999E-2</v>
      </c>
    </row>
    <row r="12256" spans="1:4">
      <c r="A12256" t="str">
        <f t="shared" si="201"/>
        <v>2027Drawdown</v>
      </c>
      <c r="B12256">
        <v>2027</v>
      </c>
      <c r="C12256" s="9" t="s">
        <v>8</v>
      </c>
      <c r="D12256" s="8">
        <v>3.5000000000000003E-2</v>
      </c>
    </row>
    <row r="12257" spans="1:4">
      <c r="A12257" t="str">
        <f t="shared" si="201"/>
        <v>2027Expectancy</v>
      </c>
      <c r="B12257">
        <v>2027</v>
      </c>
      <c r="C12257" s="9" t="s">
        <v>31</v>
      </c>
      <c r="D12257" s="8">
        <v>3.1E-2</v>
      </c>
    </row>
    <row r="12258" spans="1:4">
      <c r="A12258" t="str">
        <f t="shared" si="201"/>
        <v>2027Net Profit</v>
      </c>
      <c r="B12258">
        <v>2027</v>
      </c>
      <c r="C12258" s="9" t="s">
        <v>32</v>
      </c>
      <c r="D12258" s="8">
        <v>9.0699999999999999E-3</v>
      </c>
    </row>
    <row r="12259" spans="1:4">
      <c r="A12259" t="str">
        <f t="shared" si="201"/>
        <v>2027Loss Rate</v>
      </c>
      <c r="B12259">
        <v>2027</v>
      </c>
      <c r="C12259" s="9" t="s">
        <v>33</v>
      </c>
      <c r="D12259" s="8">
        <v>0.31</v>
      </c>
    </row>
    <row r="12260" spans="1:4">
      <c r="A12260" t="str">
        <f t="shared" si="201"/>
        <v>2027Win Rate</v>
      </c>
      <c r="B12260">
        <v>2027</v>
      </c>
      <c r="C12260" s="9" t="s">
        <v>34</v>
      </c>
      <c r="D12260" s="8">
        <v>0.69</v>
      </c>
    </row>
    <row r="12261" spans="1:4">
      <c r="A12261" t="str">
        <f t="shared" si="201"/>
        <v>2027Profit-Loss Ratio</v>
      </c>
      <c r="B12261">
        <v>2027</v>
      </c>
      <c r="C12261" s="9" t="s">
        <v>26</v>
      </c>
      <c r="D12261" s="8">
        <v>0.49</v>
      </c>
    </row>
    <row r="12262" spans="1:4">
      <c r="A12262" t="str">
        <f t="shared" si="201"/>
        <v>2027Alpha</v>
      </c>
      <c r="B12262">
        <v>2027</v>
      </c>
      <c r="C12262" s="9" t="s">
        <v>23</v>
      </c>
      <c r="D12262" s="8">
        <v>6.0000000000000001E-3</v>
      </c>
    </row>
    <row r="12263" spans="1:4">
      <c r="A12263" t="str">
        <f t="shared" si="201"/>
        <v>2027Beta</v>
      </c>
      <c r="B12263">
        <v>2027</v>
      </c>
      <c r="C12263" s="9" t="s">
        <v>24</v>
      </c>
      <c r="D12263" s="8">
        <v>8.5000000000000006E-2</v>
      </c>
    </row>
    <row r="12264" spans="1:4">
      <c r="A12264" t="str">
        <f t="shared" si="201"/>
        <v>2027Annual Standard Deviation</v>
      </c>
      <c r="B12264">
        <v>2027</v>
      </c>
      <c r="C12264" s="9" t="s">
        <v>35</v>
      </c>
      <c r="D12264" s="8">
        <v>4.5999999999999999E-2</v>
      </c>
    </row>
    <row r="12265" spans="1:4">
      <c r="A12265" t="str">
        <f t="shared" si="201"/>
        <v>2027Annual Variance</v>
      </c>
      <c r="B12265">
        <v>2027</v>
      </c>
      <c r="C12265" s="9" t="s">
        <v>36</v>
      </c>
      <c r="D12265" s="8">
        <v>2E-3</v>
      </c>
    </row>
    <row r="12266" spans="1:4">
      <c r="A12266" t="str">
        <f t="shared" si="201"/>
        <v>2027Information Ratio</v>
      </c>
      <c r="B12266">
        <v>2027</v>
      </c>
      <c r="C12266" s="9" t="s">
        <v>37</v>
      </c>
      <c r="D12266" s="8">
        <v>-0.51800000000000002</v>
      </c>
    </row>
    <row r="12267" spans="1:4">
      <c r="A12267" t="str">
        <f t="shared" si="201"/>
        <v>2027Tracking Error</v>
      </c>
      <c r="B12267">
        <v>2027</v>
      </c>
      <c r="C12267" s="9" t="s">
        <v>38</v>
      </c>
      <c r="D12267" s="8">
        <v>7.6999999999999999E-2</v>
      </c>
    </row>
    <row r="12268" spans="1:4">
      <c r="A12268" t="str">
        <f t="shared" si="201"/>
        <v>2027Treynor Ratio</v>
      </c>
      <c r="B12268">
        <v>2027</v>
      </c>
      <c r="C12268" s="9" t="s">
        <v>39</v>
      </c>
      <c r="D12268" s="8">
        <v>0.123</v>
      </c>
    </row>
    <row r="12269" spans="1:4">
      <c r="A12269" t="str">
        <f t="shared" si="201"/>
        <v>2027Total Fees</v>
      </c>
      <c r="B12269">
        <v>2027</v>
      </c>
      <c r="C12269" s="9" t="s">
        <v>40</v>
      </c>
      <c r="D12269" s="8">
        <v>0</v>
      </c>
    </row>
    <row r="12270" spans="1:4">
      <c r="A12270" t="str">
        <f t="shared" si="201"/>
        <v>2027Estimated Strategy Capacity</v>
      </c>
      <c r="B12270">
        <v>2027</v>
      </c>
      <c r="C12270" s="9" t="s">
        <v>41</v>
      </c>
      <c r="D12270" s="8">
        <v>20000000</v>
      </c>
    </row>
    <row r="12271" spans="1:4">
      <c r="A12271" t="str">
        <f t="shared" si="201"/>
        <v>2028PSR</v>
      </c>
      <c r="B12271">
        <v>2028</v>
      </c>
      <c r="C12271" s="9" t="s">
        <v>27</v>
      </c>
      <c r="D12271" s="8">
        <v>0.2757</v>
      </c>
    </row>
    <row r="12272" spans="1:4">
      <c r="A12272" t="str">
        <f t="shared" si="201"/>
        <v>2028Sharpe Ratio</v>
      </c>
      <c r="B12272">
        <v>2028</v>
      </c>
      <c r="C12272" s="9" t="s">
        <v>1</v>
      </c>
      <c r="D12272" s="8">
        <v>0.39200000000000002</v>
      </c>
    </row>
    <row r="12273" spans="1:4">
      <c r="A12273" t="str">
        <f t="shared" si="201"/>
        <v>2028Total Trades</v>
      </c>
      <c r="B12273">
        <v>2028</v>
      </c>
      <c r="C12273" s="9" t="s">
        <v>28</v>
      </c>
      <c r="D12273" s="8">
        <v>1576</v>
      </c>
    </row>
    <row r="12274" spans="1:4">
      <c r="A12274" t="str">
        <f t="shared" si="201"/>
        <v>2028Average Win</v>
      </c>
      <c r="B12274">
        <v>2028</v>
      </c>
      <c r="C12274" s="9" t="s">
        <v>25</v>
      </c>
      <c r="D12274" s="8">
        <v>5.0000000000000001E-4</v>
      </c>
    </row>
    <row r="12275" spans="1:4">
      <c r="A12275" t="str">
        <f t="shared" si="201"/>
        <v>2028Average Loss</v>
      </c>
      <c r="B12275">
        <v>2028</v>
      </c>
      <c r="C12275" s="9" t="s">
        <v>29</v>
      </c>
      <c r="D12275" s="8">
        <v>-8.0000000000000004E-4</v>
      </c>
    </row>
    <row r="12276" spans="1:4">
      <c r="A12276" t="str">
        <f t="shared" si="201"/>
        <v>2028Compounding Annual Return</v>
      </c>
      <c r="B12276">
        <v>2028</v>
      </c>
      <c r="C12276" s="9" t="s">
        <v>30</v>
      </c>
      <c r="D12276" s="8">
        <v>7.0899999999999999E-3</v>
      </c>
    </row>
    <row r="12277" spans="1:4">
      <c r="A12277" t="str">
        <f t="shared" si="201"/>
        <v>2028Drawdown</v>
      </c>
      <c r="B12277">
        <v>2028</v>
      </c>
      <c r="C12277" s="9" t="s">
        <v>8</v>
      </c>
      <c r="D12277" s="8">
        <v>1.2999999999999999E-2</v>
      </c>
    </row>
    <row r="12278" spans="1:4">
      <c r="A12278" t="str">
        <f t="shared" si="201"/>
        <v>2028Expectancy</v>
      </c>
      <c r="B12278">
        <v>2028</v>
      </c>
      <c r="C12278" s="9" t="s">
        <v>31</v>
      </c>
      <c r="D12278" s="8">
        <v>5.1999999999999998E-2</v>
      </c>
    </row>
    <row r="12279" spans="1:4">
      <c r="A12279" t="str">
        <f t="shared" si="201"/>
        <v>2028Net Profit</v>
      </c>
      <c r="B12279">
        <v>2028</v>
      </c>
      <c r="C12279" s="9" t="s">
        <v>32</v>
      </c>
      <c r="D12279" s="8">
        <v>4.7299999999999998E-3</v>
      </c>
    </row>
    <row r="12280" spans="1:4">
      <c r="A12280" t="str">
        <f t="shared" ref="A12280:A12343" si="202">B12280&amp;C12280</f>
        <v>2028Loss Rate</v>
      </c>
      <c r="B12280">
        <v>2028</v>
      </c>
      <c r="C12280" s="9" t="s">
        <v>33</v>
      </c>
      <c r="D12280" s="8">
        <v>0.35</v>
      </c>
    </row>
    <row r="12281" spans="1:4">
      <c r="A12281" t="str">
        <f t="shared" si="202"/>
        <v>2028Win Rate</v>
      </c>
      <c r="B12281">
        <v>2028</v>
      </c>
      <c r="C12281" s="9" t="s">
        <v>34</v>
      </c>
      <c r="D12281" s="8">
        <v>0.65</v>
      </c>
    </row>
    <row r="12282" spans="1:4">
      <c r="A12282" t="str">
        <f t="shared" si="202"/>
        <v>2028Profit-Loss Ratio</v>
      </c>
      <c r="B12282">
        <v>2028</v>
      </c>
      <c r="C12282" s="9" t="s">
        <v>26</v>
      </c>
      <c r="D12282" s="8">
        <v>0.62</v>
      </c>
    </row>
    <row r="12283" spans="1:4">
      <c r="A12283" t="str">
        <f t="shared" si="202"/>
        <v>2028Alpha</v>
      </c>
      <c r="B12283">
        <v>2028</v>
      </c>
      <c r="C12283" s="9" t="s">
        <v>23</v>
      </c>
      <c r="D12283" s="8">
        <v>4.0000000000000001E-3</v>
      </c>
    </row>
    <row r="12284" spans="1:4">
      <c r="A12284" t="str">
        <f t="shared" si="202"/>
        <v>2028Beta</v>
      </c>
      <c r="B12284">
        <v>2028</v>
      </c>
      <c r="C12284" s="9" t="s">
        <v>24</v>
      </c>
      <c r="D12284" s="8">
        <v>1.7999999999999999E-2</v>
      </c>
    </row>
    <row r="12285" spans="1:4">
      <c r="A12285" t="str">
        <f t="shared" si="202"/>
        <v>2028Annual Standard Deviation</v>
      </c>
      <c r="B12285">
        <v>2028</v>
      </c>
      <c r="C12285" s="9" t="s">
        <v>35</v>
      </c>
      <c r="D12285" s="8">
        <v>1.2999999999999999E-2</v>
      </c>
    </row>
    <row r="12286" spans="1:4">
      <c r="A12286" t="str">
        <f t="shared" si="202"/>
        <v>2028Annual Variance</v>
      </c>
      <c r="B12286">
        <v>2028</v>
      </c>
      <c r="C12286" s="9" t="s">
        <v>36</v>
      </c>
      <c r="D12286" s="8">
        <v>0</v>
      </c>
    </row>
    <row r="12287" spans="1:4">
      <c r="A12287" t="str">
        <f t="shared" si="202"/>
        <v>2028Information Ratio</v>
      </c>
      <c r="B12287">
        <v>2028</v>
      </c>
      <c r="C12287" s="9" t="s">
        <v>37</v>
      </c>
      <c r="D12287" s="8">
        <v>-0.65600000000000003</v>
      </c>
    </row>
    <row r="12288" spans="1:4">
      <c r="A12288" t="str">
        <f t="shared" si="202"/>
        <v>2028Tracking Error</v>
      </c>
      <c r="B12288">
        <v>2028</v>
      </c>
      <c r="C12288" s="9" t="s">
        <v>38</v>
      </c>
      <c r="D12288" s="8">
        <v>6.7000000000000004E-2</v>
      </c>
    </row>
    <row r="12289" spans="1:4">
      <c r="A12289" t="str">
        <f t="shared" si="202"/>
        <v>2028Treynor Ratio</v>
      </c>
      <c r="B12289">
        <v>2028</v>
      </c>
      <c r="C12289" s="9" t="s">
        <v>39</v>
      </c>
      <c r="D12289" s="8">
        <v>0.28100000000000003</v>
      </c>
    </row>
    <row r="12290" spans="1:4">
      <c r="A12290" t="str">
        <f t="shared" si="202"/>
        <v>2028Total Fees</v>
      </c>
      <c r="B12290">
        <v>2028</v>
      </c>
      <c r="C12290" s="9" t="s">
        <v>40</v>
      </c>
      <c r="D12290" s="8">
        <v>0</v>
      </c>
    </row>
    <row r="12291" spans="1:4">
      <c r="A12291" t="str">
        <f t="shared" si="202"/>
        <v>2028Estimated Strategy Capacity</v>
      </c>
      <c r="B12291">
        <v>2028</v>
      </c>
      <c r="C12291" s="9" t="s">
        <v>41</v>
      </c>
      <c r="D12291" s="8">
        <v>5700000</v>
      </c>
    </row>
    <row r="12292" spans="1:4">
      <c r="A12292" t="str">
        <f t="shared" si="202"/>
        <v>2029PSR</v>
      </c>
      <c r="B12292">
        <v>2029</v>
      </c>
      <c r="C12292" s="9" t="s">
        <v>27</v>
      </c>
      <c r="D12292" s="8">
        <v>0.17888000000000001</v>
      </c>
    </row>
    <row r="12293" spans="1:4">
      <c r="A12293" t="str">
        <f t="shared" si="202"/>
        <v>2029Sharpe Ratio</v>
      </c>
      <c r="B12293">
        <v>2029</v>
      </c>
      <c r="C12293" s="9" t="s">
        <v>1</v>
      </c>
      <c r="D12293" s="8">
        <v>6.2E-2</v>
      </c>
    </row>
    <row r="12294" spans="1:4">
      <c r="A12294" t="str">
        <f t="shared" si="202"/>
        <v>2029Total Trades</v>
      </c>
      <c r="B12294">
        <v>2029</v>
      </c>
      <c r="C12294" s="9" t="s">
        <v>28</v>
      </c>
      <c r="D12294" s="8">
        <v>1182</v>
      </c>
    </row>
    <row r="12295" spans="1:4">
      <c r="A12295" t="str">
        <f t="shared" si="202"/>
        <v>2029Average Win</v>
      </c>
      <c r="B12295">
        <v>2029</v>
      </c>
      <c r="C12295" s="9" t="s">
        <v>25</v>
      </c>
      <c r="D12295" s="8">
        <v>1.5E-3</v>
      </c>
    </row>
    <row r="12296" spans="1:4">
      <c r="A12296" t="str">
        <f t="shared" si="202"/>
        <v>2029Average Loss</v>
      </c>
      <c r="B12296">
        <v>2029</v>
      </c>
      <c r="C12296" s="9" t="s">
        <v>29</v>
      </c>
      <c r="D12296" s="8">
        <v>-2.3E-3</v>
      </c>
    </row>
    <row r="12297" spans="1:4">
      <c r="A12297" t="str">
        <f t="shared" si="202"/>
        <v>2029Compounding Annual Return</v>
      </c>
      <c r="B12297">
        <v>2029</v>
      </c>
      <c r="C12297" s="9" t="s">
        <v>30</v>
      </c>
      <c r="D12297" s="8">
        <v>1.98E-3</v>
      </c>
    </row>
    <row r="12298" spans="1:4">
      <c r="A12298" t="str">
        <f t="shared" si="202"/>
        <v>2029Drawdown</v>
      </c>
      <c r="B12298">
        <v>2029</v>
      </c>
      <c r="C12298" s="9" t="s">
        <v>8</v>
      </c>
      <c r="D12298" s="8">
        <v>3.7999999999999999E-2</v>
      </c>
    </row>
    <row r="12299" spans="1:4">
      <c r="A12299" t="str">
        <f t="shared" si="202"/>
        <v>2029Expectancy</v>
      </c>
      <c r="B12299">
        <v>2029</v>
      </c>
      <c r="C12299" s="9" t="s">
        <v>31</v>
      </c>
      <c r="D12299" s="8">
        <v>7.0000000000000001E-3</v>
      </c>
    </row>
    <row r="12300" spans="1:4">
      <c r="A12300" t="str">
        <f t="shared" si="202"/>
        <v>2029Net Profit</v>
      </c>
      <c r="B12300">
        <v>2029</v>
      </c>
      <c r="C12300" s="9" t="s">
        <v>32</v>
      </c>
      <c r="D12300" s="8">
        <v>1.32E-3</v>
      </c>
    </row>
    <row r="12301" spans="1:4">
      <c r="A12301" t="str">
        <f t="shared" si="202"/>
        <v>2029Loss Rate</v>
      </c>
      <c r="B12301">
        <v>2029</v>
      </c>
      <c r="C12301" s="9" t="s">
        <v>33</v>
      </c>
      <c r="D12301" s="8">
        <v>0.39</v>
      </c>
    </row>
    <row r="12302" spans="1:4">
      <c r="A12302" t="str">
        <f t="shared" si="202"/>
        <v>2029Win Rate</v>
      </c>
      <c r="B12302">
        <v>2029</v>
      </c>
      <c r="C12302" s="9" t="s">
        <v>34</v>
      </c>
      <c r="D12302" s="8">
        <v>0.61</v>
      </c>
    </row>
    <row r="12303" spans="1:4">
      <c r="A12303" t="str">
        <f t="shared" si="202"/>
        <v>2029Profit-Loss Ratio</v>
      </c>
      <c r="B12303">
        <v>2029</v>
      </c>
      <c r="C12303" s="9" t="s">
        <v>26</v>
      </c>
      <c r="D12303" s="8">
        <v>0.64</v>
      </c>
    </row>
    <row r="12304" spans="1:4">
      <c r="A12304" t="str">
        <f t="shared" si="202"/>
        <v>2029Alpha</v>
      </c>
      <c r="B12304">
        <v>2029</v>
      </c>
      <c r="C12304" s="9" t="s">
        <v>23</v>
      </c>
      <c r="D12304" s="8">
        <v>-2E-3</v>
      </c>
    </row>
    <row r="12305" spans="1:4">
      <c r="A12305" t="str">
        <f t="shared" si="202"/>
        <v>2029Beta</v>
      </c>
      <c r="B12305">
        <v>2029</v>
      </c>
      <c r="C12305" s="9" t="s">
        <v>24</v>
      </c>
      <c r="D12305" s="8">
        <v>7.1999999999999995E-2</v>
      </c>
    </row>
    <row r="12306" spans="1:4">
      <c r="A12306" t="str">
        <f t="shared" si="202"/>
        <v>2029Annual Standard Deviation</v>
      </c>
      <c r="B12306">
        <v>2029</v>
      </c>
      <c r="C12306" s="9" t="s">
        <v>35</v>
      </c>
      <c r="D12306" s="8">
        <v>2.9000000000000001E-2</v>
      </c>
    </row>
    <row r="12307" spans="1:4">
      <c r="A12307" t="str">
        <f t="shared" si="202"/>
        <v>2029Annual Variance</v>
      </c>
      <c r="B12307">
        <v>2029</v>
      </c>
      <c r="C12307" s="9" t="s">
        <v>36</v>
      </c>
      <c r="D12307" s="8">
        <v>1E-3</v>
      </c>
    </row>
    <row r="12308" spans="1:4">
      <c r="A12308" t="str">
        <f t="shared" si="202"/>
        <v>2029Information Ratio</v>
      </c>
      <c r="B12308">
        <v>2029</v>
      </c>
      <c r="C12308" s="9" t="s">
        <v>37</v>
      </c>
      <c r="D12308" s="8">
        <v>-0.70499999999999996</v>
      </c>
    </row>
    <row r="12309" spans="1:4">
      <c r="A12309" t="str">
        <f t="shared" si="202"/>
        <v>2029Tracking Error</v>
      </c>
      <c r="B12309">
        <v>2029</v>
      </c>
      <c r="C12309" s="9" t="s">
        <v>38</v>
      </c>
      <c r="D12309" s="8">
        <v>6.9000000000000006E-2</v>
      </c>
    </row>
    <row r="12310" spans="1:4">
      <c r="A12310" t="str">
        <f t="shared" si="202"/>
        <v>2029Treynor Ratio</v>
      </c>
      <c r="B12310">
        <v>2029</v>
      </c>
      <c r="C12310" s="9" t="s">
        <v>39</v>
      </c>
      <c r="D12310" s="8">
        <v>2.5000000000000001E-2</v>
      </c>
    </row>
    <row r="12311" spans="1:4">
      <c r="A12311" t="str">
        <f t="shared" si="202"/>
        <v>2029Total Fees</v>
      </c>
      <c r="B12311">
        <v>2029</v>
      </c>
      <c r="C12311" s="9" t="s">
        <v>40</v>
      </c>
      <c r="D12311" s="8">
        <v>0</v>
      </c>
    </row>
    <row r="12312" spans="1:4">
      <c r="A12312" t="str">
        <f t="shared" si="202"/>
        <v>2029Estimated Strategy Capacity</v>
      </c>
      <c r="B12312">
        <v>2029</v>
      </c>
      <c r="C12312" s="9" t="s">
        <v>41</v>
      </c>
      <c r="D12312" s="8">
        <v>6100000</v>
      </c>
    </row>
    <row r="12313" spans="1:4">
      <c r="A12313" t="str">
        <f t="shared" si="202"/>
        <v>2030PSR</v>
      </c>
      <c r="B12313">
        <v>2030</v>
      </c>
      <c r="C12313" s="9" t="s">
        <v>27</v>
      </c>
      <c r="D12313" s="8">
        <v>4.2349999999999999E-2</v>
      </c>
    </row>
    <row r="12314" spans="1:4">
      <c r="A12314" t="str">
        <f t="shared" si="202"/>
        <v>2030Sharpe Ratio</v>
      </c>
      <c r="B12314">
        <v>2030</v>
      </c>
      <c r="C12314" s="9" t="s">
        <v>1</v>
      </c>
      <c r="D12314" s="8">
        <v>-0.71</v>
      </c>
    </row>
    <row r="12315" spans="1:4">
      <c r="A12315" t="str">
        <f t="shared" si="202"/>
        <v>2030Total Trades</v>
      </c>
      <c r="B12315">
        <v>2030</v>
      </c>
      <c r="C12315" s="9" t="s">
        <v>28</v>
      </c>
      <c r="D12315" s="8">
        <v>855</v>
      </c>
    </row>
    <row r="12316" spans="1:4">
      <c r="A12316" t="str">
        <f t="shared" si="202"/>
        <v>2030Average Win</v>
      </c>
      <c r="B12316">
        <v>2030</v>
      </c>
      <c r="C12316" s="9" t="s">
        <v>25</v>
      </c>
      <c r="D12316" s="8">
        <v>1.8E-3</v>
      </c>
    </row>
    <row r="12317" spans="1:4">
      <c r="A12317" t="str">
        <f t="shared" si="202"/>
        <v>2030Average Loss</v>
      </c>
      <c r="B12317">
        <v>2030</v>
      </c>
      <c r="C12317" s="9" t="s">
        <v>29</v>
      </c>
      <c r="D12317" s="8">
        <v>-3.5000000000000001E-3</v>
      </c>
    </row>
    <row r="12318" spans="1:4">
      <c r="A12318" t="str">
        <f t="shared" si="202"/>
        <v>2030Compounding Annual Return</v>
      </c>
      <c r="B12318">
        <v>2030</v>
      </c>
      <c r="C12318" s="9" t="s">
        <v>30</v>
      </c>
      <c r="D12318" s="8">
        <v>-3.737E-2</v>
      </c>
    </row>
    <row r="12319" spans="1:4">
      <c r="A12319" t="str">
        <f t="shared" si="202"/>
        <v>2030Drawdown</v>
      </c>
      <c r="B12319">
        <v>2030</v>
      </c>
      <c r="C12319" s="9" t="s">
        <v>8</v>
      </c>
      <c r="D12319" s="8">
        <v>5.6000000000000001E-2</v>
      </c>
    </row>
    <row r="12320" spans="1:4">
      <c r="A12320" t="str">
        <f t="shared" si="202"/>
        <v>2030Expectancy</v>
      </c>
      <c r="B12320">
        <v>2030</v>
      </c>
      <c r="C12320" s="9" t="s">
        <v>31</v>
      </c>
      <c r="D12320" s="8">
        <v>-7.3999999999999996E-2</v>
      </c>
    </row>
    <row r="12321" spans="1:4">
      <c r="A12321" t="str">
        <f t="shared" si="202"/>
        <v>2030Net Profit</v>
      </c>
      <c r="B12321">
        <v>2030</v>
      </c>
      <c r="C12321" s="9" t="s">
        <v>32</v>
      </c>
      <c r="D12321" s="8">
        <v>-2.5139999999999999E-2</v>
      </c>
    </row>
    <row r="12322" spans="1:4">
      <c r="A12322" t="str">
        <f t="shared" si="202"/>
        <v>2030Loss Rate</v>
      </c>
      <c r="B12322">
        <v>2030</v>
      </c>
      <c r="C12322" s="9" t="s">
        <v>33</v>
      </c>
      <c r="D12322" s="8">
        <v>0.39</v>
      </c>
    </row>
    <row r="12323" spans="1:4">
      <c r="A12323" t="str">
        <f t="shared" si="202"/>
        <v>2030Win Rate</v>
      </c>
      <c r="B12323">
        <v>2030</v>
      </c>
      <c r="C12323" s="9" t="s">
        <v>34</v>
      </c>
      <c r="D12323" s="8">
        <v>0.61</v>
      </c>
    </row>
    <row r="12324" spans="1:4">
      <c r="A12324" t="str">
        <f t="shared" si="202"/>
        <v>2030Profit-Loss Ratio</v>
      </c>
      <c r="B12324">
        <v>2030</v>
      </c>
      <c r="C12324" s="9" t="s">
        <v>26</v>
      </c>
      <c r="D12324" s="8">
        <v>0.51</v>
      </c>
    </row>
    <row r="12325" spans="1:4">
      <c r="A12325" t="str">
        <f t="shared" si="202"/>
        <v>2030Alpha</v>
      </c>
      <c r="B12325">
        <v>2030</v>
      </c>
      <c r="C12325" s="9" t="s">
        <v>23</v>
      </c>
      <c r="D12325" s="8">
        <v>-3.3000000000000002E-2</v>
      </c>
    </row>
    <row r="12326" spans="1:4">
      <c r="A12326" t="str">
        <f t="shared" si="202"/>
        <v>2030Beta</v>
      </c>
      <c r="B12326">
        <v>2030</v>
      </c>
      <c r="C12326" s="9" t="s">
        <v>24</v>
      </c>
      <c r="D12326" s="8">
        <v>0.153</v>
      </c>
    </row>
    <row r="12327" spans="1:4">
      <c r="A12327" t="str">
        <f t="shared" si="202"/>
        <v>2030Annual Standard Deviation</v>
      </c>
      <c r="B12327">
        <v>2030</v>
      </c>
      <c r="C12327" s="9" t="s">
        <v>35</v>
      </c>
      <c r="D12327" s="8">
        <v>3.5999999999999997E-2</v>
      </c>
    </row>
    <row r="12328" spans="1:4">
      <c r="A12328" t="str">
        <f t="shared" si="202"/>
        <v>2030Annual Variance</v>
      </c>
      <c r="B12328">
        <v>2030</v>
      </c>
      <c r="C12328" s="9" t="s">
        <v>36</v>
      </c>
      <c r="D12328" s="8">
        <v>1E-3</v>
      </c>
    </row>
    <row r="12329" spans="1:4">
      <c r="A12329" t="str">
        <f t="shared" si="202"/>
        <v>2030Information Ratio</v>
      </c>
      <c r="B12329">
        <v>2030</v>
      </c>
      <c r="C12329" s="9" t="s">
        <v>37</v>
      </c>
      <c r="D12329" s="8">
        <v>-1.1359999999999999</v>
      </c>
    </row>
    <row r="12330" spans="1:4">
      <c r="A12330" t="str">
        <f t="shared" si="202"/>
        <v>2030Tracking Error</v>
      </c>
      <c r="B12330">
        <v>2030</v>
      </c>
      <c r="C12330" s="9" t="s">
        <v>38</v>
      </c>
      <c r="D12330" s="8">
        <v>6.6000000000000003E-2</v>
      </c>
    </row>
    <row r="12331" spans="1:4">
      <c r="A12331" t="str">
        <f t="shared" si="202"/>
        <v>2030Treynor Ratio</v>
      </c>
      <c r="B12331">
        <v>2030</v>
      </c>
      <c r="C12331" s="9" t="s">
        <v>39</v>
      </c>
      <c r="D12331" s="8">
        <v>-0.16700000000000001</v>
      </c>
    </row>
    <row r="12332" spans="1:4">
      <c r="A12332" t="str">
        <f t="shared" si="202"/>
        <v>2030Total Fees</v>
      </c>
      <c r="B12332">
        <v>2030</v>
      </c>
      <c r="C12332" s="9" t="s">
        <v>40</v>
      </c>
      <c r="D12332" s="8">
        <v>0</v>
      </c>
    </row>
    <row r="12333" spans="1:4">
      <c r="A12333" t="str">
        <f t="shared" si="202"/>
        <v>2030Estimated Strategy Capacity</v>
      </c>
      <c r="B12333">
        <v>2030</v>
      </c>
      <c r="C12333" s="9" t="s">
        <v>41</v>
      </c>
      <c r="D12333" s="8">
        <v>6300000</v>
      </c>
    </row>
    <row r="12334" spans="1:4">
      <c r="A12334" t="str">
        <f t="shared" si="202"/>
        <v>2031PSR</v>
      </c>
      <c r="B12334">
        <v>2031</v>
      </c>
      <c r="C12334" s="9" t="s">
        <v>27</v>
      </c>
      <c r="D12334" s="8">
        <v>1.7420000000000001E-2</v>
      </c>
    </row>
    <row r="12335" spans="1:4">
      <c r="A12335" t="str">
        <f t="shared" si="202"/>
        <v>2031Sharpe Ratio</v>
      </c>
      <c r="B12335">
        <v>2031</v>
      </c>
      <c r="C12335" s="9" t="s">
        <v>1</v>
      </c>
      <c r="D12335" s="8">
        <v>-1.19</v>
      </c>
    </row>
    <row r="12336" spans="1:4">
      <c r="A12336" t="str">
        <f t="shared" si="202"/>
        <v>2031Total Trades</v>
      </c>
      <c r="B12336">
        <v>2031</v>
      </c>
      <c r="C12336" s="9" t="s">
        <v>28</v>
      </c>
      <c r="D12336" s="8">
        <v>1009</v>
      </c>
    </row>
    <row r="12337" spans="1:4">
      <c r="A12337" t="str">
        <f t="shared" si="202"/>
        <v>2031Average Win</v>
      </c>
      <c r="B12337">
        <v>2031</v>
      </c>
      <c r="C12337" s="9" t="s">
        <v>25</v>
      </c>
      <c r="D12337" s="8">
        <v>5.0000000000000001E-4</v>
      </c>
    </row>
    <row r="12338" spans="1:4">
      <c r="A12338" t="str">
        <f t="shared" si="202"/>
        <v>2031Average Loss</v>
      </c>
      <c r="B12338">
        <v>2031</v>
      </c>
      <c r="C12338" s="9" t="s">
        <v>29</v>
      </c>
      <c r="D12338" s="8">
        <v>-1E-3</v>
      </c>
    </row>
    <row r="12339" spans="1:4">
      <c r="A12339" t="str">
        <f t="shared" si="202"/>
        <v>2031Compounding Annual Return</v>
      </c>
      <c r="B12339">
        <v>2031</v>
      </c>
      <c r="C12339" s="9" t="s">
        <v>30</v>
      </c>
      <c r="D12339" s="8">
        <v>-2.2380000000000001E-2</v>
      </c>
    </row>
    <row r="12340" spans="1:4">
      <c r="A12340" t="str">
        <f t="shared" si="202"/>
        <v>2031Drawdown</v>
      </c>
      <c r="B12340">
        <v>2031</v>
      </c>
      <c r="C12340" s="9" t="s">
        <v>8</v>
      </c>
      <c r="D12340" s="8">
        <v>0.02</v>
      </c>
    </row>
    <row r="12341" spans="1:4">
      <c r="A12341" t="str">
        <f t="shared" si="202"/>
        <v>2031Expectancy</v>
      </c>
      <c r="B12341">
        <v>2031</v>
      </c>
      <c r="C12341" s="9" t="s">
        <v>31</v>
      </c>
      <c r="D12341" s="8">
        <v>-0.193</v>
      </c>
    </row>
    <row r="12342" spans="1:4">
      <c r="A12342" t="str">
        <f t="shared" si="202"/>
        <v>2031Net Profit</v>
      </c>
      <c r="B12342">
        <v>2031</v>
      </c>
      <c r="C12342" s="9" t="s">
        <v>32</v>
      </c>
      <c r="D12342" s="8">
        <v>-1.5010000000000001E-2</v>
      </c>
    </row>
    <row r="12343" spans="1:4">
      <c r="A12343" t="str">
        <f t="shared" si="202"/>
        <v>2031Loss Rate</v>
      </c>
      <c r="B12343">
        <v>2031</v>
      </c>
      <c r="C12343" s="9" t="s">
        <v>33</v>
      </c>
      <c r="D12343" s="8">
        <v>0.46</v>
      </c>
    </row>
    <row r="12344" spans="1:4">
      <c r="A12344" t="str">
        <f t="shared" ref="A12344:A12407" si="203">B12344&amp;C12344</f>
        <v>2031Win Rate</v>
      </c>
      <c r="B12344">
        <v>2031</v>
      </c>
      <c r="C12344" s="9" t="s">
        <v>34</v>
      </c>
      <c r="D12344" s="8">
        <v>0.54</v>
      </c>
    </row>
    <row r="12345" spans="1:4">
      <c r="A12345" t="str">
        <f t="shared" si="203"/>
        <v>2031Profit-Loss Ratio</v>
      </c>
      <c r="B12345">
        <v>2031</v>
      </c>
      <c r="C12345" s="9" t="s">
        <v>26</v>
      </c>
      <c r="D12345" s="8">
        <v>0.49</v>
      </c>
    </row>
    <row r="12346" spans="1:4">
      <c r="A12346" t="str">
        <f t="shared" si="203"/>
        <v>2031Alpha</v>
      </c>
      <c r="B12346">
        <v>2031</v>
      </c>
      <c r="C12346" s="9" t="s">
        <v>23</v>
      </c>
      <c r="D12346" s="8">
        <v>-1.7000000000000001E-2</v>
      </c>
    </row>
    <row r="12347" spans="1:4">
      <c r="A12347" t="str">
        <f t="shared" si="203"/>
        <v>2031Beta</v>
      </c>
      <c r="B12347">
        <v>2031</v>
      </c>
      <c r="C12347" s="9" t="s">
        <v>24</v>
      </c>
      <c r="D12347" s="8">
        <v>0.04</v>
      </c>
    </row>
    <row r="12348" spans="1:4">
      <c r="A12348" t="str">
        <f t="shared" si="203"/>
        <v>2031Annual Standard Deviation</v>
      </c>
      <c r="B12348">
        <v>2031</v>
      </c>
      <c r="C12348" s="9" t="s">
        <v>35</v>
      </c>
      <c r="D12348" s="8">
        <v>1.2999999999999999E-2</v>
      </c>
    </row>
    <row r="12349" spans="1:4">
      <c r="A12349" t="str">
        <f t="shared" si="203"/>
        <v>2031Annual Variance</v>
      </c>
      <c r="B12349">
        <v>2031</v>
      </c>
      <c r="C12349" s="9" t="s">
        <v>36</v>
      </c>
      <c r="D12349" s="8">
        <v>0</v>
      </c>
    </row>
    <row r="12350" spans="1:4">
      <c r="A12350" t="str">
        <f t="shared" si="203"/>
        <v>2031Information Ratio</v>
      </c>
      <c r="B12350">
        <v>2031</v>
      </c>
      <c r="C12350" s="9" t="s">
        <v>37</v>
      </c>
      <c r="D12350" s="8">
        <v>-0.998</v>
      </c>
    </row>
    <row r="12351" spans="1:4">
      <c r="A12351" t="str">
        <f t="shared" si="203"/>
        <v>2031Tracking Error</v>
      </c>
      <c r="B12351">
        <v>2031</v>
      </c>
      <c r="C12351" s="9" t="s">
        <v>38</v>
      </c>
      <c r="D12351" s="8">
        <v>6.6000000000000003E-2</v>
      </c>
    </row>
    <row r="12352" spans="1:4">
      <c r="A12352" t="str">
        <f t="shared" si="203"/>
        <v>2031Treynor Ratio</v>
      </c>
      <c r="B12352">
        <v>2031</v>
      </c>
      <c r="C12352" s="9" t="s">
        <v>39</v>
      </c>
      <c r="D12352" s="8">
        <v>-0.38600000000000001</v>
      </c>
    </row>
    <row r="12353" spans="1:4">
      <c r="A12353" t="str">
        <f t="shared" si="203"/>
        <v>2031Total Fees</v>
      </c>
      <c r="B12353">
        <v>2031</v>
      </c>
      <c r="C12353" s="9" t="s">
        <v>40</v>
      </c>
      <c r="D12353" s="8">
        <v>0</v>
      </c>
    </row>
    <row r="12354" spans="1:4">
      <c r="A12354" t="str">
        <f t="shared" si="203"/>
        <v>2031Estimated Strategy Capacity</v>
      </c>
      <c r="B12354">
        <v>2031</v>
      </c>
      <c r="C12354" s="9" t="s">
        <v>41</v>
      </c>
      <c r="D12354" s="8">
        <v>20000000000</v>
      </c>
    </row>
    <row r="12355" spans="1:4">
      <c r="A12355" t="str">
        <f t="shared" si="203"/>
        <v>2032PSR</v>
      </c>
      <c r="B12355">
        <v>2032</v>
      </c>
      <c r="C12355" s="9" t="s">
        <v>27</v>
      </c>
      <c r="D12355" s="8">
        <v>2.811E-2</v>
      </c>
    </row>
    <row r="12356" spans="1:4">
      <c r="A12356" t="str">
        <f t="shared" si="203"/>
        <v>2032Sharpe Ratio</v>
      </c>
      <c r="B12356">
        <v>2032</v>
      </c>
      <c r="C12356" s="9" t="s">
        <v>1</v>
      </c>
      <c r="D12356" s="8">
        <v>-0.93400000000000005</v>
      </c>
    </row>
    <row r="12357" spans="1:4">
      <c r="A12357" t="str">
        <f t="shared" si="203"/>
        <v>2032Total Trades</v>
      </c>
      <c r="B12357">
        <v>2032</v>
      </c>
      <c r="C12357" s="9" t="s">
        <v>28</v>
      </c>
      <c r="D12357" s="8">
        <v>760</v>
      </c>
    </row>
    <row r="12358" spans="1:4">
      <c r="A12358" t="str">
        <f t="shared" si="203"/>
        <v>2032Average Win</v>
      </c>
      <c r="B12358">
        <v>2032</v>
      </c>
      <c r="C12358" s="9" t="s">
        <v>25</v>
      </c>
      <c r="D12358" s="8">
        <v>6.9999999999999999E-4</v>
      </c>
    </row>
    <row r="12359" spans="1:4">
      <c r="A12359" t="str">
        <f t="shared" si="203"/>
        <v>2032Average Loss</v>
      </c>
      <c r="B12359">
        <v>2032</v>
      </c>
      <c r="C12359" s="9" t="s">
        <v>29</v>
      </c>
      <c r="D12359" s="8">
        <v>-2.2000000000000001E-3</v>
      </c>
    </row>
    <row r="12360" spans="1:4">
      <c r="A12360" t="str">
        <f t="shared" si="203"/>
        <v>2032Compounding Annual Return</v>
      </c>
      <c r="B12360">
        <v>2032</v>
      </c>
      <c r="C12360" s="9" t="s">
        <v>30</v>
      </c>
      <c r="D12360" s="8">
        <v>-3.5680000000000003E-2</v>
      </c>
    </row>
    <row r="12361" spans="1:4">
      <c r="A12361" t="str">
        <f t="shared" si="203"/>
        <v>2032Drawdown</v>
      </c>
      <c r="B12361">
        <v>2032</v>
      </c>
      <c r="C12361" s="9" t="s">
        <v>8</v>
      </c>
      <c r="D12361" s="8">
        <v>4.4999999999999998E-2</v>
      </c>
    </row>
    <row r="12362" spans="1:4">
      <c r="A12362" t="str">
        <f t="shared" si="203"/>
        <v>2032Expectancy</v>
      </c>
      <c r="B12362">
        <v>2032</v>
      </c>
      <c r="C12362" s="9" t="s">
        <v>31</v>
      </c>
      <c r="D12362" s="8">
        <v>-0.14099999999999999</v>
      </c>
    </row>
    <row r="12363" spans="1:4">
      <c r="A12363" t="str">
        <f t="shared" si="203"/>
        <v>2032Net Profit</v>
      </c>
      <c r="B12363">
        <v>2032</v>
      </c>
      <c r="C12363" s="9" t="s">
        <v>32</v>
      </c>
      <c r="D12363" s="8">
        <v>-2.3990000000000001E-2</v>
      </c>
    </row>
    <row r="12364" spans="1:4">
      <c r="A12364" t="str">
        <f t="shared" si="203"/>
        <v>2032Loss Rate</v>
      </c>
      <c r="B12364">
        <v>2032</v>
      </c>
      <c r="C12364" s="9" t="s">
        <v>33</v>
      </c>
      <c r="D12364" s="8">
        <v>0.36</v>
      </c>
    </row>
    <row r="12365" spans="1:4">
      <c r="A12365" t="str">
        <f t="shared" si="203"/>
        <v>2032Win Rate</v>
      </c>
      <c r="B12365">
        <v>2032</v>
      </c>
      <c r="C12365" s="9" t="s">
        <v>34</v>
      </c>
      <c r="D12365" s="8">
        <v>0.64</v>
      </c>
    </row>
    <row r="12366" spans="1:4">
      <c r="A12366" t="str">
        <f t="shared" si="203"/>
        <v>2032Profit-Loss Ratio</v>
      </c>
      <c r="B12366">
        <v>2032</v>
      </c>
      <c r="C12366" s="9" t="s">
        <v>26</v>
      </c>
      <c r="D12366" s="8">
        <v>0.34</v>
      </c>
    </row>
    <row r="12367" spans="1:4">
      <c r="A12367" t="str">
        <f t="shared" si="203"/>
        <v>2032Alpha</v>
      </c>
      <c r="B12367">
        <v>2032</v>
      </c>
      <c r="C12367" s="9" t="s">
        <v>23</v>
      </c>
      <c r="D12367" s="8">
        <v>-3.1E-2</v>
      </c>
    </row>
    <row r="12368" spans="1:4">
      <c r="A12368" t="str">
        <f t="shared" si="203"/>
        <v>2032Beta</v>
      </c>
      <c r="B12368">
        <v>2032</v>
      </c>
      <c r="C12368" s="9" t="s">
        <v>24</v>
      </c>
      <c r="D12368" s="8">
        <v>0.13</v>
      </c>
    </row>
    <row r="12369" spans="1:4">
      <c r="A12369" t="str">
        <f t="shared" si="203"/>
        <v>2032Annual Standard Deviation</v>
      </c>
      <c r="B12369">
        <v>2032</v>
      </c>
      <c r="C12369" s="9" t="s">
        <v>35</v>
      </c>
      <c r="D12369" s="8">
        <v>2.5999999999999999E-2</v>
      </c>
    </row>
    <row r="12370" spans="1:4">
      <c r="A12370" t="str">
        <f t="shared" si="203"/>
        <v>2032Annual Variance</v>
      </c>
      <c r="B12370">
        <v>2032</v>
      </c>
      <c r="C12370" s="9" t="s">
        <v>36</v>
      </c>
      <c r="D12370" s="8">
        <v>1E-3</v>
      </c>
    </row>
    <row r="12371" spans="1:4">
      <c r="A12371" t="str">
        <f t="shared" si="203"/>
        <v>2032Information Ratio</v>
      </c>
      <c r="B12371">
        <v>2032</v>
      </c>
      <c r="C12371" s="9" t="s">
        <v>37</v>
      </c>
      <c r="D12371" s="8">
        <v>-1.175</v>
      </c>
    </row>
    <row r="12372" spans="1:4">
      <c r="A12372" t="str">
        <f t="shared" si="203"/>
        <v>2032Tracking Error</v>
      </c>
      <c r="B12372">
        <v>2032</v>
      </c>
      <c r="C12372" s="9" t="s">
        <v>38</v>
      </c>
      <c r="D12372" s="8">
        <v>6.4000000000000001E-2</v>
      </c>
    </row>
    <row r="12373" spans="1:4">
      <c r="A12373" t="str">
        <f t="shared" si="203"/>
        <v>2032Treynor Ratio</v>
      </c>
      <c r="B12373">
        <v>2032</v>
      </c>
      <c r="C12373" s="9" t="s">
        <v>39</v>
      </c>
      <c r="D12373" s="8">
        <v>-0.189</v>
      </c>
    </row>
    <row r="12374" spans="1:4">
      <c r="A12374" t="str">
        <f t="shared" si="203"/>
        <v>2032Total Fees</v>
      </c>
      <c r="B12374">
        <v>2032</v>
      </c>
      <c r="C12374" s="9" t="s">
        <v>40</v>
      </c>
      <c r="D12374" s="8">
        <v>0</v>
      </c>
    </row>
    <row r="12375" spans="1:4">
      <c r="A12375" t="str">
        <f t="shared" si="203"/>
        <v>2032Estimated Strategy Capacity</v>
      </c>
      <c r="B12375">
        <v>2032</v>
      </c>
      <c r="C12375" s="9" t="s">
        <v>41</v>
      </c>
      <c r="D12375" s="8">
        <v>2000000000</v>
      </c>
    </row>
    <row r="12376" spans="1:4">
      <c r="A12376" t="str">
        <f t="shared" si="203"/>
        <v>2033PSR</v>
      </c>
      <c r="B12376">
        <v>2033</v>
      </c>
      <c r="C12376" s="9" t="s">
        <v>27</v>
      </c>
      <c r="D12376" s="8">
        <v>9.1429999999999997E-2</v>
      </c>
    </row>
    <row r="12377" spans="1:4">
      <c r="A12377" t="str">
        <f t="shared" si="203"/>
        <v>2033Sharpe Ratio</v>
      </c>
      <c r="B12377">
        <v>2033</v>
      </c>
      <c r="C12377" s="9" t="s">
        <v>1</v>
      </c>
      <c r="D12377" s="8">
        <v>-0.36799999999999999</v>
      </c>
    </row>
    <row r="12378" spans="1:4">
      <c r="A12378" t="str">
        <f t="shared" si="203"/>
        <v>2033Total Trades</v>
      </c>
      <c r="B12378">
        <v>2033</v>
      </c>
      <c r="C12378" s="9" t="s">
        <v>28</v>
      </c>
      <c r="D12378" s="8">
        <v>564</v>
      </c>
    </row>
    <row r="12379" spans="1:4">
      <c r="A12379" t="str">
        <f t="shared" si="203"/>
        <v>2033Average Win</v>
      </c>
      <c r="B12379">
        <v>2033</v>
      </c>
      <c r="C12379" s="9" t="s">
        <v>25</v>
      </c>
      <c r="D12379" s="8">
        <v>1.4E-3</v>
      </c>
    </row>
    <row r="12380" spans="1:4">
      <c r="A12380" t="str">
        <f t="shared" si="203"/>
        <v>2033Average Loss</v>
      </c>
      <c r="B12380">
        <v>2033</v>
      </c>
      <c r="C12380" s="9" t="s">
        <v>29</v>
      </c>
      <c r="D12380" s="8">
        <v>-3.0000000000000001E-3</v>
      </c>
    </row>
    <row r="12381" spans="1:4">
      <c r="A12381" t="str">
        <f t="shared" si="203"/>
        <v>2033Compounding Annual Return</v>
      </c>
      <c r="B12381">
        <v>2033</v>
      </c>
      <c r="C12381" s="9" t="s">
        <v>30</v>
      </c>
      <c r="D12381" s="8">
        <v>-1.6570000000000001E-2</v>
      </c>
    </row>
    <row r="12382" spans="1:4">
      <c r="A12382" t="str">
        <f t="shared" si="203"/>
        <v>2033Drawdown</v>
      </c>
      <c r="B12382">
        <v>2033</v>
      </c>
      <c r="C12382" s="9" t="s">
        <v>8</v>
      </c>
      <c r="D12382" s="8">
        <v>5.2999999999999999E-2</v>
      </c>
    </row>
    <row r="12383" spans="1:4">
      <c r="A12383" t="str">
        <f t="shared" si="203"/>
        <v>2033Expectancy</v>
      </c>
      <c r="B12383">
        <v>2033</v>
      </c>
      <c r="C12383" s="9" t="s">
        <v>31</v>
      </c>
      <c r="D12383" s="8">
        <v>-4.9000000000000002E-2</v>
      </c>
    </row>
    <row r="12384" spans="1:4">
      <c r="A12384" t="str">
        <f t="shared" si="203"/>
        <v>2033Net Profit</v>
      </c>
      <c r="B12384">
        <v>2033</v>
      </c>
      <c r="C12384" s="9" t="s">
        <v>32</v>
      </c>
      <c r="D12384" s="8">
        <v>-1.111E-2</v>
      </c>
    </row>
    <row r="12385" spans="1:4">
      <c r="A12385" t="str">
        <f t="shared" si="203"/>
        <v>2033Loss Rate</v>
      </c>
      <c r="B12385">
        <v>2033</v>
      </c>
      <c r="C12385" s="9" t="s">
        <v>33</v>
      </c>
      <c r="D12385" s="8">
        <v>0.36</v>
      </c>
    </row>
    <row r="12386" spans="1:4">
      <c r="A12386" t="str">
        <f t="shared" si="203"/>
        <v>2033Win Rate</v>
      </c>
      <c r="B12386">
        <v>2033</v>
      </c>
      <c r="C12386" s="9" t="s">
        <v>34</v>
      </c>
      <c r="D12386" s="8">
        <v>0.64</v>
      </c>
    </row>
    <row r="12387" spans="1:4">
      <c r="A12387" t="str">
        <f t="shared" si="203"/>
        <v>2033Profit-Loss Ratio</v>
      </c>
      <c r="B12387">
        <v>2033</v>
      </c>
      <c r="C12387" s="9" t="s">
        <v>26</v>
      </c>
      <c r="D12387" s="8">
        <v>0.48</v>
      </c>
    </row>
    <row r="12388" spans="1:4">
      <c r="A12388" t="str">
        <f t="shared" si="203"/>
        <v>2033Alpha</v>
      </c>
      <c r="B12388">
        <v>2033</v>
      </c>
      <c r="C12388" s="9" t="s">
        <v>23</v>
      </c>
      <c r="D12388" s="8">
        <v>-1.9E-2</v>
      </c>
    </row>
    <row r="12389" spans="1:4">
      <c r="A12389" t="str">
        <f t="shared" si="203"/>
        <v>2033Beta</v>
      </c>
      <c r="B12389">
        <v>2033</v>
      </c>
      <c r="C12389" s="9" t="s">
        <v>24</v>
      </c>
      <c r="D12389" s="8">
        <v>0.156</v>
      </c>
    </row>
    <row r="12390" spans="1:4">
      <c r="A12390" t="str">
        <f t="shared" si="203"/>
        <v>2033Annual Standard Deviation</v>
      </c>
      <c r="B12390">
        <v>2033</v>
      </c>
      <c r="C12390" s="9" t="s">
        <v>35</v>
      </c>
      <c r="D12390" s="8">
        <v>0.03</v>
      </c>
    </row>
    <row r="12391" spans="1:4">
      <c r="A12391" t="str">
        <f t="shared" si="203"/>
        <v>2033Annual Variance</v>
      </c>
      <c r="B12391">
        <v>2033</v>
      </c>
      <c r="C12391" s="9" t="s">
        <v>36</v>
      </c>
      <c r="D12391" s="8">
        <v>1E-3</v>
      </c>
    </row>
    <row r="12392" spans="1:4">
      <c r="A12392" t="str">
        <f t="shared" si="203"/>
        <v>2033Information Ratio</v>
      </c>
      <c r="B12392">
        <v>2033</v>
      </c>
      <c r="C12392" s="9" t="s">
        <v>37</v>
      </c>
      <c r="D12392" s="8">
        <v>-0.94899999999999995</v>
      </c>
    </row>
    <row r="12393" spans="1:4">
      <c r="A12393" t="str">
        <f t="shared" si="203"/>
        <v>2033Tracking Error</v>
      </c>
      <c r="B12393">
        <v>2033</v>
      </c>
      <c r="C12393" s="9" t="s">
        <v>38</v>
      </c>
      <c r="D12393" s="8">
        <v>6.3E-2</v>
      </c>
    </row>
    <row r="12394" spans="1:4">
      <c r="A12394" t="str">
        <f t="shared" si="203"/>
        <v>2033Treynor Ratio</v>
      </c>
      <c r="B12394">
        <v>2033</v>
      </c>
      <c r="C12394" s="9" t="s">
        <v>39</v>
      </c>
      <c r="D12394" s="8">
        <v>-7.0999999999999994E-2</v>
      </c>
    </row>
    <row r="12395" spans="1:4">
      <c r="A12395" t="str">
        <f t="shared" si="203"/>
        <v>2033Total Fees</v>
      </c>
      <c r="B12395">
        <v>2033</v>
      </c>
      <c r="C12395" s="9" t="s">
        <v>40</v>
      </c>
      <c r="D12395" s="8">
        <v>0</v>
      </c>
    </row>
    <row r="12396" spans="1:4">
      <c r="A12396" t="str">
        <f t="shared" si="203"/>
        <v>2033Estimated Strategy Capacity</v>
      </c>
      <c r="B12396">
        <v>2033</v>
      </c>
      <c r="C12396" s="9" t="s">
        <v>41</v>
      </c>
      <c r="D12396" s="8">
        <v>400000000</v>
      </c>
    </row>
    <row r="12397" spans="1:4">
      <c r="A12397" t="str">
        <f t="shared" si="203"/>
        <v>2034PSR</v>
      </c>
      <c r="B12397">
        <v>2034</v>
      </c>
      <c r="C12397" s="9" t="s">
        <v>27</v>
      </c>
      <c r="D12397" s="8">
        <v>1.09E-2</v>
      </c>
    </row>
    <row r="12398" spans="1:4">
      <c r="A12398" t="str">
        <f t="shared" si="203"/>
        <v>2034Sharpe Ratio</v>
      </c>
      <c r="B12398">
        <v>2034</v>
      </c>
      <c r="C12398" s="9" t="s">
        <v>1</v>
      </c>
      <c r="D12398" s="8">
        <v>-1.2150000000000001</v>
      </c>
    </row>
    <row r="12399" spans="1:4">
      <c r="A12399" t="str">
        <f t="shared" si="203"/>
        <v>2034Total Trades</v>
      </c>
      <c r="B12399">
        <v>2034</v>
      </c>
      <c r="C12399" s="9" t="s">
        <v>28</v>
      </c>
      <c r="D12399" s="8">
        <v>722</v>
      </c>
    </row>
    <row r="12400" spans="1:4">
      <c r="A12400" t="str">
        <f t="shared" si="203"/>
        <v>2034Average Win</v>
      </c>
      <c r="B12400">
        <v>2034</v>
      </c>
      <c r="C12400" s="9" t="s">
        <v>25</v>
      </c>
      <c r="D12400" s="8">
        <v>5.0000000000000001E-4</v>
      </c>
    </row>
    <row r="12401" spans="1:4">
      <c r="A12401" t="str">
        <f t="shared" si="203"/>
        <v>2034Average Loss</v>
      </c>
      <c r="B12401">
        <v>2034</v>
      </c>
      <c r="C12401" s="9" t="s">
        <v>29</v>
      </c>
      <c r="D12401" s="8">
        <v>-1.1000000000000001E-3</v>
      </c>
    </row>
    <row r="12402" spans="1:4">
      <c r="A12402" t="str">
        <f t="shared" si="203"/>
        <v>2034Compounding Annual Return</v>
      </c>
      <c r="B12402">
        <v>2034</v>
      </c>
      <c r="C12402" s="9" t="s">
        <v>30</v>
      </c>
      <c r="D12402" s="8">
        <v>-2.035E-2</v>
      </c>
    </row>
    <row r="12403" spans="1:4">
      <c r="A12403" t="str">
        <f t="shared" si="203"/>
        <v>2034Drawdown</v>
      </c>
      <c r="B12403">
        <v>2034</v>
      </c>
      <c r="C12403" s="9" t="s">
        <v>8</v>
      </c>
      <c r="D12403" s="8">
        <v>2.5000000000000001E-2</v>
      </c>
    </row>
    <row r="12404" spans="1:4">
      <c r="A12404" t="str">
        <f t="shared" si="203"/>
        <v>2034Expectancy</v>
      </c>
      <c r="B12404">
        <v>2034</v>
      </c>
      <c r="C12404" s="9" t="s">
        <v>31</v>
      </c>
      <c r="D12404" s="8">
        <v>-0.21</v>
      </c>
    </row>
    <row r="12405" spans="1:4">
      <c r="A12405" t="str">
        <f t="shared" si="203"/>
        <v>2034Net Profit</v>
      </c>
      <c r="B12405">
        <v>2034</v>
      </c>
      <c r="C12405" s="9" t="s">
        <v>32</v>
      </c>
      <c r="D12405" s="8">
        <v>-1.3650000000000001E-2</v>
      </c>
    </row>
    <row r="12406" spans="1:4">
      <c r="A12406" t="str">
        <f t="shared" si="203"/>
        <v>2034Loss Rate</v>
      </c>
      <c r="B12406">
        <v>2034</v>
      </c>
      <c r="C12406" s="9" t="s">
        <v>33</v>
      </c>
      <c r="D12406" s="8">
        <v>0.44</v>
      </c>
    </row>
    <row r="12407" spans="1:4">
      <c r="A12407" t="str">
        <f t="shared" si="203"/>
        <v>2034Win Rate</v>
      </c>
      <c r="B12407">
        <v>2034</v>
      </c>
      <c r="C12407" s="9" t="s">
        <v>34</v>
      </c>
      <c r="D12407" s="8">
        <v>0.56000000000000005</v>
      </c>
    </row>
    <row r="12408" spans="1:4">
      <c r="A12408" t="str">
        <f t="shared" ref="A12408:A12471" si="204">B12408&amp;C12408</f>
        <v>2034Profit-Loss Ratio</v>
      </c>
      <c r="B12408">
        <v>2034</v>
      </c>
      <c r="C12408" s="9" t="s">
        <v>26</v>
      </c>
      <c r="D12408" s="8">
        <v>0.41</v>
      </c>
    </row>
    <row r="12409" spans="1:4">
      <c r="A12409" t="str">
        <f t="shared" si="204"/>
        <v>2034Alpha</v>
      </c>
      <c r="B12409">
        <v>2034</v>
      </c>
      <c r="C12409" s="9" t="s">
        <v>23</v>
      </c>
      <c r="D12409" s="8">
        <v>-1.4999999999999999E-2</v>
      </c>
    </row>
    <row r="12410" spans="1:4">
      <c r="A12410" t="str">
        <f t="shared" si="204"/>
        <v>2034Beta</v>
      </c>
      <c r="B12410">
        <v>2034</v>
      </c>
      <c r="C12410" s="9" t="s">
        <v>24</v>
      </c>
      <c r="D12410" s="8">
        <v>1.7000000000000001E-2</v>
      </c>
    </row>
    <row r="12411" spans="1:4">
      <c r="A12411" t="str">
        <f t="shared" si="204"/>
        <v>2034Annual Standard Deviation</v>
      </c>
      <c r="B12411">
        <v>2034</v>
      </c>
      <c r="C12411" s="9" t="s">
        <v>35</v>
      </c>
      <c r="D12411" s="8">
        <v>1.2E-2</v>
      </c>
    </row>
    <row r="12412" spans="1:4">
      <c r="A12412" t="str">
        <f t="shared" si="204"/>
        <v>2034Annual Variance</v>
      </c>
      <c r="B12412">
        <v>2034</v>
      </c>
      <c r="C12412" s="9" t="s">
        <v>36</v>
      </c>
      <c r="D12412" s="8">
        <v>0</v>
      </c>
    </row>
    <row r="12413" spans="1:4">
      <c r="A12413" t="str">
        <f t="shared" si="204"/>
        <v>2034Information Ratio</v>
      </c>
      <c r="B12413">
        <v>2034</v>
      </c>
      <c r="C12413" s="9" t="s">
        <v>37</v>
      </c>
      <c r="D12413" s="8">
        <v>-0.95799999999999996</v>
      </c>
    </row>
    <row r="12414" spans="1:4">
      <c r="A12414" t="str">
        <f t="shared" si="204"/>
        <v>2034Tracking Error</v>
      </c>
      <c r="B12414">
        <v>2034</v>
      </c>
      <c r="C12414" s="9" t="s">
        <v>38</v>
      </c>
      <c r="D12414" s="8">
        <v>6.7000000000000004E-2</v>
      </c>
    </row>
    <row r="12415" spans="1:4">
      <c r="A12415" t="str">
        <f t="shared" si="204"/>
        <v>2034Treynor Ratio</v>
      </c>
      <c r="B12415">
        <v>2034</v>
      </c>
      <c r="C12415" s="9" t="s">
        <v>39</v>
      </c>
      <c r="D12415" s="8">
        <v>-0.82699999999999996</v>
      </c>
    </row>
    <row r="12416" spans="1:4">
      <c r="A12416" t="str">
        <f t="shared" si="204"/>
        <v>2034Total Fees</v>
      </c>
      <c r="B12416">
        <v>2034</v>
      </c>
      <c r="C12416" s="9" t="s">
        <v>40</v>
      </c>
      <c r="D12416" s="8">
        <v>0</v>
      </c>
    </row>
    <row r="12417" spans="1:4">
      <c r="A12417" t="str">
        <f t="shared" si="204"/>
        <v>2034Estimated Strategy Capacity</v>
      </c>
      <c r="B12417">
        <v>2034</v>
      </c>
      <c r="C12417" s="9" t="s">
        <v>41</v>
      </c>
      <c r="D12417" s="8">
        <v>30000000</v>
      </c>
    </row>
    <row r="12418" spans="1:4">
      <c r="A12418" t="str">
        <f t="shared" si="204"/>
        <v>2035PSR</v>
      </c>
      <c r="B12418">
        <v>2035</v>
      </c>
      <c r="C12418" s="9" t="s">
        <v>27</v>
      </c>
      <c r="D12418" s="8">
        <v>5.2600000000000001E-2</v>
      </c>
    </row>
    <row r="12419" spans="1:4">
      <c r="A12419" t="str">
        <f t="shared" si="204"/>
        <v>2035Sharpe Ratio</v>
      </c>
      <c r="B12419">
        <v>2035</v>
      </c>
      <c r="C12419" s="9" t="s">
        <v>1</v>
      </c>
      <c r="D12419" s="8">
        <v>-0.61399999999999999</v>
      </c>
    </row>
    <row r="12420" spans="1:4">
      <c r="A12420" t="str">
        <f t="shared" si="204"/>
        <v>2035Total Trades</v>
      </c>
      <c r="B12420">
        <v>2035</v>
      </c>
      <c r="C12420" s="9" t="s">
        <v>28</v>
      </c>
      <c r="D12420" s="8">
        <v>549</v>
      </c>
    </row>
    <row r="12421" spans="1:4">
      <c r="A12421" t="str">
        <f t="shared" si="204"/>
        <v>2035Average Win</v>
      </c>
      <c r="B12421">
        <v>2035</v>
      </c>
      <c r="C12421" s="9" t="s">
        <v>25</v>
      </c>
      <c r="D12421" s="8">
        <v>1.4E-3</v>
      </c>
    </row>
    <row r="12422" spans="1:4">
      <c r="A12422" t="str">
        <f t="shared" si="204"/>
        <v>2035Average Loss</v>
      </c>
      <c r="B12422">
        <v>2035</v>
      </c>
      <c r="C12422" s="9" t="s">
        <v>29</v>
      </c>
      <c r="D12422" s="8">
        <v>-2.3E-3</v>
      </c>
    </row>
    <row r="12423" spans="1:4">
      <c r="A12423" t="str">
        <f t="shared" si="204"/>
        <v>2035Compounding Annual Return</v>
      </c>
      <c r="B12423">
        <v>2035</v>
      </c>
      <c r="C12423" s="9" t="s">
        <v>30</v>
      </c>
      <c r="D12423" s="8">
        <v>-2.5850000000000001E-2</v>
      </c>
    </row>
    <row r="12424" spans="1:4">
      <c r="A12424" t="str">
        <f t="shared" si="204"/>
        <v>2035Drawdown</v>
      </c>
      <c r="B12424">
        <v>2035</v>
      </c>
      <c r="C12424" s="9" t="s">
        <v>8</v>
      </c>
      <c r="D12424" s="8">
        <v>5.2999999999999999E-2</v>
      </c>
    </row>
    <row r="12425" spans="1:4">
      <c r="A12425" t="str">
        <f t="shared" si="204"/>
        <v>2035Expectancy</v>
      </c>
      <c r="B12425">
        <v>2035</v>
      </c>
      <c r="C12425" s="9" t="s">
        <v>31</v>
      </c>
      <c r="D12425" s="8">
        <v>-0.13300000000000001</v>
      </c>
    </row>
    <row r="12426" spans="1:4">
      <c r="A12426" t="str">
        <f t="shared" si="204"/>
        <v>2035Net Profit</v>
      </c>
      <c r="B12426">
        <v>2035</v>
      </c>
      <c r="C12426" s="9" t="s">
        <v>32</v>
      </c>
      <c r="D12426" s="8">
        <v>-1.7350000000000001E-2</v>
      </c>
    </row>
    <row r="12427" spans="1:4">
      <c r="A12427" t="str">
        <f t="shared" si="204"/>
        <v>2035Loss Rate</v>
      </c>
      <c r="B12427">
        <v>2035</v>
      </c>
      <c r="C12427" s="9" t="s">
        <v>33</v>
      </c>
      <c r="D12427" s="8">
        <v>0.46</v>
      </c>
    </row>
    <row r="12428" spans="1:4">
      <c r="A12428" t="str">
        <f t="shared" si="204"/>
        <v>2035Win Rate</v>
      </c>
      <c r="B12428">
        <v>2035</v>
      </c>
      <c r="C12428" s="9" t="s">
        <v>34</v>
      </c>
      <c r="D12428" s="8">
        <v>0.54</v>
      </c>
    </row>
    <row r="12429" spans="1:4">
      <c r="A12429" t="str">
        <f t="shared" si="204"/>
        <v>2035Profit-Loss Ratio</v>
      </c>
      <c r="B12429">
        <v>2035</v>
      </c>
      <c r="C12429" s="9" t="s">
        <v>26</v>
      </c>
      <c r="D12429" s="8">
        <v>0.62</v>
      </c>
    </row>
    <row r="12430" spans="1:4">
      <c r="A12430" t="str">
        <f t="shared" si="204"/>
        <v>2035Alpha</v>
      </c>
      <c r="B12430">
        <v>2035</v>
      </c>
      <c r="C12430" s="9" t="s">
        <v>23</v>
      </c>
      <c r="D12430" s="8">
        <v>-2.1999999999999999E-2</v>
      </c>
    </row>
    <row r="12431" spans="1:4">
      <c r="A12431" t="str">
        <f t="shared" si="204"/>
        <v>2035Beta</v>
      </c>
      <c r="B12431">
        <v>2035</v>
      </c>
      <c r="C12431" s="9" t="s">
        <v>24</v>
      </c>
      <c r="D12431" s="8">
        <v>8.5999999999999993E-2</v>
      </c>
    </row>
    <row r="12432" spans="1:4">
      <c r="A12432" t="str">
        <f t="shared" si="204"/>
        <v>2035Annual Standard Deviation</v>
      </c>
      <c r="B12432">
        <v>2035</v>
      </c>
      <c r="C12432" s="9" t="s">
        <v>35</v>
      </c>
      <c r="D12432" s="8">
        <v>2.9000000000000001E-2</v>
      </c>
    </row>
    <row r="12433" spans="1:4">
      <c r="A12433" t="str">
        <f t="shared" si="204"/>
        <v>2035Annual Variance</v>
      </c>
      <c r="B12433">
        <v>2035</v>
      </c>
      <c r="C12433" s="9" t="s">
        <v>36</v>
      </c>
      <c r="D12433" s="8">
        <v>1E-3</v>
      </c>
    </row>
    <row r="12434" spans="1:4">
      <c r="A12434" t="str">
        <f t="shared" si="204"/>
        <v>2035Information Ratio</v>
      </c>
      <c r="B12434">
        <v>2035</v>
      </c>
      <c r="C12434" s="9" t="s">
        <v>37</v>
      </c>
      <c r="D12434" s="8">
        <v>-0.98699999999999999</v>
      </c>
    </row>
    <row r="12435" spans="1:4">
      <c r="A12435" t="str">
        <f t="shared" si="204"/>
        <v>2035Tracking Error</v>
      </c>
      <c r="B12435">
        <v>2035</v>
      </c>
      <c r="C12435" s="9" t="s">
        <v>38</v>
      </c>
      <c r="D12435" s="8">
        <v>6.7000000000000004E-2</v>
      </c>
    </row>
    <row r="12436" spans="1:4">
      <c r="A12436" t="str">
        <f t="shared" si="204"/>
        <v>2035Treynor Ratio</v>
      </c>
      <c r="B12436">
        <v>2035</v>
      </c>
      <c r="C12436" s="9" t="s">
        <v>39</v>
      </c>
      <c r="D12436" s="8">
        <v>-0.20499999999999999</v>
      </c>
    </row>
    <row r="12437" spans="1:4">
      <c r="A12437" t="str">
        <f t="shared" si="204"/>
        <v>2035Total Fees</v>
      </c>
      <c r="B12437">
        <v>2035</v>
      </c>
      <c r="C12437" s="9" t="s">
        <v>40</v>
      </c>
      <c r="D12437" s="8">
        <v>0</v>
      </c>
    </row>
    <row r="12438" spans="1:4">
      <c r="A12438" t="str">
        <f t="shared" si="204"/>
        <v>2035Estimated Strategy Capacity</v>
      </c>
      <c r="B12438">
        <v>2035</v>
      </c>
      <c r="C12438" s="9" t="s">
        <v>41</v>
      </c>
      <c r="D12438" s="8">
        <v>8300000</v>
      </c>
    </row>
    <row r="12439" spans="1:4">
      <c r="A12439" t="str">
        <f t="shared" si="204"/>
        <v>2036PSR</v>
      </c>
      <c r="B12439">
        <v>2036</v>
      </c>
      <c r="C12439" s="9" t="s">
        <v>27</v>
      </c>
      <c r="D12439" s="8">
        <v>0.13205</v>
      </c>
    </row>
    <row r="12440" spans="1:4">
      <c r="A12440" t="str">
        <f t="shared" si="204"/>
        <v>2036Sharpe Ratio</v>
      </c>
      <c r="B12440">
        <v>2036</v>
      </c>
      <c r="C12440" s="9" t="s">
        <v>1</v>
      </c>
      <c r="D12440" s="8">
        <v>-0.13600000000000001</v>
      </c>
    </row>
    <row r="12441" spans="1:4">
      <c r="A12441" t="str">
        <f t="shared" si="204"/>
        <v>2036Total Trades</v>
      </c>
      <c r="B12441">
        <v>2036</v>
      </c>
      <c r="C12441" s="9" t="s">
        <v>28</v>
      </c>
      <c r="D12441" s="8">
        <v>407</v>
      </c>
    </row>
    <row r="12442" spans="1:4">
      <c r="A12442" t="str">
        <f t="shared" si="204"/>
        <v>2036Average Win</v>
      </c>
      <c r="B12442">
        <v>2036</v>
      </c>
      <c r="C12442" s="9" t="s">
        <v>25</v>
      </c>
      <c r="D12442" s="8">
        <v>1.8E-3</v>
      </c>
    </row>
    <row r="12443" spans="1:4">
      <c r="A12443" t="str">
        <f t="shared" si="204"/>
        <v>2036Average Loss</v>
      </c>
      <c r="B12443">
        <v>2036</v>
      </c>
      <c r="C12443" s="9" t="s">
        <v>29</v>
      </c>
      <c r="D12443" s="8">
        <v>-2.8E-3</v>
      </c>
    </row>
    <row r="12444" spans="1:4">
      <c r="A12444" t="str">
        <f t="shared" si="204"/>
        <v>2036Compounding Annual Return</v>
      </c>
      <c r="B12444">
        <v>2036</v>
      </c>
      <c r="C12444" s="9" t="s">
        <v>30</v>
      </c>
      <c r="D12444" s="8">
        <v>-7.0800000000000004E-3</v>
      </c>
    </row>
    <row r="12445" spans="1:4">
      <c r="A12445" t="str">
        <f t="shared" si="204"/>
        <v>2036Drawdown</v>
      </c>
      <c r="B12445">
        <v>2036</v>
      </c>
      <c r="C12445" s="9" t="s">
        <v>8</v>
      </c>
      <c r="D12445" s="8">
        <v>4.2000000000000003E-2</v>
      </c>
    </row>
    <row r="12446" spans="1:4">
      <c r="A12446" t="str">
        <f t="shared" si="204"/>
        <v>2036Expectancy</v>
      </c>
      <c r="B12446">
        <v>2036</v>
      </c>
      <c r="C12446" s="9" t="s">
        <v>31</v>
      </c>
      <c r="D12446" s="8">
        <v>-2.9000000000000001E-2</v>
      </c>
    </row>
    <row r="12447" spans="1:4">
      <c r="A12447" t="str">
        <f t="shared" si="204"/>
        <v>2036Net Profit</v>
      </c>
      <c r="B12447">
        <v>2036</v>
      </c>
      <c r="C12447" s="9" t="s">
        <v>32</v>
      </c>
      <c r="D12447" s="8">
        <v>-4.7400000000000003E-3</v>
      </c>
    </row>
    <row r="12448" spans="1:4">
      <c r="A12448" t="str">
        <f t="shared" si="204"/>
        <v>2036Loss Rate</v>
      </c>
      <c r="B12448">
        <v>2036</v>
      </c>
      <c r="C12448" s="9" t="s">
        <v>33</v>
      </c>
      <c r="D12448" s="8">
        <v>0.42</v>
      </c>
    </row>
    <row r="12449" spans="1:4">
      <c r="A12449" t="str">
        <f t="shared" si="204"/>
        <v>2036Win Rate</v>
      </c>
      <c r="B12449">
        <v>2036</v>
      </c>
      <c r="C12449" s="9" t="s">
        <v>34</v>
      </c>
      <c r="D12449" s="8">
        <v>0.57999999999999996</v>
      </c>
    </row>
    <row r="12450" spans="1:4">
      <c r="A12450" t="str">
        <f t="shared" si="204"/>
        <v>2036Profit-Loss Ratio</v>
      </c>
      <c r="B12450">
        <v>2036</v>
      </c>
      <c r="C12450" s="9" t="s">
        <v>26</v>
      </c>
      <c r="D12450" s="8">
        <v>0.66</v>
      </c>
    </row>
    <row r="12451" spans="1:4">
      <c r="A12451" t="str">
        <f t="shared" si="204"/>
        <v>2036Alpha</v>
      </c>
      <c r="B12451">
        <v>2036</v>
      </c>
      <c r="C12451" s="9" t="s">
        <v>23</v>
      </c>
      <c r="D12451" s="8">
        <v>-1.2999999999999999E-2</v>
      </c>
    </row>
    <row r="12452" spans="1:4">
      <c r="A12452" t="str">
        <f t="shared" si="204"/>
        <v>2036Beta</v>
      </c>
      <c r="B12452">
        <v>2036</v>
      </c>
      <c r="C12452" s="9" t="s">
        <v>24</v>
      </c>
      <c r="D12452" s="8">
        <v>0.16900000000000001</v>
      </c>
    </row>
    <row r="12453" spans="1:4">
      <c r="A12453" t="str">
        <f t="shared" si="204"/>
        <v>2036Annual Standard Deviation</v>
      </c>
      <c r="B12453">
        <v>2036</v>
      </c>
      <c r="C12453" s="9" t="s">
        <v>35</v>
      </c>
      <c r="D12453" s="8">
        <v>3.2000000000000001E-2</v>
      </c>
    </row>
    <row r="12454" spans="1:4">
      <c r="A12454" t="str">
        <f t="shared" si="204"/>
        <v>2036Annual Variance</v>
      </c>
      <c r="B12454">
        <v>2036</v>
      </c>
      <c r="C12454" s="9" t="s">
        <v>36</v>
      </c>
      <c r="D12454" s="8">
        <v>1E-3</v>
      </c>
    </row>
    <row r="12455" spans="1:4">
      <c r="A12455" t="str">
        <f t="shared" si="204"/>
        <v>2036Information Ratio</v>
      </c>
      <c r="B12455">
        <v>2036</v>
      </c>
      <c r="C12455" s="9" t="s">
        <v>37</v>
      </c>
      <c r="D12455" s="8">
        <v>-0.84199999999999997</v>
      </c>
    </row>
    <row r="12456" spans="1:4">
      <c r="A12456" t="str">
        <f t="shared" si="204"/>
        <v>2036Tracking Error</v>
      </c>
      <c r="B12456">
        <v>2036</v>
      </c>
      <c r="C12456" s="9" t="s">
        <v>38</v>
      </c>
      <c r="D12456" s="8">
        <v>6.3E-2</v>
      </c>
    </row>
    <row r="12457" spans="1:4">
      <c r="A12457" t="str">
        <f t="shared" si="204"/>
        <v>2036Treynor Ratio</v>
      </c>
      <c r="B12457">
        <v>2036</v>
      </c>
      <c r="C12457" s="9" t="s">
        <v>39</v>
      </c>
      <c r="D12457" s="8">
        <v>-2.5999999999999999E-2</v>
      </c>
    </row>
    <row r="12458" spans="1:4">
      <c r="A12458" t="str">
        <f t="shared" si="204"/>
        <v>2036Total Fees</v>
      </c>
      <c r="B12458">
        <v>2036</v>
      </c>
      <c r="C12458" s="9" t="s">
        <v>40</v>
      </c>
      <c r="D12458" s="8">
        <v>0</v>
      </c>
    </row>
    <row r="12459" spans="1:4">
      <c r="A12459" t="str">
        <f t="shared" si="204"/>
        <v>2036Estimated Strategy Capacity</v>
      </c>
      <c r="B12459">
        <v>2036</v>
      </c>
      <c r="C12459" s="9" t="s">
        <v>41</v>
      </c>
      <c r="D12459" s="8">
        <v>8600000</v>
      </c>
    </row>
    <row r="12460" spans="1:4">
      <c r="A12460" t="str">
        <f t="shared" si="204"/>
        <v>2037PSR</v>
      </c>
      <c r="B12460">
        <v>2037</v>
      </c>
      <c r="C12460" s="9" t="s">
        <v>27</v>
      </c>
      <c r="D12460" s="8">
        <v>6.9999999999999999E-4</v>
      </c>
    </row>
    <row r="12461" spans="1:4">
      <c r="A12461" t="str">
        <f t="shared" si="204"/>
        <v>2037Sharpe Ratio</v>
      </c>
      <c r="B12461">
        <v>2037</v>
      </c>
      <c r="C12461" s="9" t="s">
        <v>1</v>
      </c>
      <c r="D12461" s="8">
        <v>-2.4380000000000002</v>
      </c>
    </row>
    <row r="12462" spans="1:4">
      <c r="A12462" t="str">
        <f t="shared" si="204"/>
        <v>2037Total Trades</v>
      </c>
      <c r="B12462">
        <v>2037</v>
      </c>
      <c r="C12462" s="9" t="s">
        <v>28</v>
      </c>
      <c r="D12462" s="8">
        <v>1523</v>
      </c>
    </row>
    <row r="12463" spans="1:4">
      <c r="A12463" t="str">
        <f t="shared" si="204"/>
        <v>2037Average Win</v>
      </c>
      <c r="B12463">
        <v>2037</v>
      </c>
      <c r="C12463" s="9" t="s">
        <v>25</v>
      </c>
      <c r="D12463" s="8">
        <v>1E-4</v>
      </c>
    </row>
    <row r="12464" spans="1:4">
      <c r="A12464" t="str">
        <f t="shared" si="204"/>
        <v>2037Average Loss</v>
      </c>
      <c r="B12464">
        <v>2037</v>
      </c>
      <c r="C12464" s="9" t="s">
        <v>29</v>
      </c>
      <c r="D12464" s="8">
        <v>-5.0000000000000001E-4</v>
      </c>
    </row>
    <row r="12465" spans="1:4">
      <c r="A12465" t="str">
        <f t="shared" si="204"/>
        <v>2037Compounding Annual Return</v>
      </c>
      <c r="B12465">
        <v>2037</v>
      </c>
      <c r="C12465" s="9" t="s">
        <v>30</v>
      </c>
      <c r="D12465" s="8">
        <v>-2.35E-2</v>
      </c>
    </row>
    <row r="12466" spans="1:4">
      <c r="A12466" t="str">
        <f t="shared" si="204"/>
        <v>2037Drawdown</v>
      </c>
      <c r="B12466">
        <v>2037</v>
      </c>
      <c r="C12466" s="9" t="s">
        <v>8</v>
      </c>
      <c r="D12466" s="8">
        <v>1.9E-2</v>
      </c>
    </row>
    <row r="12467" spans="1:4">
      <c r="A12467" t="str">
        <f t="shared" si="204"/>
        <v>2037Expectancy</v>
      </c>
      <c r="B12467">
        <v>2037</v>
      </c>
      <c r="C12467" s="9" t="s">
        <v>31</v>
      </c>
      <c r="D12467" s="8">
        <v>-0.21099999999999999</v>
      </c>
    </row>
    <row r="12468" spans="1:4">
      <c r="A12468" t="str">
        <f t="shared" si="204"/>
        <v>2037Net Profit</v>
      </c>
      <c r="B12468">
        <v>2037</v>
      </c>
      <c r="C12468" s="9" t="s">
        <v>32</v>
      </c>
      <c r="D12468" s="8">
        <v>-1.5769999999999999E-2</v>
      </c>
    </row>
    <row r="12469" spans="1:4">
      <c r="A12469" t="str">
        <f t="shared" si="204"/>
        <v>2037Loss Rate</v>
      </c>
      <c r="B12469">
        <v>2037</v>
      </c>
      <c r="C12469" s="9" t="s">
        <v>33</v>
      </c>
      <c r="D12469" s="8">
        <v>0.35</v>
      </c>
    </row>
    <row r="12470" spans="1:4">
      <c r="A12470" t="str">
        <f t="shared" si="204"/>
        <v>2037Win Rate</v>
      </c>
      <c r="B12470">
        <v>2037</v>
      </c>
      <c r="C12470" s="9" t="s">
        <v>34</v>
      </c>
      <c r="D12470" s="8">
        <v>0.65</v>
      </c>
    </row>
    <row r="12471" spans="1:4">
      <c r="A12471" t="str">
        <f t="shared" si="204"/>
        <v>2037Profit-Loss Ratio</v>
      </c>
      <c r="B12471">
        <v>2037</v>
      </c>
      <c r="C12471" s="9" t="s">
        <v>26</v>
      </c>
      <c r="D12471" s="8">
        <v>0.2</v>
      </c>
    </row>
    <row r="12472" spans="1:4">
      <c r="A12472" t="str">
        <f t="shared" ref="A12472:A12480" si="205">B12472&amp;C12472</f>
        <v>2037Alpha</v>
      </c>
      <c r="B12472">
        <v>2037</v>
      </c>
      <c r="C12472" s="9" t="s">
        <v>23</v>
      </c>
      <c r="D12472" s="8">
        <v>-1.6E-2</v>
      </c>
    </row>
    <row r="12473" spans="1:4">
      <c r="A12473" t="str">
        <f t="shared" si="205"/>
        <v>2037Beta</v>
      </c>
      <c r="B12473">
        <v>2037</v>
      </c>
      <c r="C12473" s="9" t="s">
        <v>24</v>
      </c>
      <c r="D12473" s="8">
        <v>-5.0000000000000001E-3</v>
      </c>
    </row>
    <row r="12474" spans="1:4">
      <c r="A12474" t="str">
        <f t="shared" si="205"/>
        <v>2037Annual Standard Deviation</v>
      </c>
      <c r="B12474">
        <v>2037</v>
      </c>
      <c r="C12474" s="9" t="s">
        <v>35</v>
      </c>
      <c r="D12474" s="8">
        <v>7.0000000000000001E-3</v>
      </c>
    </row>
    <row r="12475" spans="1:4">
      <c r="A12475" t="str">
        <f t="shared" si="205"/>
        <v>2037Annual Variance</v>
      </c>
      <c r="B12475">
        <v>2037</v>
      </c>
      <c r="C12475" s="9" t="s">
        <v>36</v>
      </c>
      <c r="D12475" s="8">
        <v>0</v>
      </c>
    </row>
    <row r="12476" spans="1:4">
      <c r="A12476" t="str">
        <f t="shared" si="205"/>
        <v>2037Information Ratio</v>
      </c>
      <c r="B12476">
        <v>2037</v>
      </c>
      <c r="C12476" s="9" t="s">
        <v>37</v>
      </c>
      <c r="D12476" s="8">
        <v>-0.97899999999999998</v>
      </c>
    </row>
    <row r="12477" spans="1:4">
      <c r="A12477" t="str">
        <f t="shared" si="205"/>
        <v>2037Tracking Error</v>
      </c>
      <c r="B12477">
        <v>2037</v>
      </c>
      <c r="C12477" s="9" t="s">
        <v>38</v>
      </c>
      <c r="D12477" s="8">
        <v>6.8000000000000005E-2</v>
      </c>
    </row>
    <row r="12478" spans="1:4">
      <c r="A12478" t="str">
        <f t="shared" si="205"/>
        <v>2037Treynor Ratio</v>
      </c>
      <c r="B12478">
        <v>2037</v>
      </c>
      <c r="C12478" s="9" t="s">
        <v>39</v>
      </c>
      <c r="D12478" s="8">
        <v>3.0230000000000001</v>
      </c>
    </row>
    <row r="12479" spans="1:4">
      <c r="A12479" t="str">
        <f t="shared" si="205"/>
        <v>2037Total Fees</v>
      </c>
      <c r="B12479">
        <v>2037</v>
      </c>
      <c r="C12479" s="9" t="s">
        <v>40</v>
      </c>
      <c r="D12479" s="8">
        <v>0</v>
      </c>
    </row>
    <row r="12480" spans="1:4">
      <c r="A12480" t="str">
        <f>B12480&amp;C12480</f>
        <v>2037Estimated Strategy Capacity</v>
      </c>
      <c r="B12480">
        <v>2037</v>
      </c>
      <c r="C12480" s="9" t="s">
        <v>41</v>
      </c>
      <c r="D12480" s="8">
        <v>4000000</v>
      </c>
    </row>
    <row r="12481" spans="1:4">
      <c r="A12481" t="str">
        <f t="shared" ref="A12481:A12544" si="206">B12481&amp;C12481</f>
        <v>2038PSR</v>
      </c>
      <c r="B12481">
        <v>2038</v>
      </c>
      <c r="C12481" s="9" t="s">
        <v>27</v>
      </c>
      <c r="D12481" s="8">
        <v>2.9E-4</v>
      </c>
    </row>
    <row r="12482" spans="1:4">
      <c r="A12482" t="str">
        <f t="shared" si="206"/>
        <v>2038Sharpe Ratio</v>
      </c>
      <c r="B12482">
        <v>2038</v>
      </c>
      <c r="C12482" s="9" t="s">
        <v>1</v>
      </c>
      <c r="D12482" s="8">
        <v>-2.3490000000000002</v>
      </c>
    </row>
    <row r="12483" spans="1:4">
      <c r="A12483" t="str">
        <f t="shared" si="206"/>
        <v>2038Total Trades</v>
      </c>
      <c r="B12483">
        <v>2038</v>
      </c>
      <c r="C12483" s="9" t="s">
        <v>28</v>
      </c>
      <c r="D12483" s="8">
        <v>1172</v>
      </c>
    </row>
    <row r="12484" spans="1:4">
      <c r="A12484" t="str">
        <f t="shared" si="206"/>
        <v>2038Average Win</v>
      </c>
      <c r="B12484">
        <v>2038</v>
      </c>
      <c r="C12484" s="9" t="s">
        <v>25</v>
      </c>
      <c r="D12484" s="8">
        <v>4.0000000000000002E-4</v>
      </c>
    </row>
    <row r="12485" spans="1:4">
      <c r="A12485" t="str">
        <f t="shared" si="206"/>
        <v>2038Average Loss</v>
      </c>
      <c r="B12485">
        <v>2038</v>
      </c>
      <c r="C12485" s="9" t="s">
        <v>29</v>
      </c>
      <c r="D12485" s="8">
        <v>-1.6000000000000001E-3</v>
      </c>
    </row>
    <row r="12486" spans="1:4">
      <c r="A12486" t="str">
        <f t="shared" si="206"/>
        <v>2038Compounding Annual Return</v>
      </c>
      <c r="B12486">
        <v>2038</v>
      </c>
      <c r="C12486" s="9" t="s">
        <v>30</v>
      </c>
      <c r="D12486" s="8">
        <v>-6.9209999999999994E-2</v>
      </c>
    </row>
    <row r="12487" spans="1:4">
      <c r="A12487" t="str">
        <f t="shared" si="206"/>
        <v>2038Drawdown</v>
      </c>
      <c r="B12487">
        <v>2038</v>
      </c>
      <c r="C12487" s="9" t="s">
        <v>8</v>
      </c>
      <c r="D12487" s="8">
        <v>5.5E-2</v>
      </c>
    </row>
    <row r="12488" spans="1:4">
      <c r="A12488" t="str">
        <f t="shared" si="206"/>
        <v>2038Expectancy</v>
      </c>
      <c r="B12488">
        <v>2038</v>
      </c>
      <c r="C12488" s="9" t="s">
        <v>31</v>
      </c>
      <c r="D12488" s="8">
        <v>-0.20599999999999999</v>
      </c>
    </row>
    <row r="12489" spans="1:4">
      <c r="A12489" t="str">
        <f t="shared" si="206"/>
        <v>2038Net Profit</v>
      </c>
      <c r="B12489">
        <v>2038</v>
      </c>
      <c r="C12489" s="9" t="s">
        <v>32</v>
      </c>
      <c r="D12489" s="8">
        <v>-4.6809999999999997E-2</v>
      </c>
    </row>
    <row r="12490" spans="1:4">
      <c r="A12490" t="str">
        <f t="shared" si="206"/>
        <v>2038Loss Rate</v>
      </c>
      <c r="B12490">
        <v>2038</v>
      </c>
      <c r="C12490" s="9" t="s">
        <v>33</v>
      </c>
      <c r="D12490" s="8">
        <v>0.35</v>
      </c>
    </row>
    <row r="12491" spans="1:4">
      <c r="A12491" t="str">
        <f t="shared" si="206"/>
        <v>2038Win Rate</v>
      </c>
      <c r="B12491">
        <v>2038</v>
      </c>
      <c r="C12491" s="9" t="s">
        <v>34</v>
      </c>
      <c r="D12491" s="8">
        <v>0.65</v>
      </c>
    </row>
    <row r="12492" spans="1:4">
      <c r="A12492" t="str">
        <f t="shared" si="206"/>
        <v>2038Profit-Loss Ratio</v>
      </c>
      <c r="B12492">
        <v>2038</v>
      </c>
      <c r="C12492" s="9" t="s">
        <v>26</v>
      </c>
      <c r="D12492" s="8">
        <v>0.22</v>
      </c>
    </row>
    <row r="12493" spans="1:4">
      <c r="A12493" t="str">
        <f t="shared" si="206"/>
        <v>2038Alpha</v>
      </c>
      <c r="B12493">
        <v>2038</v>
      </c>
      <c r="C12493" s="9" t="s">
        <v>23</v>
      </c>
      <c r="D12493" s="8">
        <v>-4.7E-2</v>
      </c>
    </row>
    <row r="12494" spans="1:4">
      <c r="A12494" t="str">
        <f t="shared" si="206"/>
        <v>2038Beta</v>
      </c>
      <c r="B12494">
        <v>2038</v>
      </c>
      <c r="C12494" s="9" t="s">
        <v>24</v>
      </c>
      <c r="D12494" s="8">
        <v>-2.9000000000000001E-2</v>
      </c>
    </row>
    <row r="12495" spans="1:4">
      <c r="A12495" t="str">
        <f t="shared" si="206"/>
        <v>2038Annual Standard Deviation</v>
      </c>
      <c r="B12495">
        <v>2038</v>
      </c>
      <c r="C12495" s="9" t="s">
        <v>35</v>
      </c>
      <c r="D12495" s="8">
        <v>2.1000000000000001E-2</v>
      </c>
    </row>
    <row r="12496" spans="1:4">
      <c r="A12496" t="str">
        <f t="shared" si="206"/>
        <v>2038Annual Variance</v>
      </c>
      <c r="B12496">
        <v>2038</v>
      </c>
      <c r="C12496" s="9" t="s">
        <v>36</v>
      </c>
      <c r="D12496" s="8">
        <v>0</v>
      </c>
    </row>
    <row r="12497" spans="1:4">
      <c r="A12497" t="str">
        <f t="shared" si="206"/>
        <v>2038Information Ratio</v>
      </c>
      <c r="B12497">
        <v>2038</v>
      </c>
      <c r="C12497" s="9" t="s">
        <v>37</v>
      </c>
      <c r="D12497" s="8">
        <v>-1.365</v>
      </c>
    </row>
    <row r="12498" spans="1:4">
      <c r="A12498" t="str">
        <f t="shared" si="206"/>
        <v>2038Tracking Error</v>
      </c>
      <c r="B12498">
        <v>2038</v>
      </c>
      <c r="C12498" s="9" t="s">
        <v>38</v>
      </c>
      <c r="D12498" s="8">
        <v>7.1999999999999995E-2</v>
      </c>
    </row>
    <row r="12499" spans="1:4">
      <c r="A12499" t="str">
        <f t="shared" si="206"/>
        <v>2038Treynor Ratio</v>
      </c>
      <c r="B12499">
        <v>2038</v>
      </c>
      <c r="C12499" s="9" t="s">
        <v>39</v>
      </c>
      <c r="D12499" s="8">
        <v>1.6739999999999999</v>
      </c>
    </row>
    <row r="12500" spans="1:4">
      <c r="A12500" t="str">
        <f t="shared" si="206"/>
        <v>2038Total Fees</v>
      </c>
      <c r="B12500">
        <v>2038</v>
      </c>
      <c r="C12500" s="9" t="s">
        <v>40</v>
      </c>
      <c r="D12500" s="8">
        <v>0</v>
      </c>
    </row>
    <row r="12501" spans="1:4">
      <c r="A12501" t="str">
        <f t="shared" si="206"/>
        <v>2038Estimated Strategy Capacity</v>
      </c>
      <c r="B12501">
        <v>2038</v>
      </c>
      <c r="C12501" s="9" t="s">
        <v>41</v>
      </c>
      <c r="D12501" s="8">
        <v>4500000</v>
      </c>
    </row>
    <row r="12502" spans="1:4">
      <c r="A12502" t="str">
        <f t="shared" si="206"/>
        <v>2039PSR</v>
      </c>
      <c r="B12502">
        <v>2039</v>
      </c>
      <c r="C12502" s="9" t="s">
        <v>27</v>
      </c>
      <c r="D12502" s="8">
        <v>2.4499999999999999E-3</v>
      </c>
    </row>
    <row r="12503" spans="1:4">
      <c r="A12503" t="str">
        <f t="shared" si="206"/>
        <v>2039Sharpe Ratio</v>
      </c>
      <c r="B12503">
        <v>2039</v>
      </c>
      <c r="C12503" s="9" t="s">
        <v>1</v>
      </c>
      <c r="D12503" s="8">
        <v>-1.7470000000000001</v>
      </c>
    </row>
    <row r="12504" spans="1:4">
      <c r="A12504" t="str">
        <f t="shared" si="206"/>
        <v>2039Total Trades</v>
      </c>
      <c r="B12504">
        <v>2039</v>
      </c>
      <c r="C12504" s="9" t="s">
        <v>28</v>
      </c>
      <c r="D12504" s="8">
        <v>890</v>
      </c>
    </row>
    <row r="12505" spans="1:4">
      <c r="A12505" t="str">
        <f t="shared" si="206"/>
        <v>2039Average Win</v>
      </c>
      <c r="B12505">
        <v>2039</v>
      </c>
      <c r="C12505" s="9" t="s">
        <v>25</v>
      </c>
      <c r="D12505" s="8">
        <v>5.9999999999999995E-4</v>
      </c>
    </row>
    <row r="12506" spans="1:4">
      <c r="A12506" t="str">
        <f t="shared" si="206"/>
        <v>2039Average Loss</v>
      </c>
      <c r="B12506">
        <v>2039</v>
      </c>
      <c r="C12506" s="9" t="s">
        <v>29</v>
      </c>
      <c r="D12506" s="8">
        <v>-2.3999999999999998E-3</v>
      </c>
    </row>
    <row r="12507" spans="1:4">
      <c r="A12507" t="str">
        <f t="shared" si="206"/>
        <v>2039Compounding Annual Return</v>
      </c>
      <c r="B12507">
        <v>2039</v>
      </c>
      <c r="C12507" s="9" t="s">
        <v>30</v>
      </c>
      <c r="D12507" s="8">
        <v>-7.3270000000000002E-2</v>
      </c>
    </row>
    <row r="12508" spans="1:4">
      <c r="A12508" t="str">
        <f t="shared" si="206"/>
        <v>2039Drawdown</v>
      </c>
      <c r="B12508">
        <v>2039</v>
      </c>
      <c r="C12508" s="9" t="s">
        <v>8</v>
      </c>
      <c r="D12508" s="8">
        <v>6.7000000000000004E-2</v>
      </c>
    </row>
    <row r="12509" spans="1:4">
      <c r="A12509" t="str">
        <f t="shared" si="206"/>
        <v>2039Expectancy</v>
      </c>
      <c r="B12509">
        <v>2039</v>
      </c>
      <c r="C12509" s="9" t="s">
        <v>31</v>
      </c>
      <c r="D12509" s="8">
        <v>-0.16</v>
      </c>
    </row>
    <row r="12510" spans="1:4">
      <c r="A12510" t="str">
        <f t="shared" si="206"/>
        <v>2039Net Profit</v>
      </c>
      <c r="B12510">
        <v>2039</v>
      </c>
      <c r="C12510" s="9" t="s">
        <v>32</v>
      </c>
      <c r="D12510" s="8">
        <v>-4.9590000000000002E-2</v>
      </c>
    </row>
    <row r="12511" spans="1:4">
      <c r="A12511" t="str">
        <f t="shared" si="206"/>
        <v>2039Loss Rate</v>
      </c>
      <c r="B12511">
        <v>2039</v>
      </c>
      <c r="C12511" s="9" t="s">
        <v>33</v>
      </c>
      <c r="D12511" s="8">
        <v>0.32</v>
      </c>
    </row>
    <row r="12512" spans="1:4">
      <c r="A12512" t="str">
        <f t="shared" si="206"/>
        <v>2039Win Rate</v>
      </c>
      <c r="B12512">
        <v>2039</v>
      </c>
      <c r="C12512" s="9" t="s">
        <v>34</v>
      </c>
      <c r="D12512" s="8">
        <v>0.68</v>
      </c>
    </row>
    <row r="12513" spans="1:4">
      <c r="A12513" t="str">
        <f t="shared" si="206"/>
        <v>2039Profit-Loss Ratio</v>
      </c>
      <c r="B12513">
        <v>2039</v>
      </c>
      <c r="C12513" s="9" t="s">
        <v>26</v>
      </c>
      <c r="D12513" s="8">
        <v>0.24</v>
      </c>
    </row>
    <row r="12514" spans="1:4">
      <c r="A12514" t="str">
        <f t="shared" si="206"/>
        <v>2039Alpha</v>
      </c>
      <c r="B12514">
        <v>2039</v>
      </c>
      <c r="C12514" s="9" t="s">
        <v>23</v>
      </c>
      <c r="D12514" s="8">
        <v>-0.05</v>
      </c>
    </row>
    <row r="12515" spans="1:4">
      <c r="A12515" t="str">
        <f t="shared" si="206"/>
        <v>2039Beta</v>
      </c>
      <c r="B12515">
        <v>2039</v>
      </c>
      <c r="C12515" s="9" t="s">
        <v>24</v>
      </c>
      <c r="D12515" s="8">
        <v>-1.6E-2</v>
      </c>
    </row>
    <row r="12516" spans="1:4">
      <c r="A12516" t="str">
        <f t="shared" si="206"/>
        <v>2039Annual Standard Deviation</v>
      </c>
      <c r="B12516">
        <v>2039</v>
      </c>
      <c r="C12516" s="9" t="s">
        <v>35</v>
      </c>
      <c r="D12516" s="8">
        <v>2.9000000000000001E-2</v>
      </c>
    </row>
    <row r="12517" spans="1:4">
      <c r="A12517" t="str">
        <f t="shared" si="206"/>
        <v>2039Annual Variance</v>
      </c>
      <c r="B12517">
        <v>2039</v>
      </c>
      <c r="C12517" s="9" t="s">
        <v>36</v>
      </c>
      <c r="D12517" s="8">
        <v>1E-3</v>
      </c>
    </row>
    <row r="12518" spans="1:4">
      <c r="A12518" t="str">
        <f t="shared" si="206"/>
        <v>2039Information Ratio</v>
      </c>
      <c r="B12518">
        <v>2039</v>
      </c>
      <c r="C12518" s="9" t="s">
        <v>37</v>
      </c>
      <c r="D12518" s="8">
        <v>-1.3620000000000001</v>
      </c>
    </row>
    <row r="12519" spans="1:4">
      <c r="A12519" t="str">
        <f t="shared" si="206"/>
        <v>2039Tracking Error</v>
      </c>
      <c r="B12519">
        <v>2039</v>
      </c>
      <c r="C12519" s="9" t="s">
        <v>38</v>
      </c>
      <c r="D12519" s="8">
        <v>7.3999999999999996E-2</v>
      </c>
    </row>
    <row r="12520" spans="1:4">
      <c r="A12520" t="str">
        <f t="shared" si="206"/>
        <v>2039Treynor Ratio</v>
      </c>
      <c r="B12520">
        <v>2039</v>
      </c>
      <c r="C12520" s="9" t="s">
        <v>39</v>
      </c>
      <c r="D12520" s="8">
        <v>3.14</v>
      </c>
    </row>
    <row r="12521" spans="1:4">
      <c r="A12521" t="str">
        <f t="shared" si="206"/>
        <v>2039Total Fees</v>
      </c>
      <c r="B12521">
        <v>2039</v>
      </c>
      <c r="C12521" s="9" t="s">
        <v>40</v>
      </c>
      <c r="D12521" s="8">
        <v>0</v>
      </c>
    </row>
    <row r="12522" spans="1:4">
      <c r="A12522" t="str">
        <f t="shared" si="206"/>
        <v>2039Estimated Strategy Capacity</v>
      </c>
      <c r="B12522">
        <v>2039</v>
      </c>
      <c r="C12522" s="9" t="s">
        <v>41</v>
      </c>
      <c r="D12522" s="8">
        <v>4700000</v>
      </c>
    </row>
    <row r="12523" spans="1:4">
      <c r="A12523" t="str">
        <f t="shared" si="206"/>
        <v>2040PSR</v>
      </c>
      <c r="B12523">
        <v>2040</v>
      </c>
      <c r="C12523" s="9" t="s">
        <v>27</v>
      </c>
      <c r="D12523" s="8">
        <v>0.22363</v>
      </c>
    </row>
    <row r="12524" spans="1:4">
      <c r="A12524" t="str">
        <f t="shared" si="206"/>
        <v>2040Sharpe Ratio</v>
      </c>
      <c r="B12524">
        <v>2040</v>
      </c>
      <c r="C12524" s="9" t="s">
        <v>1</v>
      </c>
      <c r="D12524" s="8">
        <v>0.22800000000000001</v>
      </c>
    </row>
    <row r="12525" spans="1:4">
      <c r="A12525" t="str">
        <f t="shared" si="206"/>
        <v>2040Total Trades</v>
      </c>
      <c r="B12525">
        <v>2040</v>
      </c>
      <c r="C12525" s="9" t="s">
        <v>28</v>
      </c>
      <c r="D12525" s="8">
        <v>1177</v>
      </c>
    </row>
    <row r="12526" spans="1:4">
      <c r="A12526" t="str">
        <f t="shared" si="206"/>
        <v>2040Average Win</v>
      </c>
      <c r="B12526">
        <v>2040</v>
      </c>
      <c r="C12526" s="9" t="s">
        <v>25</v>
      </c>
      <c r="D12526" s="8">
        <v>2.0000000000000001E-4</v>
      </c>
    </row>
    <row r="12527" spans="1:4">
      <c r="A12527" t="str">
        <f t="shared" si="206"/>
        <v>2040Average Loss</v>
      </c>
      <c r="B12527">
        <v>2040</v>
      </c>
      <c r="C12527" s="9" t="s">
        <v>29</v>
      </c>
      <c r="D12527" s="8">
        <v>-4.0000000000000002E-4</v>
      </c>
    </row>
    <row r="12528" spans="1:4">
      <c r="A12528" t="str">
        <f t="shared" si="206"/>
        <v>2040Compounding Annual Return</v>
      </c>
      <c r="B12528">
        <v>2040</v>
      </c>
      <c r="C12528" s="9" t="s">
        <v>30</v>
      </c>
      <c r="D12528" s="8">
        <v>2.3900000000000002E-3</v>
      </c>
    </row>
    <row r="12529" spans="1:4">
      <c r="A12529" t="str">
        <f t="shared" si="206"/>
        <v>2040Drawdown</v>
      </c>
      <c r="B12529">
        <v>2040</v>
      </c>
      <c r="C12529" s="9" t="s">
        <v>8</v>
      </c>
      <c r="D12529" s="8">
        <v>8.0000000000000002E-3</v>
      </c>
    </row>
    <row r="12530" spans="1:4">
      <c r="A12530" t="str">
        <f t="shared" si="206"/>
        <v>2040Expectancy</v>
      </c>
      <c r="B12530">
        <v>2040</v>
      </c>
      <c r="C12530" s="9" t="s">
        <v>31</v>
      </c>
      <c r="D12530" s="8">
        <v>2.1999999999999999E-2</v>
      </c>
    </row>
    <row r="12531" spans="1:4">
      <c r="A12531" t="str">
        <f t="shared" si="206"/>
        <v>2040Net Profit</v>
      </c>
      <c r="B12531">
        <v>2040</v>
      </c>
      <c r="C12531" s="9" t="s">
        <v>32</v>
      </c>
      <c r="D12531" s="8">
        <v>1.6000000000000001E-3</v>
      </c>
    </row>
    <row r="12532" spans="1:4">
      <c r="A12532" t="str">
        <f t="shared" si="206"/>
        <v>2040Loss Rate</v>
      </c>
      <c r="B12532">
        <v>2040</v>
      </c>
      <c r="C12532" s="9" t="s">
        <v>33</v>
      </c>
      <c r="D12532" s="8">
        <v>0.33</v>
      </c>
    </row>
    <row r="12533" spans="1:4">
      <c r="A12533" t="str">
        <f t="shared" si="206"/>
        <v>2040Win Rate</v>
      </c>
      <c r="B12533">
        <v>2040</v>
      </c>
      <c r="C12533" s="9" t="s">
        <v>34</v>
      </c>
      <c r="D12533" s="8">
        <v>0.67</v>
      </c>
    </row>
    <row r="12534" spans="1:4">
      <c r="A12534" t="str">
        <f t="shared" si="206"/>
        <v>2040Profit-Loss Ratio</v>
      </c>
      <c r="B12534">
        <v>2040</v>
      </c>
      <c r="C12534" s="9" t="s">
        <v>26</v>
      </c>
      <c r="D12534" s="8">
        <v>0.51</v>
      </c>
    </row>
    <row r="12535" spans="1:4">
      <c r="A12535" t="str">
        <f t="shared" si="206"/>
        <v>2040Alpha</v>
      </c>
      <c r="B12535">
        <v>2040</v>
      </c>
      <c r="C12535" s="9" t="s">
        <v>23</v>
      </c>
      <c r="D12535" s="8">
        <v>3.0000000000000001E-3</v>
      </c>
    </row>
    <row r="12536" spans="1:4">
      <c r="A12536" t="str">
        <f t="shared" si="206"/>
        <v>2040Beta</v>
      </c>
      <c r="B12536">
        <v>2040</v>
      </c>
      <c r="C12536" s="9" t="s">
        <v>24</v>
      </c>
      <c r="D12536" s="8">
        <v>-0.02</v>
      </c>
    </row>
    <row r="12537" spans="1:4">
      <c r="A12537" t="str">
        <f t="shared" si="206"/>
        <v>2040Annual Standard Deviation</v>
      </c>
      <c r="B12537">
        <v>2040</v>
      </c>
      <c r="C12537" s="9" t="s">
        <v>35</v>
      </c>
      <c r="D12537" s="8">
        <v>7.0000000000000001E-3</v>
      </c>
    </row>
    <row r="12538" spans="1:4">
      <c r="A12538" t="str">
        <f t="shared" si="206"/>
        <v>2040Annual Variance</v>
      </c>
      <c r="B12538">
        <v>2040</v>
      </c>
      <c r="C12538" s="9" t="s">
        <v>36</v>
      </c>
      <c r="D12538" s="8">
        <v>0</v>
      </c>
    </row>
    <row r="12539" spans="1:4">
      <c r="A12539" t="str">
        <f t="shared" si="206"/>
        <v>2040Information Ratio</v>
      </c>
      <c r="B12539">
        <v>2040</v>
      </c>
      <c r="C12539" s="9" t="s">
        <v>37</v>
      </c>
      <c r="D12539" s="8">
        <v>-0.70299999999999996</v>
      </c>
    </row>
    <row r="12540" spans="1:4">
      <c r="A12540" t="str">
        <f t="shared" si="206"/>
        <v>2040Tracking Error</v>
      </c>
      <c r="B12540">
        <v>2040</v>
      </c>
      <c r="C12540" s="9" t="s">
        <v>38</v>
      </c>
      <c r="D12540" s="8">
        <v>6.9000000000000006E-2</v>
      </c>
    </row>
    <row r="12541" spans="1:4">
      <c r="A12541" t="str">
        <f t="shared" si="206"/>
        <v>2040Treynor Ratio</v>
      </c>
      <c r="B12541">
        <v>2040</v>
      </c>
      <c r="C12541" s="9" t="s">
        <v>39</v>
      </c>
      <c r="D12541" s="8">
        <v>-8.4000000000000005E-2</v>
      </c>
    </row>
    <row r="12542" spans="1:4">
      <c r="A12542" t="str">
        <f t="shared" si="206"/>
        <v>2040Total Fees</v>
      </c>
      <c r="B12542">
        <v>2040</v>
      </c>
      <c r="C12542" s="9" t="s">
        <v>40</v>
      </c>
      <c r="D12542" s="8">
        <v>0</v>
      </c>
    </row>
    <row r="12543" spans="1:4">
      <c r="A12543" t="str">
        <f t="shared" si="206"/>
        <v>2040Estimated Strategy Capacity</v>
      </c>
      <c r="B12543">
        <v>2040</v>
      </c>
      <c r="C12543" s="9" t="s">
        <v>41</v>
      </c>
      <c r="D12543" s="8">
        <v>7400000</v>
      </c>
    </row>
    <row r="12544" spans="1:4">
      <c r="A12544" t="str">
        <f t="shared" si="206"/>
        <v>2041PSR</v>
      </c>
      <c r="B12544">
        <v>2041</v>
      </c>
      <c r="C12544" s="9" t="s">
        <v>27</v>
      </c>
      <c r="D12544" s="8">
        <v>0.26901999999999998</v>
      </c>
    </row>
    <row r="12545" spans="1:4">
      <c r="A12545" t="str">
        <f t="shared" ref="A12545:A12585" si="207">B12545&amp;C12545</f>
        <v>2041Sharpe Ratio</v>
      </c>
      <c r="B12545">
        <v>2041</v>
      </c>
      <c r="C12545" s="9" t="s">
        <v>1</v>
      </c>
      <c r="D12545" s="8">
        <v>0.38300000000000001</v>
      </c>
    </row>
    <row r="12546" spans="1:4">
      <c r="A12546" t="str">
        <f t="shared" si="207"/>
        <v>2041Total Trades</v>
      </c>
      <c r="B12546">
        <v>2041</v>
      </c>
      <c r="C12546" s="9" t="s">
        <v>28</v>
      </c>
      <c r="D12546" s="8">
        <v>924</v>
      </c>
    </row>
    <row r="12547" spans="1:4">
      <c r="A12547" t="str">
        <f t="shared" si="207"/>
        <v>2041Average Win</v>
      </c>
      <c r="B12547">
        <v>2041</v>
      </c>
      <c r="C12547" s="9" t="s">
        <v>25</v>
      </c>
      <c r="D12547" s="8">
        <v>6.9999999999999999E-4</v>
      </c>
    </row>
    <row r="12548" spans="1:4">
      <c r="A12548" t="str">
        <f t="shared" si="207"/>
        <v>2041Average Loss</v>
      </c>
      <c r="B12548">
        <v>2041</v>
      </c>
      <c r="C12548" s="9" t="s">
        <v>29</v>
      </c>
      <c r="D12548" s="8">
        <v>-1.2999999999999999E-3</v>
      </c>
    </row>
    <row r="12549" spans="1:4">
      <c r="A12549" t="str">
        <f t="shared" si="207"/>
        <v>2041Compounding Annual Return</v>
      </c>
      <c r="B12549">
        <v>2041</v>
      </c>
      <c r="C12549" s="9" t="s">
        <v>30</v>
      </c>
      <c r="D12549" s="8">
        <v>1.209E-2</v>
      </c>
    </row>
    <row r="12550" spans="1:4">
      <c r="A12550" t="str">
        <f t="shared" si="207"/>
        <v>2041Drawdown</v>
      </c>
      <c r="B12550">
        <v>2041</v>
      </c>
      <c r="C12550" s="9" t="s">
        <v>8</v>
      </c>
      <c r="D12550" s="8">
        <v>3.1E-2</v>
      </c>
    </row>
    <row r="12551" spans="1:4">
      <c r="A12551" t="str">
        <f t="shared" si="207"/>
        <v>2041Expectancy</v>
      </c>
      <c r="B12551">
        <v>2041</v>
      </c>
      <c r="C12551" s="9" t="s">
        <v>31</v>
      </c>
      <c r="D12551" s="8">
        <v>4.5999999999999999E-2</v>
      </c>
    </row>
    <row r="12552" spans="1:4">
      <c r="A12552" t="str">
        <f t="shared" si="207"/>
        <v>2041Net Profit</v>
      </c>
      <c r="B12552">
        <v>2041</v>
      </c>
      <c r="C12552" s="9" t="s">
        <v>32</v>
      </c>
      <c r="D12552" s="8">
        <v>8.0599999999999995E-3</v>
      </c>
    </row>
    <row r="12553" spans="1:4">
      <c r="A12553" t="str">
        <f t="shared" si="207"/>
        <v>2041Loss Rate</v>
      </c>
      <c r="B12553">
        <v>2041</v>
      </c>
      <c r="C12553" s="9" t="s">
        <v>33</v>
      </c>
      <c r="D12553" s="8">
        <v>0.32</v>
      </c>
    </row>
    <row r="12554" spans="1:4">
      <c r="A12554" t="str">
        <f t="shared" si="207"/>
        <v>2041Win Rate</v>
      </c>
      <c r="B12554">
        <v>2041</v>
      </c>
      <c r="C12554" s="9" t="s">
        <v>34</v>
      </c>
      <c r="D12554" s="8">
        <v>0.68</v>
      </c>
    </row>
    <row r="12555" spans="1:4">
      <c r="A12555" t="str">
        <f t="shared" si="207"/>
        <v>2041Profit-Loss Ratio</v>
      </c>
      <c r="B12555">
        <v>2041</v>
      </c>
      <c r="C12555" s="9" t="s">
        <v>26</v>
      </c>
      <c r="D12555" s="8">
        <v>0.54</v>
      </c>
    </row>
    <row r="12556" spans="1:4">
      <c r="A12556" t="str">
        <f t="shared" si="207"/>
        <v>2041Alpha</v>
      </c>
      <c r="B12556">
        <v>2041</v>
      </c>
      <c r="C12556" s="9" t="s">
        <v>23</v>
      </c>
      <c r="D12556" s="8">
        <v>1.2999999999999999E-2</v>
      </c>
    </row>
    <row r="12557" spans="1:4">
      <c r="A12557" t="str">
        <f t="shared" si="207"/>
        <v>2041Beta</v>
      </c>
      <c r="B12557">
        <v>2041</v>
      </c>
      <c r="C12557" s="9" t="s">
        <v>24</v>
      </c>
      <c r="D12557" s="8">
        <v>-8.2000000000000003E-2</v>
      </c>
    </row>
    <row r="12558" spans="1:4">
      <c r="A12558" t="str">
        <f t="shared" si="207"/>
        <v>2041Annual Standard Deviation</v>
      </c>
      <c r="B12558">
        <v>2041</v>
      </c>
      <c r="C12558" s="9" t="s">
        <v>35</v>
      </c>
      <c r="D12558" s="8">
        <v>2.3E-2</v>
      </c>
    </row>
    <row r="12559" spans="1:4">
      <c r="A12559" t="str">
        <f t="shared" si="207"/>
        <v>2041Annual Variance</v>
      </c>
      <c r="B12559">
        <v>2041</v>
      </c>
      <c r="C12559" s="9" t="s">
        <v>36</v>
      </c>
      <c r="D12559" s="8">
        <v>1E-3</v>
      </c>
    </row>
    <row r="12560" spans="1:4">
      <c r="A12560" t="str">
        <f t="shared" si="207"/>
        <v>2041Information Ratio</v>
      </c>
      <c r="B12560">
        <v>2041</v>
      </c>
      <c r="C12560" s="9" t="s">
        <v>37</v>
      </c>
      <c r="D12560" s="8">
        <v>-0.54700000000000004</v>
      </c>
    </row>
    <row r="12561" spans="1:4">
      <c r="A12561" t="str">
        <f t="shared" si="207"/>
        <v>2041Tracking Error</v>
      </c>
      <c r="B12561">
        <v>2041</v>
      </c>
      <c r="C12561" s="9" t="s">
        <v>38</v>
      </c>
      <c r="D12561" s="8">
        <v>7.5999999999999998E-2</v>
      </c>
    </row>
    <row r="12562" spans="1:4">
      <c r="A12562" t="str">
        <f t="shared" si="207"/>
        <v>2041Treynor Ratio</v>
      </c>
      <c r="B12562">
        <v>2041</v>
      </c>
      <c r="C12562" s="9" t="s">
        <v>39</v>
      </c>
      <c r="D12562" s="8">
        <v>-0.105</v>
      </c>
    </row>
    <row r="12563" spans="1:4">
      <c r="A12563" t="str">
        <f t="shared" si="207"/>
        <v>2041Total Fees</v>
      </c>
      <c r="B12563">
        <v>2041</v>
      </c>
      <c r="C12563" s="9" t="s">
        <v>40</v>
      </c>
      <c r="D12563" s="8">
        <v>0</v>
      </c>
    </row>
    <row r="12564" spans="1:4">
      <c r="A12564" t="str">
        <f t="shared" si="207"/>
        <v>2041Estimated Strategy Capacity</v>
      </c>
      <c r="B12564">
        <v>2041</v>
      </c>
      <c r="C12564" s="9" t="s">
        <v>41</v>
      </c>
      <c r="D12564" s="8">
        <v>4800000</v>
      </c>
    </row>
    <row r="12565" spans="1:4">
      <c r="A12565" t="str">
        <f t="shared" si="207"/>
        <v>2042PSR</v>
      </c>
      <c r="B12565">
        <v>2042</v>
      </c>
      <c r="C12565" s="9" t="s">
        <v>27</v>
      </c>
      <c r="D12565" s="8">
        <v>4.2659999999999997E-2</v>
      </c>
    </row>
    <row r="12566" spans="1:4">
      <c r="A12566" t="str">
        <f t="shared" si="207"/>
        <v>2042Sharpe Ratio</v>
      </c>
      <c r="B12566">
        <v>2042</v>
      </c>
      <c r="C12566" s="9" t="s">
        <v>1</v>
      </c>
      <c r="D12566" s="8">
        <v>-0.72699999999999998</v>
      </c>
    </row>
    <row r="12567" spans="1:4">
      <c r="A12567" t="str">
        <f t="shared" si="207"/>
        <v>2042Total Trades</v>
      </c>
      <c r="B12567">
        <v>2042</v>
      </c>
      <c r="C12567" s="9" t="s">
        <v>28</v>
      </c>
      <c r="D12567" s="8">
        <v>694</v>
      </c>
    </row>
    <row r="12568" spans="1:4">
      <c r="A12568" t="str">
        <f t="shared" si="207"/>
        <v>2042Average Win</v>
      </c>
      <c r="B12568">
        <v>2042</v>
      </c>
      <c r="C12568" s="9" t="s">
        <v>25</v>
      </c>
      <c r="D12568" s="8">
        <v>8.0000000000000004E-4</v>
      </c>
    </row>
    <row r="12569" spans="1:4">
      <c r="A12569" t="str">
        <f t="shared" si="207"/>
        <v>2042Average Loss</v>
      </c>
      <c r="B12569">
        <v>2042</v>
      </c>
      <c r="C12569" s="9" t="s">
        <v>29</v>
      </c>
      <c r="D12569" s="8">
        <v>-2.0999999999999999E-3</v>
      </c>
    </row>
    <row r="12570" spans="1:4">
      <c r="A12570" t="str">
        <f t="shared" si="207"/>
        <v>2042Compounding Annual Return</v>
      </c>
      <c r="B12570">
        <v>2042</v>
      </c>
      <c r="C12570" s="9" t="s">
        <v>30</v>
      </c>
      <c r="D12570" s="8">
        <v>-2.7980000000000001E-2</v>
      </c>
    </row>
    <row r="12571" spans="1:4">
      <c r="A12571" t="str">
        <f t="shared" si="207"/>
        <v>2042Drawdown</v>
      </c>
      <c r="B12571">
        <v>2042</v>
      </c>
      <c r="C12571" s="9" t="s">
        <v>8</v>
      </c>
      <c r="D12571" s="8">
        <v>4.4999999999999998E-2</v>
      </c>
    </row>
    <row r="12572" spans="1:4">
      <c r="A12572" t="str">
        <f t="shared" si="207"/>
        <v>2042Expectancy</v>
      </c>
      <c r="B12572">
        <v>2042</v>
      </c>
      <c r="C12572" s="9" t="s">
        <v>31</v>
      </c>
      <c r="D12572" s="8">
        <v>-7.0000000000000007E-2</v>
      </c>
    </row>
    <row r="12573" spans="1:4">
      <c r="A12573" t="str">
        <f t="shared" si="207"/>
        <v>2042Net Profit</v>
      </c>
      <c r="B12573">
        <v>2042</v>
      </c>
      <c r="C12573" s="9" t="s">
        <v>32</v>
      </c>
      <c r="D12573" s="8">
        <v>-1.8790000000000001E-2</v>
      </c>
    </row>
    <row r="12574" spans="1:4">
      <c r="A12574" t="str">
        <f t="shared" si="207"/>
        <v>2042Loss Rate</v>
      </c>
      <c r="B12574">
        <v>2042</v>
      </c>
      <c r="C12574" s="9" t="s">
        <v>33</v>
      </c>
      <c r="D12574" s="8">
        <v>0.32</v>
      </c>
    </row>
    <row r="12575" spans="1:4">
      <c r="A12575" t="str">
        <f t="shared" si="207"/>
        <v>2042Win Rate</v>
      </c>
      <c r="B12575">
        <v>2042</v>
      </c>
      <c r="C12575" s="9" t="s">
        <v>34</v>
      </c>
      <c r="D12575" s="8">
        <v>0.68</v>
      </c>
    </row>
    <row r="12576" spans="1:4">
      <c r="A12576" t="str">
        <f t="shared" si="207"/>
        <v>2042Profit-Loss Ratio</v>
      </c>
      <c r="B12576">
        <v>2042</v>
      </c>
      <c r="C12576" s="9" t="s">
        <v>26</v>
      </c>
      <c r="D12576" s="8">
        <v>0.36</v>
      </c>
    </row>
    <row r="12577" spans="1:4">
      <c r="A12577" t="str">
        <f t="shared" si="207"/>
        <v>2042Alpha</v>
      </c>
      <c r="B12577">
        <v>2042</v>
      </c>
      <c r="C12577" s="9" t="s">
        <v>23</v>
      </c>
      <c r="D12577" s="8">
        <v>-1.4E-2</v>
      </c>
    </row>
    <row r="12578" spans="1:4">
      <c r="A12578" t="str">
        <f t="shared" si="207"/>
        <v>2042Beta</v>
      </c>
      <c r="B12578">
        <v>2042</v>
      </c>
      <c r="C12578" s="9" t="s">
        <v>24</v>
      </c>
      <c r="D12578" s="8">
        <v>-9.6000000000000002E-2</v>
      </c>
    </row>
    <row r="12579" spans="1:4">
      <c r="A12579" t="str">
        <f t="shared" si="207"/>
        <v>2042Annual Standard Deviation</v>
      </c>
      <c r="B12579">
        <v>2042</v>
      </c>
      <c r="C12579" s="9" t="s">
        <v>35</v>
      </c>
      <c r="D12579" s="8">
        <v>2.5999999999999999E-2</v>
      </c>
    </row>
    <row r="12580" spans="1:4">
      <c r="A12580" t="str">
        <f t="shared" si="207"/>
        <v>2042Annual Variance</v>
      </c>
      <c r="B12580">
        <v>2042</v>
      </c>
      <c r="C12580" s="9" t="s">
        <v>36</v>
      </c>
      <c r="D12580" s="8">
        <v>1E-3</v>
      </c>
    </row>
    <row r="12581" spans="1:4">
      <c r="A12581" t="str">
        <f t="shared" si="207"/>
        <v>2042Information Ratio</v>
      </c>
      <c r="B12581">
        <v>2042</v>
      </c>
      <c r="C12581" s="9" t="s">
        <v>37</v>
      </c>
      <c r="D12581" s="8">
        <v>-0.88900000000000001</v>
      </c>
    </row>
    <row r="12582" spans="1:4">
      <c r="A12582" t="str">
        <f t="shared" si="207"/>
        <v>2042Tracking Error</v>
      </c>
      <c r="B12582">
        <v>2042</v>
      </c>
      <c r="C12582" s="9" t="s">
        <v>38</v>
      </c>
      <c r="D12582" s="8">
        <v>7.8E-2</v>
      </c>
    </row>
    <row r="12583" spans="1:4">
      <c r="A12583" t="str">
        <f t="shared" si="207"/>
        <v>2042Treynor Ratio</v>
      </c>
      <c r="B12583">
        <v>2042</v>
      </c>
      <c r="C12583" s="9" t="s">
        <v>39</v>
      </c>
      <c r="D12583" s="8">
        <v>0.19900000000000001</v>
      </c>
    </row>
    <row r="12584" spans="1:4">
      <c r="A12584" t="str">
        <f t="shared" si="207"/>
        <v>2042Total Fees</v>
      </c>
      <c r="B12584">
        <v>2042</v>
      </c>
      <c r="C12584" s="9" t="s">
        <v>40</v>
      </c>
      <c r="D12584" s="8">
        <v>0</v>
      </c>
    </row>
    <row r="12585" spans="1:4">
      <c r="A12585" t="str">
        <f>B12585&amp;C12585</f>
        <v>2042Estimated Strategy Capacity</v>
      </c>
      <c r="B12585">
        <v>2042</v>
      </c>
      <c r="C12585" s="9" t="s">
        <v>41</v>
      </c>
      <c r="D12585" s="8">
        <v>5000000</v>
      </c>
    </row>
    <row r="12586" spans="1:4">
      <c r="A12586" t="str">
        <f t="shared" ref="A12586:A12649" si="208">B12586&amp;C12586</f>
        <v>2043PSR</v>
      </c>
      <c r="B12586">
        <v>2043</v>
      </c>
      <c r="C12586" s="9" t="s">
        <v>27</v>
      </c>
      <c r="D12586" s="8">
        <v>0.67423</v>
      </c>
    </row>
    <row r="12587" spans="1:4">
      <c r="A12587" t="str">
        <f t="shared" si="208"/>
        <v>2043Sharpe Ratio</v>
      </c>
      <c r="B12587">
        <v>2043</v>
      </c>
      <c r="C12587" s="9" t="s">
        <v>1</v>
      </c>
      <c r="D12587" s="8">
        <v>1.446</v>
      </c>
    </row>
    <row r="12588" spans="1:4">
      <c r="A12588" t="str">
        <f t="shared" si="208"/>
        <v>2043Total Trades</v>
      </c>
      <c r="B12588">
        <v>2043</v>
      </c>
      <c r="C12588" s="9" t="s">
        <v>28</v>
      </c>
      <c r="D12588" s="8">
        <v>853</v>
      </c>
    </row>
    <row r="12589" spans="1:4">
      <c r="A12589" t="str">
        <f t="shared" si="208"/>
        <v>2043Average Win</v>
      </c>
      <c r="B12589">
        <v>2043</v>
      </c>
      <c r="C12589" s="9" t="s">
        <v>25</v>
      </c>
      <c r="D12589" s="8">
        <v>2.9999999999999997E-4</v>
      </c>
    </row>
    <row r="12590" spans="1:4">
      <c r="A12590" t="str">
        <f t="shared" si="208"/>
        <v>2043Average Loss</v>
      </c>
      <c r="B12590">
        <v>2043</v>
      </c>
      <c r="C12590" s="9" t="s">
        <v>29</v>
      </c>
      <c r="D12590" s="8">
        <v>-4.0000000000000002E-4</v>
      </c>
    </row>
    <row r="12591" spans="1:4">
      <c r="A12591" t="str">
        <f t="shared" si="208"/>
        <v>2043Compounding Annual Return</v>
      </c>
      <c r="B12591">
        <v>2043</v>
      </c>
      <c r="C12591" s="9" t="s">
        <v>30</v>
      </c>
      <c r="D12591" s="8">
        <v>2.0449999999999999E-2</v>
      </c>
    </row>
    <row r="12592" spans="1:4">
      <c r="A12592" t="str">
        <f t="shared" si="208"/>
        <v>2043Drawdown</v>
      </c>
      <c r="B12592">
        <v>2043</v>
      </c>
      <c r="C12592" s="9" t="s">
        <v>8</v>
      </c>
      <c r="D12592" s="8">
        <v>5.0000000000000001E-3</v>
      </c>
    </row>
    <row r="12593" spans="1:4">
      <c r="A12593" t="str">
        <f t="shared" si="208"/>
        <v>2043Expectancy</v>
      </c>
      <c r="B12593">
        <v>2043</v>
      </c>
      <c r="C12593" s="9" t="s">
        <v>31</v>
      </c>
      <c r="D12593" s="8">
        <v>0.35299999999999998</v>
      </c>
    </row>
    <row r="12594" spans="1:4">
      <c r="A12594" t="str">
        <f t="shared" si="208"/>
        <v>2043Net Profit</v>
      </c>
      <c r="B12594">
        <v>2043</v>
      </c>
      <c r="C12594" s="9" t="s">
        <v>32</v>
      </c>
      <c r="D12594" s="8">
        <v>1.362E-2</v>
      </c>
    </row>
    <row r="12595" spans="1:4">
      <c r="A12595" t="str">
        <f t="shared" si="208"/>
        <v>2043Loss Rate</v>
      </c>
      <c r="B12595">
        <v>2043</v>
      </c>
      <c r="C12595" s="9" t="s">
        <v>33</v>
      </c>
      <c r="D12595" s="8">
        <v>0.24</v>
      </c>
    </row>
    <row r="12596" spans="1:4">
      <c r="A12596" t="str">
        <f t="shared" si="208"/>
        <v>2043Win Rate</v>
      </c>
      <c r="B12596">
        <v>2043</v>
      </c>
      <c r="C12596" s="9" t="s">
        <v>34</v>
      </c>
      <c r="D12596" s="8">
        <v>0.76</v>
      </c>
    </row>
    <row r="12597" spans="1:4">
      <c r="A12597" t="str">
        <f t="shared" si="208"/>
        <v>2043Profit-Loss Ratio</v>
      </c>
      <c r="B12597">
        <v>2043</v>
      </c>
      <c r="C12597" s="9" t="s">
        <v>26</v>
      </c>
      <c r="D12597" s="8">
        <v>0.78</v>
      </c>
    </row>
    <row r="12598" spans="1:4">
      <c r="A12598" t="str">
        <f t="shared" si="208"/>
        <v>2043Alpha</v>
      </c>
      <c r="B12598">
        <v>2043</v>
      </c>
      <c r="C12598" s="9" t="s">
        <v>23</v>
      </c>
      <c r="D12598" s="8">
        <v>1.4999999999999999E-2</v>
      </c>
    </row>
    <row r="12599" spans="1:4">
      <c r="A12599" t="str">
        <f t="shared" si="208"/>
        <v>2043Beta</v>
      </c>
      <c r="B12599">
        <v>2043</v>
      </c>
      <c r="C12599" s="9" t="s">
        <v>24</v>
      </c>
      <c r="D12599" s="8">
        <v>-1.2E-2</v>
      </c>
    </row>
    <row r="12600" spans="1:4">
      <c r="A12600" t="str">
        <f t="shared" si="208"/>
        <v>2043Annual Standard Deviation</v>
      </c>
      <c r="B12600">
        <v>2043</v>
      </c>
      <c r="C12600" s="9" t="s">
        <v>35</v>
      </c>
      <c r="D12600" s="8">
        <v>0.01</v>
      </c>
    </row>
    <row r="12601" spans="1:4">
      <c r="A12601" t="str">
        <f t="shared" si="208"/>
        <v>2043Annual Variance</v>
      </c>
      <c r="B12601">
        <v>2043</v>
      </c>
      <c r="C12601" s="9" t="s">
        <v>36</v>
      </c>
      <c r="D12601" s="8">
        <v>0</v>
      </c>
    </row>
    <row r="12602" spans="1:4">
      <c r="A12602" t="str">
        <f t="shared" si="208"/>
        <v>2043Information Ratio</v>
      </c>
      <c r="B12602">
        <v>2043</v>
      </c>
      <c r="C12602" s="9" t="s">
        <v>37</v>
      </c>
      <c r="D12602" s="8">
        <v>-0.52300000000000002</v>
      </c>
    </row>
    <row r="12603" spans="1:4">
      <c r="A12603" t="str">
        <f t="shared" si="208"/>
        <v>2043Tracking Error</v>
      </c>
      <c r="B12603">
        <v>2043</v>
      </c>
      <c r="C12603" s="9" t="s">
        <v>38</v>
      </c>
      <c r="D12603" s="8">
        <v>6.9000000000000006E-2</v>
      </c>
    </row>
    <row r="12604" spans="1:4">
      <c r="A12604" t="str">
        <f t="shared" si="208"/>
        <v>2043Treynor Ratio</v>
      </c>
      <c r="B12604">
        <v>2043</v>
      </c>
      <c r="C12604" s="9" t="s">
        <v>39</v>
      </c>
      <c r="D12604" s="8">
        <v>-1.1819999999999999</v>
      </c>
    </row>
    <row r="12605" spans="1:4">
      <c r="A12605" t="str">
        <f t="shared" si="208"/>
        <v>2043Total Fees</v>
      </c>
      <c r="B12605">
        <v>2043</v>
      </c>
      <c r="C12605" s="9" t="s">
        <v>40</v>
      </c>
      <c r="D12605" s="8">
        <v>0</v>
      </c>
    </row>
    <row r="12606" spans="1:4">
      <c r="A12606" t="str">
        <f t="shared" si="208"/>
        <v>2043Estimated Strategy Capacity</v>
      </c>
      <c r="B12606">
        <v>2043</v>
      </c>
      <c r="C12606" s="9" t="s">
        <v>41</v>
      </c>
      <c r="D12606" s="8">
        <v>250000000</v>
      </c>
    </row>
    <row r="12607" spans="1:4">
      <c r="A12607" t="str">
        <f t="shared" si="208"/>
        <v>2044PSR</v>
      </c>
      <c r="B12607">
        <v>2044</v>
      </c>
      <c r="C12607" s="9" t="s">
        <v>27</v>
      </c>
      <c r="D12607" s="8">
        <v>0.51656000000000002</v>
      </c>
    </row>
    <row r="12608" spans="1:4">
      <c r="A12608" t="str">
        <f t="shared" si="208"/>
        <v>2044Sharpe Ratio</v>
      </c>
      <c r="B12608">
        <v>2044</v>
      </c>
      <c r="C12608" s="9" t="s">
        <v>1</v>
      </c>
      <c r="D12608" s="8">
        <v>1.0509999999999999</v>
      </c>
    </row>
    <row r="12609" spans="1:4">
      <c r="A12609" t="str">
        <f t="shared" si="208"/>
        <v>2044Total Trades</v>
      </c>
      <c r="B12609">
        <v>2044</v>
      </c>
      <c r="C12609" s="9" t="s">
        <v>28</v>
      </c>
      <c r="D12609" s="8">
        <v>680</v>
      </c>
    </row>
    <row r="12610" spans="1:4">
      <c r="A12610" t="str">
        <f t="shared" si="208"/>
        <v>2044Average Win</v>
      </c>
      <c r="B12610">
        <v>2044</v>
      </c>
      <c r="C12610" s="9" t="s">
        <v>25</v>
      </c>
      <c r="D12610" s="8">
        <v>8.0000000000000004E-4</v>
      </c>
    </row>
    <row r="12611" spans="1:4">
      <c r="A12611" t="str">
        <f t="shared" si="208"/>
        <v>2044Average Loss</v>
      </c>
      <c r="B12611">
        <v>2044</v>
      </c>
      <c r="C12611" s="9" t="s">
        <v>29</v>
      </c>
      <c r="D12611" s="8">
        <v>-1.2999999999999999E-3</v>
      </c>
    </row>
    <row r="12612" spans="1:4">
      <c r="A12612" t="str">
        <f t="shared" si="208"/>
        <v>2044Compounding Annual Return</v>
      </c>
      <c r="B12612">
        <v>2044</v>
      </c>
      <c r="C12612" s="9" t="s">
        <v>30</v>
      </c>
      <c r="D12612" s="8">
        <v>2.9909999999999999E-2</v>
      </c>
    </row>
    <row r="12613" spans="1:4">
      <c r="A12613" t="str">
        <f t="shared" si="208"/>
        <v>2044Drawdown</v>
      </c>
      <c r="B12613">
        <v>2044</v>
      </c>
      <c r="C12613" s="9" t="s">
        <v>8</v>
      </c>
      <c r="D12613" s="8">
        <v>1.9E-2</v>
      </c>
    </row>
    <row r="12614" spans="1:4">
      <c r="A12614" t="str">
        <f t="shared" si="208"/>
        <v>2044Expectancy</v>
      </c>
      <c r="B12614">
        <v>2044</v>
      </c>
      <c r="C12614" s="9" t="s">
        <v>31</v>
      </c>
      <c r="D12614" s="8">
        <v>0.16900000000000001</v>
      </c>
    </row>
    <row r="12615" spans="1:4">
      <c r="A12615" t="str">
        <f t="shared" si="208"/>
        <v>2044Net Profit</v>
      </c>
      <c r="B12615">
        <v>2044</v>
      </c>
      <c r="C12615" s="9" t="s">
        <v>32</v>
      </c>
      <c r="D12615" s="8">
        <v>1.9890000000000001E-2</v>
      </c>
    </row>
    <row r="12616" spans="1:4">
      <c r="A12616" t="str">
        <f t="shared" si="208"/>
        <v>2044Loss Rate</v>
      </c>
      <c r="B12616">
        <v>2044</v>
      </c>
      <c r="C12616" s="9" t="s">
        <v>33</v>
      </c>
      <c r="D12616" s="8">
        <v>0.26</v>
      </c>
    </row>
    <row r="12617" spans="1:4">
      <c r="A12617" t="str">
        <f t="shared" si="208"/>
        <v>2044Win Rate</v>
      </c>
      <c r="B12617">
        <v>2044</v>
      </c>
      <c r="C12617" s="9" t="s">
        <v>34</v>
      </c>
      <c r="D12617" s="8">
        <v>0.74</v>
      </c>
    </row>
    <row r="12618" spans="1:4">
      <c r="A12618" t="str">
        <f t="shared" si="208"/>
        <v>2044Profit-Loss Ratio</v>
      </c>
      <c r="B12618">
        <v>2044</v>
      </c>
      <c r="C12618" s="9" t="s">
        <v>26</v>
      </c>
      <c r="D12618" s="8">
        <v>0.59</v>
      </c>
    </row>
    <row r="12619" spans="1:4">
      <c r="A12619" t="str">
        <f t="shared" si="208"/>
        <v>2044Alpha</v>
      </c>
      <c r="B12619">
        <v>2044</v>
      </c>
      <c r="C12619" s="9" t="s">
        <v>23</v>
      </c>
      <c r="D12619" s="8">
        <v>2.1999999999999999E-2</v>
      </c>
    </row>
    <row r="12620" spans="1:4">
      <c r="A12620" t="str">
        <f t="shared" si="208"/>
        <v>2044Beta</v>
      </c>
      <c r="B12620">
        <v>2044</v>
      </c>
      <c r="C12620" s="9" t="s">
        <v>24</v>
      </c>
      <c r="D12620" s="8">
        <v>-2.5999999999999999E-2</v>
      </c>
    </row>
    <row r="12621" spans="1:4">
      <c r="A12621" t="str">
        <f t="shared" si="208"/>
        <v>2044Annual Standard Deviation</v>
      </c>
      <c r="B12621">
        <v>2044</v>
      </c>
      <c r="C12621" s="9" t="s">
        <v>35</v>
      </c>
      <c r="D12621" s="8">
        <v>0.02</v>
      </c>
    </row>
    <row r="12622" spans="1:4">
      <c r="A12622" t="str">
        <f t="shared" si="208"/>
        <v>2044Annual Variance</v>
      </c>
      <c r="B12622">
        <v>2044</v>
      </c>
      <c r="C12622" s="9" t="s">
        <v>36</v>
      </c>
      <c r="D12622" s="8">
        <v>0</v>
      </c>
    </row>
    <row r="12623" spans="1:4">
      <c r="A12623" t="str">
        <f t="shared" si="208"/>
        <v>2044Information Ratio</v>
      </c>
      <c r="B12623">
        <v>2044</v>
      </c>
      <c r="C12623" s="9" t="s">
        <v>37</v>
      </c>
      <c r="D12623" s="8">
        <v>-0.40799999999999997</v>
      </c>
    </row>
    <row r="12624" spans="1:4">
      <c r="A12624" t="str">
        <f t="shared" si="208"/>
        <v>2044Tracking Error</v>
      </c>
      <c r="B12624">
        <v>2044</v>
      </c>
      <c r="C12624" s="9" t="s">
        <v>38</v>
      </c>
      <c r="D12624" s="8">
        <v>7.1999999999999995E-2</v>
      </c>
    </row>
    <row r="12625" spans="1:4">
      <c r="A12625" t="str">
        <f t="shared" si="208"/>
        <v>2044Treynor Ratio</v>
      </c>
      <c r="B12625">
        <v>2044</v>
      </c>
      <c r="C12625" s="9" t="s">
        <v>39</v>
      </c>
      <c r="D12625" s="8">
        <v>-0.80500000000000005</v>
      </c>
    </row>
    <row r="12626" spans="1:4">
      <c r="A12626" t="str">
        <f t="shared" si="208"/>
        <v>2044Total Fees</v>
      </c>
      <c r="B12626">
        <v>2044</v>
      </c>
      <c r="C12626" s="9" t="s">
        <v>40</v>
      </c>
      <c r="D12626" s="8">
        <v>0</v>
      </c>
    </row>
    <row r="12627" spans="1:4">
      <c r="A12627" t="str">
        <f t="shared" si="208"/>
        <v>2044Estimated Strategy Capacity</v>
      </c>
      <c r="B12627">
        <v>2044</v>
      </c>
      <c r="C12627" s="9" t="s">
        <v>41</v>
      </c>
      <c r="D12627" s="8">
        <v>30000000</v>
      </c>
    </row>
    <row r="12628" spans="1:4">
      <c r="A12628" t="str">
        <f t="shared" si="208"/>
        <v>2045PSR</v>
      </c>
      <c r="B12628">
        <v>2045</v>
      </c>
      <c r="C12628" s="9" t="s">
        <v>27</v>
      </c>
      <c r="D12628" s="8">
        <v>0.38390999999999997</v>
      </c>
    </row>
    <row r="12629" spans="1:4">
      <c r="A12629" t="str">
        <f t="shared" si="208"/>
        <v>2045Sharpe Ratio</v>
      </c>
      <c r="B12629">
        <v>2045</v>
      </c>
      <c r="C12629" s="9" t="s">
        <v>1</v>
      </c>
      <c r="D12629" s="8">
        <v>0.71399999999999997</v>
      </c>
    </row>
    <row r="12630" spans="1:4">
      <c r="A12630" t="str">
        <f t="shared" si="208"/>
        <v>2045Total Trades</v>
      </c>
      <c r="B12630">
        <v>2045</v>
      </c>
      <c r="C12630" s="9" t="s">
        <v>28</v>
      </c>
      <c r="D12630" s="8">
        <v>520</v>
      </c>
    </row>
    <row r="12631" spans="1:4">
      <c r="A12631" t="str">
        <f t="shared" si="208"/>
        <v>2045Average Win</v>
      </c>
      <c r="B12631">
        <v>2045</v>
      </c>
      <c r="C12631" s="9" t="s">
        <v>25</v>
      </c>
      <c r="D12631" s="8">
        <v>8.0000000000000004E-4</v>
      </c>
    </row>
    <row r="12632" spans="1:4">
      <c r="A12632" t="str">
        <f t="shared" si="208"/>
        <v>2045Average Loss</v>
      </c>
      <c r="B12632">
        <v>2045</v>
      </c>
      <c r="C12632" s="9" t="s">
        <v>29</v>
      </c>
      <c r="D12632" s="8">
        <v>-1.8E-3</v>
      </c>
    </row>
    <row r="12633" spans="1:4">
      <c r="A12633" t="str">
        <f t="shared" si="208"/>
        <v>2045Compounding Annual Return</v>
      </c>
      <c r="B12633">
        <v>2045</v>
      </c>
      <c r="C12633" s="9" t="s">
        <v>30</v>
      </c>
      <c r="D12633" s="8">
        <v>2.5690000000000001E-2</v>
      </c>
    </row>
    <row r="12634" spans="1:4">
      <c r="A12634" t="str">
        <f t="shared" si="208"/>
        <v>2045Drawdown</v>
      </c>
      <c r="B12634">
        <v>2045</v>
      </c>
      <c r="C12634" s="9" t="s">
        <v>8</v>
      </c>
      <c r="D12634" s="8">
        <v>2.3E-2</v>
      </c>
    </row>
    <row r="12635" spans="1:4">
      <c r="A12635" t="str">
        <f t="shared" si="208"/>
        <v>2045Expectancy</v>
      </c>
      <c r="B12635">
        <v>2045</v>
      </c>
      <c r="C12635" s="9" t="s">
        <v>31</v>
      </c>
      <c r="D12635" s="8">
        <v>0.12</v>
      </c>
    </row>
    <row r="12636" spans="1:4">
      <c r="A12636" t="str">
        <f t="shared" si="208"/>
        <v>2045Net Profit</v>
      </c>
      <c r="B12636">
        <v>2045</v>
      </c>
      <c r="C12636" s="9" t="s">
        <v>32</v>
      </c>
      <c r="D12636" s="8">
        <v>1.7100000000000001E-2</v>
      </c>
    </row>
    <row r="12637" spans="1:4">
      <c r="A12637" t="str">
        <f t="shared" si="208"/>
        <v>2045Loss Rate</v>
      </c>
      <c r="B12637">
        <v>2045</v>
      </c>
      <c r="C12637" s="9" t="s">
        <v>33</v>
      </c>
      <c r="D12637" s="8">
        <v>0.22</v>
      </c>
    </row>
    <row r="12638" spans="1:4">
      <c r="A12638" t="str">
        <f t="shared" si="208"/>
        <v>2045Win Rate</v>
      </c>
      <c r="B12638">
        <v>2045</v>
      </c>
      <c r="C12638" s="9" t="s">
        <v>34</v>
      </c>
      <c r="D12638" s="8">
        <v>0.78</v>
      </c>
    </row>
    <row r="12639" spans="1:4">
      <c r="A12639" t="str">
        <f t="shared" si="208"/>
        <v>2045Profit-Loss Ratio</v>
      </c>
      <c r="B12639">
        <v>2045</v>
      </c>
      <c r="C12639" s="9" t="s">
        <v>26</v>
      </c>
      <c r="D12639" s="8">
        <v>0.44</v>
      </c>
    </row>
    <row r="12640" spans="1:4">
      <c r="A12640" t="str">
        <f t="shared" si="208"/>
        <v>2045Alpha</v>
      </c>
      <c r="B12640">
        <v>2045</v>
      </c>
      <c r="C12640" s="9" t="s">
        <v>23</v>
      </c>
      <c r="D12640" s="8">
        <v>2.1000000000000001E-2</v>
      </c>
    </row>
    <row r="12641" spans="1:4">
      <c r="A12641" t="str">
        <f t="shared" si="208"/>
        <v>2045Beta</v>
      </c>
      <c r="B12641">
        <v>2045</v>
      </c>
      <c r="C12641" s="9" t="s">
        <v>24</v>
      </c>
      <c r="D12641" s="8">
        <v>-6.2E-2</v>
      </c>
    </row>
    <row r="12642" spans="1:4">
      <c r="A12642" t="str">
        <f t="shared" si="208"/>
        <v>2045Annual Standard Deviation</v>
      </c>
      <c r="B12642">
        <v>2045</v>
      </c>
      <c r="C12642" s="9" t="s">
        <v>35</v>
      </c>
      <c r="D12642" s="8">
        <v>2.5000000000000001E-2</v>
      </c>
    </row>
    <row r="12643" spans="1:4">
      <c r="A12643" t="str">
        <f t="shared" si="208"/>
        <v>2045Annual Variance</v>
      </c>
      <c r="B12643">
        <v>2045</v>
      </c>
      <c r="C12643" s="9" t="s">
        <v>36</v>
      </c>
      <c r="D12643" s="8">
        <v>1E-3</v>
      </c>
    </row>
    <row r="12644" spans="1:4">
      <c r="A12644" t="str">
        <f t="shared" si="208"/>
        <v>2045Information Ratio</v>
      </c>
      <c r="B12644">
        <v>2045</v>
      </c>
      <c r="C12644" s="9" t="s">
        <v>37</v>
      </c>
      <c r="D12644" s="8">
        <v>-0.42399999999999999</v>
      </c>
    </row>
    <row r="12645" spans="1:4">
      <c r="A12645" t="str">
        <f t="shared" si="208"/>
        <v>2045Tracking Error</v>
      </c>
      <c r="B12645">
        <v>2045</v>
      </c>
      <c r="C12645" s="9" t="s">
        <v>38</v>
      </c>
      <c r="D12645" s="8">
        <v>7.5999999999999998E-2</v>
      </c>
    </row>
    <row r="12646" spans="1:4">
      <c r="A12646" t="str">
        <f t="shared" si="208"/>
        <v>2045Treynor Ratio</v>
      </c>
      <c r="B12646">
        <v>2045</v>
      </c>
      <c r="C12646" s="9" t="s">
        <v>39</v>
      </c>
      <c r="D12646" s="8">
        <v>-0.28899999999999998</v>
      </c>
    </row>
    <row r="12647" spans="1:4">
      <c r="A12647" t="str">
        <f t="shared" si="208"/>
        <v>2045Total Fees</v>
      </c>
      <c r="B12647">
        <v>2045</v>
      </c>
      <c r="C12647" s="9" t="s">
        <v>40</v>
      </c>
      <c r="D12647" s="8">
        <v>0</v>
      </c>
    </row>
    <row r="12648" spans="1:4">
      <c r="A12648" t="str">
        <f t="shared" si="208"/>
        <v>2045Estimated Strategy Capacity</v>
      </c>
      <c r="B12648">
        <v>2045</v>
      </c>
      <c r="C12648" s="9" t="s">
        <v>41</v>
      </c>
      <c r="D12648" s="8">
        <v>9600000</v>
      </c>
    </row>
    <row r="12649" spans="1:4">
      <c r="A12649" t="str">
        <f t="shared" si="208"/>
        <v>2046PSR</v>
      </c>
      <c r="B12649">
        <v>2046</v>
      </c>
      <c r="C12649" s="9" t="s">
        <v>27</v>
      </c>
      <c r="D12649" s="8">
        <v>0.10711</v>
      </c>
    </row>
    <row r="12650" spans="1:4">
      <c r="A12650" t="str">
        <f t="shared" ref="A12650:A12713" si="209">B12650&amp;C12650</f>
        <v>2046Sharpe Ratio</v>
      </c>
      <c r="B12650">
        <v>2046</v>
      </c>
      <c r="C12650" s="9" t="s">
        <v>1</v>
      </c>
      <c r="D12650" s="8">
        <v>-0.28199999999999997</v>
      </c>
    </row>
    <row r="12651" spans="1:4">
      <c r="A12651" t="str">
        <f t="shared" si="209"/>
        <v>2046Total Trades</v>
      </c>
      <c r="B12651">
        <v>2046</v>
      </c>
      <c r="C12651" s="9" t="s">
        <v>28</v>
      </c>
      <c r="D12651" s="8">
        <v>1541</v>
      </c>
    </row>
    <row r="12652" spans="1:4">
      <c r="A12652" t="str">
        <f t="shared" si="209"/>
        <v>2046Average Win</v>
      </c>
      <c r="B12652">
        <v>2046</v>
      </c>
      <c r="C12652" s="9" t="s">
        <v>25</v>
      </c>
      <c r="D12652" s="8">
        <v>2.0000000000000001E-4</v>
      </c>
    </row>
    <row r="12653" spans="1:4">
      <c r="A12653" t="str">
        <f t="shared" si="209"/>
        <v>2046Average Loss</v>
      </c>
      <c r="B12653">
        <v>2046</v>
      </c>
      <c r="C12653" s="9" t="s">
        <v>29</v>
      </c>
      <c r="D12653" s="8">
        <v>-4.0000000000000002E-4</v>
      </c>
    </row>
    <row r="12654" spans="1:4">
      <c r="A12654" t="str">
        <f t="shared" si="209"/>
        <v>2046Compounding Annual Return</v>
      </c>
      <c r="B12654">
        <v>2046</v>
      </c>
      <c r="C12654" s="9" t="s">
        <v>30</v>
      </c>
      <c r="D12654" s="8">
        <v>-4.2199999999999998E-3</v>
      </c>
    </row>
    <row r="12655" spans="1:4">
      <c r="A12655" t="str">
        <f t="shared" si="209"/>
        <v>2046Drawdown</v>
      </c>
      <c r="B12655">
        <v>2046</v>
      </c>
      <c r="C12655" s="9" t="s">
        <v>8</v>
      </c>
      <c r="D12655" s="8">
        <v>1.7000000000000001E-2</v>
      </c>
    </row>
    <row r="12656" spans="1:4">
      <c r="A12656" t="str">
        <f t="shared" si="209"/>
        <v>2046Expectancy</v>
      </c>
      <c r="B12656">
        <v>2046</v>
      </c>
      <c r="C12656" s="9" t="s">
        <v>31</v>
      </c>
      <c r="D12656" s="8">
        <v>-5.5E-2</v>
      </c>
    </row>
    <row r="12657" spans="1:4">
      <c r="A12657" t="str">
        <f t="shared" si="209"/>
        <v>2046Net Profit</v>
      </c>
      <c r="B12657">
        <v>2046</v>
      </c>
      <c r="C12657" s="9" t="s">
        <v>32</v>
      </c>
      <c r="D12657" s="8">
        <v>-2.82E-3</v>
      </c>
    </row>
    <row r="12658" spans="1:4">
      <c r="A12658" t="str">
        <f t="shared" si="209"/>
        <v>2046Loss Rate</v>
      </c>
      <c r="B12658">
        <v>2046</v>
      </c>
      <c r="C12658" s="9" t="s">
        <v>33</v>
      </c>
      <c r="D12658" s="8">
        <v>0.37</v>
      </c>
    </row>
    <row r="12659" spans="1:4">
      <c r="A12659" t="str">
        <f t="shared" si="209"/>
        <v>2046Win Rate</v>
      </c>
      <c r="B12659">
        <v>2046</v>
      </c>
      <c r="C12659" s="9" t="s">
        <v>34</v>
      </c>
      <c r="D12659" s="8">
        <v>0.63</v>
      </c>
    </row>
    <row r="12660" spans="1:4">
      <c r="A12660" t="str">
        <f t="shared" si="209"/>
        <v>2046Profit-Loss Ratio</v>
      </c>
      <c r="B12660">
        <v>2046</v>
      </c>
      <c r="C12660" s="9" t="s">
        <v>26</v>
      </c>
      <c r="D12660" s="8">
        <v>0.49</v>
      </c>
    </row>
    <row r="12661" spans="1:4">
      <c r="A12661" t="str">
        <f t="shared" si="209"/>
        <v>2046Alpha</v>
      </c>
      <c r="B12661">
        <v>2046</v>
      </c>
      <c r="C12661" s="9" t="s">
        <v>23</v>
      </c>
      <c r="D12661" s="8">
        <v>-3.0000000000000001E-3</v>
      </c>
    </row>
    <row r="12662" spans="1:4">
      <c r="A12662" t="str">
        <f t="shared" si="209"/>
        <v>2046Beta</v>
      </c>
      <c r="B12662">
        <v>2046</v>
      </c>
      <c r="C12662" s="9" t="s">
        <v>24</v>
      </c>
      <c r="D12662" s="8">
        <v>1E-3</v>
      </c>
    </row>
    <row r="12663" spans="1:4">
      <c r="A12663" t="str">
        <f t="shared" si="209"/>
        <v>2046Annual Standard Deviation</v>
      </c>
      <c r="B12663">
        <v>2046</v>
      </c>
      <c r="C12663" s="9" t="s">
        <v>35</v>
      </c>
      <c r="D12663" s="8">
        <v>0.01</v>
      </c>
    </row>
    <row r="12664" spans="1:4">
      <c r="A12664" t="str">
        <f t="shared" si="209"/>
        <v>2046Annual Variance</v>
      </c>
      <c r="B12664">
        <v>2046</v>
      </c>
      <c r="C12664" s="9" t="s">
        <v>36</v>
      </c>
      <c r="D12664" s="8">
        <v>0</v>
      </c>
    </row>
    <row r="12665" spans="1:4">
      <c r="A12665" t="str">
        <f t="shared" si="209"/>
        <v>2046Information Ratio</v>
      </c>
      <c r="B12665">
        <v>2046</v>
      </c>
      <c r="C12665" s="9" t="s">
        <v>37</v>
      </c>
      <c r="D12665" s="8">
        <v>-0.78100000000000003</v>
      </c>
    </row>
    <row r="12666" spans="1:4">
      <c r="A12666" t="str">
        <f t="shared" si="209"/>
        <v>2046Tracking Error</v>
      </c>
      <c r="B12666">
        <v>2046</v>
      </c>
      <c r="C12666" s="9" t="s">
        <v>38</v>
      </c>
      <c r="D12666" s="8">
        <v>6.8000000000000005E-2</v>
      </c>
    </row>
    <row r="12667" spans="1:4">
      <c r="A12667" t="str">
        <f t="shared" si="209"/>
        <v>2046Treynor Ratio</v>
      </c>
      <c r="B12667">
        <v>2046</v>
      </c>
      <c r="C12667" s="9" t="s">
        <v>39</v>
      </c>
      <c r="D12667" s="8">
        <v>-2.94</v>
      </c>
    </row>
    <row r="12668" spans="1:4">
      <c r="A12668" t="str">
        <f t="shared" si="209"/>
        <v>2046Total Fees</v>
      </c>
      <c r="B12668">
        <v>2046</v>
      </c>
      <c r="C12668" s="9" t="s">
        <v>40</v>
      </c>
      <c r="D12668" s="8">
        <v>0</v>
      </c>
    </row>
    <row r="12669" spans="1:4">
      <c r="A12669" t="str">
        <f t="shared" si="209"/>
        <v>2046Estimated Strategy Capacity</v>
      </c>
      <c r="B12669">
        <v>2046</v>
      </c>
      <c r="C12669" s="9" t="s">
        <v>41</v>
      </c>
      <c r="D12669" s="8">
        <v>4700000</v>
      </c>
    </row>
    <row r="12670" spans="1:4">
      <c r="A12670" t="str">
        <f t="shared" si="209"/>
        <v>2047PSR</v>
      </c>
      <c r="B12670">
        <v>2047</v>
      </c>
      <c r="C12670" s="9" t="s">
        <v>27</v>
      </c>
      <c r="D12670" s="8">
        <v>8.7899999999999992E-3</v>
      </c>
    </row>
    <row r="12671" spans="1:4">
      <c r="A12671" t="str">
        <f t="shared" si="209"/>
        <v>2047Sharpe Ratio</v>
      </c>
      <c r="B12671">
        <v>2047</v>
      </c>
      <c r="C12671" s="9" t="s">
        <v>1</v>
      </c>
      <c r="D12671" s="8">
        <v>-1.518</v>
      </c>
    </row>
    <row r="12672" spans="1:4">
      <c r="A12672" t="str">
        <f t="shared" si="209"/>
        <v>2047Total Trades</v>
      </c>
      <c r="B12672">
        <v>2047</v>
      </c>
      <c r="C12672" s="9" t="s">
        <v>28</v>
      </c>
      <c r="D12672" s="8">
        <v>1204</v>
      </c>
    </row>
    <row r="12673" spans="1:4">
      <c r="A12673" t="str">
        <f t="shared" si="209"/>
        <v>2047Average Win</v>
      </c>
      <c r="B12673">
        <v>2047</v>
      </c>
      <c r="C12673" s="9" t="s">
        <v>25</v>
      </c>
      <c r="D12673" s="8">
        <v>5.9999999999999995E-4</v>
      </c>
    </row>
    <row r="12674" spans="1:4">
      <c r="A12674" t="str">
        <f t="shared" si="209"/>
        <v>2047Average Loss</v>
      </c>
      <c r="B12674">
        <v>2047</v>
      </c>
      <c r="C12674" s="9" t="s">
        <v>29</v>
      </c>
      <c r="D12674" s="8">
        <v>-1.6999999999999999E-3</v>
      </c>
    </row>
    <row r="12675" spans="1:4">
      <c r="A12675" t="str">
        <f t="shared" si="209"/>
        <v>2047Compounding Annual Return</v>
      </c>
      <c r="B12675">
        <v>2047</v>
      </c>
      <c r="C12675" s="9" t="s">
        <v>30</v>
      </c>
      <c r="D12675" s="8">
        <v>-5.8029999999999998E-2</v>
      </c>
    </row>
    <row r="12676" spans="1:4">
      <c r="A12676" t="str">
        <f t="shared" si="209"/>
        <v>2047Drawdown</v>
      </c>
      <c r="B12676">
        <v>2047</v>
      </c>
      <c r="C12676" s="9" t="s">
        <v>8</v>
      </c>
      <c r="D12676" s="8">
        <v>5.8000000000000003E-2</v>
      </c>
    </row>
    <row r="12677" spans="1:4">
      <c r="A12677" t="str">
        <f t="shared" si="209"/>
        <v>2047Expectancy</v>
      </c>
      <c r="B12677">
        <v>2047</v>
      </c>
      <c r="C12677" s="9" t="s">
        <v>31</v>
      </c>
      <c r="D12677" s="8">
        <v>-0.155</v>
      </c>
    </row>
    <row r="12678" spans="1:4">
      <c r="A12678" t="str">
        <f t="shared" si="209"/>
        <v>2047Net Profit</v>
      </c>
      <c r="B12678">
        <v>2047</v>
      </c>
      <c r="C12678" s="9" t="s">
        <v>32</v>
      </c>
      <c r="D12678" s="8">
        <v>-3.9170000000000003E-2</v>
      </c>
    </row>
    <row r="12679" spans="1:4">
      <c r="A12679" t="str">
        <f t="shared" si="209"/>
        <v>2047Loss Rate</v>
      </c>
      <c r="B12679">
        <v>2047</v>
      </c>
      <c r="C12679" s="9" t="s">
        <v>33</v>
      </c>
      <c r="D12679" s="8">
        <v>0.38</v>
      </c>
    </row>
    <row r="12680" spans="1:4">
      <c r="A12680" t="str">
        <f t="shared" si="209"/>
        <v>2047Win Rate</v>
      </c>
      <c r="B12680">
        <v>2047</v>
      </c>
      <c r="C12680" s="9" t="s">
        <v>34</v>
      </c>
      <c r="D12680" s="8">
        <v>0.62</v>
      </c>
    </row>
    <row r="12681" spans="1:4">
      <c r="A12681" t="str">
        <f t="shared" si="209"/>
        <v>2047Profit-Loss Ratio</v>
      </c>
      <c r="B12681">
        <v>2047</v>
      </c>
      <c r="C12681" s="9" t="s">
        <v>26</v>
      </c>
      <c r="D12681" s="8">
        <v>0.35</v>
      </c>
    </row>
    <row r="12682" spans="1:4">
      <c r="A12682" t="str">
        <f t="shared" si="209"/>
        <v>2047Alpha</v>
      </c>
      <c r="B12682">
        <v>2047</v>
      </c>
      <c r="C12682" s="9" t="s">
        <v>23</v>
      </c>
      <c r="D12682" s="8">
        <v>-4.2000000000000003E-2</v>
      </c>
    </row>
    <row r="12683" spans="1:4">
      <c r="A12683" t="str">
        <f t="shared" si="209"/>
        <v>2047Beta</v>
      </c>
      <c r="B12683">
        <v>2047</v>
      </c>
      <c r="C12683" s="9" t="s">
        <v>24</v>
      </c>
      <c r="D12683" s="8">
        <v>0.04</v>
      </c>
    </row>
    <row r="12684" spans="1:4">
      <c r="A12684" t="str">
        <f t="shared" si="209"/>
        <v>2047Annual Standard Deviation</v>
      </c>
      <c r="B12684">
        <v>2047</v>
      </c>
      <c r="C12684" s="9" t="s">
        <v>35</v>
      </c>
      <c r="D12684" s="8">
        <v>2.7E-2</v>
      </c>
    </row>
    <row r="12685" spans="1:4">
      <c r="A12685" t="str">
        <f t="shared" si="209"/>
        <v>2047Annual Variance</v>
      </c>
      <c r="B12685">
        <v>2047</v>
      </c>
      <c r="C12685" s="9" t="s">
        <v>36</v>
      </c>
      <c r="D12685" s="8">
        <v>1E-3</v>
      </c>
    </row>
    <row r="12686" spans="1:4">
      <c r="A12686" t="str">
        <f t="shared" si="209"/>
        <v>2047Information Ratio</v>
      </c>
      <c r="B12686">
        <v>2047</v>
      </c>
      <c r="C12686" s="9" t="s">
        <v>37</v>
      </c>
      <c r="D12686" s="8">
        <v>-1.2969999999999999</v>
      </c>
    </row>
    <row r="12687" spans="1:4">
      <c r="A12687" t="str">
        <f t="shared" si="209"/>
        <v>2047Tracking Error</v>
      </c>
      <c r="B12687">
        <v>2047</v>
      </c>
      <c r="C12687" s="9" t="s">
        <v>38</v>
      </c>
      <c r="D12687" s="8">
        <v>7.0000000000000007E-2</v>
      </c>
    </row>
    <row r="12688" spans="1:4">
      <c r="A12688" t="str">
        <f t="shared" si="209"/>
        <v>2047Treynor Ratio</v>
      </c>
      <c r="B12688">
        <v>2047</v>
      </c>
      <c r="C12688" s="9" t="s">
        <v>39</v>
      </c>
      <c r="D12688" s="8">
        <v>-1.0129999999999999</v>
      </c>
    </row>
    <row r="12689" spans="1:4">
      <c r="A12689" t="str">
        <f t="shared" si="209"/>
        <v>2047Total Fees</v>
      </c>
      <c r="B12689">
        <v>2047</v>
      </c>
      <c r="C12689" s="9" t="s">
        <v>40</v>
      </c>
      <c r="D12689" s="8">
        <v>0</v>
      </c>
    </row>
    <row r="12690" spans="1:4">
      <c r="A12690" t="str">
        <f t="shared" si="209"/>
        <v>2047Estimated Strategy Capacity</v>
      </c>
      <c r="B12690">
        <v>2047</v>
      </c>
      <c r="C12690" s="9" t="s">
        <v>41</v>
      </c>
      <c r="D12690" s="8">
        <v>4700000</v>
      </c>
    </row>
    <row r="12691" spans="1:4">
      <c r="A12691" t="str">
        <f t="shared" si="209"/>
        <v>2048PSR</v>
      </c>
      <c r="B12691">
        <v>2048</v>
      </c>
      <c r="C12691" s="9" t="s">
        <v>27</v>
      </c>
      <c r="D12691" s="8">
        <v>1.2999999999999999E-4</v>
      </c>
    </row>
    <row r="12692" spans="1:4">
      <c r="A12692" t="str">
        <f t="shared" si="209"/>
        <v>2048Sharpe Ratio</v>
      </c>
      <c r="B12692">
        <v>2048</v>
      </c>
      <c r="C12692" s="9" t="s">
        <v>1</v>
      </c>
      <c r="D12692" s="8">
        <v>-2.3919999999999999</v>
      </c>
    </row>
    <row r="12693" spans="1:4">
      <c r="A12693" t="str">
        <f t="shared" si="209"/>
        <v>2048Total Trades</v>
      </c>
      <c r="B12693">
        <v>2048</v>
      </c>
      <c r="C12693" s="9" t="s">
        <v>28</v>
      </c>
      <c r="D12693" s="8">
        <v>915</v>
      </c>
    </row>
    <row r="12694" spans="1:4">
      <c r="A12694" t="str">
        <f t="shared" si="209"/>
        <v>2048Average Win</v>
      </c>
      <c r="B12694">
        <v>2048</v>
      </c>
      <c r="C12694" s="9" t="s">
        <v>25</v>
      </c>
      <c r="D12694" s="8">
        <v>6.9999999999999999E-4</v>
      </c>
    </row>
    <row r="12695" spans="1:4">
      <c r="A12695" t="str">
        <f t="shared" si="209"/>
        <v>2048Average Loss</v>
      </c>
      <c r="B12695">
        <v>2048</v>
      </c>
      <c r="C12695" s="9" t="s">
        <v>29</v>
      </c>
      <c r="D12695" s="8">
        <v>-2.5000000000000001E-3</v>
      </c>
    </row>
    <row r="12696" spans="1:4">
      <c r="A12696" t="str">
        <f t="shared" si="209"/>
        <v>2048Compounding Annual Return</v>
      </c>
      <c r="B12696">
        <v>2048</v>
      </c>
      <c r="C12696" s="9" t="s">
        <v>30</v>
      </c>
      <c r="D12696" s="8">
        <v>-0.10765</v>
      </c>
    </row>
    <row r="12697" spans="1:4">
      <c r="A12697" t="str">
        <f t="shared" si="209"/>
        <v>2048Drawdown</v>
      </c>
      <c r="B12697">
        <v>2048</v>
      </c>
      <c r="C12697" s="9" t="s">
        <v>8</v>
      </c>
      <c r="D12697" s="8">
        <v>7.9000000000000001E-2</v>
      </c>
    </row>
    <row r="12698" spans="1:4">
      <c r="A12698" t="str">
        <f t="shared" si="209"/>
        <v>2048Expectancy</v>
      </c>
      <c r="B12698">
        <v>2048</v>
      </c>
      <c r="C12698" s="9" t="s">
        <v>31</v>
      </c>
      <c r="D12698" s="8">
        <v>-0.20300000000000001</v>
      </c>
    </row>
    <row r="12699" spans="1:4">
      <c r="A12699" t="str">
        <f t="shared" si="209"/>
        <v>2048Net Profit</v>
      </c>
      <c r="B12699">
        <v>2048</v>
      </c>
      <c r="C12699" s="9" t="s">
        <v>32</v>
      </c>
      <c r="D12699" s="8">
        <v>-7.3300000000000004E-2</v>
      </c>
    </row>
    <row r="12700" spans="1:4">
      <c r="A12700" t="str">
        <f t="shared" si="209"/>
        <v>2048Loss Rate</v>
      </c>
      <c r="B12700">
        <v>2048</v>
      </c>
      <c r="C12700" s="9" t="s">
        <v>33</v>
      </c>
      <c r="D12700" s="8">
        <v>0.38</v>
      </c>
    </row>
    <row r="12701" spans="1:4">
      <c r="A12701" t="str">
        <f t="shared" si="209"/>
        <v>2048Win Rate</v>
      </c>
      <c r="B12701">
        <v>2048</v>
      </c>
      <c r="C12701" s="9" t="s">
        <v>34</v>
      </c>
      <c r="D12701" s="8">
        <v>0.62</v>
      </c>
    </row>
    <row r="12702" spans="1:4">
      <c r="A12702" t="str">
        <f t="shared" si="209"/>
        <v>2048Profit-Loss Ratio</v>
      </c>
      <c r="B12702">
        <v>2048</v>
      </c>
      <c r="C12702" s="9" t="s">
        <v>26</v>
      </c>
      <c r="D12702" s="8">
        <v>0.28000000000000003</v>
      </c>
    </row>
    <row r="12703" spans="1:4">
      <c r="A12703" t="str">
        <f t="shared" si="209"/>
        <v>2048Alpha</v>
      </c>
      <c r="B12703">
        <v>2048</v>
      </c>
      <c r="C12703" s="9" t="s">
        <v>23</v>
      </c>
      <c r="D12703" s="8">
        <v>-7.8E-2</v>
      </c>
    </row>
    <row r="12704" spans="1:4">
      <c r="A12704" t="str">
        <f t="shared" si="209"/>
        <v>2048Beta</v>
      </c>
      <c r="B12704">
        <v>2048</v>
      </c>
      <c r="C12704" s="9" t="s">
        <v>24</v>
      </c>
      <c r="D12704" s="8">
        <v>4.8000000000000001E-2</v>
      </c>
    </row>
    <row r="12705" spans="1:4">
      <c r="A12705" t="str">
        <f t="shared" si="209"/>
        <v>2048Annual Standard Deviation</v>
      </c>
      <c r="B12705">
        <v>2048</v>
      </c>
      <c r="C12705" s="9" t="s">
        <v>35</v>
      </c>
      <c r="D12705" s="8">
        <v>3.2000000000000001E-2</v>
      </c>
    </row>
    <row r="12706" spans="1:4">
      <c r="A12706" t="str">
        <f t="shared" si="209"/>
        <v>2048Annual Variance</v>
      </c>
      <c r="B12706">
        <v>2048</v>
      </c>
      <c r="C12706" s="9" t="s">
        <v>36</v>
      </c>
      <c r="D12706" s="8">
        <v>1E-3</v>
      </c>
    </row>
    <row r="12707" spans="1:4">
      <c r="A12707" t="str">
        <f t="shared" si="209"/>
        <v>2048Information Ratio</v>
      </c>
      <c r="B12707">
        <v>2048</v>
      </c>
      <c r="C12707" s="9" t="s">
        <v>37</v>
      </c>
      <c r="D12707" s="8">
        <v>-1.762</v>
      </c>
    </row>
    <row r="12708" spans="1:4">
      <c r="A12708" t="str">
        <f t="shared" si="209"/>
        <v>2048Tracking Error</v>
      </c>
      <c r="B12708">
        <v>2048</v>
      </c>
      <c r="C12708" s="9" t="s">
        <v>38</v>
      </c>
      <c r="D12708" s="8">
        <v>7.0999999999999994E-2</v>
      </c>
    </row>
    <row r="12709" spans="1:4">
      <c r="A12709" t="str">
        <f t="shared" si="209"/>
        <v>2048Treynor Ratio</v>
      </c>
      <c r="B12709">
        <v>2048</v>
      </c>
      <c r="C12709" s="9" t="s">
        <v>39</v>
      </c>
      <c r="D12709" s="8">
        <v>-1.5860000000000001</v>
      </c>
    </row>
    <row r="12710" spans="1:4">
      <c r="A12710" t="str">
        <f t="shared" si="209"/>
        <v>2048Total Fees</v>
      </c>
      <c r="B12710">
        <v>2048</v>
      </c>
      <c r="C12710" s="9" t="s">
        <v>40</v>
      </c>
      <c r="D12710" s="8">
        <v>0</v>
      </c>
    </row>
    <row r="12711" spans="1:4">
      <c r="A12711" t="str">
        <f t="shared" si="209"/>
        <v>2048Estimated Strategy Capacity</v>
      </c>
      <c r="B12711">
        <v>2048</v>
      </c>
      <c r="C12711" s="9" t="s">
        <v>41</v>
      </c>
      <c r="D12711" s="8">
        <v>4900000</v>
      </c>
    </row>
    <row r="12712" spans="1:4">
      <c r="A12712" t="str">
        <f t="shared" si="209"/>
        <v>2049PSR</v>
      </c>
      <c r="B12712">
        <v>2049</v>
      </c>
      <c r="C12712" s="9" t="s">
        <v>27</v>
      </c>
      <c r="D12712" s="8">
        <v>2.0590000000000001E-2</v>
      </c>
    </row>
    <row r="12713" spans="1:4">
      <c r="A12713" t="str">
        <f t="shared" si="209"/>
        <v>2049Sharpe Ratio</v>
      </c>
      <c r="B12713">
        <v>2049</v>
      </c>
      <c r="C12713" s="9" t="s">
        <v>1</v>
      </c>
      <c r="D12713" s="8">
        <v>-1.161</v>
      </c>
    </row>
    <row r="12714" spans="1:4">
      <c r="A12714" t="str">
        <f t="shared" ref="A12714:A12777" si="210">B12714&amp;C12714</f>
        <v>2049Total Trades</v>
      </c>
      <c r="B12714">
        <v>2049</v>
      </c>
      <c r="C12714" s="9" t="s">
        <v>28</v>
      </c>
      <c r="D12714" s="8">
        <v>1264</v>
      </c>
    </row>
    <row r="12715" spans="1:4">
      <c r="A12715" t="str">
        <f t="shared" si="210"/>
        <v>2049Average Win</v>
      </c>
      <c r="B12715">
        <v>2049</v>
      </c>
      <c r="C12715" s="9" t="s">
        <v>25</v>
      </c>
      <c r="D12715" s="8">
        <v>1E-4</v>
      </c>
    </row>
    <row r="12716" spans="1:4">
      <c r="A12716" t="str">
        <f t="shared" si="210"/>
        <v>2049Average Loss</v>
      </c>
      <c r="B12716">
        <v>2049</v>
      </c>
      <c r="C12716" s="9" t="s">
        <v>29</v>
      </c>
      <c r="D12716" s="8">
        <v>-2.9999999999999997E-4</v>
      </c>
    </row>
    <row r="12717" spans="1:4">
      <c r="A12717" t="str">
        <f t="shared" si="210"/>
        <v>2049Compounding Annual Return</v>
      </c>
      <c r="B12717">
        <v>2049</v>
      </c>
      <c r="C12717" s="9" t="s">
        <v>30</v>
      </c>
      <c r="D12717" s="8">
        <v>-1.1350000000000001E-2</v>
      </c>
    </row>
    <row r="12718" spans="1:4">
      <c r="A12718" t="str">
        <f t="shared" si="210"/>
        <v>2049Drawdown</v>
      </c>
      <c r="B12718">
        <v>2049</v>
      </c>
      <c r="C12718" s="9" t="s">
        <v>8</v>
      </c>
      <c r="D12718" s="8">
        <v>1.2999999999999999E-2</v>
      </c>
    </row>
    <row r="12719" spans="1:4">
      <c r="A12719" t="str">
        <f t="shared" si="210"/>
        <v>2049Expectancy</v>
      </c>
      <c r="B12719">
        <v>2049</v>
      </c>
      <c r="C12719" s="9" t="s">
        <v>31</v>
      </c>
      <c r="D12719" s="8">
        <v>-0.152</v>
      </c>
    </row>
    <row r="12720" spans="1:4">
      <c r="A12720" t="str">
        <f t="shared" si="210"/>
        <v>2049Net Profit</v>
      </c>
      <c r="B12720">
        <v>2049</v>
      </c>
      <c r="C12720" s="9" t="s">
        <v>32</v>
      </c>
      <c r="D12720" s="8">
        <v>-7.6299999999999996E-3</v>
      </c>
    </row>
    <row r="12721" spans="1:4">
      <c r="A12721" t="str">
        <f t="shared" si="210"/>
        <v>2049Loss Rate</v>
      </c>
      <c r="B12721">
        <v>2049</v>
      </c>
      <c r="C12721" s="9" t="s">
        <v>33</v>
      </c>
      <c r="D12721" s="8">
        <v>0.39</v>
      </c>
    </row>
    <row r="12722" spans="1:4">
      <c r="A12722" t="str">
        <f t="shared" si="210"/>
        <v>2049Win Rate</v>
      </c>
      <c r="B12722">
        <v>2049</v>
      </c>
      <c r="C12722" s="9" t="s">
        <v>34</v>
      </c>
      <c r="D12722" s="8">
        <v>0.61</v>
      </c>
    </row>
    <row r="12723" spans="1:4">
      <c r="A12723" t="str">
        <f t="shared" si="210"/>
        <v>2049Profit-Loss Ratio</v>
      </c>
      <c r="B12723">
        <v>2049</v>
      </c>
      <c r="C12723" s="9" t="s">
        <v>26</v>
      </c>
      <c r="D12723" s="8">
        <v>0.38</v>
      </c>
    </row>
    <row r="12724" spans="1:4">
      <c r="A12724" t="str">
        <f t="shared" si="210"/>
        <v>2049Alpha</v>
      </c>
      <c r="B12724">
        <v>2049</v>
      </c>
      <c r="C12724" s="9" t="s">
        <v>23</v>
      </c>
      <c r="D12724" s="8">
        <v>-8.0000000000000002E-3</v>
      </c>
    </row>
    <row r="12725" spans="1:4">
      <c r="A12725" t="str">
        <f t="shared" si="210"/>
        <v>2049Beta</v>
      </c>
      <c r="B12725">
        <v>2049</v>
      </c>
      <c r="C12725" s="9" t="s">
        <v>24</v>
      </c>
      <c r="D12725" s="8">
        <v>5.0000000000000001E-3</v>
      </c>
    </row>
    <row r="12726" spans="1:4">
      <c r="A12726" t="str">
        <f t="shared" si="210"/>
        <v>2049Annual Standard Deviation</v>
      </c>
      <c r="B12726">
        <v>2049</v>
      </c>
      <c r="C12726" s="9" t="s">
        <v>35</v>
      </c>
      <c r="D12726" s="8">
        <v>7.0000000000000001E-3</v>
      </c>
    </row>
    <row r="12727" spans="1:4">
      <c r="A12727" t="str">
        <f t="shared" si="210"/>
        <v>2049Annual Variance</v>
      </c>
      <c r="B12727">
        <v>2049</v>
      </c>
      <c r="C12727" s="9" t="s">
        <v>36</v>
      </c>
      <c r="D12727" s="8">
        <v>0</v>
      </c>
    </row>
    <row r="12728" spans="1:4">
      <c r="A12728" t="str">
        <f t="shared" si="210"/>
        <v>2049Information Ratio</v>
      </c>
      <c r="B12728">
        <v>2049</v>
      </c>
      <c r="C12728" s="9" t="s">
        <v>37</v>
      </c>
      <c r="D12728" s="8">
        <v>-0.86099999999999999</v>
      </c>
    </row>
    <row r="12729" spans="1:4">
      <c r="A12729" t="str">
        <f t="shared" si="210"/>
        <v>2049Tracking Error</v>
      </c>
      <c r="B12729">
        <v>2049</v>
      </c>
      <c r="C12729" s="9" t="s">
        <v>38</v>
      </c>
      <c r="D12729" s="8">
        <v>6.7000000000000004E-2</v>
      </c>
    </row>
    <row r="12730" spans="1:4">
      <c r="A12730" t="str">
        <f t="shared" si="210"/>
        <v>2049Treynor Ratio</v>
      </c>
      <c r="B12730">
        <v>2049</v>
      </c>
      <c r="C12730" s="9" t="s">
        <v>39</v>
      </c>
      <c r="D12730" s="8">
        <v>-1.677</v>
      </c>
    </row>
    <row r="12731" spans="1:4">
      <c r="A12731" t="str">
        <f t="shared" si="210"/>
        <v>2049Total Fees</v>
      </c>
      <c r="B12731">
        <v>2049</v>
      </c>
      <c r="C12731" s="9" t="s">
        <v>40</v>
      </c>
      <c r="D12731" s="8">
        <v>0</v>
      </c>
    </row>
    <row r="12732" spans="1:4">
      <c r="A12732" t="str">
        <f t="shared" si="210"/>
        <v>2049Estimated Strategy Capacity</v>
      </c>
      <c r="B12732">
        <v>2049</v>
      </c>
      <c r="C12732" s="9" t="s">
        <v>41</v>
      </c>
      <c r="D12732" s="8">
        <v>4700000</v>
      </c>
    </row>
    <row r="12733" spans="1:4">
      <c r="A12733" t="str">
        <f t="shared" si="210"/>
        <v>2050PSR</v>
      </c>
      <c r="B12733">
        <v>2050</v>
      </c>
      <c r="C12733" s="9" t="s">
        <v>27</v>
      </c>
      <c r="D12733" s="8">
        <v>9.7800000000000005E-3</v>
      </c>
    </row>
    <row r="12734" spans="1:4">
      <c r="A12734" t="str">
        <f t="shared" si="210"/>
        <v>2050Sharpe Ratio</v>
      </c>
      <c r="B12734">
        <v>2050</v>
      </c>
      <c r="C12734" s="9" t="s">
        <v>1</v>
      </c>
      <c r="D12734" s="8">
        <v>-1.2450000000000001</v>
      </c>
    </row>
    <row r="12735" spans="1:4">
      <c r="A12735" t="str">
        <f t="shared" si="210"/>
        <v>2050Total Trades</v>
      </c>
      <c r="B12735">
        <v>2050</v>
      </c>
      <c r="C12735" s="9" t="s">
        <v>28</v>
      </c>
      <c r="D12735" s="8">
        <v>994</v>
      </c>
    </row>
    <row r="12736" spans="1:4">
      <c r="A12736" t="str">
        <f t="shared" si="210"/>
        <v>2050Average Win</v>
      </c>
      <c r="B12736">
        <v>2050</v>
      </c>
      <c r="C12736" s="9" t="s">
        <v>25</v>
      </c>
      <c r="D12736" s="8">
        <v>5.0000000000000001E-4</v>
      </c>
    </row>
    <row r="12737" spans="1:4">
      <c r="A12737" t="str">
        <f t="shared" si="210"/>
        <v>2050Average Loss</v>
      </c>
      <c r="B12737">
        <v>2050</v>
      </c>
      <c r="C12737" s="9" t="s">
        <v>29</v>
      </c>
      <c r="D12737" s="8">
        <v>-1.1000000000000001E-3</v>
      </c>
    </row>
    <row r="12738" spans="1:4">
      <c r="A12738" t="str">
        <f t="shared" si="210"/>
        <v>2050Compounding Annual Return</v>
      </c>
      <c r="B12738">
        <v>2050</v>
      </c>
      <c r="C12738" s="9" t="s">
        <v>30</v>
      </c>
      <c r="D12738" s="8">
        <v>-3.5639999999999998E-2</v>
      </c>
    </row>
    <row r="12739" spans="1:4">
      <c r="A12739" t="str">
        <f t="shared" si="210"/>
        <v>2050Drawdown</v>
      </c>
      <c r="B12739">
        <v>2050</v>
      </c>
      <c r="C12739" s="9" t="s">
        <v>8</v>
      </c>
      <c r="D12739" s="8">
        <v>2.9000000000000001E-2</v>
      </c>
    </row>
    <row r="12740" spans="1:4">
      <c r="A12740" t="str">
        <f t="shared" si="210"/>
        <v>2050Expectancy</v>
      </c>
      <c r="B12740">
        <v>2050</v>
      </c>
      <c r="C12740" s="9" t="s">
        <v>31</v>
      </c>
      <c r="D12740" s="8">
        <v>-0.155</v>
      </c>
    </row>
    <row r="12741" spans="1:4">
      <c r="A12741" t="str">
        <f t="shared" si="210"/>
        <v>2050Net Profit</v>
      </c>
      <c r="B12741">
        <v>2050</v>
      </c>
      <c r="C12741" s="9" t="s">
        <v>32</v>
      </c>
      <c r="D12741" s="8">
        <v>-2.4060000000000002E-2</v>
      </c>
    </row>
    <row r="12742" spans="1:4">
      <c r="A12742" t="str">
        <f t="shared" si="210"/>
        <v>2050Loss Rate</v>
      </c>
      <c r="B12742">
        <v>2050</v>
      </c>
      <c r="C12742" s="9" t="s">
        <v>33</v>
      </c>
      <c r="D12742" s="8">
        <v>0.41</v>
      </c>
    </row>
    <row r="12743" spans="1:4">
      <c r="A12743" t="str">
        <f t="shared" si="210"/>
        <v>2050Win Rate</v>
      </c>
      <c r="B12743">
        <v>2050</v>
      </c>
      <c r="C12743" s="9" t="s">
        <v>34</v>
      </c>
      <c r="D12743" s="8">
        <v>0.59</v>
      </c>
    </row>
    <row r="12744" spans="1:4">
      <c r="A12744" t="str">
        <f t="shared" si="210"/>
        <v>2050Profit-Loss Ratio</v>
      </c>
      <c r="B12744">
        <v>2050</v>
      </c>
      <c r="C12744" s="9" t="s">
        <v>26</v>
      </c>
      <c r="D12744" s="8">
        <v>0.44</v>
      </c>
    </row>
    <row r="12745" spans="1:4">
      <c r="A12745" t="str">
        <f t="shared" si="210"/>
        <v>2050Alpha</v>
      </c>
      <c r="B12745">
        <v>2050</v>
      </c>
      <c r="C12745" s="9" t="s">
        <v>23</v>
      </c>
      <c r="D12745" s="8">
        <v>-2.4E-2</v>
      </c>
    </row>
    <row r="12746" spans="1:4">
      <c r="A12746" t="str">
        <f t="shared" si="210"/>
        <v>2050Beta</v>
      </c>
      <c r="B12746">
        <v>2050</v>
      </c>
      <c r="C12746" s="9" t="s">
        <v>24</v>
      </c>
      <c r="D12746" s="8">
        <v>-3.0000000000000001E-3</v>
      </c>
    </row>
    <row r="12747" spans="1:4">
      <c r="A12747" t="str">
        <f t="shared" si="210"/>
        <v>2050Annual Standard Deviation</v>
      </c>
      <c r="B12747">
        <v>2050</v>
      </c>
      <c r="C12747" s="9" t="s">
        <v>35</v>
      </c>
      <c r="D12747" s="8">
        <v>0.02</v>
      </c>
    </row>
    <row r="12748" spans="1:4">
      <c r="A12748" t="str">
        <f t="shared" si="210"/>
        <v>2050Annual Variance</v>
      </c>
      <c r="B12748">
        <v>2050</v>
      </c>
      <c r="C12748" s="9" t="s">
        <v>36</v>
      </c>
      <c r="D12748" s="8">
        <v>0</v>
      </c>
    </row>
    <row r="12749" spans="1:4">
      <c r="A12749" t="str">
        <f t="shared" si="210"/>
        <v>2050Information Ratio</v>
      </c>
      <c r="B12749">
        <v>2050</v>
      </c>
      <c r="C12749" s="9" t="s">
        <v>37</v>
      </c>
      <c r="D12749" s="8">
        <v>-1.0629999999999999</v>
      </c>
    </row>
    <row r="12750" spans="1:4">
      <c r="A12750" t="str">
        <f t="shared" si="210"/>
        <v>2050Tracking Error</v>
      </c>
      <c r="B12750">
        <v>2050</v>
      </c>
      <c r="C12750" s="9" t="s">
        <v>38</v>
      </c>
      <c r="D12750" s="8">
        <v>7.0000000000000007E-2</v>
      </c>
    </row>
    <row r="12751" spans="1:4">
      <c r="A12751" t="str">
        <f t="shared" si="210"/>
        <v>2050Treynor Ratio</v>
      </c>
      <c r="B12751">
        <v>2050</v>
      </c>
      <c r="C12751" s="9" t="s">
        <v>39</v>
      </c>
      <c r="D12751" s="8">
        <v>7.1920000000000002</v>
      </c>
    </row>
    <row r="12752" spans="1:4">
      <c r="A12752" t="str">
        <f t="shared" si="210"/>
        <v>2050Total Fees</v>
      </c>
      <c r="B12752">
        <v>2050</v>
      </c>
      <c r="C12752" s="9" t="s">
        <v>40</v>
      </c>
      <c r="D12752" s="8">
        <v>0</v>
      </c>
    </row>
    <row r="12753" spans="1:4">
      <c r="A12753" t="str">
        <f t="shared" si="210"/>
        <v>2050Estimated Strategy Capacity</v>
      </c>
      <c r="B12753">
        <v>2050</v>
      </c>
      <c r="C12753" s="9" t="s">
        <v>41</v>
      </c>
      <c r="D12753" s="8">
        <v>5000000</v>
      </c>
    </row>
    <row r="12754" spans="1:4">
      <c r="A12754" t="str">
        <f t="shared" si="210"/>
        <v>2051PSR</v>
      </c>
      <c r="B12754">
        <v>2051</v>
      </c>
      <c r="C12754" s="9" t="s">
        <v>27</v>
      </c>
      <c r="D12754" s="8">
        <v>3.0000000000000001E-5</v>
      </c>
    </row>
    <row r="12755" spans="1:4">
      <c r="A12755" t="str">
        <f t="shared" si="210"/>
        <v>2051Sharpe Ratio</v>
      </c>
      <c r="B12755">
        <v>2051</v>
      </c>
      <c r="C12755" s="9" t="s">
        <v>1</v>
      </c>
      <c r="D12755" s="8">
        <v>-2.415</v>
      </c>
    </row>
    <row r="12756" spans="1:4">
      <c r="A12756" t="str">
        <f t="shared" si="210"/>
        <v>2051Total Trades</v>
      </c>
      <c r="B12756">
        <v>2051</v>
      </c>
      <c r="C12756" s="9" t="s">
        <v>28</v>
      </c>
      <c r="D12756" s="8">
        <v>772</v>
      </c>
    </row>
    <row r="12757" spans="1:4">
      <c r="A12757" t="str">
        <f t="shared" si="210"/>
        <v>2051Average Win</v>
      </c>
      <c r="B12757">
        <v>2051</v>
      </c>
      <c r="C12757" s="9" t="s">
        <v>25</v>
      </c>
      <c r="D12757" s="8">
        <v>5.0000000000000001E-4</v>
      </c>
    </row>
    <row r="12758" spans="1:4">
      <c r="A12758" t="str">
        <f t="shared" si="210"/>
        <v>2051Average Loss</v>
      </c>
      <c r="B12758">
        <v>2051</v>
      </c>
      <c r="C12758" s="9" t="s">
        <v>29</v>
      </c>
      <c r="D12758" s="8">
        <v>-1.9E-3</v>
      </c>
    </row>
    <row r="12759" spans="1:4">
      <c r="A12759" t="str">
        <f t="shared" si="210"/>
        <v>2051Compounding Annual Return</v>
      </c>
      <c r="B12759">
        <v>2051</v>
      </c>
      <c r="C12759" s="9" t="s">
        <v>30</v>
      </c>
      <c r="D12759" s="8">
        <v>-9.3149999999999997E-2</v>
      </c>
    </row>
    <row r="12760" spans="1:4">
      <c r="A12760" t="str">
        <f t="shared" si="210"/>
        <v>2051Drawdown</v>
      </c>
      <c r="B12760">
        <v>2051</v>
      </c>
      <c r="C12760" s="9" t="s">
        <v>8</v>
      </c>
      <c r="D12760" s="8">
        <v>6.6000000000000003E-2</v>
      </c>
    </row>
    <row r="12761" spans="1:4">
      <c r="A12761" t="str">
        <f t="shared" si="210"/>
        <v>2051Expectancy</v>
      </c>
      <c r="B12761">
        <v>2051</v>
      </c>
      <c r="C12761" s="9" t="s">
        <v>31</v>
      </c>
      <c r="D12761" s="8">
        <v>-0.253</v>
      </c>
    </row>
    <row r="12762" spans="1:4">
      <c r="A12762" t="str">
        <f t="shared" si="210"/>
        <v>2051Net Profit</v>
      </c>
      <c r="B12762">
        <v>2051</v>
      </c>
      <c r="C12762" s="9" t="s">
        <v>32</v>
      </c>
      <c r="D12762" s="8">
        <v>-6.3509999999999997E-2</v>
      </c>
    </row>
    <row r="12763" spans="1:4">
      <c r="A12763" t="str">
        <f t="shared" si="210"/>
        <v>2051Loss Rate</v>
      </c>
      <c r="B12763">
        <v>2051</v>
      </c>
      <c r="C12763" s="9" t="s">
        <v>33</v>
      </c>
      <c r="D12763" s="8">
        <v>0.4</v>
      </c>
    </row>
    <row r="12764" spans="1:4">
      <c r="A12764" t="str">
        <f t="shared" si="210"/>
        <v>2051Win Rate</v>
      </c>
      <c r="B12764">
        <v>2051</v>
      </c>
      <c r="C12764" s="9" t="s">
        <v>34</v>
      </c>
      <c r="D12764" s="8">
        <v>0.6</v>
      </c>
    </row>
    <row r="12765" spans="1:4">
      <c r="A12765" t="str">
        <f t="shared" si="210"/>
        <v>2051Profit-Loss Ratio</v>
      </c>
      <c r="B12765">
        <v>2051</v>
      </c>
      <c r="C12765" s="9" t="s">
        <v>26</v>
      </c>
      <c r="D12765" s="8">
        <v>0.24</v>
      </c>
    </row>
    <row r="12766" spans="1:4">
      <c r="A12766" t="str">
        <f t="shared" si="210"/>
        <v>2051Alpha</v>
      </c>
      <c r="B12766">
        <v>2051</v>
      </c>
      <c r="C12766" s="9" t="s">
        <v>23</v>
      </c>
      <c r="D12766" s="8">
        <v>-6.3E-2</v>
      </c>
    </row>
    <row r="12767" spans="1:4">
      <c r="A12767" t="str">
        <f t="shared" si="210"/>
        <v>2051Beta</v>
      </c>
      <c r="B12767">
        <v>2051</v>
      </c>
      <c r="C12767" s="9" t="s">
        <v>24</v>
      </c>
      <c r="D12767" s="8">
        <v>-4.8000000000000001E-2</v>
      </c>
    </row>
    <row r="12768" spans="1:4">
      <c r="A12768" t="str">
        <f t="shared" si="210"/>
        <v>2051Annual Standard Deviation</v>
      </c>
      <c r="B12768">
        <v>2051</v>
      </c>
      <c r="C12768" s="9" t="s">
        <v>35</v>
      </c>
      <c r="D12768" s="8">
        <v>2.7E-2</v>
      </c>
    </row>
    <row r="12769" spans="1:4">
      <c r="A12769" t="str">
        <f t="shared" si="210"/>
        <v>2051Annual Variance</v>
      </c>
      <c r="B12769">
        <v>2051</v>
      </c>
      <c r="C12769" s="9" t="s">
        <v>36</v>
      </c>
      <c r="D12769" s="8">
        <v>1E-3</v>
      </c>
    </row>
    <row r="12770" spans="1:4">
      <c r="A12770" t="str">
        <f t="shared" si="210"/>
        <v>2051Information Ratio</v>
      </c>
      <c r="B12770">
        <v>2051</v>
      </c>
      <c r="C12770" s="9" t="s">
        <v>37</v>
      </c>
      <c r="D12770" s="8">
        <v>-1.5309999999999999</v>
      </c>
    </row>
    <row r="12771" spans="1:4">
      <c r="A12771" t="str">
        <f t="shared" si="210"/>
        <v>2051Tracking Error</v>
      </c>
      <c r="B12771">
        <v>2051</v>
      </c>
      <c r="C12771" s="9" t="s">
        <v>38</v>
      </c>
      <c r="D12771" s="8">
        <v>7.4999999999999997E-2</v>
      </c>
    </row>
    <row r="12772" spans="1:4">
      <c r="A12772" t="str">
        <f t="shared" si="210"/>
        <v>2051Treynor Ratio</v>
      </c>
      <c r="B12772">
        <v>2051</v>
      </c>
      <c r="C12772" s="9" t="s">
        <v>39</v>
      </c>
      <c r="D12772" s="8">
        <v>1.36</v>
      </c>
    </row>
    <row r="12773" spans="1:4">
      <c r="A12773" t="str">
        <f t="shared" si="210"/>
        <v>2051Total Fees</v>
      </c>
      <c r="B12773">
        <v>2051</v>
      </c>
      <c r="C12773" s="9" t="s">
        <v>40</v>
      </c>
      <c r="D12773" s="8">
        <v>0</v>
      </c>
    </row>
    <row r="12774" spans="1:4">
      <c r="A12774" t="str">
        <f t="shared" si="210"/>
        <v>2051Estimated Strategy Capacity</v>
      </c>
      <c r="B12774">
        <v>2051</v>
      </c>
      <c r="C12774" s="9" t="s">
        <v>41</v>
      </c>
      <c r="D12774" s="8">
        <v>5300000</v>
      </c>
    </row>
    <row r="12775" spans="1:4">
      <c r="A12775" t="str">
        <f t="shared" si="210"/>
        <v>2052PSR</v>
      </c>
      <c r="B12775">
        <v>2052</v>
      </c>
      <c r="C12775" s="9" t="s">
        <v>27</v>
      </c>
      <c r="D12775" s="8">
        <v>4.0910000000000002E-2</v>
      </c>
    </row>
    <row r="12776" spans="1:4">
      <c r="A12776" t="str">
        <f t="shared" si="210"/>
        <v>2052Sharpe Ratio</v>
      </c>
      <c r="B12776">
        <v>2052</v>
      </c>
      <c r="C12776" s="9" t="s">
        <v>1</v>
      </c>
      <c r="D12776" s="8">
        <v>-0.84199999999999997</v>
      </c>
    </row>
    <row r="12777" spans="1:4">
      <c r="A12777" t="str">
        <f t="shared" si="210"/>
        <v>2052Total Trades</v>
      </c>
      <c r="B12777">
        <v>2052</v>
      </c>
      <c r="C12777" s="9" t="s">
        <v>28</v>
      </c>
      <c r="D12777" s="8">
        <v>833</v>
      </c>
    </row>
    <row r="12778" spans="1:4">
      <c r="A12778" t="str">
        <f t="shared" ref="A12778:A12841" si="211">B12778&amp;C12778</f>
        <v>2052Average Win</v>
      </c>
      <c r="B12778">
        <v>2052</v>
      </c>
      <c r="C12778" s="9" t="s">
        <v>25</v>
      </c>
      <c r="D12778" s="8">
        <v>1E-4</v>
      </c>
    </row>
    <row r="12779" spans="1:4">
      <c r="A12779" t="str">
        <f t="shared" si="211"/>
        <v>2052Average Loss</v>
      </c>
      <c r="B12779">
        <v>2052</v>
      </c>
      <c r="C12779" s="9" t="s">
        <v>29</v>
      </c>
      <c r="D12779" s="8">
        <v>-4.0000000000000002E-4</v>
      </c>
    </row>
    <row r="12780" spans="1:4">
      <c r="A12780" t="str">
        <f t="shared" si="211"/>
        <v>2052Compounding Annual Return</v>
      </c>
      <c r="B12780">
        <v>2052</v>
      </c>
      <c r="C12780" s="9" t="s">
        <v>30</v>
      </c>
      <c r="D12780" s="8">
        <v>-7.8399999999999997E-3</v>
      </c>
    </row>
    <row r="12781" spans="1:4">
      <c r="A12781" t="str">
        <f t="shared" si="211"/>
        <v>2052Drawdown</v>
      </c>
      <c r="B12781">
        <v>2052</v>
      </c>
      <c r="C12781" s="9" t="s">
        <v>8</v>
      </c>
      <c r="D12781" s="8">
        <v>8.9999999999999993E-3</v>
      </c>
    </row>
    <row r="12782" spans="1:4">
      <c r="A12782" t="str">
        <f t="shared" si="211"/>
        <v>2052Expectancy</v>
      </c>
      <c r="B12782">
        <v>2052</v>
      </c>
      <c r="C12782" s="9" t="s">
        <v>31</v>
      </c>
      <c r="D12782" s="8">
        <v>-0.14099999999999999</v>
      </c>
    </row>
    <row r="12783" spans="1:4">
      <c r="A12783" t="str">
        <f t="shared" si="211"/>
        <v>2052Net Profit</v>
      </c>
      <c r="B12783">
        <v>2052</v>
      </c>
      <c r="C12783" s="9" t="s">
        <v>32</v>
      </c>
      <c r="D12783" s="8">
        <v>-5.2700000000000004E-3</v>
      </c>
    </row>
    <row r="12784" spans="1:4">
      <c r="A12784" t="str">
        <f t="shared" si="211"/>
        <v>2052Loss Rate</v>
      </c>
      <c r="B12784">
        <v>2052</v>
      </c>
      <c r="C12784" s="9" t="s">
        <v>33</v>
      </c>
      <c r="D12784" s="8">
        <v>0.36</v>
      </c>
    </row>
    <row r="12785" spans="1:4">
      <c r="A12785" t="str">
        <f t="shared" si="211"/>
        <v>2052Win Rate</v>
      </c>
      <c r="B12785">
        <v>2052</v>
      </c>
      <c r="C12785" s="9" t="s">
        <v>34</v>
      </c>
      <c r="D12785" s="8">
        <v>0.64</v>
      </c>
    </row>
    <row r="12786" spans="1:4">
      <c r="A12786" t="str">
        <f t="shared" si="211"/>
        <v>2052Profit-Loss Ratio</v>
      </c>
      <c r="B12786">
        <v>2052</v>
      </c>
      <c r="C12786" s="9" t="s">
        <v>26</v>
      </c>
      <c r="D12786" s="8">
        <v>0.35</v>
      </c>
    </row>
    <row r="12787" spans="1:4">
      <c r="A12787" t="str">
        <f t="shared" si="211"/>
        <v>2052Alpha</v>
      </c>
      <c r="B12787">
        <v>2052</v>
      </c>
      <c r="C12787" s="9" t="s">
        <v>23</v>
      </c>
      <c r="D12787" s="8">
        <v>-5.0000000000000001E-3</v>
      </c>
    </row>
    <row r="12788" spans="1:4">
      <c r="A12788" t="str">
        <f t="shared" si="211"/>
        <v>2052Beta</v>
      </c>
      <c r="B12788">
        <v>2052</v>
      </c>
      <c r="C12788" s="9" t="s">
        <v>24</v>
      </c>
      <c r="D12788" s="8">
        <v>-3.0000000000000001E-3</v>
      </c>
    </row>
    <row r="12789" spans="1:4">
      <c r="A12789" t="str">
        <f t="shared" si="211"/>
        <v>2052Annual Standard Deviation</v>
      </c>
      <c r="B12789">
        <v>2052</v>
      </c>
      <c r="C12789" s="9" t="s">
        <v>35</v>
      </c>
      <c r="D12789" s="8">
        <v>6.0000000000000001E-3</v>
      </c>
    </row>
    <row r="12790" spans="1:4">
      <c r="A12790" t="str">
        <f t="shared" si="211"/>
        <v>2052Annual Variance</v>
      </c>
      <c r="B12790">
        <v>2052</v>
      </c>
      <c r="C12790" s="9" t="s">
        <v>36</v>
      </c>
      <c r="D12790" s="8">
        <v>0</v>
      </c>
    </row>
    <row r="12791" spans="1:4">
      <c r="A12791" t="str">
        <f t="shared" si="211"/>
        <v>2052Information Ratio</v>
      </c>
      <c r="B12791">
        <v>2052</v>
      </c>
      <c r="C12791" s="9" t="s">
        <v>37</v>
      </c>
      <c r="D12791" s="8">
        <v>-0.81899999999999995</v>
      </c>
    </row>
    <row r="12792" spans="1:4">
      <c r="A12792" t="str">
        <f t="shared" si="211"/>
        <v>2052Tracking Error</v>
      </c>
      <c r="B12792">
        <v>2052</v>
      </c>
      <c r="C12792" s="9" t="s">
        <v>38</v>
      </c>
      <c r="D12792" s="8">
        <v>6.8000000000000005E-2</v>
      </c>
    </row>
    <row r="12793" spans="1:4">
      <c r="A12793" t="str">
        <f t="shared" si="211"/>
        <v>2052Treynor Ratio</v>
      </c>
      <c r="B12793">
        <v>2052</v>
      </c>
      <c r="C12793" s="9" t="s">
        <v>39</v>
      </c>
      <c r="D12793" s="8">
        <v>2.1280000000000001</v>
      </c>
    </row>
    <row r="12794" spans="1:4">
      <c r="A12794" t="str">
        <f t="shared" si="211"/>
        <v>2052Total Fees</v>
      </c>
      <c r="B12794">
        <v>2052</v>
      </c>
      <c r="C12794" s="9" t="s">
        <v>40</v>
      </c>
      <c r="D12794" s="8">
        <v>0</v>
      </c>
    </row>
    <row r="12795" spans="1:4">
      <c r="A12795" t="str">
        <f t="shared" si="211"/>
        <v>2052Estimated Strategy Capacity</v>
      </c>
      <c r="B12795">
        <v>2052</v>
      </c>
      <c r="C12795" s="9" t="s">
        <v>41</v>
      </c>
      <c r="D12795" s="8">
        <v>54000000</v>
      </c>
    </row>
    <row r="12796" spans="1:4">
      <c r="A12796" t="str">
        <f t="shared" si="211"/>
        <v>2053PSR</v>
      </c>
      <c r="B12796">
        <v>2053</v>
      </c>
      <c r="C12796" s="9" t="s">
        <v>27</v>
      </c>
      <c r="D12796" s="8">
        <v>4.7000000000000002E-3</v>
      </c>
    </row>
    <row r="12797" spans="1:4">
      <c r="A12797" t="str">
        <f t="shared" si="211"/>
        <v>2053Sharpe Ratio</v>
      </c>
      <c r="B12797">
        <v>2053</v>
      </c>
      <c r="C12797" s="9" t="s">
        <v>1</v>
      </c>
      <c r="D12797" s="8">
        <v>-1.3839999999999999</v>
      </c>
    </row>
    <row r="12798" spans="1:4">
      <c r="A12798" t="str">
        <f t="shared" si="211"/>
        <v>2053Total Trades</v>
      </c>
      <c r="B12798">
        <v>2053</v>
      </c>
      <c r="C12798" s="9" t="s">
        <v>28</v>
      </c>
      <c r="D12798" s="8">
        <v>674</v>
      </c>
    </row>
    <row r="12799" spans="1:4">
      <c r="A12799" t="str">
        <f t="shared" si="211"/>
        <v>2053Average Win</v>
      </c>
      <c r="B12799">
        <v>2053</v>
      </c>
      <c r="C12799" s="9" t="s">
        <v>25</v>
      </c>
      <c r="D12799" s="8">
        <v>4.0000000000000002E-4</v>
      </c>
    </row>
    <row r="12800" spans="1:4">
      <c r="A12800" t="str">
        <f t="shared" si="211"/>
        <v>2053Average Loss</v>
      </c>
      <c r="B12800">
        <v>2053</v>
      </c>
      <c r="C12800" s="9" t="s">
        <v>29</v>
      </c>
      <c r="D12800" s="8">
        <v>-1.6999999999999999E-3</v>
      </c>
    </row>
    <row r="12801" spans="1:4">
      <c r="A12801" t="str">
        <f t="shared" si="211"/>
        <v>2053Compounding Annual Return</v>
      </c>
      <c r="B12801">
        <v>2053</v>
      </c>
      <c r="C12801" s="9" t="s">
        <v>30</v>
      </c>
      <c r="D12801" s="8">
        <v>-4.7509999999999997E-2</v>
      </c>
    </row>
    <row r="12802" spans="1:4">
      <c r="A12802" t="str">
        <f t="shared" si="211"/>
        <v>2053Drawdown</v>
      </c>
      <c r="B12802">
        <v>2053</v>
      </c>
      <c r="C12802" s="9" t="s">
        <v>8</v>
      </c>
      <c r="D12802" s="8">
        <v>3.4000000000000002E-2</v>
      </c>
    </row>
    <row r="12803" spans="1:4">
      <c r="A12803" t="str">
        <f t="shared" si="211"/>
        <v>2053Expectancy</v>
      </c>
      <c r="B12803">
        <v>2053</v>
      </c>
      <c r="C12803" s="9" t="s">
        <v>31</v>
      </c>
      <c r="D12803" s="8">
        <v>-0.189</v>
      </c>
    </row>
    <row r="12804" spans="1:4">
      <c r="A12804" t="str">
        <f t="shared" si="211"/>
        <v>2053Net Profit</v>
      </c>
      <c r="B12804">
        <v>2053</v>
      </c>
      <c r="C12804" s="9" t="s">
        <v>32</v>
      </c>
      <c r="D12804" s="8">
        <v>-3.2140000000000002E-2</v>
      </c>
    </row>
    <row r="12805" spans="1:4">
      <c r="A12805" t="str">
        <f t="shared" si="211"/>
        <v>2053Loss Rate</v>
      </c>
      <c r="B12805">
        <v>2053</v>
      </c>
      <c r="C12805" s="9" t="s">
        <v>33</v>
      </c>
      <c r="D12805" s="8">
        <v>0.35</v>
      </c>
    </row>
    <row r="12806" spans="1:4">
      <c r="A12806" t="str">
        <f t="shared" si="211"/>
        <v>2053Win Rate</v>
      </c>
      <c r="B12806">
        <v>2053</v>
      </c>
      <c r="C12806" s="9" t="s">
        <v>34</v>
      </c>
      <c r="D12806" s="8">
        <v>0.65</v>
      </c>
    </row>
    <row r="12807" spans="1:4">
      <c r="A12807" t="str">
        <f t="shared" si="211"/>
        <v>2053Profit-Loss Ratio</v>
      </c>
      <c r="B12807">
        <v>2053</v>
      </c>
      <c r="C12807" s="9" t="s">
        <v>26</v>
      </c>
      <c r="D12807" s="8">
        <v>0.25</v>
      </c>
    </row>
    <row r="12808" spans="1:4">
      <c r="A12808" t="str">
        <f t="shared" si="211"/>
        <v>2053Alpha</v>
      </c>
      <c r="B12808">
        <v>2053</v>
      </c>
      <c r="C12808" s="9" t="s">
        <v>23</v>
      </c>
      <c r="D12808" s="8">
        <v>-3.2000000000000001E-2</v>
      </c>
    </row>
    <row r="12809" spans="1:4">
      <c r="A12809" t="str">
        <f t="shared" si="211"/>
        <v>2053Beta</v>
      </c>
      <c r="B12809">
        <v>2053</v>
      </c>
      <c r="C12809" s="9" t="s">
        <v>24</v>
      </c>
      <c r="D12809" s="8">
        <v>-2.1000000000000001E-2</v>
      </c>
    </row>
    <row r="12810" spans="1:4">
      <c r="A12810" t="str">
        <f t="shared" si="211"/>
        <v>2053Annual Standard Deviation</v>
      </c>
      <c r="B12810">
        <v>2053</v>
      </c>
      <c r="C12810" s="9" t="s">
        <v>35</v>
      </c>
      <c r="D12810" s="8">
        <v>2.4E-2</v>
      </c>
    </row>
    <row r="12811" spans="1:4">
      <c r="A12811" t="str">
        <f t="shared" si="211"/>
        <v>2053Annual Variance</v>
      </c>
      <c r="B12811">
        <v>2053</v>
      </c>
      <c r="C12811" s="9" t="s">
        <v>36</v>
      </c>
      <c r="D12811" s="8">
        <v>1E-3</v>
      </c>
    </row>
    <row r="12812" spans="1:4">
      <c r="A12812" t="str">
        <f t="shared" si="211"/>
        <v>2053Information Ratio</v>
      </c>
      <c r="B12812">
        <v>2053</v>
      </c>
      <c r="C12812" s="9" t="s">
        <v>37</v>
      </c>
      <c r="D12812" s="8">
        <v>-1.1419999999999999</v>
      </c>
    </row>
    <row r="12813" spans="1:4">
      <c r="A12813" t="str">
        <f t="shared" si="211"/>
        <v>2053Tracking Error</v>
      </c>
      <c r="B12813">
        <v>2053</v>
      </c>
      <c r="C12813" s="9" t="s">
        <v>38</v>
      </c>
      <c r="D12813" s="8">
        <v>7.1999999999999995E-2</v>
      </c>
    </row>
    <row r="12814" spans="1:4">
      <c r="A12814" t="str">
        <f t="shared" si="211"/>
        <v>2053Treynor Ratio</v>
      </c>
      <c r="B12814">
        <v>2053</v>
      </c>
      <c r="C12814" s="9" t="s">
        <v>39</v>
      </c>
      <c r="D12814" s="8">
        <v>1.5309999999999999</v>
      </c>
    </row>
    <row r="12815" spans="1:4">
      <c r="A12815" t="str">
        <f t="shared" si="211"/>
        <v>2053Total Fees</v>
      </c>
      <c r="B12815">
        <v>2053</v>
      </c>
      <c r="C12815" s="9" t="s">
        <v>40</v>
      </c>
      <c r="D12815" s="8">
        <v>0</v>
      </c>
    </row>
    <row r="12816" spans="1:4">
      <c r="A12816" t="str">
        <f t="shared" si="211"/>
        <v>2053Estimated Strategy Capacity</v>
      </c>
      <c r="B12816">
        <v>2053</v>
      </c>
      <c r="C12816" s="9" t="s">
        <v>41</v>
      </c>
      <c r="D12816" s="8">
        <v>9200000</v>
      </c>
    </row>
    <row r="12817" spans="1:4">
      <c r="A12817" t="str">
        <f t="shared" si="211"/>
        <v>2054PSR</v>
      </c>
      <c r="B12817">
        <v>2054</v>
      </c>
      <c r="C12817" s="9" t="s">
        <v>27</v>
      </c>
      <c r="D12817" s="8">
        <v>1.027E-2</v>
      </c>
    </row>
    <row r="12818" spans="1:4">
      <c r="A12818" t="str">
        <f t="shared" si="211"/>
        <v>2054Sharpe Ratio</v>
      </c>
      <c r="B12818">
        <v>2054</v>
      </c>
      <c r="C12818" s="9" t="s">
        <v>1</v>
      </c>
      <c r="D12818" s="8">
        <v>-1.157</v>
      </c>
    </row>
    <row r="12819" spans="1:4">
      <c r="A12819" t="str">
        <f t="shared" si="211"/>
        <v>2054Total Trades</v>
      </c>
      <c r="B12819">
        <v>2054</v>
      </c>
      <c r="C12819" s="9" t="s">
        <v>28</v>
      </c>
      <c r="D12819" s="8">
        <v>519</v>
      </c>
    </row>
    <row r="12820" spans="1:4">
      <c r="A12820" t="str">
        <f t="shared" si="211"/>
        <v>2054Average Win</v>
      </c>
      <c r="B12820">
        <v>2054</v>
      </c>
      <c r="C12820" s="9" t="s">
        <v>25</v>
      </c>
      <c r="D12820" s="8">
        <v>5.9999999999999995E-4</v>
      </c>
    </row>
    <row r="12821" spans="1:4">
      <c r="A12821" t="str">
        <f t="shared" si="211"/>
        <v>2054Average Loss</v>
      </c>
      <c r="B12821">
        <v>2054</v>
      </c>
      <c r="C12821" s="9" t="s">
        <v>29</v>
      </c>
      <c r="D12821" s="8">
        <v>-2.0999999999999999E-3</v>
      </c>
    </row>
    <row r="12822" spans="1:4">
      <c r="A12822" t="str">
        <f t="shared" si="211"/>
        <v>2054Compounding Annual Return</v>
      </c>
      <c r="B12822">
        <v>2054</v>
      </c>
      <c r="C12822" s="9" t="s">
        <v>30</v>
      </c>
      <c r="D12822" s="8">
        <v>-3.8309999999999997E-2</v>
      </c>
    </row>
    <row r="12823" spans="1:4">
      <c r="A12823" t="str">
        <f t="shared" si="211"/>
        <v>2054Drawdown</v>
      </c>
      <c r="B12823">
        <v>2054</v>
      </c>
      <c r="C12823" s="9" t="s">
        <v>8</v>
      </c>
      <c r="D12823" s="8">
        <v>3.2000000000000001E-2</v>
      </c>
    </row>
    <row r="12824" spans="1:4">
      <c r="A12824" t="str">
        <f t="shared" si="211"/>
        <v>2054Expectancy</v>
      </c>
      <c r="B12824">
        <v>2054</v>
      </c>
      <c r="C12824" s="9" t="s">
        <v>31</v>
      </c>
      <c r="D12824" s="8">
        <v>-0.14399999999999999</v>
      </c>
    </row>
    <row r="12825" spans="1:4">
      <c r="A12825" t="str">
        <f t="shared" si="211"/>
        <v>2054Net Profit</v>
      </c>
      <c r="B12825">
        <v>2054</v>
      </c>
      <c r="C12825" s="9" t="s">
        <v>32</v>
      </c>
      <c r="D12825" s="8">
        <v>-2.5870000000000001E-2</v>
      </c>
    </row>
    <row r="12826" spans="1:4">
      <c r="A12826" t="str">
        <f t="shared" si="211"/>
        <v>2054Loss Rate</v>
      </c>
      <c r="B12826">
        <v>2054</v>
      </c>
      <c r="C12826" s="9" t="s">
        <v>33</v>
      </c>
      <c r="D12826" s="8">
        <v>0.34</v>
      </c>
    </row>
    <row r="12827" spans="1:4">
      <c r="A12827" t="str">
        <f t="shared" si="211"/>
        <v>2054Win Rate</v>
      </c>
      <c r="B12827">
        <v>2054</v>
      </c>
      <c r="C12827" s="9" t="s">
        <v>34</v>
      </c>
      <c r="D12827" s="8">
        <v>0.66</v>
      </c>
    </row>
    <row r="12828" spans="1:4">
      <c r="A12828" t="str">
        <f t="shared" si="211"/>
        <v>2054Profit-Loss Ratio</v>
      </c>
      <c r="B12828">
        <v>2054</v>
      </c>
      <c r="C12828" s="9" t="s">
        <v>26</v>
      </c>
      <c r="D12828" s="8">
        <v>0.28999999999999998</v>
      </c>
    </row>
    <row r="12829" spans="1:4">
      <c r="A12829" t="str">
        <f t="shared" si="211"/>
        <v>2054Alpha</v>
      </c>
      <c r="B12829">
        <v>2054</v>
      </c>
      <c r="C12829" s="9" t="s">
        <v>23</v>
      </c>
      <c r="D12829" s="8">
        <v>-2.5999999999999999E-2</v>
      </c>
    </row>
    <row r="12830" spans="1:4">
      <c r="A12830" t="str">
        <f t="shared" si="211"/>
        <v>2054Beta</v>
      </c>
      <c r="B12830">
        <v>2054</v>
      </c>
      <c r="C12830" s="9" t="s">
        <v>24</v>
      </c>
      <c r="D12830" s="8">
        <v>-1.7000000000000001E-2</v>
      </c>
    </row>
    <row r="12831" spans="1:4">
      <c r="A12831" t="str">
        <f t="shared" si="211"/>
        <v>2054Annual Standard Deviation</v>
      </c>
      <c r="B12831">
        <v>2054</v>
      </c>
      <c r="C12831" s="9" t="s">
        <v>35</v>
      </c>
      <c r="D12831" s="8">
        <v>2.3E-2</v>
      </c>
    </row>
    <row r="12832" spans="1:4">
      <c r="A12832" t="str">
        <f t="shared" si="211"/>
        <v>2054Annual Variance</v>
      </c>
      <c r="B12832">
        <v>2054</v>
      </c>
      <c r="C12832" s="9" t="s">
        <v>36</v>
      </c>
      <c r="D12832" s="8">
        <v>1E-3</v>
      </c>
    </row>
    <row r="12833" spans="1:4">
      <c r="A12833" t="str">
        <f t="shared" si="211"/>
        <v>2054Information Ratio</v>
      </c>
      <c r="B12833">
        <v>2054</v>
      </c>
      <c r="C12833" s="9" t="s">
        <v>37</v>
      </c>
      <c r="D12833" s="8">
        <v>-1.0609999999999999</v>
      </c>
    </row>
    <row r="12834" spans="1:4">
      <c r="A12834" t="str">
        <f t="shared" si="211"/>
        <v>2054Tracking Error</v>
      </c>
      <c r="B12834">
        <v>2054</v>
      </c>
      <c r="C12834" s="9" t="s">
        <v>38</v>
      </c>
      <c r="D12834" s="8">
        <v>7.1999999999999995E-2</v>
      </c>
    </row>
    <row r="12835" spans="1:4">
      <c r="A12835" t="str">
        <f t="shared" si="211"/>
        <v>2054Treynor Ratio</v>
      </c>
      <c r="B12835">
        <v>2054</v>
      </c>
      <c r="C12835" s="9" t="s">
        <v>39</v>
      </c>
      <c r="D12835" s="8">
        <v>1.514</v>
      </c>
    </row>
    <row r="12836" spans="1:4">
      <c r="A12836" t="str">
        <f t="shared" si="211"/>
        <v>2054Total Fees</v>
      </c>
      <c r="B12836">
        <v>2054</v>
      </c>
      <c r="C12836" s="9" t="s">
        <v>40</v>
      </c>
      <c r="D12836" s="8">
        <v>0</v>
      </c>
    </row>
    <row r="12837" spans="1:4">
      <c r="A12837" t="str">
        <f t="shared" si="211"/>
        <v>2054Estimated Strategy Capacity</v>
      </c>
      <c r="B12837">
        <v>2054</v>
      </c>
      <c r="C12837" s="9" t="s">
        <v>41</v>
      </c>
      <c r="D12837" s="8">
        <v>6200000</v>
      </c>
    </row>
    <row r="12838" spans="1:4">
      <c r="A12838" t="str">
        <f t="shared" si="211"/>
        <v>2055PSR</v>
      </c>
      <c r="B12838">
        <v>2055</v>
      </c>
      <c r="C12838" s="9" t="s">
        <v>27</v>
      </c>
      <c r="D12838" s="8">
        <v>0.12551000000000001</v>
      </c>
    </row>
    <row r="12839" spans="1:4">
      <c r="A12839" t="str">
        <f t="shared" si="211"/>
        <v>2055Sharpe Ratio</v>
      </c>
      <c r="B12839">
        <v>2055</v>
      </c>
      <c r="C12839" s="9" t="s">
        <v>1</v>
      </c>
      <c r="D12839" s="8">
        <v>-0.17199999999999999</v>
      </c>
    </row>
    <row r="12840" spans="1:4">
      <c r="A12840" t="str">
        <f t="shared" si="211"/>
        <v>2055Total Trades</v>
      </c>
      <c r="B12840">
        <v>2055</v>
      </c>
      <c r="C12840" s="9" t="s">
        <v>28</v>
      </c>
      <c r="D12840" s="8">
        <v>1809</v>
      </c>
    </row>
    <row r="12841" spans="1:4">
      <c r="A12841" t="str">
        <f t="shared" si="211"/>
        <v>2055Average Win</v>
      </c>
      <c r="B12841">
        <v>2055</v>
      </c>
      <c r="C12841" s="9" t="s">
        <v>25</v>
      </c>
      <c r="D12841" s="8">
        <v>4.0000000000000002E-4</v>
      </c>
    </row>
    <row r="12842" spans="1:4">
      <c r="A12842" t="str">
        <f t="shared" ref="A12842:A12905" si="212">B12842&amp;C12842</f>
        <v>2055Average Loss</v>
      </c>
      <c r="B12842">
        <v>2055</v>
      </c>
      <c r="C12842" s="9" t="s">
        <v>29</v>
      </c>
      <c r="D12842" s="8">
        <v>-8.0000000000000004E-4</v>
      </c>
    </row>
    <row r="12843" spans="1:4">
      <c r="A12843" t="str">
        <f t="shared" si="212"/>
        <v>2055Compounding Annual Return</v>
      </c>
      <c r="B12843">
        <v>2055</v>
      </c>
      <c r="C12843" s="9" t="s">
        <v>30</v>
      </c>
      <c r="D12843" s="8">
        <v>-3.2299999999999998E-3</v>
      </c>
    </row>
    <row r="12844" spans="1:4">
      <c r="A12844" t="str">
        <f t="shared" si="212"/>
        <v>2055Drawdown</v>
      </c>
      <c r="B12844">
        <v>2055</v>
      </c>
      <c r="C12844" s="9" t="s">
        <v>8</v>
      </c>
      <c r="D12844" s="8">
        <v>1.7000000000000001E-2</v>
      </c>
    </row>
    <row r="12845" spans="1:4">
      <c r="A12845" t="str">
        <f t="shared" si="212"/>
        <v>2055Expectancy</v>
      </c>
      <c r="B12845">
        <v>2055</v>
      </c>
      <c r="C12845" s="9" t="s">
        <v>31</v>
      </c>
      <c r="D12845" s="8">
        <v>-2.5999999999999999E-2</v>
      </c>
    </row>
    <row r="12846" spans="1:4">
      <c r="A12846" t="str">
        <f t="shared" si="212"/>
        <v>2055Net Profit</v>
      </c>
      <c r="B12846">
        <v>2055</v>
      </c>
      <c r="C12846" s="9" t="s">
        <v>32</v>
      </c>
      <c r="D12846" s="8">
        <v>-2.1700000000000001E-3</v>
      </c>
    </row>
    <row r="12847" spans="1:4">
      <c r="A12847" t="str">
        <f t="shared" si="212"/>
        <v>2055Loss Rate</v>
      </c>
      <c r="B12847">
        <v>2055</v>
      </c>
      <c r="C12847" s="9" t="s">
        <v>33</v>
      </c>
      <c r="D12847" s="8">
        <v>0.37</v>
      </c>
    </row>
    <row r="12848" spans="1:4">
      <c r="A12848" t="str">
        <f t="shared" si="212"/>
        <v>2055Win Rate</v>
      </c>
      <c r="B12848">
        <v>2055</v>
      </c>
      <c r="C12848" s="9" t="s">
        <v>34</v>
      </c>
      <c r="D12848" s="8">
        <v>0.63</v>
      </c>
    </row>
    <row r="12849" spans="1:4">
      <c r="A12849" t="str">
        <f t="shared" si="212"/>
        <v>2055Profit-Loss Ratio</v>
      </c>
      <c r="B12849">
        <v>2055</v>
      </c>
      <c r="C12849" s="9" t="s">
        <v>26</v>
      </c>
      <c r="D12849" s="8">
        <v>0.55000000000000004</v>
      </c>
    </row>
    <row r="12850" spans="1:4">
      <c r="A12850" t="str">
        <f t="shared" si="212"/>
        <v>2055Alpha</v>
      </c>
      <c r="B12850">
        <v>2055</v>
      </c>
      <c r="C12850" s="9" t="s">
        <v>23</v>
      </c>
      <c r="D12850" s="8">
        <v>-2E-3</v>
      </c>
    </row>
    <row r="12851" spans="1:4">
      <c r="A12851" t="str">
        <f t="shared" si="212"/>
        <v>2055Beta</v>
      </c>
      <c r="B12851">
        <v>2055</v>
      </c>
      <c r="C12851" s="9" t="s">
        <v>24</v>
      </c>
      <c r="D12851" s="8">
        <v>-6.0000000000000001E-3</v>
      </c>
    </row>
    <row r="12852" spans="1:4">
      <c r="A12852" t="str">
        <f t="shared" si="212"/>
        <v>2055Annual Standard Deviation</v>
      </c>
      <c r="B12852">
        <v>2055</v>
      </c>
      <c r="C12852" s="9" t="s">
        <v>35</v>
      </c>
      <c r="D12852" s="8">
        <v>1.2999999999999999E-2</v>
      </c>
    </row>
    <row r="12853" spans="1:4">
      <c r="A12853" t="str">
        <f t="shared" si="212"/>
        <v>2055Annual Variance</v>
      </c>
      <c r="B12853">
        <v>2055</v>
      </c>
      <c r="C12853" s="9" t="s">
        <v>36</v>
      </c>
      <c r="D12853" s="8">
        <v>0</v>
      </c>
    </row>
    <row r="12854" spans="1:4">
      <c r="A12854" t="str">
        <f t="shared" si="212"/>
        <v>2055Information Ratio</v>
      </c>
      <c r="B12854">
        <v>2055</v>
      </c>
      <c r="C12854" s="9" t="s">
        <v>37</v>
      </c>
      <c r="D12854" s="8">
        <v>-0.75900000000000001</v>
      </c>
    </row>
    <row r="12855" spans="1:4">
      <c r="A12855" t="str">
        <f t="shared" si="212"/>
        <v>2055Tracking Error</v>
      </c>
      <c r="B12855">
        <v>2055</v>
      </c>
      <c r="C12855" s="9" t="s">
        <v>38</v>
      </c>
      <c r="D12855" s="8">
        <v>6.9000000000000006E-2</v>
      </c>
    </row>
    <row r="12856" spans="1:4">
      <c r="A12856" t="str">
        <f t="shared" si="212"/>
        <v>2055Treynor Ratio</v>
      </c>
      <c r="B12856">
        <v>2055</v>
      </c>
      <c r="C12856" s="9" t="s">
        <v>39</v>
      </c>
      <c r="D12856" s="8">
        <v>0.34799999999999998</v>
      </c>
    </row>
    <row r="12857" spans="1:4">
      <c r="A12857" t="str">
        <f t="shared" si="212"/>
        <v>2055Total Fees</v>
      </c>
      <c r="B12857">
        <v>2055</v>
      </c>
      <c r="C12857" s="9" t="s">
        <v>40</v>
      </c>
      <c r="D12857" s="8">
        <v>0</v>
      </c>
    </row>
    <row r="12858" spans="1:4">
      <c r="A12858" t="str">
        <f t="shared" si="212"/>
        <v>2055github.com</v>
      </c>
      <c r="B12858">
        <v>2055</v>
      </c>
      <c r="C12858" s="9" t="s">
        <v>62</v>
      </c>
      <c r="D12858" s="8">
        <v>10000000</v>
      </c>
    </row>
    <row r="12859" spans="1:4">
      <c r="A12859" t="str">
        <f t="shared" si="212"/>
        <v>2056PSR</v>
      </c>
      <c r="B12859">
        <v>2056</v>
      </c>
      <c r="C12859" s="9" t="s">
        <v>27</v>
      </c>
      <c r="D12859" s="8">
        <v>5.552E-2</v>
      </c>
    </row>
    <row r="12860" spans="1:4">
      <c r="A12860" t="str">
        <f t="shared" si="212"/>
        <v>2056Sharpe Ratio</v>
      </c>
      <c r="B12860">
        <v>2056</v>
      </c>
      <c r="C12860" s="9" t="s">
        <v>1</v>
      </c>
      <c r="D12860" s="8">
        <v>-0.61</v>
      </c>
    </row>
    <row r="12861" spans="1:4">
      <c r="A12861" t="str">
        <f t="shared" si="212"/>
        <v>2056Total Trades</v>
      </c>
      <c r="B12861">
        <v>2056</v>
      </c>
      <c r="C12861" s="9" t="s">
        <v>28</v>
      </c>
      <c r="D12861" s="8">
        <v>1380</v>
      </c>
    </row>
    <row r="12862" spans="1:4">
      <c r="A12862" t="str">
        <f t="shared" si="212"/>
        <v>2056Average Win</v>
      </c>
      <c r="B12862">
        <v>2056</v>
      </c>
      <c r="C12862" s="9" t="s">
        <v>25</v>
      </c>
      <c r="D12862" s="8">
        <v>1.1000000000000001E-3</v>
      </c>
    </row>
    <row r="12863" spans="1:4">
      <c r="A12863" t="str">
        <f t="shared" si="212"/>
        <v>2056Average Loss</v>
      </c>
      <c r="B12863">
        <v>2056</v>
      </c>
      <c r="C12863" s="9" t="s">
        <v>29</v>
      </c>
      <c r="D12863" s="8">
        <v>-2.5999999999999999E-3</v>
      </c>
    </row>
    <row r="12864" spans="1:4">
      <c r="A12864" t="str">
        <f t="shared" si="212"/>
        <v>2056Compounding Annual Return</v>
      </c>
      <c r="B12864">
        <v>2056</v>
      </c>
      <c r="C12864" s="9" t="s">
        <v>30</v>
      </c>
      <c r="D12864" s="8">
        <v>-3.2219999999999999E-2</v>
      </c>
    </row>
    <row r="12865" spans="1:4">
      <c r="A12865" t="str">
        <f t="shared" si="212"/>
        <v>2056Drawdown</v>
      </c>
      <c r="B12865">
        <v>2056</v>
      </c>
      <c r="C12865" s="9" t="s">
        <v>8</v>
      </c>
      <c r="D12865" s="8">
        <v>5.2999999999999999E-2</v>
      </c>
    </row>
    <row r="12866" spans="1:4">
      <c r="A12866" t="str">
        <f t="shared" si="212"/>
        <v>2056Expectancy</v>
      </c>
      <c r="B12866">
        <v>2056</v>
      </c>
      <c r="C12866" s="9" t="s">
        <v>31</v>
      </c>
      <c r="D12866" s="8">
        <v>-7.2999999999999995E-2</v>
      </c>
    </row>
    <row r="12867" spans="1:4">
      <c r="A12867" t="str">
        <f t="shared" si="212"/>
        <v>2056Net Profit</v>
      </c>
      <c r="B12867">
        <v>2056</v>
      </c>
      <c r="C12867" s="9" t="s">
        <v>32</v>
      </c>
      <c r="D12867" s="8">
        <v>-2.1739999999999999E-2</v>
      </c>
    </row>
    <row r="12868" spans="1:4">
      <c r="A12868" t="str">
        <f t="shared" si="212"/>
        <v>2056Loss Rate</v>
      </c>
      <c r="B12868">
        <v>2056</v>
      </c>
      <c r="C12868" s="9" t="s">
        <v>33</v>
      </c>
      <c r="D12868" s="8">
        <v>0.36</v>
      </c>
    </row>
    <row r="12869" spans="1:4">
      <c r="A12869" t="str">
        <f t="shared" si="212"/>
        <v>2056Win Rate</v>
      </c>
      <c r="B12869">
        <v>2056</v>
      </c>
      <c r="C12869" s="9" t="s">
        <v>34</v>
      </c>
      <c r="D12869" s="8">
        <v>0.64</v>
      </c>
    </row>
    <row r="12870" spans="1:4">
      <c r="A12870" t="str">
        <f t="shared" si="212"/>
        <v>2056Profit-Loss Ratio</v>
      </c>
      <c r="B12870">
        <v>2056</v>
      </c>
      <c r="C12870" s="9" t="s">
        <v>26</v>
      </c>
      <c r="D12870" s="8">
        <v>0.45</v>
      </c>
    </row>
    <row r="12871" spans="1:4">
      <c r="A12871" t="str">
        <f t="shared" si="212"/>
        <v>2056Alpha</v>
      </c>
      <c r="B12871">
        <v>2056</v>
      </c>
      <c r="C12871" s="9" t="s">
        <v>23</v>
      </c>
      <c r="D12871" s="8">
        <v>-1.7999999999999999E-2</v>
      </c>
    </row>
    <row r="12872" spans="1:4">
      <c r="A12872" t="str">
        <f t="shared" si="212"/>
        <v>2056Beta</v>
      </c>
      <c r="B12872">
        <v>2056</v>
      </c>
      <c r="C12872" s="9" t="s">
        <v>24</v>
      </c>
      <c r="D12872" s="8">
        <v>-6.7000000000000004E-2</v>
      </c>
    </row>
    <row r="12873" spans="1:4">
      <c r="A12873" t="str">
        <f t="shared" si="212"/>
        <v>2056Annual Standard Deviation</v>
      </c>
      <c r="B12873">
        <v>2056</v>
      </c>
      <c r="C12873" s="9" t="s">
        <v>35</v>
      </c>
      <c r="D12873" s="8">
        <v>3.5999999999999997E-2</v>
      </c>
    </row>
    <row r="12874" spans="1:4">
      <c r="A12874" t="str">
        <f t="shared" si="212"/>
        <v>2056Annual Variance</v>
      </c>
      <c r="B12874">
        <v>2056</v>
      </c>
      <c r="C12874" s="9" t="s">
        <v>36</v>
      </c>
      <c r="D12874" s="8">
        <v>1E-3</v>
      </c>
    </row>
    <row r="12875" spans="1:4">
      <c r="A12875" t="str">
        <f t="shared" si="212"/>
        <v>2056Information Ratio</v>
      </c>
      <c r="B12875">
        <v>2056</v>
      </c>
      <c r="C12875" s="9" t="s">
        <v>37</v>
      </c>
      <c r="D12875" s="8">
        <v>-0.89800000000000002</v>
      </c>
    </row>
    <row r="12876" spans="1:4">
      <c r="A12876" t="str">
        <f t="shared" si="212"/>
        <v>2056Tracking Error</v>
      </c>
      <c r="B12876">
        <v>2056</v>
      </c>
      <c r="C12876" s="9" t="s">
        <v>38</v>
      </c>
      <c r="D12876" s="8">
        <v>0.08</v>
      </c>
    </row>
    <row r="12877" spans="1:4">
      <c r="A12877" t="str">
        <f t="shared" si="212"/>
        <v>2056Treynor Ratio</v>
      </c>
      <c r="B12877">
        <v>2056</v>
      </c>
      <c r="C12877" s="9" t="s">
        <v>39</v>
      </c>
      <c r="D12877" s="8">
        <v>0.32700000000000001</v>
      </c>
    </row>
    <row r="12878" spans="1:4">
      <c r="A12878" t="str">
        <f t="shared" si="212"/>
        <v>2056Total Fees</v>
      </c>
      <c r="B12878">
        <v>2056</v>
      </c>
      <c r="C12878" s="9" t="s">
        <v>40</v>
      </c>
      <c r="D12878" s="8">
        <v>0</v>
      </c>
    </row>
    <row r="12879" spans="1:4">
      <c r="A12879" t="str">
        <f t="shared" si="212"/>
        <v>2056Estimated Strategy Capacity</v>
      </c>
      <c r="B12879">
        <v>2056</v>
      </c>
      <c r="C12879" s="9" t="s">
        <v>41</v>
      </c>
      <c r="D12879" s="8">
        <v>4600000</v>
      </c>
    </row>
    <row r="12880" spans="1:4">
      <c r="A12880" t="str">
        <f t="shared" si="212"/>
        <v>2057PSR</v>
      </c>
      <c r="B12880">
        <v>2057</v>
      </c>
      <c r="C12880" s="9" t="s">
        <v>27</v>
      </c>
      <c r="D12880" s="8">
        <v>0.24312</v>
      </c>
    </row>
    <row r="12881" spans="1:4">
      <c r="A12881" t="str">
        <f t="shared" si="212"/>
        <v>2057Sharpe Ratio</v>
      </c>
      <c r="B12881">
        <v>2057</v>
      </c>
      <c r="C12881" s="9" t="s">
        <v>1</v>
      </c>
      <c r="D12881" s="8">
        <v>0.29499999999999998</v>
      </c>
    </row>
    <row r="12882" spans="1:4">
      <c r="A12882" t="str">
        <f t="shared" si="212"/>
        <v>2057Total Trades</v>
      </c>
      <c r="B12882">
        <v>2057</v>
      </c>
      <c r="C12882" s="9" t="s">
        <v>28</v>
      </c>
      <c r="D12882" s="8">
        <v>1041</v>
      </c>
    </row>
    <row r="12883" spans="1:4">
      <c r="A12883" t="str">
        <f t="shared" si="212"/>
        <v>2057Average Win</v>
      </c>
      <c r="B12883">
        <v>2057</v>
      </c>
      <c r="C12883" s="9" t="s">
        <v>25</v>
      </c>
      <c r="D12883" s="8">
        <v>1.6999999999999999E-3</v>
      </c>
    </row>
    <row r="12884" spans="1:4">
      <c r="A12884" t="str">
        <f t="shared" si="212"/>
        <v>2057Average Loss</v>
      </c>
      <c r="B12884">
        <v>2057</v>
      </c>
      <c r="C12884" s="9" t="s">
        <v>29</v>
      </c>
      <c r="D12884" s="8">
        <v>-3.0999999999999999E-3</v>
      </c>
    </row>
    <row r="12885" spans="1:4">
      <c r="A12885" t="str">
        <f t="shared" si="212"/>
        <v>2057Compounding Annual Return</v>
      </c>
      <c r="B12885">
        <v>2057</v>
      </c>
      <c r="C12885" s="9" t="s">
        <v>30</v>
      </c>
      <c r="D12885" s="8">
        <v>1.6879999999999999E-2</v>
      </c>
    </row>
    <row r="12886" spans="1:4">
      <c r="A12886" t="str">
        <f t="shared" si="212"/>
        <v>2057Drawdown</v>
      </c>
      <c r="B12886">
        <v>2057</v>
      </c>
      <c r="C12886" s="9" t="s">
        <v>8</v>
      </c>
      <c r="D12886" s="8">
        <v>0.05</v>
      </c>
    </row>
    <row r="12887" spans="1:4">
      <c r="A12887" t="str">
        <f t="shared" si="212"/>
        <v>2057Expectancy</v>
      </c>
      <c r="B12887">
        <v>2057</v>
      </c>
      <c r="C12887" s="9" t="s">
        <v>31</v>
      </c>
      <c r="D12887" s="8">
        <v>3.5999999999999997E-2</v>
      </c>
    </row>
    <row r="12888" spans="1:4">
      <c r="A12888" t="str">
        <f t="shared" si="212"/>
        <v>2057Net Profit</v>
      </c>
      <c r="B12888">
        <v>2057</v>
      </c>
      <c r="C12888" s="9" t="s">
        <v>32</v>
      </c>
      <c r="D12888" s="8">
        <v>1.1299999999999999E-2</v>
      </c>
    </row>
    <row r="12889" spans="1:4">
      <c r="A12889" t="str">
        <f t="shared" si="212"/>
        <v>2057Loss Rate</v>
      </c>
      <c r="B12889">
        <v>2057</v>
      </c>
      <c r="C12889" s="9" t="s">
        <v>33</v>
      </c>
      <c r="D12889" s="8">
        <v>0.33</v>
      </c>
    </row>
    <row r="12890" spans="1:4">
      <c r="A12890" t="str">
        <f t="shared" si="212"/>
        <v>2057Win Rate</v>
      </c>
      <c r="B12890">
        <v>2057</v>
      </c>
      <c r="C12890" s="9" t="s">
        <v>34</v>
      </c>
      <c r="D12890" s="8">
        <v>0.67</v>
      </c>
    </row>
    <row r="12891" spans="1:4">
      <c r="A12891" t="str">
        <f t="shared" si="212"/>
        <v>2057Profit-Loss Ratio</v>
      </c>
      <c r="B12891">
        <v>2057</v>
      </c>
      <c r="C12891" s="9" t="s">
        <v>26</v>
      </c>
      <c r="D12891" s="8">
        <v>0.54</v>
      </c>
    </row>
    <row r="12892" spans="1:4">
      <c r="A12892" t="str">
        <f t="shared" si="212"/>
        <v>2057Alpha</v>
      </c>
      <c r="B12892">
        <v>2057</v>
      </c>
      <c r="C12892" s="9" t="s">
        <v>23</v>
      </c>
      <c r="D12892" s="8">
        <v>0.02</v>
      </c>
    </row>
    <row r="12893" spans="1:4">
      <c r="A12893" t="str">
        <f t="shared" si="212"/>
        <v>2057Beta</v>
      </c>
      <c r="B12893">
        <v>2057</v>
      </c>
      <c r="C12893" s="9" t="s">
        <v>24</v>
      </c>
      <c r="D12893" s="8">
        <v>-0.14899999999999999</v>
      </c>
    </row>
    <row r="12894" spans="1:4">
      <c r="A12894" t="str">
        <f t="shared" si="212"/>
        <v>2057Annual Standard Deviation</v>
      </c>
      <c r="B12894">
        <v>2057</v>
      </c>
      <c r="C12894" s="9" t="s">
        <v>35</v>
      </c>
      <c r="D12894" s="8">
        <v>4.2999999999999997E-2</v>
      </c>
    </row>
    <row r="12895" spans="1:4">
      <c r="A12895" t="str">
        <f t="shared" si="212"/>
        <v>2057Annual Variance</v>
      </c>
      <c r="B12895">
        <v>2057</v>
      </c>
      <c r="C12895" s="9" t="s">
        <v>36</v>
      </c>
      <c r="D12895" s="8">
        <v>2E-3</v>
      </c>
    </row>
    <row r="12896" spans="1:4">
      <c r="A12896" t="str">
        <f t="shared" si="212"/>
        <v>2057Information Ratio</v>
      </c>
      <c r="B12896">
        <v>2057</v>
      </c>
      <c r="C12896" s="9" t="s">
        <v>37</v>
      </c>
      <c r="D12896" s="8">
        <v>-0.42699999999999999</v>
      </c>
    </row>
    <row r="12897" spans="1:4">
      <c r="A12897" t="str">
        <f t="shared" si="212"/>
        <v>2057Tracking Error</v>
      </c>
      <c r="B12897">
        <v>2057</v>
      </c>
      <c r="C12897" s="9" t="s">
        <v>38</v>
      </c>
      <c r="D12897" s="8">
        <v>8.6999999999999994E-2</v>
      </c>
    </row>
    <row r="12898" spans="1:4">
      <c r="A12898" t="str">
        <f t="shared" si="212"/>
        <v>2057Treynor Ratio</v>
      </c>
      <c r="B12898">
        <v>2057</v>
      </c>
      <c r="C12898" s="9" t="s">
        <v>39</v>
      </c>
      <c r="D12898" s="8">
        <v>-8.5000000000000006E-2</v>
      </c>
    </row>
    <row r="12899" spans="1:4">
      <c r="A12899" t="str">
        <f t="shared" si="212"/>
        <v>2057Total Fees</v>
      </c>
      <c r="B12899">
        <v>2057</v>
      </c>
      <c r="C12899" s="9" t="s">
        <v>40</v>
      </c>
      <c r="D12899" s="8">
        <v>0</v>
      </c>
    </row>
    <row r="12900" spans="1:4">
      <c r="A12900" t="str">
        <f t="shared" si="212"/>
        <v>2057Estimated Strategy Capacity</v>
      </c>
      <c r="B12900">
        <v>2057</v>
      </c>
      <c r="C12900" s="9" t="s">
        <v>41</v>
      </c>
      <c r="D12900" s="8">
        <v>4700000</v>
      </c>
    </row>
    <row r="12901" spans="1:4">
      <c r="A12901" t="str">
        <f t="shared" si="212"/>
        <v>2058PSR</v>
      </c>
      <c r="B12901">
        <v>2058</v>
      </c>
      <c r="C12901" s="9" t="s">
        <v>27</v>
      </c>
      <c r="D12901" s="8">
        <v>0.14899999999999999</v>
      </c>
    </row>
    <row r="12902" spans="1:4">
      <c r="A12902" t="str">
        <f t="shared" si="212"/>
        <v>2058Sharpe Ratio</v>
      </c>
      <c r="B12902">
        <v>2058</v>
      </c>
      <c r="C12902" s="9" t="s">
        <v>1</v>
      </c>
      <c r="D12902" s="8">
        <v>-6.6000000000000003E-2</v>
      </c>
    </row>
    <row r="12903" spans="1:4">
      <c r="A12903" t="str">
        <f t="shared" si="212"/>
        <v>2058Total Trades</v>
      </c>
      <c r="B12903">
        <v>2058</v>
      </c>
      <c r="C12903" s="9" t="s">
        <v>28</v>
      </c>
      <c r="D12903" s="8">
        <v>1005</v>
      </c>
    </row>
    <row r="12904" spans="1:4">
      <c r="A12904" t="str">
        <f t="shared" si="212"/>
        <v>2058Average Win</v>
      </c>
      <c r="B12904">
        <v>2058</v>
      </c>
      <c r="C12904" s="9" t="s">
        <v>25</v>
      </c>
      <c r="D12904" s="8">
        <v>5.0000000000000001E-4</v>
      </c>
    </row>
    <row r="12905" spans="1:4">
      <c r="A12905" t="str">
        <f t="shared" si="212"/>
        <v>2058Average Loss</v>
      </c>
      <c r="B12905">
        <v>2058</v>
      </c>
      <c r="C12905" s="9" t="s">
        <v>29</v>
      </c>
      <c r="D12905" s="8">
        <v>-1E-3</v>
      </c>
    </row>
    <row r="12906" spans="1:4">
      <c r="A12906" t="str">
        <f t="shared" ref="A12906:A12969" si="213">B12906&amp;C12906</f>
        <v>2058Compounding Annual Return</v>
      </c>
      <c r="B12906">
        <v>2058</v>
      </c>
      <c r="C12906" s="9" t="s">
        <v>30</v>
      </c>
      <c r="D12906" s="8">
        <v>-1.57E-3</v>
      </c>
    </row>
    <row r="12907" spans="1:4">
      <c r="A12907" t="str">
        <f t="shared" si="213"/>
        <v>2058Drawdown</v>
      </c>
      <c r="B12907">
        <v>2058</v>
      </c>
      <c r="C12907" s="9" t="s">
        <v>8</v>
      </c>
      <c r="D12907" s="8">
        <v>1.0999999999999999E-2</v>
      </c>
    </row>
    <row r="12908" spans="1:4">
      <c r="A12908" t="str">
        <f t="shared" si="213"/>
        <v>2058Expectancy</v>
      </c>
      <c r="B12908">
        <v>2058</v>
      </c>
      <c r="C12908" s="9" t="s">
        <v>31</v>
      </c>
      <c r="D12908" s="8">
        <v>-8.9999999999999993E-3</v>
      </c>
    </row>
    <row r="12909" spans="1:4">
      <c r="A12909" t="str">
        <f t="shared" si="213"/>
        <v>2058Net Profit</v>
      </c>
      <c r="B12909">
        <v>2058</v>
      </c>
      <c r="C12909" s="9" t="s">
        <v>32</v>
      </c>
      <c r="D12909" s="8">
        <v>-1.06E-3</v>
      </c>
    </row>
    <row r="12910" spans="1:4">
      <c r="A12910" t="str">
        <f t="shared" si="213"/>
        <v>2058Loss Rate</v>
      </c>
      <c r="B12910">
        <v>2058</v>
      </c>
      <c r="C12910" s="9" t="s">
        <v>33</v>
      </c>
      <c r="D12910" s="8">
        <v>0.33</v>
      </c>
    </row>
    <row r="12911" spans="1:4">
      <c r="A12911" t="str">
        <f t="shared" si="213"/>
        <v>2058Win Rate</v>
      </c>
      <c r="B12911">
        <v>2058</v>
      </c>
      <c r="C12911" s="9" t="s">
        <v>34</v>
      </c>
      <c r="D12911" s="8">
        <v>0.67</v>
      </c>
    </row>
    <row r="12912" spans="1:4">
      <c r="A12912" t="str">
        <f t="shared" si="213"/>
        <v>2058Profit-Loss Ratio</v>
      </c>
      <c r="B12912">
        <v>2058</v>
      </c>
      <c r="C12912" s="9" t="s">
        <v>26</v>
      </c>
      <c r="D12912" s="8">
        <v>0.48</v>
      </c>
    </row>
    <row r="12913" spans="1:4">
      <c r="A12913" t="str">
        <f t="shared" si="213"/>
        <v>2058Alpha</v>
      </c>
      <c r="B12913">
        <v>2058</v>
      </c>
      <c r="C12913" s="9" t="s">
        <v>23</v>
      </c>
      <c r="D12913" s="8">
        <v>-1E-3</v>
      </c>
    </row>
    <row r="12914" spans="1:4">
      <c r="A12914" t="str">
        <f t="shared" si="213"/>
        <v>2058Beta</v>
      </c>
      <c r="B12914">
        <v>2058</v>
      </c>
      <c r="C12914" s="9" t="s">
        <v>24</v>
      </c>
      <c r="D12914" s="8">
        <v>1E-3</v>
      </c>
    </row>
    <row r="12915" spans="1:4">
      <c r="A12915" t="str">
        <f t="shared" si="213"/>
        <v>2058Annual Standard Deviation</v>
      </c>
      <c r="B12915">
        <v>2058</v>
      </c>
      <c r="C12915" s="9" t="s">
        <v>35</v>
      </c>
      <c r="D12915" s="8">
        <v>1.4999999999999999E-2</v>
      </c>
    </row>
    <row r="12916" spans="1:4">
      <c r="A12916" t="str">
        <f t="shared" si="213"/>
        <v>2058Annual Variance</v>
      </c>
      <c r="B12916">
        <v>2058</v>
      </c>
      <c r="C12916" s="9" t="s">
        <v>36</v>
      </c>
      <c r="D12916" s="8">
        <v>0</v>
      </c>
    </row>
    <row r="12917" spans="1:4">
      <c r="A12917" t="str">
        <f t="shared" si="213"/>
        <v>2058Information Ratio</v>
      </c>
      <c r="B12917">
        <v>2058</v>
      </c>
      <c r="C12917" s="9" t="s">
        <v>37</v>
      </c>
      <c r="D12917" s="8">
        <v>-0.74199999999999999</v>
      </c>
    </row>
    <row r="12918" spans="1:4">
      <c r="A12918" t="str">
        <f t="shared" si="213"/>
        <v>2058Tracking Error</v>
      </c>
      <c r="B12918">
        <v>2058</v>
      </c>
      <c r="C12918" s="9" t="s">
        <v>38</v>
      </c>
      <c r="D12918" s="8">
        <v>6.9000000000000006E-2</v>
      </c>
    </row>
    <row r="12919" spans="1:4">
      <c r="A12919" t="str">
        <f t="shared" si="213"/>
        <v>2058Treynor Ratio</v>
      </c>
      <c r="B12919">
        <v>2058</v>
      </c>
      <c r="C12919" s="9" t="s">
        <v>39</v>
      </c>
      <c r="D12919" s="8">
        <v>-1.4650000000000001</v>
      </c>
    </row>
    <row r="12920" spans="1:4">
      <c r="A12920" t="str">
        <f t="shared" si="213"/>
        <v>2058Total Fees</v>
      </c>
      <c r="B12920">
        <v>2058</v>
      </c>
      <c r="C12920" s="9" t="s">
        <v>40</v>
      </c>
      <c r="D12920" s="8">
        <v>0</v>
      </c>
    </row>
    <row r="12921" spans="1:4">
      <c r="A12921" t="str">
        <f t="shared" si="213"/>
        <v>2058Estimated Strategy Capacity</v>
      </c>
      <c r="B12921">
        <v>2058</v>
      </c>
      <c r="C12921" s="9" t="s">
        <v>41</v>
      </c>
      <c r="D12921" s="8">
        <v>34000000</v>
      </c>
    </row>
    <row r="12922" spans="1:4">
      <c r="A12922" t="str">
        <f t="shared" si="213"/>
        <v>2059PSR</v>
      </c>
      <c r="B12922">
        <v>2059</v>
      </c>
      <c r="C12922" s="9" t="s">
        <v>27</v>
      </c>
      <c r="D12922" s="8">
        <v>2.0910000000000002E-2</v>
      </c>
    </row>
    <row r="12923" spans="1:4">
      <c r="A12923" t="str">
        <f t="shared" si="213"/>
        <v>2059Sharpe Ratio</v>
      </c>
      <c r="B12923">
        <v>2059</v>
      </c>
      <c r="C12923" s="9" t="s">
        <v>1</v>
      </c>
      <c r="D12923" s="8">
        <v>-1.008</v>
      </c>
    </row>
    <row r="12924" spans="1:4">
      <c r="A12924" t="str">
        <f t="shared" si="213"/>
        <v>2059Total Trades</v>
      </c>
      <c r="B12924">
        <v>2059</v>
      </c>
      <c r="C12924" s="9" t="s">
        <v>28</v>
      </c>
      <c r="D12924" s="8">
        <v>762</v>
      </c>
    </row>
    <row r="12925" spans="1:4">
      <c r="A12925" t="str">
        <f t="shared" si="213"/>
        <v>2059Average Win</v>
      </c>
      <c r="B12925">
        <v>2059</v>
      </c>
      <c r="C12925" s="9" t="s">
        <v>25</v>
      </c>
      <c r="D12925" s="8">
        <v>1E-3</v>
      </c>
    </row>
    <row r="12926" spans="1:4">
      <c r="A12926" t="str">
        <f t="shared" si="213"/>
        <v>2059Average Loss</v>
      </c>
      <c r="B12926">
        <v>2059</v>
      </c>
      <c r="C12926" s="9" t="s">
        <v>29</v>
      </c>
      <c r="D12926" s="8">
        <v>-3.5000000000000001E-3</v>
      </c>
    </row>
    <row r="12927" spans="1:4">
      <c r="A12927" t="str">
        <f t="shared" si="213"/>
        <v>2059Compounding Annual Return</v>
      </c>
      <c r="B12927">
        <v>2059</v>
      </c>
      <c r="C12927" s="9" t="s">
        <v>30</v>
      </c>
      <c r="D12927" s="8">
        <v>-6.0150000000000002E-2</v>
      </c>
    </row>
    <row r="12928" spans="1:4">
      <c r="A12928" t="str">
        <f t="shared" si="213"/>
        <v>2059Drawdown</v>
      </c>
      <c r="B12928">
        <v>2059</v>
      </c>
      <c r="C12928" s="9" t="s">
        <v>8</v>
      </c>
      <c r="D12928" s="8">
        <v>4.8000000000000001E-2</v>
      </c>
    </row>
    <row r="12929" spans="1:4">
      <c r="A12929" t="str">
        <f t="shared" si="213"/>
        <v>2059Expectancy</v>
      </c>
      <c r="B12929">
        <v>2059</v>
      </c>
      <c r="C12929" s="9" t="s">
        <v>31</v>
      </c>
      <c r="D12929" s="8">
        <v>-0.158</v>
      </c>
    </row>
    <row r="12930" spans="1:4">
      <c r="A12930" t="str">
        <f t="shared" si="213"/>
        <v>2059Net Profit</v>
      </c>
      <c r="B12930">
        <v>2059</v>
      </c>
      <c r="C12930" s="9" t="s">
        <v>32</v>
      </c>
      <c r="D12930" s="8">
        <v>-4.0779999999999997E-2</v>
      </c>
    </row>
    <row r="12931" spans="1:4">
      <c r="A12931" t="str">
        <f t="shared" si="213"/>
        <v>2059Loss Rate</v>
      </c>
      <c r="B12931">
        <v>2059</v>
      </c>
      <c r="C12931" s="9" t="s">
        <v>33</v>
      </c>
      <c r="D12931" s="8">
        <v>0.35</v>
      </c>
    </row>
    <row r="12932" spans="1:4">
      <c r="A12932" t="str">
        <f t="shared" si="213"/>
        <v>2059Win Rate</v>
      </c>
      <c r="B12932">
        <v>2059</v>
      </c>
      <c r="C12932" s="9" t="s">
        <v>34</v>
      </c>
      <c r="D12932" s="8">
        <v>0.65</v>
      </c>
    </row>
    <row r="12933" spans="1:4">
      <c r="A12933" t="str">
        <f t="shared" si="213"/>
        <v>2059Profit-Loss Ratio</v>
      </c>
      <c r="B12933">
        <v>2059</v>
      </c>
      <c r="C12933" s="9" t="s">
        <v>26</v>
      </c>
      <c r="D12933" s="8">
        <v>0.28999999999999998</v>
      </c>
    </row>
    <row r="12934" spans="1:4">
      <c r="A12934" t="str">
        <f t="shared" si="213"/>
        <v>2059Alpha</v>
      </c>
      <c r="B12934">
        <v>2059</v>
      </c>
      <c r="C12934" s="9" t="s">
        <v>23</v>
      </c>
      <c r="D12934" s="8">
        <v>-0.04</v>
      </c>
    </row>
    <row r="12935" spans="1:4">
      <c r="A12935" t="str">
        <f t="shared" si="213"/>
        <v>2059Beta</v>
      </c>
      <c r="B12935">
        <v>2059</v>
      </c>
      <c r="C12935" s="9" t="s">
        <v>24</v>
      </c>
      <c r="D12935" s="8">
        <v>-2.9000000000000001E-2</v>
      </c>
    </row>
    <row r="12936" spans="1:4">
      <c r="A12936" t="str">
        <f t="shared" si="213"/>
        <v>2059Annual Standard Deviation</v>
      </c>
      <c r="B12936">
        <v>2059</v>
      </c>
      <c r="C12936" s="9" t="s">
        <v>35</v>
      </c>
      <c r="D12936" s="8">
        <v>4.1000000000000002E-2</v>
      </c>
    </row>
    <row r="12937" spans="1:4">
      <c r="A12937" t="str">
        <f t="shared" si="213"/>
        <v>2059Annual Variance</v>
      </c>
      <c r="B12937">
        <v>2059</v>
      </c>
      <c r="C12937" s="9" t="s">
        <v>36</v>
      </c>
      <c r="D12937" s="8">
        <v>2E-3</v>
      </c>
    </row>
    <row r="12938" spans="1:4">
      <c r="A12938" t="str">
        <f t="shared" si="213"/>
        <v>2059Information Ratio</v>
      </c>
      <c r="B12938">
        <v>2059</v>
      </c>
      <c r="C12938" s="9" t="s">
        <v>37</v>
      </c>
      <c r="D12938" s="8">
        <v>-1.137</v>
      </c>
    </row>
    <row r="12939" spans="1:4">
      <c r="A12939" t="str">
        <f t="shared" si="213"/>
        <v>2059Tracking Error</v>
      </c>
      <c r="B12939">
        <v>2059</v>
      </c>
      <c r="C12939" s="9" t="s">
        <v>38</v>
      </c>
      <c r="D12939" s="8">
        <v>0.08</v>
      </c>
    </row>
    <row r="12940" spans="1:4">
      <c r="A12940" t="str">
        <f t="shared" si="213"/>
        <v>2059Treynor Ratio</v>
      </c>
      <c r="B12940">
        <v>2059</v>
      </c>
      <c r="C12940" s="9" t="s">
        <v>39</v>
      </c>
      <c r="D12940" s="8">
        <v>1.4390000000000001</v>
      </c>
    </row>
    <row r="12941" spans="1:4">
      <c r="A12941" t="str">
        <f t="shared" si="213"/>
        <v>2059Total Fees</v>
      </c>
      <c r="B12941">
        <v>2059</v>
      </c>
      <c r="C12941" s="9" t="s">
        <v>40</v>
      </c>
      <c r="D12941" s="8">
        <v>0</v>
      </c>
    </row>
    <row r="12942" spans="1:4">
      <c r="A12942" t="str">
        <f t="shared" si="213"/>
        <v>2059Estimated Strategy Capacity</v>
      </c>
      <c r="B12942">
        <v>2059</v>
      </c>
      <c r="C12942" s="9" t="s">
        <v>41</v>
      </c>
      <c r="D12942" s="8">
        <v>7400000</v>
      </c>
    </row>
    <row r="12943" spans="1:4">
      <c r="A12943" t="str">
        <f t="shared" si="213"/>
        <v>2060PSR</v>
      </c>
      <c r="B12943">
        <v>2060</v>
      </c>
      <c r="C12943" s="9" t="s">
        <v>27</v>
      </c>
      <c r="D12943" s="8">
        <v>2.494E-2</v>
      </c>
    </row>
    <row r="12944" spans="1:4">
      <c r="A12944" t="str">
        <f t="shared" si="213"/>
        <v>2060Sharpe Ratio</v>
      </c>
      <c r="B12944">
        <v>2060</v>
      </c>
      <c r="C12944" s="9" t="s">
        <v>1</v>
      </c>
      <c r="D12944" s="8">
        <v>-0.97199999999999998</v>
      </c>
    </row>
    <row r="12945" spans="1:4">
      <c r="A12945" t="str">
        <f t="shared" si="213"/>
        <v>2060Total Trades</v>
      </c>
      <c r="B12945">
        <v>2060</v>
      </c>
      <c r="C12945" s="9" t="s">
        <v>28</v>
      </c>
      <c r="D12945" s="8">
        <v>561</v>
      </c>
    </row>
    <row r="12946" spans="1:4">
      <c r="A12946" t="str">
        <f t="shared" si="213"/>
        <v>2060Average Win</v>
      </c>
      <c r="B12946">
        <v>2060</v>
      </c>
      <c r="C12946" s="9" t="s">
        <v>25</v>
      </c>
      <c r="D12946" s="8">
        <v>1.6000000000000001E-3</v>
      </c>
    </row>
    <row r="12947" spans="1:4">
      <c r="A12947" t="str">
        <f t="shared" si="213"/>
        <v>2060Average Loss</v>
      </c>
      <c r="B12947">
        <v>2060</v>
      </c>
      <c r="C12947" s="9" t="s">
        <v>29</v>
      </c>
      <c r="D12947" s="8">
        <v>-5.1999999999999998E-3</v>
      </c>
    </row>
    <row r="12948" spans="1:4">
      <c r="A12948" t="str">
        <f t="shared" si="213"/>
        <v>2060Compounding Annual Return</v>
      </c>
      <c r="B12948">
        <v>2060</v>
      </c>
      <c r="C12948" s="9" t="s">
        <v>30</v>
      </c>
      <c r="D12948" s="8">
        <v>-5.7000000000000002E-2</v>
      </c>
    </row>
    <row r="12949" spans="1:4">
      <c r="A12949" t="str">
        <f t="shared" si="213"/>
        <v>2060Drawdown</v>
      </c>
      <c r="B12949">
        <v>2060</v>
      </c>
      <c r="C12949" s="9" t="s">
        <v>8</v>
      </c>
      <c r="D12949" s="8">
        <v>5.8000000000000003E-2</v>
      </c>
    </row>
    <row r="12950" spans="1:4">
      <c r="A12950" t="str">
        <f t="shared" si="213"/>
        <v>2060Expectancy</v>
      </c>
      <c r="B12950">
        <v>2060</v>
      </c>
      <c r="C12950" s="9" t="s">
        <v>31</v>
      </c>
      <c r="D12950" s="8">
        <v>-0.112</v>
      </c>
    </row>
    <row r="12951" spans="1:4">
      <c r="A12951" t="str">
        <f t="shared" si="213"/>
        <v>2060Net Profit</v>
      </c>
      <c r="B12951">
        <v>2060</v>
      </c>
      <c r="C12951" s="9" t="s">
        <v>32</v>
      </c>
      <c r="D12951" s="8">
        <v>-3.8620000000000002E-2</v>
      </c>
    </row>
    <row r="12952" spans="1:4">
      <c r="A12952" t="str">
        <f t="shared" si="213"/>
        <v>2060Loss Rate</v>
      </c>
      <c r="B12952">
        <v>2060</v>
      </c>
      <c r="C12952" s="9" t="s">
        <v>33</v>
      </c>
      <c r="D12952" s="8">
        <v>0.32</v>
      </c>
    </row>
    <row r="12953" spans="1:4">
      <c r="A12953" t="str">
        <f t="shared" si="213"/>
        <v>2060Win Rate</v>
      </c>
      <c r="B12953">
        <v>2060</v>
      </c>
      <c r="C12953" s="9" t="s">
        <v>34</v>
      </c>
      <c r="D12953" s="8">
        <v>0.68</v>
      </c>
    </row>
    <row r="12954" spans="1:4">
      <c r="A12954" t="str">
        <f t="shared" si="213"/>
        <v>2060Profit-Loss Ratio</v>
      </c>
      <c r="B12954">
        <v>2060</v>
      </c>
      <c r="C12954" s="9" t="s">
        <v>26</v>
      </c>
      <c r="D12954" s="8">
        <v>0.3</v>
      </c>
    </row>
    <row r="12955" spans="1:4">
      <c r="A12955" t="str">
        <f t="shared" si="213"/>
        <v>2060Alpha</v>
      </c>
      <c r="B12955">
        <v>2060</v>
      </c>
      <c r="C12955" s="9" t="s">
        <v>23</v>
      </c>
      <c r="D12955" s="8">
        <v>-3.3000000000000002E-2</v>
      </c>
    </row>
    <row r="12956" spans="1:4">
      <c r="A12956" t="str">
        <f t="shared" si="213"/>
        <v>2060Beta</v>
      </c>
      <c r="B12956">
        <v>2060</v>
      </c>
      <c r="C12956" s="9" t="s">
        <v>24</v>
      </c>
      <c r="D12956" s="8">
        <v>-0.13</v>
      </c>
    </row>
    <row r="12957" spans="1:4">
      <c r="A12957" t="str">
        <f t="shared" si="213"/>
        <v>2060Annual Standard Deviation</v>
      </c>
      <c r="B12957">
        <v>2060</v>
      </c>
      <c r="C12957" s="9" t="s">
        <v>35</v>
      </c>
      <c r="D12957" s="8">
        <v>0.04</v>
      </c>
    </row>
    <row r="12958" spans="1:4">
      <c r="A12958" t="str">
        <f t="shared" si="213"/>
        <v>2060Annual Variance</v>
      </c>
      <c r="B12958">
        <v>2060</v>
      </c>
      <c r="C12958" s="9" t="s">
        <v>36</v>
      </c>
      <c r="D12958" s="8">
        <v>2E-3</v>
      </c>
    </row>
    <row r="12959" spans="1:4">
      <c r="A12959" t="str">
        <f t="shared" si="213"/>
        <v>2060Information Ratio</v>
      </c>
      <c r="B12959">
        <v>2060</v>
      </c>
      <c r="C12959" s="9" t="s">
        <v>37</v>
      </c>
      <c r="D12959" s="8">
        <v>-1.0429999999999999</v>
      </c>
    </row>
    <row r="12960" spans="1:4">
      <c r="A12960" t="str">
        <f t="shared" si="213"/>
        <v>2060Tracking Error</v>
      </c>
      <c r="B12960">
        <v>2060</v>
      </c>
      <c r="C12960" s="9" t="s">
        <v>38</v>
      </c>
      <c r="D12960" s="8">
        <v>8.5000000000000006E-2</v>
      </c>
    </row>
    <row r="12961" spans="1:4">
      <c r="A12961" t="str">
        <f t="shared" si="213"/>
        <v>2060Treynor Ratio</v>
      </c>
      <c r="B12961">
        <v>2060</v>
      </c>
      <c r="C12961" s="9" t="s">
        <v>39</v>
      </c>
      <c r="D12961" s="8">
        <v>0.30099999999999999</v>
      </c>
    </row>
    <row r="12962" spans="1:4">
      <c r="A12962" t="str">
        <f t="shared" si="213"/>
        <v>2060Total Fees</v>
      </c>
      <c r="B12962">
        <v>2060</v>
      </c>
      <c r="C12962" s="9" t="s">
        <v>40</v>
      </c>
      <c r="D12962" s="8">
        <v>0</v>
      </c>
    </row>
    <row r="12963" spans="1:4">
      <c r="A12963" t="str">
        <f t="shared" si="213"/>
        <v>2060Estimated Strategy Capacity</v>
      </c>
      <c r="B12963">
        <v>2060</v>
      </c>
      <c r="C12963" s="9" t="s">
        <v>41</v>
      </c>
      <c r="D12963" s="8">
        <v>6800000</v>
      </c>
    </row>
    <row r="12964" spans="1:4">
      <c r="A12964" t="str">
        <f t="shared" si="213"/>
        <v>2061PSR</v>
      </c>
      <c r="B12964">
        <v>2061</v>
      </c>
      <c r="C12964" s="9" t="s">
        <v>27</v>
      </c>
      <c r="D12964" s="8">
        <v>0.14445</v>
      </c>
    </row>
    <row r="12965" spans="1:4">
      <c r="A12965" t="str">
        <f t="shared" si="213"/>
        <v>2061Sharpe Ratio</v>
      </c>
      <c r="B12965">
        <v>2061</v>
      </c>
      <c r="C12965" s="9" t="s">
        <v>1</v>
      </c>
      <c r="D12965" s="8">
        <v>-8.6999999999999994E-2</v>
      </c>
    </row>
    <row r="12966" spans="1:4">
      <c r="A12966" t="str">
        <f t="shared" si="213"/>
        <v>2061Total Trades</v>
      </c>
      <c r="B12966">
        <v>2061</v>
      </c>
      <c r="C12966" s="9" t="s">
        <v>28</v>
      </c>
      <c r="D12966" s="8">
        <v>740</v>
      </c>
    </row>
    <row r="12967" spans="1:4">
      <c r="A12967" t="str">
        <f t="shared" si="213"/>
        <v>2061Average Win</v>
      </c>
      <c r="B12967">
        <v>2061</v>
      </c>
      <c r="C12967" s="9" t="s">
        <v>25</v>
      </c>
      <c r="D12967" s="8">
        <v>4.0000000000000002E-4</v>
      </c>
    </row>
    <row r="12968" spans="1:4">
      <c r="A12968" t="str">
        <f t="shared" si="213"/>
        <v>2061Average Loss</v>
      </c>
      <c r="B12968">
        <v>2061</v>
      </c>
      <c r="C12968" s="9" t="s">
        <v>29</v>
      </c>
      <c r="D12968" s="8">
        <v>-8.0000000000000004E-4</v>
      </c>
    </row>
    <row r="12969" spans="1:4">
      <c r="A12969" t="str">
        <f t="shared" si="213"/>
        <v>2061Compounding Annual Return</v>
      </c>
      <c r="B12969">
        <v>2061</v>
      </c>
      <c r="C12969" s="9" t="s">
        <v>30</v>
      </c>
      <c r="D12969" s="8">
        <v>-1.92E-3</v>
      </c>
    </row>
    <row r="12970" spans="1:4">
      <c r="A12970" t="str">
        <f t="shared" ref="A12970:A13005" si="214">B12970&amp;C12970</f>
        <v>2061Drawdown</v>
      </c>
      <c r="B12970">
        <v>2061</v>
      </c>
      <c r="C12970" s="9" t="s">
        <v>8</v>
      </c>
      <c r="D12970" s="8">
        <v>1.2999999999999999E-2</v>
      </c>
    </row>
    <row r="12971" spans="1:4">
      <c r="A12971" t="str">
        <f t="shared" si="214"/>
        <v>2061Expectancy</v>
      </c>
      <c r="B12971">
        <v>2061</v>
      </c>
      <c r="C12971" s="9" t="s">
        <v>31</v>
      </c>
      <c r="D12971" s="8">
        <v>-0.03</v>
      </c>
    </row>
    <row r="12972" spans="1:4">
      <c r="A12972" t="str">
        <f t="shared" si="214"/>
        <v>2061Net Profit</v>
      </c>
      <c r="B12972">
        <v>2061</v>
      </c>
      <c r="C12972" s="9" t="s">
        <v>32</v>
      </c>
      <c r="D12972" s="8">
        <v>-1.2899999999999999E-3</v>
      </c>
    </row>
    <row r="12973" spans="1:4">
      <c r="A12973" t="str">
        <f t="shared" si="214"/>
        <v>2061Loss Rate</v>
      </c>
      <c r="B12973">
        <v>2061</v>
      </c>
      <c r="C12973" s="9" t="s">
        <v>33</v>
      </c>
      <c r="D12973" s="8">
        <v>0.34</v>
      </c>
    </row>
    <row r="12974" spans="1:4">
      <c r="A12974" t="str">
        <f t="shared" si="214"/>
        <v>2061Win Rate</v>
      </c>
      <c r="B12974">
        <v>2061</v>
      </c>
      <c r="C12974" s="9" t="s">
        <v>34</v>
      </c>
      <c r="D12974" s="8">
        <v>0.66</v>
      </c>
    </row>
    <row r="12975" spans="1:4">
      <c r="A12975" t="str">
        <f t="shared" si="214"/>
        <v>2061Profit-Loss Ratio</v>
      </c>
      <c r="B12975">
        <v>2061</v>
      </c>
      <c r="C12975" s="9" t="s">
        <v>26</v>
      </c>
      <c r="D12975" s="8">
        <v>0.47</v>
      </c>
    </row>
    <row r="12976" spans="1:4">
      <c r="A12976" t="str">
        <f t="shared" si="214"/>
        <v>2061Alpha</v>
      </c>
      <c r="B12976">
        <v>2061</v>
      </c>
      <c r="C12976" s="9" t="s">
        <v>23</v>
      </c>
      <c r="D12976" s="8">
        <v>0</v>
      </c>
    </row>
    <row r="12977" spans="1:4">
      <c r="A12977" t="str">
        <f t="shared" si="214"/>
        <v>2061Beta</v>
      </c>
      <c r="B12977">
        <v>2061</v>
      </c>
      <c r="C12977" s="9" t="s">
        <v>24</v>
      </c>
      <c r="D12977" s="8">
        <v>-3.4000000000000002E-2</v>
      </c>
    </row>
    <row r="12978" spans="1:4">
      <c r="A12978" t="str">
        <f t="shared" si="214"/>
        <v>2061Annual Standard Deviation</v>
      </c>
      <c r="B12978">
        <v>2061</v>
      </c>
      <c r="C12978" s="9" t="s">
        <v>35</v>
      </c>
      <c r="D12978" s="8">
        <v>1.4E-2</v>
      </c>
    </row>
    <row r="12979" spans="1:4">
      <c r="A12979" t="str">
        <f t="shared" si="214"/>
        <v>2061Annual Variance</v>
      </c>
      <c r="B12979">
        <v>2061</v>
      </c>
      <c r="C12979" s="9" t="s">
        <v>36</v>
      </c>
      <c r="D12979" s="8">
        <v>0</v>
      </c>
    </row>
    <row r="12980" spans="1:4">
      <c r="A12980" t="str">
        <f t="shared" si="214"/>
        <v>2061Information Ratio</v>
      </c>
      <c r="B12980">
        <v>2061</v>
      </c>
      <c r="C12980" s="9" t="s">
        <v>37</v>
      </c>
      <c r="D12980" s="8">
        <v>-0.72299999999999998</v>
      </c>
    </row>
    <row r="12981" spans="1:4">
      <c r="A12981" t="str">
        <f t="shared" si="214"/>
        <v>2061Tracking Error</v>
      </c>
      <c r="B12981">
        <v>2061</v>
      </c>
      <c r="C12981" s="9" t="s">
        <v>38</v>
      </c>
      <c r="D12981" s="8">
        <v>7.0999999999999994E-2</v>
      </c>
    </row>
    <row r="12982" spans="1:4">
      <c r="A12982" t="str">
        <f t="shared" si="214"/>
        <v>2061Treynor Ratio</v>
      </c>
      <c r="B12982">
        <v>2061</v>
      </c>
      <c r="C12982" s="9" t="s">
        <v>39</v>
      </c>
      <c r="D12982" s="8">
        <v>3.6999999999999998E-2</v>
      </c>
    </row>
    <row r="12983" spans="1:4">
      <c r="A12983" t="str">
        <f t="shared" si="214"/>
        <v>2061Total Fees</v>
      </c>
      <c r="B12983">
        <v>2061</v>
      </c>
      <c r="C12983" s="9" t="s">
        <v>40</v>
      </c>
      <c r="D12983" s="8">
        <v>0</v>
      </c>
    </row>
    <row r="12984" spans="1:4">
      <c r="A12984" t="str">
        <f t="shared" si="214"/>
        <v>2061Estimated Strategy Capacity</v>
      </c>
      <c r="B12984">
        <v>2061</v>
      </c>
      <c r="C12984" s="9" t="s">
        <v>41</v>
      </c>
      <c r="D12984" s="8">
        <v>350000000</v>
      </c>
    </row>
    <row r="12985" spans="1:4">
      <c r="A12985" t="str">
        <f t="shared" si="214"/>
        <v>2062PSR</v>
      </c>
      <c r="B12985">
        <v>2062</v>
      </c>
      <c r="C12985" s="9" t="s">
        <v>27</v>
      </c>
      <c r="D12985" s="8">
        <v>5.4820000000000001E-2</v>
      </c>
    </row>
    <row r="12986" spans="1:4">
      <c r="A12986" t="str">
        <f t="shared" si="214"/>
        <v>2062Sharpe Ratio</v>
      </c>
      <c r="B12986">
        <v>2062</v>
      </c>
      <c r="C12986" s="9" t="s">
        <v>1</v>
      </c>
      <c r="D12986" s="8">
        <v>-0.65300000000000002</v>
      </c>
    </row>
    <row r="12987" spans="1:4">
      <c r="A12987" t="str">
        <f t="shared" si="214"/>
        <v>2062Total Trades</v>
      </c>
      <c r="B12987">
        <v>2062</v>
      </c>
      <c r="C12987" s="9" t="s">
        <v>28</v>
      </c>
      <c r="D12987" s="8">
        <v>583</v>
      </c>
    </row>
    <row r="12988" spans="1:4">
      <c r="A12988" t="str">
        <f t="shared" si="214"/>
        <v>2062Average Win</v>
      </c>
      <c r="B12988">
        <v>2062</v>
      </c>
      <c r="C12988" s="9" t="s">
        <v>25</v>
      </c>
      <c r="D12988" s="8">
        <v>6.9999999999999999E-4</v>
      </c>
    </row>
    <row r="12989" spans="1:4">
      <c r="A12989" t="str">
        <f t="shared" si="214"/>
        <v>2062Average Loss</v>
      </c>
      <c r="B12989">
        <v>2062</v>
      </c>
      <c r="C12989" s="9" t="s">
        <v>29</v>
      </c>
      <c r="D12989" s="8">
        <v>-2.3999999999999998E-3</v>
      </c>
    </row>
    <row r="12990" spans="1:4">
      <c r="A12990" t="str">
        <f t="shared" si="214"/>
        <v>2062Compounding Annual Return</v>
      </c>
      <c r="B12990">
        <v>2062</v>
      </c>
      <c r="C12990" s="9" t="s">
        <v>30</v>
      </c>
      <c r="D12990" s="8">
        <v>-3.5209999999999998E-2</v>
      </c>
    </row>
    <row r="12991" spans="1:4">
      <c r="A12991" t="str">
        <f t="shared" si="214"/>
        <v>2062Drawdown</v>
      </c>
      <c r="B12991">
        <v>2062</v>
      </c>
      <c r="C12991" s="9" t="s">
        <v>8</v>
      </c>
      <c r="D12991" s="8">
        <v>3.7999999999999999E-2</v>
      </c>
    </row>
    <row r="12992" spans="1:4">
      <c r="A12992" t="str">
        <f t="shared" si="214"/>
        <v>2062Expectancy</v>
      </c>
      <c r="B12992">
        <v>2062</v>
      </c>
      <c r="C12992" s="9" t="s">
        <v>31</v>
      </c>
      <c r="D12992" s="8">
        <v>-0.17899999999999999</v>
      </c>
    </row>
    <row r="12993" spans="1:4">
      <c r="A12993" t="str">
        <f t="shared" si="214"/>
        <v>2062Net Profit</v>
      </c>
      <c r="B12993">
        <v>2062</v>
      </c>
      <c r="C12993" s="9" t="s">
        <v>32</v>
      </c>
      <c r="D12993" s="8">
        <v>-2.3769999999999999E-2</v>
      </c>
    </row>
    <row r="12994" spans="1:4">
      <c r="A12994" t="str">
        <f t="shared" si="214"/>
        <v>2062Loss Rate</v>
      </c>
      <c r="B12994">
        <v>2062</v>
      </c>
      <c r="C12994" s="9" t="s">
        <v>33</v>
      </c>
      <c r="D12994" s="8">
        <v>0.37</v>
      </c>
    </row>
    <row r="12995" spans="1:4">
      <c r="A12995" t="str">
        <f t="shared" si="214"/>
        <v>2062Win Rate</v>
      </c>
      <c r="B12995">
        <v>2062</v>
      </c>
      <c r="C12995" s="9" t="s">
        <v>34</v>
      </c>
      <c r="D12995" s="8">
        <v>0.63</v>
      </c>
    </row>
    <row r="12996" spans="1:4">
      <c r="A12996" t="str">
        <f t="shared" si="214"/>
        <v>2062Profit-Loss Ratio</v>
      </c>
      <c r="B12996">
        <v>2062</v>
      </c>
      <c r="C12996" s="9" t="s">
        <v>26</v>
      </c>
      <c r="D12996" s="8">
        <v>0.3</v>
      </c>
    </row>
    <row r="12997" spans="1:4">
      <c r="A12997" t="str">
        <f t="shared" si="214"/>
        <v>2062Alpha</v>
      </c>
      <c r="B12997">
        <v>2062</v>
      </c>
      <c r="C12997" s="9" t="s">
        <v>23</v>
      </c>
      <c r="D12997" s="8">
        <v>-2.1000000000000001E-2</v>
      </c>
    </row>
    <row r="12998" spans="1:4">
      <c r="A12998" t="str">
        <f t="shared" si="214"/>
        <v>2062Beta</v>
      </c>
      <c r="B12998">
        <v>2062</v>
      </c>
      <c r="C12998" s="9" t="s">
        <v>24</v>
      </c>
      <c r="D12998" s="8">
        <v>-6.5000000000000002E-2</v>
      </c>
    </row>
    <row r="12999" spans="1:4">
      <c r="A12999" t="str">
        <f t="shared" si="214"/>
        <v>2062Annual Standard Deviation</v>
      </c>
      <c r="B12999">
        <v>2062</v>
      </c>
      <c r="C12999" s="9" t="s">
        <v>35</v>
      </c>
      <c r="D12999" s="8">
        <v>3.6999999999999998E-2</v>
      </c>
    </row>
    <row r="13000" spans="1:4">
      <c r="A13000" t="str">
        <f t="shared" si="214"/>
        <v>2062Annual Variance</v>
      </c>
      <c r="B13000">
        <v>2062</v>
      </c>
      <c r="C13000" s="9" t="s">
        <v>36</v>
      </c>
      <c r="D13000" s="8">
        <v>1E-3</v>
      </c>
    </row>
    <row r="13001" spans="1:4">
      <c r="A13001" t="str">
        <f t="shared" si="214"/>
        <v>2062Information Ratio</v>
      </c>
      <c r="B13001">
        <v>2062</v>
      </c>
      <c r="C13001" s="9" t="s">
        <v>37</v>
      </c>
      <c r="D13001" s="8">
        <v>-0.92100000000000004</v>
      </c>
    </row>
    <row r="13002" spans="1:4">
      <c r="A13002" t="str">
        <f t="shared" si="214"/>
        <v>2062Tracking Error</v>
      </c>
      <c r="B13002">
        <v>2062</v>
      </c>
      <c r="C13002" s="9" t="s">
        <v>38</v>
      </c>
      <c r="D13002" s="8">
        <v>0.08</v>
      </c>
    </row>
    <row r="13003" spans="1:4">
      <c r="A13003" t="str">
        <f t="shared" si="214"/>
        <v>2062Treynor Ratio</v>
      </c>
      <c r="B13003">
        <v>2062</v>
      </c>
      <c r="C13003" s="9" t="s">
        <v>39</v>
      </c>
      <c r="D13003" s="8">
        <v>0.37</v>
      </c>
    </row>
    <row r="13004" spans="1:4">
      <c r="A13004" t="str">
        <f t="shared" si="214"/>
        <v>2062Total Fees</v>
      </c>
      <c r="B13004">
        <v>2062</v>
      </c>
      <c r="C13004" s="9" t="s">
        <v>40</v>
      </c>
      <c r="D13004" s="8">
        <v>0</v>
      </c>
    </row>
    <row r="13005" spans="1:4">
      <c r="A13005" t="str">
        <f>B13005&amp;C13005</f>
        <v>2062Estimated Strategy Capacity</v>
      </c>
      <c r="B13005">
        <v>2062</v>
      </c>
      <c r="C13005" s="9" t="s">
        <v>41</v>
      </c>
      <c r="D13005" s="8">
        <v>35000000</v>
      </c>
    </row>
    <row r="13006" spans="1:4">
      <c r="A13006" t="str">
        <f t="shared" ref="A13006:A13069" si="215">B13006&amp;C13006</f>
        <v>2063PSR</v>
      </c>
      <c r="B13006">
        <v>2063</v>
      </c>
      <c r="C13006" s="9" t="s">
        <v>27</v>
      </c>
      <c r="D13006" s="8">
        <v>7.6749999999999999E-2</v>
      </c>
    </row>
    <row r="13007" spans="1:4">
      <c r="A13007" t="str">
        <f t="shared" si="215"/>
        <v>2063Sharpe Ratio</v>
      </c>
      <c r="B13007">
        <v>2063</v>
      </c>
      <c r="C13007" s="9" t="s">
        <v>1</v>
      </c>
      <c r="D13007" s="8">
        <v>-0.46100000000000002</v>
      </c>
    </row>
    <row r="13008" spans="1:4">
      <c r="A13008" t="str">
        <f t="shared" si="215"/>
        <v>2063Total Trades</v>
      </c>
      <c r="B13008">
        <v>2063</v>
      </c>
      <c r="C13008" s="9" t="s">
        <v>28</v>
      </c>
      <c r="D13008" s="8">
        <v>455</v>
      </c>
    </row>
    <row r="13009" spans="1:4">
      <c r="A13009" t="str">
        <f t="shared" si="215"/>
        <v>2063Average Win</v>
      </c>
      <c r="B13009">
        <v>2063</v>
      </c>
      <c r="C13009" s="9" t="s">
        <v>25</v>
      </c>
      <c r="D13009" s="8">
        <v>1.5E-3</v>
      </c>
    </row>
    <row r="13010" spans="1:4">
      <c r="A13010" t="str">
        <f t="shared" si="215"/>
        <v>2063Average Loss</v>
      </c>
      <c r="B13010">
        <v>2063</v>
      </c>
      <c r="C13010" s="9" t="s">
        <v>29</v>
      </c>
      <c r="D13010" s="8">
        <v>-4.0000000000000001E-3</v>
      </c>
    </row>
    <row r="13011" spans="1:4">
      <c r="A13011" t="str">
        <f t="shared" si="215"/>
        <v>2063Compounding Annual Return</v>
      </c>
      <c r="B13011">
        <v>2063</v>
      </c>
      <c r="C13011" s="9" t="s">
        <v>30</v>
      </c>
      <c r="D13011" s="8">
        <v>-3.0290000000000001E-2</v>
      </c>
    </row>
    <row r="13012" spans="1:4">
      <c r="A13012" t="str">
        <f t="shared" si="215"/>
        <v>2063Drawdown</v>
      </c>
      <c r="B13012">
        <v>2063</v>
      </c>
      <c r="C13012" s="9" t="s">
        <v>8</v>
      </c>
      <c r="D13012" s="8">
        <v>4.8000000000000001E-2</v>
      </c>
    </row>
    <row r="13013" spans="1:4">
      <c r="A13013" t="str">
        <f t="shared" si="215"/>
        <v>2063Expectancy</v>
      </c>
      <c r="B13013">
        <v>2063</v>
      </c>
      <c r="C13013" s="9" t="s">
        <v>31</v>
      </c>
      <c r="D13013" s="8">
        <v>-0.104</v>
      </c>
    </row>
    <row r="13014" spans="1:4">
      <c r="A13014" t="str">
        <f t="shared" si="215"/>
        <v>2063Net Profit</v>
      </c>
      <c r="B13014">
        <v>2063</v>
      </c>
      <c r="C13014" s="9" t="s">
        <v>32</v>
      </c>
      <c r="D13014" s="8">
        <v>-2.043E-2</v>
      </c>
    </row>
    <row r="13015" spans="1:4">
      <c r="A13015" t="str">
        <f t="shared" si="215"/>
        <v>2063Loss Rate</v>
      </c>
      <c r="B13015">
        <v>2063</v>
      </c>
      <c r="C13015" s="9" t="s">
        <v>33</v>
      </c>
      <c r="D13015" s="8">
        <v>0.35</v>
      </c>
    </row>
    <row r="13016" spans="1:4">
      <c r="A13016" t="str">
        <f t="shared" si="215"/>
        <v>2063Win Rate</v>
      </c>
      <c r="B13016">
        <v>2063</v>
      </c>
      <c r="C13016" s="9" t="s">
        <v>34</v>
      </c>
      <c r="D13016" s="8">
        <v>0.65</v>
      </c>
    </row>
    <row r="13017" spans="1:4">
      <c r="A13017" t="str">
        <f t="shared" si="215"/>
        <v>2063Profit-Loss Ratio</v>
      </c>
      <c r="B13017">
        <v>2063</v>
      </c>
      <c r="C13017" s="9" t="s">
        <v>26</v>
      </c>
      <c r="D13017" s="8">
        <v>0.37</v>
      </c>
    </row>
    <row r="13018" spans="1:4">
      <c r="A13018" t="str">
        <f t="shared" si="215"/>
        <v>2063Alpha</v>
      </c>
      <c r="B13018">
        <v>2063</v>
      </c>
      <c r="C13018" s="9" t="s">
        <v>23</v>
      </c>
      <c r="D13018" s="8">
        <v>-1.6E-2</v>
      </c>
    </row>
    <row r="13019" spans="1:4">
      <c r="A13019" t="str">
        <f t="shared" si="215"/>
        <v>2063Beta</v>
      </c>
      <c r="B13019">
        <v>2063</v>
      </c>
      <c r="C13019" s="9" t="s">
        <v>24</v>
      </c>
      <c r="D13019" s="8">
        <v>-8.1000000000000003E-2</v>
      </c>
    </row>
    <row r="13020" spans="1:4">
      <c r="A13020" t="str">
        <f t="shared" si="215"/>
        <v>2063Annual Standard Deviation</v>
      </c>
      <c r="B13020">
        <v>2063</v>
      </c>
      <c r="C13020" s="9" t="s">
        <v>35</v>
      </c>
      <c r="D13020" s="8">
        <v>4.3999999999999997E-2</v>
      </c>
    </row>
    <row r="13021" spans="1:4">
      <c r="A13021" t="str">
        <f t="shared" si="215"/>
        <v>2063Annual Variance</v>
      </c>
      <c r="B13021">
        <v>2063</v>
      </c>
      <c r="C13021" s="9" t="s">
        <v>36</v>
      </c>
      <c r="D13021" s="8">
        <v>2E-3</v>
      </c>
    </row>
    <row r="13022" spans="1:4">
      <c r="A13022" t="str">
        <f t="shared" si="215"/>
        <v>2063Information Ratio</v>
      </c>
      <c r="B13022">
        <v>2063</v>
      </c>
      <c r="C13022" s="9" t="s">
        <v>37</v>
      </c>
      <c r="D13022" s="8">
        <v>-0.82899999999999996</v>
      </c>
    </row>
    <row r="13023" spans="1:4">
      <c r="A13023" t="str">
        <f t="shared" si="215"/>
        <v>2063Tracking Error</v>
      </c>
      <c r="B13023">
        <v>2063</v>
      </c>
      <c r="C13023" s="9" t="s">
        <v>38</v>
      </c>
      <c r="D13023" s="8">
        <v>8.4000000000000005E-2</v>
      </c>
    </row>
    <row r="13024" spans="1:4">
      <c r="A13024" t="str">
        <f t="shared" si="215"/>
        <v>2063Treynor Ratio</v>
      </c>
      <c r="B13024">
        <v>2063</v>
      </c>
      <c r="C13024" s="9" t="s">
        <v>39</v>
      </c>
      <c r="D13024" s="8">
        <v>0.249</v>
      </c>
    </row>
    <row r="13025" spans="1:4">
      <c r="A13025" t="str">
        <f t="shared" si="215"/>
        <v>2063Total Fees</v>
      </c>
      <c r="B13025">
        <v>2063</v>
      </c>
      <c r="C13025" s="9" t="s">
        <v>40</v>
      </c>
      <c r="D13025" s="8">
        <v>0</v>
      </c>
    </row>
    <row r="13026" spans="1:4">
      <c r="A13026" t="str">
        <f t="shared" si="215"/>
        <v>2063Estimated Strategy Capacity</v>
      </c>
      <c r="B13026">
        <v>2063</v>
      </c>
      <c r="C13026" s="9" t="s">
        <v>41</v>
      </c>
      <c r="D13026" s="8">
        <v>11000000</v>
      </c>
    </row>
    <row r="13027" spans="1:4">
      <c r="A13027" t="str">
        <f t="shared" si="215"/>
        <v>2043.1PSR</v>
      </c>
      <c r="B13027">
        <v>2043.1</v>
      </c>
      <c r="C13027" s="9" t="s">
        <v>27</v>
      </c>
      <c r="D13027" s="8">
        <v>0.64178999999999997</v>
      </c>
    </row>
    <row r="13028" spans="1:4">
      <c r="A13028" t="str">
        <f t="shared" si="215"/>
        <v>2043.1Sharpe Ratio</v>
      </c>
      <c r="B13028">
        <v>2043.1</v>
      </c>
      <c r="C13028" s="9" t="s">
        <v>1</v>
      </c>
      <c r="D13028" s="8">
        <v>1.359</v>
      </c>
    </row>
    <row r="13029" spans="1:4">
      <c r="A13029" t="str">
        <f t="shared" si="215"/>
        <v>2043.1Total Trades</v>
      </c>
      <c r="B13029">
        <v>2043.1</v>
      </c>
      <c r="C13029" s="9" t="s">
        <v>28</v>
      </c>
      <c r="D13029" s="8">
        <v>872</v>
      </c>
    </row>
    <row r="13030" spans="1:4">
      <c r="A13030" t="str">
        <f t="shared" si="215"/>
        <v>2043.1Average Win</v>
      </c>
      <c r="B13030">
        <v>2043.1</v>
      </c>
      <c r="C13030" s="9" t="s">
        <v>25</v>
      </c>
      <c r="D13030" s="8">
        <v>2.9999999999999997E-4</v>
      </c>
    </row>
    <row r="13031" spans="1:4">
      <c r="A13031" t="str">
        <f t="shared" si="215"/>
        <v>2043.1Average Loss</v>
      </c>
      <c r="B13031">
        <v>2043.1</v>
      </c>
      <c r="C13031" s="9" t="s">
        <v>29</v>
      </c>
      <c r="D13031" s="8">
        <v>-4.0000000000000002E-4</v>
      </c>
    </row>
    <row r="13032" spans="1:4">
      <c r="A13032" t="str">
        <f t="shared" si="215"/>
        <v>2043.1Compounding Annual Return</v>
      </c>
      <c r="B13032">
        <v>2043.1</v>
      </c>
      <c r="C13032" s="9" t="s">
        <v>30</v>
      </c>
      <c r="D13032" s="8">
        <v>1.924E-2</v>
      </c>
    </row>
    <row r="13033" spans="1:4">
      <c r="A13033" t="str">
        <f t="shared" si="215"/>
        <v>2043.1Drawdown</v>
      </c>
      <c r="B13033">
        <v>2043.1</v>
      </c>
      <c r="C13033" s="9" t="s">
        <v>8</v>
      </c>
      <c r="D13033" s="8">
        <v>5.0000000000000001E-3</v>
      </c>
    </row>
    <row r="13034" spans="1:4">
      <c r="A13034" t="str">
        <f t="shared" si="215"/>
        <v>2043.1Expectancy</v>
      </c>
      <c r="B13034">
        <v>2043.1</v>
      </c>
      <c r="C13034" s="9" t="s">
        <v>31</v>
      </c>
      <c r="D13034" s="8">
        <v>0.32300000000000001</v>
      </c>
    </row>
    <row r="13035" spans="1:4">
      <c r="A13035" t="str">
        <f t="shared" si="215"/>
        <v>2043.1Net Profit</v>
      </c>
      <c r="B13035">
        <v>2043.1</v>
      </c>
      <c r="C13035" s="9" t="s">
        <v>32</v>
      </c>
      <c r="D13035" s="8">
        <v>1.2869999999999999E-2</v>
      </c>
    </row>
    <row r="13036" spans="1:4">
      <c r="A13036" t="str">
        <f t="shared" si="215"/>
        <v>2043.1Loss Rate</v>
      </c>
      <c r="B13036">
        <v>2043.1</v>
      </c>
      <c r="C13036" s="9" t="s">
        <v>33</v>
      </c>
      <c r="D13036" s="8">
        <v>0.25</v>
      </c>
    </row>
    <row r="13037" spans="1:4">
      <c r="A13037" t="str">
        <f t="shared" si="215"/>
        <v>2043.1Win Rate</v>
      </c>
      <c r="B13037">
        <v>2043.1</v>
      </c>
      <c r="C13037" s="9" t="s">
        <v>34</v>
      </c>
      <c r="D13037" s="8">
        <v>0.75</v>
      </c>
    </row>
    <row r="13038" spans="1:4">
      <c r="A13038" t="str">
        <f t="shared" si="215"/>
        <v>2043.1Profit-Loss Ratio</v>
      </c>
      <c r="B13038">
        <v>2043.1</v>
      </c>
      <c r="C13038" s="9" t="s">
        <v>26</v>
      </c>
      <c r="D13038" s="8">
        <v>0.76</v>
      </c>
    </row>
    <row r="13039" spans="1:4">
      <c r="A13039" t="str">
        <f t="shared" si="215"/>
        <v>2043.1Alpha</v>
      </c>
      <c r="B13039">
        <v>2043.1</v>
      </c>
      <c r="C13039" s="9" t="s">
        <v>23</v>
      </c>
      <c r="D13039" s="8">
        <v>1.4E-2</v>
      </c>
    </row>
    <row r="13040" spans="1:4">
      <c r="A13040" t="str">
        <f t="shared" si="215"/>
        <v>2043.1Beta</v>
      </c>
      <c r="B13040">
        <v>2043.1</v>
      </c>
      <c r="C13040" s="9" t="s">
        <v>24</v>
      </c>
      <c r="D13040" s="8">
        <v>-1.2E-2</v>
      </c>
    </row>
    <row r="13041" spans="1:4">
      <c r="A13041" t="str">
        <f t="shared" si="215"/>
        <v>2043.1Annual Standard Deviation</v>
      </c>
      <c r="B13041">
        <v>2043.1</v>
      </c>
      <c r="C13041" s="9" t="s">
        <v>35</v>
      </c>
      <c r="D13041" s="8">
        <v>0.01</v>
      </c>
    </row>
    <row r="13042" spans="1:4">
      <c r="A13042" t="str">
        <f t="shared" si="215"/>
        <v>2043.1Annual Variance</v>
      </c>
      <c r="B13042">
        <v>2043.1</v>
      </c>
      <c r="C13042" s="9" t="s">
        <v>36</v>
      </c>
      <c r="D13042" s="8">
        <v>0</v>
      </c>
    </row>
    <row r="13043" spans="1:4">
      <c r="A13043" t="str">
        <f t="shared" si="215"/>
        <v>2043.1Information Ratio</v>
      </c>
      <c r="B13043">
        <v>2043.1</v>
      </c>
      <c r="C13043" s="9" t="s">
        <v>37</v>
      </c>
      <c r="D13043" s="8">
        <v>-0.53300000000000003</v>
      </c>
    </row>
    <row r="13044" spans="1:4">
      <c r="A13044" t="str">
        <f t="shared" si="215"/>
        <v>2043.1Tracking Error</v>
      </c>
      <c r="B13044">
        <v>2043.1</v>
      </c>
      <c r="C13044" s="9" t="s">
        <v>38</v>
      </c>
      <c r="D13044" s="8">
        <v>6.9000000000000006E-2</v>
      </c>
    </row>
    <row r="13045" spans="1:4">
      <c r="A13045" t="str">
        <f t="shared" si="215"/>
        <v>2043.1Treynor Ratio</v>
      </c>
      <c r="B13045">
        <v>2043.1</v>
      </c>
      <c r="C13045" s="9" t="s">
        <v>39</v>
      </c>
      <c r="D13045" s="8">
        <v>-1.1140000000000001</v>
      </c>
    </row>
    <row r="13046" spans="1:4">
      <c r="A13046" t="str">
        <f t="shared" si="215"/>
        <v>2043.1Total Fees</v>
      </c>
      <c r="B13046">
        <v>2043.1</v>
      </c>
      <c r="C13046" s="9" t="s">
        <v>40</v>
      </c>
      <c r="D13046" s="8">
        <v>0</v>
      </c>
    </row>
    <row r="13047" spans="1:4">
      <c r="A13047" t="str">
        <f t="shared" si="215"/>
        <v>2043.1Estimated Strategy Capacity</v>
      </c>
      <c r="B13047">
        <v>2043.1</v>
      </c>
      <c r="C13047" s="9" t="s">
        <v>41</v>
      </c>
      <c r="D13047" s="8">
        <v>17000000000</v>
      </c>
    </row>
    <row r="13048" spans="1:4">
      <c r="A13048" t="str">
        <f t="shared" si="215"/>
        <v>871.1PSR</v>
      </c>
      <c r="B13048">
        <v>871.1</v>
      </c>
      <c r="C13048" s="19" t="s">
        <v>27</v>
      </c>
      <c r="D13048" s="8">
        <v>0.64078000000000002</v>
      </c>
    </row>
    <row r="13049" spans="1:4">
      <c r="A13049" t="str">
        <f t="shared" si="215"/>
        <v>871.1Sharpe Ratio</v>
      </c>
      <c r="B13049">
        <v>871.1</v>
      </c>
      <c r="C13049" s="19" t="s">
        <v>1</v>
      </c>
      <c r="D13049" s="8">
        <v>1.3560000000000001</v>
      </c>
    </row>
    <row r="13050" spans="1:4">
      <c r="A13050" t="str">
        <f t="shared" si="215"/>
        <v>871.1Total Trades</v>
      </c>
      <c r="B13050">
        <v>871.1</v>
      </c>
      <c r="C13050" s="19" t="s">
        <v>28</v>
      </c>
      <c r="D13050" s="8">
        <v>883</v>
      </c>
    </row>
    <row r="13051" spans="1:4">
      <c r="A13051" t="str">
        <f t="shared" si="215"/>
        <v>871.1Average Win</v>
      </c>
      <c r="B13051">
        <v>871.1</v>
      </c>
      <c r="C13051" s="19" t="s">
        <v>25</v>
      </c>
      <c r="D13051" s="8">
        <v>2.9999999999999997E-4</v>
      </c>
    </row>
    <row r="13052" spans="1:4">
      <c r="A13052" t="str">
        <f t="shared" si="215"/>
        <v>871.1Average Loss</v>
      </c>
      <c r="B13052">
        <v>871.1</v>
      </c>
      <c r="C13052" s="19" t="s">
        <v>29</v>
      </c>
      <c r="D13052" s="8">
        <v>-4.0000000000000002E-4</v>
      </c>
    </row>
    <row r="13053" spans="1:4">
      <c r="A13053" t="str">
        <f t="shared" si="215"/>
        <v>871.1Compounding Annual Return</v>
      </c>
      <c r="B13053">
        <v>871.1</v>
      </c>
      <c r="C13053" s="19" t="s">
        <v>30</v>
      </c>
      <c r="D13053" s="8">
        <v>1.915E-2</v>
      </c>
    </row>
    <row r="13054" spans="1:4">
      <c r="A13054" t="str">
        <f t="shared" si="215"/>
        <v>871.1Drawdown</v>
      </c>
      <c r="B13054">
        <v>871.1</v>
      </c>
      <c r="C13054" s="19" t="s">
        <v>8</v>
      </c>
      <c r="D13054" s="8">
        <v>5.0000000000000001E-3</v>
      </c>
    </row>
    <row r="13055" spans="1:4">
      <c r="A13055" t="str">
        <f t="shared" si="215"/>
        <v>871.1Expectancy</v>
      </c>
      <c r="B13055">
        <v>871.1</v>
      </c>
      <c r="C13055" s="19" t="s">
        <v>31</v>
      </c>
      <c r="D13055" s="8">
        <v>0.32300000000000001</v>
      </c>
    </row>
    <row r="13056" spans="1:4">
      <c r="A13056" t="str">
        <f t="shared" si="215"/>
        <v>871.1Net Profit</v>
      </c>
      <c r="B13056">
        <v>871.1</v>
      </c>
      <c r="C13056" s="19" t="s">
        <v>32</v>
      </c>
      <c r="D13056" s="8">
        <v>1.2869999999999999E-2</v>
      </c>
    </row>
    <row r="13057" spans="1:4">
      <c r="A13057" t="str">
        <f t="shared" si="215"/>
        <v>871.1Loss Rate</v>
      </c>
      <c r="B13057">
        <v>871.1</v>
      </c>
      <c r="C13057" s="19" t="s">
        <v>33</v>
      </c>
      <c r="D13057" s="8">
        <v>0.25</v>
      </c>
    </row>
    <row r="13058" spans="1:4">
      <c r="A13058" t="str">
        <f t="shared" si="215"/>
        <v>871.1Win Rate</v>
      </c>
      <c r="B13058">
        <v>871.1</v>
      </c>
      <c r="C13058" s="19" t="s">
        <v>34</v>
      </c>
      <c r="D13058" s="8">
        <v>0.75</v>
      </c>
    </row>
    <row r="13059" spans="1:4">
      <c r="A13059" t="str">
        <f t="shared" si="215"/>
        <v>871.1Profit-Loss Ratio</v>
      </c>
      <c r="B13059">
        <v>871.1</v>
      </c>
      <c r="C13059" s="19" t="s">
        <v>26</v>
      </c>
      <c r="D13059" s="8">
        <v>0.76</v>
      </c>
    </row>
    <row r="13060" spans="1:4">
      <c r="A13060" t="str">
        <f t="shared" si="215"/>
        <v>871.1Alpha</v>
      </c>
      <c r="B13060">
        <v>871.1</v>
      </c>
      <c r="C13060" s="19" t="s">
        <v>23</v>
      </c>
      <c r="D13060" s="8">
        <v>1.4E-2</v>
      </c>
    </row>
    <row r="13061" spans="1:4">
      <c r="A13061" t="str">
        <f t="shared" si="215"/>
        <v>871.1Beta</v>
      </c>
      <c r="B13061">
        <v>871.1</v>
      </c>
      <c r="C13061" s="19" t="s">
        <v>24</v>
      </c>
      <c r="D13061" s="8">
        <v>-1.0999999999999999E-2</v>
      </c>
    </row>
    <row r="13062" spans="1:4">
      <c r="A13062" t="str">
        <f t="shared" si="215"/>
        <v>871.1Annual Standard Deviation</v>
      </c>
      <c r="B13062">
        <v>871.1</v>
      </c>
      <c r="C13062" s="19" t="s">
        <v>35</v>
      </c>
      <c r="D13062" s="8">
        <v>0.01</v>
      </c>
    </row>
    <row r="13063" spans="1:4">
      <c r="A13063" t="str">
        <f t="shared" si="215"/>
        <v>871.1Annual Variance</v>
      </c>
      <c r="B13063">
        <v>871.1</v>
      </c>
      <c r="C13063" s="19" t="s">
        <v>36</v>
      </c>
      <c r="D13063" s="8">
        <v>0</v>
      </c>
    </row>
    <row r="13064" spans="1:4">
      <c r="A13064" t="str">
        <f t="shared" si="215"/>
        <v>871.1Information Ratio</v>
      </c>
      <c r="B13064">
        <v>871.1</v>
      </c>
      <c r="C13064" s="19" t="s">
        <v>37</v>
      </c>
      <c r="D13064" s="8">
        <v>-0.44</v>
      </c>
    </row>
    <row r="13065" spans="1:4">
      <c r="A13065" t="str">
        <f t="shared" si="215"/>
        <v>871.1Tracking Error</v>
      </c>
      <c r="B13065">
        <v>871.1</v>
      </c>
      <c r="C13065" s="19" t="s">
        <v>38</v>
      </c>
      <c r="D13065" s="8">
        <v>6.8000000000000005E-2</v>
      </c>
    </row>
    <row r="13066" spans="1:4">
      <c r="A13066" t="str">
        <f t="shared" si="215"/>
        <v>871.1Treynor Ratio</v>
      </c>
      <c r="B13066">
        <v>871.1</v>
      </c>
      <c r="C13066" s="19" t="s">
        <v>39</v>
      </c>
      <c r="D13066" s="8">
        <v>-1.1890000000000001</v>
      </c>
    </row>
    <row r="13067" spans="1:4">
      <c r="A13067" t="str">
        <f t="shared" si="215"/>
        <v>871.1Total Fees</v>
      </c>
      <c r="B13067">
        <v>871.1</v>
      </c>
      <c r="C13067" s="19" t="s">
        <v>40</v>
      </c>
      <c r="D13067" s="8">
        <v>0</v>
      </c>
    </row>
    <row r="13068" spans="1:4">
      <c r="A13068" t="str">
        <f t="shared" si="215"/>
        <v>871.1Estimated Strategy Capacity</v>
      </c>
      <c r="B13068">
        <v>871.1</v>
      </c>
      <c r="C13068" s="19" t="s">
        <v>41</v>
      </c>
      <c r="D13068" s="8">
        <v>380000000</v>
      </c>
    </row>
    <row r="13069" spans="1:4">
      <c r="A13069" t="str">
        <f t="shared" si="215"/>
        <v>815.1PSR</v>
      </c>
      <c r="B13069">
        <v>815.1</v>
      </c>
      <c r="C13069" s="19" t="s">
        <v>27</v>
      </c>
      <c r="D13069" s="8">
        <v>0.6502</v>
      </c>
    </row>
    <row r="13070" spans="1:4">
      <c r="A13070" t="str">
        <f t="shared" ref="A13070:A13088" si="216">B13070&amp;C13070</f>
        <v>815.1Sharpe Ratio</v>
      </c>
      <c r="B13070">
        <v>815.1</v>
      </c>
      <c r="C13070" s="19" t="s">
        <v>1</v>
      </c>
      <c r="D13070" s="8">
        <v>1.4079999999999999</v>
      </c>
    </row>
    <row r="13071" spans="1:4">
      <c r="A13071" t="str">
        <f t="shared" si="216"/>
        <v>815.1Total Trades</v>
      </c>
      <c r="B13071">
        <v>815.1</v>
      </c>
      <c r="C13071" s="19" t="s">
        <v>28</v>
      </c>
      <c r="D13071" s="8">
        <v>693</v>
      </c>
    </row>
    <row r="13072" spans="1:4">
      <c r="A13072" t="str">
        <f t="shared" si="216"/>
        <v>815.1Average Win</v>
      </c>
      <c r="B13072">
        <v>815.1</v>
      </c>
      <c r="C13072" s="19" t="s">
        <v>25</v>
      </c>
      <c r="D13072" s="8">
        <v>1.6999999999999999E-3</v>
      </c>
    </row>
    <row r="13073" spans="1:4">
      <c r="A13073" t="str">
        <f t="shared" si="216"/>
        <v>815.1Average Loss</v>
      </c>
      <c r="B13073">
        <v>815.1</v>
      </c>
      <c r="C13073" s="19" t="s">
        <v>29</v>
      </c>
      <c r="D13073" s="8">
        <v>-2.0999999999999999E-3</v>
      </c>
    </row>
    <row r="13074" spans="1:4">
      <c r="A13074" t="str">
        <f t="shared" si="216"/>
        <v>815.1Compounding Annual Return</v>
      </c>
      <c r="B13074">
        <v>815.1</v>
      </c>
      <c r="C13074" s="19" t="s">
        <v>30</v>
      </c>
      <c r="D13074" s="8">
        <v>5.8819999999999997E-2</v>
      </c>
    </row>
    <row r="13075" spans="1:4">
      <c r="A13075" t="str">
        <f t="shared" si="216"/>
        <v>815.1Drawdown</v>
      </c>
      <c r="B13075">
        <v>815.1</v>
      </c>
      <c r="C13075" s="19" t="s">
        <v>8</v>
      </c>
      <c r="D13075" s="8">
        <v>1.7000000000000001E-2</v>
      </c>
    </row>
    <row r="13076" spans="1:4">
      <c r="A13076" t="str">
        <f t="shared" si="216"/>
        <v>815.1Expectancy</v>
      </c>
      <c r="B13076">
        <v>815.1</v>
      </c>
      <c r="C13076" s="19" t="s">
        <v>31</v>
      </c>
      <c r="D13076" s="8">
        <v>0.26700000000000002</v>
      </c>
    </row>
    <row r="13077" spans="1:4">
      <c r="A13077" t="str">
        <f t="shared" si="216"/>
        <v>815.1Net Profit</v>
      </c>
      <c r="B13077">
        <v>815.1</v>
      </c>
      <c r="C13077" s="19" t="s">
        <v>32</v>
      </c>
      <c r="D13077" s="8">
        <v>3.9260000000000003E-2</v>
      </c>
    </row>
    <row r="13078" spans="1:4">
      <c r="A13078" t="str">
        <f t="shared" si="216"/>
        <v>815.1Loss Rate</v>
      </c>
      <c r="B13078">
        <v>815.1</v>
      </c>
      <c r="C13078" s="19" t="s">
        <v>33</v>
      </c>
      <c r="D13078" s="8">
        <v>0.31</v>
      </c>
    </row>
    <row r="13079" spans="1:4">
      <c r="A13079" t="str">
        <f t="shared" si="216"/>
        <v>815.1Win Rate</v>
      </c>
      <c r="B13079">
        <v>815.1</v>
      </c>
      <c r="C13079" s="19" t="s">
        <v>34</v>
      </c>
      <c r="D13079" s="8">
        <v>0.69</v>
      </c>
    </row>
    <row r="13080" spans="1:4">
      <c r="A13080" t="str">
        <f t="shared" si="216"/>
        <v>815.1Profit-Loss Ratio</v>
      </c>
      <c r="B13080">
        <v>815.1</v>
      </c>
      <c r="C13080" s="19" t="s">
        <v>26</v>
      </c>
      <c r="D13080" s="8">
        <v>0.82</v>
      </c>
    </row>
    <row r="13081" spans="1:4">
      <c r="A13081" t="str">
        <f t="shared" si="216"/>
        <v>815.1Alpha</v>
      </c>
      <c r="B13081">
        <v>815.1</v>
      </c>
      <c r="C13081" s="19" t="s">
        <v>23</v>
      </c>
      <c r="D13081" s="8">
        <v>3.7999999999999999E-2</v>
      </c>
    </row>
    <row r="13082" spans="1:4">
      <c r="A13082" t="str">
        <f t="shared" si="216"/>
        <v>815.1Beta</v>
      </c>
      <c r="B13082">
        <v>815.1</v>
      </c>
      <c r="C13082" s="19" t="s">
        <v>24</v>
      </c>
      <c r="D13082" s="8">
        <v>5.6000000000000001E-2</v>
      </c>
    </row>
    <row r="13083" spans="1:4">
      <c r="A13083" t="str">
        <f t="shared" si="216"/>
        <v>815.1Annual Standard Deviation</v>
      </c>
      <c r="B13083">
        <v>815.1</v>
      </c>
      <c r="C13083" s="19" t="s">
        <v>35</v>
      </c>
      <c r="D13083" s="8">
        <v>2.9000000000000001E-2</v>
      </c>
    </row>
    <row r="13084" spans="1:4">
      <c r="A13084" t="str">
        <f t="shared" si="216"/>
        <v>815.1Annual Variance</v>
      </c>
      <c r="B13084">
        <v>815.1</v>
      </c>
      <c r="C13084" s="19" t="s">
        <v>36</v>
      </c>
      <c r="D13084" s="8">
        <v>1E-3</v>
      </c>
    </row>
    <row r="13085" spans="1:4">
      <c r="A13085" t="str">
        <f t="shared" si="216"/>
        <v>815.1Information Ratio</v>
      </c>
      <c r="B13085">
        <v>815.1</v>
      </c>
      <c r="C13085" s="19" t="s">
        <v>37</v>
      </c>
      <c r="D13085" s="8">
        <v>-4.7E-2</v>
      </c>
    </row>
    <row r="13086" spans="1:4">
      <c r="A13086" t="str">
        <f t="shared" si="216"/>
        <v>815.1Tracking Error</v>
      </c>
      <c r="B13086">
        <v>815.1</v>
      </c>
      <c r="C13086" s="19" t="s">
        <v>38</v>
      </c>
      <c r="D13086" s="8">
        <v>7.0000000000000007E-2</v>
      </c>
    </row>
    <row r="13087" spans="1:4">
      <c r="A13087" t="str">
        <f t="shared" si="216"/>
        <v>815.1Treynor Ratio</v>
      </c>
      <c r="B13087">
        <v>815.1</v>
      </c>
      <c r="C13087" s="19" t="s">
        <v>39</v>
      </c>
      <c r="D13087" s="8">
        <v>0.73499999999999999</v>
      </c>
    </row>
    <row r="13088" spans="1:4">
      <c r="A13088" t="str">
        <f t="shared" si="216"/>
        <v>815.1Total Fees</v>
      </c>
      <c r="B13088">
        <v>815.1</v>
      </c>
      <c r="C13088" s="19" t="s">
        <v>40</v>
      </c>
      <c r="D13088" s="8">
        <v>0</v>
      </c>
    </row>
    <row r="13089" spans="1:4">
      <c r="A13089" t="str">
        <f t="shared" ref="A13089:A13154" si="217">B13089&amp;C13089</f>
        <v>815.1Estimated Strategy Capacity</v>
      </c>
      <c r="B13089">
        <v>815.1</v>
      </c>
      <c r="C13089" s="19" t="s">
        <v>41</v>
      </c>
      <c r="D13089" s="8">
        <v>7100000</v>
      </c>
    </row>
    <row r="13090" spans="1:4">
      <c r="A13090" t="str">
        <f t="shared" si="217"/>
        <v>827.1PSR</v>
      </c>
      <c r="B13090">
        <v>827.1</v>
      </c>
      <c r="C13090" s="19" t="s">
        <v>27</v>
      </c>
      <c r="D13090" s="8">
        <v>0.97411999999999999</v>
      </c>
    </row>
    <row r="13091" spans="1:4">
      <c r="A13091" t="str">
        <f t="shared" si="217"/>
        <v>827.1Sharpe Ratio</v>
      </c>
      <c r="B13091">
        <v>827.1</v>
      </c>
      <c r="C13091" s="19" t="s">
        <v>1</v>
      </c>
      <c r="D13091" s="8">
        <v>2.5619999999999998</v>
      </c>
    </row>
    <row r="13092" spans="1:4">
      <c r="A13092" t="str">
        <f t="shared" si="217"/>
        <v>827.1Total Trades</v>
      </c>
      <c r="B13092">
        <v>827.1</v>
      </c>
      <c r="C13092" s="19" t="s">
        <v>28</v>
      </c>
      <c r="D13092" s="8">
        <v>705</v>
      </c>
    </row>
    <row r="13093" spans="1:4">
      <c r="A13093" t="str">
        <f t="shared" si="217"/>
        <v>827.1Average Win</v>
      </c>
      <c r="B13093">
        <v>827.1</v>
      </c>
      <c r="C13093" s="19" t="s">
        <v>25</v>
      </c>
      <c r="D13093" s="8">
        <v>3.2000000000000002E-3</v>
      </c>
    </row>
    <row r="13094" spans="1:4">
      <c r="A13094" t="str">
        <f t="shared" si="217"/>
        <v>827.1Average Loss</v>
      </c>
      <c r="B13094">
        <v>827.1</v>
      </c>
      <c r="C13094" s="19" t="s">
        <v>29</v>
      </c>
      <c r="D13094" s="8">
        <v>-2.0999999999999999E-3</v>
      </c>
    </row>
    <row r="13095" spans="1:4">
      <c r="A13095" t="str">
        <f t="shared" si="217"/>
        <v>827.1Compounding Annual Return</v>
      </c>
      <c r="B13095">
        <v>827.1</v>
      </c>
      <c r="C13095" s="19" t="s">
        <v>30</v>
      </c>
      <c r="D13095" s="8">
        <v>0.1477</v>
      </c>
    </row>
    <row r="13096" spans="1:4">
      <c r="A13096" t="str">
        <f t="shared" si="217"/>
        <v>827.1Drawdown</v>
      </c>
      <c r="B13096">
        <v>827.1</v>
      </c>
      <c r="C13096" s="19" t="s">
        <v>8</v>
      </c>
      <c r="D13096" s="8">
        <v>1.2999999999999999E-2</v>
      </c>
    </row>
    <row r="13097" spans="1:4">
      <c r="A13097" t="str">
        <f t="shared" si="217"/>
        <v>827.1Expectancy</v>
      </c>
      <c r="B13097">
        <v>827.1</v>
      </c>
      <c r="C13097" s="19" t="s">
        <v>31</v>
      </c>
      <c r="D13097" s="8">
        <v>0.77700000000000002</v>
      </c>
    </row>
    <row r="13098" spans="1:4">
      <c r="A13098" t="str">
        <f t="shared" si="217"/>
        <v>827.1Net Profit</v>
      </c>
      <c r="B13098">
        <v>827.1</v>
      </c>
      <c r="C13098" s="19" t="s">
        <v>32</v>
      </c>
      <c r="D13098" s="8">
        <v>9.7269999999999995E-2</v>
      </c>
    </row>
    <row r="13099" spans="1:4">
      <c r="A13099" t="str">
        <f t="shared" si="217"/>
        <v>827.1Loss Rate</v>
      </c>
      <c r="B13099">
        <v>827.1</v>
      </c>
      <c r="C13099" s="19" t="s">
        <v>33</v>
      </c>
      <c r="D13099" s="8">
        <v>0.3</v>
      </c>
    </row>
    <row r="13100" spans="1:4">
      <c r="A13100" t="str">
        <f t="shared" si="217"/>
        <v>827.1Win Rate</v>
      </c>
      <c r="B13100">
        <v>827.1</v>
      </c>
      <c r="C13100" s="19" t="s">
        <v>34</v>
      </c>
      <c r="D13100" s="8">
        <v>0.7</v>
      </c>
    </row>
    <row r="13101" spans="1:4">
      <c r="A13101" t="str">
        <f t="shared" si="217"/>
        <v>827.1Profit-Loss Ratio</v>
      </c>
      <c r="B13101">
        <v>827.1</v>
      </c>
      <c r="C13101" s="19" t="s">
        <v>26</v>
      </c>
      <c r="D13101" s="8">
        <v>1.52</v>
      </c>
    </row>
    <row r="13102" spans="1:4">
      <c r="A13102" t="str">
        <f t="shared" si="217"/>
        <v>827.1Alpha</v>
      </c>
      <c r="B13102">
        <v>827.1</v>
      </c>
      <c r="C13102" s="19" t="s">
        <v>23</v>
      </c>
      <c r="D13102" s="8">
        <v>9.8000000000000004E-2</v>
      </c>
    </row>
    <row r="13103" spans="1:4">
      <c r="A13103" t="str">
        <f t="shared" si="217"/>
        <v>827.1Beta</v>
      </c>
      <c r="B13103">
        <v>827.1</v>
      </c>
      <c r="C13103" s="19" t="s">
        <v>24</v>
      </c>
      <c r="D13103" s="8">
        <v>6.2E-2</v>
      </c>
    </row>
    <row r="13104" spans="1:4">
      <c r="A13104" t="str">
        <f t="shared" si="217"/>
        <v>827.1Annual Standard Deviation</v>
      </c>
      <c r="B13104">
        <v>827.1</v>
      </c>
      <c r="C13104" s="19" t="s">
        <v>35</v>
      </c>
      <c r="D13104" s="8">
        <v>3.9E-2</v>
      </c>
    </row>
    <row r="13105" spans="1:4">
      <c r="A13105" t="str">
        <f t="shared" si="217"/>
        <v>827.1Annual Variance</v>
      </c>
      <c r="B13105">
        <v>827.1</v>
      </c>
      <c r="C13105" s="19" t="s">
        <v>36</v>
      </c>
      <c r="D13105" s="8">
        <v>2E-3</v>
      </c>
    </row>
    <row r="13106" spans="1:4">
      <c r="A13106" t="str">
        <f t="shared" si="217"/>
        <v>827.1Information Ratio</v>
      </c>
      <c r="B13106">
        <v>827.1</v>
      </c>
      <c r="C13106" s="19" t="s">
        <v>37</v>
      </c>
      <c r="D13106" s="8">
        <v>0.76700000000000002</v>
      </c>
    </row>
    <row r="13107" spans="1:4">
      <c r="A13107" t="str">
        <f t="shared" si="217"/>
        <v>827.1Tracking Error</v>
      </c>
      <c r="B13107">
        <v>827.1</v>
      </c>
      <c r="C13107" s="19" t="s">
        <v>38</v>
      </c>
      <c r="D13107" s="8">
        <v>7.3999999999999996E-2</v>
      </c>
    </row>
    <row r="13108" spans="1:4">
      <c r="A13108" t="str">
        <f t="shared" si="217"/>
        <v>827.1Treynor Ratio</v>
      </c>
      <c r="B13108">
        <v>827.1</v>
      </c>
      <c r="C13108" s="19" t="s">
        <v>39</v>
      </c>
      <c r="D13108" s="8">
        <v>1.6419999999999999</v>
      </c>
    </row>
    <row r="13109" spans="1:4">
      <c r="A13109" t="str">
        <f t="shared" si="217"/>
        <v>827.1Total Fees</v>
      </c>
      <c r="B13109">
        <v>827.1</v>
      </c>
      <c r="C13109" s="19" t="s">
        <v>40</v>
      </c>
      <c r="D13109" s="8">
        <v>0</v>
      </c>
    </row>
    <row r="13110" spans="1:4">
      <c r="A13110" t="str">
        <f t="shared" si="217"/>
        <v>827.1Estimated Strategy Capacity</v>
      </c>
      <c r="B13110">
        <v>827.1</v>
      </c>
      <c r="C13110" s="19" t="s">
        <v>41</v>
      </c>
      <c r="D13110" s="8">
        <v>100000000</v>
      </c>
    </row>
    <row r="13111" spans="1:4">
      <c r="A13111" t="str">
        <f t="shared" si="217"/>
        <v>871.1PSR</v>
      </c>
      <c r="B13111">
        <v>871.1</v>
      </c>
      <c r="C13111" s="9" t="s">
        <v>27</v>
      </c>
      <c r="D13111" s="8">
        <v>0.63983999999999996</v>
      </c>
    </row>
    <row r="13112" spans="1:4">
      <c r="A13112" t="str">
        <f t="shared" si="217"/>
        <v>871.1Sharpe Ratio</v>
      </c>
      <c r="B13112">
        <v>871.1</v>
      </c>
      <c r="C13112" s="9" t="s">
        <v>1</v>
      </c>
      <c r="D13112" s="8">
        <v>1.351</v>
      </c>
    </row>
    <row r="13113" spans="1:4">
      <c r="A13113" t="str">
        <f t="shared" si="217"/>
        <v>871.1Total Trades</v>
      </c>
      <c r="B13113">
        <v>871.1</v>
      </c>
      <c r="C13113" s="9" t="s">
        <v>28</v>
      </c>
      <c r="D13113" s="8">
        <v>889</v>
      </c>
    </row>
    <row r="13114" spans="1:4">
      <c r="A13114" t="str">
        <f t="shared" si="217"/>
        <v>871.1Average Win</v>
      </c>
      <c r="B13114">
        <v>871.1</v>
      </c>
      <c r="C13114" s="9" t="s">
        <v>25</v>
      </c>
      <c r="D13114" s="8">
        <v>2.9999999999999997E-4</v>
      </c>
    </row>
    <row r="13115" spans="1:4">
      <c r="A13115" t="str">
        <f t="shared" si="217"/>
        <v>871.1Average Loss</v>
      </c>
      <c r="B13115">
        <v>871.1</v>
      </c>
      <c r="C13115" s="9" t="s">
        <v>29</v>
      </c>
      <c r="D13115" s="8">
        <v>-4.0000000000000002E-4</v>
      </c>
    </row>
    <row r="13116" spans="1:4">
      <c r="A13116" t="str">
        <f t="shared" si="217"/>
        <v>871.1Compounding Annual Return</v>
      </c>
      <c r="B13116">
        <v>871.1</v>
      </c>
      <c r="C13116" s="9" t="s">
        <v>30</v>
      </c>
      <c r="D13116" s="8">
        <v>1.8970000000000001E-2</v>
      </c>
    </row>
    <row r="13117" spans="1:4">
      <c r="A13117" t="str">
        <f t="shared" si="217"/>
        <v>871.1Drawdown</v>
      </c>
      <c r="B13117">
        <v>871.1</v>
      </c>
      <c r="C13117" s="9" t="s">
        <v>8</v>
      </c>
      <c r="D13117" s="8">
        <v>5.0000000000000001E-3</v>
      </c>
    </row>
    <row r="13118" spans="1:4">
      <c r="A13118" t="str">
        <f t="shared" si="217"/>
        <v>871.1Expectancy</v>
      </c>
      <c r="B13118">
        <v>871.1</v>
      </c>
      <c r="C13118" s="9" t="s">
        <v>31</v>
      </c>
      <c r="D13118" s="8">
        <v>0.33300000000000002</v>
      </c>
    </row>
    <row r="13119" spans="1:4">
      <c r="A13119" t="str">
        <f t="shared" si="217"/>
        <v>871.1Net Profit</v>
      </c>
      <c r="B13119">
        <v>871.1</v>
      </c>
      <c r="C13119" s="9" t="s">
        <v>32</v>
      </c>
      <c r="D13119" s="8">
        <v>1.29E-2</v>
      </c>
    </row>
    <row r="13120" spans="1:4">
      <c r="A13120" t="str">
        <f t="shared" si="217"/>
        <v>871.1Loss Rate</v>
      </c>
      <c r="B13120">
        <v>871.1</v>
      </c>
      <c r="C13120" s="9" t="s">
        <v>33</v>
      </c>
      <c r="D13120" s="8">
        <v>0.26</v>
      </c>
    </row>
    <row r="13121" spans="1:4">
      <c r="A13121" t="str">
        <f t="shared" si="217"/>
        <v>871.1Win Rate</v>
      </c>
      <c r="B13121">
        <v>871.1</v>
      </c>
      <c r="C13121" s="9" t="s">
        <v>34</v>
      </c>
      <c r="D13121" s="8">
        <v>0.74</v>
      </c>
    </row>
    <row r="13122" spans="1:4">
      <c r="A13122" t="str">
        <f t="shared" si="217"/>
        <v>871.1Profit-Loss Ratio</v>
      </c>
      <c r="B13122">
        <v>871.1</v>
      </c>
      <c r="C13122" s="9" t="s">
        <v>26</v>
      </c>
      <c r="D13122" s="8">
        <v>0.8</v>
      </c>
    </row>
    <row r="13123" spans="1:4">
      <c r="A13123" t="str">
        <f t="shared" si="217"/>
        <v>871.1Alpha</v>
      </c>
      <c r="B13123">
        <v>871.1</v>
      </c>
      <c r="C13123" s="9" t="s">
        <v>23</v>
      </c>
      <c r="D13123" s="8">
        <v>1.4E-2</v>
      </c>
    </row>
    <row r="13124" spans="1:4">
      <c r="A13124" t="str">
        <f t="shared" si="217"/>
        <v>871.1Beta</v>
      </c>
      <c r="B13124">
        <v>871.1</v>
      </c>
      <c r="C13124" s="9" t="s">
        <v>24</v>
      </c>
      <c r="D13124" s="8">
        <v>-1.0999999999999999E-2</v>
      </c>
    </row>
    <row r="13125" spans="1:4">
      <c r="A13125" t="str">
        <f t="shared" si="217"/>
        <v>871.1Annual Standard Deviation</v>
      </c>
      <c r="B13125">
        <v>871.1</v>
      </c>
      <c r="C13125" s="9" t="s">
        <v>35</v>
      </c>
      <c r="D13125" s="8">
        <v>0.01</v>
      </c>
    </row>
    <row r="13126" spans="1:4">
      <c r="A13126" t="str">
        <f t="shared" si="217"/>
        <v>871.1Annual Variance</v>
      </c>
      <c r="B13126">
        <v>871.1</v>
      </c>
      <c r="C13126" s="9" t="s">
        <v>36</v>
      </c>
      <c r="D13126" s="8">
        <v>0</v>
      </c>
    </row>
    <row r="13127" spans="1:4">
      <c r="A13127" t="str">
        <f t="shared" si="217"/>
        <v>871.1Information Ratio</v>
      </c>
      <c r="B13127">
        <v>871.1</v>
      </c>
      <c r="C13127" s="9" t="s">
        <v>37</v>
      </c>
      <c r="D13127" s="8">
        <v>-0.52900000000000003</v>
      </c>
    </row>
    <row r="13128" spans="1:4">
      <c r="A13128" t="str">
        <f t="shared" si="217"/>
        <v>871.1Tracking Error</v>
      </c>
      <c r="B13128">
        <v>871.1</v>
      </c>
      <c r="C13128" s="9" t="s">
        <v>38</v>
      </c>
      <c r="D13128" s="8">
        <v>6.8000000000000005E-2</v>
      </c>
    </row>
    <row r="13129" spans="1:4">
      <c r="A13129" t="str">
        <f t="shared" si="217"/>
        <v>871.1Treynor Ratio</v>
      </c>
      <c r="B13129">
        <v>871.1</v>
      </c>
      <c r="C13129" s="9" t="s">
        <v>39</v>
      </c>
      <c r="D13129" s="8">
        <v>-1.198</v>
      </c>
    </row>
    <row r="13130" spans="1:4">
      <c r="A13130" t="str">
        <f t="shared" si="217"/>
        <v>871.1Total Fees</v>
      </c>
      <c r="B13130">
        <v>871.1</v>
      </c>
      <c r="C13130" s="9" t="s">
        <v>40</v>
      </c>
      <c r="D13130" s="8">
        <v>0</v>
      </c>
    </row>
    <row r="13131" spans="1:4">
      <c r="A13131" t="str">
        <f t="shared" si="217"/>
        <v>871.1Estimated Strategy Capacity</v>
      </c>
      <c r="B13131">
        <v>871.1</v>
      </c>
      <c r="C13131" s="9" t="s">
        <v>41</v>
      </c>
      <c r="D13131" s="8">
        <v>84000000</v>
      </c>
    </row>
    <row r="13132" spans="1:4">
      <c r="A13132" t="str">
        <f t="shared" si="217"/>
        <v>871.2PSR</v>
      </c>
      <c r="B13132">
        <v>871.2</v>
      </c>
      <c r="C13132" s="9" t="s">
        <v>27</v>
      </c>
      <c r="D13132" s="8">
        <v>0.63983999999999996</v>
      </c>
    </row>
    <row r="13133" spans="1:4">
      <c r="A13133" t="str">
        <f t="shared" si="217"/>
        <v>871.2Sharpe Ratio</v>
      </c>
      <c r="B13133">
        <v>871.2</v>
      </c>
      <c r="C13133" s="9" t="s">
        <v>1</v>
      </c>
      <c r="D13133" s="8">
        <v>1.351</v>
      </c>
    </row>
    <row r="13134" spans="1:4">
      <c r="A13134" t="str">
        <f t="shared" si="217"/>
        <v>871.2Total Trades</v>
      </c>
      <c r="B13134">
        <v>871.2</v>
      </c>
      <c r="C13134" s="9" t="s">
        <v>28</v>
      </c>
      <c r="D13134" s="8">
        <v>889</v>
      </c>
    </row>
    <row r="13135" spans="1:4">
      <c r="A13135" t="str">
        <f t="shared" si="217"/>
        <v>871.2Average Win</v>
      </c>
      <c r="B13135">
        <v>871.2</v>
      </c>
      <c r="C13135" s="9" t="s">
        <v>25</v>
      </c>
      <c r="D13135" s="8">
        <v>2.9999999999999997E-4</v>
      </c>
    </row>
    <row r="13136" spans="1:4">
      <c r="A13136" t="str">
        <f t="shared" si="217"/>
        <v>871.2Average Loss</v>
      </c>
      <c r="B13136">
        <v>871.2</v>
      </c>
      <c r="C13136" s="9" t="s">
        <v>29</v>
      </c>
      <c r="D13136" s="8">
        <v>-4.0000000000000002E-4</v>
      </c>
    </row>
    <row r="13137" spans="1:4">
      <c r="A13137" t="str">
        <f t="shared" si="217"/>
        <v>871.2Compounding Annual Return</v>
      </c>
      <c r="B13137">
        <v>871.2</v>
      </c>
      <c r="C13137" s="9" t="s">
        <v>30</v>
      </c>
      <c r="D13137" s="8">
        <v>1.8970000000000001E-2</v>
      </c>
    </row>
    <row r="13138" spans="1:4">
      <c r="A13138" t="str">
        <f t="shared" si="217"/>
        <v>871.2Drawdown</v>
      </c>
      <c r="B13138">
        <v>871.2</v>
      </c>
      <c r="C13138" s="9" t="s">
        <v>8</v>
      </c>
      <c r="D13138" s="8">
        <v>5.0000000000000001E-3</v>
      </c>
    </row>
    <row r="13139" spans="1:4">
      <c r="A13139" t="str">
        <f t="shared" si="217"/>
        <v>871.2Expectancy</v>
      </c>
      <c r="B13139">
        <v>871.2</v>
      </c>
      <c r="C13139" s="9" t="s">
        <v>31</v>
      </c>
      <c r="D13139" s="8">
        <v>0.33300000000000002</v>
      </c>
    </row>
    <row r="13140" spans="1:4">
      <c r="A13140" t="str">
        <f t="shared" si="217"/>
        <v>871.2Net Profit</v>
      </c>
      <c r="B13140">
        <v>871.2</v>
      </c>
      <c r="C13140" s="9" t="s">
        <v>32</v>
      </c>
      <c r="D13140" s="8">
        <v>1.29E-2</v>
      </c>
    </row>
    <row r="13141" spans="1:4">
      <c r="A13141" t="str">
        <f t="shared" si="217"/>
        <v>871.2Loss Rate</v>
      </c>
      <c r="B13141">
        <v>871.2</v>
      </c>
      <c r="C13141" s="9" t="s">
        <v>33</v>
      </c>
      <c r="D13141" s="8">
        <v>0.26</v>
      </c>
    </row>
    <row r="13142" spans="1:4">
      <c r="A13142" t="str">
        <f t="shared" si="217"/>
        <v>871.2Win Rate</v>
      </c>
      <c r="B13142">
        <v>871.2</v>
      </c>
      <c r="C13142" s="9" t="s">
        <v>34</v>
      </c>
      <c r="D13142" s="8">
        <v>0.74</v>
      </c>
    </row>
    <row r="13143" spans="1:4">
      <c r="A13143" t="str">
        <f t="shared" si="217"/>
        <v>871.2Profit-Loss Ratio</v>
      </c>
      <c r="B13143">
        <v>871.2</v>
      </c>
      <c r="C13143" s="9" t="s">
        <v>26</v>
      </c>
      <c r="D13143" s="8">
        <v>0.8</v>
      </c>
    </row>
    <row r="13144" spans="1:4">
      <c r="A13144" t="str">
        <f t="shared" si="217"/>
        <v>871.2Alpha</v>
      </c>
      <c r="B13144">
        <v>871.2</v>
      </c>
      <c r="C13144" s="9" t="s">
        <v>23</v>
      </c>
      <c r="D13144" s="8">
        <v>1.4E-2</v>
      </c>
    </row>
    <row r="13145" spans="1:4">
      <c r="A13145" t="str">
        <f t="shared" si="217"/>
        <v>871.2Beta</v>
      </c>
      <c r="B13145">
        <v>871.2</v>
      </c>
      <c r="C13145" s="9" t="s">
        <v>24</v>
      </c>
      <c r="D13145" s="8">
        <v>-1.0999999999999999E-2</v>
      </c>
    </row>
    <row r="13146" spans="1:4">
      <c r="A13146" t="str">
        <f t="shared" si="217"/>
        <v>871.2Annual Standard Deviation</v>
      </c>
      <c r="B13146">
        <v>871.2</v>
      </c>
      <c r="C13146" s="9" t="s">
        <v>35</v>
      </c>
      <c r="D13146" s="8">
        <v>0.01</v>
      </c>
    </row>
    <row r="13147" spans="1:4">
      <c r="A13147" t="str">
        <f t="shared" si="217"/>
        <v>871.2Annual Variance</v>
      </c>
      <c r="B13147">
        <v>871.2</v>
      </c>
      <c r="C13147" s="9" t="s">
        <v>36</v>
      </c>
      <c r="D13147" s="8">
        <v>0</v>
      </c>
    </row>
    <row r="13148" spans="1:4">
      <c r="A13148" t="str">
        <f t="shared" si="217"/>
        <v>871.2Information Ratio</v>
      </c>
      <c r="B13148">
        <v>871.2</v>
      </c>
      <c r="C13148" s="9" t="s">
        <v>37</v>
      </c>
      <c r="D13148" s="8">
        <v>-0.52900000000000003</v>
      </c>
    </row>
    <row r="13149" spans="1:4">
      <c r="A13149" t="str">
        <f t="shared" si="217"/>
        <v>871.2Tracking Error</v>
      </c>
      <c r="B13149">
        <v>871.2</v>
      </c>
      <c r="C13149" s="9" t="s">
        <v>38</v>
      </c>
      <c r="D13149" s="8">
        <v>6.8000000000000005E-2</v>
      </c>
    </row>
    <row r="13150" spans="1:4">
      <c r="A13150" t="str">
        <f t="shared" si="217"/>
        <v>871.2Treynor Ratio</v>
      </c>
      <c r="B13150">
        <v>871.2</v>
      </c>
      <c r="C13150" s="9" t="s">
        <v>39</v>
      </c>
      <c r="D13150" s="8">
        <v>-1.198</v>
      </c>
    </row>
    <row r="13151" spans="1:4">
      <c r="A13151" t="str">
        <f t="shared" si="217"/>
        <v>871.2Total Fees</v>
      </c>
      <c r="B13151">
        <v>871.2</v>
      </c>
      <c r="C13151" s="9" t="s">
        <v>40</v>
      </c>
      <c r="D13151" s="8">
        <v>0</v>
      </c>
    </row>
    <row r="13152" spans="1:4">
      <c r="A13152" t="str">
        <f t="shared" si="217"/>
        <v>871.2Estimated Strategy Capacity</v>
      </c>
      <c r="B13152">
        <v>871.2</v>
      </c>
      <c r="C13152" s="9" t="s">
        <v>41</v>
      </c>
      <c r="D13152" s="8">
        <v>84000000</v>
      </c>
    </row>
    <row r="13153" spans="1:4">
      <c r="A13153" t="str">
        <f t="shared" si="217"/>
        <v>1004.1PSR</v>
      </c>
      <c r="B13153">
        <v>1004.1</v>
      </c>
      <c r="C13153" s="9" t="s">
        <v>27</v>
      </c>
      <c r="D13153" s="8">
        <v>0.41145999999999999</v>
      </c>
    </row>
    <row r="13154" spans="1:4">
      <c r="A13154" t="str">
        <f t="shared" si="217"/>
        <v>1004.1Sharpe Ratio</v>
      </c>
      <c r="B13154">
        <v>1004.1</v>
      </c>
      <c r="C13154" s="9" t="s">
        <v>1</v>
      </c>
      <c r="D13154" s="8">
        <v>0.78900000000000003</v>
      </c>
    </row>
    <row r="13155" spans="1:4">
      <c r="A13155" t="str">
        <f t="shared" ref="A13155:A13218" si="218">B13155&amp;C13155</f>
        <v>1004.1Total Trades</v>
      </c>
      <c r="B13155">
        <v>1004.1</v>
      </c>
      <c r="C13155" s="9" t="s">
        <v>28</v>
      </c>
      <c r="D13155" s="8">
        <v>458</v>
      </c>
    </row>
    <row r="13156" spans="1:4">
      <c r="A13156" t="str">
        <f t="shared" si="218"/>
        <v>1004.1Average Win</v>
      </c>
      <c r="B13156">
        <v>1004.1</v>
      </c>
      <c r="C13156" s="9" t="s">
        <v>25</v>
      </c>
      <c r="D13156" s="8">
        <v>2.2000000000000001E-3</v>
      </c>
    </row>
    <row r="13157" spans="1:4">
      <c r="A13157" t="str">
        <f t="shared" si="218"/>
        <v>1004.1Average Loss</v>
      </c>
      <c r="B13157">
        <v>1004.1</v>
      </c>
      <c r="C13157" s="9" t="s">
        <v>29</v>
      </c>
      <c r="D13157" s="8">
        <v>-3.2000000000000002E-3</v>
      </c>
    </row>
    <row r="13158" spans="1:4">
      <c r="A13158" t="str">
        <f t="shared" si="218"/>
        <v>1004.1Compounding Annual Return</v>
      </c>
      <c r="B13158">
        <v>1004.1</v>
      </c>
      <c r="C13158" s="9" t="s">
        <v>30</v>
      </c>
      <c r="D13158" s="8">
        <v>4.6730000000000001E-2</v>
      </c>
    </row>
    <row r="13159" spans="1:4">
      <c r="A13159" t="str">
        <f t="shared" si="218"/>
        <v>1004.1Drawdown</v>
      </c>
      <c r="B13159">
        <v>1004.1</v>
      </c>
      <c r="C13159" s="9" t="s">
        <v>8</v>
      </c>
      <c r="D13159" s="8">
        <v>2.8000000000000001E-2</v>
      </c>
    </row>
    <row r="13160" spans="1:4">
      <c r="A13160" t="str">
        <f t="shared" si="218"/>
        <v>1004.1Expectancy</v>
      </c>
      <c r="B13160">
        <v>1004.1</v>
      </c>
      <c r="C13160" s="9" t="s">
        <v>31</v>
      </c>
      <c r="D13160" s="8">
        <v>0.14499999999999999</v>
      </c>
    </row>
    <row r="13161" spans="1:4">
      <c r="A13161" t="str">
        <f t="shared" si="218"/>
        <v>1004.1Net Profit</v>
      </c>
      <c r="B13161">
        <v>1004.1</v>
      </c>
      <c r="C13161" s="9" t="s">
        <v>32</v>
      </c>
      <c r="D13161" s="8">
        <v>3.1640000000000001E-2</v>
      </c>
    </row>
    <row r="13162" spans="1:4">
      <c r="A13162" t="str">
        <f t="shared" si="218"/>
        <v>1004.1Loss Rate</v>
      </c>
      <c r="B13162">
        <v>1004.1</v>
      </c>
      <c r="C13162" s="9" t="s">
        <v>33</v>
      </c>
      <c r="D13162" s="8">
        <v>0.33</v>
      </c>
    </row>
    <row r="13163" spans="1:4">
      <c r="A13163" t="str">
        <f t="shared" si="218"/>
        <v>1004.1Win Rate</v>
      </c>
      <c r="B13163">
        <v>1004.1</v>
      </c>
      <c r="C13163" s="9" t="s">
        <v>34</v>
      </c>
      <c r="D13163" s="8">
        <v>0.67</v>
      </c>
    </row>
    <row r="13164" spans="1:4">
      <c r="A13164" t="str">
        <f t="shared" si="218"/>
        <v>1004.1Profit-Loss Ratio</v>
      </c>
      <c r="B13164">
        <v>1004.1</v>
      </c>
      <c r="C13164" s="9" t="s">
        <v>26</v>
      </c>
      <c r="D13164" s="8">
        <v>0.71</v>
      </c>
    </row>
    <row r="13165" spans="1:4">
      <c r="A13165" t="str">
        <f t="shared" si="218"/>
        <v>1004.1Alpha</v>
      </c>
      <c r="B13165">
        <v>1004.1</v>
      </c>
      <c r="C13165" s="9" t="s">
        <v>23</v>
      </c>
      <c r="D13165" s="8">
        <v>2.9000000000000001E-2</v>
      </c>
    </row>
    <row r="13166" spans="1:4">
      <c r="A13166" t="str">
        <f t="shared" si="218"/>
        <v>1004.1Beta</v>
      </c>
      <c r="B13166">
        <v>1004.1</v>
      </c>
      <c r="C13166" s="9" t="s">
        <v>24</v>
      </c>
      <c r="D13166" s="8">
        <v>8.1000000000000003E-2</v>
      </c>
    </row>
    <row r="13167" spans="1:4">
      <c r="A13167" t="str">
        <f t="shared" si="218"/>
        <v>1004.1Annual Standard Deviation</v>
      </c>
      <c r="B13167">
        <v>1004.1</v>
      </c>
      <c r="C13167" s="9" t="s">
        <v>35</v>
      </c>
      <c r="D13167" s="8">
        <v>4.2000000000000003E-2</v>
      </c>
    </row>
    <row r="13168" spans="1:4">
      <c r="A13168" t="str">
        <f t="shared" si="218"/>
        <v>1004.1Annual Variance</v>
      </c>
      <c r="B13168">
        <v>1004.1</v>
      </c>
      <c r="C13168" s="9" t="s">
        <v>36</v>
      </c>
      <c r="D13168" s="8">
        <v>2E-3</v>
      </c>
    </row>
    <row r="13169" spans="1:4">
      <c r="A13169" t="str">
        <f t="shared" si="218"/>
        <v>1004.1Information Ratio</v>
      </c>
      <c r="B13169">
        <v>1004.1</v>
      </c>
      <c r="C13169" s="9" t="s">
        <v>37</v>
      </c>
      <c r="D13169" s="8">
        <v>-0.219</v>
      </c>
    </row>
    <row r="13170" spans="1:4">
      <c r="A13170" t="str">
        <f t="shared" si="218"/>
        <v>1004.1Tracking Error</v>
      </c>
      <c r="B13170">
        <v>1004.1</v>
      </c>
      <c r="C13170" s="9" t="s">
        <v>38</v>
      </c>
      <c r="D13170" s="8">
        <v>7.3999999999999996E-2</v>
      </c>
    </row>
    <row r="13171" spans="1:4">
      <c r="A13171" t="str">
        <f t="shared" si="218"/>
        <v>1004.1Treynor Ratio</v>
      </c>
      <c r="B13171">
        <v>1004.1</v>
      </c>
      <c r="C13171" s="9" t="s">
        <v>39</v>
      </c>
      <c r="D13171" s="8">
        <v>0.40600000000000003</v>
      </c>
    </row>
    <row r="13172" spans="1:4">
      <c r="A13172" t="str">
        <f t="shared" si="218"/>
        <v>1004.1Total Fees</v>
      </c>
      <c r="B13172">
        <v>1004.1</v>
      </c>
      <c r="C13172" s="9" t="s">
        <v>40</v>
      </c>
      <c r="D13172" s="8">
        <v>0</v>
      </c>
    </row>
    <row r="13173" spans="1:4">
      <c r="A13173" t="str">
        <f t="shared" si="218"/>
        <v>1004.1Estimated Strategy Capacity</v>
      </c>
      <c r="B13173">
        <v>1004.1</v>
      </c>
      <c r="C13173" s="9" t="s">
        <v>41</v>
      </c>
      <c r="D13173" s="8">
        <v>7600000</v>
      </c>
    </row>
    <row r="13174" spans="1:4">
      <c r="A13174" t="str">
        <f t="shared" si="218"/>
        <v>1004.2PSR</v>
      </c>
      <c r="B13174">
        <v>1004.2</v>
      </c>
      <c r="C13174" s="9" t="s">
        <v>27</v>
      </c>
      <c r="D13174" s="8">
        <v>0.41145999999999999</v>
      </c>
    </row>
    <row r="13175" spans="1:4">
      <c r="A13175" t="str">
        <f t="shared" si="218"/>
        <v>1004.2Sharpe Ratio</v>
      </c>
      <c r="B13175">
        <v>1004.2</v>
      </c>
      <c r="C13175" s="9" t="s">
        <v>1</v>
      </c>
      <c r="D13175" s="8">
        <v>0.78900000000000003</v>
      </c>
    </row>
    <row r="13176" spans="1:4">
      <c r="A13176" t="str">
        <f t="shared" si="218"/>
        <v>1004.2Total Trades</v>
      </c>
      <c r="B13176">
        <v>1004.2</v>
      </c>
      <c r="C13176" s="9" t="s">
        <v>28</v>
      </c>
      <c r="D13176" s="8">
        <v>458</v>
      </c>
    </row>
    <row r="13177" spans="1:4">
      <c r="A13177" t="str">
        <f t="shared" si="218"/>
        <v>1004.2Average Win</v>
      </c>
      <c r="B13177">
        <v>1004.2</v>
      </c>
      <c r="C13177" s="9" t="s">
        <v>25</v>
      </c>
      <c r="D13177" s="8">
        <v>2.2000000000000001E-3</v>
      </c>
    </row>
    <row r="13178" spans="1:4">
      <c r="A13178" t="str">
        <f t="shared" si="218"/>
        <v>1004.2Average Loss</v>
      </c>
      <c r="B13178">
        <v>1004.2</v>
      </c>
      <c r="C13178" s="9" t="s">
        <v>29</v>
      </c>
      <c r="D13178" s="8">
        <v>-3.2000000000000002E-3</v>
      </c>
    </row>
    <row r="13179" spans="1:4">
      <c r="A13179" t="str">
        <f t="shared" si="218"/>
        <v>1004.2Compounding Annual Return</v>
      </c>
      <c r="B13179">
        <v>1004.2</v>
      </c>
      <c r="C13179" s="9" t="s">
        <v>30</v>
      </c>
      <c r="D13179" s="8">
        <v>4.6730000000000001E-2</v>
      </c>
    </row>
    <row r="13180" spans="1:4">
      <c r="A13180" t="str">
        <f t="shared" si="218"/>
        <v>1004.2Drawdown</v>
      </c>
      <c r="B13180">
        <v>1004.2</v>
      </c>
      <c r="C13180" s="9" t="s">
        <v>8</v>
      </c>
      <c r="D13180" s="8">
        <v>2.8000000000000001E-2</v>
      </c>
    </row>
    <row r="13181" spans="1:4">
      <c r="A13181" t="str">
        <f t="shared" si="218"/>
        <v>1004.2Expectancy</v>
      </c>
      <c r="B13181">
        <v>1004.2</v>
      </c>
      <c r="C13181" s="9" t="s">
        <v>31</v>
      </c>
      <c r="D13181" s="8">
        <v>0.14499999999999999</v>
      </c>
    </row>
    <row r="13182" spans="1:4">
      <c r="A13182" t="str">
        <f t="shared" si="218"/>
        <v>1004.2Net Profit</v>
      </c>
      <c r="B13182">
        <v>1004.2</v>
      </c>
      <c r="C13182" s="9" t="s">
        <v>32</v>
      </c>
      <c r="D13182" s="8">
        <v>3.1640000000000001E-2</v>
      </c>
    </row>
    <row r="13183" spans="1:4">
      <c r="A13183" t="str">
        <f t="shared" si="218"/>
        <v>1004.2Loss Rate</v>
      </c>
      <c r="B13183">
        <v>1004.2</v>
      </c>
      <c r="C13183" s="9" t="s">
        <v>33</v>
      </c>
      <c r="D13183" s="8">
        <v>0.33</v>
      </c>
    </row>
    <row r="13184" spans="1:4">
      <c r="A13184" t="str">
        <f t="shared" si="218"/>
        <v>1004.2Win Rate</v>
      </c>
      <c r="B13184">
        <v>1004.2</v>
      </c>
      <c r="C13184" s="9" t="s">
        <v>34</v>
      </c>
      <c r="D13184" s="8">
        <v>0.67</v>
      </c>
    </row>
    <row r="13185" spans="1:4">
      <c r="A13185" t="str">
        <f t="shared" si="218"/>
        <v>1004.2Profit-Loss Ratio</v>
      </c>
      <c r="B13185">
        <v>1004.2</v>
      </c>
      <c r="C13185" s="9" t="s">
        <v>26</v>
      </c>
      <c r="D13185" s="8">
        <v>0.71</v>
      </c>
    </row>
    <row r="13186" spans="1:4">
      <c r="A13186" t="str">
        <f t="shared" si="218"/>
        <v>1004.2Alpha</v>
      </c>
      <c r="B13186">
        <v>1004.2</v>
      </c>
      <c r="C13186" s="9" t="s">
        <v>23</v>
      </c>
      <c r="D13186" s="8">
        <v>2.8000000000000001E-2</v>
      </c>
    </row>
    <row r="13187" spans="1:4">
      <c r="A13187" t="str">
        <f t="shared" si="218"/>
        <v>1004.2Beta</v>
      </c>
      <c r="B13187">
        <v>1004.2</v>
      </c>
      <c r="C13187" s="9" t="s">
        <v>24</v>
      </c>
      <c r="D13187" s="8">
        <v>0.04</v>
      </c>
    </row>
    <row r="13188" spans="1:4">
      <c r="A13188" t="str">
        <f t="shared" si="218"/>
        <v>1004.2Annual Standard Deviation</v>
      </c>
      <c r="B13188">
        <v>1004.2</v>
      </c>
      <c r="C13188" s="9" t="s">
        <v>35</v>
      </c>
      <c r="D13188" s="8">
        <v>4.2000000000000003E-2</v>
      </c>
    </row>
    <row r="13189" spans="1:4">
      <c r="A13189" t="str">
        <f t="shared" si="218"/>
        <v>1004.2Annual Variance</v>
      </c>
      <c r="B13189">
        <v>1004.2</v>
      </c>
      <c r="C13189" s="9" t="s">
        <v>36</v>
      </c>
      <c r="D13189" s="8">
        <v>2E-3</v>
      </c>
    </row>
    <row r="13190" spans="1:4">
      <c r="A13190" t="str">
        <f t="shared" si="218"/>
        <v>1004.2Information Ratio</v>
      </c>
      <c r="B13190">
        <v>1004.2</v>
      </c>
      <c r="C13190" s="9" t="s">
        <v>37</v>
      </c>
      <c r="D13190" s="8">
        <v>-0.71299999999999997</v>
      </c>
    </row>
    <row r="13191" spans="1:4">
      <c r="A13191" t="str">
        <f t="shared" si="218"/>
        <v>1004.2Tracking Error</v>
      </c>
      <c r="B13191">
        <v>1004.2</v>
      </c>
      <c r="C13191" s="9" t="s">
        <v>38</v>
      </c>
      <c r="D13191" s="8">
        <v>0.122</v>
      </c>
    </row>
    <row r="13192" spans="1:4">
      <c r="A13192" t="str">
        <f t="shared" si="218"/>
        <v>1004.2Treynor Ratio</v>
      </c>
      <c r="B13192">
        <v>1004.2</v>
      </c>
      <c r="C13192" s="9" t="s">
        <v>39</v>
      </c>
      <c r="D13192" s="8">
        <v>0.83399999999999996</v>
      </c>
    </row>
    <row r="13193" spans="1:4">
      <c r="A13193" t="str">
        <f t="shared" si="218"/>
        <v>1004.2Total Fees</v>
      </c>
      <c r="B13193">
        <v>1004.2</v>
      </c>
      <c r="C13193" s="9" t="s">
        <v>40</v>
      </c>
      <c r="D13193" s="8">
        <v>0</v>
      </c>
    </row>
    <row r="13194" spans="1:4">
      <c r="A13194" t="str">
        <f t="shared" si="218"/>
        <v>1004.2Estimated Strategy Capacity</v>
      </c>
      <c r="B13194">
        <v>1004.2</v>
      </c>
      <c r="C13194" s="9" t="s">
        <v>41</v>
      </c>
      <c r="D13194" s="8">
        <v>7600000</v>
      </c>
    </row>
    <row r="13195" spans="1:4">
      <c r="A13195" t="str">
        <f t="shared" si="218"/>
        <v>1004.2aPSR</v>
      </c>
      <c r="B13195" t="s">
        <v>63</v>
      </c>
      <c r="C13195" s="9" t="s">
        <v>27</v>
      </c>
      <c r="D13195" s="8">
        <v>0.41145999999999999</v>
      </c>
    </row>
    <row r="13196" spans="1:4">
      <c r="A13196" t="str">
        <f t="shared" si="218"/>
        <v>1004.2aSharpe Ratio</v>
      </c>
      <c r="B13196" t="s">
        <v>63</v>
      </c>
      <c r="C13196" s="9" t="s">
        <v>1</v>
      </c>
      <c r="D13196" s="8">
        <v>0.78900000000000003</v>
      </c>
    </row>
    <row r="13197" spans="1:4">
      <c r="A13197" t="str">
        <f t="shared" si="218"/>
        <v>1004.2aTotal Trades</v>
      </c>
      <c r="B13197" t="s">
        <v>63</v>
      </c>
      <c r="C13197" s="9" t="s">
        <v>28</v>
      </c>
      <c r="D13197" s="8">
        <v>458</v>
      </c>
    </row>
    <row r="13198" spans="1:4">
      <c r="A13198" t="str">
        <f t="shared" si="218"/>
        <v>1004.2aAverage Win</v>
      </c>
      <c r="B13198" t="s">
        <v>63</v>
      </c>
      <c r="C13198" s="9" t="s">
        <v>25</v>
      </c>
      <c r="D13198" s="8">
        <v>2.2000000000000001E-3</v>
      </c>
    </row>
    <row r="13199" spans="1:4">
      <c r="A13199" t="str">
        <f t="shared" si="218"/>
        <v>1004.2aAverage Loss</v>
      </c>
      <c r="B13199" t="s">
        <v>63</v>
      </c>
      <c r="C13199" s="9" t="s">
        <v>29</v>
      </c>
      <c r="D13199" s="8">
        <v>-3.2000000000000002E-3</v>
      </c>
    </row>
    <row r="13200" spans="1:4">
      <c r="A13200" t="str">
        <f t="shared" si="218"/>
        <v>1004.2aCompounding Annual Return</v>
      </c>
      <c r="B13200" t="s">
        <v>63</v>
      </c>
      <c r="C13200" s="9" t="s">
        <v>30</v>
      </c>
      <c r="D13200" s="8">
        <v>4.6730000000000001E-2</v>
      </c>
    </row>
    <row r="13201" spans="1:4">
      <c r="A13201" t="str">
        <f t="shared" si="218"/>
        <v>1004.2aDrawdown</v>
      </c>
      <c r="B13201" t="s">
        <v>63</v>
      </c>
      <c r="C13201" s="9" t="s">
        <v>8</v>
      </c>
      <c r="D13201" s="8">
        <v>2.8000000000000001E-2</v>
      </c>
    </row>
    <row r="13202" spans="1:4">
      <c r="A13202" t="str">
        <f t="shared" si="218"/>
        <v>1004.2aExpectancy</v>
      </c>
      <c r="B13202" t="s">
        <v>63</v>
      </c>
      <c r="C13202" s="9" t="s">
        <v>31</v>
      </c>
      <c r="D13202" s="8">
        <v>0.14499999999999999</v>
      </c>
    </row>
    <row r="13203" spans="1:4">
      <c r="A13203" t="str">
        <f t="shared" si="218"/>
        <v>1004.2aNet Profit</v>
      </c>
      <c r="B13203" t="s">
        <v>63</v>
      </c>
      <c r="C13203" s="9" t="s">
        <v>32</v>
      </c>
      <c r="D13203" s="8">
        <v>3.1640000000000001E-2</v>
      </c>
    </row>
    <row r="13204" spans="1:4">
      <c r="A13204" t="str">
        <f t="shared" si="218"/>
        <v>1004.2aLoss Rate</v>
      </c>
      <c r="B13204" t="s">
        <v>63</v>
      </c>
      <c r="C13204" s="9" t="s">
        <v>33</v>
      </c>
      <c r="D13204" s="8">
        <v>0.33</v>
      </c>
    </row>
    <row r="13205" spans="1:4">
      <c r="A13205" t="str">
        <f t="shared" si="218"/>
        <v>1004.2aWin Rate</v>
      </c>
      <c r="B13205" t="s">
        <v>63</v>
      </c>
      <c r="C13205" s="9" t="s">
        <v>34</v>
      </c>
      <c r="D13205" s="8">
        <v>0.67</v>
      </c>
    </row>
    <row r="13206" spans="1:4">
      <c r="A13206" t="str">
        <f t="shared" si="218"/>
        <v>1004.2aProfit-Loss Ratio</v>
      </c>
      <c r="B13206" t="s">
        <v>63</v>
      </c>
      <c r="C13206" s="9" t="s">
        <v>26</v>
      </c>
      <c r="D13206" s="8">
        <v>0.71</v>
      </c>
    </row>
    <row r="13207" spans="1:4">
      <c r="A13207" t="str">
        <f t="shared" si="218"/>
        <v>1004.2aAlpha</v>
      </c>
      <c r="B13207" t="s">
        <v>63</v>
      </c>
      <c r="C13207" s="9" t="s">
        <v>23</v>
      </c>
      <c r="D13207" s="8">
        <v>2.8000000000000001E-2</v>
      </c>
    </row>
    <row r="13208" spans="1:4">
      <c r="A13208" t="str">
        <f t="shared" si="218"/>
        <v>1004.2aBeta</v>
      </c>
      <c r="B13208" t="s">
        <v>63</v>
      </c>
      <c r="C13208" s="9" t="s">
        <v>24</v>
      </c>
      <c r="D13208" s="8">
        <v>0.04</v>
      </c>
    </row>
    <row r="13209" spans="1:4">
      <c r="A13209" t="str">
        <f t="shared" si="218"/>
        <v>1004.2aAnnual Standard Deviation</v>
      </c>
      <c r="B13209" t="s">
        <v>63</v>
      </c>
      <c r="C13209" s="9" t="s">
        <v>35</v>
      </c>
      <c r="D13209" s="8">
        <v>4.2000000000000003E-2</v>
      </c>
    </row>
    <row r="13210" spans="1:4">
      <c r="A13210" t="str">
        <f t="shared" si="218"/>
        <v>1004.2aAnnual Variance</v>
      </c>
      <c r="B13210" t="s">
        <v>63</v>
      </c>
      <c r="C13210" s="9" t="s">
        <v>36</v>
      </c>
      <c r="D13210" s="8">
        <v>2E-3</v>
      </c>
    </row>
    <row r="13211" spans="1:4">
      <c r="A13211" t="str">
        <f t="shared" si="218"/>
        <v>1004.2aInformation Ratio</v>
      </c>
      <c r="B13211" t="s">
        <v>63</v>
      </c>
      <c r="C13211" s="9" t="s">
        <v>37</v>
      </c>
      <c r="D13211" s="8">
        <v>-0.71299999999999997</v>
      </c>
    </row>
    <row r="13212" spans="1:4">
      <c r="A13212" t="str">
        <f t="shared" si="218"/>
        <v>1004.2aTracking Error</v>
      </c>
      <c r="B13212" t="s">
        <v>63</v>
      </c>
      <c r="C13212" s="9" t="s">
        <v>38</v>
      </c>
      <c r="D13212" s="8">
        <v>0.122</v>
      </c>
    </row>
    <row r="13213" spans="1:4">
      <c r="A13213" t="str">
        <f t="shared" si="218"/>
        <v>1004.2aTreynor Ratio</v>
      </c>
      <c r="B13213" t="s">
        <v>63</v>
      </c>
      <c r="C13213" s="9" t="s">
        <v>39</v>
      </c>
      <c r="D13213" s="8">
        <v>0.83399999999999996</v>
      </c>
    </row>
    <row r="13214" spans="1:4">
      <c r="A13214" t="str">
        <f t="shared" si="218"/>
        <v>1004.2aTotal Fees</v>
      </c>
      <c r="B13214" t="s">
        <v>63</v>
      </c>
      <c r="C13214" s="9" t="s">
        <v>40</v>
      </c>
      <c r="D13214" s="8">
        <v>0</v>
      </c>
    </row>
    <row r="13215" spans="1:4">
      <c r="A13215" t="str">
        <f t="shared" si="218"/>
        <v>1004.2aEstimated Strategy Capacity</v>
      </c>
      <c r="B13215" t="s">
        <v>63</v>
      </c>
      <c r="C13215" s="9" t="s">
        <v>41</v>
      </c>
      <c r="D13215" s="8">
        <v>7600000</v>
      </c>
    </row>
    <row r="13216" spans="1:4">
      <c r="A13216" t="str">
        <f t="shared" si="218"/>
        <v>1004.3PSR</v>
      </c>
      <c r="B13216">
        <v>1004.3</v>
      </c>
      <c r="C13216" s="9" t="s">
        <v>27</v>
      </c>
      <c r="D13216" s="8">
        <v>0.24643000000000001</v>
      </c>
    </row>
    <row r="13217" spans="1:4">
      <c r="A13217" t="str">
        <f t="shared" si="218"/>
        <v>1004.3Sharpe Ratio</v>
      </c>
      <c r="B13217">
        <v>1004.3</v>
      </c>
      <c r="C13217" s="9" t="s">
        <v>1</v>
      </c>
      <c r="D13217" s="8">
        <v>-0.307</v>
      </c>
    </row>
    <row r="13218" spans="1:4">
      <c r="A13218" t="str">
        <f t="shared" si="218"/>
        <v>1004.3Total Trades</v>
      </c>
      <c r="B13218">
        <v>1004.3</v>
      </c>
      <c r="C13218" s="9" t="s">
        <v>28</v>
      </c>
      <c r="D13218" s="8">
        <v>88</v>
      </c>
    </row>
    <row r="13219" spans="1:4">
      <c r="A13219" t="str">
        <f t="shared" ref="A13219:A13236" si="219">B13219&amp;C13219</f>
        <v>1004.3Average Win</v>
      </c>
      <c r="B13219">
        <v>1004.3</v>
      </c>
      <c r="C13219" s="9" t="s">
        <v>25</v>
      </c>
      <c r="D13219" s="8">
        <v>1E-3</v>
      </c>
    </row>
    <row r="13220" spans="1:4">
      <c r="A13220" t="str">
        <f t="shared" si="219"/>
        <v>1004.3Average Loss</v>
      </c>
      <c r="B13220">
        <v>1004.3</v>
      </c>
      <c r="C13220" s="9" t="s">
        <v>29</v>
      </c>
      <c r="D13220" s="8">
        <v>-4.7999999999999996E-3</v>
      </c>
    </row>
    <row r="13221" spans="1:4">
      <c r="A13221" t="str">
        <f t="shared" si="219"/>
        <v>1004.3Compounding Annual Return</v>
      </c>
      <c r="B13221">
        <v>1004.3</v>
      </c>
      <c r="C13221" s="9" t="s">
        <v>30</v>
      </c>
      <c r="D13221" s="8">
        <v>-1.068E-2</v>
      </c>
    </row>
    <row r="13222" spans="1:4">
      <c r="A13222" t="str">
        <f t="shared" si="219"/>
        <v>1004.3Drawdown</v>
      </c>
      <c r="B13222">
        <v>1004.3</v>
      </c>
      <c r="C13222" s="9" t="s">
        <v>8</v>
      </c>
      <c r="D13222" s="8">
        <v>1.0999999999999999E-2</v>
      </c>
    </row>
    <row r="13223" spans="1:4">
      <c r="A13223" t="str">
        <f t="shared" si="219"/>
        <v>1004.3Expectancy</v>
      </c>
      <c r="B13223">
        <v>1004.3</v>
      </c>
      <c r="C13223" s="9" t="s">
        <v>31</v>
      </c>
      <c r="D13223" s="8">
        <v>-2.3E-2</v>
      </c>
    </row>
    <row r="13224" spans="1:4">
      <c r="A13224" t="str">
        <f t="shared" si="219"/>
        <v>1004.3Net Profit</v>
      </c>
      <c r="B13224">
        <v>1004.3</v>
      </c>
      <c r="C13224" s="9" t="s">
        <v>32</v>
      </c>
      <c r="D13224" s="8">
        <v>-1.97E-3</v>
      </c>
    </row>
    <row r="13225" spans="1:4">
      <c r="A13225" t="str">
        <f t="shared" si="219"/>
        <v>1004.3Loss Rate</v>
      </c>
      <c r="B13225">
        <v>1004.3</v>
      </c>
      <c r="C13225" s="9" t="s">
        <v>33</v>
      </c>
      <c r="D13225" s="8">
        <v>0.19</v>
      </c>
    </row>
    <row r="13226" spans="1:4">
      <c r="A13226" t="str">
        <f t="shared" si="219"/>
        <v>1004.3Win Rate</v>
      </c>
      <c r="B13226">
        <v>1004.3</v>
      </c>
      <c r="C13226" s="9" t="s">
        <v>34</v>
      </c>
      <c r="D13226" s="8">
        <v>0.81</v>
      </c>
    </row>
    <row r="13227" spans="1:4">
      <c r="A13227" t="str">
        <f t="shared" si="219"/>
        <v>1004.3Profit-Loss Ratio</v>
      </c>
      <c r="B13227">
        <v>1004.3</v>
      </c>
      <c r="C13227" s="9" t="s">
        <v>26</v>
      </c>
      <c r="D13227" s="8">
        <v>0.2</v>
      </c>
    </row>
    <row r="13228" spans="1:4">
      <c r="A13228" t="str">
        <f t="shared" si="219"/>
        <v>1004.3Alpha</v>
      </c>
      <c r="B13228">
        <v>1004.3</v>
      </c>
      <c r="C13228" s="9" t="s">
        <v>23</v>
      </c>
      <c r="D13228" s="8">
        <v>-4.0000000000000001E-3</v>
      </c>
    </row>
    <row r="13229" spans="1:4">
      <c r="A13229" t="str">
        <f t="shared" si="219"/>
        <v>1004.3Beta</v>
      </c>
      <c r="B13229">
        <v>1004.3</v>
      </c>
      <c r="C13229" s="9" t="s">
        <v>24</v>
      </c>
      <c r="D13229" s="8">
        <v>-0.01</v>
      </c>
    </row>
    <row r="13230" spans="1:4">
      <c r="A13230" t="str">
        <f t="shared" si="219"/>
        <v>1004.3Annual Standard Deviation</v>
      </c>
      <c r="B13230">
        <v>1004.3</v>
      </c>
      <c r="C13230" s="9" t="s">
        <v>35</v>
      </c>
      <c r="D13230" s="8">
        <v>2.4E-2</v>
      </c>
    </row>
    <row r="13231" spans="1:4">
      <c r="A13231" t="str">
        <f t="shared" si="219"/>
        <v>1004.3Annual Variance</v>
      </c>
      <c r="B13231">
        <v>1004.3</v>
      </c>
      <c r="C13231" s="9" t="s">
        <v>36</v>
      </c>
      <c r="D13231" s="8">
        <v>1E-3</v>
      </c>
    </row>
    <row r="13232" spans="1:4">
      <c r="A13232" t="str">
        <f t="shared" si="219"/>
        <v>1004.3Information Ratio</v>
      </c>
      <c r="B13232">
        <v>1004.3</v>
      </c>
      <c r="C13232" s="9" t="s">
        <v>37</v>
      </c>
      <c r="D13232" s="8">
        <v>-3.2029999999999998</v>
      </c>
    </row>
    <row r="13233" spans="1:4">
      <c r="A13233" t="str">
        <f t="shared" si="219"/>
        <v>1004.3Tracking Error</v>
      </c>
      <c r="B13233">
        <v>1004.3</v>
      </c>
      <c r="C13233" s="9" t="s">
        <v>38</v>
      </c>
      <c r="D13233" s="8">
        <v>8.5999999999999993E-2</v>
      </c>
    </row>
    <row r="13234" spans="1:4">
      <c r="A13234" t="str">
        <f t="shared" si="219"/>
        <v>1004.3Treynor Ratio</v>
      </c>
      <c r="B13234">
        <v>1004.3</v>
      </c>
      <c r="C13234" s="9" t="s">
        <v>39</v>
      </c>
      <c r="D13234" s="8">
        <v>0.69899999999999995</v>
      </c>
    </row>
    <row r="13235" spans="1:4">
      <c r="A13235" t="str">
        <f t="shared" si="219"/>
        <v>1004.3Total Fees</v>
      </c>
      <c r="B13235">
        <v>1004.3</v>
      </c>
      <c r="C13235" s="9" t="s">
        <v>40</v>
      </c>
      <c r="D13235" s="8">
        <v>0</v>
      </c>
    </row>
    <row r="13236" spans="1:4">
      <c r="A13236" t="str">
        <f t="shared" si="219"/>
        <v>1004.3Estimated Strategy Capacity</v>
      </c>
      <c r="B13236">
        <v>1004.3</v>
      </c>
      <c r="C13236" s="9" t="s">
        <v>41</v>
      </c>
      <c r="D13236" s="8">
        <v>7900000</v>
      </c>
    </row>
    <row r="13237" spans="1:4">
      <c r="C13237" s="26"/>
    </row>
    <row r="13238" spans="1:4">
      <c r="C13238" s="28"/>
    </row>
    <row r="13239" spans="1:4">
      <c r="C13239" s="26"/>
    </row>
    <row r="13240" spans="1:4">
      <c r="C13240" s="27"/>
    </row>
    <row r="13241" spans="1:4">
      <c r="C13241" s="26"/>
    </row>
    <row r="13242" spans="1:4">
      <c r="C13242" s="27"/>
    </row>
    <row r="13243" spans="1:4">
      <c r="C13243" s="26"/>
    </row>
    <row r="13244" spans="1:4">
      <c r="C13244" s="27"/>
    </row>
    <row r="13245" spans="1:4">
      <c r="C13245" s="26"/>
    </row>
    <row r="13246" spans="1:4">
      <c r="C13246" s="27"/>
    </row>
    <row r="13247" spans="1:4">
      <c r="C13247" s="26"/>
    </row>
    <row r="13248" spans="1:4">
      <c r="C13248" s="27"/>
    </row>
    <row r="13249" spans="3:3">
      <c r="C13249" s="26"/>
    </row>
    <row r="13250" spans="3:3">
      <c r="C13250" s="27"/>
    </row>
    <row r="13251" spans="3:3">
      <c r="C13251" s="26"/>
    </row>
    <row r="13252" spans="3:3">
      <c r="C13252" s="27"/>
    </row>
    <row r="13253" spans="3:3">
      <c r="C13253" s="26"/>
    </row>
    <row r="13254" spans="3:3">
      <c r="C13254" s="27"/>
    </row>
    <row r="13255" spans="3:3">
      <c r="C13255" s="26"/>
    </row>
    <row r="13256" spans="3:3">
      <c r="C13256" s="29"/>
    </row>
    <row r="13257" spans="3:3">
      <c r="C13257" s="26"/>
    </row>
    <row r="13258" spans="3:3">
      <c r="C13258" s="29"/>
    </row>
  </sheetData>
  <autoFilter ref="A1:D13047" xr:uid="{EE2E529D-640E-47F0-8293-653E941B649C}"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564B-EA09-45E5-9B53-1FA77696D6D0}">
  <sheetPr codeName="Sheet6"/>
  <dimension ref="A1:B23"/>
  <sheetViews>
    <sheetView workbookViewId="0">
      <selection sqref="A1:B21"/>
    </sheetView>
  </sheetViews>
  <sheetFormatPr defaultRowHeight="14.5"/>
  <cols>
    <col min="1" max="1" width="19.08984375" style="10" bestFit="1" customWidth="1"/>
    <col min="2" max="2" width="14.453125" style="8" bestFit="1" customWidth="1"/>
    <col min="6" max="6" width="7.7265625" customWidth="1"/>
  </cols>
  <sheetData>
    <row r="1" spans="1:2">
      <c r="A1" s="9" t="s">
        <v>27</v>
      </c>
      <c r="B1" s="8">
        <v>0.24643000000000001</v>
      </c>
    </row>
    <row r="2" spans="1:2">
      <c r="A2" s="9" t="s">
        <v>1</v>
      </c>
      <c r="B2" s="8">
        <v>-0.307</v>
      </c>
    </row>
    <row r="3" spans="1:2">
      <c r="A3" s="9" t="s">
        <v>28</v>
      </c>
      <c r="B3" s="8">
        <v>88</v>
      </c>
    </row>
    <row r="4" spans="1:2">
      <c r="A4" s="9" t="s">
        <v>25</v>
      </c>
      <c r="B4" s="8">
        <v>1E-3</v>
      </c>
    </row>
    <row r="5" spans="1:2">
      <c r="A5" s="9" t="s">
        <v>29</v>
      </c>
      <c r="B5" s="8">
        <v>-4.7999999999999996E-3</v>
      </c>
    </row>
    <row r="6" spans="1:2">
      <c r="A6" s="9" t="s">
        <v>30</v>
      </c>
      <c r="B6" s="8">
        <v>-1.068E-2</v>
      </c>
    </row>
    <row r="7" spans="1:2">
      <c r="A7" s="9" t="s">
        <v>8</v>
      </c>
      <c r="B7" s="8">
        <v>1.0999999999999999E-2</v>
      </c>
    </row>
    <row r="8" spans="1:2">
      <c r="A8" s="9" t="s">
        <v>31</v>
      </c>
      <c r="B8" s="8">
        <v>-2.3E-2</v>
      </c>
    </row>
    <row r="9" spans="1:2">
      <c r="A9" s="9" t="s">
        <v>32</v>
      </c>
      <c r="B9" s="8">
        <v>-1.97E-3</v>
      </c>
    </row>
    <row r="10" spans="1:2">
      <c r="A10" s="9" t="s">
        <v>33</v>
      </c>
      <c r="B10" s="8">
        <v>0.19</v>
      </c>
    </row>
    <row r="11" spans="1:2">
      <c r="A11" s="9" t="s">
        <v>34</v>
      </c>
      <c r="B11" s="8">
        <v>0.81</v>
      </c>
    </row>
    <row r="12" spans="1:2">
      <c r="A12" s="9" t="s">
        <v>26</v>
      </c>
      <c r="B12" s="8">
        <v>0.2</v>
      </c>
    </row>
    <row r="13" spans="1:2">
      <c r="A13" s="9" t="s">
        <v>23</v>
      </c>
      <c r="B13" s="8">
        <v>-4.0000000000000001E-3</v>
      </c>
    </row>
    <row r="14" spans="1:2">
      <c r="A14" s="9" t="s">
        <v>24</v>
      </c>
      <c r="B14" s="8">
        <v>-0.01</v>
      </c>
    </row>
    <row r="15" spans="1:2">
      <c r="A15" s="9" t="s">
        <v>35</v>
      </c>
      <c r="B15" s="8">
        <v>2.4E-2</v>
      </c>
    </row>
    <row r="16" spans="1:2">
      <c r="A16" s="9" t="s">
        <v>36</v>
      </c>
      <c r="B16" s="8">
        <v>1E-3</v>
      </c>
    </row>
    <row r="17" spans="1:2">
      <c r="A17" s="9" t="s">
        <v>37</v>
      </c>
      <c r="B17" s="8">
        <v>-3.2029999999999998</v>
      </c>
    </row>
    <row r="18" spans="1:2">
      <c r="A18" s="9" t="s">
        <v>38</v>
      </c>
      <c r="B18" s="8">
        <v>8.5999999999999993E-2</v>
      </c>
    </row>
    <row r="19" spans="1:2">
      <c r="A19" s="9" t="s">
        <v>39</v>
      </c>
      <c r="B19" s="8">
        <v>0.69899999999999995</v>
      </c>
    </row>
    <row r="20" spans="1:2">
      <c r="A20" s="9" t="s">
        <v>40</v>
      </c>
      <c r="B20" s="8">
        <v>0</v>
      </c>
    </row>
    <row r="21" spans="1:2">
      <c r="A21" s="9" t="s">
        <v>41</v>
      </c>
      <c r="B21" s="8">
        <v>7900000</v>
      </c>
    </row>
    <row r="22" spans="1:2">
      <c r="A22" s="11">
        <v>7900000</v>
      </c>
      <c r="B22" s="8">
        <v>0</v>
      </c>
    </row>
    <row r="23" spans="1:2">
      <c r="B23" s="8"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F8F91-DFE3-4A02-A806-D8800C1627B2}">
  <sheetPr codeName="Sheet3"/>
  <dimension ref="A1:C7904"/>
  <sheetViews>
    <sheetView topLeftCell="A7783" workbookViewId="0">
      <selection activeCell="A7794" sqref="A7794"/>
    </sheetView>
  </sheetViews>
  <sheetFormatPr defaultRowHeight="14.5"/>
  <cols>
    <col min="2" max="2" width="60.08984375" customWidth="1"/>
  </cols>
  <sheetData>
    <row r="1" spans="1:3">
      <c r="A1">
        <v>1</v>
      </c>
      <c r="B1" t="s">
        <v>27</v>
      </c>
      <c r="C1" s="2">
        <f>B2</f>
        <v>0.74255000000000004</v>
      </c>
    </row>
    <row r="2" spans="1:3">
      <c r="A2">
        <v>1</v>
      </c>
      <c r="B2" s="2">
        <v>0.74255000000000004</v>
      </c>
      <c r="C2" s="2" t="str">
        <f t="shared" ref="C2:C43" si="0">B3</f>
        <v>Sharpe Ratio</v>
      </c>
    </row>
    <row r="3" spans="1:3">
      <c r="A3">
        <v>1</v>
      </c>
      <c r="B3" t="s">
        <v>1</v>
      </c>
      <c r="C3" s="2">
        <f t="shared" si="0"/>
        <v>1.5649999999999999</v>
      </c>
    </row>
    <row r="4" spans="1:3">
      <c r="A4">
        <v>1</v>
      </c>
      <c r="B4">
        <v>1.5649999999999999</v>
      </c>
      <c r="C4" s="2" t="str">
        <f t="shared" si="0"/>
        <v>Total Trades</v>
      </c>
    </row>
    <row r="5" spans="1:3">
      <c r="A5">
        <v>1</v>
      </c>
      <c r="B5" t="s">
        <v>28</v>
      </c>
      <c r="C5" s="2">
        <f t="shared" si="0"/>
        <v>312</v>
      </c>
    </row>
    <row r="6" spans="1:3">
      <c r="A6">
        <v>1</v>
      </c>
      <c r="B6">
        <v>312</v>
      </c>
      <c r="C6" s="2" t="str">
        <f t="shared" si="0"/>
        <v>Average Win</v>
      </c>
    </row>
    <row r="7" spans="1:3">
      <c r="A7">
        <v>1</v>
      </c>
      <c r="B7" t="s">
        <v>25</v>
      </c>
      <c r="C7" s="2">
        <f t="shared" si="0"/>
        <v>2.8999999999999998E-3</v>
      </c>
    </row>
    <row r="8" spans="1:3">
      <c r="A8">
        <v>1</v>
      </c>
      <c r="B8" s="2">
        <v>2.8999999999999998E-3</v>
      </c>
      <c r="C8" s="2" t="str">
        <f t="shared" si="0"/>
        <v>Average Loss</v>
      </c>
    </row>
    <row r="9" spans="1:3">
      <c r="A9">
        <v>1</v>
      </c>
      <c r="B9" t="s">
        <v>29</v>
      </c>
      <c r="C9" s="2">
        <f t="shared" si="0"/>
        <v>-1.1000000000000001E-3</v>
      </c>
    </row>
    <row r="10" spans="1:3">
      <c r="A10">
        <v>1</v>
      </c>
      <c r="B10" s="2">
        <v>-1.1000000000000001E-3</v>
      </c>
      <c r="C10" s="2" t="str">
        <f t="shared" si="0"/>
        <v>Compounding Annual Return</v>
      </c>
    </row>
    <row r="11" spans="1:3">
      <c r="A11">
        <v>1</v>
      </c>
      <c r="B11" t="s">
        <v>30</v>
      </c>
      <c r="C11" s="2">
        <f t="shared" si="0"/>
        <v>2.1080000000000002E-2</v>
      </c>
    </row>
    <row r="12" spans="1:3">
      <c r="A12">
        <v>1</v>
      </c>
      <c r="B12" s="2">
        <v>2.1080000000000002E-2</v>
      </c>
      <c r="C12" s="2" t="str">
        <f t="shared" si="0"/>
        <v>Drawdown</v>
      </c>
    </row>
    <row r="13" spans="1:3">
      <c r="A13">
        <v>1</v>
      </c>
      <c r="B13" t="s">
        <v>8</v>
      </c>
      <c r="C13" s="2">
        <f t="shared" si="0"/>
        <v>6.0000000000000001E-3</v>
      </c>
    </row>
    <row r="14" spans="1:3">
      <c r="A14">
        <v>1</v>
      </c>
      <c r="B14" s="2">
        <v>6.0000000000000001E-3</v>
      </c>
      <c r="C14" s="2" t="str">
        <f t="shared" si="0"/>
        <v>Expectancy</v>
      </c>
    </row>
    <row r="15" spans="1:3">
      <c r="A15">
        <v>1</v>
      </c>
      <c r="B15" t="s">
        <v>31</v>
      </c>
      <c r="C15" s="2">
        <f t="shared" si="0"/>
        <v>1.149</v>
      </c>
    </row>
    <row r="16" spans="1:3">
      <c r="A16">
        <v>1</v>
      </c>
      <c r="B16">
        <v>1.149</v>
      </c>
      <c r="C16" s="2" t="str">
        <f t="shared" si="0"/>
        <v>Net Profit</v>
      </c>
    </row>
    <row r="17" spans="1:3">
      <c r="A17">
        <v>1</v>
      </c>
      <c r="B17" t="s">
        <v>32</v>
      </c>
      <c r="C17" s="2">
        <f t="shared" si="0"/>
        <v>1.3520000000000001E-2</v>
      </c>
    </row>
    <row r="18" spans="1:3">
      <c r="A18">
        <v>1</v>
      </c>
      <c r="B18" s="2">
        <v>1.3520000000000001E-2</v>
      </c>
      <c r="C18" s="2" t="str">
        <f t="shared" si="0"/>
        <v>Loss Rate</v>
      </c>
    </row>
    <row r="19" spans="1:3">
      <c r="A19">
        <v>1</v>
      </c>
      <c r="B19" t="s">
        <v>33</v>
      </c>
      <c r="C19" s="2">
        <f t="shared" si="0"/>
        <v>0.4</v>
      </c>
    </row>
    <row r="20" spans="1:3">
      <c r="A20">
        <v>1</v>
      </c>
      <c r="B20" s="3">
        <v>0.4</v>
      </c>
      <c r="C20" s="2" t="str">
        <f t="shared" si="0"/>
        <v>Win Rate</v>
      </c>
    </row>
    <row r="21" spans="1:3">
      <c r="A21">
        <v>1</v>
      </c>
      <c r="B21" t="s">
        <v>34</v>
      </c>
      <c r="C21" s="2">
        <f t="shared" si="0"/>
        <v>0.6</v>
      </c>
    </row>
    <row r="22" spans="1:3">
      <c r="A22">
        <v>1</v>
      </c>
      <c r="B22" s="3">
        <v>0.6</v>
      </c>
      <c r="C22" s="2" t="str">
        <f t="shared" si="0"/>
        <v>Profit-Loss Ratio</v>
      </c>
    </row>
    <row r="23" spans="1:3">
      <c r="A23">
        <v>1</v>
      </c>
      <c r="B23" t="s">
        <v>26</v>
      </c>
      <c r="C23" s="2">
        <f t="shared" si="0"/>
        <v>2.58</v>
      </c>
    </row>
    <row r="24" spans="1:3">
      <c r="A24">
        <v>1</v>
      </c>
      <c r="B24">
        <v>2.58</v>
      </c>
      <c r="C24" s="2" t="str">
        <f t="shared" si="0"/>
        <v>Alpha</v>
      </c>
    </row>
    <row r="25" spans="1:3">
      <c r="A25">
        <v>1</v>
      </c>
      <c r="B25" t="s">
        <v>23</v>
      </c>
      <c r="C25" s="2">
        <f t="shared" si="0"/>
        <v>1.4E-2</v>
      </c>
    </row>
    <row r="26" spans="1:3">
      <c r="A26">
        <v>1</v>
      </c>
      <c r="B26">
        <v>1.4E-2</v>
      </c>
      <c r="C26" s="2" t="str">
        <f t="shared" si="0"/>
        <v>Beta</v>
      </c>
    </row>
    <row r="27" spans="1:3">
      <c r="A27">
        <v>1</v>
      </c>
      <c r="B27" t="s">
        <v>24</v>
      </c>
      <c r="C27" s="2">
        <f t="shared" si="0"/>
        <v>5.0000000000000001E-3</v>
      </c>
    </row>
    <row r="28" spans="1:3">
      <c r="A28">
        <v>1</v>
      </c>
      <c r="B28">
        <v>5.0000000000000001E-3</v>
      </c>
      <c r="C28" s="2" t="str">
        <f t="shared" si="0"/>
        <v>Annual Standard Deviation</v>
      </c>
    </row>
    <row r="29" spans="1:3">
      <c r="A29">
        <v>1</v>
      </c>
      <c r="B29" t="s">
        <v>35</v>
      </c>
      <c r="C29" s="2">
        <f t="shared" si="0"/>
        <v>8.9999999999999993E-3</v>
      </c>
    </row>
    <row r="30" spans="1:3">
      <c r="A30">
        <v>1</v>
      </c>
      <c r="B30">
        <v>8.9999999999999993E-3</v>
      </c>
      <c r="C30" s="2" t="str">
        <f t="shared" si="0"/>
        <v>Annual Variance</v>
      </c>
    </row>
    <row r="31" spans="1:3">
      <c r="A31">
        <v>1</v>
      </c>
      <c r="B31" t="s">
        <v>36</v>
      </c>
      <c r="C31" s="2">
        <f t="shared" si="0"/>
        <v>0</v>
      </c>
    </row>
    <row r="32" spans="1:3">
      <c r="A32">
        <v>1</v>
      </c>
      <c r="B32">
        <v>0</v>
      </c>
      <c r="C32" s="2" t="str">
        <f t="shared" si="0"/>
        <v>Information Ratio</v>
      </c>
    </row>
    <row r="33" spans="1:3">
      <c r="A33">
        <v>1</v>
      </c>
      <c r="B33" t="s">
        <v>37</v>
      </c>
      <c r="C33" s="2">
        <f t="shared" si="0"/>
        <v>-0.73599999999999999</v>
      </c>
    </row>
    <row r="34" spans="1:3">
      <c r="A34">
        <v>1</v>
      </c>
      <c r="B34">
        <v>-0.73599999999999999</v>
      </c>
      <c r="C34" s="2" t="str">
        <f t="shared" si="0"/>
        <v>Tracking Error</v>
      </c>
    </row>
    <row r="35" spans="1:3">
      <c r="A35">
        <v>1</v>
      </c>
      <c r="B35" t="s">
        <v>38</v>
      </c>
      <c r="C35" s="2">
        <f t="shared" si="0"/>
        <v>6.7000000000000004E-2</v>
      </c>
    </row>
    <row r="36" spans="1:3">
      <c r="A36">
        <v>1</v>
      </c>
      <c r="B36">
        <v>6.7000000000000004E-2</v>
      </c>
      <c r="C36" s="2" t="str">
        <f t="shared" si="0"/>
        <v>Treynor Ratio</v>
      </c>
    </row>
    <row r="37" spans="1:3">
      <c r="A37">
        <v>1</v>
      </c>
      <c r="B37" t="s">
        <v>39</v>
      </c>
      <c r="C37" s="2">
        <f t="shared" si="0"/>
        <v>3.1120000000000001</v>
      </c>
    </row>
    <row r="38" spans="1:3">
      <c r="A38">
        <v>1</v>
      </c>
      <c r="B38">
        <v>3.1120000000000001</v>
      </c>
      <c r="C38" s="2" t="str">
        <f t="shared" si="0"/>
        <v>Total Fees</v>
      </c>
    </row>
    <row r="39" spans="1:3">
      <c r="A39">
        <v>1</v>
      </c>
      <c r="B39" t="s">
        <v>40</v>
      </c>
      <c r="C39" s="2">
        <f t="shared" si="0"/>
        <v>0</v>
      </c>
    </row>
    <row r="40" spans="1:3">
      <c r="A40">
        <v>1</v>
      </c>
      <c r="B40" s="4">
        <v>0</v>
      </c>
      <c r="C40" s="2" t="str">
        <f t="shared" si="0"/>
        <v>Estimated Strategy Capacity</v>
      </c>
    </row>
    <row r="41" spans="1:3">
      <c r="A41">
        <v>1</v>
      </c>
      <c r="B41" t="s">
        <v>41</v>
      </c>
      <c r="C41" s="2">
        <f t="shared" si="0"/>
        <v>470000000</v>
      </c>
    </row>
    <row r="42" spans="1:3">
      <c r="A42">
        <v>1</v>
      </c>
      <c r="B42" s="4">
        <v>470000000</v>
      </c>
      <c r="C42" s="2" t="str">
        <f t="shared" si="0"/>
        <v>Lowest Capacity Asset</v>
      </c>
    </row>
    <row r="43" spans="1:3">
      <c r="A43">
        <v>1</v>
      </c>
      <c r="B43" t="s">
        <v>42</v>
      </c>
      <c r="C43" s="2" t="str">
        <f t="shared" si="0"/>
        <v>EURGBP 8G</v>
      </c>
    </row>
    <row r="44" spans="1:3">
      <c r="A44">
        <v>1</v>
      </c>
      <c r="B44" t="s">
        <v>43</v>
      </c>
      <c r="C44" s="2"/>
    </row>
    <row r="45" spans="1:3">
      <c r="A45">
        <v>2</v>
      </c>
      <c r="B45" t="s">
        <v>27</v>
      </c>
    </row>
    <row r="46" spans="1:3">
      <c r="A46">
        <v>2</v>
      </c>
      <c r="B46" s="2">
        <v>0.74880999999999998</v>
      </c>
    </row>
    <row r="47" spans="1:3">
      <c r="A47">
        <v>2</v>
      </c>
      <c r="B47" t="s">
        <v>1</v>
      </c>
    </row>
    <row r="48" spans="1:3">
      <c r="A48">
        <v>2</v>
      </c>
      <c r="B48">
        <v>1.681</v>
      </c>
    </row>
    <row r="49" spans="1:2">
      <c r="A49">
        <v>2</v>
      </c>
      <c r="B49" t="s">
        <v>28</v>
      </c>
    </row>
    <row r="50" spans="1:2">
      <c r="A50">
        <v>2</v>
      </c>
      <c r="B50">
        <v>312</v>
      </c>
    </row>
    <row r="51" spans="1:2">
      <c r="A51">
        <v>2</v>
      </c>
      <c r="B51" t="s">
        <v>25</v>
      </c>
    </row>
    <row r="52" spans="1:2">
      <c r="A52">
        <v>2</v>
      </c>
      <c r="B52" s="2">
        <v>2.8400000000000002E-2</v>
      </c>
    </row>
    <row r="53" spans="1:2">
      <c r="A53">
        <v>2</v>
      </c>
      <c r="B53" t="s">
        <v>29</v>
      </c>
    </row>
    <row r="54" spans="1:2">
      <c r="A54">
        <v>2</v>
      </c>
      <c r="B54" s="2">
        <v>-1.0699999999999999E-2</v>
      </c>
    </row>
    <row r="55" spans="1:2">
      <c r="A55">
        <v>2</v>
      </c>
      <c r="B55" t="s">
        <v>30</v>
      </c>
    </row>
    <row r="56" spans="1:2">
      <c r="A56">
        <v>2</v>
      </c>
      <c r="B56" s="2">
        <v>0.21772</v>
      </c>
    </row>
    <row r="57" spans="1:2">
      <c r="A57">
        <v>2</v>
      </c>
      <c r="B57" t="s">
        <v>8</v>
      </c>
    </row>
    <row r="58" spans="1:2">
      <c r="A58">
        <v>2</v>
      </c>
      <c r="B58" s="2">
        <v>5.6000000000000001E-2</v>
      </c>
    </row>
    <row r="59" spans="1:2">
      <c r="A59">
        <v>2</v>
      </c>
      <c r="B59" t="s">
        <v>31</v>
      </c>
    </row>
    <row r="60" spans="1:2">
      <c r="A60">
        <v>2</v>
      </c>
      <c r="B60">
        <v>1.1910000000000001</v>
      </c>
    </row>
    <row r="61" spans="1:2">
      <c r="A61">
        <v>2</v>
      </c>
      <c r="B61" t="s">
        <v>32</v>
      </c>
    </row>
    <row r="62" spans="1:2">
      <c r="A62">
        <v>2</v>
      </c>
      <c r="B62" s="2">
        <v>0.13519</v>
      </c>
    </row>
    <row r="63" spans="1:2">
      <c r="A63">
        <v>2</v>
      </c>
      <c r="B63" t="s">
        <v>33</v>
      </c>
    </row>
    <row r="64" spans="1:2">
      <c r="A64">
        <v>2</v>
      </c>
      <c r="B64" s="3">
        <v>0.4</v>
      </c>
    </row>
    <row r="65" spans="1:2">
      <c r="A65">
        <v>2</v>
      </c>
      <c r="B65" t="s">
        <v>34</v>
      </c>
    </row>
    <row r="66" spans="1:2">
      <c r="A66">
        <v>2</v>
      </c>
      <c r="B66" s="3">
        <v>0.6</v>
      </c>
    </row>
    <row r="67" spans="1:2">
      <c r="A67">
        <v>2</v>
      </c>
      <c r="B67" t="s">
        <v>26</v>
      </c>
    </row>
    <row r="68" spans="1:2">
      <c r="A68">
        <v>2</v>
      </c>
      <c r="B68">
        <v>2.65</v>
      </c>
    </row>
    <row r="69" spans="1:2">
      <c r="A69">
        <v>2</v>
      </c>
      <c r="B69" t="s">
        <v>23</v>
      </c>
    </row>
    <row r="70" spans="1:2">
      <c r="A70">
        <v>2</v>
      </c>
      <c r="B70">
        <v>0.14799999999999999</v>
      </c>
    </row>
    <row r="71" spans="1:2">
      <c r="A71">
        <v>2</v>
      </c>
      <c r="B71" t="s">
        <v>24</v>
      </c>
    </row>
    <row r="72" spans="1:2">
      <c r="A72">
        <v>2</v>
      </c>
      <c r="B72">
        <v>4.5999999999999999E-2</v>
      </c>
    </row>
    <row r="73" spans="1:2">
      <c r="A73">
        <v>2</v>
      </c>
      <c r="B73" t="s">
        <v>35</v>
      </c>
    </row>
    <row r="74" spans="1:2">
      <c r="A74">
        <v>2</v>
      </c>
      <c r="B74">
        <v>0.09</v>
      </c>
    </row>
    <row r="75" spans="1:2">
      <c r="A75">
        <v>2</v>
      </c>
      <c r="B75" t="s">
        <v>36</v>
      </c>
    </row>
    <row r="76" spans="1:2">
      <c r="A76">
        <v>2</v>
      </c>
      <c r="B76">
        <v>8.0000000000000002E-3</v>
      </c>
    </row>
    <row r="77" spans="1:2">
      <c r="A77">
        <v>2</v>
      </c>
      <c r="B77" t="s">
        <v>37</v>
      </c>
    </row>
    <row r="78" spans="1:2">
      <c r="A78">
        <v>2</v>
      </c>
      <c r="B78">
        <v>0.78800000000000003</v>
      </c>
    </row>
    <row r="79" spans="1:2">
      <c r="A79">
        <v>2</v>
      </c>
      <c r="B79" t="s">
        <v>38</v>
      </c>
    </row>
    <row r="80" spans="1:2">
      <c r="A80">
        <v>2</v>
      </c>
      <c r="B80">
        <v>0.11</v>
      </c>
    </row>
    <row r="81" spans="1:2">
      <c r="A81">
        <v>2</v>
      </c>
      <c r="B81" t="s">
        <v>39</v>
      </c>
    </row>
    <row r="82" spans="1:2">
      <c r="A82">
        <v>2</v>
      </c>
      <c r="B82">
        <v>3.2970000000000002</v>
      </c>
    </row>
    <row r="83" spans="1:2">
      <c r="A83">
        <v>2</v>
      </c>
      <c r="B83" t="s">
        <v>40</v>
      </c>
    </row>
    <row r="84" spans="1:2">
      <c r="A84">
        <v>2</v>
      </c>
      <c r="B84" s="4">
        <v>0</v>
      </c>
    </row>
    <row r="85" spans="1:2">
      <c r="A85">
        <v>2</v>
      </c>
      <c r="B85" t="s">
        <v>41</v>
      </c>
    </row>
    <row r="86" spans="1:2">
      <c r="A86">
        <v>2</v>
      </c>
      <c r="B86" s="4">
        <v>57000000</v>
      </c>
    </row>
    <row r="87" spans="1:2">
      <c r="A87">
        <v>2</v>
      </c>
      <c r="B87" t="s">
        <v>42</v>
      </c>
    </row>
    <row r="88" spans="1:2">
      <c r="A88">
        <v>2</v>
      </c>
      <c r="B88" t="s">
        <v>43</v>
      </c>
    </row>
    <row r="89" spans="1:2">
      <c r="A89">
        <v>3</v>
      </c>
      <c r="B89" t="s">
        <v>27</v>
      </c>
    </row>
    <row r="90" spans="1:2">
      <c r="A90">
        <v>3</v>
      </c>
      <c r="B90" s="2">
        <v>0.77280000000000004</v>
      </c>
    </row>
    <row r="91" spans="1:2">
      <c r="A91">
        <v>3</v>
      </c>
      <c r="B91" t="s">
        <v>1</v>
      </c>
    </row>
    <row r="92" spans="1:2">
      <c r="A92">
        <v>3</v>
      </c>
      <c r="B92">
        <v>2.2429999999999999</v>
      </c>
    </row>
    <row r="93" spans="1:2">
      <c r="A93">
        <v>3</v>
      </c>
      <c r="B93" t="s">
        <v>28</v>
      </c>
    </row>
    <row r="94" spans="1:2">
      <c r="A94">
        <v>3</v>
      </c>
      <c r="B94">
        <v>312</v>
      </c>
    </row>
    <row r="95" spans="1:2">
      <c r="A95">
        <v>3</v>
      </c>
      <c r="B95" t="s">
        <v>25</v>
      </c>
    </row>
    <row r="96" spans="1:2">
      <c r="A96">
        <v>3</v>
      </c>
      <c r="B96" s="2">
        <v>0.1236</v>
      </c>
    </row>
    <row r="97" spans="1:2">
      <c r="A97">
        <v>3</v>
      </c>
      <c r="B97" t="s">
        <v>29</v>
      </c>
    </row>
    <row r="98" spans="1:2">
      <c r="A98">
        <v>3</v>
      </c>
      <c r="B98" s="2">
        <v>-4.24E-2</v>
      </c>
    </row>
    <row r="99" spans="1:2">
      <c r="A99">
        <v>3</v>
      </c>
      <c r="B99" t="s">
        <v>30</v>
      </c>
    </row>
    <row r="100" spans="1:2">
      <c r="A100">
        <v>3</v>
      </c>
      <c r="B100" s="2">
        <v>1.2304200000000001</v>
      </c>
    </row>
    <row r="101" spans="1:2">
      <c r="A101">
        <v>3</v>
      </c>
      <c r="B101" t="s">
        <v>8</v>
      </c>
    </row>
    <row r="102" spans="1:2">
      <c r="A102">
        <v>3</v>
      </c>
      <c r="B102" s="2">
        <v>0.22900000000000001</v>
      </c>
    </row>
    <row r="103" spans="1:2">
      <c r="A103">
        <v>3</v>
      </c>
      <c r="B103" t="s">
        <v>31</v>
      </c>
    </row>
    <row r="104" spans="1:2">
      <c r="A104">
        <v>3</v>
      </c>
      <c r="B104">
        <v>1.351</v>
      </c>
    </row>
    <row r="105" spans="1:2">
      <c r="A105">
        <v>3</v>
      </c>
      <c r="B105" t="s">
        <v>32</v>
      </c>
    </row>
    <row r="106" spans="1:2">
      <c r="A106">
        <v>3</v>
      </c>
      <c r="B106" s="2">
        <v>0.67596000000000001</v>
      </c>
    </row>
    <row r="107" spans="1:2">
      <c r="A107">
        <v>3</v>
      </c>
      <c r="B107" t="s">
        <v>33</v>
      </c>
    </row>
    <row r="108" spans="1:2">
      <c r="A108">
        <v>3</v>
      </c>
      <c r="B108" s="3">
        <v>0.4</v>
      </c>
    </row>
    <row r="109" spans="1:2">
      <c r="A109">
        <v>3</v>
      </c>
      <c r="B109" t="s">
        <v>34</v>
      </c>
    </row>
    <row r="110" spans="1:2">
      <c r="A110">
        <v>3</v>
      </c>
      <c r="B110" s="3">
        <v>0.6</v>
      </c>
    </row>
    <row r="111" spans="1:2">
      <c r="A111">
        <v>3</v>
      </c>
      <c r="B111" t="s">
        <v>26</v>
      </c>
    </row>
    <row r="112" spans="1:2">
      <c r="A112">
        <v>3</v>
      </c>
      <c r="B112">
        <v>2.92</v>
      </c>
    </row>
    <row r="113" spans="1:2">
      <c r="A113">
        <v>3</v>
      </c>
      <c r="B113" t="s">
        <v>23</v>
      </c>
    </row>
    <row r="114" spans="1:2">
      <c r="A114">
        <v>3</v>
      </c>
      <c r="B114">
        <v>0.85599999999999998</v>
      </c>
    </row>
    <row r="115" spans="1:2">
      <c r="A115">
        <v>3</v>
      </c>
      <c r="B115" t="s">
        <v>24</v>
      </c>
    </row>
    <row r="116" spans="1:2">
      <c r="A116">
        <v>3</v>
      </c>
      <c r="B116">
        <v>0.20499999999999999</v>
      </c>
    </row>
    <row r="117" spans="1:2">
      <c r="A117">
        <v>3</v>
      </c>
      <c r="B117" t="s">
        <v>35</v>
      </c>
    </row>
    <row r="118" spans="1:2">
      <c r="A118">
        <v>3</v>
      </c>
      <c r="B118">
        <v>0.38800000000000001</v>
      </c>
    </row>
    <row r="119" spans="1:2">
      <c r="A119">
        <v>3</v>
      </c>
      <c r="B119" t="s">
        <v>36</v>
      </c>
    </row>
    <row r="120" spans="1:2">
      <c r="A120">
        <v>3</v>
      </c>
      <c r="B120">
        <v>0.15</v>
      </c>
    </row>
    <row r="121" spans="1:2">
      <c r="A121">
        <v>3</v>
      </c>
      <c r="B121" t="s">
        <v>37</v>
      </c>
    </row>
    <row r="122" spans="1:2">
      <c r="A122">
        <v>3</v>
      </c>
      <c r="B122">
        <v>2.0590000000000002</v>
      </c>
    </row>
    <row r="123" spans="1:2">
      <c r="A123">
        <v>3</v>
      </c>
      <c r="B123" t="s">
        <v>38</v>
      </c>
    </row>
    <row r="124" spans="1:2">
      <c r="A124">
        <v>3</v>
      </c>
      <c r="B124">
        <v>0.39100000000000001</v>
      </c>
    </row>
    <row r="125" spans="1:2">
      <c r="A125">
        <v>3</v>
      </c>
      <c r="B125" t="s">
        <v>39</v>
      </c>
    </row>
    <row r="126" spans="1:2">
      <c r="A126">
        <v>3</v>
      </c>
      <c r="B126">
        <v>4.2450000000000001</v>
      </c>
    </row>
    <row r="127" spans="1:2">
      <c r="A127">
        <v>3</v>
      </c>
      <c r="B127" t="s">
        <v>40</v>
      </c>
    </row>
    <row r="128" spans="1:2">
      <c r="A128">
        <v>3</v>
      </c>
      <c r="B128" s="4">
        <v>0</v>
      </c>
    </row>
    <row r="129" spans="1:2">
      <c r="A129">
        <v>3</v>
      </c>
      <c r="B129" t="s">
        <v>41</v>
      </c>
    </row>
    <row r="130" spans="1:2">
      <c r="A130">
        <v>3</v>
      </c>
      <c r="B130" s="4">
        <v>20000000</v>
      </c>
    </row>
    <row r="131" spans="1:2">
      <c r="A131">
        <v>3</v>
      </c>
      <c r="B131" t="s">
        <v>42</v>
      </c>
    </row>
    <row r="132" spans="1:2">
      <c r="A132">
        <v>3</v>
      </c>
      <c r="B132" t="s">
        <v>43</v>
      </c>
    </row>
    <row r="133" spans="1:2">
      <c r="A133">
        <v>4</v>
      </c>
      <c r="B133" t="s">
        <v>27</v>
      </c>
    </row>
    <row r="134" spans="1:2">
      <c r="A134">
        <v>4</v>
      </c>
      <c r="B134" s="2">
        <v>5.8100000000000001E-3</v>
      </c>
    </row>
    <row r="135" spans="1:2">
      <c r="A135">
        <v>4</v>
      </c>
      <c r="B135" t="s">
        <v>1</v>
      </c>
    </row>
    <row r="136" spans="1:2">
      <c r="A136">
        <v>4</v>
      </c>
      <c r="B136">
        <v>-1.57</v>
      </c>
    </row>
    <row r="137" spans="1:2">
      <c r="A137">
        <v>4</v>
      </c>
      <c r="B137" t="s">
        <v>28</v>
      </c>
    </row>
    <row r="138" spans="1:2">
      <c r="A138">
        <v>4</v>
      </c>
      <c r="B138">
        <v>198</v>
      </c>
    </row>
    <row r="139" spans="1:2">
      <c r="A139">
        <v>4</v>
      </c>
      <c r="B139" t="s">
        <v>25</v>
      </c>
    </row>
    <row r="140" spans="1:2">
      <c r="A140">
        <v>4</v>
      </c>
      <c r="B140" s="2">
        <v>1.1999999999999999E-3</v>
      </c>
    </row>
    <row r="141" spans="1:2">
      <c r="A141">
        <v>4</v>
      </c>
      <c r="B141" t="s">
        <v>29</v>
      </c>
    </row>
    <row r="142" spans="1:2">
      <c r="A142">
        <v>4</v>
      </c>
      <c r="B142" s="2">
        <v>-3.7000000000000002E-3</v>
      </c>
    </row>
    <row r="143" spans="1:2">
      <c r="A143">
        <v>4</v>
      </c>
      <c r="B143" t="s">
        <v>30</v>
      </c>
    </row>
    <row r="144" spans="1:2">
      <c r="A144">
        <v>4</v>
      </c>
      <c r="B144" s="2">
        <v>-1.9720000000000001E-2</v>
      </c>
    </row>
    <row r="145" spans="1:2">
      <c r="A145">
        <v>4</v>
      </c>
      <c r="B145" t="s">
        <v>8</v>
      </c>
    </row>
    <row r="146" spans="1:2">
      <c r="A146">
        <v>4</v>
      </c>
      <c r="B146" s="2">
        <v>1.6E-2</v>
      </c>
    </row>
    <row r="147" spans="1:2">
      <c r="A147">
        <v>4</v>
      </c>
      <c r="B147" t="s">
        <v>31</v>
      </c>
    </row>
    <row r="148" spans="1:2">
      <c r="A148">
        <v>4</v>
      </c>
      <c r="B148">
        <v>-0.56200000000000006</v>
      </c>
    </row>
    <row r="149" spans="1:2">
      <c r="A149">
        <v>4</v>
      </c>
      <c r="B149" t="s">
        <v>32</v>
      </c>
    </row>
    <row r="150" spans="1:2">
      <c r="A150">
        <v>4</v>
      </c>
      <c r="B150" s="2">
        <v>-1.274E-2</v>
      </c>
    </row>
    <row r="151" spans="1:2">
      <c r="A151">
        <v>4</v>
      </c>
      <c r="B151" t="s">
        <v>33</v>
      </c>
    </row>
    <row r="152" spans="1:2">
      <c r="A152">
        <v>4</v>
      </c>
      <c r="B152" s="3">
        <v>0.67</v>
      </c>
    </row>
    <row r="153" spans="1:2">
      <c r="A153">
        <v>4</v>
      </c>
      <c r="B153" t="s">
        <v>34</v>
      </c>
    </row>
    <row r="154" spans="1:2">
      <c r="A154">
        <v>4</v>
      </c>
      <c r="B154" s="3">
        <v>0.33</v>
      </c>
    </row>
    <row r="155" spans="1:2">
      <c r="A155">
        <v>4</v>
      </c>
      <c r="B155" t="s">
        <v>26</v>
      </c>
    </row>
    <row r="156" spans="1:2">
      <c r="A156">
        <v>4</v>
      </c>
      <c r="B156">
        <v>0.31</v>
      </c>
    </row>
    <row r="157" spans="1:2">
      <c r="A157">
        <v>4</v>
      </c>
      <c r="B157" t="s">
        <v>23</v>
      </c>
    </row>
    <row r="158" spans="1:2">
      <c r="A158">
        <v>4</v>
      </c>
      <c r="B158">
        <v>-1.4999999999999999E-2</v>
      </c>
    </row>
    <row r="159" spans="1:2">
      <c r="A159">
        <v>4</v>
      </c>
      <c r="B159" t="s">
        <v>24</v>
      </c>
    </row>
    <row r="160" spans="1:2">
      <c r="A160">
        <v>4</v>
      </c>
      <c r="B160">
        <v>2.3E-2</v>
      </c>
    </row>
    <row r="161" spans="1:2">
      <c r="A161">
        <v>4</v>
      </c>
      <c r="B161" t="s">
        <v>35</v>
      </c>
    </row>
    <row r="162" spans="1:2">
      <c r="A162">
        <v>4</v>
      </c>
      <c r="B162">
        <v>8.9999999999999993E-3</v>
      </c>
    </row>
    <row r="163" spans="1:2">
      <c r="A163">
        <v>4</v>
      </c>
      <c r="B163" t="s">
        <v>36</v>
      </c>
    </row>
    <row r="164" spans="1:2">
      <c r="A164">
        <v>4</v>
      </c>
      <c r="B164">
        <v>0</v>
      </c>
    </row>
    <row r="165" spans="1:2">
      <c r="A165">
        <v>4</v>
      </c>
      <c r="B165" t="s">
        <v>37</v>
      </c>
    </row>
    <row r="166" spans="1:2">
      <c r="A166">
        <v>4</v>
      </c>
      <c r="B166">
        <v>-1.18</v>
      </c>
    </row>
    <row r="167" spans="1:2">
      <c r="A167">
        <v>4</v>
      </c>
      <c r="B167" t="s">
        <v>38</v>
      </c>
    </row>
    <row r="168" spans="1:2">
      <c r="A168">
        <v>4</v>
      </c>
      <c r="B168">
        <v>6.6000000000000003E-2</v>
      </c>
    </row>
    <row r="169" spans="1:2">
      <c r="A169">
        <v>4</v>
      </c>
      <c r="B169" t="s">
        <v>39</v>
      </c>
    </row>
    <row r="170" spans="1:2">
      <c r="A170">
        <v>4</v>
      </c>
      <c r="B170">
        <v>-0.58799999999999997</v>
      </c>
    </row>
    <row r="171" spans="1:2">
      <c r="A171">
        <v>4</v>
      </c>
      <c r="B171" t="s">
        <v>40</v>
      </c>
    </row>
    <row r="172" spans="1:2">
      <c r="A172">
        <v>4</v>
      </c>
      <c r="B172" s="4">
        <v>0</v>
      </c>
    </row>
    <row r="173" spans="1:2">
      <c r="A173">
        <v>4</v>
      </c>
      <c r="B173" t="s">
        <v>41</v>
      </c>
    </row>
    <row r="174" spans="1:2">
      <c r="A174">
        <v>4</v>
      </c>
      <c r="B174" s="4">
        <v>95000000</v>
      </c>
    </row>
    <row r="175" spans="1:2">
      <c r="A175">
        <v>4</v>
      </c>
      <c r="B175" t="s">
        <v>42</v>
      </c>
    </row>
    <row r="176" spans="1:2">
      <c r="A176">
        <v>4</v>
      </c>
      <c r="B176" t="s">
        <v>43</v>
      </c>
    </row>
    <row r="177" spans="1:2">
      <c r="A177">
        <v>5</v>
      </c>
      <c r="B177" t="s">
        <v>27</v>
      </c>
    </row>
    <row r="178" spans="1:2">
      <c r="A178">
        <v>5</v>
      </c>
      <c r="B178" s="2">
        <v>5.9800000000000001E-3</v>
      </c>
    </row>
    <row r="179" spans="1:2">
      <c r="A179">
        <v>5</v>
      </c>
      <c r="B179" t="s">
        <v>1</v>
      </c>
    </row>
    <row r="180" spans="1:2">
      <c r="A180">
        <v>5</v>
      </c>
      <c r="B180">
        <v>-1.4610000000000001</v>
      </c>
    </row>
    <row r="181" spans="1:2">
      <c r="A181">
        <v>5</v>
      </c>
      <c r="B181" t="s">
        <v>28</v>
      </c>
    </row>
    <row r="182" spans="1:2">
      <c r="A182">
        <v>5</v>
      </c>
      <c r="B182">
        <v>198</v>
      </c>
    </row>
    <row r="183" spans="1:2">
      <c r="A183">
        <v>5</v>
      </c>
      <c r="B183" t="s">
        <v>25</v>
      </c>
    </row>
    <row r="184" spans="1:2">
      <c r="A184">
        <v>5</v>
      </c>
      <c r="B184" s="2">
        <v>1.17E-2</v>
      </c>
    </row>
    <row r="185" spans="1:2">
      <c r="A185">
        <v>5</v>
      </c>
      <c r="B185" t="s">
        <v>29</v>
      </c>
    </row>
    <row r="186" spans="1:2">
      <c r="A186">
        <v>5</v>
      </c>
      <c r="B186" s="2">
        <v>-3.8199999999999998E-2</v>
      </c>
    </row>
    <row r="187" spans="1:2">
      <c r="A187">
        <v>5</v>
      </c>
      <c r="B187" t="s">
        <v>30</v>
      </c>
    </row>
    <row r="188" spans="1:2">
      <c r="A188">
        <v>5</v>
      </c>
      <c r="B188" s="2">
        <v>-0.19076000000000001</v>
      </c>
    </row>
    <row r="189" spans="1:2">
      <c r="A189">
        <v>5</v>
      </c>
      <c r="B189" t="s">
        <v>8</v>
      </c>
    </row>
    <row r="190" spans="1:2">
      <c r="A190">
        <v>5</v>
      </c>
      <c r="B190" s="2">
        <v>0.159</v>
      </c>
    </row>
    <row r="191" spans="1:2">
      <c r="A191">
        <v>5</v>
      </c>
      <c r="B191" t="s">
        <v>31</v>
      </c>
    </row>
    <row r="192" spans="1:2">
      <c r="A192">
        <v>5</v>
      </c>
      <c r="B192">
        <v>-0.56499999999999995</v>
      </c>
    </row>
    <row r="193" spans="1:2">
      <c r="A193">
        <v>5</v>
      </c>
      <c r="B193" t="s">
        <v>32</v>
      </c>
    </row>
    <row r="194" spans="1:2">
      <c r="A194">
        <v>5</v>
      </c>
      <c r="B194" s="2">
        <v>-0.12737000000000001</v>
      </c>
    </row>
    <row r="195" spans="1:2">
      <c r="A195">
        <v>5</v>
      </c>
      <c r="B195" t="s">
        <v>33</v>
      </c>
    </row>
    <row r="196" spans="1:2">
      <c r="A196">
        <v>5</v>
      </c>
      <c r="B196" s="3">
        <v>0.67</v>
      </c>
    </row>
    <row r="197" spans="1:2">
      <c r="A197">
        <v>5</v>
      </c>
      <c r="B197" t="s">
        <v>34</v>
      </c>
    </row>
    <row r="198" spans="1:2">
      <c r="A198">
        <v>5</v>
      </c>
      <c r="B198" s="3">
        <v>0.33</v>
      </c>
    </row>
    <row r="199" spans="1:2">
      <c r="A199">
        <v>5</v>
      </c>
      <c r="B199" t="s">
        <v>26</v>
      </c>
    </row>
    <row r="200" spans="1:2">
      <c r="A200">
        <v>5</v>
      </c>
      <c r="B200">
        <v>0.31</v>
      </c>
    </row>
    <row r="201" spans="1:2">
      <c r="A201">
        <v>5</v>
      </c>
      <c r="B201" t="s">
        <v>23</v>
      </c>
    </row>
    <row r="202" spans="1:2">
      <c r="A202">
        <v>5</v>
      </c>
      <c r="B202">
        <v>-0.14899999999999999</v>
      </c>
    </row>
    <row r="203" spans="1:2">
      <c r="A203">
        <v>5</v>
      </c>
      <c r="B203" t="s">
        <v>24</v>
      </c>
    </row>
    <row r="204" spans="1:2">
      <c r="A204">
        <v>5</v>
      </c>
      <c r="B204">
        <v>0.24399999999999999</v>
      </c>
    </row>
    <row r="205" spans="1:2">
      <c r="A205">
        <v>5</v>
      </c>
      <c r="B205" t="s">
        <v>35</v>
      </c>
    </row>
    <row r="206" spans="1:2">
      <c r="A206">
        <v>5</v>
      </c>
      <c r="B206">
        <v>9.0999999999999998E-2</v>
      </c>
    </row>
    <row r="207" spans="1:2">
      <c r="A207">
        <v>5</v>
      </c>
      <c r="B207" t="s">
        <v>36</v>
      </c>
    </row>
    <row r="208" spans="1:2">
      <c r="A208">
        <v>5</v>
      </c>
      <c r="B208">
        <v>8.0000000000000002E-3</v>
      </c>
    </row>
    <row r="209" spans="1:2">
      <c r="A209">
        <v>5</v>
      </c>
      <c r="B209" t="s">
        <v>37</v>
      </c>
    </row>
    <row r="210" spans="1:2">
      <c r="A210">
        <v>5</v>
      </c>
      <c r="B210">
        <v>-1.917</v>
      </c>
    </row>
    <row r="211" spans="1:2">
      <c r="A211">
        <v>5</v>
      </c>
      <c r="B211" t="s">
        <v>38</v>
      </c>
    </row>
    <row r="212" spans="1:2">
      <c r="A212">
        <v>5</v>
      </c>
      <c r="B212">
        <v>0.10299999999999999</v>
      </c>
    </row>
    <row r="213" spans="1:2">
      <c r="A213">
        <v>5</v>
      </c>
      <c r="B213" t="s">
        <v>39</v>
      </c>
    </row>
    <row r="214" spans="1:2">
      <c r="A214">
        <v>5</v>
      </c>
      <c r="B214">
        <v>-0.54500000000000004</v>
      </c>
    </row>
    <row r="215" spans="1:2">
      <c r="A215">
        <v>5</v>
      </c>
      <c r="B215" t="s">
        <v>40</v>
      </c>
    </row>
    <row r="216" spans="1:2">
      <c r="A216">
        <v>5</v>
      </c>
      <c r="B216" s="4">
        <v>0</v>
      </c>
    </row>
    <row r="217" spans="1:2">
      <c r="A217">
        <v>5</v>
      </c>
      <c r="B217" t="s">
        <v>41</v>
      </c>
    </row>
    <row r="218" spans="1:2">
      <c r="A218">
        <v>5</v>
      </c>
      <c r="B218" s="4">
        <v>13000000</v>
      </c>
    </row>
    <row r="219" spans="1:2">
      <c r="A219">
        <v>5</v>
      </c>
      <c r="B219" t="s">
        <v>42</v>
      </c>
    </row>
    <row r="220" spans="1:2">
      <c r="A220">
        <v>5</v>
      </c>
      <c r="B220" t="s">
        <v>43</v>
      </c>
    </row>
    <row r="221" spans="1:2">
      <c r="A221">
        <v>6</v>
      </c>
      <c r="B221" t="s">
        <v>27</v>
      </c>
    </row>
    <row r="222" spans="1:2">
      <c r="A222">
        <v>6</v>
      </c>
      <c r="B222" s="2">
        <v>1.468E-2</v>
      </c>
    </row>
    <row r="223" spans="1:2">
      <c r="A223">
        <v>6</v>
      </c>
      <c r="B223" t="s">
        <v>1</v>
      </c>
    </row>
    <row r="224" spans="1:2">
      <c r="A224">
        <v>6</v>
      </c>
      <c r="B224">
        <v>-0.93700000000000006</v>
      </c>
    </row>
    <row r="225" spans="1:2">
      <c r="A225">
        <v>6</v>
      </c>
      <c r="B225" t="s">
        <v>28</v>
      </c>
    </row>
    <row r="226" spans="1:2">
      <c r="A226">
        <v>6</v>
      </c>
      <c r="B226">
        <v>195</v>
      </c>
    </row>
    <row r="227" spans="1:2">
      <c r="A227">
        <v>6</v>
      </c>
      <c r="B227" t="s">
        <v>25</v>
      </c>
    </row>
    <row r="228" spans="1:2">
      <c r="A228">
        <v>6</v>
      </c>
      <c r="B228" s="2">
        <v>5.9900000000000002E-2</v>
      </c>
    </row>
    <row r="229" spans="1:2">
      <c r="A229">
        <v>6</v>
      </c>
      <c r="B229" t="s">
        <v>29</v>
      </c>
    </row>
    <row r="230" spans="1:2">
      <c r="A230">
        <v>6</v>
      </c>
      <c r="B230" s="2">
        <v>-0.19839999999999999</v>
      </c>
    </row>
    <row r="231" spans="1:2">
      <c r="A231">
        <v>6</v>
      </c>
      <c r="B231" t="s">
        <v>30</v>
      </c>
    </row>
    <row r="232" spans="1:2">
      <c r="A232">
        <v>6</v>
      </c>
      <c r="B232" s="2">
        <v>-0.72033999999999998</v>
      </c>
    </row>
    <row r="233" spans="1:2">
      <c r="A233">
        <v>6</v>
      </c>
      <c r="B233" t="s">
        <v>8</v>
      </c>
    </row>
    <row r="234" spans="1:2">
      <c r="A234">
        <v>6</v>
      </c>
      <c r="B234" s="2">
        <v>0.63400000000000001</v>
      </c>
    </row>
    <row r="235" spans="1:2">
      <c r="A235">
        <v>6</v>
      </c>
      <c r="B235" t="s">
        <v>31</v>
      </c>
    </row>
    <row r="236" spans="1:2">
      <c r="A236">
        <v>6</v>
      </c>
      <c r="B236">
        <v>-0.56599999999999995</v>
      </c>
    </row>
    <row r="237" spans="1:2">
      <c r="A237">
        <v>6</v>
      </c>
      <c r="B237" t="s">
        <v>32</v>
      </c>
    </row>
    <row r="238" spans="1:2">
      <c r="A238">
        <v>6</v>
      </c>
      <c r="B238" s="2">
        <v>-0.55966000000000005</v>
      </c>
    </row>
    <row r="239" spans="1:2">
      <c r="A239">
        <v>6</v>
      </c>
      <c r="B239" t="s">
        <v>33</v>
      </c>
    </row>
    <row r="240" spans="1:2">
      <c r="A240">
        <v>6</v>
      </c>
      <c r="B240" s="3">
        <v>0.67</v>
      </c>
    </row>
    <row r="241" spans="1:2">
      <c r="A241">
        <v>6</v>
      </c>
      <c r="B241" t="s">
        <v>34</v>
      </c>
    </row>
    <row r="242" spans="1:2">
      <c r="A242">
        <v>6</v>
      </c>
      <c r="B242" s="3">
        <v>0.33</v>
      </c>
    </row>
    <row r="243" spans="1:2">
      <c r="A243">
        <v>6</v>
      </c>
      <c r="B243" t="s">
        <v>26</v>
      </c>
    </row>
    <row r="244" spans="1:2">
      <c r="A244">
        <v>6</v>
      </c>
      <c r="B244">
        <v>0.3</v>
      </c>
    </row>
    <row r="245" spans="1:2">
      <c r="A245">
        <v>6</v>
      </c>
      <c r="B245" t="s">
        <v>23</v>
      </c>
    </row>
    <row r="246" spans="1:2">
      <c r="A246">
        <v>6</v>
      </c>
      <c r="B246">
        <v>-0.61599999999999999</v>
      </c>
    </row>
    <row r="247" spans="1:2">
      <c r="A247">
        <v>6</v>
      </c>
      <c r="B247" t="s">
        <v>24</v>
      </c>
    </row>
    <row r="248" spans="1:2">
      <c r="A248">
        <v>6</v>
      </c>
      <c r="B248">
        <v>1.53</v>
      </c>
    </row>
    <row r="249" spans="1:2">
      <c r="A249">
        <v>6</v>
      </c>
      <c r="B249" t="s">
        <v>35</v>
      </c>
    </row>
    <row r="250" spans="1:2">
      <c r="A250">
        <v>6</v>
      </c>
      <c r="B250">
        <v>0.55300000000000005</v>
      </c>
    </row>
    <row r="251" spans="1:2">
      <c r="A251">
        <v>6</v>
      </c>
      <c r="B251" t="s">
        <v>36</v>
      </c>
    </row>
    <row r="252" spans="1:2">
      <c r="A252">
        <v>6</v>
      </c>
      <c r="B252">
        <v>0.30499999999999999</v>
      </c>
    </row>
    <row r="253" spans="1:2">
      <c r="A253">
        <v>6</v>
      </c>
      <c r="B253" t="s">
        <v>37</v>
      </c>
    </row>
    <row r="254" spans="1:2">
      <c r="A254">
        <v>6</v>
      </c>
      <c r="B254">
        <v>-1.069</v>
      </c>
    </row>
    <row r="255" spans="1:2">
      <c r="A255">
        <v>6</v>
      </c>
      <c r="B255" t="s">
        <v>38</v>
      </c>
    </row>
    <row r="256" spans="1:2">
      <c r="A256">
        <v>6</v>
      </c>
      <c r="B256">
        <v>0.54400000000000004</v>
      </c>
    </row>
    <row r="257" spans="1:2">
      <c r="A257">
        <v>6</v>
      </c>
      <c r="B257" t="s">
        <v>39</v>
      </c>
    </row>
    <row r="258" spans="1:2">
      <c r="A258">
        <v>6</v>
      </c>
      <c r="B258">
        <v>-0.33800000000000002</v>
      </c>
    </row>
    <row r="259" spans="1:2">
      <c r="A259">
        <v>6</v>
      </c>
      <c r="B259" t="s">
        <v>40</v>
      </c>
    </row>
    <row r="260" spans="1:2">
      <c r="A260">
        <v>6</v>
      </c>
      <c r="B260" s="4">
        <v>0</v>
      </c>
    </row>
    <row r="261" spans="1:2">
      <c r="A261">
        <v>6</v>
      </c>
      <c r="B261" t="s">
        <v>41</v>
      </c>
    </row>
    <row r="262" spans="1:2">
      <c r="A262">
        <v>6</v>
      </c>
      <c r="B262" s="4">
        <v>3000000</v>
      </c>
    </row>
    <row r="263" spans="1:2">
      <c r="A263">
        <v>6</v>
      </c>
      <c r="B263" t="s">
        <v>42</v>
      </c>
    </row>
    <row r="264" spans="1:2">
      <c r="A264">
        <v>6</v>
      </c>
      <c r="B264" t="s">
        <v>43</v>
      </c>
    </row>
    <row r="265" spans="1:2">
      <c r="A265">
        <v>7</v>
      </c>
    </row>
    <row r="266" spans="1:2">
      <c r="A266">
        <v>7</v>
      </c>
      <c r="B266" t="s">
        <v>27</v>
      </c>
    </row>
    <row r="267" spans="1:2">
      <c r="A267">
        <v>7</v>
      </c>
      <c r="B267" s="2">
        <v>1.554E-2</v>
      </c>
    </row>
    <row r="268" spans="1:2">
      <c r="A268">
        <v>7</v>
      </c>
      <c r="B268" t="s">
        <v>1</v>
      </c>
    </row>
    <row r="269" spans="1:2">
      <c r="A269">
        <v>7</v>
      </c>
      <c r="B269">
        <v>-1.2050000000000001</v>
      </c>
    </row>
    <row r="270" spans="1:2">
      <c r="A270">
        <v>7</v>
      </c>
      <c r="B270" t="s">
        <v>28</v>
      </c>
    </row>
    <row r="271" spans="1:2">
      <c r="A271">
        <v>7</v>
      </c>
      <c r="B271">
        <v>136</v>
      </c>
    </row>
    <row r="272" spans="1:2">
      <c r="A272">
        <v>7</v>
      </c>
      <c r="B272" t="s">
        <v>25</v>
      </c>
    </row>
    <row r="273" spans="1:2">
      <c r="A273">
        <v>7</v>
      </c>
      <c r="B273" s="2">
        <v>4.7000000000000002E-3</v>
      </c>
    </row>
    <row r="274" spans="1:2">
      <c r="A274">
        <v>7</v>
      </c>
      <c r="B274" t="s">
        <v>29</v>
      </c>
    </row>
    <row r="275" spans="1:2">
      <c r="A275">
        <v>7</v>
      </c>
      <c r="B275" s="2">
        <v>-1.2999999999999999E-2</v>
      </c>
    </row>
    <row r="276" spans="1:2">
      <c r="A276">
        <v>7</v>
      </c>
      <c r="B276" t="s">
        <v>30</v>
      </c>
    </row>
    <row r="277" spans="1:2">
      <c r="A277">
        <v>7</v>
      </c>
      <c r="B277" s="2">
        <v>-2.512E-2</v>
      </c>
    </row>
    <row r="278" spans="1:2">
      <c r="A278">
        <v>7</v>
      </c>
      <c r="B278" t="s">
        <v>8</v>
      </c>
    </row>
    <row r="279" spans="1:2">
      <c r="A279">
        <v>7</v>
      </c>
      <c r="B279" s="2">
        <v>2.7E-2</v>
      </c>
    </row>
    <row r="280" spans="1:2">
      <c r="A280">
        <v>7</v>
      </c>
      <c r="B280" t="s">
        <v>31</v>
      </c>
    </row>
    <row r="281" spans="1:2">
      <c r="A281">
        <v>7</v>
      </c>
      <c r="B281">
        <v>-0.32</v>
      </c>
    </row>
    <row r="282" spans="1:2">
      <c r="A282">
        <v>7</v>
      </c>
      <c r="B282" t="s">
        <v>32</v>
      </c>
    </row>
    <row r="283" spans="1:2">
      <c r="A283">
        <v>7</v>
      </c>
      <c r="B283" s="2">
        <v>-1.6240000000000001E-2</v>
      </c>
    </row>
    <row r="284" spans="1:2">
      <c r="A284">
        <v>7</v>
      </c>
      <c r="B284" t="s">
        <v>33</v>
      </c>
    </row>
    <row r="285" spans="1:2">
      <c r="A285">
        <v>7</v>
      </c>
      <c r="B285" s="3">
        <v>0.5</v>
      </c>
    </row>
    <row r="286" spans="1:2">
      <c r="A286">
        <v>7</v>
      </c>
      <c r="B286" t="s">
        <v>34</v>
      </c>
    </row>
    <row r="287" spans="1:2">
      <c r="A287">
        <v>7</v>
      </c>
      <c r="B287" s="3">
        <v>0.5</v>
      </c>
    </row>
    <row r="288" spans="1:2">
      <c r="A288">
        <v>7</v>
      </c>
      <c r="B288" t="s">
        <v>26</v>
      </c>
    </row>
    <row r="289" spans="1:2">
      <c r="A289">
        <v>7</v>
      </c>
      <c r="B289">
        <v>0.36</v>
      </c>
    </row>
    <row r="290" spans="1:2">
      <c r="A290">
        <v>7</v>
      </c>
      <c r="B290" t="s">
        <v>23</v>
      </c>
    </row>
    <row r="291" spans="1:2">
      <c r="A291">
        <v>7</v>
      </c>
      <c r="B291">
        <v>-1.9E-2</v>
      </c>
    </row>
    <row r="292" spans="1:2">
      <c r="A292">
        <v>7</v>
      </c>
      <c r="B292" t="s">
        <v>24</v>
      </c>
    </row>
    <row r="293" spans="1:2">
      <c r="A293">
        <v>7</v>
      </c>
      <c r="B293">
        <v>1.7999999999999999E-2</v>
      </c>
    </row>
    <row r="294" spans="1:2">
      <c r="A294">
        <v>7</v>
      </c>
      <c r="B294" t="s">
        <v>35</v>
      </c>
    </row>
    <row r="295" spans="1:2">
      <c r="A295">
        <v>7</v>
      </c>
      <c r="B295">
        <v>1.4E-2</v>
      </c>
    </row>
    <row r="296" spans="1:2">
      <c r="A296">
        <v>7</v>
      </c>
      <c r="B296" t="s">
        <v>36</v>
      </c>
    </row>
    <row r="297" spans="1:2">
      <c r="A297">
        <v>7</v>
      </c>
      <c r="B297">
        <v>0</v>
      </c>
    </row>
    <row r="298" spans="1:2">
      <c r="A298">
        <v>7</v>
      </c>
      <c r="B298" t="s">
        <v>37</v>
      </c>
    </row>
    <row r="299" spans="1:2">
      <c r="A299">
        <v>7</v>
      </c>
      <c r="B299">
        <v>-1.212</v>
      </c>
    </row>
    <row r="300" spans="1:2">
      <c r="A300">
        <v>7</v>
      </c>
      <c r="B300" t="s">
        <v>38</v>
      </c>
    </row>
    <row r="301" spans="1:2">
      <c r="A301">
        <v>7</v>
      </c>
      <c r="B301">
        <v>6.7000000000000004E-2</v>
      </c>
    </row>
    <row r="302" spans="1:2">
      <c r="A302">
        <v>7</v>
      </c>
      <c r="B302" t="s">
        <v>39</v>
      </c>
    </row>
    <row r="303" spans="1:2">
      <c r="A303">
        <v>7</v>
      </c>
      <c r="B303">
        <v>-0.96299999999999997</v>
      </c>
    </row>
    <row r="304" spans="1:2">
      <c r="A304">
        <v>7</v>
      </c>
      <c r="B304" t="s">
        <v>40</v>
      </c>
    </row>
    <row r="305" spans="1:2">
      <c r="A305">
        <v>7</v>
      </c>
      <c r="B305" s="4">
        <v>0</v>
      </c>
    </row>
    <row r="306" spans="1:2">
      <c r="A306">
        <v>7</v>
      </c>
      <c r="B306" t="s">
        <v>41</v>
      </c>
    </row>
    <row r="307" spans="1:2">
      <c r="A307">
        <v>7</v>
      </c>
      <c r="B307" s="4">
        <v>240000000</v>
      </c>
    </row>
    <row r="308" spans="1:2">
      <c r="A308">
        <v>7</v>
      </c>
      <c r="B308" t="s">
        <v>42</v>
      </c>
    </row>
    <row r="309" spans="1:2">
      <c r="A309">
        <v>7</v>
      </c>
      <c r="B309" t="s">
        <v>43</v>
      </c>
    </row>
    <row r="310" spans="1:2">
      <c r="A310">
        <v>8</v>
      </c>
    </row>
    <row r="311" spans="1:2">
      <c r="A311">
        <v>8</v>
      </c>
      <c r="B311" t="s">
        <v>27</v>
      </c>
    </row>
    <row r="312" spans="1:2">
      <c r="A312">
        <v>8</v>
      </c>
      <c r="B312" s="2">
        <v>1.626E-2</v>
      </c>
    </row>
    <row r="313" spans="1:2">
      <c r="A313">
        <v>8</v>
      </c>
      <c r="B313" t="s">
        <v>1</v>
      </c>
    </row>
    <row r="314" spans="1:2">
      <c r="A314">
        <v>8</v>
      </c>
      <c r="B314">
        <v>-1.1040000000000001</v>
      </c>
    </row>
    <row r="315" spans="1:2">
      <c r="A315">
        <v>8</v>
      </c>
      <c r="B315" t="s">
        <v>28</v>
      </c>
    </row>
    <row r="316" spans="1:2">
      <c r="A316">
        <v>8</v>
      </c>
      <c r="B316">
        <v>136</v>
      </c>
    </row>
    <row r="317" spans="1:2">
      <c r="A317">
        <v>8</v>
      </c>
      <c r="B317" t="s">
        <v>25</v>
      </c>
    </row>
    <row r="318" spans="1:2">
      <c r="A318">
        <v>8</v>
      </c>
      <c r="B318" s="2">
        <v>4.6100000000000002E-2</v>
      </c>
    </row>
    <row r="319" spans="1:2">
      <c r="A319">
        <v>8</v>
      </c>
      <c r="B319" t="s">
        <v>29</v>
      </c>
    </row>
    <row r="320" spans="1:2">
      <c r="A320">
        <v>8</v>
      </c>
      <c r="B320" s="2">
        <v>-0.12509999999999999</v>
      </c>
    </row>
    <row r="321" spans="1:2">
      <c r="A321">
        <v>8</v>
      </c>
      <c r="B321" t="s">
        <v>30</v>
      </c>
    </row>
    <row r="322" spans="1:2">
      <c r="A322">
        <v>8</v>
      </c>
      <c r="B322" s="2">
        <v>-0.24071000000000001</v>
      </c>
    </row>
    <row r="323" spans="1:2">
      <c r="A323">
        <v>8</v>
      </c>
      <c r="B323" t="s">
        <v>8</v>
      </c>
    </row>
    <row r="324" spans="1:2">
      <c r="A324">
        <v>8</v>
      </c>
      <c r="B324" s="2">
        <v>0.245</v>
      </c>
    </row>
    <row r="325" spans="1:2">
      <c r="A325">
        <v>8</v>
      </c>
      <c r="B325" t="s">
        <v>31</v>
      </c>
    </row>
    <row r="326" spans="1:2">
      <c r="A326">
        <v>8</v>
      </c>
      <c r="B326">
        <v>-0.316</v>
      </c>
    </row>
    <row r="327" spans="1:2">
      <c r="A327">
        <v>8</v>
      </c>
      <c r="B327" t="s">
        <v>32</v>
      </c>
    </row>
    <row r="328" spans="1:2">
      <c r="A328">
        <v>8</v>
      </c>
      <c r="B328" s="2">
        <v>-0.16244</v>
      </c>
    </row>
    <row r="329" spans="1:2">
      <c r="A329">
        <v>8</v>
      </c>
      <c r="B329" t="s">
        <v>33</v>
      </c>
    </row>
    <row r="330" spans="1:2">
      <c r="A330">
        <v>8</v>
      </c>
      <c r="B330" s="3">
        <v>0.5</v>
      </c>
    </row>
    <row r="331" spans="1:2">
      <c r="A331">
        <v>8</v>
      </c>
      <c r="B331" t="s">
        <v>34</v>
      </c>
    </row>
    <row r="332" spans="1:2">
      <c r="A332">
        <v>8</v>
      </c>
      <c r="B332" s="3">
        <v>0.5</v>
      </c>
    </row>
    <row r="333" spans="1:2">
      <c r="A333">
        <v>8</v>
      </c>
      <c r="B333" t="s">
        <v>26</v>
      </c>
    </row>
    <row r="334" spans="1:2">
      <c r="A334">
        <v>8</v>
      </c>
      <c r="B334">
        <v>0.37</v>
      </c>
    </row>
    <row r="335" spans="1:2">
      <c r="A335">
        <v>8</v>
      </c>
      <c r="B335" t="s">
        <v>23</v>
      </c>
    </row>
    <row r="336" spans="1:2">
      <c r="A336">
        <v>8</v>
      </c>
      <c r="B336">
        <v>-0.17599999999999999</v>
      </c>
    </row>
    <row r="337" spans="1:2">
      <c r="A337">
        <v>8</v>
      </c>
      <c r="B337" t="s">
        <v>24</v>
      </c>
    </row>
    <row r="338" spans="1:2">
      <c r="A338">
        <v>8</v>
      </c>
      <c r="B338">
        <v>0.183</v>
      </c>
    </row>
    <row r="339" spans="1:2">
      <c r="A339">
        <v>8</v>
      </c>
      <c r="B339" t="s">
        <v>35</v>
      </c>
    </row>
    <row r="340" spans="1:2">
      <c r="A340">
        <v>8</v>
      </c>
      <c r="B340">
        <v>0.14899999999999999</v>
      </c>
    </row>
    <row r="341" spans="1:2">
      <c r="A341">
        <v>8</v>
      </c>
      <c r="B341" t="s">
        <v>36</v>
      </c>
    </row>
    <row r="342" spans="1:2">
      <c r="A342">
        <v>8</v>
      </c>
      <c r="B342">
        <v>2.1999999999999999E-2</v>
      </c>
    </row>
    <row r="343" spans="1:2">
      <c r="A343">
        <v>8</v>
      </c>
      <c r="B343" t="s">
        <v>37</v>
      </c>
    </row>
    <row r="344" spans="1:2">
      <c r="A344">
        <v>8</v>
      </c>
      <c r="B344">
        <v>-1.444</v>
      </c>
    </row>
    <row r="345" spans="1:2">
      <c r="A345">
        <v>8</v>
      </c>
      <c r="B345" t="s">
        <v>38</v>
      </c>
    </row>
    <row r="346" spans="1:2">
      <c r="A346">
        <v>8</v>
      </c>
      <c r="B346">
        <v>0.158</v>
      </c>
    </row>
    <row r="347" spans="1:2">
      <c r="A347">
        <v>8</v>
      </c>
      <c r="B347" t="s">
        <v>39</v>
      </c>
    </row>
    <row r="348" spans="1:2">
      <c r="A348">
        <v>8</v>
      </c>
      <c r="B348">
        <v>-0.89800000000000002</v>
      </c>
    </row>
    <row r="349" spans="1:2">
      <c r="A349">
        <v>8</v>
      </c>
      <c r="B349" t="s">
        <v>40</v>
      </c>
    </row>
    <row r="350" spans="1:2">
      <c r="A350">
        <v>8</v>
      </c>
      <c r="B350" s="4">
        <v>0</v>
      </c>
    </row>
    <row r="351" spans="1:2">
      <c r="A351">
        <v>8</v>
      </c>
      <c r="B351" t="s">
        <v>41</v>
      </c>
    </row>
    <row r="352" spans="1:2">
      <c r="A352">
        <v>8</v>
      </c>
      <c r="B352" s="4">
        <v>23000000</v>
      </c>
    </row>
    <row r="353" spans="1:2">
      <c r="A353">
        <v>8</v>
      </c>
      <c r="B353" t="s">
        <v>42</v>
      </c>
    </row>
    <row r="354" spans="1:2">
      <c r="A354">
        <v>8</v>
      </c>
      <c r="B354" t="s">
        <v>43</v>
      </c>
    </row>
    <row r="355" spans="1:2">
      <c r="A355">
        <v>34</v>
      </c>
      <c r="B355" t="s">
        <v>27</v>
      </c>
    </row>
    <row r="356" spans="1:2">
      <c r="A356">
        <v>34</v>
      </c>
      <c r="B356" s="2">
        <v>0.22356999999999999</v>
      </c>
    </row>
    <row r="357" spans="1:2">
      <c r="A357">
        <v>34</v>
      </c>
      <c r="B357" t="s">
        <v>1</v>
      </c>
    </row>
    <row r="358" spans="1:2">
      <c r="A358">
        <v>34</v>
      </c>
      <c r="B358">
        <v>0.23699999999999999</v>
      </c>
    </row>
    <row r="359" spans="1:2">
      <c r="A359">
        <v>34</v>
      </c>
      <c r="B359" t="s">
        <v>28</v>
      </c>
    </row>
    <row r="360" spans="1:2">
      <c r="A360">
        <v>34</v>
      </c>
      <c r="B360">
        <v>317</v>
      </c>
    </row>
    <row r="361" spans="1:2">
      <c r="A361">
        <v>34</v>
      </c>
      <c r="B361" t="s">
        <v>25</v>
      </c>
    </row>
    <row r="362" spans="1:2">
      <c r="A362">
        <v>34</v>
      </c>
      <c r="B362" s="2">
        <v>1.6999999999999999E-3</v>
      </c>
    </row>
    <row r="363" spans="1:2">
      <c r="A363">
        <v>34</v>
      </c>
      <c r="B363" t="s">
        <v>29</v>
      </c>
    </row>
    <row r="364" spans="1:2">
      <c r="A364">
        <v>34</v>
      </c>
      <c r="B364" s="2">
        <v>-8.0000000000000004E-4</v>
      </c>
    </row>
    <row r="365" spans="1:2">
      <c r="A365">
        <v>34</v>
      </c>
      <c r="B365" t="s">
        <v>30</v>
      </c>
    </row>
    <row r="366" spans="1:2">
      <c r="A366">
        <v>34</v>
      </c>
      <c r="B366" s="2">
        <v>3.1199999999999999E-3</v>
      </c>
    </row>
    <row r="367" spans="1:2">
      <c r="A367">
        <v>34</v>
      </c>
      <c r="B367" t="s">
        <v>8</v>
      </c>
    </row>
    <row r="368" spans="1:2">
      <c r="A368">
        <v>34</v>
      </c>
      <c r="B368" s="2">
        <v>5.0000000000000001E-3</v>
      </c>
    </row>
    <row r="369" spans="1:2">
      <c r="A369">
        <v>34</v>
      </c>
      <c r="B369" t="s">
        <v>31</v>
      </c>
    </row>
    <row r="370" spans="1:2">
      <c r="A370">
        <v>34</v>
      </c>
      <c r="B370">
        <v>0.28699999999999998</v>
      </c>
    </row>
    <row r="371" spans="1:2">
      <c r="A371">
        <v>34</v>
      </c>
      <c r="B371" t="s">
        <v>32</v>
      </c>
    </row>
    <row r="372" spans="1:2">
      <c r="A372">
        <v>34</v>
      </c>
      <c r="B372" s="2">
        <v>2.0100000000000001E-3</v>
      </c>
    </row>
    <row r="373" spans="1:2">
      <c r="A373">
        <v>34</v>
      </c>
      <c r="B373" t="s">
        <v>33</v>
      </c>
    </row>
    <row r="374" spans="1:2">
      <c r="A374">
        <v>34</v>
      </c>
      <c r="B374" s="3">
        <v>0.6</v>
      </c>
    </row>
    <row r="375" spans="1:2">
      <c r="A375">
        <v>34</v>
      </c>
      <c r="B375" t="s">
        <v>34</v>
      </c>
    </row>
    <row r="376" spans="1:2">
      <c r="A376">
        <v>34</v>
      </c>
      <c r="B376" s="3">
        <v>0.4</v>
      </c>
    </row>
    <row r="377" spans="1:2">
      <c r="A377">
        <v>34</v>
      </c>
      <c r="B377" t="s">
        <v>26</v>
      </c>
    </row>
    <row r="378" spans="1:2">
      <c r="A378">
        <v>34</v>
      </c>
      <c r="B378">
        <v>2.2200000000000002</v>
      </c>
    </row>
    <row r="379" spans="1:2">
      <c r="A379">
        <v>34</v>
      </c>
      <c r="B379" t="s">
        <v>23</v>
      </c>
    </row>
    <row r="380" spans="1:2">
      <c r="A380">
        <v>34</v>
      </c>
      <c r="B380">
        <v>0</v>
      </c>
    </row>
    <row r="381" spans="1:2">
      <c r="A381">
        <v>34</v>
      </c>
      <c r="B381" t="s">
        <v>24</v>
      </c>
    </row>
    <row r="382" spans="1:2">
      <c r="A382">
        <v>34</v>
      </c>
      <c r="B382">
        <v>4.2000000000000003E-2</v>
      </c>
    </row>
    <row r="383" spans="1:2">
      <c r="A383">
        <v>34</v>
      </c>
      <c r="B383" t="s">
        <v>35</v>
      </c>
    </row>
    <row r="384" spans="1:2">
      <c r="A384">
        <v>34</v>
      </c>
      <c r="B384">
        <v>8.9999999999999993E-3</v>
      </c>
    </row>
    <row r="385" spans="1:2">
      <c r="A385">
        <v>34</v>
      </c>
      <c r="B385" t="s">
        <v>36</v>
      </c>
    </row>
    <row r="386" spans="1:2">
      <c r="A386">
        <v>34</v>
      </c>
      <c r="B386">
        <v>0</v>
      </c>
    </row>
    <row r="387" spans="1:2">
      <c r="A387">
        <v>34</v>
      </c>
      <c r="B387" t="s">
        <v>37</v>
      </c>
    </row>
    <row r="388" spans="1:2">
      <c r="A388">
        <v>34</v>
      </c>
      <c r="B388">
        <v>-0.95699999999999996</v>
      </c>
    </row>
    <row r="389" spans="1:2">
      <c r="A389">
        <v>34</v>
      </c>
      <c r="B389" t="s">
        <v>38</v>
      </c>
    </row>
    <row r="390" spans="1:2">
      <c r="A390">
        <v>34</v>
      </c>
      <c r="B390">
        <v>6.5000000000000002E-2</v>
      </c>
    </row>
    <row r="391" spans="1:2">
      <c r="A391">
        <v>34</v>
      </c>
      <c r="B391" t="s">
        <v>39</v>
      </c>
    </row>
    <row r="392" spans="1:2">
      <c r="A392">
        <v>34</v>
      </c>
      <c r="B392">
        <v>5.2999999999999999E-2</v>
      </c>
    </row>
    <row r="393" spans="1:2">
      <c r="A393">
        <v>34</v>
      </c>
      <c r="B393" t="s">
        <v>40</v>
      </c>
    </row>
    <row r="394" spans="1:2">
      <c r="A394">
        <v>34</v>
      </c>
      <c r="B394" s="4">
        <v>0</v>
      </c>
    </row>
    <row r="395" spans="1:2">
      <c r="A395">
        <v>34</v>
      </c>
      <c r="B395" t="s">
        <v>41</v>
      </c>
    </row>
    <row r="396" spans="1:2">
      <c r="A396">
        <v>34</v>
      </c>
      <c r="B396" s="4">
        <v>230000000</v>
      </c>
    </row>
    <row r="397" spans="1:2">
      <c r="A397">
        <v>34</v>
      </c>
      <c r="B397" t="s">
        <v>42</v>
      </c>
    </row>
    <row r="398" spans="1:2">
      <c r="A398">
        <v>34</v>
      </c>
      <c r="B398" t="s">
        <v>44</v>
      </c>
    </row>
    <row r="399" spans="1:2">
      <c r="A399">
        <v>28</v>
      </c>
      <c r="B399" t="s">
        <v>27</v>
      </c>
    </row>
    <row r="400" spans="1:2">
      <c r="A400">
        <v>28</v>
      </c>
      <c r="B400" s="2">
        <v>1.125E-2</v>
      </c>
    </row>
    <row r="401" spans="1:2">
      <c r="A401">
        <v>28</v>
      </c>
      <c r="B401" t="s">
        <v>1</v>
      </c>
    </row>
    <row r="402" spans="1:2">
      <c r="A402">
        <v>28</v>
      </c>
      <c r="B402">
        <v>-1.2729999999999999</v>
      </c>
    </row>
    <row r="403" spans="1:2">
      <c r="A403">
        <v>28</v>
      </c>
      <c r="B403" t="s">
        <v>28</v>
      </c>
    </row>
    <row r="404" spans="1:2">
      <c r="A404">
        <v>28</v>
      </c>
      <c r="B404">
        <v>764</v>
      </c>
    </row>
    <row r="405" spans="1:2">
      <c r="A405">
        <v>28</v>
      </c>
      <c r="B405" t="s">
        <v>25</v>
      </c>
    </row>
    <row r="406" spans="1:2">
      <c r="A406">
        <v>28</v>
      </c>
      <c r="B406" s="2">
        <v>8.0000000000000004E-4</v>
      </c>
    </row>
    <row r="407" spans="1:2">
      <c r="A407">
        <v>28</v>
      </c>
      <c r="B407" t="s">
        <v>29</v>
      </c>
    </row>
    <row r="408" spans="1:2">
      <c r="A408">
        <v>28</v>
      </c>
      <c r="B408" s="2">
        <v>-1.1999999999999999E-3</v>
      </c>
    </row>
    <row r="409" spans="1:2">
      <c r="A409">
        <v>28</v>
      </c>
      <c r="B409" t="s">
        <v>30</v>
      </c>
    </row>
    <row r="410" spans="1:2">
      <c r="A410">
        <v>28</v>
      </c>
      <c r="B410" s="2">
        <v>-1.6959999999999999E-2</v>
      </c>
    </row>
    <row r="411" spans="1:2">
      <c r="A411">
        <v>28</v>
      </c>
      <c r="B411" t="s">
        <v>8</v>
      </c>
    </row>
    <row r="412" spans="1:2">
      <c r="A412">
        <v>28</v>
      </c>
      <c r="B412" s="2">
        <v>1.6E-2</v>
      </c>
    </row>
    <row r="413" spans="1:2">
      <c r="A413">
        <v>28</v>
      </c>
      <c r="B413" t="s">
        <v>31</v>
      </c>
    </row>
    <row r="414" spans="1:2">
      <c r="A414">
        <v>28</v>
      </c>
      <c r="B414">
        <v>-0.35599999999999998</v>
      </c>
    </row>
    <row r="415" spans="1:2">
      <c r="A415">
        <v>28</v>
      </c>
      <c r="B415" t="s">
        <v>32</v>
      </c>
    </row>
    <row r="416" spans="1:2">
      <c r="A416">
        <v>28</v>
      </c>
      <c r="B416" s="2">
        <v>-1.095E-2</v>
      </c>
    </row>
    <row r="417" spans="1:2">
      <c r="A417">
        <v>28</v>
      </c>
      <c r="B417" t="s">
        <v>33</v>
      </c>
    </row>
    <row r="418" spans="1:2">
      <c r="A418">
        <v>28</v>
      </c>
      <c r="B418" s="3">
        <v>0.6</v>
      </c>
    </row>
    <row r="419" spans="1:2">
      <c r="A419">
        <v>28</v>
      </c>
      <c r="B419" t="s">
        <v>34</v>
      </c>
    </row>
    <row r="420" spans="1:2">
      <c r="A420">
        <v>28</v>
      </c>
      <c r="B420" s="3">
        <v>0.4</v>
      </c>
    </row>
    <row r="421" spans="1:2">
      <c r="A421">
        <v>28</v>
      </c>
      <c r="B421" t="s">
        <v>26</v>
      </c>
    </row>
    <row r="422" spans="1:2">
      <c r="A422">
        <v>28</v>
      </c>
      <c r="B422">
        <v>0.61</v>
      </c>
    </row>
    <row r="423" spans="1:2">
      <c r="A423">
        <v>28</v>
      </c>
      <c r="B423" t="s">
        <v>23</v>
      </c>
    </row>
    <row r="424" spans="1:2">
      <c r="A424">
        <v>28</v>
      </c>
      <c r="B424">
        <v>-1.4E-2</v>
      </c>
    </row>
    <row r="425" spans="1:2">
      <c r="A425">
        <v>28</v>
      </c>
      <c r="B425" t="s">
        <v>24</v>
      </c>
    </row>
    <row r="426" spans="1:2">
      <c r="A426">
        <v>28</v>
      </c>
      <c r="B426">
        <v>3.3000000000000002E-2</v>
      </c>
    </row>
    <row r="427" spans="1:2">
      <c r="A427">
        <v>28</v>
      </c>
      <c r="B427" t="s">
        <v>35</v>
      </c>
    </row>
    <row r="428" spans="1:2">
      <c r="A428">
        <v>28</v>
      </c>
      <c r="B428">
        <v>8.9999999999999993E-3</v>
      </c>
    </row>
    <row r="429" spans="1:2">
      <c r="A429">
        <v>28</v>
      </c>
      <c r="B429" t="s">
        <v>36</v>
      </c>
    </row>
    <row r="430" spans="1:2">
      <c r="A430">
        <v>28</v>
      </c>
      <c r="B430">
        <v>0</v>
      </c>
    </row>
    <row r="431" spans="1:2">
      <c r="A431">
        <v>28</v>
      </c>
      <c r="B431" t="s">
        <v>37</v>
      </c>
    </row>
    <row r="432" spans="1:2">
      <c r="A432">
        <v>28</v>
      </c>
      <c r="B432">
        <v>-1.161</v>
      </c>
    </row>
    <row r="433" spans="1:2">
      <c r="A433">
        <v>28</v>
      </c>
      <c r="B433" t="s">
        <v>38</v>
      </c>
    </row>
    <row r="434" spans="1:2">
      <c r="A434">
        <v>28</v>
      </c>
      <c r="B434">
        <v>6.5000000000000002E-2</v>
      </c>
    </row>
    <row r="435" spans="1:2">
      <c r="A435">
        <v>28</v>
      </c>
      <c r="B435" t="s">
        <v>39</v>
      </c>
    </row>
    <row r="436" spans="1:2">
      <c r="A436">
        <v>28</v>
      </c>
      <c r="B436">
        <v>-0.35799999999999998</v>
      </c>
    </row>
    <row r="437" spans="1:2">
      <c r="A437">
        <v>28</v>
      </c>
      <c r="B437" t="s">
        <v>40</v>
      </c>
    </row>
    <row r="438" spans="1:2">
      <c r="A438">
        <v>28</v>
      </c>
      <c r="B438" s="4">
        <v>0</v>
      </c>
    </row>
    <row r="439" spans="1:2">
      <c r="A439">
        <v>28</v>
      </c>
      <c r="B439" t="s">
        <v>41</v>
      </c>
    </row>
    <row r="440" spans="1:2">
      <c r="A440">
        <v>28</v>
      </c>
      <c r="B440" s="4">
        <v>230000000</v>
      </c>
    </row>
    <row r="441" spans="1:2">
      <c r="A441">
        <v>28</v>
      </c>
      <c r="B441" t="s">
        <v>42</v>
      </c>
    </row>
    <row r="442" spans="1:2">
      <c r="A442">
        <v>28</v>
      </c>
      <c r="B442" t="s">
        <v>44</v>
      </c>
    </row>
    <row r="443" spans="1:2">
      <c r="A443">
        <v>29</v>
      </c>
      <c r="B443" t="s">
        <v>27</v>
      </c>
    </row>
    <row r="444" spans="1:2">
      <c r="A444">
        <v>29</v>
      </c>
      <c r="B444" s="2">
        <v>1.3780000000000001E-2</v>
      </c>
    </row>
    <row r="445" spans="1:2">
      <c r="A445">
        <v>29</v>
      </c>
      <c r="B445" t="s">
        <v>1</v>
      </c>
    </row>
    <row r="446" spans="1:2">
      <c r="A446">
        <v>29</v>
      </c>
      <c r="B446">
        <v>-1.1679999999999999</v>
      </c>
    </row>
    <row r="447" spans="1:2">
      <c r="A447">
        <v>29</v>
      </c>
      <c r="B447" t="s">
        <v>28</v>
      </c>
    </row>
    <row r="448" spans="1:2">
      <c r="A448">
        <v>29</v>
      </c>
      <c r="B448">
        <v>764</v>
      </c>
    </row>
    <row r="449" spans="1:2">
      <c r="A449">
        <v>29</v>
      </c>
      <c r="B449" t="s">
        <v>25</v>
      </c>
    </row>
    <row r="450" spans="1:2">
      <c r="A450">
        <v>29</v>
      </c>
      <c r="B450" s="2">
        <v>7.9000000000000008E-3</v>
      </c>
    </row>
    <row r="451" spans="1:2">
      <c r="A451">
        <v>29</v>
      </c>
      <c r="B451" t="s">
        <v>29</v>
      </c>
    </row>
    <row r="452" spans="1:2">
      <c r="A452">
        <v>29</v>
      </c>
      <c r="B452" s="2">
        <v>-1.2699999999999999E-2</v>
      </c>
    </row>
    <row r="453" spans="1:2">
      <c r="A453">
        <v>29</v>
      </c>
      <c r="B453" t="s">
        <v>30</v>
      </c>
    </row>
    <row r="454" spans="1:2">
      <c r="A454">
        <v>29</v>
      </c>
      <c r="B454" s="2">
        <v>-0.16483999999999999</v>
      </c>
    </row>
    <row r="455" spans="1:2">
      <c r="A455">
        <v>29</v>
      </c>
      <c r="B455" t="s">
        <v>8</v>
      </c>
    </row>
    <row r="456" spans="1:2">
      <c r="A456">
        <v>29</v>
      </c>
      <c r="B456" s="2">
        <v>0.155</v>
      </c>
    </row>
    <row r="457" spans="1:2">
      <c r="A457">
        <v>29</v>
      </c>
      <c r="B457" t="s">
        <v>31</v>
      </c>
    </row>
    <row r="458" spans="1:2">
      <c r="A458">
        <v>29</v>
      </c>
      <c r="B458">
        <v>-0.35299999999999998</v>
      </c>
    </row>
    <row r="459" spans="1:2">
      <c r="A459">
        <v>29</v>
      </c>
      <c r="B459" t="s">
        <v>32</v>
      </c>
    </row>
    <row r="460" spans="1:2">
      <c r="A460">
        <v>29</v>
      </c>
      <c r="B460" s="2">
        <v>-0.10947999999999999</v>
      </c>
    </row>
    <row r="461" spans="1:2">
      <c r="A461">
        <v>29</v>
      </c>
      <c r="B461" t="s">
        <v>33</v>
      </c>
    </row>
    <row r="462" spans="1:2">
      <c r="A462">
        <v>29</v>
      </c>
      <c r="B462" s="3">
        <v>0.6</v>
      </c>
    </row>
    <row r="463" spans="1:2">
      <c r="A463">
        <v>29</v>
      </c>
      <c r="B463" t="s">
        <v>34</v>
      </c>
    </row>
    <row r="464" spans="1:2">
      <c r="A464">
        <v>29</v>
      </c>
      <c r="B464" s="3">
        <v>0.4</v>
      </c>
    </row>
    <row r="465" spans="1:2">
      <c r="A465">
        <v>29</v>
      </c>
      <c r="B465" t="s">
        <v>26</v>
      </c>
    </row>
    <row r="466" spans="1:2">
      <c r="A466">
        <v>29</v>
      </c>
      <c r="B466">
        <v>0.62</v>
      </c>
    </row>
    <row r="467" spans="1:2">
      <c r="A467">
        <v>29</v>
      </c>
      <c r="B467" t="s">
        <v>23</v>
      </c>
    </row>
    <row r="468" spans="1:2">
      <c r="A468">
        <v>29</v>
      </c>
      <c r="B468">
        <v>-0.13500000000000001</v>
      </c>
    </row>
    <row r="469" spans="1:2">
      <c r="A469">
        <v>29</v>
      </c>
      <c r="B469" t="s">
        <v>24</v>
      </c>
    </row>
    <row r="470" spans="1:2">
      <c r="A470">
        <v>29</v>
      </c>
      <c r="B470">
        <v>0.34599999999999997</v>
      </c>
    </row>
    <row r="471" spans="1:2">
      <c r="A471">
        <v>29</v>
      </c>
      <c r="B471" t="s">
        <v>35</v>
      </c>
    </row>
    <row r="472" spans="1:2">
      <c r="A472">
        <v>29</v>
      </c>
      <c r="B472">
        <v>9.7000000000000003E-2</v>
      </c>
    </row>
    <row r="473" spans="1:2">
      <c r="A473">
        <v>29</v>
      </c>
      <c r="B473" t="s">
        <v>36</v>
      </c>
    </row>
    <row r="474" spans="1:2">
      <c r="A474">
        <v>29</v>
      </c>
      <c r="B474">
        <v>8.9999999999999993E-3</v>
      </c>
    </row>
    <row r="475" spans="1:2">
      <c r="A475">
        <v>29</v>
      </c>
      <c r="B475" t="s">
        <v>37</v>
      </c>
    </row>
    <row r="476" spans="1:2">
      <c r="A476">
        <v>29</v>
      </c>
      <c r="B476">
        <v>-1.708</v>
      </c>
    </row>
    <row r="477" spans="1:2">
      <c r="A477">
        <v>29</v>
      </c>
      <c r="B477" t="s">
        <v>38</v>
      </c>
    </row>
    <row r="478" spans="1:2">
      <c r="A478">
        <v>29</v>
      </c>
      <c r="B478">
        <v>0.104</v>
      </c>
    </row>
    <row r="479" spans="1:2">
      <c r="A479">
        <v>29</v>
      </c>
      <c r="B479" t="s">
        <v>39</v>
      </c>
    </row>
    <row r="480" spans="1:2">
      <c r="A480">
        <v>29</v>
      </c>
      <c r="B480">
        <v>-0.32700000000000001</v>
      </c>
    </row>
    <row r="481" spans="1:2">
      <c r="A481">
        <v>29</v>
      </c>
      <c r="B481" t="s">
        <v>40</v>
      </c>
    </row>
    <row r="482" spans="1:2">
      <c r="A482">
        <v>29</v>
      </c>
      <c r="B482" s="4">
        <v>0</v>
      </c>
    </row>
    <row r="483" spans="1:2">
      <c r="A483">
        <v>29</v>
      </c>
      <c r="B483" t="s">
        <v>41</v>
      </c>
    </row>
    <row r="484" spans="1:2">
      <c r="A484">
        <v>29</v>
      </c>
      <c r="B484" s="4">
        <v>22000000</v>
      </c>
    </row>
    <row r="485" spans="1:2">
      <c r="A485">
        <v>29</v>
      </c>
      <c r="B485" t="s">
        <v>42</v>
      </c>
    </row>
    <row r="486" spans="1:2">
      <c r="A486">
        <v>29</v>
      </c>
      <c r="B486" t="s">
        <v>44</v>
      </c>
    </row>
    <row r="487" spans="1:2">
      <c r="A487">
        <v>30</v>
      </c>
      <c r="B487" t="s">
        <v>27</v>
      </c>
    </row>
    <row r="488" spans="1:2">
      <c r="A488">
        <v>30</v>
      </c>
      <c r="B488" s="2">
        <v>4.7910000000000001E-2</v>
      </c>
    </row>
    <row r="489" spans="1:2">
      <c r="A489">
        <v>30</v>
      </c>
      <c r="B489" t="s">
        <v>1</v>
      </c>
    </row>
    <row r="490" spans="1:2">
      <c r="A490">
        <v>30</v>
      </c>
      <c r="B490">
        <v>-0.61899999999999999</v>
      </c>
    </row>
    <row r="491" spans="1:2">
      <c r="A491">
        <v>30</v>
      </c>
      <c r="B491" t="s">
        <v>28</v>
      </c>
    </row>
    <row r="492" spans="1:2">
      <c r="A492">
        <v>30</v>
      </c>
      <c r="B492">
        <v>764</v>
      </c>
    </row>
    <row r="493" spans="1:2">
      <c r="A493">
        <v>30</v>
      </c>
      <c r="B493" t="s">
        <v>25</v>
      </c>
    </row>
    <row r="494" spans="1:2">
      <c r="A494">
        <v>30</v>
      </c>
      <c r="B494" s="2">
        <v>5.0900000000000001E-2</v>
      </c>
    </row>
    <row r="495" spans="1:2">
      <c r="A495">
        <v>30</v>
      </c>
      <c r="B495" t="s">
        <v>29</v>
      </c>
    </row>
    <row r="496" spans="1:2">
      <c r="A496">
        <v>30</v>
      </c>
      <c r="B496" s="2">
        <v>-7.8899999999999998E-2</v>
      </c>
    </row>
    <row r="497" spans="1:2">
      <c r="A497">
        <v>30</v>
      </c>
      <c r="B497" t="s">
        <v>30</v>
      </c>
    </row>
    <row r="498" spans="1:2">
      <c r="A498">
        <v>30</v>
      </c>
      <c r="B498" s="2">
        <v>-0.70816000000000001</v>
      </c>
    </row>
    <row r="499" spans="1:2">
      <c r="A499">
        <v>30</v>
      </c>
      <c r="B499" t="s">
        <v>8</v>
      </c>
    </row>
    <row r="500" spans="1:2">
      <c r="A500">
        <v>30</v>
      </c>
      <c r="B500" s="2">
        <v>0.70899999999999996</v>
      </c>
    </row>
    <row r="501" spans="1:2">
      <c r="A501">
        <v>30</v>
      </c>
      <c r="B501" t="s">
        <v>31</v>
      </c>
    </row>
    <row r="502" spans="1:2">
      <c r="A502">
        <v>30</v>
      </c>
      <c r="B502">
        <v>-0.34200000000000003</v>
      </c>
    </row>
    <row r="503" spans="1:2">
      <c r="A503">
        <v>30</v>
      </c>
      <c r="B503" t="s">
        <v>32</v>
      </c>
    </row>
    <row r="504" spans="1:2">
      <c r="A504">
        <v>30</v>
      </c>
      <c r="B504" s="2">
        <v>-0.54740999999999995</v>
      </c>
    </row>
    <row r="505" spans="1:2">
      <c r="A505">
        <v>30</v>
      </c>
      <c r="B505" t="s">
        <v>33</v>
      </c>
    </row>
    <row r="506" spans="1:2">
      <c r="A506">
        <v>30</v>
      </c>
      <c r="B506" s="3">
        <v>0.6</v>
      </c>
    </row>
    <row r="507" spans="1:2">
      <c r="A507">
        <v>30</v>
      </c>
      <c r="B507" t="s">
        <v>34</v>
      </c>
    </row>
    <row r="508" spans="1:2">
      <c r="A508">
        <v>30</v>
      </c>
      <c r="B508" s="3">
        <v>0.4</v>
      </c>
    </row>
    <row r="509" spans="1:2">
      <c r="A509">
        <v>30</v>
      </c>
      <c r="B509" t="s">
        <v>26</v>
      </c>
    </row>
    <row r="510" spans="1:2">
      <c r="A510">
        <v>30</v>
      </c>
      <c r="B510">
        <v>0.65</v>
      </c>
    </row>
    <row r="511" spans="1:2">
      <c r="A511">
        <v>30</v>
      </c>
      <c r="B511" t="s">
        <v>23</v>
      </c>
    </row>
    <row r="512" spans="1:2">
      <c r="A512">
        <v>30</v>
      </c>
      <c r="B512">
        <v>-0.61199999999999999</v>
      </c>
    </row>
    <row r="513" spans="1:2">
      <c r="A513">
        <v>30</v>
      </c>
      <c r="B513" t="s">
        <v>24</v>
      </c>
    </row>
    <row r="514" spans="1:2">
      <c r="A514">
        <v>30</v>
      </c>
      <c r="B514">
        <v>2.528</v>
      </c>
    </row>
    <row r="515" spans="1:2">
      <c r="A515">
        <v>30</v>
      </c>
      <c r="B515" t="s">
        <v>35</v>
      </c>
    </row>
    <row r="516" spans="1:2">
      <c r="A516">
        <v>30</v>
      </c>
      <c r="B516">
        <v>0.72599999999999998</v>
      </c>
    </row>
    <row r="517" spans="1:2">
      <c r="A517">
        <v>30</v>
      </c>
      <c r="B517" t="s">
        <v>36</v>
      </c>
    </row>
    <row r="518" spans="1:2">
      <c r="A518">
        <v>30</v>
      </c>
      <c r="B518">
        <v>0.52800000000000002</v>
      </c>
    </row>
    <row r="519" spans="1:2">
      <c r="A519">
        <v>30</v>
      </c>
      <c r="B519" t="s">
        <v>37</v>
      </c>
    </row>
    <row r="520" spans="1:2">
      <c r="A520">
        <v>30</v>
      </c>
      <c r="B520">
        <v>-0.71899999999999997</v>
      </c>
    </row>
    <row r="521" spans="1:2">
      <c r="A521">
        <v>30</v>
      </c>
      <c r="B521" t="s">
        <v>38</v>
      </c>
    </row>
    <row r="522" spans="1:2">
      <c r="A522">
        <v>30</v>
      </c>
      <c r="B522">
        <v>0.71399999999999997</v>
      </c>
    </row>
    <row r="523" spans="1:2">
      <c r="A523">
        <v>30</v>
      </c>
      <c r="B523" t="s">
        <v>39</v>
      </c>
    </row>
    <row r="524" spans="1:2">
      <c r="A524">
        <v>30</v>
      </c>
      <c r="B524">
        <v>-0.17799999999999999</v>
      </c>
    </row>
    <row r="525" spans="1:2">
      <c r="A525">
        <v>30</v>
      </c>
      <c r="B525" t="s">
        <v>40</v>
      </c>
    </row>
    <row r="526" spans="1:2">
      <c r="A526">
        <v>30</v>
      </c>
      <c r="B526" s="4">
        <v>0</v>
      </c>
    </row>
    <row r="527" spans="1:2">
      <c r="A527">
        <v>30</v>
      </c>
      <c r="B527" t="s">
        <v>41</v>
      </c>
    </row>
    <row r="528" spans="1:2">
      <c r="A528">
        <v>30</v>
      </c>
      <c r="B528" s="4">
        <v>3300000</v>
      </c>
    </row>
    <row r="529" spans="1:2">
      <c r="A529">
        <v>30</v>
      </c>
      <c r="B529" t="s">
        <v>42</v>
      </c>
    </row>
    <row r="530" spans="1:2">
      <c r="A530">
        <v>30</v>
      </c>
      <c r="B530" t="s">
        <v>44</v>
      </c>
    </row>
    <row r="531" spans="1:2">
      <c r="A531">
        <v>31</v>
      </c>
      <c r="B531" t="s">
        <v>27</v>
      </c>
    </row>
    <row r="532" spans="1:2">
      <c r="A532">
        <v>31</v>
      </c>
      <c r="B532" s="2">
        <v>4.5999999999999999E-2</v>
      </c>
    </row>
    <row r="533" spans="1:2">
      <c r="A533">
        <v>31</v>
      </c>
      <c r="B533" t="s">
        <v>1</v>
      </c>
    </row>
    <row r="534" spans="1:2">
      <c r="A534">
        <v>31</v>
      </c>
      <c r="B534">
        <v>-0.76900000000000002</v>
      </c>
    </row>
    <row r="535" spans="1:2">
      <c r="A535">
        <v>31</v>
      </c>
      <c r="B535" t="s">
        <v>28</v>
      </c>
    </row>
    <row r="536" spans="1:2">
      <c r="A536">
        <v>31</v>
      </c>
      <c r="B536">
        <v>459</v>
      </c>
    </row>
    <row r="537" spans="1:2">
      <c r="A537">
        <v>31</v>
      </c>
      <c r="B537" t="s">
        <v>25</v>
      </c>
    </row>
    <row r="538" spans="1:2">
      <c r="A538">
        <v>31</v>
      </c>
      <c r="B538" s="2">
        <v>6.9999999999999999E-4</v>
      </c>
    </row>
    <row r="539" spans="1:2">
      <c r="A539">
        <v>31</v>
      </c>
      <c r="B539" t="s">
        <v>29</v>
      </c>
    </row>
    <row r="540" spans="1:2">
      <c r="A540">
        <v>31</v>
      </c>
      <c r="B540" s="2">
        <v>-1.4E-3</v>
      </c>
    </row>
    <row r="541" spans="1:2">
      <c r="A541">
        <v>31</v>
      </c>
      <c r="B541" t="s">
        <v>30</v>
      </c>
    </row>
    <row r="542" spans="1:2">
      <c r="A542">
        <v>31</v>
      </c>
      <c r="B542" s="2">
        <v>-1.0160000000000001E-2</v>
      </c>
    </row>
    <row r="543" spans="1:2">
      <c r="A543">
        <v>31</v>
      </c>
      <c r="B543" t="s">
        <v>8</v>
      </c>
    </row>
    <row r="544" spans="1:2">
      <c r="A544">
        <v>31</v>
      </c>
      <c r="B544" s="2">
        <v>1.4E-2</v>
      </c>
    </row>
    <row r="545" spans="1:2">
      <c r="A545">
        <v>31</v>
      </c>
      <c r="B545" t="s">
        <v>31</v>
      </c>
    </row>
    <row r="546" spans="1:2">
      <c r="A546">
        <v>31</v>
      </c>
      <c r="B546">
        <v>-0.30199999999999999</v>
      </c>
    </row>
    <row r="547" spans="1:2">
      <c r="A547">
        <v>31</v>
      </c>
      <c r="B547" t="s">
        <v>32</v>
      </c>
    </row>
    <row r="548" spans="1:2">
      <c r="A548">
        <v>31</v>
      </c>
      <c r="B548" s="2">
        <v>-6.5500000000000003E-3</v>
      </c>
    </row>
    <row r="549" spans="1:2">
      <c r="A549">
        <v>31</v>
      </c>
      <c r="B549" t="s">
        <v>33</v>
      </c>
    </row>
    <row r="550" spans="1:2">
      <c r="A550">
        <v>31</v>
      </c>
      <c r="B550" s="3">
        <v>0.53</v>
      </c>
    </row>
    <row r="551" spans="1:2">
      <c r="A551">
        <v>31</v>
      </c>
      <c r="B551" t="s">
        <v>34</v>
      </c>
    </row>
    <row r="552" spans="1:2">
      <c r="A552">
        <v>31</v>
      </c>
      <c r="B552" s="3">
        <v>0.47</v>
      </c>
    </row>
    <row r="553" spans="1:2">
      <c r="A553">
        <v>31</v>
      </c>
      <c r="B553" t="s">
        <v>26</v>
      </c>
    </row>
    <row r="554" spans="1:2">
      <c r="A554">
        <v>31</v>
      </c>
      <c r="B554">
        <v>0.5</v>
      </c>
    </row>
    <row r="555" spans="1:2">
      <c r="A555">
        <v>31</v>
      </c>
      <c r="B555" t="s">
        <v>23</v>
      </c>
    </row>
    <row r="556" spans="1:2">
      <c r="A556">
        <v>31</v>
      </c>
      <c r="B556">
        <v>-8.9999999999999993E-3</v>
      </c>
    </row>
    <row r="557" spans="1:2">
      <c r="A557">
        <v>31</v>
      </c>
      <c r="B557" t="s">
        <v>24</v>
      </c>
    </row>
    <row r="558" spans="1:2">
      <c r="A558">
        <v>31</v>
      </c>
      <c r="B558">
        <v>3.6999999999999998E-2</v>
      </c>
    </row>
    <row r="559" spans="1:2">
      <c r="A559">
        <v>31</v>
      </c>
      <c r="B559" t="s">
        <v>35</v>
      </c>
    </row>
    <row r="560" spans="1:2">
      <c r="A560">
        <v>31</v>
      </c>
      <c r="B560">
        <v>8.9999999999999993E-3</v>
      </c>
    </row>
    <row r="561" spans="1:2">
      <c r="A561">
        <v>31</v>
      </c>
      <c r="B561" t="s">
        <v>36</v>
      </c>
    </row>
    <row r="562" spans="1:2">
      <c r="A562">
        <v>31</v>
      </c>
      <c r="B562">
        <v>0</v>
      </c>
    </row>
    <row r="563" spans="1:2">
      <c r="A563">
        <v>31</v>
      </c>
      <c r="B563" t="s">
        <v>37</v>
      </c>
    </row>
    <row r="564" spans="1:2">
      <c r="A564">
        <v>31</v>
      </c>
      <c r="B564">
        <v>-1.0940000000000001</v>
      </c>
    </row>
    <row r="565" spans="1:2">
      <c r="A565">
        <v>31</v>
      </c>
      <c r="B565" t="s">
        <v>38</v>
      </c>
    </row>
    <row r="566" spans="1:2">
      <c r="A566">
        <v>31</v>
      </c>
      <c r="B566">
        <v>6.5000000000000002E-2</v>
      </c>
    </row>
    <row r="567" spans="1:2">
      <c r="A567">
        <v>31</v>
      </c>
      <c r="B567" t="s">
        <v>39</v>
      </c>
    </row>
    <row r="568" spans="1:2">
      <c r="A568">
        <v>31</v>
      </c>
      <c r="B568">
        <v>-0.188</v>
      </c>
    </row>
    <row r="569" spans="1:2">
      <c r="A569">
        <v>31</v>
      </c>
      <c r="B569" t="s">
        <v>40</v>
      </c>
    </row>
    <row r="570" spans="1:2">
      <c r="A570">
        <v>31</v>
      </c>
      <c r="B570" s="4">
        <v>0</v>
      </c>
    </row>
    <row r="571" spans="1:2">
      <c r="A571">
        <v>31</v>
      </c>
      <c r="B571" t="s">
        <v>41</v>
      </c>
    </row>
    <row r="572" spans="1:2">
      <c r="A572">
        <v>31</v>
      </c>
      <c r="B572" s="4">
        <v>1300000000</v>
      </c>
    </row>
    <row r="573" spans="1:2">
      <c r="A573">
        <v>31</v>
      </c>
      <c r="B573" t="s">
        <v>42</v>
      </c>
    </row>
    <row r="574" spans="1:2">
      <c r="A574">
        <v>31</v>
      </c>
      <c r="B574" t="s">
        <v>44</v>
      </c>
    </row>
    <row r="575" spans="1:2">
      <c r="A575">
        <v>32</v>
      </c>
    </row>
    <row r="576" spans="1:2">
      <c r="A576">
        <v>32</v>
      </c>
      <c r="B576" t="s">
        <v>27</v>
      </c>
    </row>
    <row r="577" spans="1:2">
      <c r="A577">
        <v>32</v>
      </c>
      <c r="B577" s="2">
        <v>5.142E-2</v>
      </c>
    </row>
    <row r="578" spans="1:2">
      <c r="A578">
        <v>32</v>
      </c>
      <c r="B578" t="s">
        <v>1</v>
      </c>
    </row>
    <row r="579" spans="1:2">
      <c r="A579">
        <v>32</v>
      </c>
      <c r="B579">
        <v>-0.7</v>
      </c>
    </row>
    <row r="580" spans="1:2">
      <c r="A580">
        <v>32</v>
      </c>
      <c r="B580" t="s">
        <v>28</v>
      </c>
    </row>
    <row r="581" spans="1:2">
      <c r="A581">
        <v>32</v>
      </c>
      <c r="B581">
        <v>459</v>
      </c>
    </row>
    <row r="582" spans="1:2">
      <c r="A582">
        <v>32</v>
      </c>
      <c r="B582" t="s">
        <v>25</v>
      </c>
    </row>
    <row r="583" spans="1:2">
      <c r="A583">
        <v>32</v>
      </c>
      <c r="B583" s="2">
        <v>7.3000000000000001E-3</v>
      </c>
    </row>
    <row r="584" spans="1:2">
      <c r="A584">
        <v>32</v>
      </c>
      <c r="B584" t="s">
        <v>29</v>
      </c>
    </row>
    <row r="585" spans="1:2">
      <c r="A585">
        <v>32</v>
      </c>
      <c r="B585" s="2">
        <v>-1.47E-2</v>
      </c>
    </row>
    <row r="586" spans="1:2">
      <c r="A586">
        <v>32</v>
      </c>
      <c r="B586" t="s">
        <v>30</v>
      </c>
    </row>
    <row r="587" spans="1:2">
      <c r="A587">
        <v>32</v>
      </c>
      <c r="B587" s="2">
        <v>-9.9900000000000003E-2</v>
      </c>
    </row>
    <row r="588" spans="1:2">
      <c r="A588">
        <v>32</v>
      </c>
      <c r="B588" t="s">
        <v>8</v>
      </c>
    </row>
    <row r="589" spans="1:2">
      <c r="A589">
        <v>32</v>
      </c>
      <c r="B589" s="2">
        <v>0.13700000000000001</v>
      </c>
    </row>
    <row r="590" spans="1:2">
      <c r="A590">
        <v>32</v>
      </c>
      <c r="B590" t="s">
        <v>31</v>
      </c>
    </row>
    <row r="591" spans="1:2">
      <c r="A591">
        <v>32</v>
      </c>
      <c r="B591">
        <v>-0.3</v>
      </c>
    </row>
    <row r="592" spans="1:2">
      <c r="A592">
        <v>32</v>
      </c>
      <c r="B592" t="s">
        <v>32</v>
      </c>
    </row>
    <row r="593" spans="1:2">
      <c r="A593">
        <v>32</v>
      </c>
      <c r="B593" s="2">
        <v>-6.5509999999999999E-2</v>
      </c>
    </row>
    <row r="594" spans="1:2">
      <c r="A594">
        <v>32</v>
      </c>
      <c r="B594" t="s">
        <v>33</v>
      </c>
    </row>
    <row r="595" spans="1:2">
      <c r="A595">
        <v>32</v>
      </c>
      <c r="B595" s="3">
        <v>0.53</v>
      </c>
    </row>
    <row r="596" spans="1:2">
      <c r="A596">
        <v>32</v>
      </c>
      <c r="B596" t="s">
        <v>34</v>
      </c>
    </row>
    <row r="597" spans="1:2">
      <c r="A597">
        <v>32</v>
      </c>
      <c r="B597" s="3">
        <v>0.47</v>
      </c>
    </row>
    <row r="598" spans="1:2">
      <c r="A598">
        <v>32</v>
      </c>
      <c r="B598" t="s">
        <v>27</v>
      </c>
    </row>
    <row r="599" spans="1:2">
      <c r="A599">
        <v>32</v>
      </c>
      <c r="B599">
        <v>0.5</v>
      </c>
    </row>
    <row r="600" spans="1:2">
      <c r="A600">
        <v>32</v>
      </c>
      <c r="B600" t="s">
        <v>23</v>
      </c>
    </row>
    <row r="601" spans="1:2">
      <c r="A601">
        <v>32</v>
      </c>
      <c r="B601">
        <v>-9.0999999999999998E-2</v>
      </c>
    </row>
    <row r="602" spans="1:2">
      <c r="A602">
        <v>32</v>
      </c>
      <c r="B602" t="s">
        <v>24</v>
      </c>
    </row>
    <row r="603" spans="1:2">
      <c r="A603">
        <v>32</v>
      </c>
      <c r="B603">
        <v>0.38</v>
      </c>
    </row>
    <row r="604" spans="1:2">
      <c r="A604">
        <v>32</v>
      </c>
      <c r="B604" t="s">
        <v>35</v>
      </c>
    </row>
    <row r="605" spans="1:2">
      <c r="A605">
        <v>32</v>
      </c>
      <c r="B605">
        <v>9.5000000000000001E-2</v>
      </c>
    </row>
    <row r="606" spans="1:2">
      <c r="A606">
        <v>32</v>
      </c>
      <c r="B606" t="s">
        <v>36</v>
      </c>
    </row>
    <row r="607" spans="1:2">
      <c r="A607">
        <v>32</v>
      </c>
      <c r="B607">
        <v>8.9999999999999993E-3</v>
      </c>
    </row>
    <row r="608" spans="1:2">
      <c r="A608">
        <v>32</v>
      </c>
      <c r="B608" t="s">
        <v>37</v>
      </c>
    </row>
    <row r="609" spans="1:2">
      <c r="A609">
        <v>32</v>
      </c>
      <c r="B609">
        <v>-1.3009999999999999</v>
      </c>
    </row>
    <row r="610" spans="1:2">
      <c r="A610">
        <v>32</v>
      </c>
      <c r="B610" t="s">
        <v>38</v>
      </c>
    </row>
    <row r="611" spans="1:2">
      <c r="A611">
        <v>32</v>
      </c>
      <c r="B611">
        <v>0.1</v>
      </c>
    </row>
    <row r="612" spans="1:2">
      <c r="A612">
        <v>32</v>
      </c>
      <c r="B612" t="s">
        <v>39</v>
      </c>
    </row>
    <row r="613" spans="1:2">
      <c r="A613">
        <v>32</v>
      </c>
      <c r="B613">
        <v>-0.17399999999999999</v>
      </c>
    </row>
    <row r="614" spans="1:2">
      <c r="A614">
        <v>32</v>
      </c>
      <c r="B614" t="s">
        <v>40</v>
      </c>
    </row>
    <row r="615" spans="1:2">
      <c r="A615">
        <v>32</v>
      </c>
      <c r="B615" s="4">
        <v>0</v>
      </c>
    </row>
    <row r="616" spans="1:2">
      <c r="A616">
        <v>32</v>
      </c>
      <c r="B616" t="s">
        <v>41</v>
      </c>
    </row>
    <row r="617" spans="1:2">
      <c r="A617">
        <v>32</v>
      </c>
      <c r="B617" s="4">
        <v>120000000</v>
      </c>
    </row>
    <row r="618" spans="1:2">
      <c r="A618">
        <v>32</v>
      </c>
      <c r="B618" t="s">
        <v>42</v>
      </c>
    </row>
    <row r="619" spans="1:2">
      <c r="A619">
        <v>32</v>
      </c>
      <c r="B619" t="s">
        <v>44</v>
      </c>
    </row>
    <row r="620" spans="1:2">
      <c r="A620">
        <v>33</v>
      </c>
      <c r="B620" t="s">
        <v>27</v>
      </c>
    </row>
    <row r="621" spans="1:2">
      <c r="A621">
        <v>33</v>
      </c>
      <c r="B621" s="2">
        <v>9.3880000000000005E-2</v>
      </c>
    </row>
    <row r="622" spans="1:2">
      <c r="A622">
        <v>33</v>
      </c>
      <c r="B622" t="s">
        <v>1</v>
      </c>
    </row>
    <row r="623" spans="1:2">
      <c r="A623">
        <v>33</v>
      </c>
      <c r="B623">
        <v>-0.36699999999999999</v>
      </c>
    </row>
    <row r="624" spans="1:2">
      <c r="A624">
        <v>33</v>
      </c>
      <c r="B624" t="s">
        <v>28</v>
      </c>
    </row>
    <row r="625" spans="1:2">
      <c r="A625">
        <v>33</v>
      </c>
      <c r="B625">
        <v>459</v>
      </c>
    </row>
    <row r="626" spans="1:2">
      <c r="A626">
        <v>33</v>
      </c>
      <c r="B626" t="s">
        <v>25</v>
      </c>
    </row>
    <row r="627" spans="1:2">
      <c r="A627">
        <v>33</v>
      </c>
      <c r="B627" s="2">
        <v>4.1099999999999998E-2</v>
      </c>
    </row>
    <row r="628" spans="1:2">
      <c r="A628">
        <v>33</v>
      </c>
      <c r="B628" t="s">
        <v>29</v>
      </c>
    </row>
    <row r="629" spans="1:2">
      <c r="A629">
        <v>33</v>
      </c>
      <c r="B629" s="2">
        <v>-7.9299999999999995E-2</v>
      </c>
    </row>
    <row r="630" spans="1:2">
      <c r="A630">
        <v>33</v>
      </c>
      <c r="B630" t="s">
        <v>30</v>
      </c>
    </row>
    <row r="631" spans="1:2">
      <c r="A631">
        <v>33</v>
      </c>
      <c r="B631" s="2">
        <v>-0.46013999999999999</v>
      </c>
    </row>
    <row r="632" spans="1:2">
      <c r="A632">
        <v>33</v>
      </c>
      <c r="B632" t="s">
        <v>8</v>
      </c>
    </row>
    <row r="633" spans="1:2">
      <c r="A633">
        <v>33</v>
      </c>
      <c r="B633" s="2">
        <v>0.59299999999999997</v>
      </c>
    </row>
    <row r="634" spans="1:2">
      <c r="A634">
        <v>33</v>
      </c>
      <c r="B634" t="s">
        <v>31</v>
      </c>
    </row>
    <row r="635" spans="1:2">
      <c r="A635">
        <v>33</v>
      </c>
      <c r="B635">
        <v>-0.29099999999999998</v>
      </c>
    </row>
    <row r="636" spans="1:2">
      <c r="A636">
        <v>33</v>
      </c>
      <c r="B636" t="s">
        <v>32</v>
      </c>
    </row>
    <row r="637" spans="1:2">
      <c r="A637">
        <v>33</v>
      </c>
      <c r="B637" s="2">
        <v>-0.32754</v>
      </c>
    </row>
    <row r="638" spans="1:2">
      <c r="A638">
        <v>33</v>
      </c>
      <c r="B638" t="s">
        <v>33</v>
      </c>
    </row>
    <row r="639" spans="1:2">
      <c r="A639">
        <v>33</v>
      </c>
      <c r="B639" s="3">
        <v>0.53</v>
      </c>
    </row>
    <row r="640" spans="1:2">
      <c r="A640">
        <v>33</v>
      </c>
      <c r="B640" t="s">
        <v>34</v>
      </c>
    </row>
    <row r="641" spans="1:2">
      <c r="A641">
        <v>33</v>
      </c>
      <c r="B641" s="3">
        <v>0.47</v>
      </c>
    </row>
    <row r="642" spans="1:2">
      <c r="A642">
        <v>33</v>
      </c>
      <c r="B642" t="s">
        <v>26</v>
      </c>
    </row>
    <row r="643" spans="1:2">
      <c r="A643">
        <v>33</v>
      </c>
      <c r="B643">
        <v>0.52</v>
      </c>
    </row>
    <row r="644" spans="1:2">
      <c r="A644">
        <v>33</v>
      </c>
      <c r="B644" t="s">
        <v>23</v>
      </c>
    </row>
    <row r="645" spans="1:2">
      <c r="A645">
        <v>33</v>
      </c>
      <c r="B645">
        <v>-0.36</v>
      </c>
    </row>
    <row r="646" spans="1:2">
      <c r="A646">
        <v>33</v>
      </c>
      <c r="B646" t="s">
        <v>24</v>
      </c>
    </row>
    <row r="647" spans="1:2">
      <c r="A647">
        <v>33</v>
      </c>
      <c r="B647">
        <v>2.1549999999999998</v>
      </c>
    </row>
    <row r="648" spans="1:2">
      <c r="A648">
        <v>33</v>
      </c>
      <c r="B648" t="s">
        <v>35</v>
      </c>
    </row>
    <row r="649" spans="1:2">
      <c r="A649">
        <v>33</v>
      </c>
      <c r="B649">
        <v>0.60599999999999998</v>
      </c>
    </row>
    <row r="650" spans="1:2">
      <c r="A650">
        <v>33</v>
      </c>
      <c r="B650" t="s">
        <v>36</v>
      </c>
    </row>
    <row r="651" spans="1:2">
      <c r="A651">
        <v>33</v>
      </c>
      <c r="B651">
        <v>0.36699999999999999</v>
      </c>
    </row>
    <row r="652" spans="1:2">
      <c r="A652">
        <v>33</v>
      </c>
      <c r="B652" t="s">
        <v>37</v>
      </c>
    </row>
    <row r="653" spans="1:2">
      <c r="A653">
        <v>33</v>
      </c>
      <c r="B653">
        <v>-0.48199999999999998</v>
      </c>
    </row>
    <row r="654" spans="1:2">
      <c r="A654">
        <v>33</v>
      </c>
      <c r="B654" t="s">
        <v>38</v>
      </c>
    </row>
    <row r="655" spans="1:2">
      <c r="A655">
        <v>33</v>
      </c>
      <c r="B655">
        <v>0.59299999999999997</v>
      </c>
    </row>
    <row r="656" spans="1:2">
      <c r="A656">
        <v>33</v>
      </c>
      <c r="B656" t="s">
        <v>39</v>
      </c>
    </row>
    <row r="657" spans="1:2">
      <c r="A657">
        <v>33</v>
      </c>
      <c r="B657">
        <v>-0.10299999999999999</v>
      </c>
    </row>
    <row r="658" spans="1:2">
      <c r="A658">
        <v>33</v>
      </c>
      <c r="B658" t="s">
        <v>40</v>
      </c>
    </row>
    <row r="659" spans="1:2">
      <c r="A659">
        <v>33</v>
      </c>
      <c r="B659" s="4">
        <v>0</v>
      </c>
    </row>
    <row r="660" spans="1:2">
      <c r="A660">
        <v>33</v>
      </c>
      <c r="B660" t="s">
        <v>41</v>
      </c>
    </row>
    <row r="661" spans="1:2">
      <c r="A661">
        <v>33</v>
      </c>
      <c r="B661" s="4">
        <v>19000000</v>
      </c>
    </row>
    <row r="662" spans="1:2">
      <c r="A662">
        <v>33</v>
      </c>
      <c r="B662" t="s">
        <v>42</v>
      </c>
    </row>
    <row r="663" spans="1:2">
      <c r="A663">
        <v>33</v>
      </c>
      <c r="B663" t="s">
        <v>44</v>
      </c>
    </row>
    <row r="664" spans="1:2">
      <c r="A664">
        <v>35</v>
      </c>
      <c r="B664" t="s">
        <v>27</v>
      </c>
    </row>
    <row r="665" spans="1:2">
      <c r="A665">
        <v>35</v>
      </c>
      <c r="B665" s="2">
        <v>9.3880000000000005E-2</v>
      </c>
    </row>
    <row r="666" spans="1:2">
      <c r="A666">
        <v>35</v>
      </c>
      <c r="B666" t="s">
        <v>1</v>
      </c>
    </row>
    <row r="667" spans="1:2">
      <c r="A667">
        <v>35</v>
      </c>
      <c r="B667">
        <v>-0.36699999999999999</v>
      </c>
    </row>
    <row r="668" spans="1:2">
      <c r="A668">
        <v>35</v>
      </c>
      <c r="B668" t="s">
        <v>28</v>
      </c>
    </row>
    <row r="669" spans="1:2">
      <c r="A669">
        <v>35</v>
      </c>
      <c r="B669">
        <v>459</v>
      </c>
    </row>
    <row r="670" spans="1:2">
      <c r="A670">
        <v>35</v>
      </c>
      <c r="B670" t="s">
        <v>25</v>
      </c>
    </row>
    <row r="671" spans="1:2">
      <c r="A671">
        <v>35</v>
      </c>
      <c r="B671" s="2">
        <v>4.1099999999999998E-2</v>
      </c>
    </row>
    <row r="672" spans="1:2">
      <c r="A672">
        <v>35</v>
      </c>
      <c r="B672" t="s">
        <v>29</v>
      </c>
    </row>
    <row r="673" spans="1:2">
      <c r="A673">
        <v>35</v>
      </c>
      <c r="B673" s="2">
        <v>-7.9299999999999995E-2</v>
      </c>
    </row>
    <row r="674" spans="1:2">
      <c r="A674">
        <v>35</v>
      </c>
      <c r="B674" t="s">
        <v>30</v>
      </c>
    </row>
    <row r="675" spans="1:2">
      <c r="A675">
        <v>35</v>
      </c>
      <c r="B675" s="2">
        <v>-0.46013999999999999</v>
      </c>
    </row>
    <row r="676" spans="1:2">
      <c r="A676">
        <v>35</v>
      </c>
      <c r="B676" t="s">
        <v>8</v>
      </c>
    </row>
    <row r="677" spans="1:2">
      <c r="A677">
        <v>35</v>
      </c>
      <c r="B677" s="2">
        <v>0.59299999999999997</v>
      </c>
    </row>
    <row r="678" spans="1:2">
      <c r="A678">
        <v>35</v>
      </c>
      <c r="B678" t="s">
        <v>31</v>
      </c>
    </row>
    <row r="679" spans="1:2">
      <c r="A679">
        <v>35</v>
      </c>
      <c r="B679">
        <v>-0.29099999999999998</v>
      </c>
    </row>
    <row r="680" spans="1:2">
      <c r="A680">
        <v>35</v>
      </c>
      <c r="B680" t="s">
        <v>32</v>
      </c>
    </row>
    <row r="681" spans="1:2">
      <c r="A681">
        <v>35</v>
      </c>
      <c r="B681" s="2">
        <v>-0.32754</v>
      </c>
    </row>
    <row r="682" spans="1:2">
      <c r="A682">
        <v>35</v>
      </c>
      <c r="B682" t="s">
        <v>33</v>
      </c>
    </row>
    <row r="683" spans="1:2">
      <c r="A683">
        <v>35</v>
      </c>
      <c r="B683" s="3">
        <v>0.53</v>
      </c>
    </row>
    <row r="684" spans="1:2">
      <c r="A684">
        <v>35</v>
      </c>
      <c r="B684" t="s">
        <v>34</v>
      </c>
    </row>
    <row r="685" spans="1:2">
      <c r="A685">
        <v>35</v>
      </c>
      <c r="B685" s="3">
        <v>0.47</v>
      </c>
    </row>
    <row r="686" spans="1:2">
      <c r="A686">
        <v>35</v>
      </c>
      <c r="B686" t="s">
        <v>26</v>
      </c>
    </row>
    <row r="687" spans="1:2">
      <c r="A687">
        <v>35</v>
      </c>
      <c r="B687">
        <v>0.52</v>
      </c>
    </row>
    <row r="688" spans="1:2">
      <c r="A688">
        <v>35</v>
      </c>
      <c r="B688" t="s">
        <v>23</v>
      </c>
    </row>
    <row r="689" spans="1:2">
      <c r="A689">
        <v>35</v>
      </c>
      <c r="B689">
        <v>-0.36</v>
      </c>
    </row>
    <row r="690" spans="1:2">
      <c r="A690">
        <v>35</v>
      </c>
      <c r="B690" t="s">
        <v>24</v>
      </c>
    </row>
    <row r="691" spans="1:2">
      <c r="A691">
        <v>35</v>
      </c>
      <c r="B691">
        <v>2.1549999999999998</v>
      </c>
    </row>
    <row r="692" spans="1:2">
      <c r="A692">
        <v>35</v>
      </c>
      <c r="B692" t="s">
        <v>35</v>
      </c>
    </row>
    <row r="693" spans="1:2">
      <c r="A693">
        <v>35</v>
      </c>
      <c r="B693">
        <v>0.60599999999999998</v>
      </c>
    </row>
    <row r="694" spans="1:2">
      <c r="A694">
        <v>35</v>
      </c>
      <c r="B694" t="s">
        <v>36</v>
      </c>
    </row>
    <row r="695" spans="1:2">
      <c r="A695">
        <v>35</v>
      </c>
      <c r="B695">
        <v>0.36699999999999999</v>
      </c>
    </row>
    <row r="696" spans="1:2">
      <c r="A696">
        <v>35</v>
      </c>
      <c r="B696" t="s">
        <v>37</v>
      </c>
    </row>
    <row r="697" spans="1:2">
      <c r="A697">
        <v>35</v>
      </c>
      <c r="B697">
        <v>-0.48199999999999998</v>
      </c>
    </row>
    <row r="698" spans="1:2">
      <c r="A698">
        <v>35</v>
      </c>
      <c r="B698" t="s">
        <v>38</v>
      </c>
    </row>
    <row r="699" spans="1:2">
      <c r="A699">
        <v>35</v>
      </c>
      <c r="B699">
        <v>0.59299999999999997</v>
      </c>
    </row>
    <row r="700" spans="1:2">
      <c r="A700">
        <v>35</v>
      </c>
      <c r="B700" t="s">
        <v>39</v>
      </c>
    </row>
    <row r="701" spans="1:2">
      <c r="A701">
        <v>35</v>
      </c>
      <c r="B701">
        <v>-0.10299999999999999</v>
      </c>
    </row>
    <row r="702" spans="1:2">
      <c r="A702">
        <v>35</v>
      </c>
      <c r="B702" t="s">
        <v>40</v>
      </c>
    </row>
    <row r="703" spans="1:2">
      <c r="A703">
        <v>35</v>
      </c>
      <c r="B703" s="4">
        <v>0</v>
      </c>
    </row>
    <row r="704" spans="1:2">
      <c r="A704">
        <v>35</v>
      </c>
      <c r="B704" t="s">
        <v>41</v>
      </c>
    </row>
    <row r="705" spans="1:2">
      <c r="A705">
        <v>35</v>
      </c>
      <c r="B705" s="4">
        <v>19000000</v>
      </c>
    </row>
    <row r="706" spans="1:2">
      <c r="A706">
        <v>35</v>
      </c>
      <c r="B706" t="s">
        <v>42</v>
      </c>
    </row>
    <row r="707" spans="1:2">
      <c r="A707">
        <v>35</v>
      </c>
      <c r="B707" t="s">
        <v>44</v>
      </c>
    </row>
    <row r="708" spans="1:2">
      <c r="A708">
        <v>36</v>
      </c>
      <c r="B708" t="s">
        <v>27</v>
      </c>
    </row>
    <row r="709" spans="1:2">
      <c r="A709">
        <v>36</v>
      </c>
      <c r="B709" s="2">
        <v>9.3880000000000005E-2</v>
      </c>
    </row>
    <row r="710" spans="1:2">
      <c r="A710">
        <v>36</v>
      </c>
      <c r="B710" t="s">
        <v>1</v>
      </c>
    </row>
    <row r="711" spans="1:2">
      <c r="A711">
        <v>36</v>
      </c>
      <c r="B711">
        <v>-0.36699999999999999</v>
      </c>
    </row>
    <row r="712" spans="1:2">
      <c r="A712">
        <v>36</v>
      </c>
      <c r="B712" t="s">
        <v>28</v>
      </c>
    </row>
    <row r="713" spans="1:2">
      <c r="A713">
        <v>36</v>
      </c>
      <c r="B713">
        <v>459</v>
      </c>
    </row>
    <row r="714" spans="1:2">
      <c r="A714">
        <v>36</v>
      </c>
      <c r="B714" t="s">
        <v>25</v>
      </c>
    </row>
    <row r="715" spans="1:2">
      <c r="A715">
        <v>36</v>
      </c>
      <c r="B715" s="2">
        <v>4.1099999999999998E-2</v>
      </c>
    </row>
    <row r="716" spans="1:2">
      <c r="A716">
        <v>36</v>
      </c>
      <c r="B716" t="s">
        <v>29</v>
      </c>
    </row>
    <row r="717" spans="1:2">
      <c r="A717">
        <v>36</v>
      </c>
      <c r="B717" s="2">
        <v>-7.9299999999999995E-2</v>
      </c>
    </row>
    <row r="718" spans="1:2">
      <c r="A718">
        <v>36</v>
      </c>
      <c r="B718" t="s">
        <v>30</v>
      </c>
    </row>
    <row r="719" spans="1:2">
      <c r="A719">
        <v>36</v>
      </c>
      <c r="B719" s="2">
        <v>-0.46013999999999999</v>
      </c>
    </row>
    <row r="720" spans="1:2">
      <c r="A720">
        <v>36</v>
      </c>
      <c r="B720" t="s">
        <v>8</v>
      </c>
    </row>
    <row r="721" spans="1:2">
      <c r="A721">
        <v>36</v>
      </c>
      <c r="B721" s="2">
        <v>0.59299999999999997</v>
      </c>
    </row>
    <row r="722" spans="1:2">
      <c r="A722">
        <v>36</v>
      </c>
      <c r="B722" t="s">
        <v>31</v>
      </c>
    </row>
    <row r="723" spans="1:2">
      <c r="A723">
        <v>36</v>
      </c>
      <c r="B723">
        <v>-0.29099999999999998</v>
      </c>
    </row>
    <row r="724" spans="1:2">
      <c r="A724">
        <v>36</v>
      </c>
      <c r="B724" t="s">
        <v>32</v>
      </c>
    </row>
    <row r="725" spans="1:2">
      <c r="A725">
        <v>36</v>
      </c>
      <c r="B725" s="2">
        <v>-0.32754</v>
      </c>
    </row>
    <row r="726" spans="1:2">
      <c r="A726">
        <v>36</v>
      </c>
      <c r="B726" t="s">
        <v>33</v>
      </c>
    </row>
    <row r="727" spans="1:2">
      <c r="A727">
        <v>36</v>
      </c>
      <c r="B727" s="3">
        <v>0.53</v>
      </c>
    </row>
    <row r="728" spans="1:2">
      <c r="A728">
        <v>36</v>
      </c>
      <c r="B728" t="s">
        <v>34</v>
      </c>
    </row>
    <row r="729" spans="1:2">
      <c r="A729">
        <v>36</v>
      </c>
      <c r="B729" s="3">
        <v>0.47</v>
      </c>
    </row>
    <row r="730" spans="1:2">
      <c r="A730">
        <v>36</v>
      </c>
      <c r="B730" t="s">
        <v>26</v>
      </c>
    </row>
    <row r="731" spans="1:2">
      <c r="A731">
        <v>36</v>
      </c>
      <c r="B731">
        <v>0.52</v>
      </c>
    </row>
    <row r="732" spans="1:2">
      <c r="A732">
        <v>36</v>
      </c>
      <c r="B732" t="s">
        <v>23</v>
      </c>
    </row>
    <row r="733" spans="1:2">
      <c r="A733">
        <v>36</v>
      </c>
      <c r="B733">
        <v>-0.36</v>
      </c>
    </row>
    <row r="734" spans="1:2">
      <c r="A734">
        <v>36</v>
      </c>
      <c r="B734" t="s">
        <v>24</v>
      </c>
    </row>
    <row r="735" spans="1:2">
      <c r="A735">
        <v>36</v>
      </c>
      <c r="B735">
        <v>2.1549999999999998</v>
      </c>
    </row>
    <row r="736" spans="1:2">
      <c r="A736">
        <v>36</v>
      </c>
      <c r="B736" t="s">
        <v>35</v>
      </c>
    </row>
    <row r="737" spans="1:2">
      <c r="A737">
        <v>36</v>
      </c>
      <c r="B737">
        <v>0.60599999999999998</v>
      </c>
    </row>
    <row r="738" spans="1:2">
      <c r="A738">
        <v>36</v>
      </c>
      <c r="B738" t="s">
        <v>36</v>
      </c>
    </row>
    <row r="739" spans="1:2">
      <c r="A739">
        <v>36</v>
      </c>
      <c r="B739">
        <v>0.36699999999999999</v>
      </c>
    </row>
    <row r="740" spans="1:2">
      <c r="A740">
        <v>36</v>
      </c>
      <c r="B740" t="s">
        <v>37</v>
      </c>
    </row>
    <row r="741" spans="1:2">
      <c r="A741">
        <v>36</v>
      </c>
      <c r="B741">
        <v>-0.48199999999999998</v>
      </c>
    </row>
    <row r="742" spans="1:2">
      <c r="A742">
        <v>36</v>
      </c>
      <c r="B742" t="s">
        <v>38</v>
      </c>
    </row>
    <row r="743" spans="1:2">
      <c r="A743">
        <v>36</v>
      </c>
      <c r="B743">
        <v>0.59299999999999997</v>
      </c>
    </row>
    <row r="744" spans="1:2">
      <c r="A744">
        <v>36</v>
      </c>
      <c r="B744" t="s">
        <v>39</v>
      </c>
    </row>
    <row r="745" spans="1:2">
      <c r="A745">
        <v>36</v>
      </c>
      <c r="B745">
        <v>-0.10299999999999999</v>
      </c>
    </row>
    <row r="746" spans="1:2">
      <c r="A746">
        <v>36</v>
      </c>
      <c r="B746" t="s">
        <v>40</v>
      </c>
    </row>
    <row r="747" spans="1:2">
      <c r="A747">
        <v>36</v>
      </c>
      <c r="B747" s="4">
        <v>0</v>
      </c>
    </row>
    <row r="748" spans="1:2">
      <c r="A748">
        <v>36</v>
      </c>
      <c r="B748" t="s">
        <v>41</v>
      </c>
    </row>
    <row r="749" spans="1:2">
      <c r="A749">
        <v>36</v>
      </c>
      <c r="B749" s="4">
        <v>19000000</v>
      </c>
    </row>
    <row r="750" spans="1:2">
      <c r="A750">
        <v>36</v>
      </c>
      <c r="B750" t="s">
        <v>42</v>
      </c>
    </row>
    <row r="751" spans="1:2">
      <c r="A751">
        <v>36</v>
      </c>
      <c r="B751" t="s">
        <v>44</v>
      </c>
    </row>
    <row r="752" spans="1:2">
      <c r="A752">
        <v>55</v>
      </c>
      <c r="B752" t="s">
        <v>27</v>
      </c>
    </row>
    <row r="753" spans="1:2">
      <c r="A753">
        <v>55</v>
      </c>
      <c r="B753" s="2">
        <v>9.3880000000000005E-2</v>
      </c>
    </row>
    <row r="754" spans="1:2">
      <c r="A754">
        <v>55</v>
      </c>
      <c r="B754" t="s">
        <v>1</v>
      </c>
    </row>
    <row r="755" spans="1:2">
      <c r="A755">
        <v>55</v>
      </c>
      <c r="B755">
        <v>-0.36699999999999999</v>
      </c>
    </row>
    <row r="756" spans="1:2">
      <c r="A756">
        <v>55</v>
      </c>
      <c r="B756" t="s">
        <v>28</v>
      </c>
    </row>
    <row r="757" spans="1:2">
      <c r="A757">
        <v>55</v>
      </c>
      <c r="B757">
        <v>459</v>
      </c>
    </row>
    <row r="758" spans="1:2">
      <c r="A758">
        <v>55</v>
      </c>
      <c r="B758" t="s">
        <v>25</v>
      </c>
    </row>
    <row r="759" spans="1:2">
      <c r="A759">
        <v>55</v>
      </c>
      <c r="B759" s="2">
        <v>4.1099999999999998E-2</v>
      </c>
    </row>
    <row r="760" spans="1:2">
      <c r="A760">
        <v>55</v>
      </c>
      <c r="B760" t="s">
        <v>29</v>
      </c>
    </row>
    <row r="761" spans="1:2">
      <c r="A761">
        <v>55</v>
      </c>
      <c r="B761" s="2">
        <v>-7.9299999999999995E-2</v>
      </c>
    </row>
    <row r="762" spans="1:2">
      <c r="A762">
        <v>55</v>
      </c>
      <c r="B762" t="s">
        <v>30</v>
      </c>
    </row>
    <row r="763" spans="1:2">
      <c r="A763">
        <v>55</v>
      </c>
      <c r="B763" s="2">
        <v>-0.46013999999999999</v>
      </c>
    </row>
    <row r="764" spans="1:2">
      <c r="A764">
        <v>55</v>
      </c>
      <c r="B764" t="s">
        <v>8</v>
      </c>
    </row>
    <row r="765" spans="1:2">
      <c r="A765">
        <v>55</v>
      </c>
      <c r="B765" s="2">
        <v>0.59299999999999997</v>
      </c>
    </row>
    <row r="766" spans="1:2">
      <c r="A766">
        <v>55</v>
      </c>
      <c r="B766" t="s">
        <v>31</v>
      </c>
    </row>
    <row r="767" spans="1:2">
      <c r="A767">
        <v>55</v>
      </c>
      <c r="B767">
        <v>-0.29099999999999998</v>
      </c>
    </row>
    <row r="768" spans="1:2">
      <c r="A768">
        <v>55</v>
      </c>
      <c r="B768" t="s">
        <v>32</v>
      </c>
    </row>
    <row r="769" spans="1:2">
      <c r="A769">
        <v>55</v>
      </c>
      <c r="B769" s="2">
        <v>-0.32754</v>
      </c>
    </row>
    <row r="770" spans="1:2">
      <c r="A770">
        <v>55</v>
      </c>
      <c r="B770" t="s">
        <v>33</v>
      </c>
    </row>
    <row r="771" spans="1:2">
      <c r="A771">
        <v>55</v>
      </c>
      <c r="B771" s="3">
        <v>0.53</v>
      </c>
    </row>
    <row r="772" spans="1:2">
      <c r="A772">
        <v>55</v>
      </c>
      <c r="B772" t="s">
        <v>34</v>
      </c>
    </row>
    <row r="773" spans="1:2">
      <c r="A773">
        <v>55</v>
      </c>
      <c r="B773" s="3">
        <v>0.47</v>
      </c>
    </row>
    <row r="774" spans="1:2">
      <c r="A774">
        <v>55</v>
      </c>
      <c r="B774" t="s">
        <v>26</v>
      </c>
    </row>
    <row r="775" spans="1:2">
      <c r="A775">
        <v>55</v>
      </c>
      <c r="B775">
        <v>0.52</v>
      </c>
    </row>
    <row r="776" spans="1:2">
      <c r="A776">
        <v>55</v>
      </c>
      <c r="B776" t="s">
        <v>23</v>
      </c>
    </row>
    <row r="777" spans="1:2">
      <c r="A777">
        <v>55</v>
      </c>
      <c r="B777">
        <v>-0.36</v>
      </c>
    </row>
    <row r="778" spans="1:2">
      <c r="A778">
        <v>55</v>
      </c>
      <c r="B778" t="s">
        <v>24</v>
      </c>
    </row>
    <row r="779" spans="1:2">
      <c r="A779">
        <v>55</v>
      </c>
      <c r="B779">
        <v>2.1549999999999998</v>
      </c>
    </row>
    <row r="780" spans="1:2">
      <c r="A780">
        <v>55</v>
      </c>
      <c r="B780" t="s">
        <v>35</v>
      </c>
    </row>
    <row r="781" spans="1:2">
      <c r="A781">
        <v>55</v>
      </c>
      <c r="B781">
        <v>0.60599999999999998</v>
      </c>
    </row>
    <row r="782" spans="1:2">
      <c r="A782">
        <v>55</v>
      </c>
      <c r="B782" t="s">
        <v>36</v>
      </c>
    </row>
    <row r="783" spans="1:2">
      <c r="A783">
        <v>55</v>
      </c>
      <c r="B783">
        <v>0.36699999999999999</v>
      </c>
    </row>
    <row r="784" spans="1:2">
      <c r="A784">
        <v>55</v>
      </c>
      <c r="B784" t="s">
        <v>37</v>
      </c>
    </row>
    <row r="785" spans="1:2">
      <c r="A785">
        <v>55</v>
      </c>
      <c r="B785">
        <v>-0.48199999999999998</v>
      </c>
    </row>
    <row r="786" spans="1:2">
      <c r="A786">
        <v>55</v>
      </c>
      <c r="B786" t="s">
        <v>38</v>
      </c>
    </row>
    <row r="787" spans="1:2">
      <c r="A787">
        <v>55</v>
      </c>
      <c r="B787">
        <v>0.59299999999999997</v>
      </c>
    </row>
    <row r="788" spans="1:2">
      <c r="A788">
        <v>55</v>
      </c>
      <c r="B788" t="s">
        <v>39</v>
      </c>
    </row>
    <row r="789" spans="1:2">
      <c r="A789">
        <v>55</v>
      </c>
      <c r="B789">
        <v>-0.10299999999999999</v>
      </c>
    </row>
    <row r="790" spans="1:2">
      <c r="A790">
        <v>55</v>
      </c>
      <c r="B790" t="s">
        <v>40</v>
      </c>
    </row>
    <row r="791" spans="1:2">
      <c r="A791">
        <v>55</v>
      </c>
      <c r="B791" s="4">
        <v>0</v>
      </c>
    </row>
    <row r="792" spans="1:2">
      <c r="A792">
        <v>55</v>
      </c>
      <c r="B792" t="s">
        <v>41</v>
      </c>
    </row>
    <row r="793" spans="1:2">
      <c r="A793">
        <v>55</v>
      </c>
      <c r="B793" s="4">
        <v>19000000</v>
      </c>
    </row>
    <row r="794" spans="1:2">
      <c r="A794">
        <v>55</v>
      </c>
      <c r="B794" t="s">
        <v>42</v>
      </c>
    </row>
    <row r="795" spans="1:2">
      <c r="A795">
        <v>55</v>
      </c>
      <c r="B795" t="s">
        <v>44</v>
      </c>
    </row>
    <row r="796" spans="1:2">
      <c r="A796">
        <v>56</v>
      </c>
      <c r="B796" t="s">
        <v>27</v>
      </c>
    </row>
    <row r="797" spans="1:2">
      <c r="A797">
        <v>56</v>
      </c>
      <c r="B797" s="2">
        <v>9.3880000000000005E-2</v>
      </c>
    </row>
    <row r="798" spans="1:2">
      <c r="A798">
        <v>56</v>
      </c>
      <c r="B798" t="s">
        <v>1</v>
      </c>
    </row>
    <row r="799" spans="1:2">
      <c r="A799">
        <v>56</v>
      </c>
      <c r="B799">
        <v>-0.36699999999999999</v>
      </c>
    </row>
    <row r="800" spans="1:2">
      <c r="A800">
        <v>56</v>
      </c>
      <c r="B800" t="s">
        <v>28</v>
      </c>
    </row>
    <row r="801" spans="1:2">
      <c r="A801">
        <v>56</v>
      </c>
      <c r="B801">
        <v>459</v>
      </c>
    </row>
    <row r="802" spans="1:2">
      <c r="A802">
        <v>56</v>
      </c>
      <c r="B802" t="s">
        <v>25</v>
      </c>
    </row>
    <row r="803" spans="1:2">
      <c r="A803">
        <v>56</v>
      </c>
      <c r="B803" s="2">
        <v>4.1099999999999998E-2</v>
      </c>
    </row>
    <row r="804" spans="1:2">
      <c r="A804">
        <v>56</v>
      </c>
      <c r="B804" t="s">
        <v>29</v>
      </c>
    </row>
    <row r="805" spans="1:2">
      <c r="A805">
        <v>56</v>
      </c>
      <c r="B805" s="2">
        <v>-7.9299999999999995E-2</v>
      </c>
    </row>
    <row r="806" spans="1:2">
      <c r="A806">
        <v>56</v>
      </c>
      <c r="B806" t="s">
        <v>30</v>
      </c>
    </row>
    <row r="807" spans="1:2">
      <c r="A807">
        <v>56</v>
      </c>
      <c r="B807" s="2">
        <v>-0.46013999999999999</v>
      </c>
    </row>
    <row r="808" spans="1:2">
      <c r="A808">
        <v>56</v>
      </c>
      <c r="B808" t="s">
        <v>8</v>
      </c>
    </row>
    <row r="809" spans="1:2">
      <c r="A809">
        <v>56</v>
      </c>
      <c r="B809" s="2">
        <v>0.59299999999999997</v>
      </c>
    </row>
    <row r="810" spans="1:2">
      <c r="A810">
        <v>56</v>
      </c>
      <c r="B810" t="s">
        <v>31</v>
      </c>
    </row>
    <row r="811" spans="1:2">
      <c r="A811">
        <v>56</v>
      </c>
      <c r="B811">
        <v>-0.29099999999999998</v>
      </c>
    </row>
    <row r="812" spans="1:2">
      <c r="A812">
        <v>56</v>
      </c>
      <c r="B812" t="s">
        <v>32</v>
      </c>
    </row>
    <row r="813" spans="1:2">
      <c r="A813">
        <v>56</v>
      </c>
      <c r="B813" s="2">
        <v>-0.32754</v>
      </c>
    </row>
    <row r="814" spans="1:2">
      <c r="A814">
        <v>56</v>
      </c>
      <c r="B814" t="s">
        <v>33</v>
      </c>
    </row>
    <row r="815" spans="1:2">
      <c r="A815">
        <v>56</v>
      </c>
      <c r="B815" s="3">
        <v>0.53</v>
      </c>
    </row>
    <row r="816" spans="1:2">
      <c r="A816">
        <v>56</v>
      </c>
      <c r="B816" t="s">
        <v>34</v>
      </c>
    </row>
    <row r="817" spans="1:2">
      <c r="A817">
        <v>56</v>
      </c>
      <c r="B817" s="3">
        <v>0.47</v>
      </c>
    </row>
    <row r="818" spans="1:2">
      <c r="A818">
        <v>56</v>
      </c>
      <c r="B818" t="s">
        <v>26</v>
      </c>
    </row>
    <row r="819" spans="1:2">
      <c r="A819">
        <v>56</v>
      </c>
      <c r="B819">
        <v>0.52</v>
      </c>
    </row>
    <row r="820" spans="1:2">
      <c r="A820">
        <v>56</v>
      </c>
      <c r="B820" t="s">
        <v>23</v>
      </c>
    </row>
    <row r="821" spans="1:2">
      <c r="A821">
        <v>56</v>
      </c>
      <c r="B821">
        <v>-0.36</v>
      </c>
    </row>
    <row r="822" spans="1:2">
      <c r="A822">
        <v>56</v>
      </c>
      <c r="B822" t="s">
        <v>24</v>
      </c>
    </row>
    <row r="823" spans="1:2">
      <c r="A823">
        <v>56</v>
      </c>
      <c r="B823">
        <v>2.1549999999999998</v>
      </c>
    </row>
    <row r="824" spans="1:2">
      <c r="A824">
        <v>56</v>
      </c>
      <c r="B824" t="s">
        <v>35</v>
      </c>
    </row>
    <row r="825" spans="1:2">
      <c r="A825">
        <v>56</v>
      </c>
      <c r="B825">
        <v>0.60599999999999998</v>
      </c>
    </row>
    <row r="826" spans="1:2">
      <c r="A826">
        <v>56</v>
      </c>
      <c r="B826" t="s">
        <v>36</v>
      </c>
    </row>
    <row r="827" spans="1:2">
      <c r="A827">
        <v>56</v>
      </c>
      <c r="B827">
        <v>0.36699999999999999</v>
      </c>
    </row>
    <row r="828" spans="1:2">
      <c r="A828">
        <v>56</v>
      </c>
      <c r="B828" t="s">
        <v>37</v>
      </c>
    </row>
    <row r="829" spans="1:2">
      <c r="A829">
        <v>56</v>
      </c>
      <c r="B829">
        <v>-0.48199999999999998</v>
      </c>
    </row>
    <row r="830" spans="1:2">
      <c r="A830">
        <v>56</v>
      </c>
      <c r="B830" t="s">
        <v>38</v>
      </c>
    </row>
    <row r="831" spans="1:2">
      <c r="A831">
        <v>56</v>
      </c>
      <c r="B831">
        <v>0.59299999999999997</v>
      </c>
    </row>
    <row r="832" spans="1:2">
      <c r="A832">
        <v>56</v>
      </c>
      <c r="B832" t="s">
        <v>39</v>
      </c>
    </row>
    <row r="833" spans="1:2">
      <c r="A833">
        <v>56</v>
      </c>
      <c r="B833">
        <v>-0.10299999999999999</v>
      </c>
    </row>
    <row r="834" spans="1:2">
      <c r="A834">
        <v>56</v>
      </c>
      <c r="B834" t="s">
        <v>40</v>
      </c>
    </row>
    <row r="835" spans="1:2">
      <c r="A835">
        <v>56</v>
      </c>
      <c r="B835" s="4">
        <v>0</v>
      </c>
    </row>
    <row r="836" spans="1:2">
      <c r="A836">
        <v>56</v>
      </c>
      <c r="B836" t="s">
        <v>41</v>
      </c>
    </row>
    <row r="837" spans="1:2">
      <c r="A837">
        <v>56</v>
      </c>
      <c r="B837" s="4">
        <v>19000000</v>
      </c>
    </row>
    <row r="838" spans="1:2">
      <c r="A838">
        <v>56</v>
      </c>
      <c r="B838" t="s">
        <v>42</v>
      </c>
    </row>
    <row r="839" spans="1:2">
      <c r="A839">
        <v>56</v>
      </c>
      <c r="B839" t="s">
        <v>44</v>
      </c>
    </row>
    <row r="840" spans="1:2">
      <c r="A840">
        <v>57</v>
      </c>
      <c r="B840" t="s">
        <v>27</v>
      </c>
    </row>
    <row r="841" spans="1:2">
      <c r="A841">
        <v>57</v>
      </c>
      <c r="B841" s="2">
        <v>9.3880000000000005E-2</v>
      </c>
    </row>
    <row r="842" spans="1:2">
      <c r="A842">
        <v>57</v>
      </c>
      <c r="B842" t="s">
        <v>1</v>
      </c>
    </row>
    <row r="843" spans="1:2">
      <c r="A843">
        <v>57</v>
      </c>
      <c r="B843">
        <v>-0.36699999999999999</v>
      </c>
    </row>
    <row r="844" spans="1:2">
      <c r="A844">
        <v>57</v>
      </c>
      <c r="B844" t="s">
        <v>28</v>
      </c>
    </row>
    <row r="845" spans="1:2">
      <c r="A845">
        <v>57</v>
      </c>
      <c r="B845">
        <v>459</v>
      </c>
    </row>
    <row r="846" spans="1:2">
      <c r="A846">
        <v>57</v>
      </c>
      <c r="B846" t="s">
        <v>25</v>
      </c>
    </row>
    <row r="847" spans="1:2">
      <c r="A847">
        <v>57</v>
      </c>
      <c r="B847" s="2">
        <v>4.1099999999999998E-2</v>
      </c>
    </row>
    <row r="848" spans="1:2">
      <c r="A848">
        <v>57</v>
      </c>
      <c r="B848" t="s">
        <v>29</v>
      </c>
    </row>
    <row r="849" spans="1:2">
      <c r="A849">
        <v>57</v>
      </c>
      <c r="B849" s="2">
        <v>-7.9299999999999995E-2</v>
      </c>
    </row>
    <row r="850" spans="1:2">
      <c r="A850">
        <v>57</v>
      </c>
      <c r="B850" t="s">
        <v>30</v>
      </c>
    </row>
    <row r="851" spans="1:2">
      <c r="A851">
        <v>57</v>
      </c>
      <c r="B851" s="2">
        <v>-0.46013999999999999</v>
      </c>
    </row>
    <row r="852" spans="1:2">
      <c r="A852">
        <v>57</v>
      </c>
      <c r="B852" t="s">
        <v>8</v>
      </c>
    </row>
    <row r="853" spans="1:2">
      <c r="A853">
        <v>57</v>
      </c>
      <c r="B853" s="2">
        <v>0.59299999999999997</v>
      </c>
    </row>
    <row r="854" spans="1:2">
      <c r="A854">
        <v>57</v>
      </c>
      <c r="B854" t="s">
        <v>31</v>
      </c>
    </row>
    <row r="855" spans="1:2">
      <c r="A855">
        <v>57</v>
      </c>
      <c r="B855">
        <v>-0.29099999999999998</v>
      </c>
    </row>
    <row r="856" spans="1:2">
      <c r="A856">
        <v>57</v>
      </c>
      <c r="B856" t="s">
        <v>32</v>
      </c>
    </row>
    <row r="857" spans="1:2">
      <c r="A857">
        <v>57</v>
      </c>
      <c r="B857" s="2">
        <v>-0.32754</v>
      </c>
    </row>
    <row r="858" spans="1:2">
      <c r="A858">
        <v>57</v>
      </c>
      <c r="B858" t="s">
        <v>33</v>
      </c>
    </row>
    <row r="859" spans="1:2">
      <c r="A859">
        <v>57</v>
      </c>
      <c r="B859" s="3">
        <v>0.53</v>
      </c>
    </row>
    <row r="860" spans="1:2">
      <c r="A860">
        <v>57</v>
      </c>
      <c r="B860" t="s">
        <v>34</v>
      </c>
    </row>
    <row r="861" spans="1:2">
      <c r="A861">
        <v>57</v>
      </c>
      <c r="B861" s="3">
        <v>0.47</v>
      </c>
    </row>
    <row r="862" spans="1:2">
      <c r="A862">
        <v>57</v>
      </c>
      <c r="B862" t="s">
        <v>26</v>
      </c>
    </row>
    <row r="863" spans="1:2">
      <c r="A863">
        <v>57</v>
      </c>
      <c r="B863">
        <v>0.52</v>
      </c>
    </row>
    <row r="864" spans="1:2">
      <c r="A864">
        <v>57</v>
      </c>
      <c r="B864" t="s">
        <v>23</v>
      </c>
    </row>
    <row r="865" spans="1:2">
      <c r="A865">
        <v>57</v>
      </c>
      <c r="B865">
        <v>-0.36</v>
      </c>
    </row>
    <row r="866" spans="1:2">
      <c r="A866">
        <v>57</v>
      </c>
      <c r="B866" t="s">
        <v>24</v>
      </c>
    </row>
    <row r="867" spans="1:2">
      <c r="A867">
        <v>57</v>
      </c>
      <c r="B867">
        <v>2.1549999999999998</v>
      </c>
    </row>
    <row r="868" spans="1:2">
      <c r="A868">
        <v>57</v>
      </c>
      <c r="B868" t="s">
        <v>35</v>
      </c>
    </row>
    <row r="869" spans="1:2">
      <c r="A869">
        <v>57</v>
      </c>
      <c r="B869">
        <v>0.60599999999999998</v>
      </c>
    </row>
    <row r="870" spans="1:2">
      <c r="A870">
        <v>57</v>
      </c>
      <c r="B870" t="s">
        <v>36</v>
      </c>
    </row>
    <row r="871" spans="1:2">
      <c r="A871">
        <v>57</v>
      </c>
      <c r="B871">
        <v>0.36699999999999999</v>
      </c>
    </row>
    <row r="872" spans="1:2">
      <c r="A872">
        <v>57</v>
      </c>
      <c r="B872" t="s">
        <v>37</v>
      </c>
    </row>
    <row r="873" spans="1:2">
      <c r="A873">
        <v>57</v>
      </c>
      <c r="B873">
        <v>-0.48199999999999998</v>
      </c>
    </row>
    <row r="874" spans="1:2">
      <c r="A874">
        <v>57</v>
      </c>
      <c r="B874" t="s">
        <v>38</v>
      </c>
    </row>
    <row r="875" spans="1:2">
      <c r="A875">
        <v>57</v>
      </c>
      <c r="B875">
        <v>0.59299999999999997</v>
      </c>
    </row>
    <row r="876" spans="1:2">
      <c r="A876">
        <v>57</v>
      </c>
      <c r="B876" t="s">
        <v>39</v>
      </c>
    </row>
    <row r="877" spans="1:2">
      <c r="A877">
        <v>57</v>
      </c>
      <c r="B877">
        <v>-0.10299999999999999</v>
      </c>
    </row>
    <row r="878" spans="1:2">
      <c r="A878">
        <v>57</v>
      </c>
      <c r="B878" t="s">
        <v>40</v>
      </c>
    </row>
    <row r="879" spans="1:2">
      <c r="A879">
        <v>57</v>
      </c>
      <c r="B879" s="4">
        <v>0</v>
      </c>
    </row>
    <row r="880" spans="1:2">
      <c r="A880">
        <v>57</v>
      </c>
      <c r="B880" t="s">
        <v>41</v>
      </c>
    </row>
    <row r="881" spans="1:2">
      <c r="A881">
        <v>57</v>
      </c>
      <c r="B881" s="4">
        <v>19000000</v>
      </c>
    </row>
    <row r="882" spans="1:2">
      <c r="A882">
        <v>57</v>
      </c>
      <c r="B882" t="s">
        <v>42</v>
      </c>
    </row>
    <row r="883" spans="1:2">
      <c r="A883">
        <v>57</v>
      </c>
      <c r="B883" t="s">
        <v>44</v>
      </c>
    </row>
    <row r="884" spans="1:2">
      <c r="A884">
        <v>58</v>
      </c>
      <c r="B884" t="s">
        <v>27</v>
      </c>
    </row>
    <row r="885" spans="1:2">
      <c r="A885">
        <v>58</v>
      </c>
      <c r="B885" s="2">
        <v>9.3880000000000005E-2</v>
      </c>
    </row>
    <row r="886" spans="1:2">
      <c r="A886">
        <v>58</v>
      </c>
      <c r="B886" t="s">
        <v>1</v>
      </c>
    </row>
    <row r="887" spans="1:2">
      <c r="A887">
        <v>58</v>
      </c>
      <c r="B887">
        <v>-0.36699999999999999</v>
      </c>
    </row>
    <row r="888" spans="1:2">
      <c r="A888">
        <v>58</v>
      </c>
      <c r="B888" t="s">
        <v>28</v>
      </c>
    </row>
    <row r="889" spans="1:2">
      <c r="A889">
        <v>58</v>
      </c>
      <c r="B889">
        <v>459</v>
      </c>
    </row>
    <row r="890" spans="1:2">
      <c r="A890">
        <v>58</v>
      </c>
      <c r="B890" t="s">
        <v>25</v>
      </c>
    </row>
    <row r="891" spans="1:2">
      <c r="A891">
        <v>58</v>
      </c>
      <c r="B891" s="2">
        <v>4.1099999999999998E-2</v>
      </c>
    </row>
    <row r="892" spans="1:2">
      <c r="A892">
        <v>58</v>
      </c>
      <c r="B892" t="s">
        <v>29</v>
      </c>
    </row>
    <row r="893" spans="1:2">
      <c r="A893">
        <v>58</v>
      </c>
      <c r="B893" s="2">
        <v>-7.9299999999999995E-2</v>
      </c>
    </row>
    <row r="894" spans="1:2">
      <c r="A894">
        <v>58</v>
      </c>
      <c r="B894" t="s">
        <v>30</v>
      </c>
    </row>
    <row r="895" spans="1:2">
      <c r="A895">
        <v>58</v>
      </c>
      <c r="B895" s="2">
        <v>-0.46013999999999999</v>
      </c>
    </row>
    <row r="896" spans="1:2">
      <c r="A896">
        <v>58</v>
      </c>
      <c r="B896" t="s">
        <v>8</v>
      </c>
    </row>
    <row r="897" spans="1:2">
      <c r="A897">
        <v>58</v>
      </c>
      <c r="B897" s="2">
        <v>0.59299999999999997</v>
      </c>
    </row>
    <row r="898" spans="1:2">
      <c r="A898">
        <v>58</v>
      </c>
      <c r="B898" t="s">
        <v>31</v>
      </c>
    </row>
    <row r="899" spans="1:2">
      <c r="A899">
        <v>58</v>
      </c>
      <c r="B899">
        <v>-0.29099999999999998</v>
      </c>
    </row>
    <row r="900" spans="1:2">
      <c r="A900">
        <v>58</v>
      </c>
      <c r="B900" t="s">
        <v>32</v>
      </c>
    </row>
    <row r="901" spans="1:2">
      <c r="A901">
        <v>58</v>
      </c>
      <c r="B901" s="2">
        <v>-0.32754</v>
      </c>
    </row>
    <row r="902" spans="1:2">
      <c r="A902">
        <v>58</v>
      </c>
      <c r="B902" t="s">
        <v>33</v>
      </c>
    </row>
    <row r="903" spans="1:2">
      <c r="A903">
        <v>58</v>
      </c>
      <c r="B903" s="3">
        <v>0.53</v>
      </c>
    </row>
    <row r="904" spans="1:2">
      <c r="A904">
        <v>58</v>
      </c>
      <c r="B904" t="s">
        <v>34</v>
      </c>
    </row>
    <row r="905" spans="1:2">
      <c r="A905">
        <v>58</v>
      </c>
      <c r="B905" s="3">
        <v>0.47</v>
      </c>
    </row>
    <row r="906" spans="1:2">
      <c r="A906">
        <v>58</v>
      </c>
      <c r="B906" t="s">
        <v>26</v>
      </c>
    </row>
    <row r="907" spans="1:2">
      <c r="A907">
        <v>58</v>
      </c>
      <c r="B907">
        <v>0.52</v>
      </c>
    </row>
    <row r="908" spans="1:2">
      <c r="A908">
        <v>58</v>
      </c>
      <c r="B908" t="s">
        <v>23</v>
      </c>
    </row>
    <row r="909" spans="1:2">
      <c r="A909">
        <v>58</v>
      </c>
      <c r="B909">
        <v>-0.36</v>
      </c>
    </row>
    <row r="910" spans="1:2">
      <c r="A910">
        <v>58</v>
      </c>
      <c r="B910" t="s">
        <v>24</v>
      </c>
    </row>
    <row r="911" spans="1:2">
      <c r="A911">
        <v>58</v>
      </c>
      <c r="B911">
        <v>2.1549999999999998</v>
      </c>
    </row>
    <row r="912" spans="1:2">
      <c r="A912">
        <v>58</v>
      </c>
      <c r="B912" t="s">
        <v>35</v>
      </c>
    </row>
    <row r="913" spans="1:2">
      <c r="A913">
        <v>58</v>
      </c>
      <c r="B913">
        <v>0.60599999999999998</v>
      </c>
    </row>
    <row r="914" spans="1:2">
      <c r="A914">
        <v>58</v>
      </c>
      <c r="B914" t="s">
        <v>36</v>
      </c>
    </row>
    <row r="915" spans="1:2">
      <c r="A915">
        <v>58</v>
      </c>
      <c r="B915">
        <v>0.36699999999999999</v>
      </c>
    </row>
    <row r="916" spans="1:2">
      <c r="A916">
        <v>58</v>
      </c>
      <c r="B916" t="s">
        <v>37</v>
      </c>
    </row>
    <row r="917" spans="1:2">
      <c r="A917">
        <v>58</v>
      </c>
      <c r="B917">
        <v>-0.48199999999999998</v>
      </c>
    </row>
    <row r="918" spans="1:2">
      <c r="A918">
        <v>58</v>
      </c>
      <c r="B918" t="s">
        <v>38</v>
      </c>
    </row>
    <row r="919" spans="1:2">
      <c r="A919">
        <v>58</v>
      </c>
      <c r="B919">
        <v>0.59299999999999997</v>
      </c>
    </row>
    <row r="920" spans="1:2">
      <c r="A920">
        <v>58</v>
      </c>
      <c r="B920" t="s">
        <v>39</v>
      </c>
    </row>
    <row r="921" spans="1:2">
      <c r="A921">
        <v>58</v>
      </c>
      <c r="B921">
        <v>-0.10299999999999999</v>
      </c>
    </row>
    <row r="922" spans="1:2">
      <c r="A922">
        <v>58</v>
      </c>
      <c r="B922" t="s">
        <v>40</v>
      </c>
    </row>
    <row r="923" spans="1:2">
      <c r="A923">
        <v>58</v>
      </c>
      <c r="B923" s="4">
        <v>0</v>
      </c>
    </row>
    <row r="924" spans="1:2">
      <c r="A924">
        <v>58</v>
      </c>
      <c r="B924" t="s">
        <v>41</v>
      </c>
    </row>
    <row r="925" spans="1:2">
      <c r="A925">
        <v>58</v>
      </c>
      <c r="B925" s="4">
        <v>19000000</v>
      </c>
    </row>
    <row r="926" spans="1:2">
      <c r="A926">
        <v>58</v>
      </c>
      <c r="B926" t="s">
        <v>42</v>
      </c>
    </row>
    <row r="927" spans="1:2">
      <c r="A927">
        <v>58</v>
      </c>
      <c r="B927" t="s">
        <v>44</v>
      </c>
    </row>
    <row r="928" spans="1:2">
      <c r="A928">
        <v>59</v>
      </c>
      <c r="B928" t="s">
        <v>27</v>
      </c>
    </row>
    <row r="929" spans="1:2">
      <c r="A929">
        <v>59</v>
      </c>
      <c r="B929" s="2">
        <v>9.3880000000000005E-2</v>
      </c>
    </row>
    <row r="930" spans="1:2">
      <c r="A930">
        <v>59</v>
      </c>
      <c r="B930" t="s">
        <v>1</v>
      </c>
    </row>
    <row r="931" spans="1:2">
      <c r="A931">
        <v>59</v>
      </c>
      <c r="B931">
        <v>-0.36699999999999999</v>
      </c>
    </row>
    <row r="932" spans="1:2">
      <c r="A932">
        <v>59</v>
      </c>
      <c r="B932" t="s">
        <v>28</v>
      </c>
    </row>
    <row r="933" spans="1:2">
      <c r="A933">
        <v>59</v>
      </c>
      <c r="B933">
        <v>459</v>
      </c>
    </row>
    <row r="934" spans="1:2">
      <c r="A934">
        <v>59</v>
      </c>
      <c r="B934" t="s">
        <v>25</v>
      </c>
    </row>
    <row r="935" spans="1:2">
      <c r="A935">
        <v>59</v>
      </c>
      <c r="B935" s="2">
        <v>4.1099999999999998E-2</v>
      </c>
    </row>
    <row r="936" spans="1:2">
      <c r="A936">
        <v>59</v>
      </c>
      <c r="B936" t="s">
        <v>29</v>
      </c>
    </row>
    <row r="937" spans="1:2">
      <c r="A937">
        <v>59</v>
      </c>
      <c r="B937" s="2">
        <v>-7.9299999999999995E-2</v>
      </c>
    </row>
    <row r="938" spans="1:2">
      <c r="A938">
        <v>59</v>
      </c>
      <c r="B938" t="s">
        <v>30</v>
      </c>
    </row>
    <row r="939" spans="1:2">
      <c r="A939">
        <v>59</v>
      </c>
      <c r="B939" s="2">
        <v>-0.46013999999999999</v>
      </c>
    </row>
    <row r="940" spans="1:2">
      <c r="A940">
        <v>59</v>
      </c>
      <c r="B940" t="s">
        <v>8</v>
      </c>
    </row>
    <row r="941" spans="1:2">
      <c r="A941">
        <v>59</v>
      </c>
      <c r="B941" s="2">
        <v>0.59299999999999997</v>
      </c>
    </row>
    <row r="942" spans="1:2">
      <c r="A942">
        <v>59</v>
      </c>
      <c r="B942" t="s">
        <v>31</v>
      </c>
    </row>
    <row r="943" spans="1:2">
      <c r="A943">
        <v>59</v>
      </c>
      <c r="B943">
        <v>-0.29099999999999998</v>
      </c>
    </row>
    <row r="944" spans="1:2">
      <c r="A944">
        <v>59</v>
      </c>
      <c r="B944" t="s">
        <v>32</v>
      </c>
    </row>
    <row r="945" spans="1:2">
      <c r="A945">
        <v>59</v>
      </c>
      <c r="B945" s="2">
        <v>-0.32754</v>
      </c>
    </row>
    <row r="946" spans="1:2">
      <c r="A946">
        <v>59</v>
      </c>
      <c r="B946" t="s">
        <v>33</v>
      </c>
    </row>
    <row r="947" spans="1:2">
      <c r="A947">
        <v>59</v>
      </c>
      <c r="B947" s="3">
        <v>0.53</v>
      </c>
    </row>
    <row r="948" spans="1:2">
      <c r="A948">
        <v>59</v>
      </c>
      <c r="B948" t="s">
        <v>34</v>
      </c>
    </row>
    <row r="949" spans="1:2">
      <c r="A949">
        <v>59</v>
      </c>
      <c r="B949" s="3">
        <v>0.47</v>
      </c>
    </row>
    <row r="950" spans="1:2">
      <c r="A950">
        <v>59</v>
      </c>
      <c r="B950" t="s">
        <v>26</v>
      </c>
    </row>
    <row r="951" spans="1:2">
      <c r="A951">
        <v>59</v>
      </c>
      <c r="B951">
        <v>0.52</v>
      </c>
    </row>
    <row r="952" spans="1:2">
      <c r="A952">
        <v>59</v>
      </c>
      <c r="B952" t="s">
        <v>23</v>
      </c>
    </row>
    <row r="953" spans="1:2">
      <c r="A953">
        <v>59</v>
      </c>
      <c r="B953">
        <v>-0.36</v>
      </c>
    </row>
    <row r="954" spans="1:2">
      <c r="A954">
        <v>59</v>
      </c>
      <c r="B954" t="s">
        <v>24</v>
      </c>
    </row>
    <row r="955" spans="1:2">
      <c r="A955">
        <v>59</v>
      </c>
      <c r="B955">
        <v>2.1549999999999998</v>
      </c>
    </row>
    <row r="956" spans="1:2">
      <c r="A956">
        <v>59</v>
      </c>
      <c r="B956" t="s">
        <v>35</v>
      </c>
    </row>
    <row r="957" spans="1:2">
      <c r="A957">
        <v>59</v>
      </c>
      <c r="B957">
        <v>0.60599999999999998</v>
      </c>
    </row>
    <row r="958" spans="1:2">
      <c r="A958">
        <v>59</v>
      </c>
      <c r="B958" t="s">
        <v>36</v>
      </c>
    </row>
    <row r="959" spans="1:2">
      <c r="A959">
        <v>59</v>
      </c>
      <c r="B959">
        <v>0.36699999999999999</v>
      </c>
    </row>
    <row r="960" spans="1:2">
      <c r="A960">
        <v>59</v>
      </c>
      <c r="B960" t="s">
        <v>37</v>
      </c>
    </row>
    <row r="961" spans="1:2">
      <c r="A961">
        <v>59</v>
      </c>
      <c r="B961">
        <v>-0.48199999999999998</v>
      </c>
    </row>
    <row r="962" spans="1:2">
      <c r="A962">
        <v>59</v>
      </c>
      <c r="B962" t="s">
        <v>38</v>
      </c>
    </row>
    <row r="963" spans="1:2">
      <c r="A963">
        <v>59</v>
      </c>
      <c r="B963">
        <v>0.59299999999999997</v>
      </c>
    </row>
    <row r="964" spans="1:2">
      <c r="A964">
        <v>59</v>
      </c>
      <c r="B964" t="s">
        <v>39</v>
      </c>
    </row>
    <row r="965" spans="1:2">
      <c r="A965">
        <v>59</v>
      </c>
      <c r="B965">
        <v>-0.10299999999999999</v>
      </c>
    </row>
    <row r="966" spans="1:2">
      <c r="A966">
        <v>59</v>
      </c>
      <c r="B966" t="s">
        <v>40</v>
      </c>
    </row>
    <row r="967" spans="1:2">
      <c r="A967">
        <v>59</v>
      </c>
      <c r="B967" s="4">
        <v>0</v>
      </c>
    </row>
    <row r="968" spans="1:2">
      <c r="A968">
        <v>59</v>
      </c>
      <c r="B968" t="s">
        <v>41</v>
      </c>
    </row>
    <row r="969" spans="1:2">
      <c r="A969">
        <v>59</v>
      </c>
      <c r="B969" s="4">
        <v>19000000</v>
      </c>
    </row>
    <row r="970" spans="1:2">
      <c r="A970">
        <v>59</v>
      </c>
      <c r="B970" t="s">
        <v>42</v>
      </c>
    </row>
    <row r="971" spans="1:2">
      <c r="A971">
        <v>59</v>
      </c>
      <c r="B971" t="s">
        <v>44</v>
      </c>
    </row>
    <row r="972" spans="1:2">
      <c r="A972">
        <v>60</v>
      </c>
      <c r="B972" t="s">
        <v>27</v>
      </c>
    </row>
    <row r="973" spans="1:2">
      <c r="A973">
        <v>60</v>
      </c>
      <c r="B973" s="2">
        <v>9.3880000000000005E-2</v>
      </c>
    </row>
    <row r="974" spans="1:2">
      <c r="A974">
        <v>60</v>
      </c>
      <c r="B974" t="s">
        <v>1</v>
      </c>
    </row>
    <row r="975" spans="1:2">
      <c r="A975">
        <v>60</v>
      </c>
      <c r="B975">
        <v>-0.36699999999999999</v>
      </c>
    </row>
    <row r="976" spans="1:2">
      <c r="A976">
        <v>60</v>
      </c>
      <c r="B976" t="s">
        <v>28</v>
      </c>
    </row>
    <row r="977" spans="1:2">
      <c r="A977">
        <v>60</v>
      </c>
      <c r="B977">
        <v>459</v>
      </c>
    </row>
    <row r="978" spans="1:2">
      <c r="A978">
        <v>60</v>
      </c>
      <c r="B978" t="s">
        <v>25</v>
      </c>
    </row>
    <row r="979" spans="1:2">
      <c r="A979">
        <v>60</v>
      </c>
      <c r="B979" s="2">
        <v>4.1099999999999998E-2</v>
      </c>
    </row>
    <row r="980" spans="1:2">
      <c r="A980">
        <v>60</v>
      </c>
      <c r="B980" t="s">
        <v>29</v>
      </c>
    </row>
    <row r="981" spans="1:2">
      <c r="A981">
        <v>60</v>
      </c>
      <c r="B981" s="2">
        <v>-7.9299999999999995E-2</v>
      </c>
    </row>
    <row r="982" spans="1:2">
      <c r="A982">
        <v>60</v>
      </c>
      <c r="B982" t="s">
        <v>30</v>
      </c>
    </row>
    <row r="983" spans="1:2">
      <c r="A983">
        <v>60</v>
      </c>
      <c r="B983" s="2">
        <v>-0.46013999999999999</v>
      </c>
    </row>
    <row r="984" spans="1:2">
      <c r="A984">
        <v>60</v>
      </c>
      <c r="B984" t="s">
        <v>8</v>
      </c>
    </row>
    <row r="985" spans="1:2">
      <c r="A985">
        <v>60</v>
      </c>
      <c r="B985" s="2">
        <v>0.59299999999999997</v>
      </c>
    </row>
    <row r="986" spans="1:2">
      <c r="A986">
        <v>60</v>
      </c>
      <c r="B986" t="s">
        <v>31</v>
      </c>
    </row>
    <row r="987" spans="1:2">
      <c r="A987">
        <v>60</v>
      </c>
      <c r="B987">
        <v>-0.29099999999999998</v>
      </c>
    </row>
    <row r="988" spans="1:2">
      <c r="A988">
        <v>60</v>
      </c>
      <c r="B988" t="s">
        <v>32</v>
      </c>
    </row>
    <row r="989" spans="1:2">
      <c r="A989">
        <v>60</v>
      </c>
      <c r="B989" s="2">
        <v>-0.32754</v>
      </c>
    </row>
    <row r="990" spans="1:2">
      <c r="A990">
        <v>60</v>
      </c>
      <c r="B990" t="s">
        <v>33</v>
      </c>
    </row>
    <row r="991" spans="1:2">
      <c r="A991">
        <v>60</v>
      </c>
      <c r="B991" s="3">
        <v>0.53</v>
      </c>
    </row>
    <row r="992" spans="1:2">
      <c r="A992">
        <v>60</v>
      </c>
      <c r="B992" t="s">
        <v>34</v>
      </c>
    </row>
    <row r="993" spans="1:2">
      <c r="A993">
        <v>60</v>
      </c>
      <c r="B993" s="3">
        <v>0.47</v>
      </c>
    </row>
    <row r="994" spans="1:2">
      <c r="A994">
        <v>60</v>
      </c>
      <c r="B994" t="s">
        <v>26</v>
      </c>
    </row>
    <row r="995" spans="1:2">
      <c r="A995">
        <v>60</v>
      </c>
      <c r="B995">
        <v>0.52</v>
      </c>
    </row>
    <row r="996" spans="1:2">
      <c r="A996">
        <v>60</v>
      </c>
      <c r="B996" t="s">
        <v>23</v>
      </c>
    </row>
    <row r="997" spans="1:2">
      <c r="A997">
        <v>60</v>
      </c>
      <c r="B997">
        <v>-0.36</v>
      </c>
    </row>
    <row r="998" spans="1:2">
      <c r="A998">
        <v>60</v>
      </c>
      <c r="B998" t="s">
        <v>24</v>
      </c>
    </row>
    <row r="999" spans="1:2">
      <c r="A999">
        <v>60</v>
      </c>
      <c r="B999">
        <v>2.1549999999999998</v>
      </c>
    </row>
    <row r="1000" spans="1:2">
      <c r="A1000">
        <v>60</v>
      </c>
      <c r="B1000" t="s">
        <v>35</v>
      </c>
    </row>
    <row r="1001" spans="1:2">
      <c r="A1001">
        <v>60</v>
      </c>
      <c r="B1001">
        <v>0.60599999999999998</v>
      </c>
    </row>
    <row r="1002" spans="1:2">
      <c r="A1002">
        <v>60</v>
      </c>
      <c r="B1002" t="s">
        <v>36</v>
      </c>
    </row>
    <row r="1003" spans="1:2">
      <c r="A1003">
        <v>60</v>
      </c>
      <c r="B1003">
        <v>0.36699999999999999</v>
      </c>
    </row>
    <row r="1004" spans="1:2">
      <c r="A1004">
        <v>60</v>
      </c>
      <c r="B1004" t="s">
        <v>37</v>
      </c>
    </row>
    <row r="1005" spans="1:2">
      <c r="A1005">
        <v>60</v>
      </c>
      <c r="B1005">
        <v>-0.48199999999999998</v>
      </c>
    </row>
    <row r="1006" spans="1:2">
      <c r="A1006">
        <v>60</v>
      </c>
      <c r="B1006" t="s">
        <v>38</v>
      </c>
    </row>
    <row r="1007" spans="1:2">
      <c r="A1007">
        <v>60</v>
      </c>
      <c r="B1007">
        <v>0.59299999999999997</v>
      </c>
    </row>
    <row r="1008" spans="1:2">
      <c r="A1008">
        <v>60</v>
      </c>
      <c r="B1008" t="s">
        <v>39</v>
      </c>
    </row>
    <row r="1009" spans="1:2">
      <c r="A1009">
        <v>60</v>
      </c>
      <c r="B1009">
        <v>-0.10299999999999999</v>
      </c>
    </row>
    <row r="1010" spans="1:2">
      <c r="A1010">
        <v>60</v>
      </c>
      <c r="B1010" t="s">
        <v>40</v>
      </c>
    </row>
    <row r="1011" spans="1:2">
      <c r="A1011">
        <v>60</v>
      </c>
      <c r="B1011" s="4">
        <v>0</v>
      </c>
    </row>
    <row r="1012" spans="1:2">
      <c r="A1012">
        <v>60</v>
      </c>
      <c r="B1012" t="s">
        <v>41</v>
      </c>
    </row>
    <row r="1013" spans="1:2">
      <c r="A1013">
        <v>60</v>
      </c>
      <c r="B1013" s="4">
        <v>19000000</v>
      </c>
    </row>
    <row r="1014" spans="1:2">
      <c r="A1014">
        <v>60</v>
      </c>
      <c r="B1014" t="s">
        <v>42</v>
      </c>
    </row>
    <row r="1015" spans="1:2">
      <c r="A1015">
        <v>60</v>
      </c>
      <c r="B1015" t="s">
        <v>44</v>
      </c>
    </row>
    <row r="1016" spans="1:2">
      <c r="A1016">
        <v>61</v>
      </c>
      <c r="B1016" t="s">
        <v>27</v>
      </c>
    </row>
    <row r="1017" spans="1:2">
      <c r="A1017">
        <v>61</v>
      </c>
      <c r="B1017" s="2">
        <v>9.3880000000000005E-2</v>
      </c>
    </row>
    <row r="1018" spans="1:2">
      <c r="A1018">
        <v>61</v>
      </c>
      <c r="B1018" t="s">
        <v>1</v>
      </c>
    </row>
    <row r="1019" spans="1:2">
      <c r="A1019">
        <v>61</v>
      </c>
      <c r="B1019">
        <v>-0.36699999999999999</v>
      </c>
    </row>
    <row r="1020" spans="1:2">
      <c r="A1020">
        <v>61</v>
      </c>
      <c r="B1020" t="s">
        <v>28</v>
      </c>
    </row>
    <row r="1021" spans="1:2">
      <c r="A1021">
        <v>61</v>
      </c>
      <c r="B1021">
        <v>459</v>
      </c>
    </row>
    <row r="1022" spans="1:2">
      <c r="A1022">
        <v>61</v>
      </c>
      <c r="B1022" t="s">
        <v>25</v>
      </c>
    </row>
    <row r="1023" spans="1:2">
      <c r="A1023">
        <v>61</v>
      </c>
      <c r="B1023" s="2">
        <v>4.1099999999999998E-2</v>
      </c>
    </row>
    <row r="1024" spans="1:2">
      <c r="A1024">
        <v>61</v>
      </c>
      <c r="B1024" t="s">
        <v>29</v>
      </c>
    </row>
    <row r="1025" spans="1:2">
      <c r="A1025">
        <v>61</v>
      </c>
      <c r="B1025" s="2">
        <v>-7.9299999999999995E-2</v>
      </c>
    </row>
    <row r="1026" spans="1:2">
      <c r="A1026">
        <v>61</v>
      </c>
      <c r="B1026" t="s">
        <v>30</v>
      </c>
    </row>
    <row r="1027" spans="1:2">
      <c r="A1027">
        <v>61</v>
      </c>
      <c r="B1027" s="2">
        <v>-0.46013999999999999</v>
      </c>
    </row>
    <row r="1028" spans="1:2">
      <c r="A1028">
        <v>61</v>
      </c>
      <c r="B1028" t="s">
        <v>8</v>
      </c>
    </row>
    <row r="1029" spans="1:2">
      <c r="A1029">
        <v>61</v>
      </c>
      <c r="B1029" s="2">
        <v>0.59299999999999997</v>
      </c>
    </row>
    <row r="1030" spans="1:2">
      <c r="A1030">
        <v>61</v>
      </c>
      <c r="B1030" t="s">
        <v>31</v>
      </c>
    </row>
    <row r="1031" spans="1:2">
      <c r="A1031">
        <v>61</v>
      </c>
      <c r="B1031">
        <v>-0.29099999999999998</v>
      </c>
    </row>
    <row r="1032" spans="1:2">
      <c r="A1032">
        <v>61</v>
      </c>
      <c r="B1032" t="s">
        <v>32</v>
      </c>
    </row>
    <row r="1033" spans="1:2">
      <c r="A1033">
        <v>61</v>
      </c>
      <c r="B1033" s="2">
        <v>-0.32754</v>
      </c>
    </row>
    <row r="1034" spans="1:2">
      <c r="A1034">
        <v>61</v>
      </c>
      <c r="B1034" t="s">
        <v>33</v>
      </c>
    </row>
    <row r="1035" spans="1:2">
      <c r="A1035">
        <v>61</v>
      </c>
      <c r="B1035" s="3">
        <v>0.53</v>
      </c>
    </row>
    <row r="1036" spans="1:2">
      <c r="A1036">
        <v>61</v>
      </c>
      <c r="B1036" t="s">
        <v>34</v>
      </c>
    </row>
    <row r="1037" spans="1:2">
      <c r="A1037">
        <v>61</v>
      </c>
      <c r="B1037" s="3">
        <v>0.47</v>
      </c>
    </row>
    <row r="1038" spans="1:2">
      <c r="A1038">
        <v>61</v>
      </c>
      <c r="B1038" t="s">
        <v>26</v>
      </c>
    </row>
    <row r="1039" spans="1:2">
      <c r="A1039">
        <v>61</v>
      </c>
      <c r="B1039">
        <v>0.52</v>
      </c>
    </row>
    <row r="1040" spans="1:2">
      <c r="A1040">
        <v>61</v>
      </c>
      <c r="B1040" t="s">
        <v>23</v>
      </c>
    </row>
    <row r="1041" spans="1:2">
      <c r="A1041">
        <v>61</v>
      </c>
      <c r="B1041">
        <v>-0.36</v>
      </c>
    </row>
    <row r="1042" spans="1:2">
      <c r="A1042">
        <v>61</v>
      </c>
      <c r="B1042" t="s">
        <v>24</v>
      </c>
    </row>
    <row r="1043" spans="1:2">
      <c r="A1043">
        <v>61</v>
      </c>
      <c r="B1043">
        <v>2.1549999999999998</v>
      </c>
    </row>
    <row r="1044" spans="1:2">
      <c r="A1044">
        <v>61</v>
      </c>
      <c r="B1044" t="s">
        <v>35</v>
      </c>
    </row>
    <row r="1045" spans="1:2">
      <c r="A1045">
        <v>61</v>
      </c>
      <c r="B1045">
        <v>0.60599999999999998</v>
      </c>
    </row>
    <row r="1046" spans="1:2">
      <c r="A1046">
        <v>61</v>
      </c>
      <c r="B1046" t="s">
        <v>36</v>
      </c>
    </row>
    <row r="1047" spans="1:2">
      <c r="A1047">
        <v>61</v>
      </c>
      <c r="B1047">
        <v>0.36699999999999999</v>
      </c>
    </row>
    <row r="1048" spans="1:2">
      <c r="A1048">
        <v>61</v>
      </c>
      <c r="B1048" t="s">
        <v>37</v>
      </c>
    </row>
    <row r="1049" spans="1:2">
      <c r="A1049">
        <v>61</v>
      </c>
      <c r="B1049">
        <v>-0.48199999999999998</v>
      </c>
    </row>
    <row r="1050" spans="1:2">
      <c r="A1050">
        <v>61</v>
      </c>
      <c r="B1050" t="s">
        <v>38</v>
      </c>
    </row>
    <row r="1051" spans="1:2">
      <c r="A1051">
        <v>61</v>
      </c>
      <c r="B1051">
        <v>0.59299999999999997</v>
      </c>
    </row>
    <row r="1052" spans="1:2">
      <c r="A1052">
        <v>61</v>
      </c>
      <c r="B1052" t="s">
        <v>39</v>
      </c>
    </row>
    <row r="1053" spans="1:2">
      <c r="A1053">
        <v>61</v>
      </c>
      <c r="B1053">
        <v>-0.10299999999999999</v>
      </c>
    </row>
    <row r="1054" spans="1:2">
      <c r="A1054">
        <v>61</v>
      </c>
      <c r="B1054" t="s">
        <v>40</v>
      </c>
    </row>
    <row r="1055" spans="1:2">
      <c r="A1055">
        <v>61</v>
      </c>
      <c r="B1055" s="4">
        <v>0</v>
      </c>
    </row>
    <row r="1056" spans="1:2">
      <c r="A1056">
        <v>61</v>
      </c>
      <c r="B1056" t="s">
        <v>41</v>
      </c>
    </row>
    <row r="1057" spans="1:2">
      <c r="A1057">
        <v>61</v>
      </c>
      <c r="B1057" s="4">
        <v>19000000</v>
      </c>
    </row>
    <row r="1058" spans="1:2">
      <c r="A1058">
        <v>61</v>
      </c>
      <c r="B1058" t="s">
        <v>42</v>
      </c>
    </row>
    <row r="1059" spans="1:2">
      <c r="A1059">
        <v>61</v>
      </c>
      <c r="B1059" t="s">
        <v>44</v>
      </c>
    </row>
    <row r="1060" spans="1:2">
      <c r="A1060">
        <v>62</v>
      </c>
      <c r="B1060" t="s">
        <v>27</v>
      </c>
    </row>
    <row r="1061" spans="1:2">
      <c r="A1061">
        <v>62</v>
      </c>
      <c r="B1061" s="2">
        <v>9.3880000000000005E-2</v>
      </c>
    </row>
    <row r="1062" spans="1:2">
      <c r="A1062">
        <v>62</v>
      </c>
      <c r="B1062" t="s">
        <v>1</v>
      </c>
    </row>
    <row r="1063" spans="1:2">
      <c r="A1063">
        <v>62</v>
      </c>
      <c r="B1063">
        <v>-0.36699999999999999</v>
      </c>
    </row>
    <row r="1064" spans="1:2">
      <c r="A1064">
        <v>62</v>
      </c>
      <c r="B1064" t="s">
        <v>28</v>
      </c>
    </row>
    <row r="1065" spans="1:2">
      <c r="A1065">
        <v>62</v>
      </c>
      <c r="B1065">
        <v>459</v>
      </c>
    </row>
    <row r="1066" spans="1:2">
      <c r="A1066">
        <v>62</v>
      </c>
      <c r="B1066" t="s">
        <v>25</v>
      </c>
    </row>
    <row r="1067" spans="1:2">
      <c r="A1067">
        <v>62</v>
      </c>
      <c r="B1067" s="2">
        <v>4.1099999999999998E-2</v>
      </c>
    </row>
    <row r="1068" spans="1:2">
      <c r="A1068">
        <v>62</v>
      </c>
      <c r="B1068" t="s">
        <v>29</v>
      </c>
    </row>
    <row r="1069" spans="1:2">
      <c r="A1069">
        <v>62</v>
      </c>
      <c r="B1069" s="2">
        <v>-7.9299999999999995E-2</v>
      </c>
    </row>
    <row r="1070" spans="1:2">
      <c r="A1070">
        <v>62</v>
      </c>
      <c r="B1070" t="s">
        <v>30</v>
      </c>
    </row>
    <row r="1071" spans="1:2">
      <c r="A1071">
        <v>62</v>
      </c>
      <c r="B1071" s="2">
        <v>-0.46013999999999999</v>
      </c>
    </row>
    <row r="1072" spans="1:2">
      <c r="A1072">
        <v>62</v>
      </c>
      <c r="B1072" t="s">
        <v>8</v>
      </c>
    </row>
    <row r="1073" spans="1:2">
      <c r="A1073">
        <v>62</v>
      </c>
      <c r="B1073" s="2">
        <v>0.59299999999999997</v>
      </c>
    </row>
    <row r="1074" spans="1:2">
      <c r="A1074">
        <v>62</v>
      </c>
      <c r="B1074" t="s">
        <v>31</v>
      </c>
    </row>
    <row r="1075" spans="1:2">
      <c r="A1075">
        <v>62</v>
      </c>
      <c r="B1075">
        <v>-0.29099999999999998</v>
      </c>
    </row>
    <row r="1076" spans="1:2">
      <c r="A1076">
        <v>62</v>
      </c>
      <c r="B1076" t="s">
        <v>32</v>
      </c>
    </row>
    <row r="1077" spans="1:2">
      <c r="A1077">
        <v>62</v>
      </c>
      <c r="B1077" s="2">
        <v>-0.32754</v>
      </c>
    </row>
    <row r="1078" spans="1:2">
      <c r="A1078">
        <v>62</v>
      </c>
      <c r="B1078" t="s">
        <v>33</v>
      </c>
    </row>
    <row r="1079" spans="1:2">
      <c r="A1079">
        <v>62</v>
      </c>
      <c r="B1079" s="3">
        <v>0.53</v>
      </c>
    </row>
    <row r="1080" spans="1:2">
      <c r="A1080">
        <v>62</v>
      </c>
      <c r="B1080" t="s">
        <v>34</v>
      </c>
    </row>
    <row r="1081" spans="1:2">
      <c r="A1081">
        <v>62</v>
      </c>
      <c r="B1081" s="3">
        <v>0.47</v>
      </c>
    </row>
    <row r="1082" spans="1:2">
      <c r="A1082">
        <v>62</v>
      </c>
      <c r="B1082" t="s">
        <v>26</v>
      </c>
    </row>
    <row r="1083" spans="1:2">
      <c r="A1083">
        <v>62</v>
      </c>
      <c r="B1083">
        <v>0.52</v>
      </c>
    </row>
    <row r="1084" spans="1:2">
      <c r="A1084">
        <v>62</v>
      </c>
      <c r="B1084" t="s">
        <v>23</v>
      </c>
    </row>
    <row r="1085" spans="1:2">
      <c r="A1085">
        <v>62</v>
      </c>
      <c r="B1085">
        <v>-0.36</v>
      </c>
    </row>
    <row r="1086" spans="1:2">
      <c r="A1086">
        <v>62</v>
      </c>
      <c r="B1086" t="s">
        <v>24</v>
      </c>
    </row>
    <row r="1087" spans="1:2">
      <c r="A1087">
        <v>62</v>
      </c>
      <c r="B1087">
        <v>2.1549999999999998</v>
      </c>
    </row>
    <row r="1088" spans="1:2">
      <c r="A1088">
        <v>62</v>
      </c>
      <c r="B1088" t="s">
        <v>35</v>
      </c>
    </row>
    <row r="1089" spans="1:2">
      <c r="A1089">
        <v>62</v>
      </c>
      <c r="B1089">
        <v>0.60599999999999998</v>
      </c>
    </row>
    <row r="1090" spans="1:2">
      <c r="A1090">
        <v>62</v>
      </c>
      <c r="B1090" t="s">
        <v>36</v>
      </c>
    </row>
    <row r="1091" spans="1:2">
      <c r="A1091">
        <v>62</v>
      </c>
      <c r="B1091">
        <v>0.36699999999999999</v>
      </c>
    </row>
    <row r="1092" spans="1:2">
      <c r="A1092">
        <v>62</v>
      </c>
      <c r="B1092" t="s">
        <v>37</v>
      </c>
    </row>
    <row r="1093" spans="1:2">
      <c r="A1093">
        <v>62</v>
      </c>
      <c r="B1093">
        <v>-0.48199999999999998</v>
      </c>
    </row>
    <row r="1094" spans="1:2">
      <c r="A1094">
        <v>62</v>
      </c>
      <c r="B1094" t="s">
        <v>38</v>
      </c>
    </row>
    <row r="1095" spans="1:2">
      <c r="A1095">
        <v>62</v>
      </c>
      <c r="B1095">
        <v>0.59299999999999997</v>
      </c>
    </row>
    <row r="1096" spans="1:2">
      <c r="A1096">
        <v>62</v>
      </c>
      <c r="B1096" t="s">
        <v>39</v>
      </c>
    </row>
    <row r="1097" spans="1:2">
      <c r="A1097">
        <v>62</v>
      </c>
      <c r="B1097">
        <v>-0.10299999999999999</v>
      </c>
    </row>
    <row r="1098" spans="1:2">
      <c r="A1098">
        <v>62</v>
      </c>
      <c r="B1098" t="s">
        <v>40</v>
      </c>
    </row>
    <row r="1099" spans="1:2">
      <c r="A1099">
        <v>62</v>
      </c>
      <c r="B1099" s="4">
        <v>0</v>
      </c>
    </row>
    <row r="1100" spans="1:2">
      <c r="A1100">
        <v>62</v>
      </c>
      <c r="B1100" t="s">
        <v>41</v>
      </c>
    </row>
    <row r="1101" spans="1:2">
      <c r="A1101">
        <v>62</v>
      </c>
      <c r="B1101" s="4">
        <v>19000000</v>
      </c>
    </row>
    <row r="1102" spans="1:2">
      <c r="A1102">
        <v>62</v>
      </c>
      <c r="B1102" t="s">
        <v>42</v>
      </c>
    </row>
    <row r="1103" spans="1:2">
      <c r="A1103">
        <v>62</v>
      </c>
      <c r="B1103" t="s">
        <v>44</v>
      </c>
    </row>
    <row r="1104" spans="1:2">
      <c r="A1104">
        <v>63</v>
      </c>
      <c r="B1104" t="s">
        <v>27</v>
      </c>
    </row>
    <row r="1105" spans="1:2">
      <c r="A1105">
        <v>63</v>
      </c>
      <c r="B1105" s="2">
        <v>9.3880000000000005E-2</v>
      </c>
    </row>
    <row r="1106" spans="1:2">
      <c r="A1106">
        <v>63</v>
      </c>
      <c r="B1106" t="s">
        <v>1</v>
      </c>
    </row>
    <row r="1107" spans="1:2">
      <c r="A1107">
        <v>63</v>
      </c>
      <c r="B1107">
        <v>-0.36699999999999999</v>
      </c>
    </row>
    <row r="1108" spans="1:2">
      <c r="A1108">
        <v>63</v>
      </c>
      <c r="B1108" t="s">
        <v>28</v>
      </c>
    </row>
    <row r="1109" spans="1:2">
      <c r="A1109">
        <v>63</v>
      </c>
      <c r="B1109">
        <v>459</v>
      </c>
    </row>
    <row r="1110" spans="1:2">
      <c r="A1110">
        <v>63</v>
      </c>
      <c r="B1110" t="s">
        <v>25</v>
      </c>
    </row>
    <row r="1111" spans="1:2">
      <c r="A1111">
        <v>63</v>
      </c>
      <c r="B1111" s="2">
        <v>4.1099999999999998E-2</v>
      </c>
    </row>
    <row r="1112" spans="1:2">
      <c r="A1112">
        <v>63</v>
      </c>
      <c r="B1112" t="s">
        <v>29</v>
      </c>
    </row>
    <row r="1113" spans="1:2">
      <c r="A1113">
        <v>63</v>
      </c>
      <c r="B1113" s="2">
        <v>-7.9299999999999995E-2</v>
      </c>
    </row>
    <row r="1114" spans="1:2">
      <c r="A1114">
        <v>63</v>
      </c>
      <c r="B1114" t="s">
        <v>30</v>
      </c>
    </row>
    <row r="1115" spans="1:2">
      <c r="A1115">
        <v>63</v>
      </c>
      <c r="B1115" s="2">
        <v>-0.46013999999999999</v>
      </c>
    </row>
    <row r="1116" spans="1:2">
      <c r="A1116">
        <v>63</v>
      </c>
      <c r="B1116" t="s">
        <v>8</v>
      </c>
    </row>
    <row r="1117" spans="1:2">
      <c r="A1117">
        <v>63</v>
      </c>
      <c r="B1117" s="2">
        <v>0.59299999999999997</v>
      </c>
    </row>
    <row r="1118" spans="1:2">
      <c r="A1118">
        <v>63</v>
      </c>
      <c r="B1118" t="s">
        <v>31</v>
      </c>
    </row>
    <row r="1119" spans="1:2">
      <c r="A1119">
        <v>63</v>
      </c>
      <c r="B1119">
        <v>-0.29099999999999998</v>
      </c>
    </row>
    <row r="1120" spans="1:2">
      <c r="A1120">
        <v>63</v>
      </c>
      <c r="B1120" t="s">
        <v>32</v>
      </c>
    </row>
    <row r="1121" spans="1:2">
      <c r="A1121">
        <v>63</v>
      </c>
      <c r="B1121" s="2">
        <v>-0.32754</v>
      </c>
    </row>
    <row r="1122" spans="1:2">
      <c r="A1122">
        <v>63</v>
      </c>
      <c r="B1122" t="s">
        <v>33</v>
      </c>
    </row>
    <row r="1123" spans="1:2">
      <c r="A1123">
        <v>63</v>
      </c>
      <c r="B1123" s="3">
        <v>0.53</v>
      </c>
    </row>
    <row r="1124" spans="1:2">
      <c r="A1124">
        <v>63</v>
      </c>
      <c r="B1124" t="s">
        <v>34</v>
      </c>
    </row>
    <row r="1125" spans="1:2">
      <c r="A1125">
        <v>63</v>
      </c>
      <c r="B1125" s="3">
        <v>0.47</v>
      </c>
    </row>
    <row r="1126" spans="1:2">
      <c r="A1126">
        <v>63</v>
      </c>
      <c r="B1126" t="s">
        <v>26</v>
      </c>
    </row>
    <row r="1127" spans="1:2">
      <c r="A1127">
        <v>63</v>
      </c>
      <c r="B1127">
        <v>0.52</v>
      </c>
    </row>
    <row r="1128" spans="1:2">
      <c r="A1128">
        <v>63</v>
      </c>
      <c r="B1128" t="s">
        <v>23</v>
      </c>
    </row>
    <row r="1129" spans="1:2">
      <c r="A1129">
        <v>63</v>
      </c>
      <c r="B1129">
        <v>-0.36</v>
      </c>
    </row>
    <row r="1130" spans="1:2">
      <c r="A1130">
        <v>63</v>
      </c>
      <c r="B1130" t="s">
        <v>24</v>
      </c>
    </row>
    <row r="1131" spans="1:2">
      <c r="A1131">
        <v>63</v>
      </c>
      <c r="B1131">
        <v>2.1549999999999998</v>
      </c>
    </row>
    <row r="1132" spans="1:2">
      <c r="A1132">
        <v>63</v>
      </c>
      <c r="B1132" t="s">
        <v>35</v>
      </c>
    </row>
    <row r="1133" spans="1:2">
      <c r="A1133">
        <v>63</v>
      </c>
      <c r="B1133">
        <v>0.60599999999999998</v>
      </c>
    </row>
    <row r="1134" spans="1:2">
      <c r="A1134">
        <v>63</v>
      </c>
      <c r="B1134" t="s">
        <v>36</v>
      </c>
    </row>
    <row r="1135" spans="1:2">
      <c r="A1135">
        <v>63</v>
      </c>
      <c r="B1135">
        <v>0.36699999999999999</v>
      </c>
    </row>
    <row r="1136" spans="1:2">
      <c r="A1136">
        <v>63</v>
      </c>
      <c r="B1136" t="s">
        <v>37</v>
      </c>
    </row>
    <row r="1137" spans="1:2">
      <c r="A1137">
        <v>63</v>
      </c>
      <c r="B1137">
        <v>-0.48199999999999998</v>
      </c>
    </row>
    <row r="1138" spans="1:2">
      <c r="A1138">
        <v>63</v>
      </c>
      <c r="B1138" t="s">
        <v>38</v>
      </c>
    </row>
    <row r="1139" spans="1:2">
      <c r="A1139">
        <v>63</v>
      </c>
      <c r="B1139">
        <v>0.59299999999999997</v>
      </c>
    </row>
    <row r="1140" spans="1:2">
      <c r="A1140">
        <v>63</v>
      </c>
      <c r="B1140" t="s">
        <v>39</v>
      </c>
    </row>
    <row r="1141" spans="1:2">
      <c r="A1141">
        <v>63</v>
      </c>
      <c r="B1141">
        <v>-0.10299999999999999</v>
      </c>
    </row>
    <row r="1142" spans="1:2">
      <c r="A1142">
        <v>63</v>
      </c>
      <c r="B1142" t="s">
        <v>40</v>
      </c>
    </row>
    <row r="1143" spans="1:2">
      <c r="A1143">
        <v>63</v>
      </c>
      <c r="B1143" s="4">
        <v>0</v>
      </c>
    </row>
    <row r="1144" spans="1:2">
      <c r="A1144">
        <v>63</v>
      </c>
      <c r="B1144" t="s">
        <v>41</v>
      </c>
    </row>
    <row r="1145" spans="1:2">
      <c r="A1145">
        <v>63</v>
      </c>
      <c r="B1145" s="4">
        <v>19000000</v>
      </c>
    </row>
    <row r="1146" spans="1:2">
      <c r="A1146">
        <v>63</v>
      </c>
      <c r="B1146" t="s">
        <v>42</v>
      </c>
    </row>
    <row r="1147" spans="1:2">
      <c r="A1147">
        <v>63</v>
      </c>
      <c r="B1147" t="s">
        <v>44</v>
      </c>
    </row>
    <row r="1148" spans="1:2">
      <c r="A1148">
        <v>82</v>
      </c>
      <c r="B1148" t="s">
        <v>27</v>
      </c>
    </row>
    <row r="1149" spans="1:2">
      <c r="A1149">
        <v>82</v>
      </c>
      <c r="B1149" s="2">
        <v>9.3880000000000005E-2</v>
      </c>
    </row>
    <row r="1150" spans="1:2">
      <c r="A1150">
        <v>82</v>
      </c>
      <c r="B1150" t="s">
        <v>1</v>
      </c>
    </row>
    <row r="1151" spans="1:2">
      <c r="A1151">
        <v>82</v>
      </c>
      <c r="B1151">
        <v>-0.36699999999999999</v>
      </c>
    </row>
    <row r="1152" spans="1:2">
      <c r="A1152">
        <v>82</v>
      </c>
      <c r="B1152" t="s">
        <v>28</v>
      </c>
    </row>
    <row r="1153" spans="1:2">
      <c r="A1153">
        <v>82</v>
      </c>
      <c r="B1153">
        <v>459</v>
      </c>
    </row>
    <row r="1154" spans="1:2">
      <c r="A1154">
        <v>82</v>
      </c>
      <c r="B1154" t="s">
        <v>25</v>
      </c>
    </row>
    <row r="1155" spans="1:2">
      <c r="A1155">
        <v>82</v>
      </c>
      <c r="B1155" s="2">
        <v>4.1099999999999998E-2</v>
      </c>
    </row>
    <row r="1156" spans="1:2">
      <c r="A1156">
        <v>82</v>
      </c>
      <c r="B1156" t="s">
        <v>29</v>
      </c>
    </row>
    <row r="1157" spans="1:2">
      <c r="A1157">
        <v>82</v>
      </c>
      <c r="B1157" s="2">
        <v>-7.9299999999999995E-2</v>
      </c>
    </row>
    <row r="1158" spans="1:2">
      <c r="A1158">
        <v>82</v>
      </c>
      <c r="B1158" t="s">
        <v>30</v>
      </c>
    </row>
    <row r="1159" spans="1:2">
      <c r="A1159">
        <v>82</v>
      </c>
      <c r="B1159" s="2">
        <v>-0.46013999999999999</v>
      </c>
    </row>
    <row r="1160" spans="1:2">
      <c r="A1160">
        <v>82</v>
      </c>
      <c r="B1160" t="s">
        <v>8</v>
      </c>
    </row>
    <row r="1161" spans="1:2">
      <c r="A1161">
        <v>82</v>
      </c>
      <c r="B1161" s="2">
        <v>0.59299999999999997</v>
      </c>
    </row>
    <row r="1162" spans="1:2">
      <c r="A1162">
        <v>82</v>
      </c>
      <c r="B1162" t="s">
        <v>31</v>
      </c>
    </row>
    <row r="1163" spans="1:2">
      <c r="A1163">
        <v>82</v>
      </c>
      <c r="B1163">
        <v>-0.29099999999999998</v>
      </c>
    </row>
    <row r="1164" spans="1:2">
      <c r="A1164">
        <v>82</v>
      </c>
      <c r="B1164" t="s">
        <v>32</v>
      </c>
    </row>
    <row r="1165" spans="1:2">
      <c r="A1165">
        <v>82</v>
      </c>
      <c r="B1165" s="2">
        <v>-0.32754</v>
      </c>
    </row>
    <row r="1166" spans="1:2">
      <c r="A1166">
        <v>82</v>
      </c>
      <c r="B1166" t="s">
        <v>33</v>
      </c>
    </row>
    <row r="1167" spans="1:2">
      <c r="A1167">
        <v>82</v>
      </c>
      <c r="B1167" s="3">
        <v>0.53</v>
      </c>
    </row>
    <row r="1168" spans="1:2">
      <c r="A1168">
        <v>82</v>
      </c>
      <c r="B1168" t="s">
        <v>34</v>
      </c>
    </row>
    <row r="1169" spans="1:2">
      <c r="A1169">
        <v>82</v>
      </c>
      <c r="B1169" s="3">
        <v>0.47</v>
      </c>
    </row>
    <row r="1170" spans="1:2">
      <c r="A1170">
        <v>82</v>
      </c>
      <c r="B1170" t="s">
        <v>26</v>
      </c>
    </row>
    <row r="1171" spans="1:2">
      <c r="A1171">
        <v>82</v>
      </c>
      <c r="B1171">
        <v>0.52</v>
      </c>
    </row>
    <row r="1172" spans="1:2">
      <c r="A1172">
        <v>82</v>
      </c>
      <c r="B1172" t="s">
        <v>23</v>
      </c>
    </row>
    <row r="1173" spans="1:2">
      <c r="A1173">
        <v>82</v>
      </c>
      <c r="B1173">
        <v>-0.36</v>
      </c>
    </row>
    <row r="1174" spans="1:2">
      <c r="A1174">
        <v>82</v>
      </c>
      <c r="B1174" t="s">
        <v>24</v>
      </c>
    </row>
    <row r="1175" spans="1:2">
      <c r="A1175">
        <v>82</v>
      </c>
      <c r="B1175">
        <v>2.1549999999999998</v>
      </c>
    </row>
    <row r="1176" spans="1:2">
      <c r="A1176">
        <v>82</v>
      </c>
      <c r="B1176" t="s">
        <v>35</v>
      </c>
    </row>
    <row r="1177" spans="1:2">
      <c r="A1177">
        <v>82</v>
      </c>
      <c r="B1177">
        <v>0.60599999999999998</v>
      </c>
    </row>
    <row r="1178" spans="1:2">
      <c r="A1178">
        <v>82</v>
      </c>
      <c r="B1178" t="s">
        <v>36</v>
      </c>
    </row>
    <row r="1179" spans="1:2">
      <c r="A1179">
        <v>82</v>
      </c>
      <c r="B1179">
        <v>0.36699999999999999</v>
      </c>
    </row>
    <row r="1180" spans="1:2">
      <c r="A1180">
        <v>82</v>
      </c>
      <c r="B1180" t="s">
        <v>37</v>
      </c>
    </row>
    <row r="1181" spans="1:2">
      <c r="A1181">
        <v>82</v>
      </c>
      <c r="B1181">
        <v>-0.48199999999999998</v>
      </c>
    </row>
    <row r="1182" spans="1:2">
      <c r="A1182">
        <v>82</v>
      </c>
      <c r="B1182" t="s">
        <v>38</v>
      </c>
    </row>
    <row r="1183" spans="1:2">
      <c r="A1183">
        <v>82</v>
      </c>
      <c r="B1183">
        <v>0.59299999999999997</v>
      </c>
    </row>
    <row r="1184" spans="1:2">
      <c r="A1184">
        <v>82</v>
      </c>
      <c r="B1184" t="s">
        <v>39</v>
      </c>
    </row>
    <row r="1185" spans="1:2">
      <c r="A1185">
        <v>82</v>
      </c>
      <c r="B1185">
        <v>-0.10299999999999999</v>
      </c>
    </row>
    <row r="1186" spans="1:2">
      <c r="A1186">
        <v>82</v>
      </c>
      <c r="B1186" t="s">
        <v>40</v>
      </c>
    </row>
    <row r="1187" spans="1:2">
      <c r="A1187">
        <v>82</v>
      </c>
      <c r="B1187" s="4">
        <v>0</v>
      </c>
    </row>
    <row r="1188" spans="1:2">
      <c r="A1188">
        <v>82</v>
      </c>
      <c r="B1188" t="s">
        <v>41</v>
      </c>
    </row>
    <row r="1189" spans="1:2">
      <c r="A1189">
        <v>82</v>
      </c>
      <c r="B1189" s="4">
        <v>19000000</v>
      </c>
    </row>
    <row r="1190" spans="1:2">
      <c r="A1190">
        <v>82</v>
      </c>
      <c r="B1190" t="s">
        <v>42</v>
      </c>
    </row>
    <row r="1191" spans="1:2">
      <c r="A1191">
        <v>82</v>
      </c>
      <c r="B1191" t="s">
        <v>44</v>
      </c>
    </row>
    <row r="1192" spans="1:2">
      <c r="A1192">
        <v>83</v>
      </c>
      <c r="B1192" t="s">
        <v>27</v>
      </c>
    </row>
    <row r="1193" spans="1:2">
      <c r="A1193">
        <v>83</v>
      </c>
      <c r="B1193" s="2">
        <v>9.3880000000000005E-2</v>
      </c>
    </row>
    <row r="1194" spans="1:2">
      <c r="A1194">
        <v>83</v>
      </c>
      <c r="B1194" t="s">
        <v>1</v>
      </c>
    </row>
    <row r="1195" spans="1:2">
      <c r="A1195">
        <v>83</v>
      </c>
      <c r="B1195">
        <v>-0.36699999999999999</v>
      </c>
    </row>
    <row r="1196" spans="1:2">
      <c r="A1196">
        <v>83</v>
      </c>
      <c r="B1196" t="s">
        <v>28</v>
      </c>
    </row>
    <row r="1197" spans="1:2">
      <c r="A1197">
        <v>83</v>
      </c>
      <c r="B1197">
        <v>459</v>
      </c>
    </row>
    <row r="1198" spans="1:2">
      <c r="A1198">
        <v>83</v>
      </c>
      <c r="B1198" t="s">
        <v>25</v>
      </c>
    </row>
    <row r="1199" spans="1:2">
      <c r="A1199">
        <v>83</v>
      </c>
      <c r="B1199" s="2">
        <v>4.1099999999999998E-2</v>
      </c>
    </row>
    <row r="1200" spans="1:2">
      <c r="A1200">
        <v>83</v>
      </c>
      <c r="B1200" t="s">
        <v>29</v>
      </c>
    </row>
    <row r="1201" spans="1:2">
      <c r="A1201">
        <v>83</v>
      </c>
      <c r="B1201" s="2">
        <v>-7.9299999999999995E-2</v>
      </c>
    </row>
    <row r="1202" spans="1:2">
      <c r="A1202">
        <v>83</v>
      </c>
      <c r="B1202" t="s">
        <v>30</v>
      </c>
    </row>
    <row r="1203" spans="1:2">
      <c r="A1203">
        <v>83</v>
      </c>
      <c r="B1203" s="2">
        <v>-0.46013999999999999</v>
      </c>
    </row>
    <row r="1204" spans="1:2">
      <c r="A1204">
        <v>83</v>
      </c>
      <c r="B1204" t="s">
        <v>8</v>
      </c>
    </row>
    <row r="1205" spans="1:2">
      <c r="A1205">
        <v>83</v>
      </c>
      <c r="B1205" s="2">
        <v>0.59299999999999997</v>
      </c>
    </row>
    <row r="1206" spans="1:2">
      <c r="A1206">
        <v>83</v>
      </c>
      <c r="B1206" t="s">
        <v>31</v>
      </c>
    </row>
    <row r="1207" spans="1:2">
      <c r="A1207">
        <v>83</v>
      </c>
      <c r="B1207">
        <v>-0.29099999999999998</v>
      </c>
    </row>
    <row r="1208" spans="1:2">
      <c r="A1208">
        <v>83</v>
      </c>
      <c r="B1208" t="s">
        <v>32</v>
      </c>
    </row>
    <row r="1209" spans="1:2">
      <c r="A1209">
        <v>83</v>
      </c>
      <c r="B1209" s="2">
        <v>-0.32754</v>
      </c>
    </row>
    <row r="1210" spans="1:2">
      <c r="A1210">
        <v>83</v>
      </c>
      <c r="B1210" t="s">
        <v>33</v>
      </c>
    </row>
    <row r="1211" spans="1:2">
      <c r="A1211">
        <v>83</v>
      </c>
      <c r="B1211" s="3">
        <v>0.53</v>
      </c>
    </row>
    <row r="1212" spans="1:2">
      <c r="A1212">
        <v>83</v>
      </c>
      <c r="B1212" t="s">
        <v>34</v>
      </c>
    </row>
    <row r="1213" spans="1:2">
      <c r="A1213">
        <v>83</v>
      </c>
      <c r="B1213" s="3">
        <v>0.47</v>
      </c>
    </row>
    <row r="1214" spans="1:2">
      <c r="A1214">
        <v>83</v>
      </c>
      <c r="B1214" t="s">
        <v>26</v>
      </c>
    </row>
    <row r="1215" spans="1:2">
      <c r="A1215">
        <v>83</v>
      </c>
      <c r="B1215">
        <v>0.52</v>
      </c>
    </row>
    <row r="1216" spans="1:2">
      <c r="A1216">
        <v>83</v>
      </c>
      <c r="B1216" t="s">
        <v>23</v>
      </c>
    </row>
    <row r="1217" spans="1:2">
      <c r="A1217">
        <v>83</v>
      </c>
      <c r="B1217">
        <v>-0.36</v>
      </c>
    </row>
    <row r="1218" spans="1:2">
      <c r="A1218">
        <v>83</v>
      </c>
      <c r="B1218" t="s">
        <v>24</v>
      </c>
    </row>
    <row r="1219" spans="1:2">
      <c r="A1219">
        <v>83</v>
      </c>
      <c r="B1219">
        <v>2.1549999999999998</v>
      </c>
    </row>
    <row r="1220" spans="1:2">
      <c r="A1220">
        <v>83</v>
      </c>
      <c r="B1220" t="s">
        <v>35</v>
      </c>
    </row>
    <row r="1221" spans="1:2">
      <c r="A1221">
        <v>83</v>
      </c>
      <c r="B1221">
        <v>0.60599999999999998</v>
      </c>
    </row>
    <row r="1222" spans="1:2">
      <c r="A1222">
        <v>83</v>
      </c>
      <c r="B1222" t="s">
        <v>36</v>
      </c>
    </row>
    <row r="1223" spans="1:2">
      <c r="A1223">
        <v>83</v>
      </c>
      <c r="B1223">
        <v>0.36699999999999999</v>
      </c>
    </row>
    <row r="1224" spans="1:2">
      <c r="A1224">
        <v>83</v>
      </c>
      <c r="B1224" t="s">
        <v>37</v>
      </c>
    </row>
    <row r="1225" spans="1:2">
      <c r="A1225">
        <v>83</v>
      </c>
      <c r="B1225">
        <v>-0.48199999999999998</v>
      </c>
    </row>
    <row r="1226" spans="1:2">
      <c r="A1226">
        <v>83</v>
      </c>
      <c r="B1226" t="s">
        <v>38</v>
      </c>
    </row>
    <row r="1227" spans="1:2">
      <c r="A1227">
        <v>83</v>
      </c>
      <c r="B1227">
        <v>0.59299999999999997</v>
      </c>
    </row>
    <row r="1228" spans="1:2">
      <c r="A1228">
        <v>83</v>
      </c>
      <c r="B1228" t="s">
        <v>39</v>
      </c>
    </row>
    <row r="1229" spans="1:2">
      <c r="A1229">
        <v>83</v>
      </c>
      <c r="B1229">
        <v>-0.10299999999999999</v>
      </c>
    </row>
    <row r="1230" spans="1:2">
      <c r="A1230">
        <v>83</v>
      </c>
      <c r="B1230" t="s">
        <v>40</v>
      </c>
    </row>
    <row r="1231" spans="1:2">
      <c r="A1231">
        <v>83</v>
      </c>
      <c r="B1231" s="4">
        <v>0</v>
      </c>
    </row>
    <row r="1232" spans="1:2">
      <c r="A1232">
        <v>83</v>
      </c>
      <c r="B1232" t="s">
        <v>41</v>
      </c>
    </row>
    <row r="1233" spans="1:2">
      <c r="A1233">
        <v>83</v>
      </c>
      <c r="B1233" s="4">
        <v>19000000</v>
      </c>
    </row>
    <row r="1234" spans="1:2">
      <c r="A1234">
        <v>83</v>
      </c>
      <c r="B1234" t="s">
        <v>42</v>
      </c>
    </row>
    <row r="1235" spans="1:2">
      <c r="A1235">
        <v>83</v>
      </c>
      <c r="B1235" t="s">
        <v>44</v>
      </c>
    </row>
    <row r="1236" spans="1:2">
      <c r="A1236">
        <v>84</v>
      </c>
      <c r="B1236" t="s">
        <v>27</v>
      </c>
    </row>
    <row r="1237" spans="1:2">
      <c r="A1237">
        <v>84</v>
      </c>
      <c r="B1237" s="2">
        <v>9.3880000000000005E-2</v>
      </c>
    </row>
    <row r="1238" spans="1:2">
      <c r="A1238">
        <v>84</v>
      </c>
      <c r="B1238" t="s">
        <v>1</v>
      </c>
    </row>
    <row r="1239" spans="1:2">
      <c r="A1239">
        <v>84</v>
      </c>
      <c r="B1239">
        <v>-0.36699999999999999</v>
      </c>
    </row>
    <row r="1240" spans="1:2">
      <c r="A1240">
        <v>84</v>
      </c>
      <c r="B1240" t="s">
        <v>28</v>
      </c>
    </row>
    <row r="1241" spans="1:2">
      <c r="A1241">
        <v>84</v>
      </c>
      <c r="B1241">
        <v>459</v>
      </c>
    </row>
    <row r="1242" spans="1:2">
      <c r="A1242">
        <v>84</v>
      </c>
      <c r="B1242" t="s">
        <v>25</v>
      </c>
    </row>
    <row r="1243" spans="1:2">
      <c r="A1243">
        <v>84</v>
      </c>
      <c r="B1243" s="2">
        <v>4.1099999999999998E-2</v>
      </c>
    </row>
    <row r="1244" spans="1:2">
      <c r="A1244">
        <v>84</v>
      </c>
      <c r="B1244" t="s">
        <v>29</v>
      </c>
    </row>
    <row r="1245" spans="1:2">
      <c r="A1245">
        <v>84</v>
      </c>
      <c r="B1245" s="2">
        <v>-7.9299999999999995E-2</v>
      </c>
    </row>
    <row r="1246" spans="1:2">
      <c r="A1246">
        <v>84</v>
      </c>
      <c r="B1246" t="s">
        <v>30</v>
      </c>
    </row>
    <row r="1247" spans="1:2">
      <c r="A1247">
        <v>84</v>
      </c>
      <c r="B1247" s="2">
        <v>-0.46013999999999999</v>
      </c>
    </row>
    <row r="1248" spans="1:2">
      <c r="A1248">
        <v>84</v>
      </c>
      <c r="B1248" t="s">
        <v>8</v>
      </c>
    </row>
    <row r="1249" spans="1:2">
      <c r="A1249">
        <v>84</v>
      </c>
      <c r="B1249" s="2">
        <v>0.59299999999999997</v>
      </c>
    </row>
    <row r="1250" spans="1:2">
      <c r="A1250">
        <v>84</v>
      </c>
      <c r="B1250" t="s">
        <v>31</v>
      </c>
    </row>
    <row r="1251" spans="1:2">
      <c r="A1251">
        <v>84</v>
      </c>
      <c r="B1251">
        <v>-0.29099999999999998</v>
      </c>
    </row>
    <row r="1252" spans="1:2">
      <c r="A1252">
        <v>84</v>
      </c>
      <c r="B1252" t="s">
        <v>32</v>
      </c>
    </row>
    <row r="1253" spans="1:2">
      <c r="A1253">
        <v>84</v>
      </c>
      <c r="B1253" s="2">
        <v>-0.32754</v>
      </c>
    </row>
    <row r="1254" spans="1:2">
      <c r="A1254">
        <v>84</v>
      </c>
      <c r="B1254" t="s">
        <v>33</v>
      </c>
    </row>
    <row r="1255" spans="1:2">
      <c r="A1255">
        <v>84</v>
      </c>
      <c r="B1255" s="3">
        <v>0.53</v>
      </c>
    </row>
    <row r="1256" spans="1:2">
      <c r="A1256">
        <v>84</v>
      </c>
      <c r="B1256" t="s">
        <v>34</v>
      </c>
    </row>
    <row r="1257" spans="1:2">
      <c r="A1257">
        <v>84</v>
      </c>
      <c r="B1257" s="3">
        <v>0.47</v>
      </c>
    </row>
    <row r="1258" spans="1:2">
      <c r="A1258">
        <v>84</v>
      </c>
      <c r="B1258" t="s">
        <v>26</v>
      </c>
    </row>
    <row r="1259" spans="1:2">
      <c r="A1259">
        <v>84</v>
      </c>
      <c r="B1259">
        <v>0.52</v>
      </c>
    </row>
    <row r="1260" spans="1:2">
      <c r="A1260">
        <v>84</v>
      </c>
      <c r="B1260" t="s">
        <v>23</v>
      </c>
    </row>
    <row r="1261" spans="1:2">
      <c r="A1261">
        <v>84</v>
      </c>
      <c r="B1261">
        <v>-0.36</v>
      </c>
    </row>
    <row r="1262" spans="1:2">
      <c r="A1262">
        <v>84</v>
      </c>
      <c r="B1262" t="s">
        <v>24</v>
      </c>
    </row>
    <row r="1263" spans="1:2">
      <c r="A1263">
        <v>84</v>
      </c>
      <c r="B1263">
        <v>2.1549999999999998</v>
      </c>
    </row>
    <row r="1264" spans="1:2">
      <c r="A1264">
        <v>84</v>
      </c>
      <c r="B1264" t="s">
        <v>35</v>
      </c>
    </row>
    <row r="1265" spans="1:2">
      <c r="A1265">
        <v>84</v>
      </c>
      <c r="B1265">
        <v>0.60599999999999998</v>
      </c>
    </row>
    <row r="1266" spans="1:2">
      <c r="A1266">
        <v>84</v>
      </c>
      <c r="B1266" t="s">
        <v>36</v>
      </c>
    </row>
    <row r="1267" spans="1:2">
      <c r="A1267">
        <v>84</v>
      </c>
      <c r="B1267">
        <v>0.36699999999999999</v>
      </c>
    </row>
    <row r="1268" spans="1:2">
      <c r="A1268">
        <v>84</v>
      </c>
      <c r="B1268" t="s">
        <v>37</v>
      </c>
    </row>
    <row r="1269" spans="1:2">
      <c r="A1269">
        <v>84</v>
      </c>
      <c r="B1269">
        <v>-0.48199999999999998</v>
      </c>
    </row>
    <row r="1270" spans="1:2">
      <c r="A1270">
        <v>84</v>
      </c>
      <c r="B1270" t="s">
        <v>38</v>
      </c>
    </row>
    <row r="1271" spans="1:2">
      <c r="A1271">
        <v>84</v>
      </c>
      <c r="B1271">
        <v>0.59299999999999997</v>
      </c>
    </row>
    <row r="1272" spans="1:2">
      <c r="A1272">
        <v>84</v>
      </c>
      <c r="B1272" t="s">
        <v>39</v>
      </c>
    </row>
    <row r="1273" spans="1:2">
      <c r="A1273">
        <v>84</v>
      </c>
      <c r="B1273">
        <v>-0.10299999999999999</v>
      </c>
    </row>
    <row r="1274" spans="1:2">
      <c r="A1274">
        <v>84</v>
      </c>
      <c r="B1274" t="s">
        <v>40</v>
      </c>
    </row>
    <row r="1275" spans="1:2">
      <c r="A1275">
        <v>84</v>
      </c>
      <c r="B1275" s="4">
        <v>0</v>
      </c>
    </row>
    <row r="1276" spans="1:2">
      <c r="A1276">
        <v>84</v>
      </c>
      <c r="B1276" t="s">
        <v>41</v>
      </c>
    </row>
    <row r="1277" spans="1:2">
      <c r="A1277">
        <v>84</v>
      </c>
      <c r="B1277" s="4">
        <v>19000000</v>
      </c>
    </row>
    <row r="1278" spans="1:2">
      <c r="A1278">
        <v>84</v>
      </c>
      <c r="B1278" t="s">
        <v>42</v>
      </c>
    </row>
    <row r="1279" spans="1:2">
      <c r="A1279">
        <v>84</v>
      </c>
      <c r="B1279" t="s">
        <v>44</v>
      </c>
    </row>
    <row r="1280" spans="1:2">
      <c r="A1280">
        <v>85</v>
      </c>
      <c r="B1280" t="s">
        <v>27</v>
      </c>
    </row>
    <row r="1281" spans="1:2">
      <c r="A1281">
        <v>85</v>
      </c>
      <c r="B1281" s="2">
        <v>9.3880000000000005E-2</v>
      </c>
    </row>
    <row r="1282" spans="1:2">
      <c r="A1282">
        <v>85</v>
      </c>
      <c r="B1282" t="s">
        <v>1</v>
      </c>
    </row>
    <row r="1283" spans="1:2">
      <c r="A1283">
        <v>85</v>
      </c>
      <c r="B1283">
        <v>-0.36699999999999999</v>
      </c>
    </row>
    <row r="1284" spans="1:2">
      <c r="A1284">
        <v>85</v>
      </c>
      <c r="B1284" t="s">
        <v>28</v>
      </c>
    </row>
    <row r="1285" spans="1:2">
      <c r="A1285">
        <v>85</v>
      </c>
      <c r="B1285">
        <v>459</v>
      </c>
    </row>
    <row r="1286" spans="1:2">
      <c r="A1286">
        <v>85</v>
      </c>
      <c r="B1286" t="s">
        <v>25</v>
      </c>
    </row>
    <row r="1287" spans="1:2">
      <c r="A1287">
        <v>85</v>
      </c>
      <c r="B1287" s="2">
        <v>4.1099999999999998E-2</v>
      </c>
    </row>
    <row r="1288" spans="1:2">
      <c r="A1288">
        <v>85</v>
      </c>
      <c r="B1288" t="s">
        <v>29</v>
      </c>
    </row>
    <row r="1289" spans="1:2">
      <c r="A1289">
        <v>85</v>
      </c>
      <c r="B1289" s="2">
        <v>-7.9299999999999995E-2</v>
      </c>
    </row>
    <row r="1290" spans="1:2">
      <c r="A1290">
        <v>85</v>
      </c>
      <c r="B1290" t="s">
        <v>30</v>
      </c>
    </row>
    <row r="1291" spans="1:2">
      <c r="A1291">
        <v>85</v>
      </c>
      <c r="B1291" s="2">
        <v>-0.46013999999999999</v>
      </c>
    </row>
    <row r="1292" spans="1:2">
      <c r="A1292">
        <v>85</v>
      </c>
      <c r="B1292" t="s">
        <v>8</v>
      </c>
    </row>
    <row r="1293" spans="1:2">
      <c r="A1293">
        <v>85</v>
      </c>
      <c r="B1293" s="2">
        <v>0.59299999999999997</v>
      </c>
    </row>
    <row r="1294" spans="1:2">
      <c r="A1294">
        <v>85</v>
      </c>
      <c r="B1294" t="s">
        <v>31</v>
      </c>
    </row>
    <row r="1295" spans="1:2">
      <c r="A1295">
        <v>85</v>
      </c>
      <c r="B1295">
        <v>-0.29099999999999998</v>
      </c>
    </row>
    <row r="1296" spans="1:2">
      <c r="A1296">
        <v>85</v>
      </c>
      <c r="B1296" t="s">
        <v>32</v>
      </c>
    </row>
    <row r="1297" spans="1:2">
      <c r="A1297">
        <v>85</v>
      </c>
      <c r="B1297" s="2">
        <v>-0.32754</v>
      </c>
    </row>
    <row r="1298" spans="1:2">
      <c r="A1298">
        <v>85</v>
      </c>
      <c r="B1298" t="s">
        <v>33</v>
      </c>
    </row>
    <row r="1299" spans="1:2">
      <c r="A1299">
        <v>85</v>
      </c>
      <c r="B1299" s="3">
        <v>0.53</v>
      </c>
    </row>
    <row r="1300" spans="1:2">
      <c r="A1300">
        <v>85</v>
      </c>
      <c r="B1300" t="s">
        <v>34</v>
      </c>
    </row>
    <row r="1301" spans="1:2">
      <c r="A1301">
        <v>85</v>
      </c>
      <c r="B1301" s="3">
        <v>0.47</v>
      </c>
    </row>
    <row r="1302" spans="1:2">
      <c r="A1302">
        <v>85</v>
      </c>
      <c r="B1302" t="s">
        <v>26</v>
      </c>
    </row>
    <row r="1303" spans="1:2">
      <c r="A1303">
        <v>85</v>
      </c>
      <c r="B1303">
        <v>0.52</v>
      </c>
    </row>
    <row r="1304" spans="1:2">
      <c r="A1304">
        <v>85</v>
      </c>
      <c r="B1304" t="s">
        <v>23</v>
      </c>
    </row>
    <row r="1305" spans="1:2">
      <c r="A1305">
        <v>85</v>
      </c>
      <c r="B1305">
        <v>-0.36</v>
      </c>
    </row>
    <row r="1306" spans="1:2">
      <c r="A1306">
        <v>85</v>
      </c>
      <c r="B1306" t="s">
        <v>24</v>
      </c>
    </row>
    <row r="1307" spans="1:2">
      <c r="A1307">
        <v>85</v>
      </c>
      <c r="B1307">
        <v>2.1549999999999998</v>
      </c>
    </row>
    <row r="1308" spans="1:2">
      <c r="A1308">
        <v>85</v>
      </c>
      <c r="B1308" t="s">
        <v>35</v>
      </c>
    </row>
    <row r="1309" spans="1:2">
      <c r="A1309">
        <v>85</v>
      </c>
      <c r="B1309">
        <v>0.60599999999999998</v>
      </c>
    </row>
    <row r="1310" spans="1:2">
      <c r="A1310">
        <v>85</v>
      </c>
      <c r="B1310" t="s">
        <v>36</v>
      </c>
    </row>
    <row r="1311" spans="1:2">
      <c r="A1311">
        <v>85</v>
      </c>
      <c r="B1311">
        <v>0.36699999999999999</v>
      </c>
    </row>
    <row r="1312" spans="1:2">
      <c r="A1312">
        <v>85</v>
      </c>
      <c r="B1312" t="s">
        <v>37</v>
      </c>
    </row>
    <row r="1313" spans="1:2">
      <c r="A1313">
        <v>85</v>
      </c>
      <c r="B1313">
        <v>-0.48199999999999998</v>
      </c>
    </row>
    <row r="1314" spans="1:2">
      <c r="A1314">
        <v>85</v>
      </c>
      <c r="B1314" t="s">
        <v>38</v>
      </c>
    </row>
    <row r="1315" spans="1:2">
      <c r="A1315">
        <v>85</v>
      </c>
      <c r="B1315">
        <v>0.59299999999999997</v>
      </c>
    </row>
    <row r="1316" spans="1:2">
      <c r="A1316">
        <v>85</v>
      </c>
      <c r="B1316" t="s">
        <v>39</v>
      </c>
    </row>
    <row r="1317" spans="1:2">
      <c r="A1317">
        <v>85</v>
      </c>
      <c r="B1317">
        <v>-0.10299999999999999</v>
      </c>
    </row>
    <row r="1318" spans="1:2">
      <c r="A1318">
        <v>85</v>
      </c>
      <c r="B1318" t="s">
        <v>40</v>
      </c>
    </row>
    <row r="1319" spans="1:2">
      <c r="A1319">
        <v>85</v>
      </c>
      <c r="B1319" s="4">
        <v>0</v>
      </c>
    </row>
    <row r="1320" spans="1:2">
      <c r="A1320">
        <v>85</v>
      </c>
      <c r="B1320" t="s">
        <v>41</v>
      </c>
    </row>
    <row r="1321" spans="1:2">
      <c r="A1321">
        <v>85</v>
      </c>
      <c r="B1321" s="4">
        <v>19000000</v>
      </c>
    </row>
    <row r="1322" spans="1:2">
      <c r="A1322">
        <v>85</v>
      </c>
      <c r="B1322" t="s">
        <v>42</v>
      </c>
    </row>
    <row r="1323" spans="1:2">
      <c r="A1323">
        <v>85</v>
      </c>
      <c r="B1323" t="s">
        <v>44</v>
      </c>
    </row>
    <row r="1324" spans="1:2">
      <c r="A1324">
        <v>86</v>
      </c>
      <c r="B1324" t="s">
        <v>27</v>
      </c>
    </row>
    <row r="1325" spans="1:2">
      <c r="A1325">
        <v>86</v>
      </c>
      <c r="B1325" s="2">
        <v>9.3880000000000005E-2</v>
      </c>
    </row>
    <row r="1326" spans="1:2">
      <c r="A1326">
        <v>86</v>
      </c>
      <c r="B1326" t="s">
        <v>1</v>
      </c>
    </row>
    <row r="1327" spans="1:2">
      <c r="A1327">
        <v>86</v>
      </c>
      <c r="B1327">
        <v>-0.36699999999999999</v>
      </c>
    </row>
    <row r="1328" spans="1:2">
      <c r="A1328">
        <v>86</v>
      </c>
      <c r="B1328" t="s">
        <v>28</v>
      </c>
    </row>
    <row r="1329" spans="1:2">
      <c r="A1329">
        <v>86</v>
      </c>
      <c r="B1329">
        <v>459</v>
      </c>
    </row>
    <row r="1330" spans="1:2">
      <c r="A1330">
        <v>86</v>
      </c>
      <c r="B1330" t="s">
        <v>25</v>
      </c>
    </row>
    <row r="1331" spans="1:2">
      <c r="A1331">
        <v>86</v>
      </c>
      <c r="B1331" s="2">
        <v>4.1099999999999998E-2</v>
      </c>
    </row>
    <row r="1332" spans="1:2">
      <c r="A1332">
        <v>86</v>
      </c>
      <c r="B1332" t="s">
        <v>29</v>
      </c>
    </row>
    <row r="1333" spans="1:2">
      <c r="A1333">
        <v>86</v>
      </c>
      <c r="B1333" s="2">
        <v>-7.9299999999999995E-2</v>
      </c>
    </row>
    <row r="1334" spans="1:2">
      <c r="A1334">
        <v>86</v>
      </c>
      <c r="B1334" t="s">
        <v>30</v>
      </c>
    </row>
    <row r="1335" spans="1:2">
      <c r="A1335">
        <v>86</v>
      </c>
      <c r="B1335" s="2">
        <v>-0.46013999999999999</v>
      </c>
    </row>
    <row r="1336" spans="1:2">
      <c r="A1336">
        <v>86</v>
      </c>
      <c r="B1336" t="s">
        <v>8</v>
      </c>
    </row>
    <row r="1337" spans="1:2">
      <c r="A1337">
        <v>86</v>
      </c>
      <c r="B1337" s="2">
        <v>0.59299999999999997</v>
      </c>
    </row>
    <row r="1338" spans="1:2">
      <c r="A1338">
        <v>86</v>
      </c>
      <c r="B1338" t="s">
        <v>31</v>
      </c>
    </row>
    <row r="1339" spans="1:2">
      <c r="A1339">
        <v>86</v>
      </c>
      <c r="B1339">
        <v>-0.29099999999999998</v>
      </c>
    </row>
    <row r="1340" spans="1:2">
      <c r="A1340">
        <v>86</v>
      </c>
      <c r="B1340" t="s">
        <v>32</v>
      </c>
    </row>
    <row r="1341" spans="1:2">
      <c r="A1341">
        <v>86</v>
      </c>
      <c r="B1341" s="2">
        <v>-0.32754</v>
      </c>
    </row>
    <row r="1342" spans="1:2">
      <c r="A1342">
        <v>86</v>
      </c>
      <c r="B1342" t="s">
        <v>33</v>
      </c>
    </row>
    <row r="1343" spans="1:2">
      <c r="A1343">
        <v>86</v>
      </c>
      <c r="B1343" s="3">
        <v>0.53</v>
      </c>
    </row>
    <row r="1344" spans="1:2">
      <c r="A1344">
        <v>86</v>
      </c>
      <c r="B1344" t="s">
        <v>34</v>
      </c>
    </row>
    <row r="1345" spans="1:2">
      <c r="A1345">
        <v>86</v>
      </c>
      <c r="B1345" s="3">
        <v>0.47</v>
      </c>
    </row>
    <row r="1346" spans="1:2">
      <c r="A1346">
        <v>86</v>
      </c>
      <c r="B1346" t="s">
        <v>26</v>
      </c>
    </row>
    <row r="1347" spans="1:2">
      <c r="A1347">
        <v>86</v>
      </c>
      <c r="B1347">
        <v>0.52</v>
      </c>
    </row>
    <row r="1348" spans="1:2">
      <c r="A1348">
        <v>86</v>
      </c>
      <c r="B1348" t="s">
        <v>23</v>
      </c>
    </row>
    <row r="1349" spans="1:2">
      <c r="A1349">
        <v>86</v>
      </c>
      <c r="B1349">
        <v>-0.36</v>
      </c>
    </row>
    <row r="1350" spans="1:2">
      <c r="A1350">
        <v>86</v>
      </c>
      <c r="B1350" t="s">
        <v>24</v>
      </c>
    </row>
    <row r="1351" spans="1:2">
      <c r="A1351">
        <v>86</v>
      </c>
      <c r="B1351">
        <v>2.1549999999999998</v>
      </c>
    </row>
    <row r="1352" spans="1:2">
      <c r="A1352">
        <v>86</v>
      </c>
      <c r="B1352" t="s">
        <v>35</v>
      </c>
    </row>
    <row r="1353" spans="1:2">
      <c r="A1353">
        <v>86</v>
      </c>
      <c r="B1353">
        <v>0.60599999999999998</v>
      </c>
    </row>
    <row r="1354" spans="1:2">
      <c r="A1354">
        <v>86</v>
      </c>
      <c r="B1354" t="s">
        <v>36</v>
      </c>
    </row>
    <row r="1355" spans="1:2">
      <c r="A1355">
        <v>86</v>
      </c>
      <c r="B1355">
        <v>0.36699999999999999</v>
      </c>
    </row>
    <row r="1356" spans="1:2">
      <c r="A1356">
        <v>86</v>
      </c>
      <c r="B1356" t="s">
        <v>37</v>
      </c>
    </row>
    <row r="1357" spans="1:2">
      <c r="A1357">
        <v>86</v>
      </c>
      <c r="B1357">
        <v>-0.48199999999999998</v>
      </c>
    </row>
    <row r="1358" spans="1:2">
      <c r="A1358">
        <v>86</v>
      </c>
      <c r="B1358" t="s">
        <v>38</v>
      </c>
    </row>
    <row r="1359" spans="1:2">
      <c r="A1359">
        <v>86</v>
      </c>
      <c r="B1359">
        <v>0.59299999999999997</v>
      </c>
    </row>
    <row r="1360" spans="1:2">
      <c r="A1360">
        <v>86</v>
      </c>
      <c r="B1360" t="s">
        <v>39</v>
      </c>
    </row>
    <row r="1361" spans="1:2">
      <c r="A1361">
        <v>86</v>
      </c>
      <c r="B1361">
        <v>-0.10299999999999999</v>
      </c>
    </row>
    <row r="1362" spans="1:2">
      <c r="A1362">
        <v>86</v>
      </c>
      <c r="B1362" t="s">
        <v>40</v>
      </c>
    </row>
    <row r="1363" spans="1:2">
      <c r="A1363">
        <v>86</v>
      </c>
      <c r="B1363" s="4">
        <v>0</v>
      </c>
    </row>
    <row r="1364" spans="1:2">
      <c r="A1364">
        <v>86</v>
      </c>
      <c r="B1364" t="s">
        <v>41</v>
      </c>
    </row>
    <row r="1365" spans="1:2">
      <c r="A1365">
        <v>86</v>
      </c>
      <c r="B1365" s="4">
        <v>19000000</v>
      </c>
    </row>
    <row r="1366" spans="1:2">
      <c r="A1366">
        <v>86</v>
      </c>
      <c r="B1366" t="s">
        <v>42</v>
      </c>
    </row>
    <row r="1367" spans="1:2">
      <c r="A1367">
        <v>86</v>
      </c>
      <c r="B1367" t="s">
        <v>44</v>
      </c>
    </row>
    <row r="1368" spans="1:2">
      <c r="A1368">
        <v>87</v>
      </c>
      <c r="B1368" t="s">
        <v>27</v>
      </c>
    </row>
    <row r="1369" spans="1:2">
      <c r="A1369">
        <v>87</v>
      </c>
      <c r="B1369" s="2">
        <v>9.3880000000000005E-2</v>
      </c>
    </row>
    <row r="1370" spans="1:2">
      <c r="A1370">
        <v>87</v>
      </c>
      <c r="B1370" t="s">
        <v>1</v>
      </c>
    </row>
    <row r="1371" spans="1:2">
      <c r="A1371">
        <v>87</v>
      </c>
      <c r="B1371">
        <v>-0.36699999999999999</v>
      </c>
    </row>
    <row r="1372" spans="1:2">
      <c r="A1372">
        <v>87</v>
      </c>
      <c r="B1372" t="s">
        <v>28</v>
      </c>
    </row>
    <row r="1373" spans="1:2">
      <c r="A1373">
        <v>87</v>
      </c>
      <c r="B1373">
        <v>459</v>
      </c>
    </row>
    <row r="1374" spans="1:2">
      <c r="A1374">
        <v>87</v>
      </c>
      <c r="B1374" t="s">
        <v>25</v>
      </c>
    </row>
    <row r="1375" spans="1:2">
      <c r="A1375">
        <v>87</v>
      </c>
      <c r="B1375" s="2">
        <v>4.1099999999999998E-2</v>
      </c>
    </row>
    <row r="1376" spans="1:2">
      <c r="A1376">
        <v>87</v>
      </c>
      <c r="B1376" t="s">
        <v>29</v>
      </c>
    </row>
    <row r="1377" spans="1:2">
      <c r="A1377">
        <v>87</v>
      </c>
      <c r="B1377" s="2">
        <v>-7.9299999999999995E-2</v>
      </c>
    </row>
    <row r="1378" spans="1:2">
      <c r="A1378">
        <v>87</v>
      </c>
      <c r="B1378" t="s">
        <v>30</v>
      </c>
    </row>
    <row r="1379" spans="1:2">
      <c r="A1379">
        <v>87</v>
      </c>
      <c r="B1379" s="2">
        <v>-0.46013999999999999</v>
      </c>
    </row>
    <row r="1380" spans="1:2">
      <c r="A1380">
        <v>87</v>
      </c>
      <c r="B1380" t="s">
        <v>8</v>
      </c>
    </row>
    <row r="1381" spans="1:2">
      <c r="A1381">
        <v>87</v>
      </c>
      <c r="B1381" s="2">
        <v>0.59299999999999997</v>
      </c>
    </row>
    <row r="1382" spans="1:2">
      <c r="A1382">
        <v>87</v>
      </c>
      <c r="B1382" t="s">
        <v>31</v>
      </c>
    </row>
    <row r="1383" spans="1:2">
      <c r="A1383">
        <v>87</v>
      </c>
      <c r="B1383">
        <v>-0.29099999999999998</v>
      </c>
    </row>
    <row r="1384" spans="1:2">
      <c r="A1384">
        <v>87</v>
      </c>
      <c r="B1384" t="s">
        <v>32</v>
      </c>
    </row>
    <row r="1385" spans="1:2">
      <c r="A1385">
        <v>87</v>
      </c>
      <c r="B1385" s="2">
        <v>-0.32754</v>
      </c>
    </row>
    <row r="1386" spans="1:2">
      <c r="A1386">
        <v>87</v>
      </c>
      <c r="B1386" t="s">
        <v>33</v>
      </c>
    </row>
    <row r="1387" spans="1:2">
      <c r="A1387">
        <v>87</v>
      </c>
      <c r="B1387" s="3">
        <v>0.53</v>
      </c>
    </row>
    <row r="1388" spans="1:2">
      <c r="A1388">
        <v>87</v>
      </c>
      <c r="B1388" t="s">
        <v>34</v>
      </c>
    </row>
    <row r="1389" spans="1:2">
      <c r="A1389">
        <v>87</v>
      </c>
      <c r="B1389" s="3">
        <v>0.47</v>
      </c>
    </row>
    <row r="1390" spans="1:2">
      <c r="A1390">
        <v>87</v>
      </c>
      <c r="B1390" t="s">
        <v>26</v>
      </c>
    </row>
    <row r="1391" spans="1:2">
      <c r="A1391">
        <v>87</v>
      </c>
      <c r="B1391">
        <v>0.52</v>
      </c>
    </row>
    <row r="1392" spans="1:2">
      <c r="A1392">
        <v>87</v>
      </c>
      <c r="B1392" t="s">
        <v>23</v>
      </c>
    </row>
    <row r="1393" spans="1:2">
      <c r="A1393">
        <v>87</v>
      </c>
      <c r="B1393">
        <v>-0.36</v>
      </c>
    </row>
    <row r="1394" spans="1:2">
      <c r="A1394">
        <v>87</v>
      </c>
      <c r="B1394" t="s">
        <v>24</v>
      </c>
    </row>
    <row r="1395" spans="1:2">
      <c r="A1395">
        <v>87</v>
      </c>
      <c r="B1395">
        <v>2.1549999999999998</v>
      </c>
    </row>
    <row r="1396" spans="1:2">
      <c r="A1396">
        <v>87</v>
      </c>
      <c r="B1396" t="s">
        <v>35</v>
      </c>
    </row>
    <row r="1397" spans="1:2">
      <c r="A1397">
        <v>87</v>
      </c>
      <c r="B1397">
        <v>0.60599999999999998</v>
      </c>
    </row>
    <row r="1398" spans="1:2">
      <c r="A1398">
        <v>87</v>
      </c>
      <c r="B1398" t="s">
        <v>36</v>
      </c>
    </row>
    <row r="1399" spans="1:2">
      <c r="A1399">
        <v>87</v>
      </c>
      <c r="B1399">
        <v>0.36699999999999999</v>
      </c>
    </row>
    <row r="1400" spans="1:2">
      <c r="A1400">
        <v>87</v>
      </c>
      <c r="B1400" t="s">
        <v>37</v>
      </c>
    </row>
    <row r="1401" spans="1:2">
      <c r="A1401">
        <v>87</v>
      </c>
      <c r="B1401">
        <v>-0.48199999999999998</v>
      </c>
    </row>
    <row r="1402" spans="1:2">
      <c r="A1402">
        <v>87</v>
      </c>
      <c r="B1402" t="s">
        <v>38</v>
      </c>
    </row>
    <row r="1403" spans="1:2">
      <c r="A1403">
        <v>87</v>
      </c>
      <c r="B1403">
        <v>0.59299999999999997</v>
      </c>
    </row>
    <row r="1404" spans="1:2">
      <c r="A1404">
        <v>87</v>
      </c>
      <c r="B1404" t="s">
        <v>39</v>
      </c>
    </row>
    <row r="1405" spans="1:2">
      <c r="A1405">
        <v>87</v>
      </c>
      <c r="B1405">
        <v>-0.10299999999999999</v>
      </c>
    </row>
    <row r="1406" spans="1:2">
      <c r="A1406">
        <v>87</v>
      </c>
      <c r="B1406" t="s">
        <v>40</v>
      </c>
    </row>
    <row r="1407" spans="1:2">
      <c r="A1407">
        <v>87</v>
      </c>
      <c r="B1407" s="4">
        <v>0</v>
      </c>
    </row>
    <row r="1408" spans="1:2">
      <c r="A1408">
        <v>87</v>
      </c>
      <c r="B1408" t="s">
        <v>41</v>
      </c>
    </row>
    <row r="1409" spans="1:2">
      <c r="A1409">
        <v>87</v>
      </c>
      <c r="B1409" s="4">
        <v>19000000</v>
      </c>
    </row>
    <row r="1410" spans="1:2">
      <c r="A1410">
        <v>87</v>
      </c>
      <c r="B1410" t="s">
        <v>42</v>
      </c>
    </row>
    <row r="1411" spans="1:2">
      <c r="A1411">
        <v>87</v>
      </c>
      <c r="B1411" t="s">
        <v>44</v>
      </c>
    </row>
    <row r="1412" spans="1:2">
      <c r="A1412">
        <v>88</v>
      </c>
      <c r="B1412" t="s">
        <v>27</v>
      </c>
    </row>
    <row r="1413" spans="1:2">
      <c r="A1413">
        <v>88</v>
      </c>
      <c r="B1413" s="2">
        <v>9.3880000000000005E-2</v>
      </c>
    </row>
    <row r="1414" spans="1:2">
      <c r="A1414">
        <v>88</v>
      </c>
      <c r="B1414" t="s">
        <v>1</v>
      </c>
    </row>
    <row r="1415" spans="1:2">
      <c r="A1415">
        <v>88</v>
      </c>
      <c r="B1415">
        <v>-0.36699999999999999</v>
      </c>
    </row>
    <row r="1416" spans="1:2">
      <c r="A1416">
        <v>88</v>
      </c>
      <c r="B1416" t="s">
        <v>28</v>
      </c>
    </row>
    <row r="1417" spans="1:2">
      <c r="A1417">
        <v>88</v>
      </c>
      <c r="B1417">
        <v>459</v>
      </c>
    </row>
    <row r="1418" spans="1:2">
      <c r="A1418">
        <v>88</v>
      </c>
      <c r="B1418" t="s">
        <v>25</v>
      </c>
    </row>
    <row r="1419" spans="1:2">
      <c r="A1419">
        <v>88</v>
      </c>
      <c r="B1419" s="2">
        <v>4.1099999999999998E-2</v>
      </c>
    </row>
    <row r="1420" spans="1:2">
      <c r="A1420">
        <v>88</v>
      </c>
      <c r="B1420" t="s">
        <v>29</v>
      </c>
    </row>
    <row r="1421" spans="1:2">
      <c r="A1421">
        <v>88</v>
      </c>
      <c r="B1421" s="2">
        <v>-7.9299999999999995E-2</v>
      </c>
    </row>
    <row r="1422" spans="1:2">
      <c r="A1422">
        <v>88</v>
      </c>
      <c r="B1422" t="s">
        <v>30</v>
      </c>
    </row>
    <row r="1423" spans="1:2">
      <c r="A1423">
        <v>88</v>
      </c>
      <c r="B1423" s="2">
        <v>-0.46013999999999999</v>
      </c>
    </row>
    <row r="1424" spans="1:2">
      <c r="A1424">
        <v>88</v>
      </c>
      <c r="B1424" t="s">
        <v>8</v>
      </c>
    </row>
    <row r="1425" spans="1:2">
      <c r="A1425">
        <v>88</v>
      </c>
      <c r="B1425" s="2">
        <v>0.59299999999999997</v>
      </c>
    </row>
    <row r="1426" spans="1:2">
      <c r="A1426">
        <v>88</v>
      </c>
      <c r="B1426" t="s">
        <v>31</v>
      </c>
    </row>
    <row r="1427" spans="1:2">
      <c r="A1427">
        <v>88</v>
      </c>
      <c r="B1427">
        <v>-0.29099999999999998</v>
      </c>
    </row>
    <row r="1428" spans="1:2">
      <c r="A1428">
        <v>88</v>
      </c>
      <c r="B1428" t="s">
        <v>32</v>
      </c>
    </row>
    <row r="1429" spans="1:2">
      <c r="A1429">
        <v>88</v>
      </c>
      <c r="B1429" s="2">
        <v>-0.32754</v>
      </c>
    </row>
    <row r="1430" spans="1:2">
      <c r="A1430">
        <v>88</v>
      </c>
      <c r="B1430" t="s">
        <v>33</v>
      </c>
    </row>
    <row r="1431" spans="1:2">
      <c r="A1431">
        <v>88</v>
      </c>
      <c r="B1431" s="3">
        <v>0.53</v>
      </c>
    </row>
    <row r="1432" spans="1:2">
      <c r="A1432">
        <v>88</v>
      </c>
      <c r="B1432" t="s">
        <v>34</v>
      </c>
    </row>
    <row r="1433" spans="1:2">
      <c r="A1433">
        <v>88</v>
      </c>
      <c r="B1433" s="3">
        <v>0.47</v>
      </c>
    </row>
    <row r="1434" spans="1:2">
      <c r="A1434">
        <v>88</v>
      </c>
      <c r="B1434" t="s">
        <v>26</v>
      </c>
    </row>
    <row r="1435" spans="1:2">
      <c r="A1435">
        <v>88</v>
      </c>
      <c r="B1435">
        <v>0.52</v>
      </c>
    </row>
    <row r="1436" spans="1:2">
      <c r="A1436">
        <v>88</v>
      </c>
      <c r="B1436" t="s">
        <v>23</v>
      </c>
    </row>
    <row r="1437" spans="1:2">
      <c r="A1437">
        <v>88</v>
      </c>
      <c r="B1437">
        <v>-0.36</v>
      </c>
    </row>
    <row r="1438" spans="1:2">
      <c r="A1438">
        <v>88</v>
      </c>
      <c r="B1438" t="s">
        <v>24</v>
      </c>
    </row>
    <row r="1439" spans="1:2">
      <c r="A1439">
        <v>88</v>
      </c>
      <c r="B1439">
        <v>2.1549999999999998</v>
      </c>
    </row>
    <row r="1440" spans="1:2">
      <c r="A1440">
        <v>88</v>
      </c>
      <c r="B1440" t="s">
        <v>35</v>
      </c>
    </row>
    <row r="1441" spans="1:2">
      <c r="A1441">
        <v>88</v>
      </c>
      <c r="B1441">
        <v>0.60599999999999998</v>
      </c>
    </row>
    <row r="1442" spans="1:2">
      <c r="A1442">
        <v>88</v>
      </c>
      <c r="B1442" t="s">
        <v>36</v>
      </c>
    </row>
    <row r="1443" spans="1:2">
      <c r="A1443">
        <v>88</v>
      </c>
      <c r="B1443">
        <v>0.36699999999999999</v>
      </c>
    </row>
    <row r="1444" spans="1:2">
      <c r="A1444">
        <v>88</v>
      </c>
      <c r="B1444" t="s">
        <v>37</v>
      </c>
    </row>
    <row r="1445" spans="1:2">
      <c r="A1445">
        <v>88</v>
      </c>
      <c r="B1445">
        <v>-0.48199999999999998</v>
      </c>
    </row>
    <row r="1446" spans="1:2">
      <c r="A1446">
        <v>88</v>
      </c>
      <c r="B1446" t="s">
        <v>38</v>
      </c>
    </row>
    <row r="1447" spans="1:2">
      <c r="A1447">
        <v>88</v>
      </c>
      <c r="B1447">
        <v>0.59299999999999997</v>
      </c>
    </row>
    <row r="1448" spans="1:2">
      <c r="A1448">
        <v>88</v>
      </c>
      <c r="B1448" t="s">
        <v>39</v>
      </c>
    </row>
    <row r="1449" spans="1:2">
      <c r="A1449">
        <v>88</v>
      </c>
      <c r="B1449">
        <v>-0.10299999999999999</v>
      </c>
    </row>
    <row r="1450" spans="1:2">
      <c r="A1450">
        <v>88</v>
      </c>
      <c r="B1450" t="s">
        <v>40</v>
      </c>
    </row>
    <row r="1451" spans="1:2">
      <c r="A1451">
        <v>88</v>
      </c>
      <c r="B1451" s="4">
        <v>0</v>
      </c>
    </row>
    <row r="1452" spans="1:2">
      <c r="A1452">
        <v>88</v>
      </c>
      <c r="B1452" t="s">
        <v>41</v>
      </c>
    </row>
    <row r="1453" spans="1:2">
      <c r="A1453">
        <v>88</v>
      </c>
      <c r="B1453" s="4">
        <v>19000000</v>
      </c>
    </row>
    <row r="1454" spans="1:2">
      <c r="A1454">
        <v>88</v>
      </c>
      <c r="B1454" t="s">
        <v>42</v>
      </c>
    </row>
    <row r="1455" spans="1:2">
      <c r="A1455">
        <v>88</v>
      </c>
      <c r="B1455" t="s">
        <v>44</v>
      </c>
    </row>
    <row r="1456" spans="1:2">
      <c r="A1456">
        <v>89</v>
      </c>
      <c r="B1456" t="s">
        <v>27</v>
      </c>
    </row>
    <row r="1457" spans="1:2">
      <c r="A1457">
        <v>89</v>
      </c>
      <c r="B1457" s="2">
        <v>9.3880000000000005E-2</v>
      </c>
    </row>
    <row r="1458" spans="1:2">
      <c r="A1458">
        <v>89</v>
      </c>
      <c r="B1458" t="s">
        <v>1</v>
      </c>
    </row>
    <row r="1459" spans="1:2">
      <c r="A1459">
        <v>89</v>
      </c>
      <c r="B1459">
        <v>-0.36699999999999999</v>
      </c>
    </row>
    <row r="1460" spans="1:2">
      <c r="A1460">
        <v>89</v>
      </c>
      <c r="B1460" t="s">
        <v>28</v>
      </c>
    </row>
    <row r="1461" spans="1:2">
      <c r="A1461">
        <v>89</v>
      </c>
      <c r="B1461">
        <v>459</v>
      </c>
    </row>
    <row r="1462" spans="1:2">
      <c r="A1462">
        <v>89</v>
      </c>
      <c r="B1462" t="s">
        <v>25</v>
      </c>
    </row>
    <row r="1463" spans="1:2">
      <c r="A1463">
        <v>89</v>
      </c>
      <c r="B1463" s="2">
        <v>4.1099999999999998E-2</v>
      </c>
    </row>
    <row r="1464" spans="1:2">
      <c r="A1464">
        <v>89</v>
      </c>
      <c r="B1464" t="s">
        <v>29</v>
      </c>
    </row>
    <row r="1465" spans="1:2">
      <c r="A1465">
        <v>89</v>
      </c>
      <c r="B1465" s="2">
        <v>-7.9299999999999995E-2</v>
      </c>
    </row>
    <row r="1466" spans="1:2">
      <c r="A1466">
        <v>89</v>
      </c>
      <c r="B1466" t="s">
        <v>30</v>
      </c>
    </row>
    <row r="1467" spans="1:2">
      <c r="A1467">
        <v>89</v>
      </c>
      <c r="B1467" s="2">
        <v>-0.46013999999999999</v>
      </c>
    </row>
    <row r="1468" spans="1:2">
      <c r="A1468">
        <v>89</v>
      </c>
      <c r="B1468" t="s">
        <v>8</v>
      </c>
    </row>
    <row r="1469" spans="1:2">
      <c r="A1469">
        <v>89</v>
      </c>
      <c r="B1469" s="2">
        <v>0.59299999999999997</v>
      </c>
    </row>
    <row r="1470" spans="1:2">
      <c r="A1470">
        <v>89</v>
      </c>
      <c r="B1470" t="s">
        <v>31</v>
      </c>
    </row>
    <row r="1471" spans="1:2">
      <c r="A1471">
        <v>89</v>
      </c>
      <c r="B1471">
        <v>-0.29099999999999998</v>
      </c>
    </row>
    <row r="1472" spans="1:2">
      <c r="A1472">
        <v>89</v>
      </c>
      <c r="B1472" t="s">
        <v>32</v>
      </c>
    </row>
    <row r="1473" spans="1:2">
      <c r="A1473">
        <v>89</v>
      </c>
      <c r="B1473" s="2">
        <v>-0.32754</v>
      </c>
    </row>
    <row r="1474" spans="1:2">
      <c r="A1474">
        <v>89</v>
      </c>
      <c r="B1474" t="s">
        <v>33</v>
      </c>
    </row>
    <row r="1475" spans="1:2">
      <c r="A1475">
        <v>89</v>
      </c>
      <c r="B1475" s="3">
        <v>0.53</v>
      </c>
    </row>
    <row r="1476" spans="1:2">
      <c r="A1476">
        <v>89</v>
      </c>
      <c r="B1476" t="s">
        <v>34</v>
      </c>
    </row>
    <row r="1477" spans="1:2">
      <c r="A1477">
        <v>89</v>
      </c>
      <c r="B1477" s="3">
        <v>0.47</v>
      </c>
    </row>
    <row r="1478" spans="1:2">
      <c r="A1478">
        <v>89</v>
      </c>
      <c r="B1478" t="s">
        <v>26</v>
      </c>
    </row>
    <row r="1479" spans="1:2">
      <c r="A1479">
        <v>89</v>
      </c>
      <c r="B1479">
        <v>0.52</v>
      </c>
    </row>
    <row r="1480" spans="1:2">
      <c r="A1480">
        <v>89</v>
      </c>
      <c r="B1480" t="s">
        <v>23</v>
      </c>
    </row>
    <row r="1481" spans="1:2">
      <c r="A1481">
        <v>89</v>
      </c>
      <c r="B1481">
        <v>-0.36</v>
      </c>
    </row>
    <row r="1482" spans="1:2">
      <c r="A1482">
        <v>89</v>
      </c>
      <c r="B1482" t="s">
        <v>24</v>
      </c>
    </row>
    <row r="1483" spans="1:2">
      <c r="A1483">
        <v>89</v>
      </c>
      <c r="B1483">
        <v>2.1549999999999998</v>
      </c>
    </row>
    <row r="1484" spans="1:2">
      <c r="A1484">
        <v>89</v>
      </c>
      <c r="B1484" t="s">
        <v>35</v>
      </c>
    </row>
    <row r="1485" spans="1:2">
      <c r="A1485">
        <v>89</v>
      </c>
      <c r="B1485">
        <v>0.60599999999999998</v>
      </c>
    </row>
    <row r="1486" spans="1:2">
      <c r="A1486">
        <v>89</v>
      </c>
      <c r="B1486" t="s">
        <v>36</v>
      </c>
    </row>
    <row r="1487" spans="1:2">
      <c r="A1487">
        <v>89</v>
      </c>
      <c r="B1487">
        <v>0.36699999999999999</v>
      </c>
    </row>
    <row r="1488" spans="1:2">
      <c r="A1488">
        <v>89</v>
      </c>
      <c r="B1488" t="s">
        <v>37</v>
      </c>
    </row>
    <row r="1489" spans="1:2">
      <c r="A1489">
        <v>89</v>
      </c>
      <c r="B1489">
        <v>-0.48199999999999998</v>
      </c>
    </row>
    <row r="1490" spans="1:2">
      <c r="A1490">
        <v>89</v>
      </c>
      <c r="B1490" t="s">
        <v>38</v>
      </c>
    </row>
    <row r="1491" spans="1:2">
      <c r="A1491">
        <v>89</v>
      </c>
      <c r="B1491">
        <v>0.59299999999999997</v>
      </c>
    </row>
    <row r="1492" spans="1:2">
      <c r="A1492">
        <v>89</v>
      </c>
      <c r="B1492" t="s">
        <v>39</v>
      </c>
    </row>
    <row r="1493" spans="1:2">
      <c r="A1493">
        <v>89</v>
      </c>
      <c r="B1493">
        <v>-0.10299999999999999</v>
      </c>
    </row>
    <row r="1494" spans="1:2">
      <c r="A1494">
        <v>89</v>
      </c>
      <c r="B1494" t="s">
        <v>40</v>
      </c>
    </row>
    <row r="1495" spans="1:2">
      <c r="A1495">
        <v>89</v>
      </c>
      <c r="B1495" s="4">
        <v>0</v>
      </c>
    </row>
    <row r="1496" spans="1:2">
      <c r="A1496">
        <v>89</v>
      </c>
      <c r="B1496" t="s">
        <v>41</v>
      </c>
    </row>
    <row r="1497" spans="1:2">
      <c r="A1497">
        <v>89</v>
      </c>
      <c r="B1497" s="4">
        <v>19000000</v>
      </c>
    </row>
    <row r="1498" spans="1:2">
      <c r="A1498">
        <v>89</v>
      </c>
      <c r="B1498" t="s">
        <v>42</v>
      </c>
    </row>
    <row r="1499" spans="1:2">
      <c r="A1499">
        <v>89</v>
      </c>
      <c r="B1499" t="s">
        <v>44</v>
      </c>
    </row>
    <row r="1500" spans="1:2">
      <c r="A1500">
        <v>90</v>
      </c>
      <c r="B1500" t="s">
        <v>27</v>
      </c>
    </row>
    <row r="1501" spans="1:2">
      <c r="A1501">
        <v>90</v>
      </c>
      <c r="B1501" s="2">
        <v>9.3880000000000005E-2</v>
      </c>
    </row>
    <row r="1502" spans="1:2">
      <c r="A1502">
        <v>90</v>
      </c>
      <c r="B1502" t="s">
        <v>1</v>
      </c>
    </row>
    <row r="1503" spans="1:2">
      <c r="A1503">
        <v>90</v>
      </c>
      <c r="B1503">
        <v>-0.36699999999999999</v>
      </c>
    </row>
    <row r="1504" spans="1:2">
      <c r="A1504">
        <v>90</v>
      </c>
      <c r="B1504" t="s">
        <v>28</v>
      </c>
    </row>
    <row r="1505" spans="1:2">
      <c r="A1505">
        <v>90</v>
      </c>
      <c r="B1505">
        <v>459</v>
      </c>
    </row>
    <row r="1506" spans="1:2">
      <c r="A1506">
        <v>90</v>
      </c>
      <c r="B1506" t="s">
        <v>25</v>
      </c>
    </row>
    <row r="1507" spans="1:2">
      <c r="A1507">
        <v>90</v>
      </c>
      <c r="B1507" s="2">
        <v>4.1099999999999998E-2</v>
      </c>
    </row>
    <row r="1508" spans="1:2">
      <c r="A1508">
        <v>90</v>
      </c>
      <c r="B1508" t="s">
        <v>29</v>
      </c>
    </row>
    <row r="1509" spans="1:2">
      <c r="A1509">
        <v>90</v>
      </c>
      <c r="B1509" s="2">
        <v>-7.9299999999999995E-2</v>
      </c>
    </row>
    <row r="1510" spans="1:2">
      <c r="A1510">
        <v>90</v>
      </c>
      <c r="B1510" t="s">
        <v>30</v>
      </c>
    </row>
    <row r="1511" spans="1:2">
      <c r="A1511">
        <v>90</v>
      </c>
      <c r="B1511" s="2">
        <v>-0.46013999999999999</v>
      </c>
    </row>
    <row r="1512" spans="1:2">
      <c r="A1512">
        <v>90</v>
      </c>
      <c r="B1512" t="s">
        <v>8</v>
      </c>
    </row>
    <row r="1513" spans="1:2">
      <c r="A1513">
        <v>90</v>
      </c>
      <c r="B1513" s="2">
        <v>0.59299999999999997</v>
      </c>
    </row>
    <row r="1514" spans="1:2">
      <c r="A1514">
        <v>90</v>
      </c>
      <c r="B1514" t="s">
        <v>31</v>
      </c>
    </row>
    <row r="1515" spans="1:2">
      <c r="A1515">
        <v>90</v>
      </c>
      <c r="B1515">
        <v>-0.29099999999999998</v>
      </c>
    </row>
    <row r="1516" spans="1:2">
      <c r="A1516">
        <v>90</v>
      </c>
      <c r="B1516" t="s">
        <v>32</v>
      </c>
    </row>
    <row r="1517" spans="1:2">
      <c r="A1517">
        <v>90</v>
      </c>
      <c r="B1517" s="2">
        <v>-0.32754</v>
      </c>
    </row>
    <row r="1518" spans="1:2">
      <c r="A1518">
        <v>90</v>
      </c>
      <c r="B1518" t="s">
        <v>33</v>
      </c>
    </row>
    <row r="1519" spans="1:2">
      <c r="A1519">
        <v>90</v>
      </c>
      <c r="B1519" s="3">
        <v>0.53</v>
      </c>
    </row>
    <row r="1520" spans="1:2">
      <c r="A1520">
        <v>90</v>
      </c>
      <c r="B1520" t="s">
        <v>34</v>
      </c>
    </row>
    <row r="1521" spans="1:2">
      <c r="A1521">
        <v>90</v>
      </c>
      <c r="B1521" s="3">
        <v>0.47</v>
      </c>
    </row>
    <row r="1522" spans="1:2">
      <c r="A1522">
        <v>90</v>
      </c>
      <c r="B1522" t="s">
        <v>26</v>
      </c>
    </row>
    <row r="1523" spans="1:2">
      <c r="A1523">
        <v>90</v>
      </c>
      <c r="B1523">
        <v>0.52</v>
      </c>
    </row>
    <row r="1524" spans="1:2">
      <c r="A1524">
        <v>90</v>
      </c>
      <c r="B1524" t="s">
        <v>23</v>
      </c>
    </row>
    <row r="1525" spans="1:2">
      <c r="A1525">
        <v>90</v>
      </c>
      <c r="B1525">
        <v>-0.36</v>
      </c>
    </row>
    <row r="1526" spans="1:2">
      <c r="A1526">
        <v>90</v>
      </c>
      <c r="B1526" t="s">
        <v>24</v>
      </c>
    </row>
    <row r="1527" spans="1:2">
      <c r="A1527">
        <v>90</v>
      </c>
      <c r="B1527">
        <v>2.1549999999999998</v>
      </c>
    </row>
    <row r="1528" spans="1:2">
      <c r="A1528">
        <v>90</v>
      </c>
      <c r="B1528" t="s">
        <v>35</v>
      </c>
    </row>
    <row r="1529" spans="1:2">
      <c r="A1529">
        <v>90</v>
      </c>
      <c r="B1529">
        <v>0.60599999999999998</v>
      </c>
    </row>
    <row r="1530" spans="1:2">
      <c r="A1530">
        <v>90</v>
      </c>
      <c r="B1530" t="s">
        <v>36</v>
      </c>
    </row>
    <row r="1531" spans="1:2">
      <c r="A1531">
        <v>90</v>
      </c>
      <c r="B1531">
        <v>0.36699999999999999</v>
      </c>
    </row>
    <row r="1532" spans="1:2">
      <c r="A1532">
        <v>90</v>
      </c>
      <c r="B1532" t="s">
        <v>37</v>
      </c>
    </row>
    <row r="1533" spans="1:2">
      <c r="A1533">
        <v>90</v>
      </c>
      <c r="B1533">
        <v>-0.48199999999999998</v>
      </c>
    </row>
    <row r="1534" spans="1:2">
      <c r="A1534">
        <v>90</v>
      </c>
      <c r="B1534" t="s">
        <v>38</v>
      </c>
    </row>
    <row r="1535" spans="1:2">
      <c r="A1535">
        <v>90</v>
      </c>
      <c r="B1535">
        <v>0.59299999999999997</v>
      </c>
    </row>
    <row r="1536" spans="1:2">
      <c r="A1536">
        <v>90</v>
      </c>
      <c r="B1536" t="s">
        <v>39</v>
      </c>
    </row>
    <row r="1537" spans="1:2">
      <c r="A1537">
        <v>90</v>
      </c>
      <c r="B1537">
        <v>-0.10299999999999999</v>
      </c>
    </row>
    <row r="1538" spans="1:2">
      <c r="A1538">
        <v>90</v>
      </c>
      <c r="B1538" t="s">
        <v>40</v>
      </c>
    </row>
    <row r="1539" spans="1:2">
      <c r="A1539">
        <v>90</v>
      </c>
      <c r="B1539" s="4">
        <v>0</v>
      </c>
    </row>
    <row r="1540" spans="1:2">
      <c r="A1540">
        <v>90</v>
      </c>
      <c r="B1540" t="s">
        <v>41</v>
      </c>
    </row>
    <row r="1541" spans="1:2">
      <c r="A1541">
        <v>90</v>
      </c>
      <c r="B1541" s="4">
        <v>19000000</v>
      </c>
    </row>
    <row r="1542" spans="1:2">
      <c r="A1542">
        <v>90</v>
      </c>
      <c r="B1542" t="s">
        <v>42</v>
      </c>
    </row>
    <row r="1543" spans="1:2">
      <c r="A1543">
        <v>90</v>
      </c>
      <c r="B1543" t="s">
        <v>44</v>
      </c>
    </row>
    <row r="1544" spans="1:2">
      <c r="A1544">
        <v>109</v>
      </c>
      <c r="B1544" t="s">
        <v>27</v>
      </c>
    </row>
    <row r="1545" spans="1:2">
      <c r="A1545">
        <v>109</v>
      </c>
      <c r="B1545" s="2">
        <v>9.3880000000000005E-2</v>
      </c>
    </row>
    <row r="1546" spans="1:2">
      <c r="A1546">
        <v>109</v>
      </c>
      <c r="B1546" t="s">
        <v>1</v>
      </c>
    </row>
    <row r="1547" spans="1:2">
      <c r="A1547">
        <v>109</v>
      </c>
      <c r="B1547">
        <v>-0.36699999999999999</v>
      </c>
    </row>
    <row r="1548" spans="1:2">
      <c r="A1548">
        <v>109</v>
      </c>
      <c r="B1548" t="s">
        <v>28</v>
      </c>
    </row>
    <row r="1549" spans="1:2">
      <c r="A1549">
        <v>109</v>
      </c>
      <c r="B1549">
        <v>459</v>
      </c>
    </row>
    <row r="1550" spans="1:2">
      <c r="A1550">
        <v>109</v>
      </c>
      <c r="B1550" t="s">
        <v>25</v>
      </c>
    </row>
    <row r="1551" spans="1:2">
      <c r="A1551">
        <v>109</v>
      </c>
      <c r="B1551" s="2">
        <v>4.1099999999999998E-2</v>
      </c>
    </row>
    <row r="1552" spans="1:2">
      <c r="A1552">
        <v>109</v>
      </c>
      <c r="B1552" t="s">
        <v>29</v>
      </c>
    </row>
    <row r="1553" spans="1:2">
      <c r="A1553">
        <v>109</v>
      </c>
      <c r="B1553" s="2">
        <v>-7.9299999999999995E-2</v>
      </c>
    </row>
    <row r="1554" spans="1:2">
      <c r="A1554">
        <v>109</v>
      </c>
      <c r="B1554" t="s">
        <v>30</v>
      </c>
    </row>
    <row r="1555" spans="1:2">
      <c r="A1555">
        <v>109</v>
      </c>
      <c r="B1555" s="2">
        <v>-0.46013999999999999</v>
      </c>
    </row>
    <row r="1556" spans="1:2">
      <c r="A1556">
        <v>109</v>
      </c>
      <c r="B1556" t="s">
        <v>8</v>
      </c>
    </row>
    <row r="1557" spans="1:2">
      <c r="A1557">
        <v>109</v>
      </c>
      <c r="B1557" s="2">
        <v>0.59299999999999997</v>
      </c>
    </row>
    <row r="1558" spans="1:2">
      <c r="A1558">
        <v>109</v>
      </c>
      <c r="B1558" t="s">
        <v>31</v>
      </c>
    </row>
    <row r="1559" spans="1:2">
      <c r="A1559">
        <v>109</v>
      </c>
      <c r="B1559">
        <v>-0.29099999999999998</v>
      </c>
    </row>
    <row r="1560" spans="1:2">
      <c r="A1560">
        <v>109</v>
      </c>
      <c r="B1560" t="s">
        <v>32</v>
      </c>
    </row>
    <row r="1561" spans="1:2">
      <c r="A1561">
        <v>109</v>
      </c>
      <c r="B1561" s="2">
        <v>-0.32754</v>
      </c>
    </row>
    <row r="1562" spans="1:2">
      <c r="A1562">
        <v>109</v>
      </c>
      <c r="B1562" t="s">
        <v>33</v>
      </c>
    </row>
    <row r="1563" spans="1:2">
      <c r="A1563">
        <v>109</v>
      </c>
      <c r="B1563" s="3">
        <v>0.53</v>
      </c>
    </row>
    <row r="1564" spans="1:2">
      <c r="A1564">
        <v>109</v>
      </c>
      <c r="B1564" t="s">
        <v>34</v>
      </c>
    </row>
    <row r="1565" spans="1:2">
      <c r="A1565">
        <v>109</v>
      </c>
      <c r="B1565" s="3">
        <v>0.47</v>
      </c>
    </row>
    <row r="1566" spans="1:2">
      <c r="A1566">
        <v>109</v>
      </c>
      <c r="B1566" t="s">
        <v>26</v>
      </c>
    </row>
    <row r="1567" spans="1:2">
      <c r="A1567">
        <v>109</v>
      </c>
      <c r="B1567">
        <v>0.52</v>
      </c>
    </row>
    <row r="1568" spans="1:2">
      <c r="A1568">
        <v>109</v>
      </c>
      <c r="B1568" t="s">
        <v>23</v>
      </c>
    </row>
    <row r="1569" spans="1:2">
      <c r="A1569">
        <v>109</v>
      </c>
      <c r="B1569">
        <v>-0.36</v>
      </c>
    </row>
    <row r="1570" spans="1:2">
      <c r="A1570">
        <v>109</v>
      </c>
      <c r="B1570" t="s">
        <v>24</v>
      </c>
    </row>
    <row r="1571" spans="1:2">
      <c r="A1571">
        <v>109</v>
      </c>
      <c r="B1571">
        <v>2.1549999999999998</v>
      </c>
    </row>
    <row r="1572" spans="1:2">
      <c r="A1572">
        <v>109</v>
      </c>
      <c r="B1572" t="s">
        <v>35</v>
      </c>
    </row>
    <row r="1573" spans="1:2">
      <c r="A1573">
        <v>109</v>
      </c>
      <c r="B1573">
        <v>0.60599999999999998</v>
      </c>
    </row>
    <row r="1574" spans="1:2">
      <c r="A1574">
        <v>109</v>
      </c>
      <c r="B1574" t="s">
        <v>36</v>
      </c>
    </row>
    <row r="1575" spans="1:2">
      <c r="A1575">
        <v>109</v>
      </c>
      <c r="B1575">
        <v>0.36699999999999999</v>
      </c>
    </row>
    <row r="1576" spans="1:2">
      <c r="A1576">
        <v>109</v>
      </c>
      <c r="B1576" t="s">
        <v>37</v>
      </c>
    </row>
    <row r="1577" spans="1:2">
      <c r="A1577">
        <v>109</v>
      </c>
      <c r="B1577">
        <v>-0.48199999999999998</v>
      </c>
    </row>
    <row r="1578" spans="1:2">
      <c r="A1578">
        <v>109</v>
      </c>
      <c r="B1578" t="s">
        <v>38</v>
      </c>
    </row>
    <row r="1579" spans="1:2">
      <c r="A1579">
        <v>109</v>
      </c>
      <c r="B1579">
        <v>0.59299999999999997</v>
      </c>
    </row>
    <row r="1580" spans="1:2">
      <c r="A1580">
        <v>109</v>
      </c>
      <c r="B1580" t="s">
        <v>39</v>
      </c>
    </row>
    <row r="1581" spans="1:2">
      <c r="A1581">
        <v>109</v>
      </c>
      <c r="B1581">
        <v>-0.10299999999999999</v>
      </c>
    </row>
    <row r="1582" spans="1:2">
      <c r="A1582">
        <v>109</v>
      </c>
      <c r="B1582" t="s">
        <v>40</v>
      </c>
    </row>
    <row r="1583" spans="1:2">
      <c r="A1583">
        <v>109</v>
      </c>
      <c r="B1583" s="4">
        <v>0</v>
      </c>
    </row>
    <row r="1584" spans="1:2">
      <c r="A1584">
        <v>109</v>
      </c>
      <c r="B1584" t="s">
        <v>41</v>
      </c>
    </row>
    <row r="1585" spans="1:2">
      <c r="A1585">
        <v>109</v>
      </c>
      <c r="B1585" s="4">
        <v>19000000</v>
      </c>
    </row>
    <row r="1586" spans="1:2">
      <c r="A1586">
        <v>109</v>
      </c>
      <c r="B1586" t="s">
        <v>42</v>
      </c>
    </row>
    <row r="1587" spans="1:2">
      <c r="A1587">
        <v>109</v>
      </c>
      <c r="B1587" t="s">
        <v>44</v>
      </c>
    </row>
    <row r="1588" spans="1:2">
      <c r="A1588">
        <v>110</v>
      </c>
      <c r="B1588" t="s">
        <v>27</v>
      </c>
    </row>
    <row r="1589" spans="1:2">
      <c r="A1589">
        <v>110</v>
      </c>
      <c r="B1589" s="2">
        <v>9.3880000000000005E-2</v>
      </c>
    </row>
    <row r="1590" spans="1:2">
      <c r="A1590">
        <v>110</v>
      </c>
      <c r="B1590" t="s">
        <v>1</v>
      </c>
    </row>
    <row r="1591" spans="1:2">
      <c r="A1591">
        <v>110</v>
      </c>
      <c r="B1591">
        <v>-0.36699999999999999</v>
      </c>
    </row>
    <row r="1592" spans="1:2">
      <c r="A1592">
        <v>110</v>
      </c>
      <c r="B1592" t="s">
        <v>28</v>
      </c>
    </row>
    <row r="1593" spans="1:2">
      <c r="A1593">
        <v>110</v>
      </c>
      <c r="B1593">
        <v>459</v>
      </c>
    </row>
    <row r="1594" spans="1:2">
      <c r="A1594">
        <v>110</v>
      </c>
      <c r="B1594" t="s">
        <v>25</v>
      </c>
    </row>
    <row r="1595" spans="1:2">
      <c r="A1595">
        <v>110</v>
      </c>
      <c r="B1595" s="2">
        <v>4.1099999999999998E-2</v>
      </c>
    </row>
    <row r="1596" spans="1:2">
      <c r="A1596">
        <v>110</v>
      </c>
      <c r="B1596" t="s">
        <v>29</v>
      </c>
    </row>
    <row r="1597" spans="1:2">
      <c r="A1597">
        <v>110</v>
      </c>
      <c r="B1597" s="2">
        <v>-7.9299999999999995E-2</v>
      </c>
    </row>
    <row r="1598" spans="1:2">
      <c r="A1598">
        <v>110</v>
      </c>
      <c r="B1598" t="s">
        <v>30</v>
      </c>
    </row>
    <row r="1599" spans="1:2">
      <c r="A1599">
        <v>110</v>
      </c>
      <c r="B1599" s="2">
        <v>-0.46013999999999999</v>
      </c>
    </row>
    <row r="1600" spans="1:2">
      <c r="A1600">
        <v>110</v>
      </c>
      <c r="B1600" t="s">
        <v>8</v>
      </c>
    </row>
    <row r="1601" spans="1:2">
      <c r="A1601">
        <v>110</v>
      </c>
      <c r="B1601" s="2">
        <v>0.59299999999999997</v>
      </c>
    </row>
    <row r="1602" spans="1:2">
      <c r="A1602">
        <v>110</v>
      </c>
      <c r="B1602" t="s">
        <v>31</v>
      </c>
    </row>
    <row r="1603" spans="1:2">
      <c r="A1603">
        <v>110</v>
      </c>
      <c r="B1603">
        <v>-0.29099999999999998</v>
      </c>
    </row>
    <row r="1604" spans="1:2">
      <c r="A1604">
        <v>110</v>
      </c>
      <c r="B1604" t="s">
        <v>32</v>
      </c>
    </row>
    <row r="1605" spans="1:2">
      <c r="A1605">
        <v>110</v>
      </c>
      <c r="B1605" s="2">
        <v>-0.32754</v>
      </c>
    </row>
    <row r="1606" spans="1:2">
      <c r="A1606">
        <v>110</v>
      </c>
      <c r="B1606" t="s">
        <v>33</v>
      </c>
    </row>
    <row r="1607" spans="1:2">
      <c r="A1607">
        <v>110</v>
      </c>
      <c r="B1607" s="3">
        <v>0.53</v>
      </c>
    </row>
    <row r="1608" spans="1:2">
      <c r="A1608">
        <v>110</v>
      </c>
      <c r="B1608" t="s">
        <v>34</v>
      </c>
    </row>
    <row r="1609" spans="1:2">
      <c r="A1609">
        <v>110</v>
      </c>
      <c r="B1609" s="3">
        <v>0.47</v>
      </c>
    </row>
    <row r="1610" spans="1:2">
      <c r="A1610">
        <v>110</v>
      </c>
      <c r="B1610" t="s">
        <v>26</v>
      </c>
    </row>
    <row r="1611" spans="1:2">
      <c r="A1611">
        <v>110</v>
      </c>
      <c r="B1611">
        <v>0.52</v>
      </c>
    </row>
    <row r="1612" spans="1:2">
      <c r="A1612">
        <v>110</v>
      </c>
      <c r="B1612" t="s">
        <v>23</v>
      </c>
    </row>
    <row r="1613" spans="1:2">
      <c r="A1613">
        <v>110</v>
      </c>
      <c r="B1613">
        <v>-0.36</v>
      </c>
    </row>
    <row r="1614" spans="1:2">
      <c r="A1614">
        <v>110</v>
      </c>
      <c r="B1614" t="s">
        <v>24</v>
      </c>
    </row>
    <row r="1615" spans="1:2">
      <c r="A1615">
        <v>110</v>
      </c>
      <c r="B1615">
        <v>2.1549999999999998</v>
      </c>
    </row>
    <row r="1616" spans="1:2">
      <c r="A1616">
        <v>110</v>
      </c>
      <c r="B1616" t="s">
        <v>35</v>
      </c>
    </row>
    <row r="1617" spans="1:2">
      <c r="A1617">
        <v>110</v>
      </c>
      <c r="B1617">
        <v>0.60599999999999998</v>
      </c>
    </row>
    <row r="1618" spans="1:2">
      <c r="A1618">
        <v>110</v>
      </c>
      <c r="B1618" t="s">
        <v>36</v>
      </c>
    </row>
    <row r="1619" spans="1:2">
      <c r="A1619">
        <v>110</v>
      </c>
      <c r="B1619">
        <v>0.36699999999999999</v>
      </c>
    </row>
    <row r="1620" spans="1:2">
      <c r="A1620">
        <v>110</v>
      </c>
      <c r="B1620" t="s">
        <v>37</v>
      </c>
    </row>
    <row r="1621" spans="1:2">
      <c r="A1621">
        <v>110</v>
      </c>
      <c r="B1621">
        <v>-0.48199999999999998</v>
      </c>
    </row>
    <row r="1622" spans="1:2">
      <c r="A1622">
        <v>110</v>
      </c>
      <c r="B1622" t="s">
        <v>38</v>
      </c>
    </row>
    <row r="1623" spans="1:2">
      <c r="A1623">
        <v>110</v>
      </c>
      <c r="B1623">
        <v>0.59299999999999997</v>
      </c>
    </row>
    <row r="1624" spans="1:2">
      <c r="A1624">
        <v>110</v>
      </c>
      <c r="B1624" t="s">
        <v>39</v>
      </c>
    </row>
    <row r="1625" spans="1:2">
      <c r="A1625">
        <v>110</v>
      </c>
      <c r="B1625">
        <v>-0.10299999999999999</v>
      </c>
    </row>
    <row r="1626" spans="1:2">
      <c r="A1626">
        <v>110</v>
      </c>
      <c r="B1626" t="s">
        <v>40</v>
      </c>
    </row>
    <row r="1627" spans="1:2">
      <c r="A1627">
        <v>110</v>
      </c>
      <c r="B1627" s="4">
        <v>0</v>
      </c>
    </row>
    <row r="1628" spans="1:2">
      <c r="A1628">
        <v>110</v>
      </c>
      <c r="B1628" t="s">
        <v>41</v>
      </c>
    </row>
    <row r="1629" spans="1:2">
      <c r="A1629">
        <v>110</v>
      </c>
      <c r="B1629" s="4">
        <v>19000000</v>
      </c>
    </row>
    <row r="1630" spans="1:2">
      <c r="A1630">
        <v>110</v>
      </c>
      <c r="B1630" t="s">
        <v>42</v>
      </c>
    </row>
    <row r="1631" spans="1:2">
      <c r="A1631">
        <v>110</v>
      </c>
      <c r="B1631" t="s">
        <v>44</v>
      </c>
    </row>
    <row r="1632" spans="1:2">
      <c r="A1632">
        <v>111</v>
      </c>
      <c r="B1632" t="s">
        <v>27</v>
      </c>
    </row>
    <row r="1633" spans="1:2">
      <c r="A1633">
        <v>111</v>
      </c>
      <c r="B1633" s="2">
        <v>9.3880000000000005E-2</v>
      </c>
    </row>
    <row r="1634" spans="1:2">
      <c r="A1634">
        <v>111</v>
      </c>
      <c r="B1634" t="s">
        <v>1</v>
      </c>
    </row>
    <row r="1635" spans="1:2">
      <c r="A1635">
        <v>111</v>
      </c>
      <c r="B1635">
        <v>-0.36699999999999999</v>
      </c>
    </row>
    <row r="1636" spans="1:2">
      <c r="A1636">
        <v>111</v>
      </c>
      <c r="B1636" t="s">
        <v>28</v>
      </c>
    </row>
    <row r="1637" spans="1:2">
      <c r="A1637">
        <v>111</v>
      </c>
      <c r="B1637">
        <v>459</v>
      </c>
    </row>
    <row r="1638" spans="1:2">
      <c r="A1638">
        <v>111</v>
      </c>
      <c r="B1638" t="s">
        <v>25</v>
      </c>
    </row>
    <row r="1639" spans="1:2">
      <c r="A1639">
        <v>111</v>
      </c>
      <c r="B1639" s="2">
        <v>4.1099999999999998E-2</v>
      </c>
    </row>
    <row r="1640" spans="1:2">
      <c r="A1640">
        <v>111</v>
      </c>
      <c r="B1640" t="s">
        <v>29</v>
      </c>
    </row>
    <row r="1641" spans="1:2">
      <c r="A1641">
        <v>111</v>
      </c>
      <c r="B1641" s="2">
        <v>-7.9299999999999995E-2</v>
      </c>
    </row>
    <row r="1642" spans="1:2">
      <c r="A1642">
        <v>111</v>
      </c>
      <c r="B1642" t="s">
        <v>30</v>
      </c>
    </row>
    <row r="1643" spans="1:2">
      <c r="A1643">
        <v>111</v>
      </c>
      <c r="B1643" s="2">
        <v>-0.46013999999999999</v>
      </c>
    </row>
    <row r="1644" spans="1:2">
      <c r="A1644">
        <v>111</v>
      </c>
      <c r="B1644" t="s">
        <v>8</v>
      </c>
    </row>
    <row r="1645" spans="1:2">
      <c r="A1645">
        <v>111</v>
      </c>
      <c r="B1645" s="2">
        <v>0.59299999999999997</v>
      </c>
    </row>
    <row r="1646" spans="1:2">
      <c r="A1646">
        <v>111</v>
      </c>
      <c r="B1646" t="s">
        <v>31</v>
      </c>
    </row>
    <row r="1647" spans="1:2">
      <c r="A1647">
        <v>111</v>
      </c>
      <c r="B1647">
        <v>-0.29099999999999998</v>
      </c>
    </row>
    <row r="1648" spans="1:2">
      <c r="A1648">
        <v>111</v>
      </c>
      <c r="B1648" t="s">
        <v>32</v>
      </c>
    </row>
    <row r="1649" spans="1:2">
      <c r="A1649">
        <v>111</v>
      </c>
      <c r="B1649" s="2">
        <v>-0.32754</v>
      </c>
    </row>
    <row r="1650" spans="1:2">
      <c r="A1650">
        <v>111</v>
      </c>
      <c r="B1650" t="s">
        <v>33</v>
      </c>
    </row>
    <row r="1651" spans="1:2">
      <c r="A1651">
        <v>111</v>
      </c>
      <c r="B1651" s="3">
        <v>0.53</v>
      </c>
    </row>
    <row r="1652" spans="1:2">
      <c r="A1652">
        <v>111</v>
      </c>
      <c r="B1652" t="s">
        <v>34</v>
      </c>
    </row>
    <row r="1653" spans="1:2">
      <c r="A1653">
        <v>111</v>
      </c>
      <c r="B1653" s="3">
        <v>0.47</v>
      </c>
    </row>
    <row r="1654" spans="1:2">
      <c r="A1654">
        <v>111</v>
      </c>
      <c r="B1654" t="s">
        <v>26</v>
      </c>
    </row>
    <row r="1655" spans="1:2">
      <c r="A1655">
        <v>111</v>
      </c>
      <c r="B1655">
        <v>0.52</v>
      </c>
    </row>
    <row r="1656" spans="1:2">
      <c r="A1656">
        <v>111</v>
      </c>
      <c r="B1656" t="s">
        <v>23</v>
      </c>
    </row>
    <row r="1657" spans="1:2">
      <c r="A1657">
        <v>111</v>
      </c>
      <c r="B1657">
        <v>-0.36</v>
      </c>
    </row>
    <row r="1658" spans="1:2">
      <c r="A1658">
        <v>111</v>
      </c>
      <c r="B1658" t="s">
        <v>24</v>
      </c>
    </row>
    <row r="1659" spans="1:2">
      <c r="A1659">
        <v>111</v>
      </c>
      <c r="B1659">
        <v>2.1549999999999998</v>
      </c>
    </row>
    <row r="1660" spans="1:2">
      <c r="A1660">
        <v>111</v>
      </c>
      <c r="B1660" t="s">
        <v>35</v>
      </c>
    </row>
    <row r="1661" spans="1:2">
      <c r="A1661">
        <v>111</v>
      </c>
      <c r="B1661">
        <v>0.60599999999999998</v>
      </c>
    </row>
    <row r="1662" spans="1:2">
      <c r="A1662">
        <v>111</v>
      </c>
      <c r="B1662" t="s">
        <v>36</v>
      </c>
    </row>
    <row r="1663" spans="1:2">
      <c r="A1663">
        <v>111</v>
      </c>
      <c r="B1663">
        <v>0.36699999999999999</v>
      </c>
    </row>
    <row r="1664" spans="1:2">
      <c r="A1664">
        <v>111</v>
      </c>
      <c r="B1664" t="s">
        <v>37</v>
      </c>
    </row>
    <row r="1665" spans="1:2">
      <c r="A1665">
        <v>111</v>
      </c>
      <c r="B1665">
        <v>-0.48199999999999998</v>
      </c>
    </row>
    <row r="1666" spans="1:2">
      <c r="A1666">
        <v>111</v>
      </c>
      <c r="B1666" t="s">
        <v>38</v>
      </c>
    </row>
    <row r="1667" spans="1:2">
      <c r="A1667">
        <v>111</v>
      </c>
      <c r="B1667">
        <v>0.59299999999999997</v>
      </c>
    </row>
    <row r="1668" spans="1:2">
      <c r="A1668">
        <v>111</v>
      </c>
      <c r="B1668" t="s">
        <v>39</v>
      </c>
    </row>
    <row r="1669" spans="1:2">
      <c r="A1669">
        <v>111</v>
      </c>
      <c r="B1669">
        <v>-0.10299999999999999</v>
      </c>
    </row>
    <row r="1670" spans="1:2">
      <c r="A1670">
        <v>111</v>
      </c>
      <c r="B1670" t="s">
        <v>40</v>
      </c>
    </row>
    <row r="1671" spans="1:2">
      <c r="A1671">
        <v>111</v>
      </c>
      <c r="B1671" s="4">
        <v>0</v>
      </c>
    </row>
    <row r="1672" spans="1:2">
      <c r="A1672">
        <v>111</v>
      </c>
      <c r="B1672" t="s">
        <v>41</v>
      </c>
    </row>
    <row r="1673" spans="1:2">
      <c r="A1673">
        <v>111</v>
      </c>
      <c r="B1673" s="4">
        <v>19000000</v>
      </c>
    </row>
    <row r="1674" spans="1:2">
      <c r="A1674">
        <v>111</v>
      </c>
      <c r="B1674" t="s">
        <v>42</v>
      </c>
    </row>
    <row r="1675" spans="1:2">
      <c r="A1675">
        <v>111</v>
      </c>
      <c r="B1675" t="s">
        <v>44</v>
      </c>
    </row>
    <row r="1676" spans="1:2">
      <c r="A1676">
        <v>112</v>
      </c>
      <c r="B1676" t="s">
        <v>27</v>
      </c>
    </row>
    <row r="1677" spans="1:2">
      <c r="A1677">
        <v>112</v>
      </c>
      <c r="B1677" s="2">
        <v>9.3880000000000005E-2</v>
      </c>
    </row>
    <row r="1678" spans="1:2">
      <c r="A1678">
        <v>112</v>
      </c>
      <c r="B1678" t="s">
        <v>1</v>
      </c>
    </row>
    <row r="1679" spans="1:2">
      <c r="A1679">
        <v>112</v>
      </c>
      <c r="B1679">
        <v>-0.36699999999999999</v>
      </c>
    </row>
    <row r="1680" spans="1:2">
      <c r="A1680">
        <v>112</v>
      </c>
      <c r="B1680" t="s">
        <v>28</v>
      </c>
    </row>
    <row r="1681" spans="1:2">
      <c r="A1681">
        <v>112</v>
      </c>
      <c r="B1681">
        <v>459</v>
      </c>
    </row>
    <row r="1682" spans="1:2">
      <c r="A1682">
        <v>112</v>
      </c>
      <c r="B1682" t="s">
        <v>25</v>
      </c>
    </row>
    <row r="1683" spans="1:2">
      <c r="A1683">
        <v>112</v>
      </c>
      <c r="B1683" s="2">
        <v>4.1099999999999998E-2</v>
      </c>
    </row>
    <row r="1684" spans="1:2">
      <c r="A1684">
        <v>112</v>
      </c>
      <c r="B1684" t="s">
        <v>29</v>
      </c>
    </row>
    <row r="1685" spans="1:2">
      <c r="A1685">
        <v>112</v>
      </c>
      <c r="B1685" s="2">
        <v>-7.9299999999999995E-2</v>
      </c>
    </row>
    <row r="1686" spans="1:2">
      <c r="A1686">
        <v>112</v>
      </c>
      <c r="B1686" t="s">
        <v>30</v>
      </c>
    </row>
    <row r="1687" spans="1:2">
      <c r="A1687">
        <v>112</v>
      </c>
      <c r="B1687" s="2">
        <v>-0.46013999999999999</v>
      </c>
    </row>
    <row r="1688" spans="1:2">
      <c r="A1688">
        <v>112</v>
      </c>
      <c r="B1688" t="s">
        <v>8</v>
      </c>
    </row>
    <row r="1689" spans="1:2">
      <c r="A1689">
        <v>112</v>
      </c>
      <c r="B1689" s="2">
        <v>0.59299999999999997</v>
      </c>
    </row>
    <row r="1690" spans="1:2">
      <c r="A1690">
        <v>112</v>
      </c>
      <c r="B1690" t="s">
        <v>31</v>
      </c>
    </row>
    <row r="1691" spans="1:2">
      <c r="A1691">
        <v>112</v>
      </c>
      <c r="B1691">
        <v>-0.29099999999999998</v>
      </c>
    </row>
    <row r="1692" spans="1:2">
      <c r="A1692">
        <v>112</v>
      </c>
      <c r="B1692" t="s">
        <v>32</v>
      </c>
    </row>
    <row r="1693" spans="1:2">
      <c r="A1693">
        <v>112</v>
      </c>
      <c r="B1693" s="2">
        <v>-0.32754</v>
      </c>
    </row>
    <row r="1694" spans="1:2">
      <c r="A1694">
        <v>112</v>
      </c>
      <c r="B1694" t="s">
        <v>33</v>
      </c>
    </row>
    <row r="1695" spans="1:2">
      <c r="A1695">
        <v>112</v>
      </c>
      <c r="B1695" s="3">
        <v>0.53</v>
      </c>
    </row>
    <row r="1696" spans="1:2">
      <c r="A1696">
        <v>112</v>
      </c>
      <c r="B1696" t="s">
        <v>34</v>
      </c>
    </row>
    <row r="1697" spans="1:2">
      <c r="A1697">
        <v>112</v>
      </c>
      <c r="B1697" s="3">
        <v>0.47</v>
      </c>
    </row>
    <row r="1698" spans="1:2">
      <c r="A1698">
        <v>112</v>
      </c>
      <c r="B1698" t="s">
        <v>26</v>
      </c>
    </row>
    <row r="1699" spans="1:2">
      <c r="A1699">
        <v>112</v>
      </c>
      <c r="B1699">
        <v>0.52</v>
      </c>
    </row>
    <row r="1700" spans="1:2">
      <c r="A1700">
        <v>112</v>
      </c>
      <c r="B1700" t="s">
        <v>23</v>
      </c>
    </row>
    <row r="1701" spans="1:2">
      <c r="A1701">
        <v>112</v>
      </c>
      <c r="B1701">
        <v>-0.36</v>
      </c>
    </row>
    <row r="1702" spans="1:2">
      <c r="A1702">
        <v>112</v>
      </c>
      <c r="B1702" t="s">
        <v>24</v>
      </c>
    </row>
    <row r="1703" spans="1:2">
      <c r="A1703">
        <v>112</v>
      </c>
      <c r="B1703">
        <v>2.1549999999999998</v>
      </c>
    </row>
    <row r="1704" spans="1:2">
      <c r="A1704">
        <v>112</v>
      </c>
      <c r="B1704" t="s">
        <v>35</v>
      </c>
    </row>
    <row r="1705" spans="1:2">
      <c r="A1705">
        <v>112</v>
      </c>
      <c r="B1705">
        <v>0.60599999999999998</v>
      </c>
    </row>
    <row r="1706" spans="1:2">
      <c r="A1706">
        <v>112</v>
      </c>
      <c r="B1706" t="s">
        <v>36</v>
      </c>
    </row>
    <row r="1707" spans="1:2">
      <c r="A1707">
        <v>112</v>
      </c>
      <c r="B1707">
        <v>0.36699999999999999</v>
      </c>
    </row>
    <row r="1708" spans="1:2">
      <c r="A1708">
        <v>112</v>
      </c>
      <c r="B1708" t="s">
        <v>37</v>
      </c>
    </row>
    <row r="1709" spans="1:2">
      <c r="A1709">
        <v>112</v>
      </c>
      <c r="B1709">
        <v>-0.48199999999999998</v>
      </c>
    </row>
    <row r="1710" spans="1:2">
      <c r="A1710">
        <v>112</v>
      </c>
      <c r="B1710" t="s">
        <v>38</v>
      </c>
    </row>
    <row r="1711" spans="1:2">
      <c r="A1711">
        <v>112</v>
      </c>
      <c r="B1711">
        <v>0.59299999999999997</v>
      </c>
    </row>
    <row r="1712" spans="1:2">
      <c r="A1712">
        <v>112</v>
      </c>
      <c r="B1712" t="s">
        <v>39</v>
      </c>
    </row>
    <row r="1713" spans="1:2">
      <c r="A1713">
        <v>112</v>
      </c>
      <c r="B1713">
        <v>-0.10299999999999999</v>
      </c>
    </row>
    <row r="1714" spans="1:2">
      <c r="A1714">
        <v>112</v>
      </c>
      <c r="B1714" t="s">
        <v>40</v>
      </c>
    </row>
    <row r="1715" spans="1:2">
      <c r="A1715">
        <v>112</v>
      </c>
      <c r="B1715" s="4">
        <v>0</v>
      </c>
    </row>
    <row r="1716" spans="1:2">
      <c r="A1716">
        <v>112</v>
      </c>
      <c r="B1716" t="s">
        <v>41</v>
      </c>
    </row>
    <row r="1717" spans="1:2">
      <c r="A1717">
        <v>112</v>
      </c>
      <c r="B1717" s="4">
        <v>19000000</v>
      </c>
    </row>
    <row r="1718" spans="1:2">
      <c r="A1718">
        <v>112</v>
      </c>
      <c r="B1718" t="s">
        <v>42</v>
      </c>
    </row>
    <row r="1719" spans="1:2">
      <c r="A1719">
        <v>112</v>
      </c>
      <c r="B1719" t="s">
        <v>44</v>
      </c>
    </row>
    <row r="1720" spans="1:2">
      <c r="A1720">
        <v>113</v>
      </c>
      <c r="B1720" t="s">
        <v>27</v>
      </c>
    </row>
    <row r="1721" spans="1:2">
      <c r="A1721">
        <v>113</v>
      </c>
      <c r="B1721" s="2">
        <v>9.3880000000000005E-2</v>
      </c>
    </row>
    <row r="1722" spans="1:2">
      <c r="A1722">
        <v>113</v>
      </c>
      <c r="B1722" t="s">
        <v>1</v>
      </c>
    </row>
    <row r="1723" spans="1:2">
      <c r="A1723">
        <v>113</v>
      </c>
      <c r="B1723">
        <v>-0.36699999999999999</v>
      </c>
    </row>
    <row r="1724" spans="1:2">
      <c r="A1724">
        <v>113</v>
      </c>
      <c r="B1724" t="s">
        <v>28</v>
      </c>
    </row>
    <row r="1725" spans="1:2">
      <c r="A1725">
        <v>113</v>
      </c>
      <c r="B1725">
        <v>459</v>
      </c>
    </row>
    <row r="1726" spans="1:2">
      <c r="A1726">
        <v>113</v>
      </c>
      <c r="B1726" t="s">
        <v>25</v>
      </c>
    </row>
    <row r="1727" spans="1:2">
      <c r="A1727">
        <v>113</v>
      </c>
      <c r="B1727" s="2">
        <v>4.1099999999999998E-2</v>
      </c>
    </row>
    <row r="1728" spans="1:2">
      <c r="A1728">
        <v>113</v>
      </c>
      <c r="B1728" t="s">
        <v>29</v>
      </c>
    </row>
    <row r="1729" spans="1:2">
      <c r="A1729">
        <v>113</v>
      </c>
      <c r="B1729" s="2">
        <v>-7.9299999999999995E-2</v>
      </c>
    </row>
    <row r="1730" spans="1:2">
      <c r="A1730">
        <v>113</v>
      </c>
      <c r="B1730" t="s">
        <v>30</v>
      </c>
    </row>
    <row r="1731" spans="1:2">
      <c r="A1731">
        <v>113</v>
      </c>
      <c r="B1731" s="2">
        <v>-0.46013999999999999</v>
      </c>
    </row>
    <row r="1732" spans="1:2">
      <c r="A1732">
        <v>113</v>
      </c>
      <c r="B1732" t="s">
        <v>8</v>
      </c>
    </row>
    <row r="1733" spans="1:2">
      <c r="A1733">
        <v>113</v>
      </c>
      <c r="B1733" s="2">
        <v>0.59299999999999997</v>
      </c>
    </row>
    <row r="1734" spans="1:2">
      <c r="A1734">
        <v>113</v>
      </c>
      <c r="B1734" t="s">
        <v>31</v>
      </c>
    </row>
    <row r="1735" spans="1:2">
      <c r="A1735">
        <v>113</v>
      </c>
      <c r="B1735">
        <v>-0.29099999999999998</v>
      </c>
    </row>
    <row r="1736" spans="1:2">
      <c r="A1736">
        <v>113</v>
      </c>
      <c r="B1736" t="s">
        <v>32</v>
      </c>
    </row>
    <row r="1737" spans="1:2">
      <c r="A1737">
        <v>113</v>
      </c>
      <c r="B1737" s="2">
        <v>-0.32754</v>
      </c>
    </row>
    <row r="1738" spans="1:2">
      <c r="A1738">
        <v>113</v>
      </c>
      <c r="B1738" t="s">
        <v>33</v>
      </c>
    </row>
    <row r="1739" spans="1:2">
      <c r="A1739">
        <v>113</v>
      </c>
      <c r="B1739" s="3">
        <v>0.53</v>
      </c>
    </row>
    <row r="1740" spans="1:2">
      <c r="A1740">
        <v>113</v>
      </c>
      <c r="B1740" t="s">
        <v>34</v>
      </c>
    </row>
    <row r="1741" spans="1:2">
      <c r="A1741">
        <v>113</v>
      </c>
      <c r="B1741" s="3">
        <v>0.47</v>
      </c>
    </row>
    <row r="1742" spans="1:2">
      <c r="A1742">
        <v>113</v>
      </c>
      <c r="B1742" t="s">
        <v>26</v>
      </c>
    </row>
    <row r="1743" spans="1:2">
      <c r="A1743">
        <v>113</v>
      </c>
      <c r="B1743">
        <v>0.52</v>
      </c>
    </row>
    <row r="1744" spans="1:2">
      <c r="A1744">
        <v>113</v>
      </c>
      <c r="B1744" t="s">
        <v>23</v>
      </c>
    </row>
    <row r="1745" spans="1:2">
      <c r="A1745">
        <v>113</v>
      </c>
      <c r="B1745">
        <v>-0.36</v>
      </c>
    </row>
    <row r="1746" spans="1:2">
      <c r="A1746">
        <v>113</v>
      </c>
      <c r="B1746" t="s">
        <v>24</v>
      </c>
    </row>
    <row r="1747" spans="1:2">
      <c r="A1747">
        <v>113</v>
      </c>
      <c r="B1747">
        <v>2.1549999999999998</v>
      </c>
    </row>
    <row r="1748" spans="1:2">
      <c r="A1748">
        <v>113</v>
      </c>
      <c r="B1748" t="s">
        <v>35</v>
      </c>
    </row>
    <row r="1749" spans="1:2">
      <c r="A1749">
        <v>113</v>
      </c>
      <c r="B1749">
        <v>0.60599999999999998</v>
      </c>
    </row>
    <row r="1750" spans="1:2">
      <c r="A1750">
        <v>113</v>
      </c>
      <c r="B1750" t="s">
        <v>36</v>
      </c>
    </row>
    <row r="1751" spans="1:2">
      <c r="A1751">
        <v>113</v>
      </c>
      <c r="B1751">
        <v>0.36699999999999999</v>
      </c>
    </row>
    <row r="1752" spans="1:2">
      <c r="A1752">
        <v>113</v>
      </c>
      <c r="B1752" t="s">
        <v>37</v>
      </c>
    </row>
    <row r="1753" spans="1:2">
      <c r="A1753">
        <v>113</v>
      </c>
      <c r="B1753">
        <v>-0.48199999999999998</v>
      </c>
    </row>
    <row r="1754" spans="1:2">
      <c r="A1754">
        <v>113</v>
      </c>
      <c r="B1754" t="s">
        <v>38</v>
      </c>
    </row>
    <row r="1755" spans="1:2">
      <c r="A1755">
        <v>113</v>
      </c>
      <c r="B1755">
        <v>0.59299999999999997</v>
      </c>
    </row>
    <row r="1756" spans="1:2">
      <c r="A1756">
        <v>113</v>
      </c>
      <c r="B1756" t="s">
        <v>39</v>
      </c>
    </row>
    <row r="1757" spans="1:2">
      <c r="A1757">
        <v>113</v>
      </c>
      <c r="B1757">
        <v>-0.10299999999999999</v>
      </c>
    </row>
    <row r="1758" spans="1:2">
      <c r="A1758">
        <v>113</v>
      </c>
      <c r="B1758" t="s">
        <v>40</v>
      </c>
    </row>
    <row r="1759" spans="1:2">
      <c r="A1759">
        <v>113</v>
      </c>
      <c r="B1759" s="4">
        <v>0</v>
      </c>
    </row>
    <row r="1760" spans="1:2">
      <c r="A1760">
        <v>113</v>
      </c>
      <c r="B1760" t="s">
        <v>41</v>
      </c>
    </row>
    <row r="1761" spans="1:2">
      <c r="A1761">
        <v>113</v>
      </c>
      <c r="B1761" s="4">
        <v>19000000</v>
      </c>
    </row>
    <row r="1762" spans="1:2">
      <c r="A1762">
        <v>113</v>
      </c>
      <c r="B1762" t="s">
        <v>42</v>
      </c>
    </row>
    <row r="1763" spans="1:2">
      <c r="A1763">
        <v>113</v>
      </c>
      <c r="B1763" t="s">
        <v>44</v>
      </c>
    </row>
    <row r="1764" spans="1:2">
      <c r="A1764">
        <v>114</v>
      </c>
      <c r="B1764" t="s">
        <v>27</v>
      </c>
    </row>
    <row r="1765" spans="1:2">
      <c r="A1765">
        <v>114</v>
      </c>
      <c r="B1765" s="2">
        <v>9.3880000000000005E-2</v>
      </c>
    </row>
    <row r="1766" spans="1:2">
      <c r="A1766">
        <v>114</v>
      </c>
      <c r="B1766" t="s">
        <v>1</v>
      </c>
    </row>
    <row r="1767" spans="1:2">
      <c r="A1767">
        <v>114</v>
      </c>
      <c r="B1767">
        <v>-0.36699999999999999</v>
      </c>
    </row>
    <row r="1768" spans="1:2">
      <c r="A1768">
        <v>114</v>
      </c>
      <c r="B1768" t="s">
        <v>28</v>
      </c>
    </row>
    <row r="1769" spans="1:2">
      <c r="A1769">
        <v>114</v>
      </c>
      <c r="B1769">
        <v>459</v>
      </c>
    </row>
    <row r="1770" spans="1:2">
      <c r="A1770">
        <v>114</v>
      </c>
      <c r="B1770" t="s">
        <v>25</v>
      </c>
    </row>
    <row r="1771" spans="1:2">
      <c r="A1771">
        <v>114</v>
      </c>
      <c r="B1771" s="2">
        <v>4.1099999999999998E-2</v>
      </c>
    </row>
    <row r="1772" spans="1:2">
      <c r="A1772">
        <v>114</v>
      </c>
      <c r="B1772" t="s">
        <v>29</v>
      </c>
    </row>
    <row r="1773" spans="1:2">
      <c r="A1773">
        <v>114</v>
      </c>
      <c r="B1773" s="2">
        <v>-7.9299999999999995E-2</v>
      </c>
    </row>
    <row r="1774" spans="1:2">
      <c r="A1774">
        <v>114</v>
      </c>
      <c r="B1774" t="s">
        <v>30</v>
      </c>
    </row>
    <row r="1775" spans="1:2">
      <c r="A1775">
        <v>114</v>
      </c>
      <c r="B1775" s="2">
        <v>-0.46013999999999999</v>
      </c>
    </row>
    <row r="1776" spans="1:2">
      <c r="A1776">
        <v>114</v>
      </c>
      <c r="B1776" t="s">
        <v>8</v>
      </c>
    </row>
    <row r="1777" spans="1:2">
      <c r="A1777">
        <v>114</v>
      </c>
      <c r="B1777" s="2">
        <v>0.59299999999999997</v>
      </c>
    </row>
    <row r="1778" spans="1:2">
      <c r="A1778">
        <v>114</v>
      </c>
      <c r="B1778" t="s">
        <v>31</v>
      </c>
    </row>
    <row r="1779" spans="1:2">
      <c r="A1779">
        <v>114</v>
      </c>
      <c r="B1779">
        <v>-0.29099999999999998</v>
      </c>
    </row>
    <row r="1780" spans="1:2">
      <c r="A1780">
        <v>114</v>
      </c>
      <c r="B1780" t="s">
        <v>32</v>
      </c>
    </row>
    <row r="1781" spans="1:2">
      <c r="A1781">
        <v>114</v>
      </c>
      <c r="B1781" s="2">
        <v>-0.32754</v>
      </c>
    </row>
    <row r="1782" spans="1:2">
      <c r="A1782">
        <v>114</v>
      </c>
      <c r="B1782" t="s">
        <v>33</v>
      </c>
    </row>
    <row r="1783" spans="1:2">
      <c r="A1783">
        <v>114</v>
      </c>
      <c r="B1783" s="3">
        <v>0.53</v>
      </c>
    </row>
    <row r="1784" spans="1:2">
      <c r="A1784">
        <v>114</v>
      </c>
      <c r="B1784" t="s">
        <v>34</v>
      </c>
    </row>
    <row r="1785" spans="1:2">
      <c r="A1785">
        <v>114</v>
      </c>
      <c r="B1785" s="3">
        <v>0.47</v>
      </c>
    </row>
    <row r="1786" spans="1:2">
      <c r="A1786">
        <v>114</v>
      </c>
      <c r="B1786" t="s">
        <v>26</v>
      </c>
    </row>
    <row r="1787" spans="1:2">
      <c r="A1787">
        <v>114</v>
      </c>
      <c r="B1787">
        <v>0.52</v>
      </c>
    </row>
    <row r="1788" spans="1:2">
      <c r="A1788">
        <v>114</v>
      </c>
      <c r="B1788" t="s">
        <v>23</v>
      </c>
    </row>
    <row r="1789" spans="1:2">
      <c r="A1789">
        <v>114</v>
      </c>
      <c r="B1789">
        <v>-0.36</v>
      </c>
    </row>
    <row r="1790" spans="1:2">
      <c r="A1790">
        <v>114</v>
      </c>
      <c r="B1790" t="s">
        <v>24</v>
      </c>
    </row>
    <row r="1791" spans="1:2">
      <c r="A1791">
        <v>114</v>
      </c>
      <c r="B1791">
        <v>2.1549999999999998</v>
      </c>
    </row>
    <row r="1792" spans="1:2">
      <c r="A1792">
        <v>114</v>
      </c>
      <c r="B1792" t="s">
        <v>35</v>
      </c>
    </row>
    <row r="1793" spans="1:2">
      <c r="A1793">
        <v>114</v>
      </c>
      <c r="B1793">
        <v>0.60599999999999998</v>
      </c>
    </row>
    <row r="1794" spans="1:2">
      <c r="A1794">
        <v>114</v>
      </c>
      <c r="B1794" t="s">
        <v>36</v>
      </c>
    </row>
    <row r="1795" spans="1:2">
      <c r="A1795">
        <v>114</v>
      </c>
      <c r="B1795">
        <v>0.36699999999999999</v>
      </c>
    </row>
    <row r="1796" spans="1:2">
      <c r="A1796">
        <v>114</v>
      </c>
      <c r="B1796" t="s">
        <v>37</v>
      </c>
    </row>
    <row r="1797" spans="1:2">
      <c r="A1797">
        <v>114</v>
      </c>
      <c r="B1797">
        <v>-0.48199999999999998</v>
      </c>
    </row>
    <row r="1798" spans="1:2">
      <c r="A1798">
        <v>114</v>
      </c>
      <c r="B1798" t="s">
        <v>38</v>
      </c>
    </row>
    <row r="1799" spans="1:2">
      <c r="A1799">
        <v>114</v>
      </c>
      <c r="B1799">
        <v>0.59299999999999997</v>
      </c>
    </row>
    <row r="1800" spans="1:2">
      <c r="A1800">
        <v>114</v>
      </c>
      <c r="B1800" t="s">
        <v>39</v>
      </c>
    </row>
    <row r="1801" spans="1:2">
      <c r="A1801">
        <v>114</v>
      </c>
      <c r="B1801">
        <v>-0.10299999999999999</v>
      </c>
    </row>
    <row r="1802" spans="1:2">
      <c r="A1802">
        <v>114</v>
      </c>
      <c r="B1802" t="s">
        <v>40</v>
      </c>
    </row>
    <row r="1803" spans="1:2">
      <c r="A1803">
        <v>114</v>
      </c>
      <c r="B1803" s="4">
        <v>0</v>
      </c>
    </row>
    <row r="1804" spans="1:2">
      <c r="A1804">
        <v>114</v>
      </c>
      <c r="B1804" t="s">
        <v>41</v>
      </c>
    </row>
    <row r="1805" spans="1:2">
      <c r="A1805">
        <v>114</v>
      </c>
      <c r="B1805" s="4">
        <v>19000000</v>
      </c>
    </row>
    <row r="1806" spans="1:2">
      <c r="A1806">
        <v>114</v>
      </c>
      <c r="B1806" t="s">
        <v>42</v>
      </c>
    </row>
    <row r="1807" spans="1:2">
      <c r="A1807">
        <v>114</v>
      </c>
      <c r="B1807" t="s">
        <v>44</v>
      </c>
    </row>
    <row r="1808" spans="1:2">
      <c r="A1808">
        <v>115</v>
      </c>
      <c r="B1808" t="s">
        <v>27</v>
      </c>
    </row>
    <row r="1809" spans="1:2">
      <c r="A1809">
        <v>115</v>
      </c>
      <c r="B1809" s="2">
        <v>9.3880000000000005E-2</v>
      </c>
    </row>
    <row r="1810" spans="1:2">
      <c r="A1810">
        <v>115</v>
      </c>
      <c r="B1810" t="s">
        <v>1</v>
      </c>
    </row>
    <row r="1811" spans="1:2">
      <c r="A1811">
        <v>115</v>
      </c>
      <c r="B1811">
        <v>-0.36699999999999999</v>
      </c>
    </row>
    <row r="1812" spans="1:2">
      <c r="A1812">
        <v>115</v>
      </c>
      <c r="B1812" t="s">
        <v>28</v>
      </c>
    </row>
    <row r="1813" spans="1:2">
      <c r="A1813">
        <v>115</v>
      </c>
      <c r="B1813">
        <v>459</v>
      </c>
    </row>
    <row r="1814" spans="1:2">
      <c r="A1814">
        <v>115</v>
      </c>
      <c r="B1814" t="s">
        <v>25</v>
      </c>
    </row>
    <row r="1815" spans="1:2">
      <c r="A1815">
        <v>115</v>
      </c>
      <c r="B1815" s="2">
        <v>4.1099999999999998E-2</v>
      </c>
    </row>
    <row r="1816" spans="1:2">
      <c r="A1816">
        <v>115</v>
      </c>
      <c r="B1816" t="s">
        <v>29</v>
      </c>
    </row>
    <row r="1817" spans="1:2">
      <c r="A1817">
        <v>115</v>
      </c>
      <c r="B1817" s="2">
        <v>-7.9299999999999995E-2</v>
      </c>
    </row>
    <row r="1818" spans="1:2">
      <c r="A1818">
        <v>115</v>
      </c>
      <c r="B1818" t="s">
        <v>30</v>
      </c>
    </row>
    <row r="1819" spans="1:2">
      <c r="A1819">
        <v>115</v>
      </c>
      <c r="B1819" s="2">
        <v>-0.46013999999999999</v>
      </c>
    </row>
    <row r="1820" spans="1:2">
      <c r="A1820">
        <v>115</v>
      </c>
      <c r="B1820" t="s">
        <v>8</v>
      </c>
    </row>
    <row r="1821" spans="1:2">
      <c r="A1821">
        <v>115</v>
      </c>
      <c r="B1821" s="2">
        <v>0.59299999999999997</v>
      </c>
    </row>
    <row r="1822" spans="1:2">
      <c r="A1822">
        <v>115</v>
      </c>
      <c r="B1822" t="s">
        <v>31</v>
      </c>
    </row>
    <row r="1823" spans="1:2">
      <c r="A1823">
        <v>115</v>
      </c>
      <c r="B1823">
        <v>-0.29099999999999998</v>
      </c>
    </row>
    <row r="1824" spans="1:2">
      <c r="A1824">
        <v>115</v>
      </c>
      <c r="B1824" t="s">
        <v>32</v>
      </c>
    </row>
    <row r="1825" spans="1:2">
      <c r="A1825">
        <v>115</v>
      </c>
      <c r="B1825" s="2">
        <v>-0.32754</v>
      </c>
    </row>
    <row r="1826" spans="1:2">
      <c r="A1826">
        <v>115</v>
      </c>
      <c r="B1826" t="s">
        <v>33</v>
      </c>
    </row>
    <row r="1827" spans="1:2">
      <c r="A1827">
        <v>115</v>
      </c>
      <c r="B1827" s="3">
        <v>0.53</v>
      </c>
    </row>
    <row r="1828" spans="1:2">
      <c r="A1828">
        <v>115</v>
      </c>
      <c r="B1828" t="s">
        <v>34</v>
      </c>
    </row>
    <row r="1829" spans="1:2">
      <c r="A1829">
        <v>115</v>
      </c>
      <c r="B1829" s="3">
        <v>0.47</v>
      </c>
    </row>
    <row r="1830" spans="1:2">
      <c r="A1830">
        <v>115</v>
      </c>
      <c r="B1830" t="s">
        <v>26</v>
      </c>
    </row>
    <row r="1831" spans="1:2">
      <c r="A1831">
        <v>115</v>
      </c>
      <c r="B1831">
        <v>0.52</v>
      </c>
    </row>
    <row r="1832" spans="1:2">
      <c r="A1832">
        <v>115</v>
      </c>
      <c r="B1832" t="s">
        <v>23</v>
      </c>
    </row>
    <row r="1833" spans="1:2">
      <c r="A1833">
        <v>115</v>
      </c>
      <c r="B1833">
        <v>-0.36</v>
      </c>
    </row>
    <row r="1834" spans="1:2">
      <c r="A1834">
        <v>115</v>
      </c>
      <c r="B1834" t="s">
        <v>24</v>
      </c>
    </row>
    <row r="1835" spans="1:2">
      <c r="A1835">
        <v>115</v>
      </c>
      <c r="B1835">
        <v>2.1549999999999998</v>
      </c>
    </row>
    <row r="1836" spans="1:2">
      <c r="A1836">
        <v>115</v>
      </c>
      <c r="B1836" t="s">
        <v>35</v>
      </c>
    </row>
    <row r="1837" spans="1:2">
      <c r="A1837">
        <v>115</v>
      </c>
      <c r="B1837">
        <v>0.60599999999999998</v>
      </c>
    </row>
    <row r="1838" spans="1:2">
      <c r="A1838">
        <v>115</v>
      </c>
      <c r="B1838" t="s">
        <v>36</v>
      </c>
    </row>
    <row r="1839" spans="1:2">
      <c r="A1839">
        <v>115</v>
      </c>
      <c r="B1839">
        <v>0.36699999999999999</v>
      </c>
    </row>
    <row r="1840" spans="1:2">
      <c r="A1840">
        <v>115</v>
      </c>
      <c r="B1840" t="s">
        <v>37</v>
      </c>
    </row>
    <row r="1841" spans="1:2">
      <c r="A1841">
        <v>115</v>
      </c>
      <c r="B1841">
        <v>-0.48199999999999998</v>
      </c>
    </row>
    <row r="1842" spans="1:2">
      <c r="A1842">
        <v>115</v>
      </c>
      <c r="B1842" t="s">
        <v>38</v>
      </c>
    </row>
    <row r="1843" spans="1:2">
      <c r="A1843">
        <v>115</v>
      </c>
      <c r="B1843">
        <v>0.59299999999999997</v>
      </c>
    </row>
    <row r="1844" spans="1:2">
      <c r="A1844">
        <v>115</v>
      </c>
      <c r="B1844" t="s">
        <v>39</v>
      </c>
    </row>
    <row r="1845" spans="1:2">
      <c r="A1845">
        <v>115</v>
      </c>
      <c r="B1845">
        <v>-0.10299999999999999</v>
      </c>
    </row>
    <row r="1846" spans="1:2">
      <c r="A1846">
        <v>115</v>
      </c>
      <c r="B1846" t="s">
        <v>40</v>
      </c>
    </row>
    <row r="1847" spans="1:2">
      <c r="A1847">
        <v>115</v>
      </c>
      <c r="B1847" s="4">
        <v>0</v>
      </c>
    </row>
    <row r="1848" spans="1:2">
      <c r="A1848">
        <v>115</v>
      </c>
      <c r="B1848" t="s">
        <v>41</v>
      </c>
    </row>
    <row r="1849" spans="1:2">
      <c r="A1849">
        <v>115</v>
      </c>
      <c r="B1849" s="4">
        <v>19000000</v>
      </c>
    </row>
    <row r="1850" spans="1:2">
      <c r="A1850">
        <v>115</v>
      </c>
      <c r="B1850" t="s">
        <v>42</v>
      </c>
    </row>
    <row r="1851" spans="1:2">
      <c r="A1851">
        <v>115</v>
      </c>
      <c r="B1851" t="s">
        <v>44</v>
      </c>
    </row>
    <row r="1852" spans="1:2">
      <c r="A1852">
        <v>116</v>
      </c>
      <c r="B1852" t="s">
        <v>27</v>
      </c>
    </row>
    <row r="1853" spans="1:2">
      <c r="A1853">
        <v>116</v>
      </c>
      <c r="B1853" s="2">
        <v>9.3880000000000005E-2</v>
      </c>
    </row>
    <row r="1854" spans="1:2">
      <c r="A1854">
        <v>116</v>
      </c>
      <c r="B1854" t="s">
        <v>1</v>
      </c>
    </row>
    <row r="1855" spans="1:2">
      <c r="A1855">
        <v>116</v>
      </c>
      <c r="B1855">
        <v>-0.36699999999999999</v>
      </c>
    </row>
    <row r="1856" spans="1:2">
      <c r="A1856">
        <v>116</v>
      </c>
      <c r="B1856" t="s">
        <v>28</v>
      </c>
    </row>
    <row r="1857" spans="1:2">
      <c r="A1857">
        <v>116</v>
      </c>
      <c r="B1857">
        <v>459</v>
      </c>
    </row>
    <row r="1858" spans="1:2">
      <c r="A1858">
        <v>116</v>
      </c>
      <c r="B1858" t="s">
        <v>25</v>
      </c>
    </row>
    <row r="1859" spans="1:2">
      <c r="A1859">
        <v>116</v>
      </c>
      <c r="B1859" s="2">
        <v>4.1099999999999998E-2</v>
      </c>
    </row>
    <row r="1860" spans="1:2">
      <c r="A1860">
        <v>116</v>
      </c>
      <c r="B1860" t="s">
        <v>29</v>
      </c>
    </row>
    <row r="1861" spans="1:2">
      <c r="A1861">
        <v>116</v>
      </c>
      <c r="B1861" s="2">
        <v>-7.9299999999999995E-2</v>
      </c>
    </row>
    <row r="1862" spans="1:2">
      <c r="A1862">
        <v>116</v>
      </c>
      <c r="B1862" t="s">
        <v>30</v>
      </c>
    </row>
    <row r="1863" spans="1:2">
      <c r="A1863">
        <v>116</v>
      </c>
      <c r="B1863" s="2">
        <v>-0.46013999999999999</v>
      </c>
    </row>
    <row r="1864" spans="1:2">
      <c r="A1864">
        <v>116</v>
      </c>
      <c r="B1864" t="s">
        <v>8</v>
      </c>
    </row>
    <row r="1865" spans="1:2">
      <c r="A1865">
        <v>116</v>
      </c>
      <c r="B1865" s="2">
        <v>0.59299999999999997</v>
      </c>
    </row>
    <row r="1866" spans="1:2">
      <c r="A1866">
        <v>116</v>
      </c>
      <c r="B1866" t="s">
        <v>31</v>
      </c>
    </row>
    <row r="1867" spans="1:2">
      <c r="A1867">
        <v>116</v>
      </c>
      <c r="B1867">
        <v>-0.29099999999999998</v>
      </c>
    </row>
    <row r="1868" spans="1:2">
      <c r="A1868">
        <v>116</v>
      </c>
      <c r="B1868" t="s">
        <v>32</v>
      </c>
    </row>
    <row r="1869" spans="1:2">
      <c r="A1869">
        <v>116</v>
      </c>
      <c r="B1869" s="2">
        <v>-0.32754</v>
      </c>
    </row>
    <row r="1870" spans="1:2">
      <c r="A1870">
        <v>116</v>
      </c>
      <c r="B1870" t="s">
        <v>33</v>
      </c>
    </row>
    <row r="1871" spans="1:2">
      <c r="A1871">
        <v>116</v>
      </c>
      <c r="B1871" s="3">
        <v>0.53</v>
      </c>
    </row>
    <row r="1872" spans="1:2">
      <c r="A1872">
        <v>116</v>
      </c>
      <c r="B1872" t="s">
        <v>34</v>
      </c>
    </row>
    <row r="1873" spans="1:2">
      <c r="A1873">
        <v>116</v>
      </c>
      <c r="B1873" s="3">
        <v>0.47</v>
      </c>
    </row>
    <row r="1874" spans="1:2">
      <c r="A1874">
        <v>116</v>
      </c>
      <c r="B1874" t="s">
        <v>26</v>
      </c>
    </row>
    <row r="1875" spans="1:2">
      <c r="A1875">
        <v>116</v>
      </c>
      <c r="B1875">
        <v>0.52</v>
      </c>
    </row>
    <row r="1876" spans="1:2">
      <c r="A1876">
        <v>116</v>
      </c>
      <c r="B1876" t="s">
        <v>23</v>
      </c>
    </row>
    <row r="1877" spans="1:2">
      <c r="A1877">
        <v>116</v>
      </c>
      <c r="B1877">
        <v>-0.36</v>
      </c>
    </row>
    <row r="1878" spans="1:2">
      <c r="A1878">
        <v>116</v>
      </c>
      <c r="B1878" t="s">
        <v>24</v>
      </c>
    </row>
    <row r="1879" spans="1:2">
      <c r="A1879">
        <v>116</v>
      </c>
      <c r="B1879">
        <v>2.1549999999999998</v>
      </c>
    </row>
    <row r="1880" spans="1:2">
      <c r="A1880">
        <v>116</v>
      </c>
      <c r="B1880" t="s">
        <v>35</v>
      </c>
    </row>
    <row r="1881" spans="1:2">
      <c r="A1881">
        <v>116</v>
      </c>
      <c r="B1881">
        <v>0.60599999999999998</v>
      </c>
    </row>
    <row r="1882" spans="1:2">
      <c r="A1882">
        <v>116</v>
      </c>
      <c r="B1882" t="s">
        <v>36</v>
      </c>
    </row>
    <row r="1883" spans="1:2">
      <c r="A1883">
        <v>116</v>
      </c>
      <c r="B1883">
        <v>0.36699999999999999</v>
      </c>
    </row>
    <row r="1884" spans="1:2">
      <c r="A1884">
        <v>116</v>
      </c>
      <c r="B1884" t="s">
        <v>37</v>
      </c>
    </row>
    <row r="1885" spans="1:2">
      <c r="A1885">
        <v>116</v>
      </c>
      <c r="B1885">
        <v>-0.48199999999999998</v>
      </c>
    </row>
    <row r="1886" spans="1:2">
      <c r="A1886">
        <v>116</v>
      </c>
      <c r="B1886" t="s">
        <v>38</v>
      </c>
    </row>
    <row r="1887" spans="1:2">
      <c r="A1887">
        <v>116</v>
      </c>
      <c r="B1887">
        <v>0.59299999999999997</v>
      </c>
    </row>
    <row r="1888" spans="1:2">
      <c r="A1888">
        <v>116</v>
      </c>
      <c r="B1888" t="s">
        <v>39</v>
      </c>
    </row>
    <row r="1889" spans="1:2">
      <c r="A1889">
        <v>116</v>
      </c>
      <c r="B1889">
        <v>-0.10299999999999999</v>
      </c>
    </row>
    <row r="1890" spans="1:2">
      <c r="A1890">
        <v>116</v>
      </c>
      <c r="B1890" t="s">
        <v>40</v>
      </c>
    </row>
    <row r="1891" spans="1:2">
      <c r="A1891">
        <v>116</v>
      </c>
      <c r="B1891" s="4">
        <v>0</v>
      </c>
    </row>
    <row r="1892" spans="1:2">
      <c r="A1892">
        <v>116</v>
      </c>
      <c r="B1892" t="s">
        <v>41</v>
      </c>
    </row>
    <row r="1893" spans="1:2">
      <c r="A1893">
        <v>116</v>
      </c>
      <c r="B1893" s="4">
        <v>19000000</v>
      </c>
    </row>
    <row r="1894" spans="1:2">
      <c r="A1894">
        <v>116</v>
      </c>
      <c r="B1894" t="s">
        <v>42</v>
      </c>
    </row>
    <row r="1895" spans="1:2">
      <c r="A1895">
        <v>116</v>
      </c>
      <c r="B1895" t="s">
        <v>44</v>
      </c>
    </row>
    <row r="1896" spans="1:2">
      <c r="A1896">
        <v>117</v>
      </c>
      <c r="B1896" t="s">
        <v>27</v>
      </c>
    </row>
    <row r="1897" spans="1:2">
      <c r="A1897">
        <v>117</v>
      </c>
      <c r="B1897" s="2">
        <v>9.3880000000000005E-2</v>
      </c>
    </row>
    <row r="1898" spans="1:2">
      <c r="A1898">
        <v>117</v>
      </c>
      <c r="B1898" t="s">
        <v>1</v>
      </c>
    </row>
    <row r="1899" spans="1:2">
      <c r="A1899">
        <v>117</v>
      </c>
      <c r="B1899">
        <v>-0.36699999999999999</v>
      </c>
    </row>
    <row r="1900" spans="1:2">
      <c r="A1900">
        <v>117</v>
      </c>
      <c r="B1900" t="s">
        <v>28</v>
      </c>
    </row>
    <row r="1901" spans="1:2">
      <c r="A1901">
        <v>117</v>
      </c>
      <c r="B1901">
        <v>459</v>
      </c>
    </row>
    <row r="1902" spans="1:2">
      <c r="A1902">
        <v>117</v>
      </c>
      <c r="B1902" t="s">
        <v>25</v>
      </c>
    </row>
    <row r="1903" spans="1:2">
      <c r="A1903">
        <v>117</v>
      </c>
      <c r="B1903" s="2">
        <v>4.1099999999999998E-2</v>
      </c>
    </row>
    <row r="1904" spans="1:2">
      <c r="A1904">
        <v>117</v>
      </c>
      <c r="B1904" t="s">
        <v>29</v>
      </c>
    </row>
    <row r="1905" spans="1:2">
      <c r="A1905">
        <v>117</v>
      </c>
      <c r="B1905" s="2">
        <v>-7.9299999999999995E-2</v>
      </c>
    </row>
    <row r="1906" spans="1:2">
      <c r="A1906">
        <v>117</v>
      </c>
      <c r="B1906" t="s">
        <v>30</v>
      </c>
    </row>
    <row r="1907" spans="1:2">
      <c r="A1907">
        <v>117</v>
      </c>
      <c r="B1907" s="2">
        <v>-0.46013999999999999</v>
      </c>
    </row>
    <row r="1908" spans="1:2">
      <c r="A1908">
        <v>117</v>
      </c>
      <c r="B1908" t="s">
        <v>8</v>
      </c>
    </row>
    <row r="1909" spans="1:2">
      <c r="A1909">
        <v>117</v>
      </c>
      <c r="B1909" s="2">
        <v>0.59299999999999997</v>
      </c>
    </row>
    <row r="1910" spans="1:2">
      <c r="A1910">
        <v>117</v>
      </c>
      <c r="B1910" t="s">
        <v>31</v>
      </c>
    </row>
    <row r="1911" spans="1:2">
      <c r="A1911">
        <v>117</v>
      </c>
      <c r="B1911">
        <v>-0.29099999999999998</v>
      </c>
    </row>
    <row r="1912" spans="1:2">
      <c r="A1912">
        <v>117</v>
      </c>
      <c r="B1912" t="s">
        <v>32</v>
      </c>
    </row>
    <row r="1913" spans="1:2">
      <c r="A1913">
        <v>117</v>
      </c>
      <c r="B1913" s="2">
        <v>-0.32754</v>
      </c>
    </row>
    <row r="1914" spans="1:2">
      <c r="A1914">
        <v>117</v>
      </c>
      <c r="B1914" t="s">
        <v>33</v>
      </c>
    </row>
    <row r="1915" spans="1:2">
      <c r="A1915">
        <v>117</v>
      </c>
      <c r="B1915" s="3">
        <v>0.53</v>
      </c>
    </row>
    <row r="1916" spans="1:2">
      <c r="A1916">
        <v>117</v>
      </c>
      <c r="B1916" t="s">
        <v>34</v>
      </c>
    </row>
    <row r="1917" spans="1:2">
      <c r="A1917">
        <v>117</v>
      </c>
      <c r="B1917" s="3">
        <v>0.47</v>
      </c>
    </row>
    <row r="1918" spans="1:2">
      <c r="A1918">
        <v>117</v>
      </c>
      <c r="B1918" t="s">
        <v>26</v>
      </c>
    </row>
    <row r="1919" spans="1:2">
      <c r="A1919">
        <v>117</v>
      </c>
      <c r="B1919">
        <v>0.52</v>
      </c>
    </row>
    <row r="1920" spans="1:2">
      <c r="A1920">
        <v>117</v>
      </c>
      <c r="B1920" t="s">
        <v>23</v>
      </c>
    </row>
    <row r="1921" spans="1:2">
      <c r="A1921">
        <v>117</v>
      </c>
      <c r="B1921">
        <v>-0.36</v>
      </c>
    </row>
    <row r="1922" spans="1:2">
      <c r="A1922">
        <v>117</v>
      </c>
      <c r="B1922" t="s">
        <v>24</v>
      </c>
    </row>
    <row r="1923" spans="1:2">
      <c r="A1923">
        <v>117</v>
      </c>
      <c r="B1923">
        <v>2.1549999999999998</v>
      </c>
    </row>
    <row r="1924" spans="1:2">
      <c r="A1924">
        <v>117</v>
      </c>
      <c r="B1924" t="s">
        <v>35</v>
      </c>
    </row>
    <row r="1925" spans="1:2">
      <c r="A1925">
        <v>117</v>
      </c>
      <c r="B1925">
        <v>0.60599999999999998</v>
      </c>
    </row>
    <row r="1926" spans="1:2">
      <c r="A1926">
        <v>117</v>
      </c>
      <c r="B1926" t="s">
        <v>36</v>
      </c>
    </row>
    <row r="1927" spans="1:2">
      <c r="A1927">
        <v>117</v>
      </c>
      <c r="B1927">
        <v>0.36699999999999999</v>
      </c>
    </row>
    <row r="1928" spans="1:2">
      <c r="A1928">
        <v>117</v>
      </c>
      <c r="B1928" t="s">
        <v>37</v>
      </c>
    </row>
    <row r="1929" spans="1:2">
      <c r="A1929">
        <v>117</v>
      </c>
      <c r="B1929">
        <v>-0.48199999999999998</v>
      </c>
    </row>
    <row r="1930" spans="1:2">
      <c r="A1930">
        <v>117</v>
      </c>
      <c r="B1930" t="s">
        <v>38</v>
      </c>
    </row>
    <row r="1931" spans="1:2">
      <c r="A1931">
        <v>117</v>
      </c>
      <c r="B1931">
        <v>0.59299999999999997</v>
      </c>
    </row>
    <row r="1932" spans="1:2">
      <c r="A1932">
        <v>117</v>
      </c>
      <c r="B1932" t="s">
        <v>39</v>
      </c>
    </row>
    <row r="1933" spans="1:2">
      <c r="A1933">
        <v>117</v>
      </c>
      <c r="B1933">
        <v>-0.10299999999999999</v>
      </c>
    </row>
    <row r="1934" spans="1:2">
      <c r="A1934">
        <v>117</v>
      </c>
      <c r="B1934" t="s">
        <v>40</v>
      </c>
    </row>
    <row r="1935" spans="1:2">
      <c r="A1935">
        <v>117</v>
      </c>
      <c r="B1935" s="4">
        <v>0</v>
      </c>
    </row>
    <row r="1936" spans="1:2">
      <c r="A1936">
        <v>117</v>
      </c>
      <c r="B1936" t="s">
        <v>41</v>
      </c>
    </row>
    <row r="1937" spans="1:2">
      <c r="A1937">
        <v>117</v>
      </c>
      <c r="B1937" s="4">
        <v>19000000</v>
      </c>
    </row>
    <row r="1938" spans="1:2">
      <c r="A1938">
        <v>117</v>
      </c>
      <c r="B1938" t="s">
        <v>42</v>
      </c>
    </row>
    <row r="1939" spans="1:2">
      <c r="A1939">
        <v>117</v>
      </c>
      <c r="B1939" t="s">
        <v>44</v>
      </c>
    </row>
    <row r="1940" spans="1:2">
      <c r="A1940">
        <v>136</v>
      </c>
      <c r="B1940" t="s">
        <v>27</v>
      </c>
    </row>
    <row r="1941" spans="1:2">
      <c r="A1941">
        <v>136</v>
      </c>
      <c r="B1941" s="2">
        <v>9.3880000000000005E-2</v>
      </c>
    </row>
    <row r="1942" spans="1:2">
      <c r="A1942">
        <v>136</v>
      </c>
      <c r="B1942" t="s">
        <v>1</v>
      </c>
    </row>
    <row r="1943" spans="1:2">
      <c r="A1943">
        <v>136</v>
      </c>
      <c r="B1943">
        <v>-0.36699999999999999</v>
      </c>
    </row>
    <row r="1944" spans="1:2">
      <c r="A1944">
        <v>136</v>
      </c>
      <c r="B1944" t="s">
        <v>28</v>
      </c>
    </row>
    <row r="1945" spans="1:2">
      <c r="A1945">
        <v>136</v>
      </c>
      <c r="B1945">
        <v>459</v>
      </c>
    </row>
    <row r="1946" spans="1:2">
      <c r="A1946">
        <v>136</v>
      </c>
      <c r="B1946" t="s">
        <v>25</v>
      </c>
    </row>
    <row r="1947" spans="1:2">
      <c r="A1947">
        <v>136</v>
      </c>
      <c r="B1947" s="2">
        <v>4.1099999999999998E-2</v>
      </c>
    </row>
    <row r="1948" spans="1:2">
      <c r="A1948">
        <v>136</v>
      </c>
      <c r="B1948" t="s">
        <v>29</v>
      </c>
    </row>
    <row r="1949" spans="1:2">
      <c r="A1949">
        <v>136</v>
      </c>
      <c r="B1949" s="2">
        <v>-7.9299999999999995E-2</v>
      </c>
    </row>
    <row r="1950" spans="1:2">
      <c r="A1950">
        <v>136</v>
      </c>
      <c r="B1950" t="s">
        <v>30</v>
      </c>
    </row>
    <row r="1951" spans="1:2">
      <c r="A1951">
        <v>136</v>
      </c>
      <c r="B1951" s="2">
        <v>-0.46013999999999999</v>
      </c>
    </row>
    <row r="1952" spans="1:2">
      <c r="A1952">
        <v>136</v>
      </c>
      <c r="B1952" t="s">
        <v>8</v>
      </c>
    </row>
    <row r="1953" spans="1:2">
      <c r="A1953">
        <v>136</v>
      </c>
      <c r="B1953" s="2">
        <v>0.59299999999999997</v>
      </c>
    </row>
    <row r="1954" spans="1:2">
      <c r="A1954">
        <v>136</v>
      </c>
      <c r="B1954" t="s">
        <v>31</v>
      </c>
    </row>
    <row r="1955" spans="1:2">
      <c r="A1955">
        <v>136</v>
      </c>
      <c r="B1955">
        <v>-0.29099999999999998</v>
      </c>
    </row>
    <row r="1956" spans="1:2">
      <c r="A1956">
        <v>136</v>
      </c>
      <c r="B1956" t="s">
        <v>32</v>
      </c>
    </row>
    <row r="1957" spans="1:2">
      <c r="A1957">
        <v>136</v>
      </c>
      <c r="B1957" s="2">
        <v>-0.32754</v>
      </c>
    </row>
    <row r="1958" spans="1:2">
      <c r="A1958">
        <v>136</v>
      </c>
      <c r="B1958" t="s">
        <v>33</v>
      </c>
    </row>
    <row r="1959" spans="1:2">
      <c r="A1959">
        <v>136</v>
      </c>
      <c r="B1959" s="3">
        <v>0.53</v>
      </c>
    </row>
    <row r="1960" spans="1:2">
      <c r="A1960">
        <v>136</v>
      </c>
      <c r="B1960" t="s">
        <v>34</v>
      </c>
    </row>
    <row r="1961" spans="1:2">
      <c r="A1961">
        <v>136</v>
      </c>
      <c r="B1961" s="3">
        <v>0.47</v>
      </c>
    </row>
    <row r="1962" spans="1:2">
      <c r="A1962">
        <v>136</v>
      </c>
      <c r="B1962" t="s">
        <v>26</v>
      </c>
    </row>
    <row r="1963" spans="1:2">
      <c r="A1963">
        <v>136</v>
      </c>
      <c r="B1963">
        <v>0.52</v>
      </c>
    </row>
    <row r="1964" spans="1:2">
      <c r="A1964">
        <v>136</v>
      </c>
      <c r="B1964" t="s">
        <v>23</v>
      </c>
    </row>
    <row r="1965" spans="1:2">
      <c r="A1965">
        <v>136</v>
      </c>
      <c r="B1965">
        <v>-0.36</v>
      </c>
    </row>
    <row r="1966" spans="1:2">
      <c r="A1966">
        <v>136</v>
      </c>
      <c r="B1966" t="s">
        <v>24</v>
      </c>
    </row>
    <row r="1967" spans="1:2">
      <c r="A1967">
        <v>136</v>
      </c>
      <c r="B1967">
        <v>2.1549999999999998</v>
      </c>
    </row>
    <row r="1968" spans="1:2">
      <c r="A1968">
        <v>136</v>
      </c>
      <c r="B1968" t="s">
        <v>35</v>
      </c>
    </row>
    <row r="1969" spans="1:2">
      <c r="A1969">
        <v>136</v>
      </c>
      <c r="B1969">
        <v>0.60599999999999998</v>
      </c>
    </row>
    <row r="1970" spans="1:2">
      <c r="A1970">
        <v>136</v>
      </c>
      <c r="B1970" t="s">
        <v>36</v>
      </c>
    </row>
    <row r="1971" spans="1:2">
      <c r="A1971">
        <v>136</v>
      </c>
      <c r="B1971">
        <v>0.36699999999999999</v>
      </c>
    </row>
    <row r="1972" spans="1:2">
      <c r="A1972">
        <v>136</v>
      </c>
      <c r="B1972" t="s">
        <v>37</v>
      </c>
    </row>
    <row r="1973" spans="1:2">
      <c r="A1973">
        <v>136</v>
      </c>
      <c r="B1973">
        <v>-0.48199999999999998</v>
      </c>
    </row>
    <row r="1974" spans="1:2">
      <c r="A1974">
        <v>136</v>
      </c>
      <c r="B1974" t="s">
        <v>38</v>
      </c>
    </row>
    <row r="1975" spans="1:2">
      <c r="A1975">
        <v>136</v>
      </c>
      <c r="B1975">
        <v>0.59299999999999997</v>
      </c>
    </row>
    <row r="1976" spans="1:2">
      <c r="A1976">
        <v>136</v>
      </c>
      <c r="B1976" t="s">
        <v>39</v>
      </c>
    </row>
    <row r="1977" spans="1:2">
      <c r="A1977">
        <v>136</v>
      </c>
      <c r="B1977">
        <v>-0.10299999999999999</v>
      </c>
    </row>
    <row r="1978" spans="1:2">
      <c r="A1978">
        <v>136</v>
      </c>
      <c r="B1978" t="s">
        <v>40</v>
      </c>
    </row>
    <row r="1979" spans="1:2">
      <c r="A1979">
        <v>136</v>
      </c>
      <c r="B1979" s="4">
        <v>0</v>
      </c>
    </row>
    <row r="1980" spans="1:2">
      <c r="A1980">
        <v>136</v>
      </c>
      <c r="B1980" t="s">
        <v>41</v>
      </c>
    </row>
    <row r="1981" spans="1:2">
      <c r="A1981">
        <v>136</v>
      </c>
      <c r="B1981" s="4">
        <v>19000000</v>
      </c>
    </row>
    <row r="1982" spans="1:2">
      <c r="A1982">
        <v>136</v>
      </c>
      <c r="B1982" t="s">
        <v>42</v>
      </c>
    </row>
    <row r="1983" spans="1:2">
      <c r="A1983">
        <v>136</v>
      </c>
      <c r="B1983" t="s">
        <v>44</v>
      </c>
    </row>
    <row r="1984" spans="1:2">
      <c r="A1984">
        <v>137</v>
      </c>
      <c r="B1984" t="s">
        <v>27</v>
      </c>
    </row>
    <row r="1985" spans="1:2">
      <c r="A1985">
        <v>137</v>
      </c>
      <c r="B1985" s="2">
        <v>9.3880000000000005E-2</v>
      </c>
    </row>
    <row r="1986" spans="1:2">
      <c r="A1986">
        <v>137</v>
      </c>
      <c r="B1986" t="s">
        <v>1</v>
      </c>
    </row>
    <row r="1987" spans="1:2">
      <c r="A1987">
        <v>137</v>
      </c>
      <c r="B1987">
        <v>-0.36699999999999999</v>
      </c>
    </row>
    <row r="1988" spans="1:2">
      <c r="A1988">
        <v>137</v>
      </c>
      <c r="B1988" t="s">
        <v>28</v>
      </c>
    </row>
    <row r="1989" spans="1:2">
      <c r="A1989">
        <v>137</v>
      </c>
      <c r="B1989">
        <v>459</v>
      </c>
    </row>
    <row r="1990" spans="1:2">
      <c r="A1990">
        <v>137</v>
      </c>
      <c r="B1990" t="s">
        <v>25</v>
      </c>
    </row>
    <row r="1991" spans="1:2">
      <c r="A1991">
        <v>137</v>
      </c>
      <c r="B1991" s="2">
        <v>4.1099999999999998E-2</v>
      </c>
    </row>
    <row r="1992" spans="1:2">
      <c r="A1992">
        <v>137</v>
      </c>
      <c r="B1992" t="s">
        <v>29</v>
      </c>
    </row>
    <row r="1993" spans="1:2">
      <c r="A1993">
        <v>137</v>
      </c>
      <c r="B1993" s="2">
        <v>-7.9299999999999995E-2</v>
      </c>
    </row>
    <row r="1994" spans="1:2">
      <c r="A1994">
        <v>137</v>
      </c>
      <c r="B1994" t="s">
        <v>30</v>
      </c>
    </row>
    <row r="1995" spans="1:2">
      <c r="A1995">
        <v>137</v>
      </c>
      <c r="B1995" s="2">
        <v>-0.46013999999999999</v>
      </c>
    </row>
    <row r="1996" spans="1:2">
      <c r="A1996">
        <v>137</v>
      </c>
      <c r="B1996" t="s">
        <v>8</v>
      </c>
    </row>
    <row r="1997" spans="1:2">
      <c r="A1997">
        <v>137</v>
      </c>
      <c r="B1997" s="2">
        <v>0.59299999999999997</v>
      </c>
    </row>
    <row r="1998" spans="1:2">
      <c r="A1998">
        <v>137</v>
      </c>
      <c r="B1998" t="s">
        <v>31</v>
      </c>
    </row>
    <row r="1999" spans="1:2">
      <c r="A1999">
        <v>137</v>
      </c>
      <c r="B1999">
        <v>-0.29099999999999998</v>
      </c>
    </row>
    <row r="2000" spans="1:2">
      <c r="A2000">
        <v>137</v>
      </c>
      <c r="B2000" t="s">
        <v>32</v>
      </c>
    </row>
    <row r="2001" spans="1:2">
      <c r="A2001">
        <v>137</v>
      </c>
      <c r="B2001" s="2">
        <v>-0.32754</v>
      </c>
    </row>
    <row r="2002" spans="1:2">
      <c r="A2002">
        <v>137</v>
      </c>
      <c r="B2002" t="s">
        <v>33</v>
      </c>
    </row>
    <row r="2003" spans="1:2">
      <c r="A2003">
        <v>137</v>
      </c>
      <c r="B2003" s="3">
        <v>0.53</v>
      </c>
    </row>
    <row r="2004" spans="1:2">
      <c r="A2004">
        <v>137</v>
      </c>
      <c r="B2004" t="s">
        <v>34</v>
      </c>
    </row>
    <row r="2005" spans="1:2">
      <c r="A2005">
        <v>137</v>
      </c>
      <c r="B2005" s="3">
        <v>0.47</v>
      </c>
    </row>
    <row r="2006" spans="1:2">
      <c r="A2006">
        <v>137</v>
      </c>
      <c r="B2006" t="s">
        <v>26</v>
      </c>
    </row>
    <row r="2007" spans="1:2">
      <c r="A2007">
        <v>137</v>
      </c>
      <c r="B2007">
        <v>0.52</v>
      </c>
    </row>
    <row r="2008" spans="1:2">
      <c r="A2008">
        <v>137</v>
      </c>
      <c r="B2008" t="s">
        <v>23</v>
      </c>
    </row>
    <row r="2009" spans="1:2">
      <c r="A2009">
        <v>137</v>
      </c>
      <c r="B2009">
        <v>-0.36</v>
      </c>
    </row>
    <row r="2010" spans="1:2">
      <c r="A2010">
        <v>137</v>
      </c>
      <c r="B2010" t="s">
        <v>24</v>
      </c>
    </row>
    <row r="2011" spans="1:2">
      <c r="A2011">
        <v>137</v>
      </c>
      <c r="B2011">
        <v>2.1549999999999998</v>
      </c>
    </row>
    <row r="2012" spans="1:2">
      <c r="A2012">
        <v>137</v>
      </c>
      <c r="B2012" t="s">
        <v>35</v>
      </c>
    </row>
    <row r="2013" spans="1:2">
      <c r="A2013">
        <v>137</v>
      </c>
      <c r="B2013">
        <v>0.60599999999999998</v>
      </c>
    </row>
    <row r="2014" spans="1:2">
      <c r="A2014">
        <v>137</v>
      </c>
      <c r="B2014" t="s">
        <v>36</v>
      </c>
    </row>
    <row r="2015" spans="1:2">
      <c r="A2015">
        <v>137</v>
      </c>
      <c r="B2015">
        <v>0.36699999999999999</v>
      </c>
    </row>
    <row r="2016" spans="1:2">
      <c r="A2016">
        <v>137</v>
      </c>
      <c r="B2016" t="s">
        <v>37</v>
      </c>
    </row>
    <row r="2017" spans="1:2">
      <c r="A2017">
        <v>137</v>
      </c>
      <c r="B2017">
        <v>-0.48199999999999998</v>
      </c>
    </row>
    <row r="2018" spans="1:2">
      <c r="A2018">
        <v>137</v>
      </c>
      <c r="B2018" t="s">
        <v>38</v>
      </c>
    </row>
    <row r="2019" spans="1:2">
      <c r="A2019">
        <v>137</v>
      </c>
      <c r="B2019">
        <v>0.59299999999999997</v>
      </c>
    </row>
    <row r="2020" spans="1:2">
      <c r="A2020">
        <v>137</v>
      </c>
      <c r="B2020" t="s">
        <v>39</v>
      </c>
    </row>
    <row r="2021" spans="1:2">
      <c r="A2021">
        <v>137</v>
      </c>
      <c r="B2021">
        <v>-0.10299999999999999</v>
      </c>
    </row>
    <row r="2022" spans="1:2">
      <c r="A2022">
        <v>137</v>
      </c>
      <c r="B2022" t="s">
        <v>40</v>
      </c>
    </row>
    <row r="2023" spans="1:2">
      <c r="A2023">
        <v>137</v>
      </c>
      <c r="B2023" s="4">
        <v>0</v>
      </c>
    </row>
    <row r="2024" spans="1:2">
      <c r="A2024">
        <v>137</v>
      </c>
      <c r="B2024" t="s">
        <v>41</v>
      </c>
    </row>
    <row r="2025" spans="1:2">
      <c r="A2025">
        <v>137</v>
      </c>
      <c r="B2025" s="4">
        <v>19000000</v>
      </c>
    </row>
    <row r="2026" spans="1:2">
      <c r="A2026">
        <v>137</v>
      </c>
      <c r="B2026" t="s">
        <v>42</v>
      </c>
    </row>
    <row r="2027" spans="1:2">
      <c r="A2027">
        <v>137</v>
      </c>
      <c r="B2027" t="s">
        <v>44</v>
      </c>
    </row>
    <row r="2028" spans="1:2">
      <c r="A2028">
        <v>138</v>
      </c>
      <c r="B2028" t="s">
        <v>27</v>
      </c>
    </row>
    <row r="2029" spans="1:2">
      <c r="A2029">
        <v>138</v>
      </c>
      <c r="B2029" s="2">
        <v>9.3880000000000005E-2</v>
      </c>
    </row>
    <row r="2030" spans="1:2">
      <c r="A2030">
        <v>138</v>
      </c>
      <c r="B2030" t="s">
        <v>1</v>
      </c>
    </row>
    <row r="2031" spans="1:2">
      <c r="A2031">
        <v>138</v>
      </c>
      <c r="B2031">
        <v>-0.36699999999999999</v>
      </c>
    </row>
    <row r="2032" spans="1:2">
      <c r="A2032">
        <v>138</v>
      </c>
      <c r="B2032" t="s">
        <v>28</v>
      </c>
    </row>
    <row r="2033" spans="1:2">
      <c r="A2033">
        <v>138</v>
      </c>
      <c r="B2033">
        <v>459</v>
      </c>
    </row>
    <row r="2034" spans="1:2">
      <c r="A2034">
        <v>138</v>
      </c>
      <c r="B2034" t="s">
        <v>25</v>
      </c>
    </row>
    <row r="2035" spans="1:2">
      <c r="A2035">
        <v>138</v>
      </c>
      <c r="B2035" s="2">
        <v>4.1099999999999998E-2</v>
      </c>
    </row>
    <row r="2036" spans="1:2">
      <c r="A2036">
        <v>138</v>
      </c>
      <c r="B2036" t="s">
        <v>29</v>
      </c>
    </row>
    <row r="2037" spans="1:2">
      <c r="A2037">
        <v>138</v>
      </c>
      <c r="B2037" s="2">
        <v>-7.9299999999999995E-2</v>
      </c>
    </row>
    <row r="2038" spans="1:2">
      <c r="A2038">
        <v>138</v>
      </c>
      <c r="B2038" t="s">
        <v>30</v>
      </c>
    </row>
    <row r="2039" spans="1:2">
      <c r="A2039">
        <v>138</v>
      </c>
      <c r="B2039" s="2">
        <v>-0.46013999999999999</v>
      </c>
    </row>
    <row r="2040" spans="1:2">
      <c r="A2040">
        <v>138</v>
      </c>
      <c r="B2040" t="s">
        <v>8</v>
      </c>
    </row>
    <row r="2041" spans="1:2">
      <c r="A2041">
        <v>138</v>
      </c>
      <c r="B2041" s="2">
        <v>0.59299999999999997</v>
      </c>
    </row>
    <row r="2042" spans="1:2">
      <c r="A2042">
        <v>138</v>
      </c>
      <c r="B2042" t="s">
        <v>31</v>
      </c>
    </row>
    <row r="2043" spans="1:2">
      <c r="A2043">
        <v>138</v>
      </c>
      <c r="B2043">
        <v>-0.29099999999999998</v>
      </c>
    </row>
    <row r="2044" spans="1:2">
      <c r="A2044">
        <v>138</v>
      </c>
      <c r="B2044" t="s">
        <v>32</v>
      </c>
    </row>
    <row r="2045" spans="1:2">
      <c r="A2045">
        <v>138</v>
      </c>
      <c r="B2045" s="2">
        <v>-0.32754</v>
      </c>
    </row>
    <row r="2046" spans="1:2">
      <c r="A2046">
        <v>138</v>
      </c>
      <c r="B2046" t="s">
        <v>33</v>
      </c>
    </row>
    <row r="2047" spans="1:2">
      <c r="A2047">
        <v>138</v>
      </c>
      <c r="B2047" s="3">
        <v>0.53</v>
      </c>
    </row>
    <row r="2048" spans="1:2">
      <c r="A2048">
        <v>138</v>
      </c>
      <c r="B2048" t="s">
        <v>34</v>
      </c>
    </row>
    <row r="2049" spans="1:2">
      <c r="A2049">
        <v>138</v>
      </c>
      <c r="B2049" s="3">
        <v>0.47</v>
      </c>
    </row>
    <row r="2050" spans="1:2">
      <c r="A2050">
        <v>138</v>
      </c>
      <c r="B2050" t="s">
        <v>26</v>
      </c>
    </row>
    <row r="2051" spans="1:2">
      <c r="A2051">
        <v>138</v>
      </c>
      <c r="B2051">
        <v>0.52</v>
      </c>
    </row>
    <row r="2052" spans="1:2">
      <c r="A2052">
        <v>138</v>
      </c>
      <c r="B2052" t="s">
        <v>23</v>
      </c>
    </row>
    <row r="2053" spans="1:2">
      <c r="A2053">
        <v>138</v>
      </c>
      <c r="B2053">
        <v>-0.36</v>
      </c>
    </row>
    <row r="2054" spans="1:2">
      <c r="A2054">
        <v>138</v>
      </c>
      <c r="B2054" t="s">
        <v>24</v>
      </c>
    </row>
    <row r="2055" spans="1:2">
      <c r="A2055">
        <v>138</v>
      </c>
      <c r="B2055">
        <v>2.1549999999999998</v>
      </c>
    </row>
    <row r="2056" spans="1:2">
      <c r="A2056">
        <v>138</v>
      </c>
      <c r="B2056" t="s">
        <v>35</v>
      </c>
    </row>
    <row r="2057" spans="1:2">
      <c r="A2057">
        <v>138</v>
      </c>
      <c r="B2057">
        <v>0.60599999999999998</v>
      </c>
    </row>
    <row r="2058" spans="1:2">
      <c r="A2058">
        <v>138</v>
      </c>
      <c r="B2058" t="s">
        <v>36</v>
      </c>
    </row>
    <row r="2059" spans="1:2">
      <c r="A2059">
        <v>138</v>
      </c>
      <c r="B2059">
        <v>0.36699999999999999</v>
      </c>
    </row>
    <row r="2060" spans="1:2">
      <c r="A2060">
        <v>138</v>
      </c>
      <c r="B2060" t="s">
        <v>37</v>
      </c>
    </row>
    <row r="2061" spans="1:2">
      <c r="A2061">
        <v>138</v>
      </c>
      <c r="B2061">
        <v>-0.48199999999999998</v>
      </c>
    </row>
    <row r="2062" spans="1:2">
      <c r="A2062">
        <v>138</v>
      </c>
      <c r="B2062" t="s">
        <v>38</v>
      </c>
    </row>
    <row r="2063" spans="1:2">
      <c r="A2063">
        <v>138</v>
      </c>
      <c r="B2063">
        <v>0.59299999999999997</v>
      </c>
    </row>
    <row r="2064" spans="1:2">
      <c r="A2064">
        <v>138</v>
      </c>
      <c r="B2064" t="s">
        <v>39</v>
      </c>
    </row>
    <row r="2065" spans="1:2">
      <c r="A2065">
        <v>138</v>
      </c>
      <c r="B2065">
        <v>-0.10299999999999999</v>
      </c>
    </row>
    <row r="2066" spans="1:2">
      <c r="A2066">
        <v>138</v>
      </c>
      <c r="B2066" t="s">
        <v>40</v>
      </c>
    </row>
    <row r="2067" spans="1:2">
      <c r="A2067">
        <v>138</v>
      </c>
      <c r="B2067" s="4">
        <v>0</v>
      </c>
    </row>
    <row r="2068" spans="1:2">
      <c r="A2068">
        <v>138</v>
      </c>
      <c r="B2068" t="s">
        <v>41</v>
      </c>
    </row>
    <row r="2069" spans="1:2">
      <c r="A2069">
        <v>138</v>
      </c>
      <c r="B2069" s="4">
        <v>19000000</v>
      </c>
    </row>
    <row r="2070" spans="1:2">
      <c r="A2070">
        <v>138</v>
      </c>
      <c r="B2070" t="s">
        <v>42</v>
      </c>
    </row>
    <row r="2071" spans="1:2">
      <c r="A2071">
        <v>138</v>
      </c>
      <c r="B2071" t="s">
        <v>44</v>
      </c>
    </row>
    <row r="2072" spans="1:2">
      <c r="A2072">
        <v>139</v>
      </c>
      <c r="B2072" t="s">
        <v>27</v>
      </c>
    </row>
    <row r="2073" spans="1:2">
      <c r="A2073">
        <v>139</v>
      </c>
      <c r="B2073" s="2">
        <v>9.3880000000000005E-2</v>
      </c>
    </row>
    <row r="2074" spans="1:2">
      <c r="A2074">
        <v>139</v>
      </c>
      <c r="B2074" t="s">
        <v>1</v>
      </c>
    </row>
    <row r="2075" spans="1:2">
      <c r="A2075">
        <v>139</v>
      </c>
      <c r="B2075">
        <v>-0.36699999999999999</v>
      </c>
    </row>
    <row r="2076" spans="1:2">
      <c r="A2076">
        <v>139</v>
      </c>
      <c r="B2076" t="s">
        <v>28</v>
      </c>
    </row>
    <row r="2077" spans="1:2">
      <c r="A2077">
        <v>139</v>
      </c>
      <c r="B2077">
        <v>459</v>
      </c>
    </row>
    <row r="2078" spans="1:2">
      <c r="A2078">
        <v>139</v>
      </c>
      <c r="B2078" t="s">
        <v>25</v>
      </c>
    </row>
    <row r="2079" spans="1:2">
      <c r="A2079">
        <v>139</v>
      </c>
      <c r="B2079" s="2">
        <v>4.1099999999999998E-2</v>
      </c>
    </row>
    <row r="2080" spans="1:2">
      <c r="A2080">
        <v>139</v>
      </c>
      <c r="B2080" t="s">
        <v>29</v>
      </c>
    </row>
    <row r="2081" spans="1:2">
      <c r="A2081">
        <v>139</v>
      </c>
      <c r="B2081" s="2">
        <v>-7.9299999999999995E-2</v>
      </c>
    </row>
    <row r="2082" spans="1:2">
      <c r="A2082">
        <v>139</v>
      </c>
      <c r="B2082" t="s">
        <v>30</v>
      </c>
    </row>
    <row r="2083" spans="1:2">
      <c r="A2083">
        <v>139</v>
      </c>
      <c r="B2083" s="2">
        <v>-0.46013999999999999</v>
      </c>
    </row>
    <row r="2084" spans="1:2">
      <c r="A2084">
        <v>139</v>
      </c>
      <c r="B2084" t="s">
        <v>8</v>
      </c>
    </row>
    <row r="2085" spans="1:2">
      <c r="A2085">
        <v>139</v>
      </c>
      <c r="B2085" s="2">
        <v>0.59299999999999997</v>
      </c>
    </row>
    <row r="2086" spans="1:2">
      <c r="A2086">
        <v>139</v>
      </c>
      <c r="B2086" t="s">
        <v>31</v>
      </c>
    </row>
    <row r="2087" spans="1:2">
      <c r="A2087">
        <v>139</v>
      </c>
      <c r="B2087">
        <v>-0.29099999999999998</v>
      </c>
    </row>
    <row r="2088" spans="1:2">
      <c r="A2088">
        <v>139</v>
      </c>
      <c r="B2088" t="s">
        <v>32</v>
      </c>
    </row>
    <row r="2089" spans="1:2">
      <c r="A2089">
        <v>139</v>
      </c>
      <c r="B2089" s="2">
        <v>-0.32754</v>
      </c>
    </row>
    <row r="2090" spans="1:2">
      <c r="A2090">
        <v>139</v>
      </c>
      <c r="B2090" t="s">
        <v>33</v>
      </c>
    </row>
    <row r="2091" spans="1:2">
      <c r="A2091">
        <v>139</v>
      </c>
      <c r="B2091" s="3">
        <v>0.53</v>
      </c>
    </row>
    <row r="2092" spans="1:2">
      <c r="A2092">
        <v>139</v>
      </c>
      <c r="B2092" t="s">
        <v>34</v>
      </c>
    </row>
    <row r="2093" spans="1:2">
      <c r="A2093">
        <v>139</v>
      </c>
      <c r="B2093" s="3">
        <v>0.47</v>
      </c>
    </row>
    <row r="2094" spans="1:2">
      <c r="A2094">
        <v>139</v>
      </c>
      <c r="B2094" t="s">
        <v>26</v>
      </c>
    </row>
    <row r="2095" spans="1:2">
      <c r="A2095">
        <v>139</v>
      </c>
      <c r="B2095">
        <v>0.52</v>
      </c>
    </row>
    <row r="2096" spans="1:2">
      <c r="A2096">
        <v>139</v>
      </c>
      <c r="B2096" t="s">
        <v>23</v>
      </c>
    </row>
    <row r="2097" spans="1:2">
      <c r="A2097">
        <v>139</v>
      </c>
      <c r="B2097">
        <v>-0.36</v>
      </c>
    </row>
    <row r="2098" spans="1:2">
      <c r="A2098">
        <v>139</v>
      </c>
      <c r="B2098" t="s">
        <v>24</v>
      </c>
    </row>
    <row r="2099" spans="1:2">
      <c r="A2099">
        <v>139</v>
      </c>
      <c r="B2099">
        <v>2.1549999999999998</v>
      </c>
    </row>
    <row r="2100" spans="1:2">
      <c r="A2100">
        <v>139</v>
      </c>
      <c r="B2100" t="s">
        <v>35</v>
      </c>
    </row>
    <row r="2101" spans="1:2">
      <c r="A2101">
        <v>139</v>
      </c>
      <c r="B2101">
        <v>0.60599999999999998</v>
      </c>
    </row>
    <row r="2102" spans="1:2">
      <c r="A2102">
        <v>139</v>
      </c>
      <c r="B2102" t="s">
        <v>36</v>
      </c>
    </row>
    <row r="2103" spans="1:2">
      <c r="A2103">
        <v>139</v>
      </c>
      <c r="B2103">
        <v>0.36699999999999999</v>
      </c>
    </row>
    <row r="2104" spans="1:2">
      <c r="A2104">
        <v>139</v>
      </c>
      <c r="B2104" t="s">
        <v>37</v>
      </c>
    </row>
    <row r="2105" spans="1:2">
      <c r="A2105">
        <v>139</v>
      </c>
      <c r="B2105">
        <v>-0.48199999999999998</v>
      </c>
    </row>
    <row r="2106" spans="1:2">
      <c r="A2106">
        <v>139</v>
      </c>
      <c r="B2106" t="s">
        <v>38</v>
      </c>
    </row>
    <row r="2107" spans="1:2">
      <c r="A2107">
        <v>139</v>
      </c>
      <c r="B2107">
        <v>0.59299999999999997</v>
      </c>
    </row>
    <row r="2108" spans="1:2">
      <c r="A2108">
        <v>139</v>
      </c>
      <c r="B2108" t="s">
        <v>39</v>
      </c>
    </row>
    <row r="2109" spans="1:2">
      <c r="A2109">
        <v>139</v>
      </c>
      <c r="B2109">
        <v>-0.10299999999999999</v>
      </c>
    </row>
    <row r="2110" spans="1:2">
      <c r="A2110">
        <v>139</v>
      </c>
      <c r="B2110" t="s">
        <v>40</v>
      </c>
    </row>
    <row r="2111" spans="1:2">
      <c r="A2111">
        <v>139</v>
      </c>
      <c r="B2111" s="4">
        <v>0</v>
      </c>
    </row>
    <row r="2112" spans="1:2">
      <c r="A2112">
        <v>139</v>
      </c>
      <c r="B2112" t="s">
        <v>41</v>
      </c>
    </row>
    <row r="2113" spans="1:2">
      <c r="A2113">
        <v>139</v>
      </c>
      <c r="B2113" s="4">
        <v>19000000</v>
      </c>
    </row>
    <row r="2114" spans="1:2">
      <c r="A2114">
        <v>139</v>
      </c>
      <c r="B2114" t="s">
        <v>42</v>
      </c>
    </row>
    <row r="2115" spans="1:2">
      <c r="A2115">
        <v>139</v>
      </c>
      <c r="B2115" t="s">
        <v>44</v>
      </c>
    </row>
    <row r="2116" spans="1:2">
      <c r="A2116">
        <v>140</v>
      </c>
      <c r="B2116" t="s">
        <v>27</v>
      </c>
    </row>
    <row r="2117" spans="1:2">
      <c r="A2117">
        <v>140</v>
      </c>
      <c r="B2117" s="2">
        <v>9.3880000000000005E-2</v>
      </c>
    </row>
    <row r="2118" spans="1:2">
      <c r="A2118">
        <v>140</v>
      </c>
      <c r="B2118" t="s">
        <v>1</v>
      </c>
    </row>
    <row r="2119" spans="1:2">
      <c r="A2119">
        <v>140</v>
      </c>
      <c r="B2119">
        <v>-0.36699999999999999</v>
      </c>
    </row>
    <row r="2120" spans="1:2">
      <c r="A2120">
        <v>140</v>
      </c>
      <c r="B2120" t="s">
        <v>28</v>
      </c>
    </row>
    <row r="2121" spans="1:2">
      <c r="A2121">
        <v>140</v>
      </c>
      <c r="B2121">
        <v>459</v>
      </c>
    </row>
    <row r="2122" spans="1:2">
      <c r="A2122">
        <v>140</v>
      </c>
      <c r="B2122" t="s">
        <v>25</v>
      </c>
    </row>
    <row r="2123" spans="1:2">
      <c r="A2123">
        <v>140</v>
      </c>
      <c r="B2123" s="2">
        <v>4.1099999999999998E-2</v>
      </c>
    </row>
    <row r="2124" spans="1:2">
      <c r="A2124">
        <v>140</v>
      </c>
      <c r="B2124" t="s">
        <v>29</v>
      </c>
    </row>
    <row r="2125" spans="1:2">
      <c r="A2125">
        <v>140</v>
      </c>
      <c r="B2125" s="2">
        <v>-7.9299999999999995E-2</v>
      </c>
    </row>
    <row r="2126" spans="1:2">
      <c r="A2126">
        <v>140</v>
      </c>
      <c r="B2126" t="s">
        <v>30</v>
      </c>
    </row>
    <row r="2127" spans="1:2">
      <c r="A2127">
        <v>140</v>
      </c>
      <c r="B2127" s="2">
        <v>-0.46013999999999999</v>
      </c>
    </row>
    <row r="2128" spans="1:2">
      <c r="A2128">
        <v>140</v>
      </c>
      <c r="B2128" t="s">
        <v>8</v>
      </c>
    </row>
    <row r="2129" spans="1:2">
      <c r="A2129">
        <v>140</v>
      </c>
      <c r="B2129" s="2">
        <v>0.59299999999999997</v>
      </c>
    </row>
    <row r="2130" spans="1:2">
      <c r="A2130">
        <v>140</v>
      </c>
      <c r="B2130" t="s">
        <v>31</v>
      </c>
    </row>
    <row r="2131" spans="1:2">
      <c r="A2131">
        <v>140</v>
      </c>
      <c r="B2131">
        <v>-0.29099999999999998</v>
      </c>
    </row>
    <row r="2132" spans="1:2">
      <c r="A2132">
        <v>140</v>
      </c>
      <c r="B2132" t="s">
        <v>32</v>
      </c>
    </row>
    <row r="2133" spans="1:2">
      <c r="A2133">
        <v>140</v>
      </c>
      <c r="B2133" s="2">
        <v>-0.32754</v>
      </c>
    </row>
    <row r="2134" spans="1:2">
      <c r="A2134">
        <v>140</v>
      </c>
      <c r="B2134" t="s">
        <v>33</v>
      </c>
    </row>
    <row r="2135" spans="1:2">
      <c r="A2135">
        <v>140</v>
      </c>
      <c r="B2135" s="3">
        <v>0.53</v>
      </c>
    </row>
    <row r="2136" spans="1:2">
      <c r="A2136">
        <v>140</v>
      </c>
      <c r="B2136" t="s">
        <v>34</v>
      </c>
    </row>
    <row r="2137" spans="1:2">
      <c r="A2137">
        <v>140</v>
      </c>
      <c r="B2137" s="3">
        <v>0.47</v>
      </c>
    </row>
    <row r="2138" spans="1:2">
      <c r="A2138">
        <v>140</v>
      </c>
      <c r="B2138" t="s">
        <v>26</v>
      </c>
    </row>
    <row r="2139" spans="1:2">
      <c r="A2139">
        <v>140</v>
      </c>
      <c r="B2139">
        <v>0.52</v>
      </c>
    </row>
    <row r="2140" spans="1:2">
      <c r="A2140">
        <v>140</v>
      </c>
      <c r="B2140" t="s">
        <v>23</v>
      </c>
    </row>
    <row r="2141" spans="1:2">
      <c r="A2141">
        <v>140</v>
      </c>
      <c r="B2141">
        <v>-0.36</v>
      </c>
    </row>
    <row r="2142" spans="1:2">
      <c r="A2142">
        <v>140</v>
      </c>
      <c r="B2142" t="s">
        <v>24</v>
      </c>
    </row>
    <row r="2143" spans="1:2">
      <c r="A2143">
        <v>140</v>
      </c>
      <c r="B2143">
        <v>2.1549999999999998</v>
      </c>
    </row>
    <row r="2144" spans="1:2">
      <c r="A2144">
        <v>140</v>
      </c>
      <c r="B2144" t="s">
        <v>35</v>
      </c>
    </row>
    <row r="2145" spans="1:2">
      <c r="A2145">
        <v>140</v>
      </c>
      <c r="B2145">
        <v>0.60599999999999998</v>
      </c>
    </row>
    <row r="2146" spans="1:2">
      <c r="A2146">
        <v>140</v>
      </c>
      <c r="B2146" t="s">
        <v>36</v>
      </c>
    </row>
    <row r="2147" spans="1:2">
      <c r="A2147">
        <v>140</v>
      </c>
      <c r="B2147">
        <v>0.36699999999999999</v>
      </c>
    </row>
    <row r="2148" spans="1:2">
      <c r="A2148">
        <v>140</v>
      </c>
      <c r="B2148" t="s">
        <v>37</v>
      </c>
    </row>
    <row r="2149" spans="1:2">
      <c r="A2149">
        <v>140</v>
      </c>
      <c r="B2149">
        <v>-0.48199999999999998</v>
      </c>
    </row>
    <row r="2150" spans="1:2">
      <c r="A2150">
        <v>140</v>
      </c>
      <c r="B2150" t="s">
        <v>38</v>
      </c>
    </row>
    <row r="2151" spans="1:2">
      <c r="A2151">
        <v>140</v>
      </c>
      <c r="B2151">
        <v>0.59299999999999997</v>
      </c>
    </row>
    <row r="2152" spans="1:2">
      <c r="A2152">
        <v>140</v>
      </c>
      <c r="B2152" t="s">
        <v>39</v>
      </c>
    </row>
    <row r="2153" spans="1:2">
      <c r="A2153">
        <v>140</v>
      </c>
      <c r="B2153">
        <v>-0.10299999999999999</v>
      </c>
    </row>
    <row r="2154" spans="1:2">
      <c r="A2154">
        <v>140</v>
      </c>
      <c r="B2154" t="s">
        <v>40</v>
      </c>
    </row>
    <row r="2155" spans="1:2">
      <c r="A2155">
        <v>140</v>
      </c>
      <c r="B2155" s="4">
        <v>0</v>
      </c>
    </row>
    <row r="2156" spans="1:2">
      <c r="A2156">
        <v>140</v>
      </c>
      <c r="B2156" t="s">
        <v>41</v>
      </c>
    </row>
    <row r="2157" spans="1:2">
      <c r="A2157">
        <v>140</v>
      </c>
      <c r="B2157" s="4">
        <v>19000000</v>
      </c>
    </row>
    <row r="2158" spans="1:2">
      <c r="A2158">
        <v>140</v>
      </c>
      <c r="B2158" t="s">
        <v>42</v>
      </c>
    </row>
    <row r="2159" spans="1:2">
      <c r="A2159">
        <v>140</v>
      </c>
      <c r="B2159" t="s">
        <v>44</v>
      </c>
    </row>
    <row r="2160" spans="1:2">
      <c r="A2160">
        <v>141</v>
      </c>
      <c r="B2160" t="s">
        <v>27</v>
      </c>
    </row>
    <row r="2161" spans="1:2">
      <c r="A2161">
        <v>141</v>
      </c>
      <c r="B2161" s="2">
        <v>9.3880000000000005E-2</v>
      </c>
    </row>
    <row r="2162" spans="1:2">
      <c r="A2162">
        <v>141</v>
      </c>
      <c r="B2162" t="s">
        <v>1</v>
      </c>
    </row>
    <row r="2163" spans="1:2">
      <c r="A2163">
        <v>141</v>
      </c>
      <c r="B2163">
        <v>-0.36699999999999999</v>
      </c>
    </row>
    <row r="2164" spans="1:2">
      <c r="A2164">
        <v>141</v>
      </c>
      <c r="B2164" t="s">
        <v>28</v>
      </c>
    </row>
    <row r="2165" spans="1:2">
      <c r="A2165">
        <v>141</v>
      </c>
      <c r="B2165">
        <v>459</v>
      </c>
    </row>
    <row r="2166" spans="1:2">
      <c r="A2166">
        <v>141</v>
      </c>
      <c r="B2166" t="s">
        <v>25</v>
      </c>
    </row>
    <row r="2167" spans="1:2">
      <c r="A2167">
        <v>141</v>
      </c>
      <c r="B2167" s="2">
        <v>4.1099999999999998E-2</v>
      </c>
    </row>
    <row r="2168" spans="1:2">
      <c r="A2168">
        <v>141</v>
      </c>
      <c r="B2168" t="s">
        <v>29</v>
      </c>
    </row>
    <row r="2169" spans="1:2">
      <c r="A2169">
        <v>141</v>
      </c>
      <c r="B2169" s="2">
        <v>-7.9299999999999995E-2</v>
      </c>
    </row>
    <row r="2170" spans="1:2">
      <c r="A2170">
        <v>141</v>
      </c>
      <c r="B2170" t="s">
        <v>30</v>
      </c>
    </row>
    <row r="2171" spans="1:2">
      <c r="A2171">
        <v>141</v>
      </c>
      <c r="B2171" s="2">
        <v>-0.46013999999999999</v>
      </c>
    </row>
    <row r="2172" spans="1:2">
      <c r="A2172">
        <v>141</v>
      </c>
      <c r="B2172" t="s">
        <v>8</v>
      </c>
    </row>
    <row r="2173" spans="1:2">
      <c r="A2173">
        <v>141</v>
      </c>
      <c r="B2173" s="2">
        <v>0.59299999999999997</v>
      </c>
    </row>
    <row r="2174" spans="1:2">
      <c r="A2174">
        <v>141</v>
      </c>
      <c r="B2174" t="s">
        <v>31</v>
      </c>
    </row>
    <row r="2175" spans="1:2">
      <c r="A2175">
        <v>141</v>
      </c>
      <c r="B2175">
        <v>-0.29099999999999998</v>
      </c>
    </row>
    <row r="2176" spans="1:2">
      <c r="A2176">
        <v>141</v>
      </c>
      <c r="B2176" t="s">
        <v>32</v>
      </c>
    </row>
    <row r="2177" spans="1:2">
      <c r="A2177">
        <v>141</v>
      </c>
      <c r="B2177" s="2">
        <v>-0.32754</v>
      </c>
    </row>
    <row r="2178" spans="1:2">
      <c r="A2178">
        <v>141</v>
      </c>
      <c r="B2178" t="s">
        <v>33</v>
      </c>
    </row>
    <row r="2179" spans="1:2">
      <c r="A2179">
        <v>141</v>
      </c>
      <c r="B2179" s="3">
        <v>0.53</v>
      </c>
    </row>
    <row r="2180" spans="1:2">
      <c r="A2180">
        <v>141</v>
      </c>
      <c r="B2180" t="s">
        <v>34</v>
      </c>
    </row>
    <row r="2181" spans="1:2">
      <c r="A2181">
        <v>141</v>
      </c>
      <c r="B2181" s="3">
        <v>0.47</v>
      </c>
    </row>
    <row r="2182" spans="1:2">
      <c r="A2182">
        <v>141</v>
      </c>
      <c r="B2182" t="s">
        <v>26</v>
      </c>
    </row>
    <row r="2183" spans="1:2">
      <c r="A2183">
        <v>141</v>
      </c>
      <c r="B2183">
        <v>0.52</v>
      </c>
    </row>
    <row r="2184" spans="1:2">
      <c r="A2184">
        <v>141</v>
      </c>
      <c r="B2184" t="s">
        <v>23</v>
      </c>
    </row>
    <row r="2185" spans="1:2">
      <c r="A2185">
        <v>141</v>
      </c>
      <c r="B2185">
        <v>-0.36</v>
      </c>
    </row>
    <row r="2186" spans="1:2">
      <c r="A2186">
        <v>141</v>
      </c>
      <c r="B2186" t="s">
        <v>24</v>
      </c>
    </row>
    <row r="2187" spans="1:2">
      <c r="A2187">
        <v>141</v>
      </c>
      <c r="B2187">
        <v>2.1549999999999998</v>
      </c>
    </row>
    <row r="2188" spans="1:2">
      <c r="A2188">
        <v>141</v>
      </c>
      <c r="B2188" t="s">
        <v>35</v>
      </c>
    </row>
    <row r="2189" spans="1:2">
      <c r="A2189">
        <v>141</v>
      </c>
      <c r="B2189">
        <v>0.60599999999999998</v>
      </c>
    </row>
    <row r="2190" spans="1:2">
      <c r="A2190">
        <v>141</v>
      </c>
      <c r="B2190" t="s">
        <v>36</v>
      </c>
    </row>
    <row r="2191" spans="1:2">
      <c r="A2191">
        <v>141</v>
      </c>
      <c r="B2191">
        <v>0.36699999999999999</v>
      </c>
    </row>
    <row r="2192" spans="1:2">
      <c r="A2192">
        <v>141</v>
      </c>
      <c r="B2192" t="s">
        <v>37</v>
      </c>
    </row>
    <row r="2193" spans="1:2">
      <c r="A2193">
        <v>141</v>
      </c>
      <c r="B2193">
        <v>-0.48199999999999998</v>
      </c>
    </row>
    <row r="2194" spans="1:2">
      <c r="A2194">
        <v>141</v>
      </c>
      <c r="B2194" t="s">
        <v>38</v>
      </c>
    </row>
    <row r="2195" spans="1:2">
      <c r="A2195">
        <v>141</v>
      </c>
      <c r="B2195">
        <v>0.59299999999999997</v>
      </c>
    </row>
    <row r="2196" spans="1:2">
      <c r="A2196">
        <v>141</v>
      </c>
      <c r="B2196" t="s">
        <v>39</v>
      </c>
    </row>
    <row r="2197" spans="1:2">
      <c r="A2197">
        <v>141</v>
      </c>
      <c r="B2197">
        <v>-0.10299999999999999</v>
      </c>
    </row>
    <row r="2198" spans="1:2">
      <c r="A2198">
        <v>141</v>
      </c>
      <c r="B2198" t="s">
        <v>40</v>
      </c>
    </row>
    <row r="2199" spans="1:2">
      <c r="A2199">
        <v>141</v>
      </c>
      <c r="B2199" s="4">
        <v>0</v>
      </c>
    </row>
    <row r="2200" spans="1:2">
      <c r="A2200">
        <v>141</v>
      </c>
      <c r="B2200" t="s">
        <v>41</v>
      </c>
    </row>
    <row r="2201" spans="1:2">
      <c r="A2201">
        <v>141</v>
      </c>
      <c r="B2201" s="4">
        <v>19000000</v>
      </c>
    </row>
    <row r="2202" spans="1:2">
      <c r="A2202">
        <v>141</v>
      </c>
      <c r="B2202" t="s">
        <v>42</v>
      </c>
    </row>
    <row r="2203" spans="1:2">
      <c r="A2203">
        <v>141</v>
      </c>
      <c r="B2203" t="s">
        <v>44</v>
      </c>
    </row>
    <row r="2204" spans="1:2">
      <c r="A2204">
        <v>142</v>
      </c>
      <c r="B2204" t="s">
        <v>27</v>
      </c>
    </row>
    <row r="2205" spans="1:2">
      <c r="A2205">
        <v>142</v>
      </c>
      <c r="B2205" s="2">
        <v>9.3880000000000005E-2</v>
      </c>
    </row>
    <row r="2206" spans="1:2">
      <c r="A2206">
        <v>142</v>
      </c>
      <c r="B2206" t="s">
        <v>1</v>
      </c>
    </row>
    <row r="2207" spans="1:2">
      <c r="A2207">
        <v>142</v>
      </c>
      <c r="B2207">
        <v>-0.36699999999999999</v>
      </c>
    </row>
    <row r="2208" spans="1:2">
      <c r="A2208">
        <v>142</v>
      </c>
      <c r="B2208" t="s">
        <v>28</v>
      </c>
    </row>
    <row r="2209" spans="1:2">
      <c r="A2209">
        <v>142</v>
      </c>
      <c r="B2209">
        <v>459</v>
      </c>
    </row>
    <row r="2210" spans="1:2">
      <c r="A2210">
        <v>142</v>
      </c>
      <c r="B2210" t="s">
        <v>25</v>
      </c>
    </row>
    <row r="2211" spans="1:2">
      <c r="A2211">
        <v>142</v>
      </c>
      <c r="B2211" s="2">
        <v>4.1099999999999998E-2</v>
      </c>
    </row>
    <row r="2212" spans="1:2">
      <c r="A2212">
        <v>142</v>
      </c>
      <c r="B2212" t="s">
        <v>29</v>
      </c>
    </row>
    <row r="2213" spans="1:2">
      <c r="A2213">
        <v>142</v>
      </c>
      <c r="B2213" s="2">
        <v>-7.9299999999999995E-2</v>
      </c>
    </row>
    <row r="2214" spans="1:2">
      <c r="A2214">
        <v>142</v>
      </c>
      <c r="B2214" t="s">
        <v>30</v>
      </c>
    </row>
    <row r="2215" spans="1:2">
      <c r="A2215">
        <v>142</v>
      </c>
      <c r="B2215" s="2">
        <v>-0.46013999999999999</v>
      </c>
    </row>
    <row r="2216" spans="1:2">
      <c r="A2216">
        <v>142</v>
      </c>
      <c r="B2216" t="s">
        <v>8</v>
      </c>
    </row>
    <row r="2217" spans="1:2">
      <c r="A2217">
        <v>142</v>
      </c>
      <c r="B2217" s="2">
        <v>0.59299999999999997</v>
      </c>
    </row>
    <row r="2218" spans="1:2">
      <c r="A2218">
        <v>142</v>
      </c>
      <c r="B2218" t="s">
        <v>31</v>
      </c>
    </row>
    <row r="2219" spans="1:2">
      <c r="A2219">
        <v>142</v>
      </c>
      <c r="B2219">
        <v>-0.29099999999999998</v>
      </c>
    </row>
    <row r="2220" spans="1:2">
      <c r="A2220">
        <v>142</v>
      </c>
      <c r="B2220" t="s">
        <v>32</v>
      </c>
    </row>
    <row r="2221" spans="1:2">
      <c r="A2221">
        <v>142</v>
      </c>
      <c r="B2221" s="2">
        <v>-0.32754</v>
      </c>
    </row>
    <row r="2222" spans="1:2">
      <c r="A2222">
        <v>142</v>
      </c>
      <c r="B2222" t="s">
        <v>33</v>
      </c>
    </row>
    <row r="2223" spans="1:2">
      <c r="A2223">
        <v>142</v>
      </c>
      <c r="B2223" s="3">
        <v>0.53</v>
      </c>
    </row>
    <row r="2224" spans="1:2">
      <c r="A2224">
        <v>142</v>
      </c>
      <c r="B2224" t="s">
        <v>34</v>
      </c>
    </row>
    <row r="2225" spans="1:2">
      <c r="A2225">
        <v>142</v>
      </c>
      <c r="B2225" s="3">
        <v>0.47</v>
      </c>
    </row>
    <row r="2226" spans="1:2">
      <c r="A2226">
        <v>142</v>
      </c>
      <c r="B2226" t="s">
        <v>26</v>
      </c>
    </row>
    <row r="2227" spans="1:2">
      <c r="A2227">
        <v>142</v>
      </c>
      <c r="B2227">
        <v>0.52</v>
      </c>
    </row>
    <row r="2228" spans="1:2">
      <c r="A2228">
        <v>142</v>
      </c>
      <c r="B2228" t="s">
        <v>23</v>
      </c>
    </row>
    <row r="2229" spans="1:2">
      <c r="A2229">
        <v>142</v>
      </c>
      <c r="B2229">
        <v>-0.36</v>
      </c>
    </row>
    <row r="2230" spans="1:2">
      <c r="A2230">
        <v>142</v>
      </c>
      <c r="B2230" t="s">
        <v>24</v>
      </c>
    </row>
    <row r="2231" spans="1:2">
      <c r="A2231">
        <v>142</v>
      </c>
      <c r="B2231">
        <v>2.1549999999999998</v>
      </c>
    </row>
    <row r="2232" spans="1:2">
      <c r="A2232">
        <v>142</v>
      </c>
      <c r="B2232" t="s">
        <v>35</v>
      </c>
    </row>
    <row r="2233" spans="1:2">
      <c r="A2233">
        <v>142</v>
      </c>
      <c r="B2233">
        <v>0.60599999999999998</v>
      </c>
    </row>
    <row r="2234" spans="1:2">
      <c r="A2234">
        <v>142</v>
      </c>
      <c r="B2234" t="s">
        <v>36</v>
      </c>
    </row>
    <row r="2235" spans="1:2">
      <c r="A2235">
        <v>142</v>
      </c>
      <c r="B2235">
        <v>0.36699999999999999</v>
      </c>
    </row>
    <row r="2236" spans="1:2">
      <c r="A2236">
        <v>142</v>
      </c>
      <c r="B2236" t="s">
        <v>37</v>
      </c>
    </row>
    <row r="2237" spans="1:2">
      <c r="A2237">
        <v>142</v>
      </c>
      <c r="B2237">
        <v>-0.48199999999999998</v>
      </c>
    </row>
    <row r="2238" spans="1:2">
      <c r="A2238">
        <v>142</v>
      </c>
      <c r="B2238" t="s">
        <v>38</v>
      </c>
    </row>
    <row r="2239" spans="1:2">
      <c r="A2239">
        <v>142</v>
      </c>
      <c r="B2239">
        <v>0.59299999999999997</v>
      </c>
    </row>
    <row r="2240" spans="1:2">
      <c r="A2240">
        <v>142</v>
      </c>
      <c r="B2240" t="s">
        <v>39</v>
      </c>
    </row>
    <row r="2241" spans="1:2">
      <c r="A2241">
        <v>142</v>
      </c>
      <c r="B2241">
        <v>-0.10299999999999999</v>
      </c>
    </row>
    <row r="2242" spans="1:2">
      <c r="A2242">
        <v>142</v>
      </c>
      <c r="B2242" t="s">
        <v>40</v>
      </c>
    </row>
    <row r="2243" spans="1:2">
      <c r="A2243">
        <v>142</v>
      </c>
      <c r="B2243" s="4">
        <v>0</v>
      </c>
    </row>
    <row r="2244" spans="1:2">
      <c r="A2244">
        <v>142</v>
      </c>
      <c r="B2244" t="s">
        <v>41</v>
      </c>
    </row>
    <row r="2245" spans="1:2">
      <c r="A2245">
        <v>142</v>
      </c>
      <c r="B2245" s="4">
        <v>19000000</v>
      </c>
    </row>
    <row r="2246" spans="1:2">
      <c r="A2246">
        <v>142</v>
      </c>
      <c r="B2246" t="s">
        <v>42</v>
      </c>
    </row>
    <row r="2247" spans="1:2">
      <c r="A2247">
        <v>142</v>
      </c>
      <c r="B2247" t="s">
        <v>44</v>
      </c>
    </row>
    <row r="2248" spans="1:2">
      <c r="A2248">
        <v>143</v>
      </c>
      <c r="B2248" t="s">
        <v>27</v>
      </c>
    </row>
    <row r="2249" spans="1:2">
      <c r="A2249">
        <v>143</v>
      </c>
      <c r="B2249" s="2">
        <v>9.3880000000000005E-2</v>
      </c>
    </row>
    <row r="2250" spans="1:2">
      <c r="A2250">
        <v>143</v>
      </c>
      <c r="B2250" t="s">
        <v>1</v>
      </c>
    </row>
    <row r="2251" spans="1:2">
      <c r="A2251">
        <v>143</v>
      </c>
      <c r="B2251">
        <v>-0.36699999999999999</v>
      </c>
    </row>
    <row r="2252" spans="1:2">
      <c r="A2252">
        <v>143</v>
      </c>
      <c r="B2252" t="s">
        <v>28</v>
      </c>
    </row>
    <row r="2253" spans="1:2">
      <c r="A2253">
        <v>143</v>
      </c>
      <c r="B2253">
        <v>459</v>
      </c>
    </row>
    <row r="2254" spans="1:2">
      <c r="A2254">
        <v>143</v>
      </c>
      <c r="B2254" t="s">
        <v>25</v>
      </c>
    </row>
    <row r="2255" spans="1:2">
      <c r="A2255">
        <v>143</v>
      </c>
      <c r="B2255" s="2">
        <v>4.1099999999999998E-2</v>
      </c>
    </row>
    <row r="2256" spans="1:2">
      <c r="A2256">
        <v>143</v>
      </c>
      <c r="B2256" t="s">
        <v>29</v>
      </c>
    </row>
    <row r="2257" spans="1:2">
      <c r="A2257">
        <v>143</v>
      </c>
      <c r="B2257" s="2">
        <v>-7.9299999999999995E-2</v>
      </c>
    </row>
    <row r="2258" spans="1:2">
      <c r="A2258">
        <v>143</v>
      </c>
      <c r="B2258" t="s">
        <v>30</v>
      </c>
    </row>
    <row r="2259" spans="1:2">
      <c r="A2259">
        <v>143</v>
      </c>
      <c r="B2259" s="2">
        <v>-0.46013999999999999</v>
      </c>
    </row>
    <row r="2260" spans="1:2">
      <c r="A2260">
        <v>143</v>
      </c>
      <c r="B2260" t="s">
        <v>8</v>
      </c>
    </row>
    <row r="2261" spans="1:2">
      <c r="A2261">
        <v>143</v>
      </c>
      <c r="B2261" s="2">
        <v>0.59299999999999997</v>
      </c>
    </row>
    <row r="2262" spans="1:2">
      <c r="A2262">
        <v>143</v>
      </c>
      <c r="B2262" t="s">
        <v>31</v>
      </c>
    </row>
    <row r="2263" spans="1:2">
      <c r="A2263">
        <v>143</v>
      </c>
      <c r="B2263">
        <v>-0.29099999999999998</v>
      </c>
    </row>
    <row r="2264" spans="1:2">
      <c r="A2264">
        <v>143</v>
      </c>
      <c r="B2264" t="s">
        <v>32</v>
      </c>
    </row>
    <row r="2265" spans="1:2">
      <c r="A2265">
        <v>143</v>
      </c>
      <c r="B2265" s="2">
        <v>-0.32754</v>
      </c>
    </row>
    <row r="2266" spans="1:2">
      <c r="A2266">
        <v>143</v>
      </c>
      <c r="B2266" t="s">
        <v>33</v>
      </c>
    </row>
    <row r="2267" spans="1:2">
      <c r="A2267">
        <v>143</v>
      </c>
      <c r="B2267" s="3">
        <v>0.53</v>
      </c>
    </row>
    <row r="2268" spans="1:2">
      <c r="A2268">
        <v>143</v>
      </c>
      <c r="B2268" t="s">
        <v>34</v>
      </c>
    </row>
    <row r="2269" spans="1:2">
      <c r="A2269">
        <v>143</v>
      </c>
      <c r="B2269" s="3">
        <v>0.47</v>
      </c>
    </row>
    <row r="2270" spans="1:2">
      <c r="A2270">
        <v>143</v>
      </c>
      <c r="B2270" t="s">
        <v>26</v>
      </c>
    </row>
    <row r="2271" spans="1:2">
      <c r="A2271">
        <v>143</v>
      </c>
      <c r="B2271">
        <v>0.52</v>
      </c>
    </row>
    <row r="2272" spans="1:2">
      <c r="A2272">
        <v>143</v>
      </c>
      <c r="B2272" t="s">
        <v>23</v>
      </c>
    </row>
    <row r="2273" spans="1:2">
      <c r="A2273">
        <v>143</v>
      </c>
      <c r="B2273">
        <v>-0.36</v>
      </c>
    </row>
    <row r="2274" spans="1:2">
      <c r="A2274">
        <v>143</v>
      </c>
      <c r="B2274" t="s">
        <v>24</v>
      </c>
    </row>
    <row r="2275" spans="1:2">
      <c r="A2275">
        <v>143</v>
      </c>
      <c r="B2275">
        <v>2.1549999999999998</v>
      </c>
    </row>
    <row r="2276" spans="1:2">
      <c r="A2276">
        <v>143</v>
      </c>
      <c r="B2276" t="s">
        <v>35</v>
      </c>
    </row>
    <row r="2277" spans="1:2">
      <c r="A2277">
        <v>143</v>
      </c>
      <c r="B2277">
        <v>0.60599999999999998</v>
      </c>
    </row>
    <row r="2278" spans="1:2">
      <c r="A2278">
        <v>143</v>
      </c>
      <c r="B2278" t="s">
        <v>36</v>
      </c>
    </row>
    <row r="2279" spans="1:2">
      <c r="A2279">
        <v>143</v>
      </c>
      <c r="B2279">
        <v>0.36699999999999999</v>
      </c>
    </row>
    <row r="2280" spans="1:2">
      <c r="A2280">
        <v>143</v>
      </c>
      <c r="B2280" t="s">
        <v>37</v>
      </c>
    </row>
    <row r="2281" spans="1:2">
      <c r="A2281">
        <v>143</v>
      </c>
      <c r="B2281">
        <v>-0.48199999999999998</v>
      </c>
    </row>
    <row r="2282" spans="1:2">
      <c r="A2282">
        <v>143</v>
      </c>
      <c r="B2282" t="s">
        <v>38</v>
      </c>
    </row>
    <row r="2283" spans="1:2">
      <c r="A2283">
        <v>143</v>
      </c>
      <c r="B2283">
        <v>0.59299999999999997</v>
      </c>
    </row>
    <row r="2284" spans="1:2">
      <c r="A2284">
        <v>143</v>
      </c>
      <c r="B2284" t="s">
        <v>39</v>
      </c>
    </row>
    <row r="2285" spans="1:2">
      <c r="A2285">
        <v>143</v>
      </c>
      <c r="B2285">
        <v>-0.10299999999999999</v>
      </c>
    </row>
    <row r="2286" spans="1:2">
      <c r="A2286">
        <v>143</v>
      </c>
      <c r="B2286" t="s">
        <v>40</v>
      </c>
    </row>
    <row r="2287" spans="1:2">
      <c r="A2287">
        <v>143</v>
      </c>
      <c r="B2287" s="4">
        <v>0</v>
      </c>
    </row>
    <row r="2288" spans="1:2">
      <c r="A2288">
        <v>143</v>
      </c>
      <c r="B2288" t="s">
        <v>41</v>
      </c>
    </row>
    <row r="2289" spans="1:2">
      <c r="A2289">
        <v>143</v>
      </c>
      <c r="B2289" s="4">
        <v>19000000</v>
      </c>
    </row>
    <row r="2290" spans="1:2">
      <c r="A2290">
        <v>143</v>
      </c>
      <c r="B2290" t="s">
        <v>42</v>
      </c>
    </row>
    <row r="2291" spans="1:2">
      <c r="A2291">
        <v>143</v>
      </c>
      <c r="B2291" t="s">
        <v>44</v>
      </c>
    </row>
    <row r="2292" spans="1:2">
      <c r="A2292">
        <v>144</v>
      </c>
      <c r="B2292" t="s">
        <v>27</v>
      </c>
    </row>
    <row r="2293" spans="1:2">
      <c r="A2293">
        <v>144</v>
      </c>
      <c r="B2293" s="2">
        <v>9.3880000000000005E-2</v>
      </c>
    </row>
    <row r="2294" spans="1:2">
      <c r="A2294">
        <v>144</v>
      </c>
      <c r="B2294" t="s">
        <v>1</v>
      </c>
    </row>
    <row r="2295" spans="1:2">
      <c r="A2295">
        <v>144</v>
      </c>
      <c r="B2295">
        <v>-0.36699999999999999</v>
      </c>
    </row>
    <row r="2296" spans="1:2">
      <c r="A2296">
        <v>144</v>
      </c>
      <c r="B2296" t="s">
        <v>28</v>
      </c>
    </row>
    <row r="2297" spans="1:2">
      <c r="A2297">
        <v>144</v>
      </c>
      <c r="B2297">
        <v>459</v>
      </c>
    </row>
    <row r="2298" spans="1:2">
      <c r="A2298">
        <v>144</v>
      </c>
      <c r="B2298" t="s">
        <v>25</v>
      </c>
    </row>
    <row r="2299" spans="1:2">
      <c r="A2299">
        <v>144</v>
      </c>
      <c r="B2299" s="2">
        <v>4.1099999999999998E-2</v>
      </c>
    </row>
    <row r="2300" spans="1:2">
      <c r="A2300">
        <v>144</v>
      </c>
      <c r="B2300" t="s">
        <v>29</v>
      </c>
    </row>
    <row r="2301" spans="1:2">
      <c r="A2301">
        <v>144</v>
      </c>
      <c r="B2301" s="2">
        <v>-7.9299999999999995E-2</v>
      </c>
    </row>
    <row r="2302" spans="1:2">
      <c r="A2302">
        <v>144</v>
      </c>
      <c r="B2302" t="s">
        <v>30</v>
      </c>
    </row>
    <row r="2303" spans="1:2">
      <c r="A2303">
        <v>144</v>
      </c>
      <c r="B2303" s="2">
        <v>-0.46013999999999999</v>
      </c>
    </row>
    <row r="2304" spans="1:2">
      <c r="A2304">
        <v>144</v>
      </c>
      <c r="B2304" t="s">
        <v>8</v>
      </c>
    </row>
    <row r="2305" spans="1:2">
      <c r="A2305">
        <v>144</v>
      </c>
      <c r="B2305" s="2">
        <v>0.59299999999999997</v>
      </c>
    </row>
    <row r="2306" spans="1:2">
      <c r="A2306">
        <v>144</v>
      </c>
      <c r="B2306" t="s">
        <v>31</v>
      </c>
    </row>
    <row r="2307" spans="1:2">
      <c r="A2307">
        <v>144</v>
      </c>
      <c r="B2307">
        <v>-0.29099999999999998</v>
      </c>
    </row>
    <row r="2308" spans="1:2">
      <c r="A2308">
        <v>144</v>
      </c>
      <c r="B2308" t="s">
        <v>32</v>
      </c>
    </row>
    <row r="2309" spans="1:2">
      <c r="A2309">
        <v>144</v>
      </c>
      <c r="B2309" s="2">
        <v>-0.32754</v>
      </c>
    </row>
    <row r="2310" spans="1:2">
      <c r="A2310">
        <v>144</v>
      </c>
      <c r="B2310" t="s">
        <v>33</v>
      </c>
    </row>
    <row r="2311" spans="1:2">
      <c r="A2311">
        <v>144</v>
      </c>
      <c r="B2311" s="3">
        <v>0.53</v>
      </c>
    </row>
    <row r="2312" spans="1:2">
      <c r="A2312">
        <v>144</v>
      </c>
      <c r="B2312" t="s">
        <v>34</v>
      </c>
    </row>
    <row r="2313" spans="1:2">
      <c r="A2313">
        <v>144</v>
      </c>
      <c r="B2313" s="3">
        <v>0.47</v>
      </c>
    </row>
    <row r="2314" spans="1:2">
      <c r="A2314">
        <v>144</v>
      </c>
      <c r="B2314" t="s">
        <v>26</v>
      </c>
    </row>
    <row r="2315" spans="1:2">
      <c r="A2315">
        <v>144</v>
      </c>
      <c r="B2315">
        <v>0.52</v>
      </c>
    </row>
    <row r="2316" spans="1:2">
      <c r="A2316">
        <v>144</v>
      </c>
      <c r="B2316" t="s">
        <v>23</v>
      </c>
    </row>
    <row r="2317" spans="1:2">
      <c r="A2317">
        <v>144</v>
      </c>
      <c r="B2317">
        <v>-0.36</v>
      </c>
    </row>
    <row r="2318" spans="1:2">
      <c r="A2318">
        <v>144</v>
      </c>
      <c r="B2318" t="s">
        <v>24</v>
      </c>
    </row>
    <row r="2319" spans="1:2">
      <c r="A2319">
        <v>144</v>
      </c>
      <c r="B2319">
        <v>2.1549999999999998</v>
      </c>
    </row>
    <row r="2320" spans="1:2">
      <c r="A2320">
        <v>144</v>
      </c>
      <c r="B2320" t="s">
        <v>35</v>
      </c>
    </row>
    <row r="2321" spans="1:2">
      <c r="A2321">
        <v>144</v>
      </c>
      <c r="B2321">
        <v>0.60599999999999998</v>
      </c>
    </row>
    <row r="2322" spans="1:2">
      <c r="A2322">
        <v>144</v>
      </c>
      <c r="B2322" t="s">
        <v>36</v>
      </c>
    </row>
    <row r="2323" spans="1:2">
      <c r="A2323">
        <v>144</v>
      </c>
      <c r="B2323">
        <v>0.36699999999999999</v>
      </c>
    </row>
    <row r="2324" spans="1:2">
      <c r="A2324">
        <v>144</v>
      </c>
      <c r="B2324" t="s">
        <v>37</v>
      </c>
    </row>
    <row r="2325" spans="1:2">
      <c r="A2325">
        <v>144</v>
      </c>
      <c r="B2325">
        <v>-0.48199999999999998</v>
      </c>
    </row>
    <row r="2326" spans="1:2">
      <c r="A2326">
        <v>144</v>
      </c>
      <c r="B2326" t="s">
        <v>38</v>
      </c>
    </row>
    <row r="2327" spans="1:2">
      <c r="A2327">
        <v>144</v>
      </c>
      <c r="B2327">
        <v>0.59299999999999997</v>
      </c>
    </row>
    <row r="2328" spans="1:2">
      <c r="A2328">
        <v>144</v>
      </c>
      <c r="B2328" t="s">
        <v>39</v>
      </c>
    </row>
    <row r="2329" spans="1:2">
      <c r="A2329">
        <v>144</v>
      </c>
      <c r="B2329">
        <v>-0.10299999999999999</v>
      </c>
    </row>
    <row r="2330" spans="1:2">
      <c r="A2330">
        <v>144</v>
      </c>
      <c r="B2330" t="s">
        <v>40</v>
      </c>
    </row>
    <row r="2331" spans="1:2">
      <c r="A2331">
        <v>144</v>
      </c>
      <c r="B2331" s="4">
        <v>0</v>
      </c>
    </row>
    <row r="2332" spans="1:2">
      <c r="A2332">
        <v>144</v>
      </c>
      <c r="B2332" t="s">
        <v>41</v>
      </c>
    </row>
    <row r="2333" spans="1:2">
      <c r="A2333">
        <v>144</v>
      </c>
      <c r="B2333" s="4">
        <v>19000000</v>
      </c>
    </row>
    <row r="2334" spans="1:2">
      <c r="A2334">
        <v>144</v>
      </c>
      <c r="B2334" t="s">
        <v>42</v>
      </c>
    </row>
    <row r="2335" spans="1:2">
      <c r="A2335">
        <v>144</v>
      </c>
      <c r="B2335" t="s">
        <v>44</v>
      </c>
    </row>
    <row r="2336" spans="1:2">
      <c r="A2336">
        <v>163</v>
      </c>
      <c r="B2336" t="s">
        <v>27</v>
      </c>
    </row>
    <row r="2337" spans="1:2">
      <c r="A2337">
        <v>163</v>
      </c>
      <c r="B2337" s="2">
        <v>9.3880000000000005E-2</v>
      </c>
    </row>
    <row r="2338" spans="1:2">
      <c r="A2338">
        <v>163</v>
      </c>
      <c r="B2338" t="s">
        <v>1</v>
      </c>
    </row>
    <row r="2339" spans="1:2">
      <c r="A2339">
        <v>163</v>
      </c>
      <c r="B2339">
        <v>-0.36699999999999999</v>
      </c>
    </row>
    <row r="2340" spans="1:2">
      <c r="A2340">
        <v>163</v>
      </c>
      <c r="B2340" t="s">
        <v>28</v>
      </c>
    </row>
    <row r="2341" spans="1:2">
      <c r="A2341">
        <v>163</v>
      </c>
      <c r="B2341">
        <v>459</v>
      </c>
    </row>
    <row r="2342" spans="1:2">
      <c r="A2342">
        <v>163</v>
      </c>
      <c r="B2342" t="s">
        <v>25</v>
      </c>
    </row>
    <row r="2343" spans="1:2">
      <c r="A2343">
        <v>163</v>
      </c>
      <c r="B2343" s="2">
        <v>4.1099999999999998E-2</v>
      </c>
    </row>
    <row r="2344" spans="1:2">
      <c r="A2344">
        <v>163</v>
      </c>
      <c r="B2344" t="s">
        <v>29</v>
      </c>
    </row>
    <row r="2345" spans="1:2">
      <c r="A2345">
        <v>163</v>
      </c>
      <c r="B2345" s="2">
        <v>-7.9299999999999995E-2</v>
      </c>
    </row>
    <row r="2346" spans="1:2">
      <c r="A2346">
        <v>163</v>
      </c>
      <c r="B2346" t="s">
        <v>30</v>
      </c>
    </row>
    <row r="2347" spans="1:2">
      <c r="A2347">
        <v>163</v>
      </c>
      <c r="B2347" s="2">
        <v>-0.46013999999999999</v>
      </c>
    </row>
    <row r="2348" spans="1:2">
      <c r="A2348">
        <v>163</v>
      </c>
      <c r="B2348" t="s">
        <v>8</v>
      </c>
    </row>
    <row r="2349" spans="1:2">
      <c r="A2349">
        <v>163</v>
      </c>
      <c r="B2349" s="2">
        <v>0.59299999999999997</v>
      </c>
    </row>
    <row r="2350" spans="1:2">
      <c r="A2350">
        <v>163</v>
      </c>
      <c r="B2350" t="s">
        <v>31</v>
      </c>
    </row>
    <row r="2351" spans="1:2">
      <c r="A2351">
        <v>163</v>
      </c>
      <c r="B2351">
        <v>-0.29099999999999998</v>
      </c>
    </row>
    <row r="2352" spans="1:2">
      <c r="A2352">
        <v>163</v>
      </c>
      <c r="B2352" t="s">
        <v>32</v>
      </c>
    </row>
    <row r="2353" spans="1:2">
      <c r="A2353">
        <v>163</v>
      </c>
      <c r="B2353" s="2">
        <v>-0.32754</v>
      </c>
    </row>
    <row r="2354" spans="1:2">
      <c r="A2354">
        <v>163</v>
      </c>
      <c r="B2354" t="s">
        <v>33</v>
      </c>
    </row>
    <row r="2355" spans="1:2">
      <c r="A2355">
        <v>163</v>
      </c>
      <c r="B2355" s="3">
        <v>0.53</v>
      </c>
    </row>
    <row r="2356" spans="1:2">
      <c r="A2356">
        <v>163</v>
      </c>
      <c r="B2356" t="s">
        <v>34</v>
      </c>
    </row>
    <row r="2357" spans="1:2">
      <c r="A2357">
        <v>163</v>
      </c>
      <c r="B2357" s="3">
        <v>0.47</v>
      </c>
    </row>
    <row r="2358" spans="1:2">
      <c r="A2358">
        <v>163</v>
      </c>
      <c r="B2358" t="s">
        <v>26</v>
      </c>
    </row>
    <row r="2359" spans="1:2">
      <c r="A2359">
        <v>163</v>
      </c>
      <c r="B2359">
        <v>0.52</v>
      </c>
    </row>
    <row r="2360" spans="1:2">
      <c r="A2360">
        <v>163</v>
      </c>
      <c r="B2360" t="s">
        <v>23</v>
      </c>
    </row>
    <row r="2361" spans="1:2">
      <c r="A2361">
        <v>163</v>
      </c>
      <c r="B2361">
        <v>-0.36</v>
      </c>
    </row>
    <row r="2362" spans="1:2">
      <c r="A2362">
        <v>163</v>
      </c>
      <c r="B2362" t="s">
        <v>24</v>
      </c>
    </row>
    <row r="2363" spans="1:2">
      <c r="A2363">
        <v>163</v>
      </c>
      <c r="B2363">
        <v>2.1549999999999998</v>
      </c>
    </row>
    <row r="2364" spans="1:2">
      <c r="A2364">
        <v>163</v>
      </c>
      <c r="B2364" t="s">
        <v>35</v>
      </c>
    </row>
    <row r="2365" spans="1:2">
      <c r="A2365">
        <v>163</v>
      </c>
      <c r="B2365">
        <v>0.60599999999999998</v>
      </c>
    </row>
    <row r="2366" spans="1:2">
      <c r="A2366">
        <v>163</v>
      </c>
      <c r="B2366" t="s">
        <v>36</v>
      </c>
    </row>
    <row r="2367" spans="1:2">
      <c r="A2367">
        <v>163</v>
      </c>
      <c r="B2367">
        <v>0.36699999999999999</v>
      </c>
    </row>
    <row r="2368" spans="1:2">
      <c r="A2368">
        <v>163</v>
      </c>
      <c r="B2368" t="s">
        <v>37</v>
      </c>
    </row>
    <row r="2369" spans="1:2">
      <c r="A2369">
        <v>163</v>
      </c>
      <c r="B2369">
        <v>-0.48199999999999998</v>
      </c>
    </row>
    <row r="2370" spans="1:2">
      <c r="A2370">
        <v>163</v>
      </c>
      <c r="B2370" t="s">
        <v>38</v>
      </c>
    </row>
    <row r="2371" spans="1:2">
      <c r="A2371">
        <v>163</v>
      </c>
      <c r="B2371">
        <v>0.59299999999999997</v>
      </c>
    </row>
    <row r="2372" spans="1:2">
      <c r="A2372">
        <v>163</v>
      </c>
      <c r="B2372" t="s">
        <v>39</v>
      </c>
    </row>
    <row r="2373" spans="1:2">
      <c r="A2373">
        <v>163</v>
      </c>
      <c r="B2373">
        <v>-0.10299999999999999</v>
      </c>
    </row>
    <row r="2374" spans="1:2">
      <c r="A2374">
        <v>163</v>
      </c>
      <c r="B2374" t="s">
        <v>40</v>
      </c>
    </row>
    <row r="2375" spans="1:2">
      <c r="A2375">
        <v>163</v>
      </c>
      <c r="B2375" s="4">
        <v>0</v>
      </c>
    </row>
    <row r="2376" spans="1:2">
      <c r="A2376">
        <v>163</v>
      </c>
      <c r="B2376" t="s">
        <v>41</v>
      </c>
    </row>
    <row r="2377" spans="1:2">
      <c r="A2377">
        <v>163</v>
      </c>
      <c r="B2377" s="4">
        <v>19000000</v>
      </c>
    </row>
    <row r="2378" spans="1:2">
      <c r="A2378">
        <v>163</v>
      </c>
      <c r="B2378" t="s">
        <v>42</v>
      </c>
    </row>
    <row r="2379" spans="1:2">
      <c r="A2379">
        <v>163</v>
      </c>
      <c r="B2379" t="s">
        <v>44</v>
      </c>
    </row>
    <row r="2380" spans="1:2">
      <c r="A2380">
        <v>164</v>
      </c>
      <c r="B2380" t="s">
        <v>27</v>
      </c>
    </row>
    <row r="2381" spans="1:2">
      <c r="A2381">
        <v>164</v>
      </c>
      <c r="B2381" s="2">
        <v>9.3880000000000005E-2</v>
      </c>
    </row>
    <row r="2382" spans="1:2">
      <c r="A2382">
        <v>164</v>
      </c>
      <c r="B2382" t="s">
        <v>1</v>
      </c>
    </row>
    <row r="2383" spans="1:2">
      <c r="A2383">
        <v>164</v>
      </c>
      <c r="B2383">
        <v>-0.36699999999999999</v>
      </c>
    </row>
    <row r="2384" spans="1:2">
      <c r="A2384">
        <v>164</v>
      </c>
      <c r="B2384" t="s">
        <v>28</v>
      </c>
    </row>
    <row r="2385" spans="1:2">
      <c r="A2385">
        <v>164</v>
      </c>
      <c r="B2385">
        <v>459</v>
      </c>
    </row>
    <row r="2386" spans="1:2">
      <c r="A2386">
        <v>164</v>
      </c>
      <c r="B2386" t="s">
        <v>25</v>
      </c>
    </row>
    <row r="2387" spans="1:2">
      <c r="A2387">
        <v>164</v>
      </c>
      <c r="B2387" s="2">
        <v>4.1099999999999998E-2</v>
      </c>
    </row>
    <row r="2388" spans="1:2">
      <c r="A2388">
        <v>164</v>
      </c>
      <c r="B2388" t="s">
        <v>29</v>
      </c>
    </row>
    <row r="2389" spans="1:2">
      <c r="A2389">
        <v>164</v>
      </c>
      <c r="B2389" s="2">
        <v>-7.9299999999999995E-2</v>
      </c>
    </row>
    <row r="2390" spans="1:2">
      <c r="A2390">
        <v>164</v>
      </c>
      <c r="B2390" t="s">
        <v>30</v>
      </c>
    </row>
    <row r="2391" spans="1:2">
      <c r="A2391">
        <v>164</v>
      </c>
      <c r="B2391" s="2">
        <v>-0.46013999999999999</v>
      </c>
    </row>
    <row r="2392" spans="1:2">
      <c r="A2392">
        <v>164</v>
      </c>
      <c r="B2392" t="s">
        <v>8</v>
      </c>
    </row>
    <row r="2393" spans="1:2">
      <c r="A2393">
        <v>164</v>
      </c>
      <c r="B2393" s="2">
        <v>0.59299999999999997</v>
      </c>
    </row>
    <row r="2394" spans="1:2">
      <c r="A2394">
        <v>164</v>
      </c>
      <c r="B2394" t="s">
        <v>31</v>
      </c>
    </row>
    <row r="2395" spans="1:2">
      <c r="A2395">
        <v>164</v>
      </c>
      <c r="B2395">
        <v>-0.29099999999999998</v>
      </c>
    </row>
    <row r="2396" spans="1:2">
      <c r="A2396">
        <v>164</v>
      </c>
      <c r="B2396" t="s">
        <v>32</v>
      </c>
    </row>
    <row r="2397" spans="1:2">
      <c r="A2397">
        <v>164</v>
      </c>
      <c r="B2397" s="2">
        <v>-0.32754</v>
      </c>
    </row>
    <row r="2398" spans="1:2">
      <c r="A2398">
        <v>164</v>
      </c>
      <c r="B2398" t="s">
        <v>33</v>
      </c>
    </row>
    <row r="2399" spans="1:2">
      <c r="A2399">
        <v>164</v>
      </c>
      <c r="B2399" s="3">
        <v>0.53</v>
      </c>
    </row>
    <row r="2400" spans="1:2">
      <c r="A2400">
        <v>164</v>
      </c>
      <c r="B2400" t="s">
        <v>34</v>
      </c>
    </row>
    <row r="2401" spans="1:2">
      <c r="A2401">
        <v>164</v>
      </c>
      <c r="B2401" s="3">
        <v>0.47</v>
      </c>
    </row>
    <row r="2402" spans="1:2">
      <c r="A2402">
        <v>164</v>
      </c>
      <c r="B2402" t="s">
        <v>26</v>
      </c>
    </row>
    <row r="2403" spans="1:2">
      <c r="A2403">
        <v>164</v>
      </c>
      <c r="B2403">
        <v>0.52</v>
      </c>
    </row>
    <row r="2404" spans="1:2">
      <c r="A2404">
        <v>164</v>
      </c>
      <c r="B2404" t="s">
        <v>23</v>
      </c>
    </row>
    <row r="2405" spans="1:2">
      <c r="A2405">
        <v>164</v>
      </c>
      <c r="B2405">
        <v>-0.36</v>
      </c>
    </row>
    <row r="2406" spans="1:2">
      <c r="A2406">
        <v>164</v>
      </c>
      <c r="B2406" t="s">
        <v>24</v>
      </c>
    </row>
    <row r="2407" spans="1:2">
      <c r="A2407">
        <v>164</v>
      </c>
      <c r="B2407">
        <v>2.1549999999999998</v>
      </c>
    </row>
    <row r="2408" spans="1:2">
      <c r="A2408">
        <v>164</v>
      </c>
      <c r="B2408" t="s">
        <v>35</v>
      </c>
    </row>
    <row r="2409" spans="1:2">
      <c r="A2409">
        <v>164</v>
      </c>
      <c r="B2409">
        <v>0.60599999999999998</v>
      </c>
    </row>
    <row r="2410" spans="1:2">
      <c r="A2410">
        <v>164</v>
      </c>
      <c r="B2410" t="s">
        <v>36</v>
      </c>
    </row>
    <row r="2411" spans="1:2">
      <c r="A2411">
        <v>164</v>
      </c>
      <c r="B2411">
        <v>0.36699999999999999</v>
      </c>
    </row>
    <row r="2412" spans="1:2">
      <c r="A2412">
        <v>164</v>
      </c>
      <c r="B2412" t="s">
        <v>37</v>
      </c>
    </row>
    <row r="2413" spans="1:2">
      <c r="A2413">
        <v>164</v>
      </c>
      <c r="B2413">
        <v>-0.48199999999999998</v>
      </c>
    </row>
    <row r="2414" spans="1:2">
      <c r="A2414">
        <v>164</v>
      </c>
      <c r="B2414" t="s">
        <v>38</v>
      </c>
    </row>
    <row r="2415" spans="1:2">
      <c r="A2415">
        <v>164</v>
      </c>
      <c r="B2415">
        <v>0.59299999999999997</v>
      </c>
    </row>
    <row r="2416" spans="1:2">
      <c r="A2416">
        <v>164</v>
      </c>
      <c r="B2416" t="s">
        <v>39</v>
      </c>
    </row>
    <row r="2417" spans="1:2">
      <c r="A2417">
        <v>164</v>
      </c>
      <c r="B2417">
        <v>-0.10299999999999999</v>
      </c>
    </row>
    <row r="2418" spans="1:2">
      <c r="A2418">
        <v>164</v>
      </c>
      <c r="B2418" t="s">
        <v>40</v>
      </c>
    </row>
    <row r="2419" spans="1:2">
      <c r="A2419">
        <v>164</v>
      </c>
      <c r="B2419" s="4">
        <v>0</v>
      </c>
    </row>
    <row r="2420" spans="1:2">
      <c r="A2420">
        <v>164</v>
      </c>
      <c r="B2420" t="s">
        <v>41</v>
      </c>
    </row>
    <row r="2421" spans="1:2">
      <c r="A2421">
        <v>164</v>
      </c>
      <c r="B2421" s="4">
        <v>19000000</v>
      </c>
    </row>
    <row r="2422" spans="1:2">
      <c r="A2422">
        <v>164</v>
      </c>
      <c r="B2422" t="s">
        <v>42</v>
      </c>
    </row>
    <row r="2423" spans="1:2">
      <c r="A2423">
        <v>164</v>
      </c>
      <c r="B2423" t="s">
        <v>44</v>
      </c>
    </row>
    <row r="2424" spans="1:2">
      <c r="A2424">
        <v>165</v>
      </c>
      <c r="B2424" t="s">
        <v>27</v>
      </c>
    </row>
    <row r="2425" spans="1:2">
      <c r="A2425">
        <v>165</v>
      </c>
      <c r="B2425" s="2">
        <v>9.3880000000000005E-2</v>
      </c>
    </row>
    <row r="2426" spans="1:2">
      <c r="A2426">
        <v>165</v>
      </c>
      <c r="B2426" t="s">
        <v>1</v>
      </c>
    </row>
    <row r="2427" spans="1:2">
      <c r="A2427">
        <v>165</v>
      </c>
      <c r="B2427">
        <v>-0.36699999999999999</v>
      </c>
    </row>
    <row r="2428" spans="1:2">
      <c r="A2428">
        <v>165</v>
      </c>
      <c r="B2428" t="s">
        <v>28</v>
      </c>
    </row>
    <row r="2429" spans="1:2">
      <c r="A2429">
        <v>165</v>
      </c>
      <c r="B2429">
        <v>459</v>
      </c>
    </row>
    <row r="2430" spans="1:2">
      <c r="A2430">
        <v>165</v>
      </c>
      <c r="B2430" t="s">
        <v>25</v>
      </c>
    </row>
    <row r="2431" spans="1:2">
      <c r="A2431">
        <v>165</v>
      </c>
      <c r="B2431" s="2">
        <v>4.1099999999999998E-2</v>
      </c>
    </row>
    <row r="2432" spans="1:2">
      <c r="A2432">
        <v>165</v>
      </c>
      <c r="B2432" t="s">
        <v>29</v>
      </c>
    </row>
    <row r="2433" spans="1:2">
      <c r="A2433">
        <v>165</v>
      </c>
      <c r="B2433" s="2">
        <v>-7.9299999999999995E-2</v>
      </c>
    </row>
    <row r="2434" spans="1:2">
      <c r="A2434">
        <v>165</v>
      </c>
      <c r="B2434" t="s">
        <v>30</v>
      </c>
    </row>
    <row r="2435" spans="1:2">
      <c r="A2435">
        <v>165</v>
      </c>
      <c r="B2435" s="2">
        <v>-0.46013999999999999</v>
      </c>
    </row>
    <row r="2436" spans="1:2">
      <c r="A2436">
        <v>165</v>
      </c>
      <c r="B2436" t="s">
        <v>8</v>
      </c>
    </row>
    <row r="2437" spans="1:2">
      <c r="A2437">
        <v>165</v>
      </c>
      <c r="B2437" s="2">
        <v>0.59299999999999997</v>
      </c>
    </row>
    <row r="2438" spans="1:2">
      <c r="A2438">
        <v>165</v>
      </c>
      <c r="B2438" t="s">
        <v>31</v>
      </c>
    </row>
    <row r="2439" spans="1:2">
      <c r="A2439">
        <v>165</v>
      </c>
      <c r="B2439">
        <v>-0.29099999999999998</v>
      </c>
    </row>
    <row r="2440" spans="1:2">
      <c r="A2440">
        <v>165</v>
      </c>
      <c r="B2440" t="s">
        <v>32</v>
      </c>
    </row>
    <row r="2441" spans="1:2">
      <c r="A2441">
        <v>165</v>
      </c>
      <c r="B2441" s="2">
        <v>-0.32754</v>
      </c>
    </row>
    <row r="2442" spans="1:2">
      <c r="A2442">
        <v>165</v>
      </c>
      <c r="B2442" t="s">
        <v>33</v>
      </c>
    </row>
    <row r="2443" spans="1:2">
      <c r="A2443">
        <v>165</v>
      </c>
      <c r="B2443" s="3">
        <v>0.53</v>
      </c>
    </row>
    <row r="2444" spans="1:2">
      <c r="A2444">
        <v>165</v>
      </c>
      <c r="B2444" t="s">
        <v>34</v>
      </c>
    </row>
    <row r="2445" spans="1:2">
      <c r="A2445">
        <v>165</v>
      </c>
      <c r="B2445" s="3">
        <v>0.47</v>
      </c>
    </row>
    <row r="2446" spans="1:2">
      <c r="A2446">
        <v>165</v>
      </c>
      <c r="B2446" t="s">
        <v>26</v>
      </c>
    </row>
    <row r="2447" spans="1:2">
      <c r="A2447">
        <v>165</v>
      </c>
      <c r="B2447">
        <v>0.52</v>
      </c>
    </row>
    <row r="2448" spans="1:2">
      <c r="A2448">
        <v>165</v>
      </c>
      <c r="B2448" t="s">
        <v>23</v>
      </c>
    </row>
    <row r="2449" spans="1:2">
      <c r="A2449">
        <v>165</v>
      </c>
      <c r="B2449">
        <v>-0.36</v>
      </c>
    </row>
    <row r="2450" spans="1:2">
      <c r="A2450">
        <v>165</v>
      </c>
      <c r="B2450" t="s">
        <v>24</v>
      </c>
    </row>
    <row r="2451" spans="1:2">
      <c r="A2451">
        <v>165</v>
      </c>
      <c r="B2451">
        <v>2.1549999999999998</v>
      </c>
    </row>
    <row r="2452" spans="1:2">
      <c r="A2452">
        <v>165</v>
      </c>
      <c r="B2452" t="s">
        <v>35</v>
      </c>
    </row>
    <row r="2453" spans="1:2">
      <c r="A2453">
        <v>165</v>
      </c>
      <c r="B2453">
        <v>0.60599999999999998</v>
      </c>
    </row>
    <row r="2454" spans="1:2">
      <c r="A2454">
        <v>165</v>
      </c>
      <c r="B2454" t="s">
        <v>36</v>
      </c>
    </row>
    <row r="2455" spans="1:2">
      <c r="A2455">
        <v>165</v>
      </c>
      <c r="B2455">
        <v>0.36699999999999999</v>
      </c>
    </row>
    <row r="2456" spans="1:2">
      <c r="A2456">
        <v>165</v>
      </c>
      <c r="B2456" t="s">
        <v>37</v>
      </c>
    </row>
    <row r="2457" spans="1:2">
      <c r="A2457">
        <v>165</v>
      </c>
      <c r="B2457">
        <v>-0.48199999999999998</v>
      </c>
    </row>
    <row r="2458" spans="1:2">
      <c r="A2458">
        <v>165</v>
      </c>
      <c r="B2458" t="s">
        <v>38</v>
      </c>
    </row>
    <row r="2459" spans="1:2">
      <c r="A2459">
        <v>165</v>
      </c>
      <c r="B2459">
        <v>0.59299999999999997</v>
      </c>
    </row>
    <row r="2460" spans="1:2">
      <c r="A2460">
        <v>165</v>
      </c>
      <c r="B2460" t="s">
        <v>39</v>
      </c>
    </row>
    <row r="2461" spans="1:2">
      <c r="A2461">
        <v>165</v>
      </c>
      <c r="B2461">
        <v>-0.10299999999999999</v>
      </c>
    </row>
    <row r="2462" spans="1:2">
      <c r="A2462">
        <v>165</v>
      </c>
      <c r="B2462" t="s">
        <v>40</v>
      </c>
    </row>
    <row r="2463" spans="1:2">
      <c r="A2463">
        <v>165</v>
      </c>
      <c r="B2463" s="4">
        <v>0</v>
      </c>
    </row>
    <row r="2464" spans="1:2">
      <c r="A2464">
        <v>165</v>
      </c>
      <c r="B2464" t="s">
        <v>41</v>
      </c>
    </row>
    <row r="2465" spans="1:2">
      <c r="A2465">
        <v>165</v>
      </c>
      <c r="B2465" s="4">
        <v>19000000</v>
      </c>
    </row>
    <row r="2466" spans="1:2">
      <c r="A2466">
        <v>165</v>
      </c>
      <c r="B2466" t="s">
        <v>42</v>
      </c>
    </row>
    <row r="2467" spans="1:2">
      <c r="A2467">
        <v>165</v>
      </c>
      <c r="B2467" t="s">
        <v>44</v>
      </c>
    </row>
    <row r="2468" spans="1:2">
      <c r="A2468">
        <v>166</v>
      </c>
      <c r="B2468" t="s">
        <v>27</v>
      </c>
    </row>
    <row r="2469" spans="1:2">
      <c r="A2469">
        <v>166</v>
      </c>
      <c r="B2469" s="2">
        <v>9.3880000000000005E-2</v>
      </c>
    </row>
    <row r="2470" spans="1:2">
      <c r="A2470">
        <v>166</v>
      </c>
      <c r="B2470" t="s">
        <v>1</v>
      </c>
    </row>
    <row r="2471" spans="1:2">
      <c r="A2471">
        <v>166</v>
      </c>
      <c r="B2471">
        <v>-0.36699999999999999</v>
      </c>
    </row>
    <row r="2472" spans="1:2">
      <c r="A2472">
        <v>166</v>
      </c>
      <c r="B2472" t="s">
        <v>28</v>
      </c>
    </row>
    <row r="2473" spans="1:2">
      <c r="A2473">
        <v>166</v>
      </c>
      <c r="B2473">
        <v>459</v>
      </c>
    </row>
    <row r="2474" spans="1:2">
      <c r="A2474">
        <v>166</v>
      </c>
      <c r="B2474" t="s">
        <v>25</v>
      </c>
    </row>
    <row r="2475" spans="1:2">
      <c r="A2475">
        <v>166</v>
      </c>
      <c r="B2475" s="2">
        <v>4.1099999999999998E-2</v>
      </c>
    </row>
    <row r="2476" spans="1:2">
      <c r="A2476">
        <v>166</v>
      </c>
      <c r="B2476" t="s">
        <v>29</v>
      </c>
    </row>
    <row r="2477" spans="1:2">
      <c r="A2477">
        <v>166</v>
      </c>
      <c r="B2477" s="2">
        <v>-7.9299999999999995E-2</v>
      </c>
    </row>
    <row r="2478" spans="1:2">
      <c r="A2478">
        <v>166</v>
      </c>
      <c r="B2478" t="s">
        <v>30</v>
      </c>
    </row>
    <row r="2479" spans="1:2">
      <c r="A2479">
        <v>166</v>
      </c>
      <c r="B2479" s="2">
        <v>-0.46013999999999999</v>
      </c>
    </row>
    <row r="2480" spans="1:2">
      <c r="A2480">
        <v>166</v>
      </c>
      <c r="B2480" t="s">
        <v>8</v>
      </c>
    </row>
    <row r="2481" spans="1:2">
      <c r="A2481">
        <v>166</v>
      </c>
      <c r="B2481" s="2">
        <v>0.59299999999999997</v>
      </c>
    </row>
    <row r="2482" spans="1:2">
      <c r="A2482">
        <v>166</v>
      </c>
      <c r="B2482" t="s">
        <v>31</v>
      </c>
    </row>
    <row r="2483" spans="1:2">
      <c r="A2483">
        <v>166</v>
      </c>
      <c r="B2483">
        <v>-0.29099999999999998</v>
      </c>
    </row>
    <row r="2484" spans="1:2">
      <c r="A2484">
        <v>166</v>
      </c>
      <c r="B2484" t="s">
        <v>32</v>
      </c>
    </row>
    <row r="2485" spans="1:2">
      <c r="A2485">
        <v>166</v>
      </c>
      <c r="B2485" s="2">
        <v>-0.32754</v>
      </c>
    </row>
    <row r="2486" spans="1:2">
      <c r="A2486">
        <v>166</v>
      </c>
      <c r="B2486" t="s">
        <v>33</v>
      </c>
    </row>
    <row r="2487" spans="1:2">
      <c r="A2487">
        <v>166</v>
      </c>
      <c r="B2487" s="3">
        <v>0.53</v>
      </c>
    </row>
    <row r="2488" spans="1:2">
      <c r="A2488">
        <v>166</v>
      </c>
      <c r="B2488" t="s">
        <v>34</v>
      </c>
    </row>
    <row r="2489" spans="1:2">
      <c r="A2489">
        <v>166</v>
      </c>
      <c r="B2489" s="3">
        <v>0.47</v>
      </c>
    </row>
    <row r="2490" spans="1:2">
      <c r="A2490">
        <v>166</v>
      </c>
      <c r="B2490" t="s">
        <v>26</v>
      </c>
    </row>
    <row r="2491" spans="1:2">
      <c r="A2491">
        <v>166</v>
      </c>
      <c r="B2491">
        <v>0.52</v>
      </c>
    </row>
    <row r="2492" spans="1:2">
      <c r="A2492">
        <v>166</v>
      </c>
      <c r="B2492" t="s">
        <v>23</v>
      </c>
    </row>
    <row r="2493" spans="1:2">
      <c r="A2493">
        <v>166</v>
      </c>
      <c r="B2493">
        <v>-0.36</v>
      </c>
    </row>
    <row r="2494" spans="1:2">
      <c r="A2494">
        <v>166</v>
      </c>
      <c r="B2494" t="s">
        <v>24</v>
      </c>
    </row>
    <row r="2495" spans="1:2">
      <c r="A2495">
        <v>166</v>
      </c>
      <c r="B2495">
        <v>2.1549999999999998</v>
      </c>
    </row>
    <row r="2496" spans="1:2">
      <c r="A2496">
        <v>166</v>
      </c>
      <c r="B2496" t="s">
        <v>35</v>
      </c>
    </row>
    <row r="2497" spans="1:2">
      <c r="A2497">
        <v>166</v>
      </c>
      <c r="B2497">
        <v>0.60599999999999998</v>
      </c>
    </row>
    <row r="2498" spans="1:2">
      <c r="A2498">
        <v>166</v>
      </c>
      <c r="B2498" t="s">
        <v>36</v>
      </c>
    </row>
    <row r="2499" spans="1:2">
      <c r="A2499">
        <v>166</v>
      </c>
      <c r="B2499">
        <v>0.36699999999999999</v>
      </c>
    </row>
    <row r="2500" spans="1:2">
      <c r="A2500">
        <v>166</v>
      </c>
      <c r="B2500" t="s">
        <v>37</v>
      </c>
    </row>
    <row r="2501" spans="1:2">
      <c r="A2501">
        <v>166</v>
      </c>
      <c r="B2501">
        <v>-0.48199999999999998</v>
      </c>
    </row>
    <row r="2502" spans="1:2">
      <c r="A2502">
        <v>166</v>
      </c>
      <c r="B2502" t="s">
        <v>38</v>
      </c>
    </row>
    <row r="2503" spans="1:2">
      <c r="A2503">
        <v>166</v>
      </c>
      <c r="B2503">
        <v>0.59299999999999997</v>
      </c>
    </row>
    <row r="2504" spans="1:2">
      <c r="A2504">
        <v>166</v>
      </c>
      <c r="B2504" t="s">
        <v>39</v>
      </c>
    </row>
    <row r="2505" spans="1:2">
      <c r="A2505">
        <v>166</v>
      </c>
      <c r="B2505">
        <v>-0.10299999999999999</v>
      </c>
    </row>
    <row r="2506" spans="1:2">
      <c r="A2506">
        <v>166</v>
      </c>
      <c r="B2506" t="s">
        <v>40</v>
      </c>
    </row>
    <row r="2507" spans="1:2">
      <c r="A2507">
        <v>166</v>
      </c>
      <c r="B2507" s="4">
        <v>0</v>
      </c>
    </row>
    <row r="2508" spans="1:2">
      <c r="A2508">
        <v>166</v>
      </c>
      <c r="B2508" t="s">
        <v>41</v>
      </c>
    </row>
    <row r="2509" spans="1:2">
      <c r="A2509">
        <v>166</v>
      </c>
      <c r="B2509" s="4">
        <v>19000000</v>
      </c>
    </row>
    <row r="2510" spans="1:2">
      <c r="A2510">
        <v>166</v>
      </c>
      <c r="B2510" t="s">
        <v>42</v>
      </c>
    </row>
    <row r="2511" spans="1:2">
      <c r="A2511">
        <v>166</v>
      </c>
      <c r="B2511" t="s">
        <v>44</v>
      </c>
    </row>
    <row r="2512" spans="1:2">
      <c r="A2512">
        <v>167</v>
      </c>
      <c r="B2512" t="s">
        <v>27</v>
      </c>
    </row>
    <row r="2513" spans="1:2">
      <c r="A2513">
        <v>167</v>
      </c>
      <c r="B2513" s="2">
        <v>9.3880000000000005E-2</v>
      </c>
    </row>
    <row r="2514" spans="1:2">
      <c r="A2514">
        <v>167</v>
      </c>
      <c r="B2514" t="s">
        <v>1</v>
      </c>
    </row>
    <row r="2515" spans="1:2">
      <c r="A2515">
        <v>167</v>
      </c>
      <c r="B2515">
        <v>-0.36699999999999999</v>
      </c>
    </row>
    <row r="2516" spans="1:2">
      <c r="A2516">
        <v>167</v>
      </c>
      <c r="B2516" t="s">
        <v>28</v>
      </c>
    </row>
    <row r="2517" spans="1:2">
      <c r="A2517">
        <v>167</v>
      </c>
      <c r="B2517">
        <v>459</v>
      </c>
    </row>
    <row r="2518" spans="1:2">
      <c r="A2518">
        <v>167</v>
      </c>
      <c r="B2518" t="s">
        <v>25</v>
      </c>
    </row>
    <row r="2519" spans="1:2">
      <c r="A2519">
        <v>167</v>
      </c>
      <c r="B2519" s="2">
        <v>4.1099999999999998E-2</v>
      </c>
    </row>
    <row r="2520" spans="1:2">
      <c r="A2520">
        <v>167</v>
      </c>
      <c r="B2520" t="s">
        <v>29</v>
      </c>
    </row>
    <row r="2521" spans="1:2">
      <c r="A2521">
        <v>167</v>
      </c>
      <c r="B2521" s="2">
        <v>-7.9299999999999995E-2</v>
      </c>
    </row>
    <row r="2522" spans="1:2">
      <c r="A2522">
        <v>167</v>
      </c>
      <c r="B2522" t="s">
        <v>30</v>
      </c>
    </row>
    <row r="2523" spans="1:2">
      <c r="A2523">
        <v>167</v>
      </c>
      <c r="B2523" s="2">
        <v>-0.46013999999999999</v>
      </c>
    </row>
    <row r="2524" spans="1:2">
      <c r="A2524">
        <v>167</v>
      </c>
      <c r="B2524" t="s">
        <v>8</v>
      </c>
    </row>
    <row r="2525" spans="1:2">
      <c r="A2525">
        <v>167</v>
      </c>
      <c r="B2525" s="2">
        <v>0.59299999999999997</v>
      </c>
    </row>
    <row r="2526" spans="1:2">
      <c r="A2526">
        <v>167</v>
      </c>
      <c r="B2526" t="s">
        <v>31</v>
      </c>
    </row>
    <row r="2527" spans="1:2">
      <c r="A2527">
        <v>167</v>
      </c>
      <c r="B2527">
        <v>-0.29099999999999998</v>
      </c>
    </row>
    <row r="2528" spans="1:2">
      <c r="A2528">
        <v>167</v>
      </c>
      <c r="B2528" t="s">
        <v>32</v>
      </c>
    </row>
    <row r="2529" spans="1:2">
      <c r="A2529">
        <v>167</v>
      </c>
      <c r="B2529" s="2">
        <v>-0.32754</v>
      </c>
    </row>
    <row r="2530" spans="1:2">
      <c r="A2530">
        <v>167</v>
      </c>
      <c r="B2530" t="s">
        <v>33</v>
      </c>
    </row>
    <row r="2531" spans="1:2">
      <c r="A2531">
        <v>167</v>
      </c>
      <c r="B2531" s="3">
        <v>0.53</v>
      </c>
    </row>
    <row r="2532" spans="1:2">
      <c r="A2532">
        <v>167</v>
      </c>
      <c r="B2532" t="s">
        <v>34</v>
      </c>
    </row>
    <row r="2533" spans="1:2">
      <c r="A2533">
        <v>167</v>
      </c>
      <c r="B2533" s="3">
        <v>0.47</v>
      </c>
    </row>
    <row r="2534" spans="1:2">
      <c r="A2534">
        <v>167</v>
      </c>
      <c r="B2534" t="s">
        <v>26</v>
      </c>
    </row>
    <row r="2535" spans="1:2">
      <c r="A2535">
        <v>167</v>
      </c>
      <c r="B2535">
        <v>0.52</v>
      </c>
    </row>
    <row r="2536" spans="1:2">
      <c r="A2536">
        <v>167</v>
      </c>
      <c r="B2536" t="s">
        <v>23</v>
      </c>
    </row>
    <row r="2537" spans="1:2">
      <c r="A2537">
        <v>167</v>
      </c>
      <c r="B2537">
        <v>-0.36</v>
      </c>
    </row>
    <row r="2538" spans="1:2">
      <c r="A2538">
        <v>167</v>
      </c>
      <c r="B2538" t="s">
        <v>24</v>
      </c>
    </row>
    <row r="2539" spans="1:2">
      <c r="A2539">
        <v>167</v>
      </c>
      <c r="B2539">
        <v>2.1549999999999998</v>
      </c>
    </row>
    <row r="2540" spans="1:2">
      <c r="A2540">
        <v>167</v>
      </c>
      <c r="B2540" t="s">
        <v>35</v>
      </c>
    </row>
    <row r="2541" spans="1:2">
      <c r="A2541">
        <v>167</v>
      </c>
      <c r="B2541">
        <v>0.60599999999999998</v>
      </c>
    </row>
    <row r="2542" spans="1:2">
      <c r="A2542">
        <v>167</v>
      </c>
      <c r="B2542" t="s">
        <v>36</v>
      </c>
    </row>
    <row r="2543" spans="1:2">
      <c r="A2543">
        <v>167</v>
      </c>
      <c r="B2543">
        <v>0.36699999999999999</v>
      </c>
    </row>
    <row r="2544" spans="1:2">
      <c r="A2544">
        <v>167</v>
      </c>
      <c r="B2544" t="s">
        <v>37</v>
      </c>
    </row>
    <row r="2545" spans="1:2">
      <c r="A2545">
        <v>167</v>
      </c>
      <c r="B2545">
        <v>-0.48199999999999998</v>
      </c>
    </row>
    <row r="2546" spans="1:2">
      <c r="A2546">
        <v>167</v>
      </c>
      <c r="B2546" t="s">
        <v>38</v>
      </c>
    </row>
    <row r="2547" spans="1:2">
      <c r="A2547">
        <v>167</v>
      </c>
      <c r="B2547">
        <v>0.59299999999999997</v>
      </c>
    </row>
    <row r="2548" spans="1:2">
      <c r="A2548">
        <v>167</v>
      </c>
      <c r="B2548" t="s">
        <v>39</v>
      </c>
    </row>
    <row r="2549" spans="1:2">
      <c r="A2549">
        <v>167</v>
      </c>
      <c r="B2549">
        <v>-0.10299999999999999</v>
      </c>
    </row>
    <row r="2550" spans="1:2">
      <c r="A2550">
        <v>167</v>
      </c>
      <c r="B2550" t="s">
        <v>40</v>
      </c>
    </row>
    <row r="2551" spans="1:2">
      <c r="A2551">
        <v>167</v>
      </c>
      <c r="B2551" s="4">
        <v>0</v>
      </c>
    </row>
    <row r="2552" spans="1:2">
      <c r="A2552">
        <v>167</v>
      </c>
      <c r="B2552" t="s">
        <v>41</v>
      </c>
    </row>
    <row r="2553" spans="1:2">
      <c r="A2553">
        <v>167</v>
      </c>
      <c r="B2553" s="4">
        <v>19000000</v>
      </c>
    </row>
    <row r="2554" spans="1:2">
      <c r="A2554">
        <v>167</v>
      </c>
      <c r="B2554" t="s">
        <v>42</v>
      </c>
    </row>
    <row r="2555" spans="1:2">
      <c r="A2555">
        <v>167</v>
      </c>
      <c r="B2555" t="s">
        <v>44</v>
      </c>
    </row>
    <row r="2556" spans="1:2">
      <c r="A2556">
        <v>168</v>
      </c>
      <c r="B2556" t="s">
        <v>27</v>
      </c>
    </row>
    <row r="2557" spans="1:2">
      <c r="A2557">
        <v>168</v>
      </c>
      <c r="B2557" s="2">
        <v>9.3880000000000005E-2</v>
      </c>
    </row>
    <row r="2558" spans="1:2">
      <c r="A2558">
        <v>168</v>
      </c>
      <c r="B2558" t="s">
        <v>1</v>
      </c>
    </row>
    <row r="2559" spans="1:2">
      <c r="A2559">
        <v>168</v>
      </c>
      <c r="B2559">
        <v>-0.36699999999999999</v>
      </c>
    </row>
    <row r="2560" spans="1:2">
      <c r="A2560">
        <v>168</v>
      </c>
      <c r="B2560" t="s">
        <v>28</v>
      </c>
    </row>
    <row r="2561" spans="1:2">
      <c r="A2561">
        <v>168</v>
      </c>
      <c r="B2561">
        <v>459</v>
      </c>
    </row>
    <row r="2562" spans="1:2">
      <c r="A2562">
        <v>168</v>
      </c>
      <c r="B2562" t="s">
        <v>25</v>
      </c>
    </row>
    <row r="2563" spans="1:2">
      <c r="A2563">
        <v>168</v>
      </c>
      <c r="B2563" s="2">
        <v>4.1099999999999998E-2</v>
      </c>
    </row>
    <row r="2564" spans="1:2">
      <c r="A2564">
        <v>168</v>
      </c>
      <c r="B2564" t="s">
        <v>29</v>
      </c>
    </row>
    <row r="2565" spans="1:2">
      <c r="A2565">
        <v>168</v>
      </c>
      <c r="B2565" s="2">
        <v>-7.9299999999999995E-2</v>
      </c>
    </row>
    <row r="2566" spans="1:2">
      <c r="A2566">
        <v>168</v>
      </c>
      <c r="B2566" t="s">
        <v>30</v>
      </c>
    </row>
    <row r="2567" spans="1:2">
      <c r="A2567">
        <v>168</v>
      </c>
      <c r="B2567" s="2">
        <v>-0.46013999999999999</v>
      </c>
    </row>
    <row r="2568" spans="1:2">
      <c r="A2568">
        <v>168</v>
      </c>
      <c r="B2568" t="s">
        <v>8</v>
      </c>
    </row>
    <row r="2569" spans="1:2">
      <c r="A2569">
        <v>168</v>
      </c>
      <c r="B2569" s="2">
        <v>0.59299999999999997</v>
      </c>
    </row>
    <row r="2570" spans="1:2">
      <c r="A2570">
        <v>168</v>
      </c>
      <c r="B2570" t="s">
        <v>31</v>
      </c>
    </row>
    <row r="2571" spans="1:2">
      <c r="A2571">
        <v>168</v>
      </c>
      <c r="B2571">
        <v>-0.29099999999999998</v>
      </c>
    </row>
    <row r="2572" spans="1:2">
      <c r="A2572">
        <v>168</v>
      </c>
      <c r="B2572" t="s">
        <v>32</v>
      </c>
    </row>
    <row r="2573" spans="1:2">
      <c r="A2573">
        <v>168</v>
      </c>
      <c r="B2573" s="2">
        <v>-0.32754</v>
      </c>
    </row>
    <row r="2574" spans="1:2">
      <c r="A2574">
        <v>168</v>
      </c>
      <c r="B2574" t="s">
        <v>33</v>
      </c>
    </row>
    <row r="2575" spans="1:2">
      <c r="A2575">
        <v>168</v>
      </c>
      <c r="B2575" s="3">
        <v>0.53</v>
      </c>
    </row>
    <row r="2576" spans="1:2">
      <c r="A2576">
        <v>168</v>
      </c>
      <c r="B2576" t="s">
        <v>34</v>
      </c>
    </row>
    <row r="2577" spans="1:2">
      <c r="A2577">
        <v>168</v>
      </c>
      <c r="B2577" s="3">
        <v>0.47</v>
      </c>
    </row>
    <row r="2578" spans="1:2">
      <c r="A2578">
        <v>168</v>
      </c>
      <c r="B2578" t="s">
        <v>26</v>
      </c>
    </row>
    <row r="2579" spans="1:2">
      <c r="A2579">
        <v>168</v>
      </c>
      <c r="B2579">
        <v>0.52</v>
      </c>
    </row>
    <row r="2580" spans="1:2">
      <c r="A2580">
        <v>168</v>
      </c>
      <c r="B2580" t="s">
        <v>23</v>
      </c>
    </row>
    <row r="2581" spans="1:2">
      <c r="A2581">
        <v>168</v>
      </c>
      <c r="B2581">
        <v>-0.36</v>
      </c>
    </row>
    <row r="2582" spans="1:2">
      <c r="A2582">
        <v>168</v>
      </c>
      <c r="B2582" t="s">
        <v>24</v>
      </c>
    </row>
    <row r="2583" spans="1:2">
      <c r="A2583">
        <v>168</v>
      </c>
      <c r="B2583">
        <v>2.1549999999999998</v>
      </c>
    </row>
    <row r="2584" spans="1:2">
      <c r="A2584">
        <v>168</v>
      </c>
      <c r="B2584" t="s">
        <v>35</v>
      </c>
    </row>
    <row r="2585" spans="1:2">
      <c r="A2585">
        <v>168</v>
      </c>
      <c r="B2585">
        <v>0.60599999999999998</v>
      </c>
    </row>
    <row r="2586" spans="1:2">
      <c r="A2586">
        <v>168</v>
      </c>
      <c r="B2586" t="s">
        <v>36</v>
      </c>
    </row>
    <row r="2587" spans="1:2">
      <c r="A2587">
        <v>168</v>
      </c>
      <c r="B2587">
        <v>0.36699999999999999</v>
      </c>
    </row>
    <row r="2588" spans="1:2">
      <c r="A2588">
        <v>168</v>
      </c>
      <c r="B2588" t="s">
        <v>37</v>
      </c>
    </row>
    <row r="2589" spans="1:2">
      <c r="A2589">
        <v>168</v>
      </c>
      <c r="B2589">
        <v>-0.48199999999999998</v>
      </c>
    </row>
    <row r="2590" spans="1:2">
      <c r="A2590">
        <v>168</v>
      </c>
      <c r="B2590" t="s">
        <v>38</v>
      </c>
    </row>
    <row r="2591" spans="1:2">
      <c r="A2591">
        <v>168</v>
      </c>
      <c r="B2591">
        <v>0.59299999999999997</v>
      </c>
    </row>
    <row r="2592" spans="1:2">
      <c r="A2592">
        <v>168</v>
      </c>
      <c r="B2592" t="s">
        <v>39</v>
      </c>
    </row>
    <row r="2593" spans="1:2">
      <c r="A2593">
        <v>168</v>
      </c>
      <c r="B2593">
        <v>-0.10299999999999999</v>
      </c>
    </row>
    <row r="2594" spans="1:2">
      <c r="A2594">
        <v>168</v>
      </c>
      <c r="B2594" t="s">
        <v>40</v>
      </c>
    </row>
    <row r="2595" spans="1:2">
      <c r="A2595">
        <v>168</v>
      </c>
      <c r="B2595" s="4">
        <v>0</v>
      </c>
    </row>
    <row r="2596" spans="1:2">
      <c r="A2596">
        <v>168</v>
      </c>
      <c r="B2596" t="s">
        <v>41</v>
      </c>
    </row>
    <row r="2597" spans="1:2">
      <c r="A2597">
        <v>168</v>
      </c>
      <c r="B2597" s="4">
        <v>19000000</v>
      </c>
    </row>
    <row r="2598" spans="1:2">
      <c r="A2598">
        <v>168</v>
      </c>
      <c r="B2598" t="s">
        <v>42</v>
      </c>
    </row>
    <row r="2599" spans="1:2">
      <c r="A2599">
        <v>168</v>
      </c>
      <c r="B2599" t="s">
        <v>44</v>
      </c>
    </row>
    <row r="2600" spans="1:2">
      <c r="A2600">
        <v>169</v>
      </c>
      <c r="B2600" t="s">
        <v>27</v>
      </c>
    </row>
    <row r="2601" spans="1:2">
      <c r="A2601">
        <v>169</v>
      </c>
      <c r="B2601" s="2">
        <v>9.3880000000000005E-2</v>
      </c>
    </row>
    <row r="2602" spans="1:2">
      <c r="A2602">
        <v>169</v>
      </c>
      <c r="B2602" t="s">
        <v>1</v>
      </c>
    </row>
    <row r="2603" spans="1:2">
      <c r="A2603">
        <v>169</v>
      </c>
      <c r="B2603">
        <v>-0.36699999999999999</v>
      </c>
    </row>
    <row r="2604" spans="1:2">
      <c r="A2604">
        <v>169</v>
      </c>
      <c r="B2604" t="s">
        <v>28</v>
      </c>
    </row>
    <row r="2605" spans="1:2">
      <c r="A2605">
        <v>169</v>
      </c>
      <c r="B2605">
        <v>459</v>
      </c>
    </row>
    <row r="2606" spans="1:2">
      <c r="A2606">
        <v>169</v>
      </c>
      <c r="B2606" t="s">
        <v>25</v>
      </c>
    </row>
    <row r="2607" spans="1:2">
      <c r="A2607">
        <v>169</v>
      </c>
      <c r="B2607" s="2">
        <v>4.1099999999999998E-2</v>
      </c>
    </row>
    <row r="2608" spans="1:2">
      <c r="A2608">
        <v>169</v>
      </c>
      <c r="B2608" t="s">
        <v>29</v>
      </c>
    </row>
    <row r="2609" spans="1:2">
      <c r="A2609">
        <v>169</v>
      </c>
      <c r="B2609" s="2">
        <v>-7.9299999999999995E-2</v>
      </c>
    </row>
    <row r="2610" spans="1:2">
      <c r="A2610">
        <v>169</v>
      </c>
      <c r="B2610" t="s">
        <v>30</v>
      </c>
    </row>
    <row r="2611" spans="1:2">
      <c r="A2611">
        <v>169</v>
      </c>
      <c r="B2611" s="2">
        <v>-0.46013999999999999</v>
      </c>
    </row>
    <row r="2612" spans="1:2">
      <c r="A2612">
        <v>169</v>
      </c>
      <c r="B2612" t="s">
        <v>8</v>
      </c>
    </row>
    <row r="2613" spans="1:2">
      <c r="A2613">
        <v>169</v>
      </c>
      <c r="B2613" s="2">
        <v>0.59299999999999997</v>
      </c>
    </row>
    <row r="2614" spans="1:2">
      <c r="A2614">
        <v>169</v>
      </c>
      <c r="B2614" t="s">
        <v>31</v>
      </c>
    </row>
    <row r="2615" spans="1:2">
      <c r="A2615">
        <v>169</v>
      </c>
      <c r="B2615">
        <v>-0.29099999999999998</v>
      </c>
    </row>
    <row r="2616" spans="1:2">
      <c r="A2616">
        <v>169</v>
      </c>
      <c r="B2616" t="s">
        <v>32</v>
      </c>
    </row>
    <row r="2617" spans="1:2">
      <c r="A2617">
        <v>169</v>
      </c>
      <c r="B2617" s="2">
        <v>-0.32754</v>
      </c>
    </row>
    <row r="2618" spans="1:2">
      <c r="A2618">
        <v>169</v>
      </c>
      <c r="B2618" t="s">
        <v>33</v>
      </c>
    </row>
    <row r="2619" spans="1:2">
      <c r="A2619">
        <v>169</v>
      </c>
      <c r="B2619" s="3">
        <v>0.53</v>
      </c>
    </row>
    <row r="2620" spans="1:2">
      <c r="A2620">
        <v>169</v>
      </c>
      <c r="B2620" t="s">
        <v>34</v>
      </c>
    </row>
    <row r="2621" spans="1:2">
      <c r="A2621">
        <v>169</v>
      </c>
      <c r="B2621" s="3">
        <v>0.47</v>
      </c>
    </row>
    <row r="2622" spans="1:2">
      <c r="A2622">
        <v>169</v>
      </c>
      <c r="B2622" t="s">
        <v>26</v>
      </c>
    </row>
    <row r="2623" spans="1:2">
      <c r="A2623">
        <v>169</v>
      </c>
      <c r="B2623">
        <v>0.52</v>
      </c>
    </row>
    <row r="2624" spans="1:2">
      <c r="A2624">
        <v>169</v>
      </c>
      <c r="B2624" t="s">
        <v>23</v>
      </c>
    </row>
    <row r="2625" spans="1:2">
      <c r="A2625">
        <v>169</v>
      </c>
      <c r="B2625">
        <v>-0.36</v>
      </c>
    </row>
    <row r="2626" spans="1:2">
      <c r="A2626">
        <v>169</v>
      </c>
      <c r="B2626" t="s">
        <v>24</v>
      </c>
    </row>
    <row r="2627" spans="1:2">
      <c r="A2627">
        <v>169</v>
      </c>
      <c r="B2627">
        <v>2.1549999999999998</v>
      </c>
    </row>
    <row r="2628" spans="1:2">
      <c r="A2628">
        <v>169</v>
      </c>
      <c r="B2628" t="s">
        <v>35</v>
      </c>
    </row>
    <row r="2629" spans="1:2">
      <c r="A2629">
        <v>169</v>
      </c>
      <c r="B2629">
        <v>0.60599999999999998</v>
      </c>
    </row>
    <row r="2630" spans="1:2">
      <c r="A2630">
        <v>169</v>
      </c>
      <c r="B2630" t="s">
        <v>36</v>
      </c>
    </row>
    <row r="2631" spans="1:2">
      <c r="A2631">
        <v>169</v>
      </c>
      <c r="B2631">
        <v>0.36699999999999999</v>
      </c>
    </row>
    <row r="2632" spans="1:2">
      <c r="A2632">
        <v>169</v>
      </c>
      <c r="B2632" t="s">
        <v>37</v>
      </c>
    </row>
    <row r="2633" spans="1:2">
      <c r="A2633">
        <v>169</v>
      </c>
      <c r="B2633">
        <v>-0.48199999999999998</v>
      </c>
    </row>
    <row r="2634" spans="1:2">
      <c r="A2634">
        <v>169</v>
      </c>
      <c r="B2634" t="s">
        <v>38</v>
      </c>
    </row>
    <row r="2635" spans="1:2">
      <c r="A2635">
        <v>169</v>
      </c>
      <c r="B2635">
        <v>0.59299999999999997</v>
      </c>
    </row>
    <row r="2636" spans="1:2">
      <c r="A2636">
        <v>169</v>
      </c>
      <c r="B2636" t="s">
        <v>39</v>
      </c>
    </row>
    <row r="2637" spans="1:2">
      <c r="A2637">
        <v>169</v>
      </c>
      <c r="B2637">
        <v>-0.10299999999999999</v>
      </c>
    </row>
    <row r="2638" spans="1:2">
      <c r="A2638">
        <v>169</v>
      </c>
      <c r="B2638" t="s">
        <v>40</v>
      </c>
    </row>
    <row r="2639" spans="1:2">
      <c r="A2639">
        <v>169</v>
      </c>
      <c r="B2639" s="4">
        <v>0</v>
      </c>
    </row>
    <row r="2640" spans="1:2">
      <c r="A2640">
        <v>169</v>
      </c>
      <c r="B2640" t="s">
        <v>41</v>
      </c>
    </row>
    <row r="2641" spans="1:2">
      <c r="A2641">
        <v>169</v>
      </c>
      <c r="B2641" s="4">
        <v>19000000</v>
      </c>
    </row>
    <row r="2642" spans="1:2">
      <c r="A2642">
        <v>169</v>
      </c>
      <c r="B2642" t="s">
        <v>42</v>
      </c>
    </row>
    <row r="2643" spans="1:2">
      <c r="A2643">
        <v>169</v>
      </c>
      <c r="B2643" t="s">
        <v>44</v>
      </c>
    </row>
    <row r="2644" spans="1:2">
      <c r="A2644">
        <v>170</v>
      </c>
      <c r="B2644" t="s">
        <v>27</v>
      </c>
    </row>
    <row r="2645" spans="1:2">
      <c r="A2645">
        <v>170</v>
      </c>
      <c r="B2645" s="2">
        <v>9.3880000000000005E-2</v>
      </c>
    </row>
    <row r="2646" spans="1:2">
      <c r="A2646">
        <v>170</v>
      </c>
      <c r="B2646" t="s">
        <v>1</v>
      </c>
    </row>
    <row r="2647" spans="1:2">
      <c r="A2647">
        <v>170</v>
      </c>
      <c r="B2647">
        <v>-0.36699999999999999</v>
      </c>
    </row>
    <row r="2648" spans="1:2">
      <c r="A2648">
        <v>170</v>
      </c>
      <c r="B2648" t="s">
        <v>28</v>
      </c>
    </row>
    <row r="2649" spans="1:2">
      <c r="A2649">
        <v>170</v>
      </c>
      <c r="B2649">
        <v>459</v>
      </c>
    </row>
    <row r="2650" spans="1:2">
      <c r="A2650">
        <v>170</v>
      </c>
      <c r="B2650" t="s">
        <v>25</v>
      </c>
    </row>
    <row r="2651" spans="1:2">
      <c r="A2651">
        <v>170</v>
      </c>
      <c r="B2651" s="2">
        <v>4.1099999999999998E-2</v>
      </c>
    </row>
    <row r="2652" spans="1:2">
      <c r="A2652">
        <v>170</v>
      </c>
      <c r="B2652" t="s">
        <v>29</v>
      </c>
    </row>
    <row r="2653" spans="1:2">
      <c r="A2653">
        <v>170</v>
      </c>
      <c r="B2653" s="2">
        <v>-7.9299999999999995E-2</v>
      </c>
    </row>
    <row r="2654" spans="1:2">
      <c r="A2654">
        <v>170</v>
      </c>
      <c r="B2654" t="s">
        <v>30</v>
      </c>
    </row>
    <row r="2655" spans="1:2">
      <c r="A2655">
        <v>170</v>
      </c>
      <c r="B2655" s="2">
        <v>-0.46013999999999999</v>
      </c>
    </row>
    <row r="2656" spans="1:2">
      <c r="A2656">
        <v>170</v>
      </c>
      <c r="B2656" t="s">
        <v>8</v>
      </c>
    </row>
    <row r="2657" spans="1:2">
      <c r="A2657">
        <v>170</v>
      </c>
      <c r="B2657" s="2">
        <v>0.59299999999999997</v>
      </c>
    </row>
    <row r="2658" spans="1:2">
      <c r="A2658">
        <v>170</v>
      </c>
      <c r="B2658" t="s">
        <v>31</v>
      </c>
    </row>
    <row r="2659" spans="1:2">
      <c r="A2659">
        <v>170</v>
      </c>
      <c r="B2659">
        <v>-0.29099999999999998</v>
      </c>
    </row>
    <row r="2660" spans="1:2">
      <c r="A2660">
        <v>170</v>
      </c>
      <c r="B2660" t="s">
        <v>32</v>
      </c>
    </row>
    <row r="2661" spans="1:2">
      <c r="A2661">
        <v>170</v>
      </c>
      <c r="B2661" s="2">
        <v>-0.32754</v>
      </c>
    </row>
    <row r="2662" spans="1:2">
      <c r="A2662">
        <v>170</v>
      </c>
      <c r="B2662" t="s">
        <v>33</v>
      </c>
    </row>
    <row r="2663" spans="1:2">
      <c r="A2663">
        <v>170</v>
      </c>
      <c r="B2663" s="3">
        <v>0.53</v>
      </c>
    </row>
    <row r="2664" spans="1:2">
      <c r="A2664">
        <v>170</v>
      </c>
      <c r="B2664" t="s">
        <v>34</v>
      </c>
    </row>
    <row r="2665" spans="1:2">
      <c r="A2665">
        <v>170</v>
      </c>
      <c r="B2665" s="3">
        <v>0.47</v>
      </c>
    </row>
    <row r="2666" spans="1:2">
      <c r="A2666">
        <v>170</v>
      </c>
      <c r="B2666" t="s">
        <v>26</v>
      </c>
    </row>
    <row r="2667" spans="1:2">
      <c r="A2667">
        <v>170</v>
      </c>
      <c r="B2667">
        <v>0.52</v>
      </c>
    </row>
    <row r="2668" spans="1:2">
      <c r="A2668">
        <v>170</v>
      </c>
      <c r="B2668" t="s">
        <v>23</v>
      </c>
    </row>
    <row r="2669" spans="1:2">
      <c r="A2669">
        <v>170</v>
      </c>
      <c r="B2669">
        <v>-0.36</v>
      </c>
    </row>
    <row r="2670" spans="1:2">
      <c r="A2670">
        <v>170</v>
      </c>
      <c r="B2670" t="s">
        <v>24</v>
      </c>
    </row>
    <row r="2671" spans="1:2">
      <c r="A2671">
        <v>170</v>
      </c>
      <c r="B2671">
        <v>2.1549999999999998</v>
      </c>
    </row>
    <row r="2672" spans="1:2">
      <c r="A2672">
        <v>170</v>
      </c>
      <c r="B2672" t="s">
        <v>35</v>
      </c>
    </row>
    <row r="2673" spans="1:2">
      <c r="A2673">
        <v>170</v>
      </c>
      <c r="B2673">
        <v>0.60599999999999998</v>
      </c>
    </row>
    <row r="2674" spans="1:2">
      <c r="A2674">
        <v>170</v>
      </c>
      <c r="B2674" t="s">
        <v>36</v>
      </c>
    </row>
    <row r="2675" spans="1:2">
      <c r="A2675">
        <v>170</v>
      </c>
      <c r="B2675">
        <v>0.36699999999999999</v>
      </c>
    </row>
    <row r="2676" spans="1:2">
      <c r="A2676">
        <v>170</v>
      </c>
      <c r="B2676" t="s">
        <v>37</v>
      </c>
    </row>
    <row r="2677" spans="1:2">
      <c r="A2677">
        <v>170</v>
      </c>
      <c r="B2677">
        <v>-0.48199999999999998</v>
      </c>
    </row>
    <row r="2678" spans="1:2">
      <c r="A2678">
        <v>170</v>
      </c>
      <c r="B2678" t="s">
        <v>38</v>
      </c>
    </row>
    <row r="2679" spans="1:2">
      <c r="A2679">
        <v>170</v>
      </c>
      <c r="B2679">
        <v>0.59299999999999997</v>
      </c>
    </row>
    <row r="2680" spans="1:2">
      <c r="A2680">
        <v>170</v>
      </c>
      <c r="B2680" t="s">
        <v>39</v>
      </c>
    </row>
    <row r="2681" spans="1:2">
      <c r="A2681">
        <v>170</v>
      </c>
      <c r="B2681">
        <v>-0.10299999999999999</v>
      </c>
    </row>
    <row r="2682" spans="1:2">
      <c r="A2682">
        <v>170</v>
      </c>
      <c r="B2682" t="s">
        <v>40</v>
      </c>
    </row>
    <row r="2683" spans="1:2">
      <c r="A2683">
        <v>170</v>
      </c>
      <c r="B2683" s="4">
        <v>0</v>
      </c>
    </row>
    <row r="2684" spans="1:2">
      <c r="A2684">
        <v>170</v>
      </c>
      <c r="B2684" t="s">
        <v>41</v>
      </c>
    </row>
    <row r="2685" spans="1:2">
      <c r="A2685">
        <v>170</v>
      </c>
      <c r="B2685" s="4">
        <v>19000000</v>
      </c>
    </row>
    <row r="2686" spans="1:2">
      <c r="A2686">
        <v>170</v>
      </c>
      <c r="B2686" t="s">
        <v>42</v>
      </c>
    </row>
    <row r="2687" spans="1:2">
      <c r="A2687">
        <v>170</v>
      </c>
      <c r="B2687" t="s">
        <v>44</v>
      </c>
    </row>
    <row r="2688" spans="1:2">
      <c r="A2688">
        <v>171</v>
      </c>
      <c r="B2688" t="s">
        <v>27</v>
      </c>
    </row>
    <row r="2689" spans="1:2">
      <c r="A2689">
        <v>171</v>
      </c>
      <c r="B2689" s="2">
        <v>9.3880000000000005E-2</v>
      </c>
    </row>
    <row r="2690" spans="1:2">
      <c r="A2690">
        <v>171</v>
      </c>
      <c r="B2690" t="s">
        <v>1</v>
      </c>
    </row>
    <row r="2691" spans="1:2">
      <c r="A2691">
        <v>171</v>
      </c>
      <c r="B2691">
        <v>-0.36699999999999999</v>
      </c>
    </row>
    <row r="2692" spans="1:2">
      <c r="A2692">
        <v>171</v>
      </c>
      <c r="B2692" t="s">
        <v>28</v>
      </c>
    </row>
    <row r="2693" spans="1:2">
      <c r="A2693">
        <v>171</v>
      </c>
      <c r="B2693">
        <v>459</v>
      </c>
    </row>
    <row r="2694" spans="1:2">
      <c r="A2694">
        <v>171</v>
      </c>
      <c r="B2694" t="s">
        <v>25</v>
      </c>
    </row>
    <row r="2695" spans="1:2">
      <c r="A2695">
        <v>171</v>
      </c>
      <c r="B2695" s="2">
        <v>4.1099999999999998E-2</v>
      </c>
    </row>
    <row r="2696" spans="1:2">
      <c r="A2696">
        <v>171</v>
      </c>
      <c r="B2696" t="s">
        <v>29</v>
      </c>
    </row>
    <row r="2697" spans="1:2">
      <c r="A2697">
        <v>171</v>
      </c>
      <c r="B2697" s="2">
        <v>-7.9299999999999995E-2</v>
      </c>
    </row>
    <row r="2698" spans="1:2">
      <c r="A2698">
        <v>171</v>
      </c>
      <c r="B2698" t="s">
        <v>30</v>
      </c>
    </row>
    <row r="2699" spans="1:2">
      <c r="A2699">
        <v>171</v>
      </c>
      <c r="B2699" s="2">
        <v>-0.46013999999999999</v>
      </c>
    </row>
    <row r="2700" spans="1:2">
      <c r="A2700">
        <v>171</v>
      </c>
      <c r="B2700" t="s">
        <v>8</v>
      </c>
    </row>
    <row r="2701" spans="1:2">
      <c r="A2701">
        <v>171</v>
      </c>
      <c r="B2701" s="2">
        <v>0.59299999999999997</v>
      </c>
    </row>
    <row r="2702" spans="1:2">
      <c r="A2702">
        <v>171</v>
      </c>
      <c r="B2702" t="s">
        <v>31</v>
      </c>
    </row>
    <row r="2703" spans="1:2">
      <c r="A2703">
        <v>171</v>
      </c>
      <c r="B2703">
        <v>-0.29099999999999998</v>
      </c>
    </row>
    <row r="2704" spans="1:2">
      <c r="A2704">
        <v>171</v>
      </c>
      <c r="B2704" t="s">
        <v>32</v>
      </c>
    </row>
    <row r="2705" spans="1:2">
      <c r="A2705">
        <v>171</v>
      </c>
      <c r="B2705" s="2">
        <v>-0.32754</v>
      </c>
    </row>
    <row r="2706" spans="1:2">
      <c r="A2706">
        <v>171</v>
      </c>
      <c r="B2706" t="s">
        <v>33</v>
      </c>
    </row>
    <row r="2707" spans="1:2">
      <c r="A2707">
        <v>171</v>
      </c>
      <c r="B2707" s="3">
        <v>0.53</v>
      </c>
    </row>
    <row r="2708" spans="1:2">
      <c r="A2708">
        <v>171</v>
      </c>
      <c r="B2708" t="s">
        <v>34</v>
      </c>
    </row>
    <row r="2709" spans="1:2">
      <c r="A2709">
        <v>171</v>
      </c>
      <c r="B2709" s="3">
        <v>0.47</v>
      </c>
    </row>
    <row r="2710" spans="1:2">
      <c r="A2710">
        <v>171</v>
      </c>
      <c r="B2710" t="s">
        <v>26</v>
      </c>
    </row>
    <row r="2711" spans="1:2">
      <c r="A2711">
        <v>171</v>
      </c>
      <c r="B2711">
        <v>0.52</v>
      </c>
    </row>
    <row r="2712" spans="1:2">
      <c r="A2712">
        <v>171</v>
      </c>
      <c r="B2712" t="s">
        <v>23</v>
      </c>
    </row>
    <row r="2713" spans="1:2">
      <c r="A2713">
        <v>171</v>
      </c>
      <c r="B2713">
        <v>-0.36</v>
      </c>
    </row>
    <row r="2714" spans="1:2">
      <c r="A2714">
        <v>171</v>
      </c>
      <c r="B2714" t="s">
        <v>24</v>
      </c>
    </row>
    <row r="2715" spans="1:2">
      <c r="A2715">
        <v>171</v>
      </c>
      <c r="B2715">
        <v>2.1549999999999998</v>
      </c>
    </row>
    <row r="2716" spans="1:2">
      <c r="A2716">
        <v>171</v>
      </c>
      <c r="B2716" t="s">
        <v>35</v>
      </c>
    </row>
    <row r="2717" spans="1:2">
      <c r="A2717">
        <v>171</v>
      </c>
      <c r="B2717">
        <v>0.60599999999999998</v>
      </c>
    </row>
    <row r="2718" spans="1:2">
      <c r="A2718">
        <v>171</v>
      </c>
      <c r="B2718" t="s">
        <v>36</v>
      </c>
    </row>
    <row r="2719" spans="1:2">
      <c r="A2719">
        <v>171</v>
      </c>
      <c r="B2719">
        <v>0.36699999999999999</v>
      </c>
    </row>
    <row r="2720" spans="1:2">
      <c r="A2720">
        <v>171</v>
      </c>
      <c r="B2720" t="s">
        <v>37</v>
      </c>
    </row>
    <row r="2721" spans="1:2">
      <c r="A2721">
        <v>171</v>
      </c>
      <c r="B2721">
        <v>-0.48199999999999998</v>
      </c>
    </row>
    <row r="2722" spans="1:2">
      <c r="A2722">
        <v>171</v>
      </c>
      <c r="B2722" t="s">
        <v>38</v>
      </c>
    </row>
    <row r="2723" spans="1:2">
      <c r="A2723">
        <v>171</v>
      </c>
      <c r="B2723">
        <v>0.59299999999999997</v>
      </c>
    </row>
    <row r="2724" spans="1:2">
      <c r="A2724">
        <v>171</v>
      </c>
      <c r="B2724" t="s">
        <v>39</v>
      </c>
    </row>
    <row r="2725" spans="1:2">
      <c r="A2725">
        <v>171</v>
      </c>
      <c r="B2725">
        <v>-0.10299999999999999</v>
      </c>
    </row>
    <row r="2726" spans="1:2">
      <c r="A2726">
        <v>171</v>
      </c>
      <c r="B2726" t="s">
        <v>40</v>
      </c>
    </row>
    <row r="2727" spans="1:2">
      <c r="A2727">
        <v>171</v>
      </c>
      <c r="B2727" s="4">
        <v>0</v>
      </c>
    </row>
    <row r="2728" spans="1:2">
      <c r="A2728">
        <v>171</v>
      </c>
      <c r="B2728" t="s">
        <v>41</v>
      </c>
    </row>
    <row r="2729" spans="1:2">
      <c r="A2729">
        <v>171</v>
      </c>
      <c r="B2729" s="4">
        <v>19000000</v>
      </c>
    </row>
    <row r="2730" spans="1:2">
      <c r="A2730">
        <v>171</v>
      </c>
      <c r="B2730" t="s">
        <v>42</v>
      </c>
    </row>
    <row r="2731" spans="1:2">
      <c r="A2731">
        <v>171</v>
      </c>
      <c r="B2731" t="s">
        <v>44</v>
      </c>
    </row>
    <row r="2732" spans="1:2">
      <c r="A2732">
        <v>189</v>
      </c>
      <c r="B2732" t="s">
        <v>27</v>
      </c>
    </row>
    <row r="2733" spans="1:2">
      <c r="A2733">
        <v>189</v>
      </c>
      <c r="B2733" s="2">
        <v>9.3880000000000005E-2</v>
      </c>
    </row>
    <row r="2734" spans="1:2">
      <c r="A2734">
        <v>189</v>
      </c>
      <c r="B2734" t="s">
        <v>1</v>
      </c>
    </row>
    <row r="2735" spans="1:2">
      <c r="A2735">
        <v>189</v>
      </c>
      <c r="B2735">
        <v>-0.36699999999999999</v>
      </c>
    </row>
    <row r="2736" spans="1:2">
      <c r="A2736">
        <v>189</v>
      </c>
      <c r="B2736" t="s">
        <v>28</v>
      </c>
    </row>
    <row r="2737" spans="1:2">
      <c r="A2737">
        <v>189</v>
      </c>
      <c r="B2737">
        <v>459</v>
      </c>
    </row>
    <row r="2738" spans="1:2">
      <c r="A2738">
        <v>189</v>
      </c>
      <c r="B2738" t="s">
        <v>25</v>
      </c>
    </row>
    <row r="2739" spans="1:2">
      <c r="A2739">
        <v>189</v>
      </c>
      <c r="B2739" s="2">
        <v>4.1099999999999998E-2</v>
      </c>
    </row>
    <row r="2740" spans="1:2">
      <c r="A2740">
        <v>189</v>
      </c>
      <c r="B2740" t="s">
        <v>29</v>
      </c>
    </row>
    <row r="2741" spans="1:2">
      <c r="A2741">
        <v>189</v>
      </c>
      <c r="B2741" s="2">
        <v>-7.9299999999999995E-2</v>
      </c>
    </row>
    <row r="2742" spans="1:2">
      <c r="A2742">
        <v>189</v>
      </c>
      <c r="B2742" t="s">
        <v>30</v>
      </c>
    </row>
    <row r="2743" spans="1:2">
      <c r="A2743">
        <v>189</v>
      </c>
      <c r="B2743" s="2">
        <v>-0.46013999999999999</v>
      </c>
    </row>
    <row r="2744" spans="1:2">
      <c r="A2744">
        <v>189</v>
      </c>
      <c r="B2744" t="s">
        <v>8</v>
      </c>
    </row>
    <row r="2745" spans="1:2">
      <c r="A2745">
        <v>189</v>
      </c>
      <c r="B2745" s="2">
        <v>0.59299999999999997</v>
      </c>
    </row>
    <row r="2746" spans="1:2">
      <c r="A2746">
        <v>189</v>
      </c>
      <c r="B2746" t="s">
        <v>31</v>
      </c>
    </row>
    <row r="2747" spans="1:2">
      <c r="A2747">
        <v>189</v>
      </c>
      <c r="B2747">
        <v>-0.29099999999999998</v>
      </c>
    </row>
    <row r="2748" spans="1:2">
      <c r="A2748">
        <v>189</v>
      </c>
      <c r="B2748" t="s">
        <v>32</v>
      </c>
    </row>
    <row r="2749" spans="1:2">
      <c r="A2749">
        <v>189</v>
      </c>
      <c r="B2749" s="2">
        <v>-0.32754</v>
      </c>
    </row>
    <row r="2750" spans="1:2">
      <c r="A2750">
        <v>189</v>
      </c>
      <c r="B2750" t="s">
        <v>33</v>
      </c>
    </row>
    <row r="2751" spans="1:2">
      <c r="A2751">
        <v>189</v>
      </c>
      <c r="B2751" s="3">
        <v>0.53</v>
      </c>
    </row>
    <row r="2752" spans="1:2">
      <c r="A2752">
        <v>189</v>
      </c>
      <c r="B2752" t="s">
        <v>34</v>
      </c>
    </row>
    <row r="2753" spans="1:2">
      <c r="A2753">
        <v>189</v>
      </c>
      <c r="B2753" s="3">
        <v>0.47</v>
      </c>
    </row>
    <row r="2754" spans="1:2">
      <c r="A2754">
        <v>189</v>
      </c>
      <c r="B2754" t="s">
        <v>26</v>
      </c>
    </row>
    <row r="2755" spans="1:2">
      <c r="A2755">
        <v>189</v>
      </c>
      <c r="B2755">
        <v>0.52</v>
      </c>
    </row>
    <row r="2756" spans="1:2">
      <c r="A2756">
        <v>189</v>
      </c>
      <c r="B2756" t="s">
        <v>23</v>
      </c>
    </row>
    <row r="2757" spans="1:2">
      <c r="A2757">
        <v>189</v>
      </c>
      <c r="B2757">
        <v>-0.36</v>
      </c>
    </row>
    <row r="2758" spans="1:2">
      <c r="A2758">
        <v>189</v>
      </c>
      <c r="B2758" t="s">
        <v>24</v>
      </c>
    </row>
    <row r="2759" spans="1:2">
      <c r="A2759">
        <v>189</v>
      </c>
      <c r="B2759">
        <v>2.1549999999999998</v>
      </c>
    </row>
    <row r="2760" spans="1:2">
      <c r="A2760">
        <v>189</v>
      </c>
      <c r="B2760" t="s">
        <v>35</v>
      </c>
    </row>
    <row r="2761" spans="1:2">
      <c r="A2761">
        <v>189</v>
      </c>
      <c r="B2761">
        <v>0.60599999999999998</v>
      </c>
    </row>
    <row r="2762" spans="1:2">
      <c r="A2762">
        <v>189</v>
      </c>
      <c r="B2762" t="s">
        <v>36</v>
      </c>
    </row>
    <row r="2763" spans="1:2">
      <c r="A2763">
        <v>189</v>
      </c>
      <c r="B2763">
        <v>0.36699999999999999</v>
      </c>
    </row>
    <row r="2764" spans="1:2">
      <c r="A2764">
        <v>189</v>
      </c>
      <c r="B2764" t="s">
        <v>37</v>
      </c>
    </row>
    <row r="2765" spans="1:2">
      <c r="A2765">
        <v>189</v>
      </c>
      <c r="B2765">
        <v>-0.48199999999999998</v>
      </c>
    </row>
    <row r="2766" spans="1:2">
      <c r="A2766">
        <v>189</v>
      </c>
      <c r="B2766" t="s">
        <v>38</v>
      </c>
    </row>
    <row r="2767" spans="1:2">
      <c r="A2767">
        <v>189</v>
      </c>
      <c r="B2767">
        <v>0.59299999999999997</v>
      </c>
    </row>
    <row r="2768" spans="1:2">
      <c r="A2768">
        <v>189</v>
      </c>
      <c r="B2768" t="s">
        <v>39</v>
      </c>
    </row>
    <row r="2769" spans="1:2">
      <c r="A2769">
        <v>189</v>
      </c>
      <c r="B2769">
        <v>-0.10299999999999999</v>
      </c>
    </row>
    <row r="2770" spans="1:2">
      <c r="A2770">
        <v>189</v>
      </c>
      <c r="B2770" t="s">
        <v>40</v>
      </c>
    </row>
    <row r="2771" spans="1:2">
      <c r="A2771">
        <v>189</v>
      </c>
      <c r="B2771" s="4">
        <v>0</v>
      </c>
    </row>
    <row r="2772" spans="1:2">
      <c r="A2772">
        <v>189</v>
      </c>
      <c r="B2772" t="s">
        <v>41</v>
      </c>
    </row>
    <row r="2773" spans="1:2">
      <c r="A2773">
        <v>189</v>
      </c>
      <c r="B2773" s="4">
        <v>19000000</v>
      </c>
    </row>
    <row r="2774" spans="1:2">
      <c r="A2774">
        <v>189</v>
      </c>
      <c r="B2774" t="s">
        <v>42</v>
      </c>
    </row>
    <row r="2775" spans="1:2">
      <c r="A2775">
        <v>189</v>
      </c>
      <c r="B2775" t="s">
        <v>44</v>
      </c>
    </row>
    <row r="2776" spans="1:2">
      <c r="A2776">
        <v>188</v>
      </c>
      <c r="B2776" t="s">
        <v>27</v>
      </c>
    </row>
    <row r="2777" spans="1:2">
      <c r="A2777">
        <v>188</v>
      </c>
      <c r="B2777" s="2">
        <v>9.3880000000000005E-2</v>
      </c>
    </row>
    <row r="2778" spans="1:2">
      <c r="A2778">
        <v>188</v>
      </c>
      <c r="B2778" t="s">
        <v>1</v>
      </c>
    </row>
    <row r="2779" spans="1:2">
      <c r="A2779">
        <v>188</v>
      </c>
      <c r="B2779">
        <v>-0.36699999999999999</v>
      </c>
    </row>
    <row r="2780" spans="1:2">
      <c r="A2780">
        <v>188</v>
      </c>
      <c r="B2780" t="s">
        <v>28</v>
      </c>
    </row>
    <row r="2781" spans="1:2">
      <c r="A2781">
        <v>188</v>
      </c>
      <c r="B2781">
        <v>459</v>
      </c>
    </row>
    <row r="2782" spans="1:2">
      <c r="A2782">
        <v>188</v>
      </c>
      <c r="B2782" t="s">
        <v>25</v>
      </c>
    </row>
    <row r="2783" spans="1:2">
      <c r="A2783">
        <v>188</v>
      </c>
      <c r="B2783" s="2">
        <v>4.1099999999999998E-2</v>
      </c>
    </row>
    <row r="2784" spans="1:2">
      <c r="A2784">
        <v>188</v>
      </c>
      <c r="B2784" t="s">
        <v>29</v>
      </c>
    </row>
    <row r="2785" spans="1:2">
      <c r="A2785">
        <v>188</v>
      </c>
      <c r="B2785" s="2">
        <v>-7.9299999999999995E-2</v>
      </c>
    </row>
    <row r="2786" spans="1:2">
      <c r="A2786">
        <v>188</v>
      </c>
      <c r="B2786" t="s">
        <v>30</v>
      </c>
    </row>
    <row r="2787" spans="1:2">
      <c r="A2787">
        <v>188</v>
      </c>
      <c r="B2787" s="2">
        <v>-0.46013999999999999</v>
      </c>
    </row>
    <row r="2788" spans="1:2">
      <c r="A2788">
        <v>188</v>
      </c>
      <c r="B2788" t="s">
        <v>8</v>
      </c>
    </row>
    <row r="2789" spans="1:2">
      <c r="A2789">
        <v>188</v>
      </c>
      <c r="B2789" s="2">
        <v>0.59299999999999997</v>
      </c>
    </row>
    <row r="2790" spans="1:2">
      <c r="A2790">
        <v>188</v>
      </c>
      <c r="B2790" t="s">
        <v>31</v>
      </c>
    </row>
    <row r="2791" spans="1:2">
      <c r="A2791">
        <v>188</v>
      </c>
      <c r="B2791">
        <v>-0.29099999999999998</v>
      </c>
    </row>
    <row r="2792" spans="1:2">
      <c r="A2792">
        <v>188</v>
      </c>
      <c r="B2792" t="s">
        <v>32</v>
      </c>
    </row>
    <row r="2793" spans="1:2">
      <c r="A2793">
        <v>188</v>
      </c>
      <c r="B2793" s="2">
        <v>-0.32754</v>
      </c>
    </row>
    <row r="2794" spans="1:2">
      <c r="A2794">
        <v>188</v>
      </c>
      <c r="B2794" t="s">
        <v>33</v>
      </c>
    </row>
    <row r="2795" spans="1:2">
      <c r="A2795">
        <v>188</v>
      </c>
      <c r="B2795" s="3">
        <v>0.53</v>
      </c>
    </row>
    <row r="2796" spans="1:2">
      <c r="A2796">
        <v>188</v>
      </c>
      <c r="B2796" t="s">
        <v>34</v>
      </c>
    </row>
    <row r="2797" spans="1:2">
      <c r="A2797">
        <v>188</v>
      </c>
      <c r="B2797" s="3">
        <v>0.47</v>
      </c>
    </row>
    <row r="2798" spans="1:2">
      <c r="A2798">
        <v>188</v>
      </c>
      <c r="B2798" t="s">
        <v>26</v>
      </c>
    </row>
    <row r="2799" spans="1:2">
      <c r="A2799">
        <v>188</v>
      </c>
      <c r="B2799">
        <v>0.52</v>
      </c>
    </row>
    <row r="2800" spans="1:2">
      <c r="A2800">
        <v>188</v>
      </c>
      <c r="B2800" t="s">
        <v>23</v>
      </c>
    </row>
    <row r="2801" spans="1:2">
      <c r="A2801">
        <v>188</v>
      </c>
      <c r="B2801">
        <v>-0.36</v>
      </c>
    </row>
    <row r="2802" spans="1:2">
      <c r="A2802">
        <v>188</v>
      </c>
      <c r="B2802" t="s">
        <v>24</v>
      </c>
    </row>
    <row r="2803" spans="1:2">
      <c r="A2803">
        <v>188</v>
      </c>
      <c r="B2803">
        <v>2.1549999999999998</v>
      </c>
    </row>
    <row r="2804" spans="1:2">
      <c r="A2804">
        <v>188</v>
      </c>
      <c r="B2804" t="s">
        <v>35</v>
      </c>
    </row>
    <row r="2805" spans="1:2">
      <c r="A2805">
        <v>188</v>
      </c>
      <c r="B2805">
        <v>0.60599999999999998</v>
      </c>
    </row>
    <row r="2806" spans="1:2">
      <c r="A2806">
        <v>188</v>
      </c>
      <c r="B2806" t="s">
        <v>36</v>
      </c>
    </row>
    <row r="2807" spans="1:2">
      <c r="A2807">
        <v>188</v>
      </c>
      <c r="B2807">
        <v>0.36699999999999999</v>
      </c>
    </row>
    <row r="2808" spans="1:2">
      <c r="A2808">
        <v>188</v>
      </c>
      <c r="B2808" t="s">
        <v>37</v>
      </c>
    </row>
    <row r="2809" spans="1:2">
      <c r="A2809">
        <v>188</v>
      </c>
      <c r="B2809">
        <v>-0.48199999999999998</v>
      </c>
    </row>
    <row r="2810" spans="1:2">
      <c r="A2810">
        <v>188</v>
      </c>
      <c r="B2810" t="s">
        <v>38</v>
      </c>
    </row>
    <row r="2811" spans="1:2">
      <c r="A2811">
        <v>188</v>
      </c>
      <c r="B2811">
        <v>0.59299999999999997</v>
      </c>
    </row>
    <row r="2812" spans="1:2">
      <c r="A2812">
        <v>188</v>
      </c>
      <c r="B2812" t="s">
        <v>39</v>
      </c>
    </row>
    <row r="2813" spans="1:2">
      <c r="A2813">
        <v>188</v>
      </c>
      <c r="B2813">
        <v>-0.10299999999999999</v>
      </c>
    </row>
    <row r="2814" spans="1:2">
      <c r="A2814">
        <v>188</v>
      </c>
      <c r="B2814" t="s">
        <v>40</v>
      </c>
    </row>
    <row r="2815" spans="1:2">
      <c r="A2815">
        <v>188</v>
      </c>
      <c r="B2815" s="4">
        <v>0</v>
      </c>
    </row>
    <row r="2816" spans="1:2">
      <c r="A2816">
        <v>188</v>
      </c>
      <c r="B2816" t="s">
        <v>41</v>
      </c>
    </row>
    <row r="2817" spans="1:2">
      <c r="A2817">
        <v>188</v>
      </c>
      <c r="B2817" s="4">
        <v>19000000</v>
      </c>
    </row>
    <row r="2818" spans="1:2">
      <c r="A2818">
        <v>188</v>
      </c>
      <c r="B2818" t="s">
        <v>42</v>
      </c>
    </row>
    <row r="2819" spans="1:2">
      <c r="A2819">
        <v>188</v>
      </c>
      <c r="B2819" t="s">
        <v>44</v>
      </c>
    </row>
    <row r="2820" spans="1:2">
      <c r="A2820">
        <v>187</v>
      </c>
      <c r="B2820" t="s">
        <v>27</v>
      </c>
    </row>
    <row r="2821" spans="1:2">
      <c r="A2821">
        <v>187</v>
      </c>
      <c r="B2821" s="2">
        <v>9.3880000000000005E-2</v>
      </c>
    </row>
    <row r="2822" spans="1:2">
      <c r="A2822">
        <v>187</v>
      </c>
      <c r="B2822" t="s">
        <v>1</v>
      </c>
    </row>
    <row r="2823" spans="1:2">
      <c r="A2823">
        <v>187</v>
      </c>
      <c r="B2823">
        <v>-0.36699999999999999</v>
      </c>
    </row>
    <row r="2824" spans="1:2">
      <c r="A2824">
        <v>187</v>
      </c>
      <c r="B2824" t="s">
        <v>28</v>
      </c>
    </row>
    <row r="2825" spans="1:2">
      <c r="A2825">
        <v>187</v>
      </c>
      <c r="B2825">
        <v>459</v>
      </c>
    </row>
    <row r="2826" spans="1:2">
      <c r="A2826">
        <v>187</v>
      </c>
      <c r="B2826" t="s">
        <v>25</v>
      </c>
    </row>
    <row r="2827" spans="1:2">
      <c r="A2827">
        <v>187</v>
      </c>
      <c r="B2827" s="2">
        <v>4.1099999999999998E-2</v>
      </c>
    </row>
    <row r="2828" spans="1:2">
      <c r="A2828">
        <v>187</v>
      </c>
      <c r="B2828" t="s">
        <v>29</v>
      </c>
    </row>
    <row r="2829" spans="1:2">
      <c r="A2829">
        <v>187</v>
      </c>
      <c r="B2829" s="2">
        <v>-7.9299999999999995E-2</v>
      </c>
    </row>
    <row r="2830" spans="1:2">
      <c r="A2830">
        <v>187</v>
      </c>
      <c r="B2830" t="s">
        <v>30</v>
      </c>
    </row>
    <row r="2831" spans="1:2">
      <c r="A2831">
        <v>187</v>
      </c>
      <c r="B2831" s="2">
        <v>-0.46013999999999999</v>
      </c>
    </row>
    <row r="2832" spans="1:2">
      <c r="A2832">
        <v>187</v>
      </c>
      <c r="B2832" t="s">
        <v>8</v>
      </c>
    </row>
    <row r="2833" spans="1:2">
      <c r="A2833">
        <v>187</v>
      </c>
      <c r="B2833" s="2">
        <v>0.59299999999999997</v>
      </c>
    </row>
    <row r="2834" spans="1:2">
      <c r="A2834">
        <v>187</v>
      </c>
      <c r="B2834" t="s">
        <v>31</v>
      </c>
    </row>
    <row r="2835" spans="1:2">
      <c r="A2835">
        <v>187</v>
      </c>
      <c r="B2835">
        <v>-0.29099999999999998</v>
      </c>
    </row>
    <row r="2836" spans="1:2">
      <c r="A2836">
        <v>187</v>
      </c>
      <c r="B2836" t="s">
        <v>32</v>
      </c>
    </row>
    <row r="2837" spans="1:2">
      <c r="A2837">
        <v>187</v>
      </c>
      <c r="B2837" s="2">
        <v>-0.32754</v>
      </c>
    </row>
    <row r="2838" spans="1:2">
      <c r="A2838">
        <v>187</v>
      </c>
      <c r="B2838" t="s">
        <v>33</v>
      </c>
    </row>
    <row r="2839" spans="1:2">
      <c r="A2839">
        <v>187</v>
      </c>
      <c r="B2839" s="3">
        <v>0.53</v>
      </c>
    </row>
    <row r="2840" spans="1:2">
      <c r="A2840">
        <v>187</v>
      </c>
      <c r="B2840" t="s">
        <v>34</v>
      </c>
    </row>
    <row r="2841" spans="1:2">
      <c r="A2841">
        <v>187</v>
      </c>
      <c r="B2841" s="3">
        <v>0.47</v>
      </c>
    </row>
    <row r="2842" spans="1:2">
      <c r="A2842">
        <v>187</v>
      </c>
      <c r="B2842" t="s">
        <v>26</v>
      </c>
    </row>
    <row r="2843" spans="1:2">
      <c r="A2843">
        <v>187</v>
      </c>
      <c r="B2843">
        <v>0.52</v>
      </c>
    </row>
    <row r="2844" spans="1:2">
      <c r="A2844">
        <v>187</v>
      </c>
      <c r="B2844" t="s">
        <v>23</v>
      </c>
    </row>
    <row r="2845" spans="1:2">
      <c r="A2845">
        <v>187</v>
      </c>
      <c r="B2845">
        <v>-0.36</v>
      </c>
    </row>
    <row r="2846" spans="1:2">
      <c r="A2846">
        <v>187</v>
      </c>
      <c r="B2846" t="s">
        <v>24</v>
      </c>
    </row>
    <row r="2847" spans="1:2">
      <c r="A2847">
        <v>187</v>
      </c>
      <c r="B2847">
        <v>2.1549999999999998</v>
      </c>
    </row>
    <row r="2848" spans="1:2">
      <c r="A2848">
        <v>187</v>
      </c>
      <c r="B2848" t="s">
        <v>35</v>
      </c>
    </row>
    <row r="2849" spans="1:2">
      <c r="A2849">
        <v>187</v>
      </c>
      <c r="B2849">
        <v>0.60599999999999998</v>
      </c>
    </row>
    <row r="2850" spans="1:2">
      <c r="A2850">
        <v>187</v>
      </c>
      <c r="B2850" t="s">
        <v>36</v>
      </c>
    </row>
    <row r="2851" spans="1:2">
      <c r="A2851">
        <v>187</v>
      </c>
      <c r="B2851">
        <v>0.36699999999999999</v>
      </c>
    </row>
    <row r="2852" spans="1:2">
      <c r="A2852">
        <v>187</v>
      </c>
      <c r="B2852" t="s">
        <v>37</v>
      </c>
    </row>
    <row r="2853" spans="1:2">
      <c r="A2853">
        <v>187</v>
      </c>
      <c r="B2853">
        <v>-0.48199999999999998</v>
      </c>
    </row>
    <row r="2854" spans="1:2">
      <c r="A2854">
        <v>187</v>
      </c>
      <c r="B2854" t="s">
        <v>38</v>
      </c>
    </row>
    <row r="2855" spans="1:2">
      <c r="A2855">
        <v>187</v>
      </c>
      <c r="B2855">
        <v>0.59299999999999997</v>
      </c>
    </row>
    <row r="2856" spans="1:2">
      <c r="A2856">
        <v>187</v>
      </c>
      <c r="B2856" t="s">
        <v>39</v>
      </c>
    </row>
    <row r="2857" spans="1:2">
      <c r="A2857">
        <v>187</v>
      </c>
      <c r="B2857">
        <v>-0.10299999999999999</v>
      </c>
    </row>
    <row r="2858" spans="1:2">
      <c r="A2858">
        <v>187</v>
      </c>
      <c r="B2858" t="s">
        <v>40</v>
      </c>
    </row>
    <row r="2859" spans="1:2">
      <c r="A2859">
        <v>187</v>
      </c>
      <c r="B2859" s="4">
        <v>0</v>
      </c>
    </row>
    <row r="2860" spans="1:2">
      <c r="A2860">
        <v>187</v>
      </c>
      <c r="B2860" t="s">
        <v>41</v>
      </c>
    </row>
    <row r="2861" spans="1:2">
      <c r="A2861">
        <v>187</v>
      </c>
      <c r="B2861" s="4">
        <v>19000000</v>
      </c>
    </row>
    <row r="2862" spans="1:2">
      <c r="A2862">
        <v>187</v>
      </c>
      <c r="B2862" t="s">
        <v>42</v>
      </c>
    </row>
    <row r="2863" spans="1:2">
      <c r="A2863">
        <v>187</v>
      </c>
      <c r="B2863" t="s">
        <v>44</v>
      </c>
    </row>
    <row r="2864" spans="1:2">
      <c r="A2864">
        <v>186</v>
      </c>
      <c r="B2864" t="s">
        <v>27</v>
      </c>
    </row>
    <row r="2865" spans="1:2">
      <c r="A2865">
        <v>186</v>
      </c>
      <c r="B2865" s="2">
        <v>9.3880000000000005E-2</v>
      </c>
    </row>
    <row r="2866" spans="1:2">
      <c r="A2866">
        <v>186</v>
      </c>
      <c r="B2866" t="s">
        <v>1</v>
      </c>
    </row>
    <row r="2867" spans="1:2">
      <c r="A2867">
        <v>186</v>
      </c>
      <c r="B2867">
        <v>-0.36699999999999999</v>
      </c>
    </row>
    <row r="2868" spans="1:2">
      <c r="A2868">
        <v>186</v>
      </c>
      <c r="B2868" t="s">
        <v>28</v>
      </c>
    </row>
    <row r="2869" spans="1:2">
      <c r="A2869">
        <v>186</v>
      </c>
      <c r="B2869">
        <v>459</v>
      </c>
    </row>
    <row r="2870" spans="1:2">
      <c r="A2870">
        <v>186</v>
      </c>
      <c r="B2870" t="s">
        <v>25</v>
      </c>
    </row>
    <row r="2871" spans="1:2">
      <c r="A2871">
        <v>186</v>
      </c>
      <c r="B2871" s="2">
        <v>4.1099999999999998E-2</v>
      </c>
    </row>
    <row r="2872" spans="1:2">
      <c r="A2872">
        <v>186</v>
      </c>
      <c r="B2872" t="s">
        <v>29</v>
      </c>
    </row>
    <row r="2873" spans="1:2">
      <c r="A2873">
        <v>186</v>
      </c>
      <c r="B2873" s="2">
        <v>-7.9299999999999995E-2</v>
      </c>
    </row>
    <row r="2874" spans="1:2">
      <c r="A2874">
        <v>186</v>
      </c>
      <c r="B2874" t="s">
        <v>30</v>
      </c>
    </row>
    <row r="2875" spans="1:2">
      <c r="A2875">
        <v>186</v>
      </c>
      <c r="B2875" s="2">
        <v>-0.46013999999999999</v>
      </c>
    </row>
    <row r="2876" spans="1:2">
      <c r="A2876">
        <v>186</v>
      </c>
      <c r="B2876" t="s">
        <v>8</v>
      </c>
    </row>
    <row r="2877" spans="1:2">
      <c r="A2877">
        <v>186</v>
      </c>
      <c r="B2877" s="2">
        <v>0.59299999999999997</v>
      </c>
    </row>
    <row r="2878" spans="1:2">
      <c r="A2878">
        <v>186</v>
      </c>
      <c r="B2878" t="s">
        <v>31</v>
      </c>
    </row>
    <row r="2879" spans="1:2">
      <c r="A2879">
        <v>186</v>
      </c>
      <c r="B2879">
        <v>-0.29099999999999998</v>
      </c>
    </row>
    <row r="2880" spans="1:2">
      <c r="A2880">
        <v>186</v>
      </c>
      <c r="B2880" t="s">
        <v>32</v>
      </c>
    </row>
    <row r="2881" spans="1:2">
      <c r="A2881">
        <v>186</v>
      </c>
      <c r="B2881" s="2">
        <v>-0.32754</v>
      </c>
    </row>
    <row r="2882" spans="1:2">
      <c r="A2882">
        <v>186</v>
      </c>
      <c r="B2882" t="s">
        <v>33</v>
      </c>
    </row>
    <row r="2883" spans="1:2">
      <c r="A2883">
        <v>186</v>
      </c>
      <c r="B2883" s="3">
        <v>0.53</v>
      </c>
    </row>
    <row r="2884" spans="1:2">
      <c r="A2884">
        <v>186</v>
      </c>
      <c r="B2884" t="s">
        <v>34</v>
      </c>
    </row>
    <row r="2885" spans="1:2">
      <c r="A2885">
        <v>186</v>
      </c>
      <c r="B2885" s="3">
        <v>0.47</v>
      </c>
    </row>
    <row r="2886" spans="1:2">
      <c r="A2886">
        <v>186</v>
      </c>
      <c r="B2886" t="s">
        <v>26</v>
      </c>
    </row>
    <row r="2887" spans="1:2">
      <c r="A2887">
        <v>186</v>
      </c>
      <c r="B2887">
        <v>0.52</v>
      </c>
    </row>
    <row r="2888" spans="1:2">
      <c r="A2888">
        <v>186</v>
      </c>
      <c r="B2888" t="s">
        <v>23</v>
      </c>
    </row>
    <row r="2889" spans="1:2">
      <c r="A2889">
        <v>186</v>
      </c>
      <c r="B2889">
        <v>-0.36</v>
      </c>
    </row>
    <row r="2890" spans="1:2">
      <c r="A2890">
        <v>186</v>
      </c>
      <c r="B2890" t="s">
        <v>24</v>
      </c>
    </row>
    <row r="2891" spans="1:2">
      <c r="A2891">
        <v>186</v>
      </c>
      <c r="B2891">
        <v>2.1549999999999998</v>
      </c>
    </row>
    <row r="2892" spans="1:2">
      <c r="A2892">
        <v>186</v>
      </c>
      <c r="B2892" t="s">
        <v>35</v>
      </c>
    </row>
    <row r="2893" spans="1:2">
      <c r="A2893">
        <v>186</v>
      </c>
      <c r="B2893">
        <v>0.60599999999999998</v>
      </c>
    </row>
    <row r="2894" spans="1:2">
      <c r="A2894">
        <v>186</v>
      </c>
      <c r="B2894" t="s">
        <v>36</v>
      </c>
    </row>
    <row r="2895" spans="1:2">
      <c r="A2895">
        <v>186</v>
      </c>
      <c r="B2895">
        <v>0.36699999999999999</v>
      </c>
    </row>
    <row r="2896" spans="1:2">
      <c r="A2896">
        <v>186</v>
      </c>
      <c r="B2896" t="s">
        <v>37</v>
      </c>
    </row>
    <row r="2897" spans="1:2">
      <c r="A2897">
        <v>186</v>
      </c>
      <c r="B2897">
        <v>-0.48199999999999998</v>
      </c>
    </row>
    <row r="2898" spans="1:2">
      <c r="A2898">
        <v>186</v>
      </c>
      <c r="B2898" t="s">
        <v>38</v>
      </c>
    </row>
    <row r="2899" spans="1:2">
      <c r="A2899">
        <v>186</v>
      </c>
      <c r="B2899">
        <v>0.59299999999999997</v>
      </c>
    </row>
    <row r="2900" spans="1:2">
      <c r="A2900">
        <v>186</v>
      </c>
      <c r="B2900" t="s">
        <v>39</v>
      </c>
    </row>
    <row r="2901" spans="1:2">
      <c r="A2901">
        <v>186</v>
      </c>
      <c r="B2901">
        <v>-0.10299999999999999</v>
      </c>
    </row>
    <row r="2902" spans="1:2">
      <c r="A2902">
        <v>186</v>
      </c>
      <c r="B2902" t="s">
        <v>40</v>
      </c>
    </row>
    <row r="2903" spans="1:2">
      <c r="A2903">
        <v>186</v>
      </c>
      <c r="B2903" s="4">
        <v>0</v>
      </c>
    </row>
    <row r="2904" spans="1:2">
      <c r="A2904">
        <v>186</v>
      </c>
      <c r="B2904" t="s">
        <v>41</v>
      </c>
    </row>
    <row r="2905" spans="1:2">
      <c r="A2905">
        <v>186</v>
      </c>
      <c r="B2905" s="4">
        <v>19000000</v>
      </c>
    </row>
    <row r="2906" spans="1:2">
      <c r="A2906">
        <v>186</v>
      </c>
      <c r="B2906" t="s">
        <v>42</v>
      </c>
    </row>
    <row r="2907" spans="1:2">
      <c r="A2907">
        <v>186</v>
      </c>
      <c r="B2907" t="s">
        <v>44</v>
      </c>
    </row>
    <row r="2908" spans="1:2">
      <c r="A2908">
        <v>185</v>
      </c>
      <c r="B2908" t="s">
        <v>27</v>
      </c>
    </row>
    <row r="2909" spans="1:2">
      <c r="A2909">
        <v>185</v>
      </c>
      <c r="B2909" s="2">
        <v>9.3880000000000005E-2</v>
      </c>
    </row>
    <row r="2910" spans="1:2">
      <c r="A2910">
        <v>185</v>
      </c>
      <c r="B2910" t="s">
        <v>1</v>
      </c>
    </row>
    <row r="2911" spans="1:2">
      <c r="A2911">
        <v>185</v>
      </c>
      <c r="B2911">
        <v>-0.36699999999999999</v>
      </c>
    </row>
    <row r="2912" spans="1:2">
      <c r="A2912">
        <v>185</v>
      </c>
      <c r="B2912" t="s">
        <v>28</v>
      </c>
    </row>
    <row r="2913" spans="1:2">
      <c r="A2913">
        <v>185</v>
      </c>
      <c r="B2913">
        <v>459</v>
      </c>
    </row>
    <row r="2914" spans="1:2">
      <c r="A2914">
        <v>185</v>
      </c>
      <c r="B2914" t="s">
        <v>25</v>
      </c>
    </row>
    <row r="2915" spans="1:2">
      <c r="A2915">
        <v>185</v>
      </c>
      <c r="B2915" s="2">
        <v>4.1099999999999998E-2</v>
      </c>
    </row>
    <row r="2916" spans="1:2">
      <c r="A2916">
        <v>185</v>
      </c>
      <c r="B2916" t="s">
        <v>29</v>
      </c>
    </row>
    <row r="2917" spans="1:2">
      <c r="A2917">
        <v>185</v>
      </c>
      <c r="B2917" s="2">
        <v>-7.9299999999999995E-2</v>
      </c>
    </row>
    <row r="2918" spans="1:2">
      <c r="A2918">
        <v>185</v>
      </c>
      <c r="B2918" t="s">
        <v>30</v>
      </c>
    </row>
    <row r="2919" spans="1:2">
      <c r="A2919">
        <v>185</v>
      </c>
      <c r="B2919" s="2">
        <v>-0.46013999999999999</v>
      </c>
    </row>
    <row r="2920" spans="1:2">
      <c r="A2920">
        <v>185</v>
      </c>
      <c r="B2920" t="s">
        <v>8</v>
      </c>
    </row>
    <row r="2921" spans="1:2">
      <c r="A2921">
        <v>185</v>
      </c>
      <c r="B2921" s="2">
        <v>0.59299999999999997</v>
      </c>
    </row>
    <row r="2922" spans="1:2">
      <c r="A2922">
        <v>185</v>
      </c>
      <c r="B2922" t="s">
        <v>31</v>
      </c>
    </row>
    <row r="2923" spans="1:2">
      <c r="A2923">
        <v>185</v>
      </c>
      <c r="B2923">
        <v>-0.29099999999999998</v>
      </c>
    </row>
    <row r="2924" spans="1:2">
      <c r="A2924">
        <v>185</v>
      </c>
      <c r="B2924" t="s">
        <v>32</v>
      </c>
    </row>
    <row r="2925" spans="1:2">
      <c r="A2925">
        <v>185</v>
      </c>
      <c r="B2925" s="2">
        <v>-0.32754</v>
      </c>
    </row>
    <row r="2926" spans="1:2">
      <c r="A2926">
        <v>185</v>
      </c>
      <c r="B2926" t="s">
        <v>33</v>
      </c>
    </row>
    <row r="2927" spans="1:2">
      <c r="A2927">
        <v>185</v>
      </c>
      <c r="B2927" s="3">
        <v>0.53</v>
      </c>
    </row>
    <row r="2928" spans="1:2">
      <c r="A2928">
        <v>185</v>
      </c>
      <c r="B2928" t="s">
        <v>34</v>
      </c>
    </row>
    <row r="2929" spans="1:2">
      <c r="A2929">
        <v>185</v>
      </c>
      <c r="B2929" s="3">
        <v>0.47</v>
      </c>
    </row>
    <row r="2930" spans="1:2">
      <c r="A2930">
        <v>185</v>
      </c>
      <c r="B2930" t="s">
        <v>26</v>
      </c>
    </row>
    <row r="2931" spans="1:2">
      <c r="A2931">
        <v>185</v>
      </c>
      <c r="B2931">
        <v>0.52</v>
      </c>
    </row>
    <row r="2932" spans="1:2">
      <c r="A2932">
        <v>185</v>
      </c>
      <c r="B2932" t="s">
        <v>23</v>
      </c>
    </row>
    <row r="2933" spans="1:2">
      <c r="A2933">
        <v>185</v>
      </c>
      <c r="B2933">
        <v>-0.36</v>
      </c>
    </row>
    <row r="2934" spans="1:2">
      <c r="A2934">
        <v>185</v>
      </c>
      <c r="B2934" t="s">
        <v>24</v>
      </c>
    </row>
    <row r="2935" spans="1:2">
      <c r="A2935">
        <v>185</v>
      </c>
      <c r="B2935">
        <v>2.1549999999999998</v>
      </c>
    </row>
    <row r="2936" spans="1:2">
      <c r="A2936">
        <v>185</v>
      </c>
      <c r="B2936" t="s">
        <v>35</v>
      </c>
    </row>
    <row r="2937" spans="1:2">
      <c r="A2937">
        <v>185</v>
      </c>
      <c r="B2937">
        <v>0.60599999999999998</v>
      </c>
    </row>
    <row r="2938" spans="1:2">
      <c r="A2938">
        <v>185</v>
      </c>
      <c r="B2938" t="s">
        <v>36</v>
      </c>
    </row>
    <row r="2939" spans="1:2">
      <c r="A2939">
        <v>185</v>
      </c>
      <c r="B2939">
        <v>0.36699999999999999</v>
      </c>
    </row>
    <row r="2940" spans="1:2">
      <c r="A2940">
        <v>185</v>
      </c>
      <c r="B2940" t="s">
        <v>37</v>
      </c>
    </row>
    <row r="2941" spans="1:2">
      <c r="A2941">
        <v>185</v>
      </c>
      <c r="B2941">
        <v>-0.48199999999999998</v>
      </c>
    </row>
    <row r="2942" spans="1:2">
      <c r="A2942">
        <v>185</v>
      </c>
      <c r="B2942" t="s">
        <v>38</v>
      </c>
    </row>
    <row r="2943" spans="1:2">
      <c r="A2943">
        <v>185</v>
      </c>
      <c r="B2943">
        <v>0.59299999999999997</v>
      </c>
    </row>
    <row r="2944" spans="1:2">
      <c r="A2944">
        <v>185</v>
      </c>
      <c r="B2944" t="s">
        <v>39</v>
      </c>
    </row>
    <row r="2945" spans="1:2">
      <c r="A2945">
        <v>185</v>
      </c>
      <c r="B2945">
        <v>-0.10299999999999999</v>
      </c>
    </row>
    <row r="2946" spans="1:2">
      <c r="A2946">
        <v>185</v>
      </c>
      <c r="B2946" t="s">
        <v>40</v>
      </c>
    </row>
    <row r="2947" spans="1:2">
      <c r="A2947">
        <v>185</v>
      </c>
      <c r="B2947" s="4">
        <v>0</v>
      </c>
    </row>
    <row r="2948" spans="1:2">
      <c r="A2948">
        <v>185</v>
      </c>
      <c r="B2948" t="s">
        <v>41</v>
      </c>
    </row>
    <row r="2949" spans="1:2">
      <c r="A2949">
        <v>185</v>
      </c>
      <c r="B2949" s="4">
        <v>19000000</v>
      </c>
    </row>
    <row r="2950" spans="1:2">
      <c r="A2950">
        <v>185</v>
      </c>
      <c r="B2950" t="s">
        <v>42</v>
      </c>
    </row>
    <row r="2951" spans="1:2">
      <c r="A2951">
        <v>185</v>
      </c>
      <c r="B2951" t="s">
        <v>44</v>
      </c>
    </row>
    <row r="2952" spans="1:2">
      <c r="A2952">
        <v>184</v>
      </c>
      <c r="B2952" t="s">
        <v>27</v>
      </c>
    </row>
    <row r="2953" spans="1:2">
      <c r="A2953">
        <v>184</v>
      </c>
      <c r="B2953" s="2">
        <v>9.3880000000000005E-2</v>
      </c>
    </row>
    <row r="2954" spans="1:2">
      <c r="A2954">
        <v>184</v>
      </c>
      <c r="B2954" t="s">
        <v>1</v>
      </c>
    </row>
    <row r="2955" spans="1:2">
      <c r="A2955">
        <v>184</v>
      </c>
      <c r="B2955">
        <v>-0.36699999999999999</v>
      </c>
    </row>
    <row r="2956" spans="1:2">
      <c r="A2956">
        <v>184</v>
      </c>
      <c r="B2956" t="s">
        <v>28</v>
      </c>
    </row>
    <row r="2957" spans="1:2">
      <c r="A2957">
        <v>184</v>
      </c>
      <c r="B2957">
        <v>459</v>
      </c>
    </row>
    <row r="2958" spans="1:2">
      <c r="A2958">
        <v>184</v>
      </c>
      <c r="B2958" t="s">
        <v>25</v>
      </c>
    </row>
    <row r="2959" spans="1:2">
      <c r="A2959">
        <v>184</v>
      </c>
      <c r="B2959" s="2">
        <v>4.1099999999999998E-2</v>
      </c>
    </row>
    <row r="2960" spans="1:2">
      <c r="A2960">
        <v>184</v>
      </c>
      <c r="B2960" t="s">
        <v>29</v>
      </c>
    </row>
    <row r="2961" spans="1:2">
      <c r="A2961">
        <v>184</v>
      </c>
      <c r="B2961" s="2">
        <v>-7.9299999999999995E-2</v>
      </c>
    </row>
    <row r="2962" spans="1:2">
      <c r="A2962">
        <v>184</v>
      </c>
      <c r="B2962" t="s">
        <v>30</v>
      </c>
    </row>
    <row r="2963" spans="1:2">
      <c r="A2963">
        <v>184</v>
      </c>
      <c r="B2963" s="2">
        <v>-0.46013999999999999</v>
      </c>
    </row>
    <row r="2964" spans="1:2">
      <c r="A2964">
        <v>184</v>
      </c>
      <c r="B2964" t="s">
        <v>8</v>
      </c>
    </row>
    <row r="2965" spans="1:2">
      <c r="A2965">
        <v>184</v>
      </c>
      <c r="B2965" s="2">
        <v>0.59299999999999997</v>
      </c>
    </row>
    <row r="2966" spans="1:2">
      <c r="A2966">
        <v>184</v>
      </c>
      <c r="B2966" t="s">
        <v>31</v>
      </c>
    </row>
    <row r="2967" spans="1:2">
      <c r="A2967">
        <v>184</v>
      </c>
      <c r="B2967">
        <v>-0.29099999999999998</v>
      </c>
    </row>
    <row r="2968" spans="1:2">
      <c r="A2968">
        <v>184</v>
      </c>
      <c r="B2968" t="s">
        <v>32</v>
      </c>
    </row>
    <row r="2969" spans="1:2">
      <c r="A2969">
        <v>184</v>
      </c>
      <c r="B2969" s="2">
        <v>-0.32754</v>
      </c>
    </row>
    <row r="2970" spans="1:2">
      <c r="A2970">
        <v>184</v>
      </c>
      <c r="B2970" t="s">
        <v>33</v>
      </c>
    </row>
    <row r="2971" spans="1:2">
      <c r="A2971">
        <v>184</v>
      </c>
      <c r="B2971" s="3">
        <v>0.53</v>
      </c>
    </row>
    <row r="2972" spans="1:2">
      <c r="A2972">
        <v>184</v>
      </c>
      <c r="B2972" t="s">
        <v>34</v>
      </c>
    </row>
    <row r="2973" spans="1:2">
      <c r="A2973">
        <v>184</v>
      </c>
      <c r="B2973" s="3">
        <v>0.47</v>
      </c>
    </row>
    <row r="2974" spans="1:2">
      <c r="A2974">
        <v>184</v>
      </c>
      <c r="B2974" t="s">
        <v>26</v>
      </c>
    </row>
    <row r="2975" spans="1:2">
      <c r="A2975">
        <v>184</v>
      </c>
      <c r="B2975">
        <v>0.52</v>
      </c>
    </row>
    <row r="2976" spans="1:2">
      <c r="A2976">
        <v>184</v>
      </c>
      <c r="B2976" t="s">
        <v>23</v>
      </c>
    </row>
    <row r="2977" spans="1:2">
      <c r="A2977">
        <v>184</v>
      </c>
      <c r="B2977">
        <v>-0.36</v>
      </c>
    </row>
    <row r="2978" spans="1:2">
      <c r="A2978">
        <v>184</v>
      </c>
      <c r="B2978" t="s">
        <v>24</v>
      </c>
    </row>
    <row r="2979" spans="1:2">
      <c r="A2979">
        <v>184</v>
      </c>
      <c r="B2979">
        <v>2.1549999999999998</v>
      </c>
    </row>
    <row r="2980" spans="1:2">
      <c r="A2980">
        <v>184</v>
      </c>
      <c r="B2980" t="s">
        <v>35</v>
      </c>
    </row>
    <row r="2981" spans="1:2">
      <c r="A2981">
        <v>184</v>
      </c>
      <c r="B2981">
        <v>0.60599999999999998</v>
      </c>
    </row>
    <row r="2982" spans="1:2">
      <c r="A2982">
        <v>184</v>
      </c>
      <c r="B2982" t="s">
        <v>36</v>
      </c>
    </row>
    <row r="2983" spans="1:2">
      <c r="A2983">
        <v>184</v>
      </c>
      <c r="B2983">
        <v>0.36699999999999999</v>
      </c>
    </row>
    <row r="2984" spans="1:2">
      <c r="A2984">
        <v>184</v>
      </c>
      <c r="B2984" t="s">
        <v>37</v>
      </c>
    </row>
    <row r="2985" spans="1:2">
      <c r="A2985">
        <v>184</v>
      </c>
      <c r="B2985">
        <v>-0.48199999999999998</v>
      </c>
    </row>
    <row r="2986" spans="1:2">
      <c r="A2986">
        <v>184</v>
      </c>
      <c r="B2986" t="s">
        <v>38</v>
      </c>
    </row>
    <row r="2987" spans="1:2">
      <c r="A2987">
        <v>184</v>
      </c>
      <c r="B2987">
        <v>0.59299999999999997</v>
      </c>
    </row>
    <row r="2988" spans="1:2">
      <c r="A2988">
        <v>184</v>
      </c>
      <c r="B2988" t="s">
        <v>39</v>
      </c>
    </row>
    <row r="2989" spans="1:2">
      <c r="A2989">
        <v>184</v>
      </c>
      <c r="B2989">
        <v>-0.10299999999999999</v>
      </c>
    </row>
    <row r="2990" spans="1:2">
      <c r="A2990">
        <v>184</v>
      </c>
      <c r="B2990" t="s">
        <v>40</v>
      </c>
    </row>
    <row r="2991" spans="1:2">
      <c r="A2991">
        <v>184</v>
      </c>
      <c r="B2991" s="4">
        <v>0</v>
      </c>
    </row>
    <row r="2992" spans="1:2">
      <c r="A2992">
        <v>184</v>
      </c>
      <c r="B2992" t="s">
        <v>41</v>
      </c>
    </row>
    <row r="2993" spans="1:2">
      <c r="A2993">
        <v>184</v>
      </c>
      <c r="B2993" s="4">
        <v>19000000</v>
      </c>
    </row>
    <row r="2994" spans="1:2">
      <c r="A2994">
        <v>184</v>
      </c>
      <c r="B2994" t="s">
        <v>42</v>
      </c>
    </row>
    <row r="2995" spans="1:2">
      <c r="A2995">
        <v>184</v>
      </c>
      <c r="B2995" t="s">
        <v>44</v>
      </c>
    </row>
    <row r="2996" spans="1:2">
      <c r="A2996">
        <v>183</v>
      </c>
      <c r="B2996" t="s">
        <v>27</v>
      </c>
    </row>
    <row r="2997" spans="1:2">
      <c r="A2997">
        <v>183</v>
      </c>
      <c r="B2997" s="2">
        <v>9.3880000000000005E-2</v>
      </c>
    </row>
    <row r="2998" spans="1:2">
      <c r="A2998">
        <v>183</v>
      </c>
      <c r="B2998" t="s">
        <v>1</v>
      </c>
    </row>
    <row r="2999" spans="1:2">
      <c r="A2999">
        <v>183</v>
      </c>
      <c r="B2999">
        <v>-0.36699999999999999</v>
      </c>
    </row>
    <row r="3000" spans="1:2">
      <c r="A3000">
        <v>183</v>
      </c>
      <c r="B3000" t="s">
        <v>28</v>
      </c>
    </row>
    <row r="3001" spans="1:2">
      <c r="A3001">
        <v>183</v>
      </c>
      <c r="B3001">
        <v>459</v>
      </c>
    </row>
    <row r="3002" spans="1:2">
      <c r="A3002">
        <v>183</v>
      </c>
      <c r="B3002" t="s">
        <v>25</v>
      </c>
    </row>
    <row r="3003" spans="1:2">
      <c r="A3003">
        <v>183</v>
      </c>
      <c r="B3003" s="2">
        <v>4.1099999999999998E-2</v>
      </c>
    </row>
    <row r="3004" spans="1:2">
      <c r="A3004">
        <v>183</v>
      </c>
      <c r="B3004" t="s">
        <v>29</v>
      </c>
    </row>
    <row r="3005" spans="1:2">
      <c r="A3005">
        <v>183</v>
      </c>
      <c r="B3005" s="2">
        <v>-7.9299999999999995E-2</v>
      </c>
    </row>
    <row r="3006" spans="1:2">
      <c r="A3006">
        <v>183</v>
      </c>
      <c r="B3006" t="s">
        <v>30</v>
      </c>
    </row>
    <row r="3007" spans="1:2">
      <c r="A3007">
        <v>183</v>
      </c>
      <c r="B3007" s="2">
        <v>-0.46013999999999999</v>
      </c>
    </row>
    <row r="3008" spans="1:2">
      <c r="A3008">
        <v>183</v>
      </c>
      <c r="B3008" t="s">
        <v>8</v>
      </c>
    </row>
    <row r="3009" spans="1:2">
      <c r="A3009">
        <v>183</v>
      </c>
      <c r="B3009" s="2">
        <v>0.59299999999999997</v>
      </c>
    </row>
    <row r="3010" spans="1:2">
      <c r="A3010">
        <v>183</v>
      </c>
      <c r="B3010" t="s">
        <v>31</v>
      </c>
    </row>
    <row r="3011" spans="1:2">
      <c r="A3011">
        <v>183</v>
      </c>
      <c r="B3011">
        <v>-0.29099999999999998</v>
      </c>
    </row>
    <row r="3012" spans="1:2">
      <c r="A3012">
        <v>183</v>
      </c>
      <c r="B3012" t="s">
        <v>32</v>
      </c>
    </row>
    <row r="3013" spans="1:2">
      <c r="A3013">
        <v>183</v>
      </c>
      <c r="B3013" s="2">
        <v>-0.32754</v>
      </c>
    </row>
    <row r="3014" spans="1:2">
      <c r="A3014">
        <v>183</v>
      </c>
      <c r="B3014" t="s">
        <v>33</v>
      </c>
    </row>
    <row r="3015" spans="1:2">
      <c r="A3015">
        <v>183</v>
      </c>
      <c r="B3015" s="3">
        <v>0.53</v>
      </c>
    </row>
    <row r="3016" spans="1:2">
      <c r="A3016">
        <v>183</v>
      </c>
      <c r="B3016" t="s">
        <v>34</v>
      </c>
    </row>
    <row r="3017" spans="1:2">
      <c r="A3017">
        <v>183</v>
      </c>
      <c r="B3017" s="3">
        <v>0.47</v>
      </c>
    </row>
    <row r="3018" spans="1:2">
      <c r="A3018">
        <v>183</v>
      </c>
      <c r="B3018" t="s">
        <v>26</v>
      </c>
    </row>
    <row r="3019" spans="1:2">
      <c r="A3019">
        <v>183</v>
      </c>
      <c r="B3019">
        <v>0.52</v>
      </c>
    </row>
    <row r="3020" spans="1:2">
      <c r="A3020">
        <v>183</v>
      </c>
      <c r="B3020" t="s">
        <v>23</v>
      </c>
    </row>
    <row r="3021" spans="1:2">
      <c r="A3021">
        <v>183</v>
      </c>
      <c r="B3021">
        <v>-0.36</v>
      </c>
    </row>
    <row r="3022" spans="1:2">
      <c r="A3022">
        <v>183</v>
      </c>
      <c r="B3022" t="s">
        <v>24</v>
      </c>
    </row>
    <row r="3023" spans="1:2">
      <c r="A3023">
        <v>183</v>
      </c>
      <c r="B3023">
        <v>2.1549999999999998</v>
      </c>
    </row>
    <row r="3024" spans="1:2">
      <c r="A3024">
        <v>183</v>
      </c>
      <c r="B3024" t="s">
        <v>35</v>
      </c>
    </row>
    <row r="3025" spans="1:2">
      <c r="A3025">
        <v>183</v>
      </c>
      <c r="B3025">
        <v>0.60599999999999998</v>
      </c>
    </row>
    <row r="3026" spans="1:2">
      <c r="A3026">
        <v>183</v>
      </c>
      <c r="B3026" t="s">
        <v>36</v>
      </c>
    </row>
    <row r="3027" spans="1:2">
      <c r="A3027">
        <v>183</v>
      </c>
      <c r="B3027">
        <v>0.36699999999999999</v>
      </c>
    </row>
    <row r="3028" spans="1:2">
      <c r="A3028">
        <v>183</v>
      </c>
      <c r="B3028" t="s">
        <v>37</v>
      </c>
    </row>
    <row r="3029" spans="1:2">
      <c r="A3029">
        <v>183</v>
      </c>
      <c r="B3029">
        <v>-0.48199999999999998</v>
      </c>
    </row>
    <row r="3030" spans="1:2">
      <c r="A3030">
        <v>183</v>
      </c>
      <c r="B3030" t="s">
        <v>38</v>
      </c>
    </row>
    <row r="3031" spans="1:2">
      <c r="A3031">
        <v>183</v>
      </c>
      <c r="B3031">
        <v>0.59299999999999997</v>
      </c>
    </row>
    <row r="3032" spans="1:2">
      <c r="A3032">
        <v>183</v>
      </c>
      <c r="B3032" t="s">
        <v>39</v>
      </c>
    </row>
    <row r="3033" spans="1:2">
      <c r="A3033">
        <v>183</v>
      </c>
      <c r="B3033">
        <v>-0.10299999999999999</v>
      </c>
    </row>
    <row r="3034" spans="1:2">
      <c r="A3034">
        <v>183</v>
      </c>
      <c r="B3034" t="s">
        <v>40</v>
      </c>
    </row>
    <row r="3035" spans="1:2">
      <c r="A3035">
        <v>183</v>
      </c>
      <c r="B3035" s="4">
        <v>0</v>
      </c>
    </row>
    <row r="3036" spans="1:2">
      <c r="A3036">
        <v>183</v>
      </c>
      <c r="B3036" t="s">
        <v>41</v>
      </c>
    </row>
    <row r="3037" spans="1:2">
      <c r="A3037">
        <v>183</v>
      </c>
      <c r="B3037" s="4">
        <v>19000000</v>
      </c>
    </row>
    <row r="3038" spans="1:2">
      <c r="A3038">
        <v>183</v>
      </c>
      <c r="B3038" t="s">
        <v>42</v>
      </c>
    </row>
    <row r="3039" spans="1:2">
      <c r="A3039">
        <v>183</v>
      </c>
      <c r="B3039" t="s">
        <v>44</v>
      </c>
    </row>
    <row r="3040" spans="1:2">
      <c r="A3040">
        <v>182</v>
      </c>
      <c r="B3040" t="s">
        <v>27</v>
      </c>
    </row>
    <row r="3041" spans="1:2">
      <c r="A3041">
        <v>182</v>
      </c>
      <c r="B3041" s="2">
        <v>9.3880000000000005E-2</v>
      </c>
    </row>
    <row r="3042" spans="1:2">
      <c r="A3042">
        <v>182</v>
      </c>
      <c r="B3042" t="s">
        <v>1</v>
      </c>
    </row>
    <row r="3043" spans="1:2">
      <c r="A3043">
        <v>182</v>
      </c>
      <c r="B3043">
        <v>-0.36699999999999999</v>
      </c>
    </row>
    <row r="3044" spans="1:2">
      <c r="A3044">
        <v>182</v>
      </c>
      <c r="B3044" t="s">
        <v>28</v>
      </c>
    </row>
    <row r="3045" spans="1:2">
      <c r="A3045">
        <v>182</v>
      </c>
      <c r="B3045">
        <v>459</v>
      </c>
    </row>
    <row r="3046" spans="1:2">
      <c r="A3046">
        <v>182</v>
      </c>
      <c r="B3046" t="s">
        <v>25</v>
      </c>
    </row>
    <row r="3047" spans="1:2">
      <c r="A3047">
        <v>182</v>
      </c>
      <c r="B3047" s="2">
        <v>4.1099999999999998E-2</v>
      </c>
    </row>
    <row r="3048" spans="1:2">
      <c r="A3048">
        <v>182</v>
      </c>
      <c r="B3048" t="s">
        <v>29</v>
      </c>
    </row>
    <row r="3049" spans="1:2">
      <c r="A3049">
        <v>182</v>
      </c>
      <c r="B3049" s="2">
        <v>-7.9299999999999995E-2</v>
      </c>
    </row>
    <row r="3050" spans="1:2">
      <c r="A3050">
        <v>182</v>
      </c>
      <c r="B3050" t="s">
        <v>30</v>
      </c>
    </row>
    <row r="3051" spans="1:2">
      <c r="A3051">
        <v>182</v>
      </c>
      <c r="B3051" s="2">
        <v>-0.46013999999999999</v>
      </c>
    </row>
    <row r="3052" spans="1:2">
      <c r="A3052">
        <v>182</v>
      </c>
      <c r="B3052" t="s">
        <v>8</v>
      </c>
    </row>
    <row r="3053" spans="1:2">
      <c r="A3053">
        <v>182</v>
      </c>
      <c r="B3053" s="2">
        <v>0.59299999999999997</v>
      </c>
    </row>
    <row r="3054" spans="1:2">
      <c r="A3054">
        <v>182</v>
      </c>
      <c r="B3054" t="s">
        <v>31</v>
      </c>
    </row>
    <row r="3055" spans="1:2">
      <c r="A3055">
        <v>182</v>
      </c>
      <c r="B3055">
        <v>-0.29099999999999998</v>
      </c>
    </row>
    <row r="3056" spans="1:2">
      <c r="A3056">
        <v>182</v>
      </c>
      <c r="B3056" t="s">
        <v>32</v>
      </c>
    </row>
    <row r="3057" spans="1:2">
      <c r="A3057">
        <v>182</v>
      </c>
      <c r="B3057" s="2">
        <v>-0.32754</v>
      </c>
    </row>
    <row r="3058" spans="1:2">
      <c r="A3058">
        <v>182</v>
      </c>
      <c r="B3058" t="s">
        <v>33</v>
      </c>
    </row>
    <row r="3059" spans="1:2">
      <c r="A3059">
        <v>182</v>
      </c>
      <c r="B3059" s="3">
        <v>0.53</v>
      </c>
    </row>
    <row r="3060" spans="1:2">
      <c r="A3060">
        <v>182</v>
      </c>
      <c r="B3060" t="s">
        <v>34</v>
      </c>
    </row>
    <row r="3061" spans="1:2">
      <c r="A3061">
        <v>182</v>
      </c>
      <c r="B3061" s="3">
        <v>0.47</v>
      </c>
    </row>
    <row r="3062" spans="1:2">
      <c r="A3062">
        <v>182</v>
      </c>
      <c r="B3062" t="s">
        <v>26</v>
      </c>
    </row>
    <row r="3063" spans="1:2">
      <c r="A3063">
        <v>182</v>
      </c>
      <c r="B3063">
        <v>0.52</v>
      </c>
    </row>
    <row r="3064" spans="1:2">
      <c r="A3064">
        <v>182</v>
      </c>
      <c r="B3064" t="s">
        <v>23</v>
      </c>
    </row>
    <row r="3065" spans="1:2">
      <c r="A3065">
        <v>182</v>
      </c>
      <c r="B3065">
        <v>-0.36</v>
      </c>
    </row>
    <row r="3066" spans="1:2">
      <c r="A3066">
        <v>182</v>
      </c>
      <c r="B3066" t="s">
        <v>24</v>
      </c>
    </row>
    <row r="3067" spans="1:2">
      <c r="A3067">
        <v>182</v>
      </c>
      <c r="B3067">
        <v>2.1549999999999998</v>
      </c>
    </row>
    <row r="3068" spans="1:2">
      <c r="A3068">
        <v>182</v>
      </c>
      <c r="B3068" t="s">
        <v>35</v>
      </c>
    </row>
    <row r="3069" spans="1:2">
      <c r="A3069">
        <v>182</v>
      </c>
      <c r="B3069">
        <v>0.60599999999999998</v>
      </c>
    </row>
    <row r="3070" spans="1:2">
      <c r="A3070">
        <v>182</v>
      </c>
      <c r="B3070" t="s">
        <v>36</v>
      </c>
    </row>
    <row r="3071" spans="1:2">
      <c r="A3071">
        <v>182</v>
      </c>
      <c r="B3071">
        <v>0.36699999999999999</v>
      </c>
    </row>
    <row r="3072" spans="1:2">
      <c r="A3072">
        <v>182</v>
      </c>
      <c r="B3072" t="s">
        <v>37</v>
      </c>
    </row>
    <row r="3073" spans="1:2">
      <c r="A3073">
        <v>182</v>
      </c>
      <c r="B3073">
        <v>-0.48199999999999998</v>
      </c>
    </row>
    <row r="3074" spans="1:2">
      <c r="A3074">
        <v>182</v>
      </c>
      <c r="B3074" t="s">
        <v>38</v>
      </c>
    </row>
    <row r="3075" spans="1:2">
      <c r="A3075">
        <v>182</v>
      </c>
      <c r="B3075">
        <v>0.59299999999999997</v>
      </c>
    </row>
    <row r="3076" spans="1:2">
      <c r="A3076">
        <v>182</v>
      </c>
      <c r="B3076" t="s">
        <v>39</v>
      </c>
    </row>
    <row r="3077" spans="1:2">
      <c r="A3077">
        <v>182</v>
      </c>
      <c r="B3077">
        <v>-0.10299999999999999</v>
      </c>
    </row>
    <row r="3078" spans="1:2">
      <c r="A3078">
        <v>182</v>
      </c>
      <c r="B3078" t="s">
        <v>40</v>
      </c>
    </row>
    <row r="3079" spans="1:2">
      <c r="A3079">
        <v>182</v>
      </c>
      <c r="B3079" s="4">
        <v>0</v>
      </c>
    </row>
    <row r="3080" spans="1:2">
      <c r="A3080">
        <v>182</v>
      </c>
      <c r="B3080" t="s">
        <v>41</v>
      </c>
    </row>
    <row r="3081" spans="1:2">
      <c r="A3081">
        <v>182</v>
      </c>
      <c r="B3081" s="4">
        <v>19000000</v>
      </c>
    </row>
    <row r="3082" spans="1:2">
      <c r="A3082">
        <v>182</v>
      </c>
      <c r="B3082" t="s">
        <v>42</v>
      </c>
    </row>
    <row r="3083" spans="1:2">
      <c r="A3083">
        <v>182</v>
      </c>
      <c r="B3083" t="s">
        <v>44</v>
      </c>
    </row>
    <row r="3084" spans="1:2">
      <c r="A3084">
        <v>181</v>
      </c>
      <c r="B3084" t="s">
        <v>27</v>
      </c>
    </row>
    <row r="3085" spans="1:2">
      <c r="A3085">
        <v>181</v>
      </c>
      <c r="B3085" s="2">
        <v>9.3880000000000005E-2</v>
      </c>
    </row>
    <row r="3086" spans="1:2">
      <c r="A3086">
        <v>181</v>
      </c>
      <c r="B3086" t="s">
        <v>1</v>
      </c>
    </row>
    <row r="3087" spans="1:2">
      <c r="A3087">
        <v>181</v>
      </c>
      <c r="B3087">
        <v>-0.36699999999999999</v>
      </c>
    </row>
    <row r="3088" spans="1:2">
      <c r="A3088">
        <v>181</v>
      </c>
      <c r="B3088" t="s">
        <v>28</v>
      </c>
    </row>
    <row r="3089" spans="1:2">
      <c r="A3089">
        <v>181</v>
      </c>
      <c r="B3089">
        <v>459</v>
      </c>
    </row>
    <row r="3090" spans="1:2">
      <c r="A3090">
        <v>181</v>
      </c>
      <c r="B3090" t="s">
        <v>25</v>
      </c>
    </row>
    <row r="3091" spans="1:2">
      <c r="A3091">
        <v>181</v>
      </c>
      <c r="B3091" s="2">
        <v>4.1099999999999998E-2</v>
      </c>
    </row>
    <row r="3092" spans="1:2">
      <c r="A3092">
        <v>181</v>
      </c>
      <c r="B3092" t="s">
        <v>29</v>
      </c>
    </row>
    <row r="3093" spans="1:2">
      <c r="A3093">
        <v>181</v>
      </c>
      <c r="B3093" s="2">
        <v>-7.9299999999999995E-2</v>
      </c>
    </row>
    <row r="3094" spans="1:2">
      <c r="A3094">
        <v>181</v>
      </c>
      <c r="B3094" t="s">
        <v>30</v>
      </c>
    </row>
    <row r="3095" spans="1:2">
      <c r="A3095">
        <v>181</v>
      </c>
      <c r="B3095" s="2">
        <v>-0.46013999999999999</v>
      </c>
    </row>
    <row r="3096" spans="1:2">
      <c r="A3096">
        <v>181</v>
      </c>
      <c r="B3096" t="s">
        <v>8</v>
      </c>
    </row>
    <row r="3097" spans="1:2">
      <c r="A3097">
        <v>181</v>
      </c>
      <c r="B3097" s="2">
        <v>0.59299999999999997</v>
      </c>
    </row>
    <row r="3098" spans="1:2">
      <c r="A3098">
        <v>181</v>
      </c>
      <c r="B3098" t="s">
        <v>31</v>
      </c>
    </row>
    <row r="3099" spans="1:2">
      <c r="A3099">
        <v>181</v>
      </c>
      <c r="B3099">
        <v>-0.29099999999999998</v>
      </c>
    </row>
    <row r="3100" spans="1:2">
      <c r="A3100">
        <v>181</v>
      </c>
      <c r="B3100" t="s">
        <v>32</v>
      </c>
    </row>
    <row r="3101" spans="1:2">
      <c r="A3101">
        <v>181</v>
      </c>
      <c r="B3101" s="2">
        <v>-0.32754</v>
      </c>
    </row>
    <row r="3102" spans="1:2">
      <c r="A3102">
        <v>181</v>
      </c>
      <c r="B3102" t="s">
        <v>33</v>
      </c>
    </row>
    <row r="3103" spans="1:2">
      <c r="A3103">
        <v>181</v>
      </c>
      <c r="B3103" s="3">
        <v>0.53</v>
      </c>
    </row>
    <row r="3104" spans="1:2">
      <c r="A3104">
        <v>181</v>
      </c>
      <c r="B3104" t="s">
        <v>34</v>
      </c>
    </row>
    <row r="3105" spans="1:2">
      <c r="A3105">
        <v>181</v>
      </c>
      <c r="B3105" s="3">
        <v>0.47</v>
      </c>
    </row>
    <row r="3106" spans="1:2">
      <c r="A3106">
        <v>181</v>
      </c>
      <c r="B3106" t="s">
        <v>26</v>
      </c>
    </row>
    <row r="3107" spans="1:2">
      <c r="A3107">
        <v>181</v>
      </c>
      <c r="B3107">
        <v>0.52</v>
      </c>
    </row>
    <row r="3108" spans="1:2">
      <c r="A3108">
        <v>181</v>
      </c>
      <c r="B3108" t="s">
        <v>23</v>
      </c>
    </row>
    <row r="3109" spans="1:2">
      <c r="A3109">
        <v>181</v>
      </c>
      <c r="B3109">
        <v>-0.36</v>
      </c>
    </row>
    <row r="3110" spans="1:2">
      <c r="A3110">
        <v>181</v>
      </c>
      <c r="B3110" t="s">
        <v>24</v>
      </c>
    </row>
    <row r="3111" spans="1:2">
      <c r="A3111">
        <v>181</v>
      </c>
      <c r="B3111">
        <v>2.1549999999999998</v>
      </c>
    </row>
    <row r="3112" spans="1:2">
      <c r="A3112">
        <v>181</v>
      </c>
      <c r="B3112" t="s">
        <v>35</v>
      </c>
    </row>
    <row r="3113" spans="1:2">
      <c r="A3113">
        <v>181</v>
      </c>
      <c r="B3113">
        <v>0.60599999999999998</v>
      </c>
    </row>
    <row r="3114" spans="1:2">
      <c r="A3114">
        <v>181</v>
      </c>
      <c r="B3114" t="s">
        <v>36</v>
      </c>
    </row>
    <row r="3115" spans="1:2">
      <c r="A3115">
        <v>181</v>
      </c>
      <c r="B3115">
        <v>0.36699999999999999</v>
      </c>
    </row>
    <row r="3116" spans="1:2">
      <c r="A3116">
        <v>181</v>
      </c>
      <c r="B3116" t="s">
        <v>37</v>
      </c>
    </row>
    <row r="3117" spans="1:2">
      <c r="A3117">
        <v>181</v>
      </c>
      <c r="B3117">
        <v>-0.48199999999999998</v>
      </c>
    </row>
    <row r="3118" spans="1:2">
      <c r="A3118">
        <v>181</v>
      </c>
      <c r="B3118" t="s">
        <v>38</v>
      </c>
    </row>
    <row r="3119" spans="1:2">
      <c r="A3119">
        <v>181</v>
      </c>
      <c r="B3119">
        <v>0.59299999999999997</v>
      </c>
    </row>
    <row r="3120" spans="1:2">
      <c r="A3120">
        <v>181</v>
      </c>
      <c r="B3120" t="s">
        <v>39</v>
      </c>
    </row>
    <row r="3121" spans="1:2">
      <c r="A3121">
        <v>181</v>
      </c>
      <c r="B3121">
        <v>-0.10299999999999999</v>
      </c>
    </row>
    <row r="3122" spans="1:2">
      <c r="A3122">
        <v>181</v>
      </c>
      <c r="B3122" t="s">
        <v>40</v>
      </c>
    </row>
    <row r="3123" spans="1:2">
      <c r="A3123">
        <v>181</v>
      </c>
      <c r="B3123" s="4">
        <v>0</v>
      </c>
    </row>
    <row r="3124" spans="1:2">
      <c r="A3124">
        <v>181</v>
      </c>
      <c r="B3124" t="s">
        <v>41</v>
      </c>
    </row>
    <row r="3125" spans="1:2">
      <c r="A3125">
        <v>181</v>
      </c>
      <c r="B3125" s="4">
        <v>19000000</v>
      </c>
    </row>
    <row r="3126" spans="1:2">
      <c r="A3126">
        <v>181</v>
      </c>
      <c r="B3126" t="s">
        <v>42</v>
      </c>
    </row>
    <row r="3127" spans="1:2">
      <c r="A3127">
        <v>181</v>
      </c>
      <c r="B3127" t="s">
        <v>44</v>
      </c>
    </row>
    <row r="3128" spans="1:2">
      <c r="A3128">
        <v>180</v>
      </c>
      <c r="B3128" t="s">
        <v>27</v>
      </c>
    </row>
    <row r="3129" spans="1:2">
      <c r="A3129">
        <v>180</v>
      </c>
      <c r="B3129" s="2">
        <v>9.3880000000000005E-2</v>
      </c>
    </row>
    <row r="3130" spans="1:2">
      <c r="A3130">
        <v>180</v>
      </c>
      <c r="B3130" t="s">
        <v>1</v>
      </c>
    </row>
    <row r="3131" spans="1:2">
      <c r="A3131">
        <v>180</v>
      </c>
      <c r="B3131">
        <v>-0.36699999999999999</v>
      </c>
    </row>
    <row r="3132" spans="1:2">
      <c r="A3132">
        <v>180</v>
      </c>
      <c r="B3132" t="s">
        <v>28</v>
      </c>
    </row>
    <row r="3133" spans="1:2">
      <c r="A3133">
        <v>180</v>
      </c>
      <c r="B3133">
        <v>459</v>
      </c>
    </row>
    <row r="3134" spans="1:2">
      <c r="A3134">
        <v>180</v>
      </c>
      <c r="B3134" t="s">
        <v>25</v>
      </c>
    </row>
    <row r="3135" spans="1:2">
      <c r="A3135">
        <v>180</v>
      </c>
      <c r="B3135" s="2">
        <v>4.1099999999999998E-2</v>
      </c>
    </row>
    <row r="3136" spans="1:2">
      <c r="A3136">
        <v>180</v>
      </c>
      <c r="B3136" t="s">
        <v>29</v>
      </c>
    </row>
    <row r="3137" spans="1:2">
      <c r="A3137">
        <v>180</v>
      </c>
      <c r="B3137" s="2">
        <v>-7.9299999999999995E-2</v>
      </c>
    </row>
    <row r="3138" spans="1:2">
      <c r="A3138">
        <v>180</v>
      </c>
      <c r="B3138" t="s">
        <v>30</v>
      </c>
    </row>
    <row r="3139" spans="1:2">
      <c r="A3139">
        <v>180</v>
      </c>
      <c r="B3139" s="2">
        <v>-0.46013999999999999</v>
      </c>
    </row>
    <row r="3140" spans="1:2">
      <c r="A3140">
        <v>180</v>
      </c>
      <c r="B3140" t="s">
        <v>8</v>
      </c>
    </row>
    <row r="3141" spans="1:2">
      <c r="A3141">
        <v>180</v>
      </c>
      <c r="B3141" s="2">
        <v>0.59299999999999997</v>
      </c>
    </row>
    <row r="3142" spans="1:2">
      <c r="A3142">
        <v>180</v>
      </c>
      <c r="B3142" t="s">
        <v>31</v>
      </c>
    </row>
    <row r="3143" spans="1:2">
      <c r="A3143">
        <v>180</v>
      </c>
      <c r="B3143">
        <v>-0.29099999999999998</v>
      </c>
    </row>
    <row r="3144" spans="1:2">
      <c r="A3144">
        <v>180</v>
      </c>
      <c r="B3144" t="s">
        <v>32</v>
      </c>
    </row>
    <row r="3145" spans="1:2">
      <c r="A3145">
        <v>180</v>
      </c>
      <c r="B3145" s="2">
        <v>-0.32754</v>
      </c>
    </row>
    <row r="3146" spans="1:2">
      <c r="A3146">
        <v>180</v>
      </c>
      <c r="B3146" t="s">
        <v>33</v>
      </c>
    </row>
    <row r="3147" spans="1:2">
      <c r="A3147">
        <v>180</v>
      </c>
      <c r="B3147" s="3">
        <v>0.53</v>
      </c>
    </row>
    <row r="3148" spans="1:2">
      <c r="A3148">
        <v>180</v>
      </c>
      <c r="B3148" t="s">
        <v>34</v>
      </c>
    </row>
    <row r="3149" spans="1:2">
      <c r="A3149">
        <v>180</v>
      </c>
      <c r="B3149" s="3">
        <v>0.47</v>
      </c>
    </row>
    <row r="3150" spans="1:2">
      <c r="A3150">
        <v>180</v>
      </c>
      <c r="B3150" t="s">
        <v>26</v>
      </c>
    </row>
    <row r="3151" spans="1:2">
      <c r="A3151">
        <v>180</v>
      </c>
      <c r="B3151">
        <v>0.52</v>
      </c>
    </row>
    <row r="3152" spans="1:2">
      <c r="A3152">
        <v>180</v>
      </c>
      <c r="B3152" t="s">
        <v>23</v>
      </c>
    </row>
    <row r="3153" spans="1:2">
      <c r="A3153">
        <v>180</v>
      </c>
      <c r="B3153">
        <v>-0.36</v>
      </c>
    </row>
    <row r="3154" spans="1:2">
      <c r="A3154">
        <v>180</v>
      </c>
      <c r="B3154" t="s">
        <v>24</v>
      </c>
    </row>
    <row r="3155" spans="1:2">
      <c r="A3155">
        <v>180</v>
      </c>
      <c r="B3155">
        <v>2.1549999999999998</v>
      </c>
    </row>
    <row r="3156" spans="1:2">
      <c r="A3156">
        <v>180</v>
      </c>
      <c r="B3156" t="s">
        <v>35</v>
      </c>
    </row>
    <row r="3157" spans="1:2">
      <c r="A3157">
        <v>180</v>
      </c>
      <c r="B3157">
        <v>0.60599999999999998</v>
      </c>
    </row>
    <row r="3158" spans="1:2">
      <c r="A3158">
        <v>180</v>
      </c>
      <c r="B3158" t="s">
        <v>36</v>
      </c>
    </row>
    <row r="3159" spans="1:2">
      <c r="A3159">
        <v>180</v>
      </c>
      <c r="B3159">
        <v>0.36699999999999999</v>
      </c>
    </row>
    <row r="3160" spans="1:2">
      <c r="A3160">
        <v>180</v>
      </c>
      <c r="B3160" t="s">
        <v>37</v>
      </c>
    </row>
    <row r="3161" spans="1:2">
      <c r="A3161">
        <v>180</v>
      </c>
      <c r="B3161">
        <v>-0.48199999999999998</v>
      </c>
    </row>
    <row r="3162" spans="1:2">
      <c r="A3162">
        <v>180</v>
      </c>
      <c r="B3162" t="s">
        <v>38</v>
      </c>
    </row>
    <row r="3163" spans="1:2">
      <c r="A3163">
        <v>180</v>
      </c>
      <c r="B3163">
        <v>0.59299999999999997</v>
      </c>
    </row>
    <row r="3164" spans="1:2">
      <c r="A3164">
        <v>180</v>
      </c>
      <c r="B3164" t="s">
        <v>39</v>
      </c>
    </row>
    <row r="3165" spans="1:2">
      <c r="A3165">
        <v>180</v>
      </c>
      <c r="B3165">
        <v>-0.10299999999999999</v>
      </c>
    </row>
    <row r="3166" spans="1:2">
      <c r="A3166">
        <v>180</v>
      </c>
      <c r="B3166" t="s">
        <v>40</v>
      </c>
    </row>
    <row r="3167" spans="1:2">
      <c r="A3167">
        <v>180</v>
      </c>
      <c r="B3167" s="4">
        <v>0</v>
      </c>
    </row>
    <row r="3168" spans="1:2">
      <c r="A3168">
        <v>180</v>
      </c>
      <c r="B3168" t="s">
        <v>41</v>
      </c>
    </row>
    <row r="3169" spans="1:2">
      <c r="A3169">
        <v>180</v>
      </c>
      <c r="B3169" s="4">
        <v>19000000</v>
      </c>
    </row>
    <row r="3170" spans="1:2">
      <c r="A3170">
        <v>180</v>
      </c>
      <c r="B3170" t="s">
        <v>42</v>
      </c>
    </row>
    <row r="3171" spans="1:2">
      <c r="A3171">
        <v>180</v>
      </c>
      <c r="B3171" t="s">
        <v>44</v>
      </c>
    </row>
    <row r="3172" spans="1:2">
      <c r="A3172">
        <v>179</v>
      </c>
      <c r="B3172" t="s">
        <v>27</v>
      </c>
    </row>
    <row r="3173" spans="1:2">
      <c r="A3173">
        <v>179</v>
      </c>
      <c r="B3173" s="2">
        <v>9.3880000000000005E-2</v>
      </c>
    </row>
    <row r="3174" spans="1:2">
      <c r="A3174">
        <v>179</v>
      </c>
      <c r="B3174" t="s">
        <v>1</v>
      </c>
    </row>
    <row r="3175" spans="1:2">
      <c r="A3175">
        <v>179</v>
      </c>
      <c r="B3175">
        <v>-0.36699999999999999</v>
      </c>
    </row>
    <row r="3176" spans="1:2">
      <c r="A3176">
        <v>179</v>
      </c>
      <c r="B3176" t="s">
        <v>28</v>
      </c>
    </row>
    <row r="3177" spans="1:2">
      <c r="A3177">
        <v>179</v>
      </c>
      <c r="B3177">
        <v>459</v>
      </c>
    </row>
    <row r="3178" spans="1:2">
      <c r="A3178">
        <v>179</v>
      </c>
      <c r="B3178" t="s">
        <v>25</v>
      </c>
    </row>
    <row r="3179" spans="1:2">
      <c r="A3179">
        <v>179</v>
      </c>
      <c r="B3179" s="2">
        <v>4.1099999999999998E-2</v>
      </c>
    </row>
    <row r="3180" spans="1:2">
      <c r="A3180">
        <v>179</v>
      </c>
      <c r="B3180" t="s">
        <v>29</v>
      </c>
    </row>
    <row r="3181" spans="1:2">
      <c r="A3181">
        <v>179</v>
      </c>
      <c r="B3181" s="2">
        <v>-7.9299999999999995E-2</v>
      </c>
    </row>
    <row r="3182" spans="1:2">
      <c r="A3182">
        <v>179</v>
      </c>
      <c r="B3182" t="s">
        <v>30</v>
      </c>
    </row>
    <row r="3183" spans="1:2">
      <c r="A3183">
        <v>179</v>
      </c>
      <c r="B3183" s="2">
        <v>-0.46013999999999999</v>
      </c>
    </row>
    <row r="3184" spans="1:2">
      <c r="A3184">
        <v>179</v>
      </c>
      <c r="B3184" t="s">
        <v>8</v>
      </c>
    </row>
    <row r="3185" spans="1:2">
      <c r="A3185">
        <v>179</v>
      </c>
      <c r="B3185" s="2">
        <v>0.59299999999999997</v>
      </c>
    </row>
    <row r="3186" spans="1:2">
      <c r="A3186">
        <v>179</v>
      </c>
      <c r="B3186" t="s">
        <v>31</v>
      </c>
    </row>
    <row r="3187" spans="1:2">
      <c r="A3187">
        <v>179</v>
      </c>
      <c r="B3187">
        <v>-0.29099999999999998</v>
      </c>
    </row>
    <row r="3188" spans="1:2">
      <c r="A3188">
        <v>179</v>
      </c>
      <c r="B3188" t="s">
        <v>32</v>
      </c>
    </row>
    <row r="3189" spans="1:2">
      <c r="A3189">
        <v>179</v>
      </c>
      <c r="B3189" s="2">
        <v>-0.32754</v>
      </c>
    </row>
    <row r="3190" spans="1:2">
      <c r="A3190">
        <v>179</v>
      </c>
      <c r="B3190" t="s">
        <v>33</v>
      </c>
    </row>
    <row r="3191" spans="1:2">
      <c r="A3191">
        <v>179</v>
      </c>
      <c r="B3191" s="3">
        <v>0.53</v>
      </c>
    </row>
    <row r="3192" spans="1:2">
      <c r="A3192">
        <v>179</v>
      </c>
      <c r="B3192" t="s">
        <v>34</v>
      </c>
    </row>
    <row r="3193" spans="1:2">
      <c r="A3193">
        <v>179</v>
      </c>
      <c r="B3193" s="3">
        <v>0.47</v>
      </c>
    </row>
    <row r="3194" spans="1:2">
      <c r="A3194">
        <v>179</v>
      </c>
      <c r="B3194" t="s">
        <v>26</v>
      </c>
    </row>
    <row r="3195" spans="1:2">
      <c r="A3195">
        <v>179</v>
      </c>
      <c r="B3195">
        <v>0.52</v>
      </c>
    </row>
    <row r="3196" spans="1:2">
      <c r="A3196">
        <v>179</v>
      </c>
      <c r="B3196" t="s">
        <v>23</v>
      </c>
    </row>
    <row r="3197" spans="1:2">
      <c r="A3197">
        <v>179</v>
      </c>
      <c r="B3197">
        <v>-0.36</v>
      </c>
    </row>
    <row r="3198" spans="1:2">
      <c r="A3198">
        <v>179</v>
      </c>
      <c r="B3198" t="s">
        <v>24</v>
      </c>
    </row>
    <row r="3199" spans="1:2">
      <c r="A3199">
        <v>179</v>
      </c>
      <c r="B3199">
        <v>2.1549999999999998</v>
      </c>
    </row>
    <row r="3200" spans="1:2">
      <c r="A3200">
        <v>179</v>
      </c>
      <c r="B3200" t="s">
        <v>35</v>
      </c>
    </row>
    <row r="3201" spans="1:2">
      <c r="A3201">
        <v>179</v>
      </c>
      <c r="B3201">
        <v>0.60599999999999998</v>
      </c>
    </row>
    <row r="3202" spans="1:2">
      <c r="A3202">
        <v>179</v>
      </c>
      <c r="B3202" t="s">
        <v>36</v>
      </c>
    </row>
    <row r="3203" spans="1:2">
      <c r="A3203">
        <v>179</v>
      </c>
      <c r="B3203">
        <v>0.36699999999999999</v>
      </c>
    </row>
    <row r="3204" spans="1:2">
      <c r="A3204">
        <v>179</v>
      </c>
      <c r="B3204" t="s">
        <v>37</v>
      </c>
    </row>
    <row r="3205" spans="1:2">
      <c r="A3205">
        <v>179</v>
      </c>
      <c r="B3205">
        <v>-0.48199999999999998</v>
      </c>
    </row>
    <row r="3206" spans="1:2">
      <c r="A3206">
        <v>179</v>
      </c>
      <c r="B3206" t="s">
        <v>38</v>
      </c>
    </row>
    <row r="3207" spans="1:2">
      <c r="A3207">
        <v>179</v>
      </c>
      <c r="B3207">
        <v>0.59299999999999997</v>
      </c>
    </row>
    <row r="3208" spans="1:2">
      <c r="A3208">
        <v>179</v>
      </c>
      <c r="B3208" t="s">
        <v>39</v>
      </c>
    </row>
    <row r="3209" spans="1:2">
      <c r="A3209">
        <v>179</v>
      </c>
      <c r="B3209">
        <v>-0.10299999999999999</v>
      </c>
    </row>
    <row r="3210" spans="1:2">
      <c r="A3210">
        <v>179</v>
      </c>
      <c r="B3210" t="s">
        <v>40</v>
      </c>
    </row>
    <row r="3211" spans="1:2">
      <c r="A3211">
        <v>179</v>
      </c>
      <c r="B3211" s="4">
        <v>0</v>
      </c>
    </row>
    <row r="3212" spans="1:2">
      <c r="A3212">
        <v>179</v>
      </c>
      <c r="B3212" t="s">
        <v>41</v>
      </c>
    </row>
    <row r="3213" spans="1:2">
      <c r="A3213">
        <v>179</v>
      </c>
      <c r="B3213" s="4">
        <v>19000000</v>
      </c>
    </row>
    <row r="3214" spans="1:2">
      <c r="A3214">
        <v>179</v>
      </c>
      <c r="B3214" t="s">
        <v>42</v>
      </c>
    </row>
    <row r="3215" spans="1:2">
      <c r="A3215">
        <v>179</v>
      </c>
      <c r="B3215" t="s">
        <v>44</v>
      </c>
    </row>
    <row r="3216" spans="1:2">
      <c r="A3216">
        <v>178</v>
      </c>
      <c r="B3216" t="s">
        <v>27</v>
      </c>
    </row>
    <row r="3217" spans="1:2">
      <c r="A3217">
        <v>178</v>
      </c>
      <c r="B3217" s="2">
        <v>9.3880000000000005E-2</v>
      </c>
    </row>
    <row r="3218" spans="1:2">
      <c r="A3218">
        <v>178</v>
      </c>
      <c r="B3218" t="s">
        <v>1</v>
      </c>
    </row>
    <row r="3219" spans="1:2">
      <c r="A3219">
        <v>178</v>
      </c>
      <c r="B3219">
        <v>-0.36699999999999999</v>
      </c>
    </row>
    <row r="3220" spans="1:2">
      <c r="A3220">
        <v>178</v>
      </c>
      <c r="B3220" t="s">
        <v>28</v>
      </c>
    </row>
    <row r="3221" spans="1:2">
      <c r="A3221">
        <v>178</v>
      </c>
      <c r="B3221">
        <v>459</v>
      </c>
    </row>
    <row r="3222" spans="1:2">
      <c r="A3222">
        <v>178</v>
      </c>
      <c r="B3222" t="s">
        <v>25</v>
      </c>
    </row>
    <row r="3223" spans="1:2">
      <c r="A3223">
        <v>178</v>
      </c>
      <c r="B3223" s="2">
        <v>4.1099999999999998E-2</v>
      </c>
    </row>
    <row r="3224" spans="1:2">
      <c r="A3224">
        <v>178</v>
      </c>
      <c r="B3224" t="s">
        <v>29</v>
      </c>
    </row>
    <row r="3225" spans="1:2">
      <c r="A3225">
        <v>178</v>
      </c>
      <c r="B3225" s="2">
        <v>-7.9299999999999995E-2</v>
      </c>
    </row>
    <row r="3226" spans="1:2">
      <c r="A3226">
        <v>178</v>
      </c>
      <c r="B3226" t="s">
        <v>30</v>
      </c>
    </row>
    <row r="3227" spans="1:2">
      <c r="A3227">
        <v>178</v>
      </c>
      <c r="B3227" s="2">
        <v>-0.46013999999999999</v>
      </c>
    </row>
    <row r="3228" spans="1:2">
      <c r="A3228">
        <v>178</v>
      </c>
      <c r="B3228" t="s">
        <v>8</v>
      </c>
    </row>
    <row r="3229" spans="1:2">
      <c r="A3229">
        <v>178</v>
      </c>
      <c r="B3229" s="2">
        <v>0.59299999999999997</v>
      </c>
    </row>
    <row r="3230" spans="1:2">
      <c r="A3230">
        <v>178</v>
      </c>
      <c r="B3230" t="s">
        <v>31</v>
      </c>
    </row>
    <row r="3231" spans="1:2">
      <c r="A3231">
        <v>178</v>
      </c>
      <c r="B3231">
        <v>-0.29099999999999998</v>
      </c>
    </row>
    <row r="3232" spans="1:2">
      <c r="A3232">
        <v>178</v>
      </c>
      <c r="B3232" t="s">
        <v>32</v>
      </c>
    </row>
    <row r="3233" spans="1:2">
      <c r="A3233">
        <v>178</v>
      </c>
      <c r="B3233" s="2">
        <v>-0.32754</v>
      </c>
    </row>
    <row r="3234" spans="1:2">
      <c r="A3234">
        <v>178</v>
      </c>
      <c r="B3234" t="s">
        <v>33</v>
      </c>
    </row>
    <row r="3235" spans="1:2">
      <c r="A3235">
        <v>178</v>
      </c>
      <c r="B3235" s="3">
        <v>0.53</v>
      </c>
    </row>
    <row r="3236" spans="1:2">
      <c r="A3236">
        <v>178</v>
      </c>
      <c r="B3236" t="s">
        <v>34</v>
      </c>
    </row>
    <row r="3237" spans="1:2">
      <c r="A3237">
        <v>178</v>
      </c>
      <c r="B3237" s="3">
        <v>0.47</v>
      </c>
    </row>
    <row r="3238" spans="1:2">
      <c r="A3238">
        <v>178</v>
      </c>
      <c r="B3238" t="s">
        <v>26</v>
      </c>
    </row>
    <row r="3239" spans="1:2">
      <c r="A3239">
        <v>178</v>
      </c>
      <c r="B3239">
        <v>0.52</v>
      </c>
    </row>
    <row r="3240" spans="1:2">
      <c r="A3240">
        <v>178</v>
      </c>
      <c r="B3240" t="s">
        <v>23</v>
      </c>
    </row>
    <row r="3241" spans="1:2">
      <c r="A3241">
        <v>178</v>
      </c>
      <c r="B3241">
        <v>-0.36</v>
      </c>
    </row>
    <row r="3242" spans="1:2">
      <c r="A3242">
        <v>178</v>
      </c>
      <c r="B3242" t="s">
        <v>24</v>
      </c>
    </row>
    <row r="3243" spans="1:2">
      <c r="A3243">
        <v>178</v>
      </c>
      <c r="B3243">
        <v>2.1549999999999998</v>
      </c>
    </row>
    <row r="3244" spans="1:2">
      <c r="A3244">
        <v>178</v>
      </c>
      <c r="B3244" t="s">
        <v>35</v>
      </c>
    </row>
    <row r="3245" spans="1:2">
      <c r="A3245">
        <v>178</v>
      </c>
      <c r="B3245">
        <v>0.60599999999999998</v>
      </c>
    </row>
    <row r="3246" spans="1:2">
      <c r="A3246">
        <v>178</v>
      </c>
      <c r="B3246" t="s">
        <v>36</v>
      </c>
    </row>
    <row r="3247" spans="1:2">
      <c r="A3247">
        <v>178</v>
      </c>
      <c r="B3247">
        <v>0.36699999999999999</v>
      </c>
    </row>
    <row r="3248" spans="1:2">
      <c r="A3248">
        <v>178</v>
      </c>
      <c r="B3248" t="s">
        <v>37</v>
      </c>
    </row>
    <row r="3249" spans="1:2">
      <c r="A3249">
        <v>178</v>
      </c>
      <c r="B3249">
        <v>-0.48199999999999998</v>
      </c>
    </row>
    <row r="3250" spans="1:2">
      <c r="A3250">
        <v>178</v>
      </c>
      <c r="B3250" t="s">
        <v>38</v>
      </c>
    </row>
    <row r="3251" spans="1:2">
      <c r="A3251">
        <v>178</v>
      </c>
      <c r="B3251">
        <v>0.59299999999999997</v>
      </c>
    </row>
    <row r="3252" spans="1:2">
      <c r="A3252">
        <v>178</v>
      </c>
      <c r="B3252" t="s">
        <v>39</v>
      </c>
    </row>
    <row r="3253" spans="1:2">
      <c r="A3253">
        <v>178</v>
      </c>
      <c r="B3253">
        <v>-0.10299999999999999</v>
      </c>
    </row>
    <row r="3254" spans="1:2">
      <c r="A3254">
        <v>178</v>
      </c>
      <c r="B3254" t="s">
        <v>40</v>
      </c>
    </row>
    <row r="3255" spans="1:2">
      <c r="A3255">
        <v>178</v>
      </c>
      <c r="B3255" s="4">
        <v>0</v>
      </c>
    </row>
    <row r="3256" spans="1:2">
      <c r="A3256">
        <v>178</v>
      </c>
      <c r="B3256" t="s">
        <v>41</v>
      </c>
    </row>
    <row r="3257" spans="1:2">
      <c r="A3257">
        <v>178</v>
      </c>
      <c r="B3257" s="4">
        <v>19000000</v>
      </c>
    </row>
    <row r="3258" spans="1:2">
      <c r="A3258">
        <v>178</v>
      </c>
      <c r="B3258" t="s">
        <v>42</v>
      </c>
    </row>
    <row r="3259" spans="1:2">
      <c r="A3259">
        <v>178</v>
      </c>
      <c r="B3259" t="s">
        <v>44</v>
      </c>
    </row>
    <row r="3260" spans="1:2">
      <c r="A3260">
        <v>177</v>
      </c>
      <c r="B3260" t="s">
        <v>27</v>
      </c>
    </row>
    <row r="3261" spans="1:2">
      <c r="A3261">
        <v>177</v>
      </c>
      <c r="B3261" s="2">
        <v>9.3880000000000005E-2</v>
      </c>
    </row>
    <row r="3262" spans="1:2">
      <c r="A3262">
        <v>177</v>
      </c>
      <c r="B3262" t="s">
        <v>1</v>
      </c>
    </row>
    <row r="3263" spans="1:2">
      <c r="A3263">
        <v>177</v>
      </c>
      <c r="B3263">
        <v>-0.36699999999999999</v>
      </c>
    </row>
    <row r="3264" spans="1:2">
      <c r="A3264">
        <v>177</v>
      </c>
      <c r="B3264" t="s">
        <v>28</v>
      </c>
    </row>
    <row r="3265" spans="1:2">
      <c r="A3265">
        <v>177</v>
      </c>
      <c r="B3265">
        <v>459</v>
      </c>
    </row>
    <row r="3266" spans="1:2">
      <c r="A3266">
        <v>177</v>
      </c>
      <c r="B3266" t="s">
        <v>25</v>
      </c>
    </row>
    <row r="3267" spans="1:2">
      <c r="A3267">
        <v>177</v>
      </c>
      <c r="B3267" s="2">
        <v>4.1099999999999998E-2</v>
      </c>
    </row>
    <row r="3268" spans="1:2">
      <c r="A3268">
        <v>177</v>
      </c>
      <c r="B3268" t="s">
        <v>29</v>
      </c>
    </row>
    <row r="3269" spans="1:2">
      <c r="A3269">
        <v>177</v>
      </c>
      <c r="B3269" s="2">
        <v>-7.9299999999999995E-2</v>
      </c>
    </row>
    <row r="3270" spans="1:2">
      <c r="A3270">
        <v>177</v>
      </c>
      <c r="B3270" t="s">
        <v>30</v>
      </c>
    </row>
    <row r="3271" spans="1:2">
      <c r="A3271">
        <v>177</v>
      </c>
      <c r="B3271" s="2">
        <v>-0.46013999999999999</v>
      </c>
    </row>
    <row r="3272" spans="1:2">
      <c r="A3272">
        <v>177</v>
      </c>
      <c r="B3272" t="s">
        <v>8</v>
      </c>
    </row>
    <row r="3273" spans="1:2">
      <c r="A3273">
        <v>177</v>
      </c>
      <c r="B3273" s="2">
        <v>0.59299999999999997</v>
      </c>
    </row>
    <row r="3274" spans="1:2">
      <c r="A3274">
        <v>177</v>
      </c>
      <c r="B3274" t="s">
        <v>31</v>
      </c>
    </row>
    <row r="3275" spans="1:2">
      <c r="A3275">
        <v>177</v>
      </c>
      <c r="B3275">
        <v>-0.29099999999999998</v>
      </c>
    </row>
    <row r="3276" spans="1:2">
      <c r="A3276">
        <v>177</v>
      </c>
      <c r="B3276" t="s">
        <v>32</v>
      </c>
    </row>
    <row r="3277" spans="1:2">
      <c r="A3277">
        <v>177</v>
      </c>
      <c r="B3277" s="2">
        <v>-0.32754</v>
      </c>
    </row>
    <row r="3278" spans="1:2">
      <c r="A3278">
        <v>177</v>
      </c>
      <c r="B3278" t="s">
        <v>33</v>
      </c>
    </row>
    <row r="3279" spans="1:2">
      <c r="A3279">
        <v>177</v>
      </c>
      <c r="B3279" s="3">
        <v>0.53</v>
      </c>
    </row>
    <row r="3280" spans="1:2">
      <c r="A3280">
        <v>177</v>
      </c>
      <c r="B3280" t="s">
        <v>34</v>
      </c>
    </row>
    <row r="3281" spans="1:2">
      <c r="A3281">
        <v>177</v>
      </c>
      <c r="B3281" s="3">
        <v>0.47</v>
      </c>
    </row>
    <row r="3282" spans="1:2">
      <c r="A3282">
        <v>177</v>
      </c>
      <c r="B3282" t="s">
        <v>26</v>
      </c>
    </row>
    <row r="3283" spans="1:2">
      <c r="A3283">
        <v>177</v>
      </c>
      <c r="B3283">
        <v>0.52</v>
      </c>
    </row>
    <row r="3284" spans="1:2">
      <c r="A3284">
        <v>177</v>
      </c>
      <c r="B3284" t="s">
        <v>23</v>
      </c>
    </row>
    <row r="3285" spans="1:2">
      <c r="A3285">
        <v>177</v>
      </c>
      <c r="B3285">
        <v>-0.36</v>
      </c>
    </row>
    <row r="3286" spans="1:2">
      <c r="A3286">
        <v>177</v>
      </c>
      <c r="B3286" t="s">
        <v>24</v>
      </c>
    </row>
    <row r="3287" spans="1:2">
      <c r="A3287">
        <v>177</v>
      </c>
      <c r="B3287">
        <v>2.1549999999999998</v>
      </c>
    </row>
    <row r="3288" spans="1:2">
      <c r="A3288">
        <v>177</v>
      </c>
      <c r="B3288" t="s">
        <v>35</v>
      </c>
    </row>
    <row r="3289" spans="1:2">
      <c r="A3289">
        <v>177</v>
      </c>
      <c r="B3289">
        <v>0.60599999999999998</v>
      </c>
    </row>
    <row r="3290" spans="1:2">
      <c r="A3290">
        <v>177</v>
      </c>
      <c r="B3290" t="s">
        <v>36</v>
      </c>
    </row>
    <row r="3291" spans="1:2">
      <c r="A3291">
        <v>177</v>
      </c>
      <c r="B3291">
        <v>0.36699999999999999</v>
      </c>
    </row>
    <row r="3292" spans="1:2">
      <c r="A3292">
        <v>177</v>
      </c>
      <c r="B3292" t="s">
        <v>37</v>
      </c>
    </row>
    <row r="3293" spans="1:2">
      <c r="A3293">
        <v>177</v>
      </c>
      <c r="B3293">
        <v>-0.48199999999999998</v>
      </c>
    </row>
    <row r="3294" spans="1:2">
      <c r="A3294">
        <v>177</v>
      </c>
      <c r="B3294" t="s">
        <v>38</v>
      </c>
    </row>
    <row r="3295" spans="1:2">
      <c r="A3295">
        <v>177</v>
      </c>
      <c r="B3295">
        <v>0.59299999999999997</v>
      </c>
    </row>
    <row r="3296" spans="1:2">
      <c r="A3296">
        <v>177</v>
      </c>
      <c r="B3296" t="s">
        <v>39</v>
      </c>
    </row>
    <row r="3297" spans="1:2">
      <c r="A3297">
        <v>177</v>
      </c>
      <c r="B3297">
        <v>-0.10299999999999999</v>
      </c>
    </row>
    <row r="3298" spans="1:2">
      <c r="A3298">
        <v>177</v>
      </c>
      <c r="B3298" t="s">
        <v>40</v>
      </c>
    </row>
    <row r="3299" spans="1:2">
      <c r="A3299">
        <v>177</v>
      </c>
      <c r="B3299" s="4">
        <v>0</v>
      </c>
    </row>
    <row r="3300" spans="1:2">
      <c r="A3300">
        <v>177</v>
      </c>
      <c r="B3300" t="s">
        <v>41</v>
      </c>
    </row>
    <row r="3301" spans="1:2">
      <c r="A3301">
        <v>177</v>
      </c>
      <c r="B3301" s="4">
        <v>19000000</v>
      </c>
    </row>
    <row r="3302" spans="1:2">
      <c r="A3302">
        <v>177</v>
      </c>
      <c r="B3302" t="s">
        <v>42</v>
      </c>
    </row>
    <row r="3303" spans="1:2">
      <c r="A3303">
        <v>177</v>
      </c>
      <c r="B3303" t="s">
        <v>44</v>
      </c>
    </row>
    <row r="3304" spans="1:2">
      <c r="A3304">
        <v>176</v>
      </c>
      <c r="B3304" t="s">
        <v>27</v>
      </c>
    </row>
    <row r="3305" spans="1:2">
      <c r="A3305">
        <v>176</v>
      </c>
      <c r="B3305" s="2">
        <v>9.3880000000000005E-2</v>
      </c>
    </row>
    <row r="3306" spans="1:2">
      <c r="A3306">
        <v>176</v>
      </c>
      <c r="B3306" t="s">
        <v>1</v>
      </c>
    </row>
    <row r="3307" spans="1:2">
      <c r="A3307">
        <v>176</v>
      </c>
      <c r="B3307">
        <v>-0.36699999999999999</v>
      </c>
    </row>
    <row r="3308" spans="1:2">
      <c r="A3308">
        <v>176</v>
      </c>
      <c r="B3308" t="s">
        <v>28</v>
      </c>
    </row>
    <row r="3309" spans="1:2">
      <c r="A3309">
        <v>176</v>
      </c>
      <c r="B3309">
        <v>459</v>
      </c>
    </row>
    <row r="3310" spans="1:2">
      <c r="A3310">
        <v>176</v>
      </c>
      <c r="B3310" t="s">
        <v>25</v>
      </c>
    </row>
    <row r="3311" spans="1:2">
      <c r="A3311">
        <v>176</v>
      </c>
      <c r="B3311" s="2">
        <v>4.1099999999999998E-2</v>
      </c>
    </row>
    <row r="3312" spans="1:2">
      <c r="A3312">
        <v>176</v>
      </c>
      <c r="B3312" t="s">
        <v>29</v>
      </c>
    </row>
    <row r="3313" spans="1:2">
      <c r="A3313">
        <v>176</v>
      </c>
      <c r="B3313" s="2">
        <v>-7.9299999999999995E-2</v>
      </c>
    </row>
    <row r="3314" spans="1:2">
      <c r="A3314">
        <v>176</v>
      </c>
      <c r="B3314" t="s">
        <v>30</v>
      </c>
    </row>
    <row r="3315" spans="1:2">
      <c r="A3315">
        <v>176</v>
      </c>
      <c r="B3315" s="2">
        <v>-0.46013999999999999</v>
      </c>
    </row>
    <row r="3316" spans="1:2">
      <c r="A3316">
        <v>176</v>
      </c>
      <c r="B3316" t="s">
        <v>8</v>
      </c>
    </row>
    <row r="3317" spans="1:2">
      <c r="A3317">
        <v>176</v>
      </c>
      <c r="B3317" s="2">
        <v>0.59299999999999997</v>
      </c>
    </row>
    <row r="3318" spans="1:2">
      <c r="A3318">
        <v>176</v>
      </c>
      <c r="B3318" t="s">
        <v>31</v>
      </c>
    </row>
    <row r="3319" spans="1:2">
      <c r="A3319">
        <v>176</v>
      </c>
      <c r="B3319">
        <v>-0.29099999999999998</v>
      </c>
    </row>
    <row r="3320" spans="1:2">
      <c r="A3320">
        <v>176</v>
      </c>
      <c r="B3320" t="s">
        <v>32</v>
      </c>
    </row>
    <row r="3321" spans="1:2">
      <c r="A3321">
        <v>176</v>
      </c>
      <c r="B3321" s="2">
        <v>-0.32754</v>
      </c>
    </row>
    <row r="3322" spans="1:2">
      <c r="A3322">
        <v>176</v>
      </c>
      <c r="B3322" t="s">
        <v>33</v>
      </c>
    </row>
    <row r="3323" spans="1:2">
      <c r="A3323">
        <v>176</v>
      </c>
      <c r="B3323" s="3">
        <v>0.53</v>
      </c>
    </row>
    <row r="3324" spans="1:2">
      <c r="A3324">
        <v>176</v>
      </c>
      <c r="B3324" t="s">
        <v>34</v>
      </c>
    </row>
    <row r="3325" spans="1:2">
      <c r="A3325">
        <v>176</v>
      </c>
      <c r="B3325" s="3">
        <v>0.47</v>
      </c>
    </row>
    <row r="3326" spans="1:2">
      <c r="A3326">
        <v>176</v>
      </c>
      <c r="B3326" t="s">
        <v>26</v>
      </c>
    </row>
    <row r="3327" spans="1:2">
      <c r="A3327">
        <v>176</v>
      </c>
      <c r="B3327">
        <v>0.52</v>
      </c>
    </row>
    <row r="3328" spans="1:2">
      <c r="A3328">
        <v>176</v>
      </c>
      <c r="B3328" t="s">
        <v>23</v>
      </c>
    </row>
    <row r="3329" spans="1:2">
      <c r="A3329">
        <v>176</v>
      </c>
      <c r="B3329">
        <v>-0.36</v>
      </c>
    </row>
    <row r="3330" spans="1:2">
      <c r="A3330">
        <v>176</v>
      </c>
      <c r="B3330" t="s">
        <v>24</v>
      </c>
    </row>
    <row r="3331" spans="1:2">
      <c r="A3331">
        <v>176</v>
      </c>
      <c r="B3331">
        <v>2.1549999999999998</v>
      </c>
    </row>
    <row r="3332" spans="1:2">
      <c r="A3332">
        <v>176</v>
      </c>
      <c r="B3332" t="s">
        <v>35</v>
      </c>
    </row>
    <row r="3333" spans="1:2">
      <c r="A3333">
        <v>176</v>
      </c>
      <c r="B3333">
        <v>0.60599999999999998</v>
      </c>
    </row>
    <row r="3334" spans="1:2">
      <c r="A3334">
        <v>176</v>
      </c>
      <c r="B3334" t="s">
        <v>36</v>
      </c>
    </row>
    <row r="3335" spans="1:2">
      <c r="A3335">
        <v>176</v>
      </c>
      <c r="B3335">
        <v>0.36699999999999999</v>
      </c>
    </row>
    <row r="3336" spans="1:2">
      <c r="A3336">
        <v>176</v>
      </c>
      <c r="B3336" t="s">
        <v>37</v>
      </c>
    </row>
    <row r="3337" spans="1:2">
      <c r="A3337">
        <v>176</v>
      </c>
      <c r="B3337">
        <v>-0.48199999999999998</v>
      </c>
    </row>
    <row r="3338" spans="1:2">
      <c r="A3338">
        <v>176</v>
      </c>
      <c r="B3338" t="s">
        <v>38</v>
      </c>
    </row>
    <row r="3339" spans="1:2">
      <c r="A3339">
        <v>176</v>
      </c>
      <c r="B3339">
        <v>0.59299999999999997</v>
      </c>
    </row>
    <row r="3340" spans="1:2">
      <c r="A3340">
        <v>176</v>
      </c>
      <c r="B3340" t="s">
        <v>39</v>
      </c>
    </row>
    <row r="3341" spans="1:2">
      <c r="A3341">
        <v>176</v>
      </c>
      <c r="B3341">
        <v>-0.10299999999999999</v>
      </c>
    </row>
    <row r="3342" spans="1:2">
      <c r="A3342">
        <v>176</v>
      </c>
      <c r="B3342" t="s">
        <v>40</v>
      </c>
    </row>
    <row r="3343" spans="1:2">
      <c r="A3343">
        <v>176</v>
      </c>
      <c r="B3343" s="4">
        <v>0</v>
      </c>
    </row>
    <row r="3344" spans="1:2">
      <c r="A3344">
        <v>176</v>
      </c>
      <c r="B3344" t="s">
        <v>41</v>
      </c>
    </row>
    <row r="3345" spans="1:2">
      <c r="A3345">
        <v>176</v>
      </c>
      <c r="B3345" s="4">
        <v>19000000</v>
      </c>
    </row>
    <row r="3346" spans="1:2">
      <c r="A3346">
        <v>176</v>
      </c>
      <c r="B3346" t="s">
        <v>42</v>
      </c>
    </row>
    <row r="3347" spans="1:2">
      <c r="A3347">
        <v>176</v>
      </c>
      <c r="B3347" t="s">
        <v>44</v>
      </c>
    </row>
    <row r="3348" spans="1:2">
      <c r="A3348">
        <v>175</v>
      </c>
      <c r="B3348" t="s">
        <v>27</v>
      </c>
    </row>
    <row r="3349" spans="1:2">
      <c r="A3349">
        <v>175</v>
      </c>
      <c r="B3349" s="2">
        <v>9.3880000000000005E-2</v>
      </c>
    </row>
    <row r="3350" spans="1:2">
      <c r="A3350">
        <v>175</v>
      </c>
      <c r="B3350" t="s">
        <v>1</v>
      </c>
    </row>
    <row r="3351" spans="1:2">
      <c r="A3351">
        <v>175</v>
      </c>
      <c r="B3351">
        <v>-0.36699999999999999</v>
      </c>
    </row>
    <row r="3352" spans="1:2">
      <c r="A3352">
        <v>175</v>
      </c>
      <c r="B3352" t="s">
        <v>28</v>
      </c>
    </row>
    <row r="3353" spans="1:2">
      <c r="A3353">
        <v>175</v>
      </c>
      <c r="B3353">
        <v>459</v>
      </c>
    </row>
    <row r="3354" spans="1:2">
      <c r="A3354">
        <v>175</v>
      </c>
      <c r="B3354" t="s">
        <v>25</v>
      </c>
    </row>
    <row r="3355" spans="1:2">
      <c r="A3355">
        <v>175</v>
      </c>
      <c r="B3355" s="2">
        <v>4.1099999999999998E-2</v>
      </c>
    </row>
    <row r="3356" spans="1:2">
      <c r="A3356">
        <v>175</v>
      </c>
      <c r="B3356" t="s">
        <v>29</v>
      </c>
    </row>
    <row r="3357" spans="1:2">
      <c r="A3357">
        <v>175</v>
      </c>
      <c r="B3357" s="2">
        <v>-7.9299999999999995E-2</v>
      </c>
    </row>
    <row r="3358" spans="1:2">
      <c r="A3358">
        <v>175</v>
      </c>
      <c r="B3358" t="s">
        <v>30</v>
      </c>
    </row>
    <row r="3359" spans="1:2">
      <c r="A3359">
        <v>175</v>
      </c>
      <c r="B3359" s="2">
        <v>-0.46013999999999999</v>
      </c>
    </row>
    <row r="3360" spans="1:2">
      <c r="A3360">
        <v>175</v>
      </c>
      <c r="B3360" t="s">
        <v>8</v>
      </c>
    </row>
    <row r="3361" spans="1:2">
      <c r="A3361">
        <v>175</v>
      </c>
      <c r="B3361" s="2">
        <v>0.59299999999999997</v>
      </c>
    </row>
    <row r="3362" spans="1:2">
      <c r="A3362">
        <v>175</v>
      </c>
      <c r="B3362" t="s">
        <v>31</v>
      </c>
    </row>
    <row r="3363" spans="1:2">
      <c r="A3363">
        <v>175</v>
      </c>
      <c r="B3363">
        <v>-0.29099999999999998</v>
      </c>
    </row>
    <row r="3364" spans="1:2">
      <c r="A3364">
        <v>175</v>
      </c>
      <c r="B3364" t="s">
        <v>32</v>
      </c>
    </row>
    <row r="3365" spans="1:2">
      <c r="A3365">
        <v>175</v>
      </c>
      <c r="B3365" s="2">
        <v>-0.32754</v>
      </c>
    </row>
    <row r="3366" spans="1:2">
      <c r="A3366">
        <v>175</v>
      </c>
      <c r="B3366" t="s">
        <v>33</v>
      </c>
    </row>
    <row r="3367" spans="1:2">
      <c r="A3367">
        <v>175</v>
      </c>
      <c r="B3367" s="3">
        <v>0.53</v>
      </c>
    </row>
    <row r="3368" spans="1:2">
      <c r="A3368">
        <v>175</v>
      </c>
      <c r="B3368" t="s">
        <v>34</v>
      </c>
    </row>
    <row r="3369" spans="1:2">
      <c r="A3369">
        <v>175</v>
      </c>
      <c r="B3369" s="3">
        <v>0.47</v>
      </c>
    </row>
    <row r="3370" spans="1:2">
      <c r="A3370">
        <v>175</v>
      </c>
      <c r="B3370" t="s">
        <v>26</v>
      </c>
    </row>
    <row r="3371" spans="1:2">
      <c r="A3371">
        <v>175</v>
      </c>
      <c r="B3371">
        <v>0.52</v>
      </c>
    </row>
    <row r="3372" spans="1:2">
      <c r="A3372">
        <v>175</v>
      </c>
      <c r="B3372" t="s">
        <v>23</v>
      </c>
    </row>
    <row r="3373" spans="1:2">
      <c r="A3373">
        <v>175</v>
      </c>
      <c r="B3373">
        <v>-0.36</v>
      </c>
    </row>
    <row r="3374" spans="1:2">
      <c r="A3374">
        <v>175</v>
      </c>
      <c r="B3374" t="s">
        <v>24</v>
      </c>
    </row>
    <row r="3375" spans="1:2">
      <c r="A3375">
        <v>175</v>
      </c>
      <c r="B3375">
        <v>2.1549999999999998</v>
      </c>
    </row>
    <row r="3376" spans="1:2">
      <c r="A3376">
        <v>175</v>
      </c>
      <c r="B3376" t="s">
        <v>35</v>
      </c>
    </row>
    <row r="3377" spans="1:2">
      <c r="A3377">
        <v>175</v>
      </c>
      <c r="B3377">
        <v>0.60599999999999998</v>
      </c>
    </row>
    <row r="3378" spans="1:2">
      <c r="A3378">
        <v>175</v>
      </c>
      <c r="B3378" t="s">
        <v>36</v>
      </c>
    </row>
    <row r="3379" spans="1:2">
      <c r="A3379">
        <v>175</v>
      </c>
      <c r="B3379">
        <v>0.36699999999999999</v>
      </c>
    </row>
    <row r="3380" spans="1:2">
      <c r="A3380">
        <v>175</v>
      </c>
      <c r="B3380" t="s">
        <v>37</v>
      </c>
    </row>
    <row r="3381" spans="1:2">
      <c r="A3381">
        <v>175</v>
      </c>
      <c r="B3381">
        <v>-0.48199999999999998</v>
      </c>
    </row>
    <row r="3382" spans="1:2">
      <c r="A3382">
        <v>175</v>
      </c>
      <c r="B3382" t="s">
        <v>38</v>
      </c>
    </row>
    <row r="3383" spans="1:2">
      <c r="A3383">
        <v>175</v>
      </c>
      <c r="B3383">
        <v>0.59299999999999997</v>
      </c>
    </row>
    <row r="3384" spans="1:2">
      <c r="A3384">
        <v>175</v>
      </c>
      <c r="B3384" t="s">
        <v>39</v>
      </c>
    </row>
    <row r="3385" spans="1:2">
      <c r="A3385">
        <v>175</v>
      </c>
      <c r="B3385">
        <v>-0.10299999999999999</v>
      </c>
    </row>
    <row r="3386" spans="1:2">
      <c r="A3386">
        <v>175</v>
      </c>
      <c r="B3386" t="s">
        <v>40</v>
      </c>
    </row>
    <row r="3387" spans="1:2">
      <c r="A3387">
        <v>175</v>
      </c>
      <c r="B3387" s="4">
        <v>0</v>
      </c>
    </row>
    <row r="3388" spans="1:2">
      <c r="A3388">
        <v>175</v>
      </c>
      <c r="B3388" t="s">
        <v>41</v>
      </c>
    </row>
    <row r="3389" spans="1:2">
      <c r="A3389">
        <v>175</v>
      </c>
      <c r="B3389" s="4">
        <v>19000000</v>
      </c>
    </row>
    <row r="3390" spans="1:2">
      <c r="A3390">
        <v>175</v>
      </c>
      <c r="B3390" t="s">
        <v>42</v>
      </c>
    </row>
    <row r="3391" spans="1:2">
      <c r="A3391">
        <v>175</v>
      </c>
      <c r="B3391" t="s">
        <v>44</v>
      </c>
    </row>
    <row r="3392" spans="1:2">
      <c r="A3392">
        <v>174</v>
      </c>
      <c r="B3392" t="s">
        <v>27</v>
      </c>
    </row>
    <row r="3393" spans="1:2">
      <c r="A3393">
        <v>174</v>
      </c>
      <c r="B3393" s="2">
        <v>9.3880000000000005E-2</v>
      </c>
    </row>
    <row r="3394" spans="1:2">
      <c r="A3394">
        <v>174</v>
      </c>
      <c r="B3394" t="s">
        <v>1</v>
      </c>
    </row>
    <row r="3395" spans="1:2">
      <c r="A3395">
        <v>174</v>
      </c>
      <c r="B3395">
        <v>-0.36699999999999999</v>
      </c>
    </row>
    <row r="3396" spans="1:2">
      <c r="A3396">
        <v>174</v>
      </c>
      <c r="B3396" t="s">
        <v>28</v>
      </c>
    </row>
    <row r="3397" spans="1:2">
      <c r="A3397">
        <v>174</v>
      </c>
      <c r="B3397">
        <v>459</v>
      </c>
    </row>
    <row r="3398" spans="1:2">
      <c r="A3398">
        <v>174</v>
      </c>
      <c r="B3398" t="s">
        <v>25</v>
      </c>
    </row>
    <row r="3399" spans="1:2">
      <c r="A3399">
        <v>174</v>
      </c>
      <c r="B3399" s="2">
        <v>4.1099999999999998E-2</v>
      </c>
    </row>
    <row r="3400" spans="1:2">
      <c r="A3400">
        <v>174</v>
      </c>
      <c r="B3400" t="s">
        <v>29</v>
      </c>
    </row>
    <row r="3401" spans="1:2">
      <c r="A3401">
        <v>174</v>
      </c>
      <c r="B3401" s="2">
        <v>-7.9299999999999995E-2</v>
      </c>
    </row>
    <row r="3402" spans="1:2">
      <c r="A3402">
        <v>174</v>
      </c>
      <c r="B3402" t="s">
        <v>30</v>
      </c>
    </row>
    <row r="3403" spans="1:2">
      <c r="A3403">
        <v>174</v>
      </c>
      <c r="B3403" s="2">
        <v>-0.46013999999999999</v>
      </c>
    </row>
    <row r="3404" spans="1:2">
      <c r="A3404">
        <v>174</v>
      </c>
      <c r="B3404" t="s">
        <v>8</v>
      </c>
    </row>
    <row r="3405" spans="1:2">
      <c r="A3405">
        <v>174</v>
      </c>
      <c r="B3405" s="2">
        <v>0.59299999999999997</v>
      </c>
    </row>
    <row r="3406" spans="1:2">
      <c r="A3406">
        <v>174</v>
      </c>
      <c r="B3406" t="s">
        <v>31</v>
      </c>
    </row>
    <row r="3407" spans="1:2">
      <c r="A3407">
        <v>174</v>
      </c>
      <c r="B3407">
        <v>-0.29099999999999998</v>
      </c>
    </row>
    <row r="3408" spans="1:2">
      <c r="A3408">
        <v>174</v>
      </c>
      <c r="B3408" t="s">
        <v>32</v>
      </c>
    </row>
    <row r="3409" spans="1:2">
      <c r="A3409">
        <v>174</v>
      </c>
      <c r="B3409" s="2">
        <v>-0.32754</v>
      </c>
    </row>
    <row r="3410" spans="1:2">
      <c r="A3410">
        <v>174</v>
      </c>
      <c r="B3410" t="s">
        <v>33</v>
      </c>
    </row>
    <row r="3411" spans="1:2">
      <c r="A3411">
        <v>174</v>
      </c>
      <c r="B3411" s="3">
        <v>0.53</v>
      </c>
    </row>
    <row r="3412" spans="1:2">
      <c r="A3412">
        <v>174</v>
      </c>
      <c r="B3412" t="s">
        <v>34</v>
      </c>
    </row>
    <row r="3413" spans="1:2">
      <c r="A3413">
        <v>174</v>
      </c>
      <c r="B3413" s="3">
        <v>0.47</v>
      </c>
    </row>
    <row r="3414" spans="1:2">
      <c r="A3414">
        <v>174</v>
      </c>
      <c r="B3414" t="s">
        <v>26</v>
      </c>
    </row>
    <row r="3415" spans="1:2">
      <c r="A3415">
        <v>174</v>
      </c>
      <c r="B3415">
        <v>0.52</v>
      </c>
    </row>
    <row r="3416" spans="1:2">
      <c r="A3416">
        <v>174</v>
      </c>
      <c r="B3416" t="s">
        <v>23</v>
      </c>
    </row>
    <row r="3417" spans="1:2">
      <c r="A3417">
        <v>174</v>
      </c>
      <c r="B3417">
        <v>-0.36</v>
      </c>
    </row>
    <row r="3418" spans="1:2">
      <c r="A3418">
        <v>174</v>
      </c>
      <c r="B3418" t="s">
        <v>24</v>
      </c>
    </row>
    <row r="3419" spans="1:2">
      <c r="A3419">
        <v>174</v>
      </c>
      <c r="B3419">
        <v>2.1549999999999998</v>
      </c>
    </row>
    <row r="3420" spans="1:2">
      <c r="A3420">
        <v>174</v>
      </c>
      <c r="B3420" t="s">
        <v>35</v>
      </c>
    </row>
    <row r="3421" spans="1:2">
      <c r="A3421">
        <v>174</v>
      </c>
      <c r="B3421">
        <v>0.60599999999999998</v>
      </c>
    </row>
    <row r="3422" spans="1:2">
      <c r="A3422">
        <v>174</v>
      </c>
      <c r="B3422" t="s">
        <v>36</v>
      </c>
    </row>
    <row r="3423" spans="1:2">
      <c r="A3423">
        <v>174</v>
      </c>
      <c r="B3423">
        <v>0.36699999999999999</v>
      </c>
    </row>
    <row r="3424" spans="1:2">
      <c r="A3424">
        <v>174</v>
      </c>
      <c r="B3424" t="s">
        <v>37</v>
      </c>
    </row>
    <row r="3425" spans="1:2">
      <c r="A3425">
        <v>174</v>
      </c>
      <c r="B3425">
        <v>-0.48199999999999998</v>
      </c>
    </row>
    <row r="3426" spans="1:2">
      <c r="A3426">
        <v>174</v>
      </c>
      <c r="B3426" t="s">
        <v>38</v>
      </c>
    </row>
    <row r="3427" spans="1:2">
      <c r="A3427">
        <v>174</v>
      </c>
      <c r="B3427">
        <v>0.59299999999999997</v>
      </c>
    </row>
    <row r="3428" spans="1:2">
      <c r="A3428">
        <v>174</v>
      </c>
      <c r="B3428" t="s">
        <v>39</v>
      </c>
    </row>
    <row r="3429" spans="1:2">
      <c r="A3429">
        <v>174</v>
      </c>
      <c r="B3429">
        <v>-0.10299999999999999</v>
      </c>
    </row>
    <row r="3430" spans="1:2">
      <c r="A3430">
        <v>174</v>
      </c>
      <c r="B3430" t="s">
        <v>40</v>
      </c>
    </row>
    <row r="3431" spans="1:2">
      <c r="A3431">
        <v>174</v>
      </c>
      <c r="B3431" s="4">
        <v>0</v>
      </c>
    </row>
    <row r="3432" spans="1:2">
      <c r="A3432">
        <v>174</v>
      </c>
      <c r="B3432" t="s">
        <v>41</v>
      </c>
    </row>
    <row r="3433" spans="1:2">
      <c r="A3433">
        <v>174</v>
      </c>
      <c r="B3433" s="4">
        <v>19000000</v>
      </c>
    </row>
    <row r="3434" spans="1:2">
      <c r="A3434">
        <v>174</v>
      </c>
      <c r="B3434" t="s">
        <v>42</v>
      </c>
    </row>
    <row r="3435" spans="1:2">
      <c r="A3435">
        <v>174</v>
      </c>
      <c r="B3435" t="s">
        <v>44</v>
      </c>
    </row>
    <row r="3436" spans="1:2">
      <c r="A3436">
        <v>173</v>
      </c>
      <c r="B3436" t="s">
        <v>27</v>
      </c>
    </row>
    <row r="3437" spans="1:2">
      <c r="A3437">
        <v>173</v>
      </c>
      <c r="B3437" s="2">
        <v>9.3880000000000005E-2</v>
      </c>
    </row>
    <row r="3438" spans="1:2">
      <c r="A3438">
        <v>173</v>
      </c>
      <c r="B3438" t="s">
        <v>1</v>
      </c>
    </row>
    <row r="3439" spans="1:2">
      <c r="A3439">
        <v>173</v>
      </c>
      <c r="B3439">
        <v>-0.36699999999999999</v>
      </c>
    </row>
    <row r="3440" spans="1:2">
      <c r="A3440">
        <v>173</v>
      </c>
      <c r="B3440" t="s">
        <v>28</v>
      </c>
    </row>
    <row r="3441" spans="1:2">
      <c r="A3441">
        <v>173</v>
      </c>
      <c r="B3441">
        <v>459</v>
      </c>
    </row>
    <row r="3442" spans="1:2">
      <c r="A3442">
        <v>173</v>
      </c>
      <c r="B3442" t="s">
        <v>25</v>
      </c>
    </row>
    <row r="3443" spans="1:2">
      <c r="A3443">
        <v>173</v>
      </c>
      <c r="B3443" s="2">
        <v>4.1099999999999998E-2</v>
      </c>
    </row>
    <row r="3444" spans="1:2">
      <c r="A3444">
        <v>173</v>
      </c>
      <c r="B3444" t="s">
        <v>29</v>
      </c>
    </row>
    <row r="3445" spans="1:2">
      <c r="A3445">
        <v>173</v>
      </c>
      <c r="B3445" s="2">
        <v>-7.9299999999999995E-2</v>
      </c>
    </row>
    <row r="3446" spans="1:2">
      <c r="A3446">
        <v>173</v>
      </c>
      <c r="B3446" t="s">
        <v>30</v>
      </c>
    </row>
    <row r="3447" spans="1:2">
      <c r="A3447">
        <v>173</v>
      </c>
      <c r="B3447" s="2">
        <v>-0.46013999999999999</v>
      </c>
    </row>
    <row r="3448" spans="1:2">
      <c r="A3448">
        <v>173</v>
      </c>
      <c r="B3448" t="s">
        <v>8</v>
      </c>
    </row>
    <row r="3449" spans="1:2">
      <c r="A3449">
        <v>173</v>
      </c>
      <c r="B3449" s="2">
        <v>0.59299999999999997</v>
      </c>
    </row>
    <row r="3450" spans="1:2">
      <c r="A3450">
        <v>173</v>
      </c>
      <c r="B3450" t="s">
        <v>31</v>
      </c>
    </row>
    <row r="3451" spans="1:2">
      <c r="A3451">
        <v>173</v>
      </c>
      <c r="B3451">
        <v>-0.29099999999999998</v>
      </c>
    </row>
    <row r="3452" spans="1:2">
      <c r="A3452">
        <v>173</v>
      </c>
      <c r="B3452" t="s">
        <v>32</v>
      </c>
    </row>
    <row r="3453" spans="1:2">
      <c r="A3453">
        <v>173</v>
      </c>
      <c r="B3453" s="2">
        <v>-0.32754</v>
      </c>
    </row>
    <row r="3454" spans="1:2">
      <c r="A3454">
        <v>173</v>
      </c>
      <c r="B3454" t="s">
        <v>33</v>
      </c>
    </row>
    <row r="3455" spans="1:2">
      <c r="A3455">
        <v>173</v>
      </c>
      <c r="B3455" s="3">
        <v>0.53</v>
      </c>
    </row>
    <row r="3456" spans="1:2">
      <c r="A3456">
        <v>173</v>
      </c>
      <c r="B3456" t="s">
        <v>34</v>
      </c>
    </row>
    <row r="3457" spans="1:2">
      <c r="A3457">
        <v>173</v>
      </c>
      <c r="B3457" s="3">
        <v>0.47</v>
      </c>
    </row>
    <row r="3458" spans="1:2">
      <c r="A3458">
        <v>173</v>
      </c>
      <c r="B3458" t="s">
        <v>26</v>
      </c>
    </row>
    <row r="3459" spans="1:2">
      <c r="A3459">
        <v>173</v>
      </c>
      <c r="B3459">
        <v>0.52</v>
      </c>
    </row>
    <row r="3460" spans="1:2">
      <c r="A3460">
        <v>173</v>
      </c>
      <c r="B3460" t="s">
        <v>23</v>
      </c>
    </row>
    <row r="3461" spans="1:2">
      <c r="A3461">
        <v>173</v>
      </c>
      <c r="B3461">
        <v>-0.36</v>
      </c>
    </row>
    <row r="3462" spans="1:2">
      <c r="A3462">
        <v>173</v>
      </c>
      <c r="B3462" t="s">
        <v>24</v>
      </c>
    </row>
    <row r="3463" spans="1:2">
      <c r="A3463">
        <v>173</v>
      </c>
      <c r="B3463">
        <v>2.1549999999999998</v>
      </c>
    </row>
    <row r="3464" spans="1:2">
      <c r="A3464">
        <v>173</v>
      </c>
      <c r="B3464" t="s">
        <v>35</v>
      </c>
    </row>
    <row r="3465" spans="1:2">
      <c r="A3465">
        <v>173</v>
      </c>
      <c r="B3465">
        <v>0.60599999999999998</v>
      </c>
    </row>
    <row r="3466" spans="1:2">
      <c r="A3466">
        <v>173</v>
      </c>
      <c r="B3466" t="s">
        <v>36</v>
      </c>
    </row>
    <row r="3467" spans="1:2">
      <c r="A3467">
        <v>173</v>
      </c>
      <c r="B3467">
        <v>0.36699999999999999</v>
      </c>
    </row>
    <row r="3468" spans="1:2">
      <c r="A3468">
        <v>173</v>
      </c>
      <c r="B3468" t="s">
        <v>37</v>
      </c>
    </row>
    <row r="3469" spans="1:2">
      <c r="A3469">
        <v>173</v>
      </c>
      <c r="B3469">
        <v>-0.48199999999999998</v>
      </c>
    </row>
    <row r="3470" spans="1:2">
      <c r="A3470">
        <v>173</v>
      </c>
      <c r="B3470" t="s">
        <v>38</v>
      </c>
    </row>
    <row r="3471" spans="1:2">
      <c r="A3471">
        <v>173</v>
      </c>
      <c r="B3471">
        <v>0.59299999999999997</v>
      </c>
    </row>
    <row r="3472" spans="1:2">
      <c r="A3472">
        <v>173</v>
      </c>
      <c r="B3472" t="s">
        <v>39</v>
      </c>
    </row>
    <row r="3473" spans="1:2">
      <c r="A3473">
        <v>173</v>
      </c>
      <c r="B3473">
        <v>-0.10299999999999999</v>
      </c>
    </row>
    <row r="3474" spans="1:2">
      <c r="A3474">
        <v>173</v>
      </c>
      <c r="B3474" t="s">
        <v>40</v>
      </c>
    </row>
    <row r="3475" spans="1:2">
      <c r="A3475">
        <v>173</v>
      </c>
      <c r="B3475" s="4">
        <v>0</v>
      </c>
    </row>
    <row r="3476" spans="1:2">
      <c r="A3476">
        <v>173</v>
      </c>
      <c r="B3476" t="s">
        <v>41</v>
      </c>
    </row>
    <row r="3477" spans="1:2">
      <c r="A3477">
        <v>173</v>
      </c>
      <c r="B3477" s="4">
        <v>19000000</v>
      </c>
    </row>
    <row r="3478" spans="1:2">
      <c r="A3478">
        <v>173</v>
      </c>
      <c r="B3478" t="s">
        <v>42</v>
      </c>
    </row>
    <row r="3479" spans="1:2">
      <c r="A3479">
        <v>173</v>
      </c>
      <c r="B3479" t="s">
        <v>44</v>
      </c>
    </row>
    <row r="3480" spans="1:2">
      <c r="A3480">
        <v>172</v>
      </c>
      <c r="B3480" t="s">
        <v>27</v>
      </c>
    </row>
    <row r="3481" spans="1:2">
      <c r="A3481">
        <v>172</v>
      </c>
      <c r="B3481" s="2">
        <v>9.3880000000000005E-2</v>
      </c>
    </row>
    <row r="3482" spans="1:2">
      <c r="A3482">
        <v>172</v>
      </c>
      <c r="B3482" t="s">
        <v>1</v>
      </c>
    </row>
    <row r="3483" spans="1:2">
      <c r="A3483">
        <v>172</v>
      </c>
      <c r="B3483">
        <v>-0.36699999999999999</v>
      </c>
    </row>
    <row r="3484" spans="1:2">
      <c r="A3484">
        <v>172</v>
      </c>
      <c r="B3484" t="s">
        <v>28</v>
      </c>
    </row>
    <row r="3485" spans="1:2">
      <c r="A3485">
        <v>172</v>
      </c>
      <c r="B3485">
        <v>459</v>
      </c>
    </row>
    <row r="3486" spans="1:2">
      <c r="A3486">
        <v>172</v>
      </c>
      <c r="B3486" t="s">
        <v>25</v>
      </c>
    </row>
    <row r="3487" spans="1:2">
      <c r="A3487">
        <v>172</v>
      </c>
      <c r="B3487" s="2">
        <v>4.1099999999999998E-2</v>
      </c>
    </row>
    <row r="3488" spans="1:2">
      <c r="A3488">
        <v>172</v>
      </c>
      <c r="B3488" t="s">
        <v>29</v>
      </c>
    </row>
    <row r="3489" spans="1:2">
      <c r="A3489">
        <v>172</v>
      </c>
      <c r="B3489" s="2">
        <v>-7.9299999999999995E-2</v>
      </c>
    </row>
    <row r="3490" spans="1:2">
      <c r="A3490">
        <v>172</v>
      </c>
      <c r="B3490" t="s">
        <v>30</v>
      </c>
    </row>
    <row r="3491" spans="1:2">
      <c r="A3491">
        <v>172</v>
      </c>
      <c r="B3491" s="2">
        <v>-0.46013999999999999</v>
      </c>
    </row>
    <row r="3492" spans="1:2">
      <c r="A3492">
        <v>172</v>
      </c>
      <c r="B3492" t="s">
        <v>8</v>
      </c>
    </row>
    <row r="3493" spans="1:2">
      <c r="A3493">
        <v>172</v>
      </c>
      <c r="B3493" s="2">
        <v>0.59299999999999997</v>
      </c>
    </row>
    <row r="3494" spans="1:2">
      <c r="A3494">
        <v>172</v>
      </c>
      <c r="B3494" t="s">
        <v>31</v>
      </c>
    </row>
    <row r="3495" spans="1:2">
      <c r="A3495">
        <v>172</v>
      </c>
      <c r="B3495">
        <v>-0.29099999999999998</v>
      </c>
    </row>
    <row r="3496" spans="1:2">
      <c r="A3496">
        <v>172</v>
      </c>
      <c r="B3496" t="s">
        <v>32</v>
      </c>
    </row>
    <row r="3497" spans="1:2">
      <c r="A3497">
        <v>172</v>
      </c>
      <c r="B3497" s="2">
        <v>-0.32754</v>
      </c>
    </row>
    <row r="3498" spans="1:2">
      <c r="A3498">
        <v>172</v>
      </c>
      <c r="B3498" t="s">
        <v>33</v>
      </c>
    </row>
    <row r="3499" spans="1:2">
      <c r="A3499">
        <v>172</v>
      </c>
      <c r="B3499" s="3">
        <v>0.53</v>
      </c>
    </row>
    <row r="3500" spans="1:2">
      <c r="A3500">
        <v>172</v>
      </c>
      <c r="B3500" t="s">
        <v>34</v>
      </c>
    </row>
    <row r="3501" spans="1:2">
      <c r="A3501">
        <v>172</v>
      </c>
      <c r="B3501" s="3">
        <v>0.47</v>
      </c>
    </row>
    <row r="3502" spans="1:2">
      <c r="A3502">
        <v>172</v>
      </c>
      <c r="B3502" t="s">
        <v>26</v>
      </c>
    </row>
    <row r="3503" spans="1:2">
      <c r="A3503">
        <v>172</v>
      </c>
      <c r="B3503">
        <v>0.52</v>
      </c>
    </row>
    <row r="3504" spans="1:2">
      <c r="A3504">
        <v>172</v>
      </c>
      <c r="B3504" t="s">
        <v>23</v>
      </c>
    </row>
    <row r="3505" spans="1:2">
      <c r="A3505">
        <v>172</v>
      </c>
      <c r="B3505">
        <v>-0.36</v>
      </c>
    </row>
    <row r="3506" spans="1:2">
      <c r="A3506">
        <v>172</v>
      </c>
      <c r="B3506" t="s">
        <v>24</v>
      </c>
    </row>
    <row r="3507" spans="1:2">
      <c r="A3507">
        <v>172</v>
      </c>
      <c r="B3507">
        <v>2.1549999999999998</v>
      </c>
    </row>
    <row r="3508" spans="1:2">
      <c r="A3508">
        <v>172</v>
      </c>
      <c r="B3508" t="s">
        <v>35</v>
      </c>
    </row>
    <row r="3509" spans="1:2">
      <c r="A3509">
        <v>172</v>
      </c>
      <c r="B3509">
        <v>0.60599999999999998</v>
      </c>
    </row>
    <row r="3510" spans="1:2">
      <c r="A3510">
        <v>172</v>
      </c>
      <c r="B3510" t="s">
        <v>36</v>
      </c>
    </row>
    <row r="3511" spans="1:2">
      <c r="A3511">
        <v>172</v>
      </c>
      <c r="B3511">
        <v>0.36699999999999999</v>
      </c>
    </row>
    <row r="3512" spans="1:2">
      <c r="A3512">
        <v>172</v>
      </c>
      <c r="B3512" t="s">
        <v>37</v>
      </c>
    </row>
    <row r="3513" spans="1:2">
      <c r="A3513">
        <v>172</v>
      </c>
      <c r="B3513">
        <v>-0.48199999999999998</v>
      </c>
    </row>
    <row r="3514" spans="1:2">
      <c r="A3514">
        <v>172</v>
      </c>
      <c r="B3514" t="s">
        <v>38</v>
      </c>
    </row>
    <row r="3515" spans="1:2">
      <c r="A3515">
        <v>172</v>
      </c>
      <c r="B3515">
        <v>0.59299999999999997</v>
      </c>
    </row>
    <row r="3516" spans="1:2">
      <c r="A3516">
        <v>172</v>
      </c>
      <c r="B3516" t="s">
        <v>39</v>
      </c>
    </row>
    <row r="3517" spans="1:2">
      <c r="A3517">
        <v>172</v>
      </c>
      <c r="B3517">
        <v>-0.10299999999999999</v>
      </c>
    </row>
    <row r="3518" spans="1:2">
      <c r="A3518">
        <v>172</v>
      </c>
      <c r="B3518" t="s">
        <v>40</v>
      </c>
    </row>
    <row r="3519" spans="1:2">
      <c r="A3519">
        <v>172</v>
      </c>
      <c r="B3519" s="4">
        <v>0</v>
      </c>
    </row>
    <row r="3520" spans="1:2">
      <c r="A3520">
        <v>172</v>
      </c>
      <c r="B3520" t="s">
        <v>41</v>
      </c>
    </row>
    <row r="3521" spans="1:2">
      <c r="A3521">
        <v>172</v>
      </c>
      <c r="B3521" s="4">
        <v>19000000</v>
      </c>
    </row>
    <row r="3522" spans="1:2">
      <c r="A3522">
        <v>172</v>
      </c>
      <c r="B3522" t="s">
        <v>42</v>
      </c>
    </row>
    <row r="3523" spans="1:2">
      <c r="A3523">
        <v>172</v>
      </c>
      <c r="B3523" t="s">
        <v>44</v>
      </c>
    </row>
    <row r="3524" spans="1:2">
      <c r="A3524">
        <v>162</v>
      </c>
      <c r="B3524" t="s">
        <v>27</v>
      </c>
    </row>
    <row r="3525" spans="1:2">
      <c r="A3525">
        <v>162</v>
      </c>
      <c r="B3525" s="2">
        <v>9.3880000000000005E-2</v>
      </c>
    </row>
    <row r="3526" spans="1:2">
      <c r="A3526">
        <v>162</v>
      </c>
      <c r="B3526" t="s">
        <v>1</v>
      </c>
    </row>
    <row r="3527" spans="1:2">
      <c r="A3527">
        <v>162</v>
      </c>
      <c r="B3527">
        <v>-0.36699999999999999</v>
      </c>
    </row>
    <row r="3528" spans="1:2">
      <c r="A3528">
        <v>162</v>
      </c>
      <c r="B3528" t="s">
        <v>28</v>
      </c>
    </row>
    <row r="3529" spans="1:2">
      <c r="A3529">
        <v>162</v>
      </c>
      <c r="B3529">
        <v>459</v>
      </c>
    </row>
    <row r="3530" spans="1:2">
      <c r="A3530">
        <v>162</v>
      </c>
      <c r="B3530" t="s">
        <v>25</v>
      </c>
    </row>
    <row r="3531" spans="1:2">
      <c r="A3531">
        <v>162</v>
      </c>
      <c r="B3531" s="2">
        <v>4.1099999999999998E-2</v>
      </c>
    </row>
    <row r="3532" spans="1:2">
      <c r="A3532">
        <v>162</v>
      </c>
      <c r="B3532" t="s">
        <v>29</v>
      </c>
    </row>
    <row r="3533" spans="1:2">
      <c r="A3533">
        <v>162</v>
      </c>
      <c r="B3533" s="2">
        <v>-7.9299999999999995E-2</v>
      </c>
    </row>
    <row r="3534" spans="1:2">
      <c r="A3534">
        <v>162</v>
      </c>
      <c r="B3534" t="s">
        <v>30</v>
      </c>
    </row>
    <row r="3535" spans="1:2">
      <c r="A3535">
        <v>162</v>
      </c>
      <c r="B3535" s="2">
        <v>-0.46013999999999999</v>
      </c>
    </row>
    <row r="3536" spans="1:2">
      <c r="A3536">
        <v>162</v>
      </c>
      <c r="B3536" t="s">
        <v>8</v>
      </c>
    </row>
    <row r="3537" spans="1:2">
      <c r="A3537">
        <v>162</v>
      </c>
      <c r="B3537" s="2">
        <v>0.59299999999999997</v>
      </c>
    </row>
    <row r="3538" spans="1:2">
      <c r="A3538">
        <v>162</v>
      </c>
      <c r="B3538" t="s">
        <v>31</v>
      </c>
    </row>
    <row r="3539" spans="1:2">
      <c r="A3539">
        <v>162</v>
      </c>
      <c r="B3539">
        <v>-0.29099999999999998</v>
      </c>
    </row>
    <row r="3540" spans="1:2">
      <c r="A3540">
        <v>162</v>
      </c>
      <c r="B3540" t="s">
        <v>32</v>
      </c>
    </row>
    <row r="3541" spans="1:2">
      <c r="A3541">
        <v>162</v>
      </c>
      <c r="B3541" s="2">
        <v>-0.32754</v>
      </c>
    </row>
    <row r="3542" spans="1:2">
      <c r="A3542">
        <v>162</v>
      </c>
      <c r="B3542" t="s">
        <v>33</v>
      </c>
    </row>
    <row r="3543" spans="1:2">
      <c r="A3543">
        <v>162</v>
      </c>
      <c r="B3543" s="3">
        <v>0.53</v>
      </c>
    </row>
    <row r="3544" spans="1:2">
      <c r="A3544">
        <v>162</v>
      </c>
      <c r="B3544" t="s">
        <v>34</v>
      </c>
    </row>
    <row r="3545" spans="1:2">
      <c r="A3545">
        <v>162</v>
      </c>
      <c r="B3545" s="3">
        <v>0.47</v>
      </c>
    </row>
    <row r="3546" spans="1:2">
      <c r="A3546">
        <v>162</v>
      </c>
      <c r="B3546" t="s">
        <v>26</v>
      </c>
    </row>
    <row r="3547" spans="1:2">
      <c r="A3547">
        <v>162</v>
      </c>
      <c r="B3547">
        <v>0.52</v>
      </c>
    </row>
    <row r="3548" spans="1:2">
      <c r="A3548">
        <v>162</v>
      </c>
      <c r="B3548" t="s">
        <v>23</v>
      </c>
    </row>
    <row r="3549" spans="1:2">
      <c r="A3549">
        <v>162</v>
      </c>
      <c r="B3549">
        <v>-0.36</v>
      </c>
    </row>
    <row r="3550" spans="1:2">
      <c r="A3550">
        <v>162</v>
      </c>
      <c r="B3550" t="s">
        <v>24</v>
      </c>
    </row>
    <row r="3551" spans="1:2">
      <c r="A3551">
        <v>162</v>
      </c>
      <c r="B3551">
        <v>2.1549999999999998</v>
      </c>
    </row>
    <row r="3552" spans="1:2">
      <c r="A3552">
        <v>162</v>
      </c>
      <c r="B3552" t="s">
        <v>35</v>
      </c>
    </row>
    <row r="3553" spans="1:2">
      <c r="A3553">
        <v>162</v>
      </c>
      <c r="B3553">
        <v>0.60599999999999998</v>
      </c>
    </row>
    <row r="3554" spans="1:2">
      <c r="A3554">
        <v>162</v>
      </c>
      <c r="B3554" t="s">
        <v>36</v>
      </c>
    </row>
    <row r="3555" spans="1:2">
      <c r="A3555">
        <v>162</v>
      </c>
      <c r="B3555">
        <v>0.36699999999999999</v>
      </c>
    </row>
    <row r="3556" spans="1:2">
      <c r="A3556">
        <v>162</v>
      </c>
      <c r="B3556" t="s">
        <v>37</v>
      </c>
    </row>
    <row r="3557" spans="1:2">
      <c r="A3557">
        <v>162</v>
      </c>
      <c r="B3557">
        <v>-0.48199999999999998</v>
      </c>
    </row>
    <row r="3558" spans="1:2">
      <c r="A3558">
        <v>162</v>
      </c>
      <c r="B3558" t="s">
        <v>38</v>
      </c>
    </row>
    <row r="3559" spans="1:2">
      <c r="A3559">
        <v>162</v>
      </c>
      <c r="B3559">
        <v>0.59299999999999997</v>
      </c>
    </row>
    <row r="3560" spans="1:2">
      <c r="A3560">
        <v>162</v>
      </c>
      <c r="B3560" t="s">
        <v>39</v>
      </c>
    </row>
    <row r="3561" spans="1:2">
      <c r="A3561">
        <v>162</v>
      </c>
      <c r="B3561">
        <v>-0.10299999999999999</v>
      </c>
    </row>
    <row r="3562" spans="1:2">
      <c r="A3562">
        <v>162</v>
      </c>
      <c r="B3562" t="s">
        <v>40</v>
      </c>
    </row>
    <row r="3563" spans="1:2">
      <c r="A3563">
        <v>162</v>
      </c>
      <c r="B3563" s="4">
        <v>0</v>
      </c>
    </row>
    <row r="3564" spans="1:2">
      <c r="A3564">
        <v>162</v>
      </c>
      <c r="B3564" t="s">
        <v>41</v>
      </c>
    </row>
    <row r="3565" spans="1:2">
      <c r="A3565">
        <v>162</v>
      </c>
      <c r="B3565" s="4">
        <v>19000000</v>
      </c>
    </row>
    <row r="3566" spans="1:2">
      <c r="A3566">
        <v>162</v>
      </c>
      <c r="B3566" t="s">
        <v>42</v>
      </c>
    </row>
    <row r="3567" spans="1:2">
      <c r="A3567">
        <v>162</v>
      </c>
      <c r="B3567" t="s">
        <v>44</v>
      </c>
    </row>
    <row r="3568" spans="1:2">
      <c r="A3568">
        <v>161</v>
      </c>
      <c r="B3568" t="s">
        <v>27</v>
      </c>
    </row>
    <row r="3569" spans="1:2">
      <c r="A3569">
        <v>161</v>
      </c>
      <c r="B3569" s="2">
        <v>9.3880000000000005E-2</v>
      </c>
    </row>
    <row r="3570" spans="1:2">
      <c r="A3570">
        <v>161</v>
      </c>
      <c r="B3570" t="s">
        <v>1</v>
      </c>
    </row>
    <row r="3571" spans="1:2">
      <c r="A3571">
        <v>161</v>
      </c>
      <c r="B3571">
        <v>-0.36699999999999999</v>
      </c>
    </row>
    <row r="3572" spans="1:2">
      <c r="A3572">
        <v>161</v>
      </c>
      <c r="B3572" t="s">
        <v>28</v>
      </c>
    </row>
    <row r="3573" spans="1:2">
      <c r="A3573">
        <v>161</v>
      </c>
      <c r="B3573">
        <v>459</v>
      </c>
    </row>
    <row r="3574" spans="1:2">
      <c r="A3574">
        <v>161</v>
      </c>
      <c r="B3574" t="s">
        <v>25</v>
      </c>
    </row>
    <row r="3575" spans="1:2">
      <c r="A3575">
        <v>161</v>
      </c>
      <c r="B3575" s="2">
        <v>4.1099999999999998E-2</v>
      </c>
    </row>
    <row r="3576" spans="1:2">
      <c r="A3576">
        <v>161</v>
      </c>
      <c r="B3576" t="s">
        <v>29</v>
      </c>
    </row>
    <row r="3577" spans="1:2">
      <c r="A3577">
        <v>161</v>
      </c>
      <c r="B3577" s="2">
        <v>-7.9299999999999995E-2</v>
      </c>
    </row>
    <row r="3578" spans="1:2">
      <c r="A3578">
        <v>161</v>
      </c>
      <c r="B3578" t="s">
        <v>30</v>
      </c>
    </row>
    <row r="3579" spans="1:2">
      <c r="A3579">
        <v>161</v>
      </c>
      <c r="B3579" s="2">
        <v>-0.46013999999999999</v>
      </c>
    </row>
    <row r="3580" spans="1:2">
      <c r="A3580">
        <v>161</v>
      </c>
      <c r="B3580" t="s">
        <v>8</v>
      </c>
    </row>
    <row r="3581" spans="1:2">
      <c r="A3581">
        <v>161</v>
      </c>
      <c r="B3581" s="2">
        <v>0.59299999999999997</v>
      </c>
    </row>
    <row r="3582" spans="1:2">
      <c r="A3582">
        <v>161</v>
      </c>
      <c r="B3582" t="s">
        <v>31</v>
      </c>
    </row>
    <row r="3583" spans="1:2">
      <c r="A3583">
        <v>161</v>
      </c>
      <c r="B3583">
        <v>-0.29099999999999998</v>
      </c>
    </row>
    <row r="3584" spans="1:2">
      <c r="A3584">
        <v>161</v>
      </c>
      <c r="B3584" t="s">
        <v>32</v>
      </c>
    </row>
    <row r="3585" spans="1:2">
      <c r="A3585">
        <v>161</v>
      </c>
      <c r="B3585" s="2">
        <v>-0.32754</v>
      </c>
    </row>
    <row r="3586" spans="1:2">
      <c r="A3586">
        <v>161</v>
      </c>
      <c r="B3586" t="s">
        <v>33</v>
      </c>
    </row>
    <row r="3587" spans="1:2">
      <c r="A3587">
        <v>161</v>
      </c>
      <c r="B3587" s="3">
        <v>0.53</v>
      </c>
    </row>
    <row r="3588" spans="1:2">
      <c r="A3588">
        <v>161</v>
      </c>
      <c r="B3588" t="s">
        <v>34</v>
      </c>
    </row>
    <row r="3589" spans="1:2">
      <c r="A3589">
        <v>161</v>
      </c>
      <c r="B3589" s="3">
        <v>0.47</v>
      </c>
    </row>
    <row r="3590" spans="1:2">
      <c r="A3590">
        <v>161</v>
      </c>
      <c r="B3590" t="s">
        <v>26</v>
      </c>
    </row>
    <row r="3591" spans="1:2">
      <c r="A3591">
        <v>161</v>
      </c>
      <c r="B3591">
        <v>0.52</v>
      </c>
    </row>
    <row r="3592" spans="1:2">
      <c r="A3592">
        <v>161</v>
      </c>
      <c r="B3592" t="s">
        <v>23</v>
      </c>
    </row>
    <row r="3593" spans="1:2">
      <c r="A3593">
        <v>161</v>
      </c>
      <c r="B3593">
        <v>-0.36</v>
      </c>
    </row>
    <row r="3594" spans="1:2">
      <c r="A3594">
        <v>161</v>
      </c>
      <c r="B3594" t="s">
        <v>24</v>
      </c>
    </row>
    <row r="3595" spans="1:2">
      <c r="A3595">
        <v>161</v>
      </c>
      <c r="B3595">
        <v>2.1549999999999998</v>
      </c>
    </row>
    <row r="3596" spans="1:2">
      <c r="A3596">
        <v>161</v>
      </c>
      <c r="B3596" t="s">
        <v>35</v>
      </c>
    </row>
    <row r="3597" spans="1:2">
      <c r="A3597">
        <v>161</v>
      </c>
      <c r="B3597">
        <v>0.60599999999999998</v>
      </c>
    </row>
    <row r="3598" spans="1:2">
      <c r="A3598">
        <v>161</v>
      </c>
      <c r="B3598" t="s">
        <v>36</v>
      </c>
    </row>
    <row r="3599" spans="1:2">
      <c r="A3599">
        <v>161</v>
      </c>
      <c r="B3599">
        <v>0.36699999999999999</v>
      </c>
    </row>
    <row r="3600" spans="1:2">
      <c r="A3600">
        <v>161</v>
      </c>
      <c r="B3600" t="s">
        <v>37</v>
      </c>
    </row>
    <row r="3601" spans="1:2">
      <c r="A3601">
        <v>161</v>
      </c>
      <c r="B3601">
        <v>-0.48199999999999998</v>
      </c>
    </row>
    <row r="3602" spans="1:2">
      <c r="A3602">
        <v>161</v>
      </c>
      <c r="B3602" t="s">
        <v>38</v>
      </c>
    </row>
    <row r="3603" spans="1:2">
      <c r="A3603">
        <v>161</v>
      </c>
      <c r="B3603">
        <v>0.59299999999999997</v>
      </c>
    </row>
    <row r="3604" spans="1:2">
      <c r="A3604">
        <v>161</v>
      </c>
      <c r="B3604" t="s">
        <v>39</v>
      </c>
    </row>
    <row r="3605" spans="1:2">
      <c r="A3605">
        <v>161</v>
      </c>
      <c r="B3605">
        <v>-0.10299999999999999</v>
      </c>
    </row>
    <row r="3606" spans="1:2">
      <c r="A3606">
        <v>161</v>
      </c>
      <c r="B3606" t="s">
        <v>40</v>
      </c>
    </row>
    <row r="3607" spans="1:2">
      <c r="A3607">
        <v>161</v>
      </c>
      <c r="B3607" s="4">
        <v>0</v>
      </c>
    </row>
    <row r="3608" spans="1:2">
      <c r="A3608">
        <v>161</v>
      </c>
      <c r="B3608" t="s">
        <v>41</v>
      </c>
    </row>
    <row r="3609" spans="1:2">
      <c r="A3609">
        <v>161</v>
      </c>
      <c r="B3609" s="4">
        <v>19000000</v>
      </c>
    </row>
    <row r="3610" spans="1:2">
      <c r="A3610">
        <v>161</v>
      </c>
      <c r="B3610" t="s">
        <v>42</v>
      </c>
    </row>
    <row r="3611" spans="1:2">
      <c r="A3611">
        <v>161</v>
      </c>
      <c r="B3611" t="s">
        <v>44</v>
      </c>
    </row>
    <row r="3612" spans="1:2">
      <c r="A3612">
        <v>160</v>
      </c>
      <c r="B3612" t="s">
        <v>27</v>
      </c>
    </row>
    <row r="3613" spans="1:2">
      <c r="A3613">
        <v>160</v>
      </c>
      <c r="B3613" s="2">
        <v>9.3880000000000005E-2</v>
      </c>
    </row>
    <row r="3614" spans="1:2">
      <c r="A3614">
        <v>160</v>
      </c>
      <c r="B3614" t="s">
        <v>1</v>
      </c>
    </row>
    <row r="3615" spans="1:2">
      <c r="A3615">
        <v>160</v>
      </c>
      <c r="B3615">
        <v>-0.36699999999999999</v>
      </c>
    </row>
    <row r="3616" spans="1:2">
      <c r="A3616">
        <v>160</v>
      </c>
      <c r="B3616" t="s">
        <v>28</v>
      </c>
    </row>
    <row r="3617" spans="1:2">
      <c r="A3617">
        <v>160</v>
      </c>
      <c r="B3617">
        <v>459</v>
      </c>
    </row>
    <row r="3618" spans="1:2">
      <c r="A3618">
        <v>160</v>
      </c>
      <c r="B3618" t="s">
        <v>25</v>
      </c>
    </row>
    <row r="3619" spans="1:2">
      <c r="A3619">
        <v>160</v>
      </c>
      <c r="B3619" s="2">
        <v>4.1099999999999998E-2</v>
      </c>
    </row>
    <row r="3620" spans="1:2">
      <c r="A3620">
        <v>160</v>
      </c>
      <c r="B3620" t="s">
        <v>29</v>
      </c>
    </row>
    <row r="3621" spans="1:2">
      <c r="A3621">
        <v>160</v>
      </c>
      <c r="B3621" s="2">
        <v>-7.9299999999999995E-2</v>
      </c>
    </row>
    <row r="3622" spans="1:2">
      <c r="A3622">
        <v>160</v>
      </c>
      <c r="B3622" t="s">
        <v>30</v>
      </c>
    </row>
    <row r="3623" spans="1:2">
      <c r="A3623">
        <v>160</v>
      </c>
      <c r="B3623" s="2">
        <v>-0.46013999999999999</v>
      </c>
    </row>
    <row r="3624" spans="1:2">
      <c r="A3624">
        <v>160</v>
      </c>
      <c r="B3624" t="s">
        <v>8</v>
      </c>
    </row>
    <row r="3625" spans="1:2">
      <c r="A3625">
        <v>160</v>
      </c>
      <c r="B3625" s="2">
        <v>0.59299999999999997</v>
      </c>
    </row>
    <row r="3626" spans="1:2">
      <c r="A3626">
        <v>160</v>
      </c>
      <c r="B3626" t="s">
        <v>31</v>
      </c>
    </row>
    <row r="3627" spans="1:2">
      <c r="A3627">
        <v>160</v>
      </c>
      <c r="B3627">
        <v>-0.29099999999999998</v>
      </c>
    </row>
    <row r="3628" spans="1:2">
      <c r="A3628">
        <v>160</v>
      </c>
      <c r="B3628" t="s">
        <v>32</v>
      </c>
    </row>
    <row r="3629" spans="1:2">
      <c r="A3629">
        <v>160</v>
      </c>
      <c r="B3629" s="2">
        <v>-0.32754</v>
      </c>
    </row>
    <row r="3630" spans="1:2">
      <c r="A3630">
        <v>160</v>
      </c>
      <c r="B3630" t="s">
        <v>33</v>
      </c>
    </row>
    <row r="3631" spans="1:2">
      <c r="A3631">
        <v>160</v>
      </c>
      <c r="B3631" s="3">
        <v>0.53</v>
      </c>
    </row>
    <row r="3632" spans="1:2">
      <c r="A3632">
        <v>160</v>
      </c>
      <c r="B3632" t="s">
        <v>34</v>
      </c>
    </row>
    <row r="3633" spans="1:2">
      <c r="A3633">
        <v>160</v>
      </c>
      <c r="B3633" s="3">
        <v>0.47</v>
      </c>
    </row>
    <row r="3634" spans="1:2">
      <c r="A3634">
        <v>160</v>
      </c>
      <c r="B3634" t="s">
        <v>26</v>
      </c>
    </row>
    <row r="3635" spans="1:2">
      <c r="A3635">
        <v>160</v>
      </c>
      <c r="B3635">
        <v>0.52</v>
      </c>
    </row>
    <row r="3636" spans="1:2">
      <c r="A3636">
        <v>160</v>
      </c>
      <c r="B3636" t="s">
        <v>23</v>
      </c>
    </row>
    <row r="3637" spans="1:2">
      <c r="A3637">
        <v>160</v>
      </c>
      <c r="B3637">
        <v>-0.36</v>
      </c>
    </row>
    <row r="3638" spans="1:2">
      <c r="A3638">
        <v>160</v>
      </c>
      <c r="B3638" t="s">
        <v>24</v>
      </c>
    </row>
    <row r="3639" spans="1:2">
      <c r="A3639">
        <v>160</v>
      </c>
      <c r="B3639">
        <v>2.1549999999999998</v>
      </c>
    </row>
    <row r="3640" spans="1:2">
      <c r="A3640">
        <v>160</v>
      </c>
      <c r="B3640" t="s">
        <v>35</v>
      </c>
    </row>
    <row r="3641" spans="1:2">
      <c r="A3641">
        <v>160</v>
      </c>
      <c r="B3641">
        <v>0.60599999999999998</v>
      </c>
    </row>
    <row r="3642" spans="1:2">
      <c r="A3642">
        <v>160</v>
      </c>
      <c r="B3642" t="s">
        <v>36</v>
      </c>
    </row>
    <row r="3643" spans="1:2">
      <c r="A3643">
        <v>160</v>
      </c>
      <c r="B3643">
        <v>0.36699999999999999</v>
      </c>
    </row>
    <row r="3644" spans="1:2">
      <c r="A3644">
        <v>160</v>
      </c>
      <c r="B3644" t="s">
        <v>37</v>
      </c>
    </row>
    <row r="3645" spans="1:2">
      <c r="A3645">
        <v>160</v>
      </c>
      <c r="B3645">
        <v>-0.48199999999999998</v>
      </c>
    </row>
    <row r="3646" spans="1:2">
      <c r="A3646">
        <v>160</v>
      </c>
      <c r="B3646" t="s">
        <v>38</v>
      </c>
    </row>
    <row r="3647" spans="1:2">
      <c r="A3647">
        <v>160</v>
      </c>
      <c r="B3647">
        <v>0.59299999999999997</v>
      </c>
    </row>
    <row r="3648" spans="1:2">
      <c r="A3648">
        <v>160</v>
      </c>
      <c r="B3648" t="s">
        <v>39</v>
      </c>
    </row>
    <row r="3649" spans="1:2">
      <c r="A3649">
        <v>160</v>
      </c>
      <c r="B3649">
        <v>-0.10299999999999999</v>
      </c>
    </row>
    <row r="3650" spans="1:2">
      <c r="A3650">
        <v>160</v>
      </c>
      <c r="B3650" t="s">
        <v>40</v>
      </c>
    </row>
    <row r="3651" spans="1:2">
      <c r="A3651">
        <v>160</v>
      </c>
      <c r="B3651" s="4">
        <v>0</v>
      </c>
    </row>
    <row r="3652" spans="1:2">
      <c r="A3652">
        <v>160</v>
      </c>
      <c r="B3652" t="s">
        <v>41</v>
      </c>
    </row>
    <row r="3653" spans="1:2">
      <c r="A3653">
        <v>160</v>
      </c>
      <c r="B3653" s="4">
        <v>19000000</v>
      </c>
    </row>
    <row r="3654" spans="1:2">
      <c r="A3654">
        <v>160</v>
      </c>
      <c r="B3654" t="s">
        <v>42</v>
      </c>
    </row>
    <row r="3655" spans="1:2">
      <c r="A3655">
        <v>160</v>
      </c>
      <c r="B3655" t="s">
        <v>44</v>
      </c>
    </row>
    <row r="3656" spans="1:2">
      <c r="A3656">
        <v>159</v>
      </c>
      <c r="B3656" t="s">
        <v>27</v>
      </c>
    </row>
    <row r="3657" spans="1:2">
      <c r="A3657">
        <v>159</v>
      </c>
      <c r="B3657" s="2">
        <v>9.3880000000000005E-2</v>
      </c>
    </row>
    <row r="3658" spans="1:2">
      <c r="A3658">
        <v>159</v>
      </c>
      <c r="B3658" t="s">
        <v>1</v>
      </c>
    </row>
    <row r="3659" spans="1:2">
      <c r="A3659">
        <v>159</v>
      </c>
      <c r="B3659">
        <v>-0.36699999999999999</v>
      </c>
    </row>
    <row r="3660" spans="1:2">
      <c r="A3660">
        <v>159</v>
      </c>
      <c r="B3660" t="s">
        <v>28</v>
      </c>
    </row>
    <row r="3661" spans="1:2">
      <c r="A3661">
        <v>159</v>
      </c>
      <c r="B3661">
        <v>459</v>
      </c>
    </row>
    <row r="3662" spans="1:2">
      <c r="A3662">
        <v>159</v>
      </c>
      <c r="B3662" t="s">
        <v>25</v>
      </c>
    </row>
    <row r="3663" spans="1:2">
      <c r="A3663">
        <v>159</v>
      </c>
      <c r="B3663" s="2">
        <v>4.1099999999999998E-2</v>
      </c>
    </row>
    <row r="3664" spans="1:2">
      <c r="A3664">
        <v>159</v>
      </c>
      <c r="B3664" t="s">
        <v>29</v>
      </c>
    </row>
    <row r="3665" spans="1:2">
      <c r="A3665">
        <v>159</v>
      </c>
      <c r="B3665" s="2">
        <v>-7.9299999999999995E-2</v>
      </c>
    </row>
    <row r="3666" spans="1:2">
      <c r="A3666">
        <v>159</v>
      </c>
      <c r="B3666" t="s">
        <v>30</v>
      </c>
    </row>
    <row r="3667" spans="1:2">
      <c r="A3667">
        <v>159</v>
      </c>
      <c r="B3667" s="2">
        <v>-0.46013999999999999</v>
      </c>
    </row>
    <row r="3668" spans="1:2">
      <c r="A3668">
        <v>159</v>
      </c>
      <c r="B3668" t="s">
        <v>8</v>
      </c>
    </row>
    <row r="3669" spans="1:2">
      <c r="A3669">
        <v>159</v>
      </c>
      <c r="B3669" s="2">
        <v>0.59299999999999997</v>
      </c>
    </row>
    <row r="3670" spans="1:2">
      <c r="A3670">
        <v>159</v>
      </c>
      <c r="B3670" t="s">
        <v>31</v>
      </c>
    </row>
    <row r="3671" spans="1:2">
      <c r="A3671">
        <v>159</v>
      </c>
      <c r="B3671">
        <v>-0.29099999999999998</v>
      </c>
    </row>
    <row r="3672" spans="1:2">
      <c r="A3672">
        <v>159</v>
      </c>
      <c r="B3672" t="s">
        <v>32</v>
      </c>
    </row>
    <row r="3673" spans="1:2">
      <c r="A3673">
        <v>159</v>
      </c>
      <c r="B3673" s="2">
        <v>-0.32754</v>
      </c>
    </row>
    <row r="3674" spans="1:2">
      <c r="A3674">
        <v>159</v>
      </c>
      <c r="B3674" t="s">
        <v>33</v>
      </c>
    </row>
    <row r="3675" spans="1:2">
      <c r="A3675">
        <v>159</v>
      </c>
      <c r="B3675" s="3">
        <v>0.53</v>
      </c>
    </row>
    <row r="3676" spans="1:2">
      <c r="A3676">
        <v>159</v>
      </c>
      <c r="B3676" t="s">
        <v>34</v>
      </c>
    </row>
    <row r="3677" spans="1:2">
      <c r="A3677">
        <v>159</v>
      </c>
      <c r="B3677" s="3">
        <v>0.47</v>
      </c>
    </row>
    <row r="3678" spans="1:2">
      <c r="A3678">
        <v>159</v>
      </c>
      <c r="B3678" t="s">
        <v>26</v>
      </c>
    </row>
    <row r="3679" spans="1:2">
      <c r="A3679">
        <v>159</v>
      </c>
      <c r="B3679">
        <v>0.52</v>
      </c>
    </row>
    <row r="3680" spans="1:2">
      <c r="A3680">
        <v>159</v>
      </c>
      <c r="B3680" t="s">
        <v>23</v>
      </c>
    </row>
    <row r="3681" spans="1:2">
      <c r="A3681">
        <v>159</v>
      </c>
      <c r="B3681">
        <v>-0.36</v>
      </c>
    </row>
    <row r="3682" spans="1:2">
      <c r="A3682">
        <v>159</v>
      </c>
      <c r="B3682" t="s">
        <v>24</v>
      </c>
    </row>
    <row r="3683" spans="1:2">
      <c r="A3683">
        <v>159</v>
      </c>
      <c r="B3683">
        <v>2.1549999999999998</v>
      </c>
    </row>
    <row r="3684" spans="1:2">
      <c r="A3684">
        <v>159</v>
      </c>
      <c r="B3684" t="s">
        <v>35</v>
      </c>
    </row>
    <row r="3685" spans="1:2">
      <c r="A3685">
        <v>159</v>
      </c>
      <c r="B3685">
        <v>0.60599999999999998</v>
      </c>
    </row>
    <row r="3686" spans="1:2">
      <c r="A3686">
        <v>159</v>
      </c>
      <c r="B3686" t="s">
        <v>36</v>
      </c>
    </row>
    <row r="3687" spans="1:2">
      <c r="A3687">
        <v>159</v>
      </c>
      <c r="B3687">
        <v>0.36699999999999999</v>
      </c>
    </row>
    <row r="3688" spans="1:2">
      <c r="A3688">
        <v>159</v>
      </c>
      <c r="B3688" t="s">
        <v>37</v>
      </c>
    </row>
    <row r="3689" spans="1:2">
      <c r="A3689">
        <v>159</v>
      </c>
      <c r="B3689">
        <v>-0.48199999999999998</v>
      </c>
    </row>
    <row r="3690" spans="1:2">
      <c r="A3690">
        <v>159</v>
      </c>
      <c r="B3690" t="s">
        <v>38</v>
      </c>
    </row>
    <row r="3691" spans="1:2">
      <c r="A3691">
        <v>159</v>
      </c>
      <c r="B3691">
        <v>0.59299999999999997</v>
      </c>
    </row>
    <row r="3692" spans="1:2">
      <c r="A3692">
        <v>159</v>
      </c>
      <c r="B3692" t="s">
        <v>39</v>
      </c>
    </row>
    <row r="3693" spans="1:2">
      <c r="A3693">
        <v>159</v>
      </c>
      <c r="B3693">
        <v>-0.10299999999999999</v>
      </c>
    </row>
    <row r="3694" spans="1:2">
      <c r="A3694">
        <v>159</v>
      </c>
      <c r="B3694" t="s">
        <v>40</v>
      </c>
    </row>
    <row r="3695" spans="1:2">
      <c r="A3695">
        <v>159</v>
      </c>
      <c r="B3695" s="4">
        <v>0</v>
      </c>
    </row>
    <row r="3696" spans="1:2">
      <c r="A3696">
        <v>159</v>
      </c>
      <c r="B3696" t="s">
        <v>41</v>
      </c>
    </row>
    <row r="3697" spans="1:2">
      <c r="A3697">
        <v>159</v>
      </c>
      <c r="B3697" s="4">
        <v>19000000</v>
      </c>
    </row>
    <row r="3698" spans="1:2">
      <c r="A3698">
        <v>159</v>
      </c>
      <c r="B3698" t="s">
        <v>42</v>
      </c>
    </row>
    <row r="3699" spans="1:2">
      <c r="A3699">
        <v>159</v>
      </c>
      <c r="B3699" t="s">
        <v>44</v>
      </c>
    </row>
    <row r="3700" spans="1:2">
      <c r="A3700">
        <v>158</v>
      </c>
      <c r="B3700" t="s">
        <v>27</v>
      </c>
    </row>
    <row r="3701" spans="1:2">
      <c r="A3701">
        <v>158</v>
      </c>
      <c r="B3701" s="2">
        <v>9.3880000000000005E-2</v>
      </c>
    </row>
    <row r="3702" spans="1:2">
      <c r="A3702">
        <v>158</v>
      </c>
      <c r="B3702" t="s">
        <v>1</v>
      </c>
    </row>
    <row r="3703" spans="1:2">
      <c r="A3703">
        <v>158</v>
      </c>
      <c r="B3703">
        <v>-0.36699999999999999</v>
      </c>
    </row>
    <row r="3704" spans="1:2">
      <c r="A3704">
        <v>158</v>
      </c>
      <c r="B3704" t="s">
        <v>28</v>
      </c>
    </row>
    <row r="3705" spans="1:2">
      <c r="A3705">
        <v>158</v>
      </c>
      <c r="B3705">
        <v>459</v>
      </c>
    </row>
    <row r="3706" spans="1:2">
      <c r="A3706">
        <v>158</v>
      </c>
      <c r="B3706" t="s">
        <v>25</v>
      </c>
    </row>
    <row r="3707" spans="1:2">
      <c r="A3707">
        <v>158</v>
      </c>
      <c r="B3707" s="2">
        <v>4.1099999999999998E-2</v>
      </c>
    </row>
    <row r="3708" spans="1:2">
      <c r="A3708">
        <v>158</v>
      </c>
      <c r="B3708" t="s">
        <v>29</v>
      </c>
    </row>
    <row r="3709" spans="1:2">
      <c r="A3709">
        <v>158</v>
      </c>
      <c r="B3709" s="2">
        <v>-7.9299999999999995E-2</v>
      </c>
    </row>
    <row r="3710" spans="1:2">
      <c r="A3710">
        <v>158</v>
      </c>
      <c r="B3710" t="s">
        <v>30</v>
      </c>
    </row>
    <row r="3711" spans="1:2">
      <c r="A3711">
        <v>158</v>
      </c>
      <c r="B3711" s="2">
        <v>-0.46013999999999999</v>
      </c>
    </row>
    <row r="3712" spans="1:2">
      <c r="A3712">
        <v>158</v>
      </c>
      <c r="B3712" t="s">
        <v>8</v>
      </c>
    </row>
    <row r="3713" spans="1:2">
      <c r="A3713">
        <v>158</v>
      </c>
      <c r="B3713" s="2">
        <v>0.59299999999999997</v>
      </c>
    </row>
    <row r="3714" spans="1:2">
      <c r="A3714">
        <v>158</v>
      </c>
      <c r="B3714" t="s">
        <v>31</v>
      </c>
    </row>
    <row r="3715" spans="1:2">
      <c r="A3715">
        <v>158</v>
      </c>
      <c r="B3715">
        <v>-0.29099999999999998</v>
      </c>
    </row>
    <row r="3716" spans="1:2">
      <c r="A3716">
        <v>158</v>
      </c>
      <c r="B3716" t="s">
        <v>32</v>
      </c>
    </row>
    <row r="3717" spans="1:2">
      <c r="A3717">
        <v>158</v>
      </c>
      <c r="B3717" s="2">
        <v>-0.32754</v>
      </c>
    </row>
    <row r="3718" spans="1:2">
      <c r="A3718">
        <v>158</v>
      </c>
      <c r="B3718" t="s">
        <v>33</v>
      </c>
    </row>
    <row r="3719" spans="1:2">
      <c r="A3719">
        <v>158</v>
      </c>
      <c r="B3719" s="3">
        <v>0.53</v>
      </c>
    </row>
    <row r="3720" spans="1:2">
      <c r="A3720">
        <v>158</v>
      </c>
      <c r="B3720" t="s">
        <v>34</v>
      </c>
    </row>
    <row r="3721" spans="1:2">
      <c r="A3721">
        <v>158</v>
      </c>
      <c r="B3721" s="3">
        <v>0.47</v>
      </c>
    </row>
    <row r="3722" spans="1:2">
      <c r="A3722">
        <v>158</v>
      </c>
      <c r="B3722" t="s">
        <v>26</v>
      </c>
    </row>
    <row r="3723" spans="1:2">
      <c r="A3723">
        <v>158</v>
      </c>
      <c r="B3723">
        <v>0.52</v>
      </c>
    </row>
    <row r="3724" spans="1:2">
      <c r="A3724">
        <v>158</v>
      </c>
      <c r="B3724" t="s">
        <v>23</v>
      </c>
    </row>
    <row r="3725" spans="1:2">
      <c r="A3725">
        <v>158</v>
      </c>
      <c r="B3725">
        <v>-0.36</v>
      </c>
    </row>
    <row r="3726" spans="1:2">
      <c r="A3726">
        <v>158</v>
      </c>
      <c r="B3726" t="s">
        <v>24</v>
      </c>
    </row>
    <row r="3727" spans="1:2">
      <c r="A3727">
        <v>158</v>
      </c>
      <c r="B3727">
        <v>2.1549999999999998</v>
      </c>
    </row>
    <row r="3728" spans="1:2">
      <c r="A3728">
        <v>158</v>
      </c>
      <c r="B3728" t="s">
        <v>35</v>
      </c>
    </row>
    <row r="3729" spans="1:2">
      <c r="A3729">
        <v>158</v>
      </c>
      <c r="B3729">
        <v>0.60599999999999998</v>
      </c>
    </row>
    <row r="3730" spans="1:2">
      <c r="A3730">
        <v>158</v>
      </c>
      <c r="B3730" t="s">
        <v>36</v>
      </c>
    </row>
    <row r="3731" spans="1:2">
      <c r="A3731">
        <v>158</v>
      </c>
      <c r="B3731">
        <v>0.36699999999999999</v>
      </c>
    </row>
    <row r="3732" spans="1:2">
      <c r="A3732">
        <v>158</v>
      </c>
      <c r="B3732" t="s">
        <v>37</v>
      </c>
    </row>
    <row r="3733" spans="1:2">
      <c r="A3733">
        <v>158</v>
      </c>
      <c r="B3733">
        <v>-0.48199999999999998</v>
      </c>
    </row>
    <row r="3734" spans="1:2">
      <c r="A3734">
        <v>158</v>
      </c>
      <c r="B3734" t="s">
        <v>38</v>
      </c>
    </row>
    <row r="3735" spans="1:2">
      <c r="A3735">
        <v>158</v>
      </c>
      <c r="B3735">
        <v>0.59299999999999997</v>
      </c>
    </row>
    <row r="3736" spans="1:2">
      <c r="A3736">
        <v>158</v>
      </c>
      <c r="B3736" t="s">
        <v>39</v>
      </c>
    </row>
    <row r="3737" spans="1:2">
      <c r="A3737">
        <v>158</v>
      </c>
      <c r="B3737">
        <v>-0.10299999999999999</v>
      </c>
    </row>
    <row r="3738" spans="1:2">
      <c r="A3738">
        <v>158</v>
      </c>
      <c r="B3738" t="s">
        <v>40</v>
      </c>
    </row>
    <row r="3739" spans="1:2">
      <c r="A3739">
        <v>158</v>
      </c>
      <c r="B3739" s="4">
        <v>0</v>
      </c>
    </row>
    <row r="3740" spans="1:2">
      <c r="A3740">
        <v>158</v>
      </c>
      <c r="B3740" t="s">
        <v>41</v>
      </c>
    </row>
    <row r="3741" spans="1:2">
      <c r="A3741">
        <v>158</v>
      </c>
      <c r="B3741" s="4">
        <v>19000000</v>
      </c>
    </row>
    <row r="3742" spans="1:2">
      <c r="A3742">
        <v>158</v>
      </c>
      <c r="B3742" t="s">
        <v>42</v>
      </c>
    </row>
    <row r="3743" spans="1:2">
      <c r="A3743">
        <v>158</v>
      </c>
      <c r="B3743" t="s">
        <v>44</v>
      </c>
    </row>
    <row r="3744" spans="1:2">
      <c r="A3744">
        <v>157</v>
      </c>
      <c r="B3744" t="s">
        <v>27</v>
      </c>
    </row>
    <row r="3745" spans="1:2">
      <c r="A3745">
        <v>157</v>
      </c>
      <c r="B3745" s="2">
        <v>9.3880000000000005E-2</v>
      </c>
    </row>
    <row r="3746" spans="1:2">
      <c r="A3746">
        <v>157</v>
      </c>
      <c r="B3746" t="s">
        <v>1</v>
      </c>
    </row>
    <row r="3747" spans="1:2">
      <c r="A3747">
        <v>157</v>
      </c>
      <c r="B3747">
        <v>-0.36699999999999999</v>
      </c>
    </row>
    <row r="3748" spans="1:2">
      <c r="A3748">
        <v>157</v>
      </c>
      <c r="B3748" t="s">
        <v>28</v>
      </c>
    </row>
    <row r="3749" spans="1:2">
      <c r="A3749">
        <v>157</v>
      </c>
      <c r="B3749">
        <v>459</v>
      </c>
    </row>
    <row r="3750" spans="1:2">
      <c r="A3750">
        <v>157</v>
      </c>
      <c r="B3750" t="s">
        <v>25</v>
      </c>
    </row>
    <row r="3751" spans="1:2">
      <c r="A3751">
        <v>157</v>
      </c>
      <c r="B3751" s="2">
        <v>4.1099999999999998E-2</v>
      </c>
    </row>
    <row r="3752" spans="1:2">
      <c r="A3752">
        <v>157</v>
      </c>
      <c r="B3752" t="s">
        <v>29</v>
      </c>
    </row>
    <row r="3753" spans="1:2">
      <c r="A3753">
        <v>157</v>
      </c>
      <c r="B3753" s="2">
        <v>-7.9299999999999995E-2</v>
      </c>
    </row>
    <row r="3754" spans="1:2">
      <c r="A3754">
        <v>157</v>
      </c>
      <c r="B3754" t="s">
        <v>30</v>
      </c>
    </row>
    <row r="3755" spans="1:2">
      <c r="A3755">
        <v>157</v>
      </c>
      <c r="B3755" s="2">
        <v>-0.46013999999999999</v>
      </c>
    </row>
    <row r="3756" spans="1:2">
      <c r="A3756">
        <v>157</v>
      </c>
      <c r="B3756" t="s">
        <v>8</v>
      </c>
    </row>
    <row r="3757" spans="1:2">
      <c r="A3757">
        <v>157</v>
      </c>
      <c r="B3757" s="2">
        <v>0.59299999999999997</v>
      </c>
    </row>
    <row r="3758" spans="1:2">
      <c r="A3758">
        <v>157</v>
      </c>
      <c r="B3758" t="s">
        <v>31</v>
      </c>
    </row>
    <row r="3759" spans="1:2">
      <c r="A3759">
        <v>157</v>
      </c>
      <c r="B3759">
        <v>-0.29099999999999998</v>
      </c>
    </row>
    <row r="3760" spans="1:2">
      <c r="A3760">
        <v>157</v>
      </c>
      <c r="B3760" t="s">
        <v>32</v>
      </c>
    </row>
    <row r="3761" spans="1:2">
      <c r="A3761">
        <v>157</v>
      </c>
      <c r="B3761" s="2">
        <v>-0.32754</v>
      </c>
    </row>
    <row r="3762" spans="1:2">
      <c r="A3762">
        <v>157</v>
      </c>
      <c r="B3762" t="s">
        <v>33</v>
      </c>
    </row>
    <row r="3763" spans="1:2">
      <c r="A3763">
        <v>157</v>
      </c>
      <c r="B3763" s="3">
        <v>0.53</v>
      </c>
    </row>
    <row r="3764" spans="1:2">
      <c r="A3764">
        <v>157</v>
      </c>
      <c r="B3764" t="s">
        <v>34</v>
      </c>
    </row>
    <row r="3765" spans="1:2">
      <c r="A3765">
        <v>157</v>
      </c>
      <c r="B3765" s="3">
        <v>0.47</v>
      </c>
    </row>
    <row r="3766" spans="1:2">
      <c r="A3766">
        <v>157</v>
      </c>
      <c r="B3766" t="s">
        <v>26</v>
      </c>
    </row>
    <row r="3767" spans="1:2">
      <c r="A3767">
        <v>157</v>
      </c>
      <c r="B3767">
        <v>0.52</v>
      </c>
    </row>
    <row r="3768" spans="1:2">
      <c r="A3768">
        <v>157</v>
      </c>
      <c r="B3768" t="s">
        <v>23</v>
      </c>
    </row>
    <row r="3769" spans="1:2">
      <c r="A3769">
        <v>157</v>
      </c>
      <c r="B3769">
        <v>-0.36</v>
      </c>
    </row>
    <row r="3770" spans="1:2">
      <c r="A3770">
        <v>157</v>
      </c>
      <c r="B3770" t="s">
        <v>24</v>
      </c>
    </row>
    <row r="3771" spans="1:2">
      <c r="A3771">
        <v>157</v>
      </c>
      <c r="B3771">
        <v>2.1549999999999998</v>
      </c>
    </row>
    <row r="3772" spans="1:2">
      <c r="A3772">
        <v>157</v>
      </c>
      <c r="B3772" t="s">
        <v>35</v>
      </c>
    </row>
    <row r="3773" spans="1:2">
      <c r="A3773">
        <v>157</v>
      </c>
      <c r="B3773">
        <v>0.60599999999999998</v>
      </c>
    </row>
    <row r="3774" spans="1:2">
      <c r="A3774">
        <v>157</v>
      </c>
      <c r="B3774" t="s">
        <v>36</v>
      </c>
    </row>
    <row r="3775" spans="1:2">
      <c r="A3775">
        <v>157</v>
      </c>
      <c r="B3775">
        <v>0.36699999999999999</v>
      </c>
    </row>
    <row r="3776" spans="1:2">
      <c r="A3776">
        <v>157</v>
      </c>
      <c r="B3776" t="s">
        <v>37</v>
      </c>
    </row>
    <row r="3777" spans="1:2">
      <c r="A3777">
        <v>157</v>
      </c>
      <c r="B3777">
        <v>-0.48199999999999998</v>
      </c>
    </row>
    <row r="3778" spans="1:2">
      <c r="A3778">
        <v>157</v>
      </c>
      <c r="B3778" t="s">
        <v>38</v>
      </c>
    </row>
    <row r="3779" spans="1:2">
      <c r="A3779">
        <v>157</v>
      </c>
      <c r="B3779">
        <v>0.59299999999999997</v>
      </c>
    </row>
    <row r="3780" spans="1:2">
      <c r="A3780">
        <v>157</v>
      </c>
      <c r="B3780" t="s">
        <v>39</v>
      </c>
    </row>
    <row r="3781" spans="1:2">
      <c r="A3781">
        <v>157</v>
      </c>
      <c r="B3781">
        <v>-0.10299999999999999</v>
      </c>
    </row>
    <row r="3782" spans="1:2">
      <c r="A3782">
        <v>157</v>
      </c>
      <c r="B3782" t="s">
        <v>40</v>
      </c>
    </row>
    <row r="3783" spans="1:2">
      <c r="A3783">
        <v>157</v>
      </c>
      <c r="B3783" s="4">
        <v>0</v>
      </c>
    </row>
    <row r="3784" spans="1:2">
      <c r="A3784">
        <v>157</v>
      </c>
      <c r="B3784" t="s">
        <v>41</v>
      </c>
    </row>
    <row r="3785" spans="1:2">
      <c r="A3785">
        <v>157</v>
      </c>
      <c r="B3785" s="4">
        <v>19000000</v>
      </c>
    </row>
    <row r="3786" spans="1:2">
      <c r="A3786">
        <v>157</v>
      </c>
      <c r="B3786" t="s">
        <v>42</v>
      </c>
    </row>
    <row r="3787" spans="1:2">
      <c r="A3787">
        <v>157</v>
      </c>
      <c r="B3787" t="s">
        <v>44</v>
      </c>
    </row>
    <row r="3788" spans="1:2">
      <c r="A3788">
        <v>156</v>
      </c>
      <c r="B3788" t="s">
        <v>27</v>
      </c>
    </row>
    <row r="3789" spans="1:2">
      <c r="A3789">
        <v>156</v>
      </c>
      <c r="B3789" s="2">
        <v>9.3880000000000005E-2</v>
      </c>
    </row>
    <row r="3790" spans="1:2">
      <c r="A3790">
        <v>156</v>
      </c>
      <c r="B3790" t="s">
        <v>1</v>
      </c>
    </row>
    <row r="3791" spans="1:2">
      <c r="A3791">
        <v>156</v>
      </c>
      <c r="B3791">
        <v>-0.36699999999999999</v>
      </c>
    </row>
    <row r="3792" spans="1:2">
      <c r="A3792">
        <v>156</v>
      </c>
      <c r="B3792" t="s">
        <v>28</v>
      </c>
    </row>
    <row r="3793" spans="1:2">
      <c r="A3793">
        <v>156</v>
      </c>
      <c r="B3793">
        <v>459</v>
      </c>
    </row>
    <row r="3794" spans="1:2">
      <c r="A3794">
        <v>156</v>
      </c>
      <c r="B3794" t="s">
        <v>25</v>
      </c>
    </row>
    <row r="3795" spans="1:2">
      <c r="A3795">
        <v>156</v>
      </c>
      <c r="B3795" s="2">
        <v>4.1099999999999998E-2</v>
      </c>
    </row>
    <row r="3796" spans="1:2">
      <c r="A3796">
        <v>156</v>
      </c>
      <c r="B3796" t="s">
        <v>29</v>
      </c>
    </row>
    <row r="3797" spans="1:2">
      <c r="A3797">
        <v>156</v>
      </c>
      <c r="B3797" s="2">
        <v>-7.9299999999999995E-2</v>
      </c>
    </row>
    <row r="3798" spans="1:2">
      <c r="A3798">
        <v>156</v>
      </c>
      <c r="B3798" t="s">
        <v>30</v>
      </c>
    </row>
    <row r="3799" spans="1:2">
      <c r="A3799">
        <v>156</v>
      </c>
      <c r="B3799" s="2">
        <v>-0.46013999999999999</v>
      </c>
    </row>
    <row r="3800" spans="1:2">
      <c r="A3800">
        <v>156</v>
      </c>
      <c r="B3800" t="s">
        <v>8</v>
      </c>
    </row>
    <row r="3801" spans="1:2">
      <c r="A3801">
        <v>156</v>
      </c>
      <c r="B3801" s="2">
        <v>0.59299999999999997</v>
      </c>
    </row>
    <row r="3802" spans="1:2">
      <c r="A3802">
        <v>156</v>
      </c>
      <c r="B3802" t="s">
        <v>31</v>
      </c>
    </row>
    <row r="3803" spans="1:2">
      <c r="A3803">
        <v>156</v>
      </c>
      <c r="B3803">
        <v>-0.29099999999999998</v>
      </c>
    </row>
    <row r="3804" spans="1:2">
      <c r="A3804">
        <v>156</v>
      </c>
      <c r="B3804" t="s">
        <v>32</v>
      </c>
    </row>
    <row r="3805" spans="1:2">
      <c r="A3805">
        <v>156</v>
      </c>
      <c r="B3805" s="2">
        <v>-0.32754</v>
      </c>
    </row>
    <row r="3806" spans="1:2">
      <c r="A3806">
        <v>156</v>
      </c>
      <c r="B3806" t="s">
        <v>33</v>
      </c>
    </row>
    <row r="3807" spans="1:2">
      <c r="A3807">
        <v>156</v>
      </c>
      <c r="B3807" s="3">
        <v>0.53</v>
      </c>
    </row>
    <row r="3808" spans="1:2">
      <c r="A3808">
        <v>156</v>
      </c>
      <c r="B3808" t="s">
        <v>34</v>
      </c>
    </row>
    <row r="3809" spans="1:2">
      <c r="A3809">
        <v>156</v>
      </c>
      <c r="B3809" s="3">
        <v>0.47</v>
      </c>
    </row>
    <row r="3810" spans="1:2">
      <c r="A3810">
        <v>156</v>
      </c>
      <c r="B3810" t="s">
        <v>26</v>
      </c>
    </row>
    <row r="3811" spans="1:2">
      <c r="A3811">
        <v>156</v>
      </c>
      <c r="B3811">
        <v>0.52</v>
      </c>
    </row>
    <row r="3812" spans="1:2">
      <c r="A3812">
        <v>156</v>
      </c>
      <c r="B3812" t="s">
        <v>23</v>
      </c>
    </row>
    <row r="3813" spans="1:2">
      <c r="A3813">
        <v>156</v>
      </c>
      <c r="B3813">
        <v>-0.36</v>
      </c>
    </row>
    <row r="3814" spans="1:2">
      <c r="A3814">
        <v>156</v>
      </c>
      <c r="B3814" t="s">
        <v>24</v>
      </c>
    </row>
    <row r="3815" spans="1:2">
      <c r="A3815">
        <v>156</v>
      </c>
      <c r="B3815">
        <v>2.1549999999999998</v>
      </c>
    </row>
    <row r="3816" spans="1:2">
      <c r="A3816">
        <v>156</v>
      </c>
      <c r="B3816" t="s">
        <v>35</v>
      </c>
    </row>
    <row r="3817" spans="1:2">
      <c r="A3817">
        <v>156</v>
      </c>
      <c r="B3817">
        <v>0.60599999999999998</v>
      </c>
    </row>
    <row r="3818" spans="1:2">
      <c r="A3818">
        <v>156</v>
      </c>
      <c r="B3818" t="s">
        <v>36</v>
      </c>
    </row>
    <row r="3819" spans="1:2">
      <c r="A3819">
        <v>156</v>
      </c>
      <c r="B3819">
        <v>0.36699999999999999</v>
      </c>
    </row>
    <row r="3820" spans="1:2">
      <c r="A3820">
        <v>156</v>
      </c>
      <c r="B3820" t="s">
        <v>37</v>
      </c>
    </row>
    <row r="3821" spans="1:2">
      <c r="A3821">
        <v>156</v>
      </c>
      <c r="B3821">
        <v>-0.48199999999999998</v>
      </c>
    </row>
    <row r="3822" spans="1:2">
      <c r="A3822">
        <v>156</v>
      </c>
      <c r="B3822" t="s">
        <v>38</v>
      </c>
    </row>
    <row r="3823" spans="1:2">
      <c r="A3823">
        <v>156</v>
      </c>
      <c r="B3823">
        <v>0.59299999999999997</v>
      </c>
    </row>
    <row r="3824" spans="1:2">
      <c r="A3824">
        <v>156</v>
      </c>
      <c r="B3824" t="s">
        <v>39</v>
      </c>
    </row>
    <row r="3825" spans="1:2">
      <c r="A3825">
        <v>156</v>
      </c>
      <c r="B3825">
        <v>-0.10299999999999999</v>
      </c>
    </row>
    <row r="3826" spans="1:2">
      <c r="A3826">
        <v>156</v>
      </c>
      <c r="B3826" t="s">
        <v>40</v>
      </c>
    </row>
    <row r="3827" spans="1:2">
      <c r="A3827">
        <v>156</v>
      </c>
      <c r="B3827" s="4">
        <v>0</v>
      </c>
    </row>
    <row r="3828" spans="1:2">
      <c r="A3828">
        <v>156</v>
      </c>
      <c r="B3828" t="s">
        <v>41</v>
      </c>
    </row>
    <row r="3829" spans="1:2">
      <c r="A3829">
        <v>156</v>
      </c>
      <c r="B3829" s="4">
        <v>19000000</v>
      </c>
    </row>
    <row r="3830" spans="1:2">
      <c r="A3830">
        <v>156</v>
      </c>
      <c r="B3830" t="s">
        <v>42</v>
      </c>
    </row>
    <row r="3831" spans="1:2">
      <c r="A3831">
        <v>156</v>
      </c>
      <c r="B3831" t="s">
        <v>44</v>
      </c>
    </row>
    <row r="3832" spans="1:2">
      <c r="A3832">
        <v>155</v>
      </c>
      <c r="B3832" t="s">
        <v>27</v>
      </c>
    </row>
    <row r="3833" spans="1:2">
      <c r="A3833">
        <v>155</v>
      </c>
      <c r="B3833" s="2">
        <v>9.3880000000000005E-2</v>
      </c>
    </row>
    <row r="3834" spans="1:2">
      <c r="A3834">
        <v>155</v>
      </c>
      <c r="B3834" t="s">
        <v>1</v>
      </c>
    </row>
    <row r="3835" spans="1:2">
      <c r="A3835">
        <v>155</v>
      </c>
      <c r="B3835">
        <v>-0.36699999999999999</v>
      </c>
    </row>
    <row r="3836" spans="1:2">
      <c r="A3836">
        <v>155</v>
      </c>
      <c r="B3836" t="s">
        <v>28</v>
      </c>
    </row>
    <row r="3837" spans="1:2">
      <c r="A3837">
        <v>155</v>
      </c>
      <c r="B3837">
        <v>459</v>
      </c>
    </row>
    <row r="3838" spans="1:2">
      <c r="A3838">
        <v>155</v>
      </c>
      <c r="B3838" t="s">
        <v>25</v>
      </c>
    </row>
    <row r="3839" spans="1:2">
      <c r="A3839">
        <v>155</v>
      </c>
      <c r="B3839" s="2">
        <v>4.1099999999999998E-2</v>
      </c>
    </row>
    <row r="3840" spans="1:2">
      <c r="A3840">
        <v>155</v>
      </c>
      <c r="B3840" t="s">
        <v>29</v>
      </c>
    </row>
    <row r="3841" spans="1:2">
      <c r="A3841">
        <v>155</v>
      </c>
      <c r="B3841" s="2">
        <v>-7.9299999999999995E-2</v>
      </c>
    </row>
    <row r="3842" spans="1:2">
      <c r="A3842">
        <v>155</v>
      </c>
      <c r="B3842" t="s">
        <v>30</v>
      </c>
    </row>
    <row r="3843" spans="1:2">
      <c r="A3843">
        <v>155</v>
      </c>
      <c r="B3843" s="2">
        <v>-0.46013999999999999</v>
      </c>
    </row>
    <row r="3844" spans="1:2">
      <c r="A3844">
        <v>155</v>
      </c>
      <c r="B3844" t="s">
        <v>8</v>
      </c>
    </row>
    <row r="3845" spans="1:2">
      <c r="A3845">
        <v>155</v>
      </c>
      <c r="B3845" s="2">
        <v>0.59299999999999997</v>
      </c>
    </row>
    <row r="3846" spans="1:2">
      <c r="A3846">
        <v>155</v>
      </c>
      <c r="B3846" t="s">
        <v>31</v>
      </c>
    </row>
    <row r="3847" spans="1:2">
      <c r="A3847">
        <v>155</v>
      </c>
      <c r="B3847">
        <v>-0.29099999999999998</v>
      </c>
    </row>
    <row r="3848" spans="1:2">
      <c r="A3848">
        <v>155</v>
      </c>
      <c r="B3848" t="s">
        <v>32</v>
      </c>
    </row>
    <row r="3849" spans="1:2">
      <c r="A3849">
        <v>155</v>
      </c>
      <c r="B3849" s="2">
        <v>-0.32754</v>
      </c>
    </row>
    <row r="3850" spans="1:2">
      <c r="A3850">
        <v>155</v>
      </c>
      <c r="B3850" t="s">
        <v>33</v>
      </c>
    </row>
    <row r="3851" spans="1:2">
      <c r="A3851">
        <v>155</v>
      </c>
      <c r="B3851" s="3">
        <v>0.53</v>
      </c>
    </row>
    <row r="3852" spans="1:2">
      <c r="A3852">
        <v>155</v>
      </c>
      <c r="B3852" t="s">
        <v>34</v>
      </c>
    </row>
    <row r="3853" spans="1:2">
      <c r="A3853">
        <v>155</v>
      </c>
      <c r="B3853" s="3">
        <v>0.47</v>
      </c>
    </row>
    <row r="3854" spans="1:2">
      <c r="A3854">
        <v>155</v>
      </c>
      <c r="B3854" t="s">
        <v>26</v>
      </c>
    </row>
    <row r="3855" spans="1:2">
      <c r="A3855">
        <v>155</v>
      </c>
      <c r="B3855">
        <v>0.52</v>
      </c>
    </row>
    <row r="3856" spans="1:2">
      <c r="A3856">
        <v>155</v>
      </c>
      <c r="B3856" t="s">
        <v>23</v>
      </c>
    </row>
    <row r="3857" spans="1:2">
      <c r="A3857">
        <v>155</v>
      </c>
      <c r="B3857">
        <v>-0.36</v>
      </c>
    </row>
    <row r="3858" spans="1:2">
      <c r="A3858">
        <v>155</v>
      </c>
      <c r="B3858" t="s">
        <v>24</v>
      </c>
    </row>
    <row r="3859" spans="1:2">
      <c r="A3859">
        <v>155</v>
      </c>
      <c r="B3859">
        <v>2.1549999999999998</v>
      </c>
    </row>
    <row r="3860" spans="1:2">
      <c r="A3860">
        <v>155</v>
      </c>
      <c r="B3860" t="s">
        <v>35</v>
      </c>
    </row>
    <row r="3861" spans="1:2">
      <c r="A3861">
        <v>155</v>
      </c>
      <c r="B3861">
        <v>0.60599999999999998</v>
      </c>
    </row>
    <row r="3862" spans="1:2">
      <c r="A3862">
        <v>155</v>
      </c>
      <c r="B3862" t="s">
        <v>36</v>
      </c>
    </row>
    <row r="3863" spans="1:2">
      <c r="A3863">
        <v>155</v>
      </c>
      <c r="B3863">
        <v>0.36699999999999999</v>
      </c>
    </row>
    <row r="3864" spans="1:2">
      <c r="A3864">
        <v>155</v>
      </c>
      <c r="B3864" t="s">
        <v>37</v>
      </c>
    </row>
    <row r="3865" spans="1:2">
      <c r="A3865">
        <v>155</v>
      </c>
      <c r="B3865">
        <v>-0.48199999999999998</v>
      </c>
    </row>
    <row r="3866" spans="1:2">
      <c r="A3866">
        <v>155</v>
      </c>
      <c r="B3866" t="s">
        <v>38</v>
      </c>
    </row>
    <row r="3867" spans="1:2">
      <c r="A3867">
        <v>155</v>
      </c>
      <c r="B3867">
        <v>0.59299999999999997</v>
      </c>
    </row>
    <row r="3868" spans="1:2">
      <c r="A3868">
        <v>155</v>
      </c>
      <c r="B3868" t="s">
        <v>39</v>
      </c>
    </row>
    <row r="3869" spans="1:2">
      <c r="A3869">
        <v>155</v>
      </c>
      <c r="B3869">
        <v>-0.10299999999999999</v>
      </c>
    </row>
    <row r="3870" spans="1:2">
      <c r="A3870">
        <v>155</v>
      </c>
      <c r="B3870" t="s">
        <v>40</v>
      </c>
    </row>
    <row r="3871" spans="1:2">
      <c r="A3871">
        <v>155</v>
      </c>
      <c r="B3871" s="4">
        <v>0</v>
      </c>
    </row>
    <row r="3872" spans="1:2">
      <c r="A3872">
        <v>155</v>
      </c>
      <c r="B3872" t="s">
        <v>41</v>
      </c>
    </row>
    <row r="3873" spans="1:2">
      <c r="A3873">
        <v>155</v>
      </c>
      <c r="B3873" s="4">
        <v>19000000</v>
      </c>
    </row>
    <row r="3874" spans="1:2">
      <c r="A3874">
        <v>155</v>
      </c>
      <c r="B3874" t="s">
        <v>42</v>
      </c>
    </row>
    <row r="3875" spans="1:2">
      <c r="A3875">
        <v>155</v>
      </c>
      <c r="B3875" t="s">
        <v>44</v>
      </c>
    </row>
    <row r="3876" spans="1:2">
      <c r="A3876">
        <v>154</v>
      </c>
      <c r="B3876" t="s">
        <v>27</v>
      </c>
    </row>
    <row r="3877" spans="1:2">
      <c r="A3877">
        <v>154</v>
      </c>
      <c r="B3877" s="2">
        <v>9.3880000000000005E-2</v>
      </c>
    </row>
    <row r="3878" spans="1:2">
      <c r="A3878">
        <v>154</v>
      </c>
      <c r="B3878" t="s">
        <v>1</v>
      </c>
    </row>
    <row r="3879" spans="1:2">
      <c r="A3879">
        <v>154</v>
      </c>
      <c r="B3879">
        <v>-0.36699999999999999</v>
      </c>
    </row>
    <row r="3880" spans="1:2">
      <c r="A3880">
        <v>154</v>
      </c>
      <c r="B3880" t="s">
        <v>28</v>
      </c>
    </row>
    <row r="3881" spans="1:2">
      <c r="A3881">
        <v>154</v>
      </c>
      <c r="B3881">
        <v>459</v>
      </c>
    </row>
    <row r="3882" spans="1:2">
      <c r="A3882">
        <v>154</v>
      </c>
      <c r="B3882" t="s">
        <v>25</v>
      </c>
    </row>
    <row r="3883" spans="1:2">
      <c r="A3883">
        <v>154</v>
      </c>
      <c r="B3883" s="2">
        <v>4.1099999999999998E-2</v>
      </c>
    </row>
    <row r="3884" spans="1:2">
      <c r="A3884">
        <v>154</v>
      </c>
      <c r="B3884" t="s">
        <v>29</v>
      </c>
    </row>
    <row r="3885" spans="1:2">
      <c r="A3885">
        <v>154</v>
      </c>
      <c r="B3885" s="2">
        <v>-7.9299999999999995E-2</v>
      </c>
    </row>
    <row r="3886" spans="1:2">
      <c r="A3886">
        <v>154</v>
      </c>
      <c r="B3886" t="s">
        <v>30</v>
      </c>
    </row>
    <row r="3887" spans="1:2">
      <c r="A3887">
        <v>154</v>
      </c>
      <c r="B3887" s="2">
        <v>-0.46013999999999999</v>
      </c>
    </row>
    <row r="3888" spans="1:2">
      <c r="A3888">
        <v>154</v>
      </c>
      <c r="B3888" t="s">
        <v>8</v>
      </c>
    </row>
    <row r="3889" spans="1:2">
      <c r="A3889">
        <v>154</v>
      </c>
      <c r="B3889" s="2">
        <v>0.59299999999999997</v>
      </c>
    </row>
    <row r="3890" spans="1:2">
      <c r="A3890">
        <v>154</v>
      </c>
      <c r="B3890" t="s">
        <v>31</v>
      </c>
    </row>
    <row r="3891" spans="1:2">
      <c r="A3891">
        <v>154</v>
      </c>
      <c r="B3891">
        <v>-0.29099999999999998</v>
      </c>
    </row>
    <row r="3892" spans="1:2">
      <c r="A3892">
        <v>154</v>
      </c>
      <c r="B3892" t="s">
        <v>32</v>
      </c>
    </row>
    <row r="3893" spans="1:2">
      <c r="A3893">
        <v>154</v>
      </c>
      <c r="B3893" s="2">
        <v>-0.32754</v>
      </c>
    </row>
    <row r="3894" spans="1:2">
      <c r="A3894">
        <v>154</v>
      </c>
      <c r="B3894" t="s">
        <v>33</v>
      </c>
    </row>
    <row r="3895" spans="1:2">
      <c r="A3895">
        <v>154</v>
      </c>
      <c r="B3895" s="3">
        <v>0.53</v>
      </c>
    </row>
    <row r="3896" spans="1:2">
      <c r="A3896">
        <v>154</v>
      </c>
      <c r="B3896" t="s">
        <v>34</v>
      </c>
    </row>
    <row r="3897" spans="1:2">
      <c r="A3897">
        <v>154</v>
      </c>
      <c r="B3897" s="3">
        <v>0.47</v>
      </c>
    </row>
    <row r="3898" spans="1:2">
      <c r="A3898">
        <v>154</v>
      </c>
      <c r="B3898" t="s">
        <v>26</v>
      </c>
    </row>
    <row r="3899" spans="1:2">
      <c r="A3899">
        <v>154</v>
      </c>
      <c r="B3899">
        <v>0.52</v>
      </c>
    </row>
    <row r="3900" spans="1:2">
      <c r="A3900">
        <v>154</v>
      </c>
      <c r="B3900" t="s">
        <v>23</v>
      </c>
    </row>
    <row r="3901" spans="1:2">
      <c r="A3901">
        <v>154</v>
      </c>
      <c r="B3901">
        <v>-0.36</v>
      </c>
    </row>
    <row r="3902" spans="1:2">
      <c r="A3902">
        <v>154</v>
      </c>
      <c r="B3902" t="s">
        <v>24</v>
      </c>
    </row>
    <row r="3903" spans="1:2">
      <c r="A3903">
        <v>154</v>
      </c>
      <c r="B3903">
        <v>2.1549999999999998</v>
      </c>
    </row>
    <row r="3904" spans="1:2">
      <c r="A3904">
        <v>154</v>
      </c>
      <c r="B3904" t="s">
        <v>35</v>
      </c>
    </row>
    <row r="3905" spans="1:2">
      <c r="A3905">
        <v>154</v>
      </c>
      <c r="B3905">
        <v>0.60599999999999998</v>
      </c>
    </row>
    <row r="3906" spans="1:2">
      <c r="A3906">
        <v>154</v>
      </c>
      <c r="B3906" t="s">
        <v>36</v>
      </c>
    </row>
    <row r="3907" spans="1:2">
      <c r="A3907">
        <v>154</v>
      </c>
      <c r="B3907">
        <v>0.36699999999999999</v>
      </c>
    </row>
    <row r="3908" spans="1:2">
      <c r="A3908">
        <v>154</v>
      </c>
      <c r="B3908" t="s">
        <v>37</v>
      </c>
    </row>
    <row r="3909" spans="1:2">
      <c r="A3909">
        <v>154</v>
      </c>
      <c r="B3909">
        <v>-0.48199999999999998</v>
      </c>
    </row>
    <row r="3910" spans="1:2">
      <c r="A3910">
        <v>154</v>
      </c>
      <c r="B3910" t="s">
        <v>38</v>
      </c>
    </row>
    <row r="3911" spans="1:2">
      <c r="A3911">
        <v>154</v>
      </c>
      <c r="B3911">
        <v>0.59299999999999997</v>
      </c>
    </row>
    <row r="3912" spans="1:2">
      <c r="A3912">
        <v>154</v>
      </c>
      <c r="B3912" t="s">
        <v>39</v>
      </c>
    </row>
    <row r="3913" spans="1:2">
      <c r="A3913">
        <v>154</v>
      </c>
      <c r="B3913">
        <v>-0.10299999999999999</v>
      </c>
    </row>
    <row r="3914" spans="1:2">
      <c r="A3914">
        <v>154</v>
      </c>
      <c r="B3914" t="s">
        <v>40</v>
      </c>
    </row>
    <row r="3915" spans="1:2">
      <c r="A3915">
        <v>154</v>
      </c>
      <c r="B3915" s="4">
        <v>0</v>
      </c>
    </row>
    <row r="3916" spans="1:2">
      <c r="A3916">
        <v>154</v>
      </c>
      <c r="B3916" t="s">
        <v>41</v>
      </c>
    </row>
    <row r="3917" spans="1:2">
      <c r="A3917">
        <v>154</v>
      </c>
      <c r="B3917" s="4">
        <v>19000000</v>
      </c>
    </row>
    <row r="3918" spans="1:2">
      <c r="A3918">
        <v>154</v>
      </c>
      <c r="B3918" t="s">
        <v>42</v>
      </c>
    </row>
    <row r="3919" spans="1:2">
      <c r="A3919">
        <v>154</v>
      </c>
      <c r="B3919" t="s">
        <v>44</v>
      </c>
    </row>
    <row r="3920" spans="1:2">
      <c r="A3920">
        <v>153</v>
      </c>
      <c r="B3920" t="s">
        <v>27</v>
      </c>
    </row>
    <row r="3921" spans="1:2">
      <c r="A3921">
        <v>153</v>
      </c>
      <c r="B3921" s="2">
        <v>9.3880000000000005E-2</v>
      </c>
    </row>
    <row r="3922" spans="1:2">
      <c r="A3922">
        <v>153</v>
      </c>
      <c r="B3922" t="s">
        <v>1</v>
      </c>
    </row>
    <row r="3923" spans="1:2">
      <c r="A3923">
        <v>153</v>
      </c>
      <c r="B3923">
        <v>-0.36699999999999999</v>
      </c>
    </row>
    <row r="3924" spans="1:2">
      <c r="A3924">
        <v>153</v>
      </c>
      <c r="B3924" t="s">
        <v>28</v>
      </c>
    </row>
    <row r="3925" spans="1:2">
      <c r="A3925">
        <v>153</v>
      </c>
      <c r="B3925">
        <v>459</v>
      </c>
    </row>
    <row r="3926" spans="1:2">
      <c r="A3926">
        <v>153</v>
      </c>
      <c r="B3926" t="s">
        <v>25</v>
      </c>
    </row>
    <row r="3927" spans="1:2">
      <c r="A3927">
        <v>153</v>
      </c>
      <c r="B3927" s="2">
        <v>4.1099999999999998E-2</v>
      </c>
    </row>
    <row r="3928" spans="1:2">
      <c r="A3928">
        <v>153</v>
      </c>
      <c r="B3928" t="s">
        <v>29</v>
      </c>
    </row>
    <row r="3929" spans="1:2">
      <c r="A3929">
        <v>153</v>
      </c>
      <c r="B3929" s="2">
        <v>-7.9299999999999995E-2</v>
      </c>
    </row>
    <row r="3930" spans="1:2">
      <c r="A3930">
        <v>153</v>
      </c>
      <c r="B3930" t="s">
        <v>30</v>
      </c>
    </row>
    <row r="3931" spans="1:2">
      <c r="A3931">
        <v>153</v>
      </c>
      <c r="B3931" s="2">
        <v>-0.46013999999999999</v>
      </c>
    </row>
    <row r="3932" spans="1:2">
      <c r="A3932">
        <v>153</v>
      </c>
      <c r="B3932" t="s">
        <v>8</v>
      </c>
    </row>
    <row r="3933" spans="1:2">
      <c r="A3933">
        <v>153</v>
      </c>
      <c r="B3933" s="2">
        <v>0.59299999999999997</v>
      </c>
    </row>
    <row r="3934" spans="1:2">
      <c r="A3934">
        <v>153</v>
      </c>
      <c r="B3934" t="s">
        <v>31</v>
      </c>
    </row>
    <row r="3935" spans="1:2">
      <c r="A3935">
        <v>153</v>
      </c>
      <c r="B3935">
        <v>-0.29099999999999998</v>
      </c>
    </row>
    <row r="3936" spans="1:2">
      <c r="A3936">
        <v>153</v>
      </c>
      <c r="B3936" t="s">
        <v>32</v>
      </c>
    </row>
    <row r="3937" spans="1:2">
      <c r="A3937">
        <v>153</v>
      </c>
      <c r="B3937" s="2">
        <v>-0.32754</v>
      </c>
    </row>
    <row r="3938" spans="1:2">
      <c r="A3938">
        <v>153</v>
      </c>
      <c r="B3938" t="s">
        <v>33</v>
      </c>
    </row>
    <row r="3939" spans="1:2">
      <c r="A3939">
        <v>153</v>
      </c>
      <c r="B3939" s="3">
        <v>0.53</v>
      </c>
    </row>
    <row r="3940" spans="1:2">
      <c r="A3940">
        <v>153</v>
      </c>
      <c r="B3940" t="s">
        <v>34</v>
      </c>
    </row>
    <row r="3941" spans="1:2">
      <c r="A3941">
        <v>153</v>
      </c>
      <c r="B3941" s="3">
        <v>0.47</v>
      </c>
    </row>
    <row r="3942" spans="1:2">
      <c r="A3942">
        <v>153</v>
      </c>
      <c r="B3942" t="s">
        <v>26</v>
      </c>
    </row>
    <row r="3943" spans="1:2">
      <c r="A3943">
        <v>153</v>
      </c>
      <c r="B3943">
        <v>0.52</v>
      </c>
    </row>
    <row r="3944" spans="1:2">
      <c r="A3944">
        <v>153</v>
      </c>
      <c r="B3944" t="s">
        <v>23</v>
      </c>
    </row>
    <row r="3945" spans="1:2">
      <c r="A3945">
        <v>153</v>
      </c>
      <c r="B3945">
        <v>-0.36</v>
      </c>
    </row>
    <row r="3946" spans="1:2">
      <c r="A3946">
        <v>153</v>
      </c>
      <c r="B3946" t="s">
        <v>24</v>
      </c>
    </row>
    <row r="3947" spans="1:2">
      <c r="A3947">
        <v>153</v>
      </c>
      <c r="B3947">
        <v>2.1549999999999998</v>
      </c>
    </row>
    <row r="3948" spans="1:2">
      <c r="A3948">
        <v>153</v>
      </c>
      <c r="B3948" t="s">
        <v>35</v>
      </c>
    </row>
    <row r="3949" spans="1:2">
      <c r="A3949">
        <v>153</v>
      </c>
      <c r="B3949">
        <v>0.60599999999999998</v>
      </c>
    </row>
    <row r="3950" spans="1:2">
      <c r="A3950">
        <v>153</v>
      </c>
      <c r="B3950" t="s">
        <v>36</v>
      </c>
    </row>
    <row r="3951" spans="1:2">
      <c r="A3951">
        <v>153</v>
      </c>
      <c r="B3951">
        <v>0.36699999999999999</v>
      </c>
    </row>
    <row r="3952" spans="1:2">
      <c r="A3952">
        <v>153</v>
      </c>
      <c r="B3952" t="s">
        <v>37</v>
      </c>
    </row>
    <row r="3953" spans="1:2">
      <c r="A3953">
        <v>153</v>
      </c>
      <c r="B3953">
        <v>-0.48199999999999998</v>
      </c>
    </row>
    <row r="3954" spans="1:2">
      <c r="A3954">
        <v>153</v>
      </c>
      <c r="B3954" t="s">
        <v>38</v>
      </c>
    </row>
    <row r="3955" spans="1:2">
      <c r="A3955">
        <v>153</v>
      </c>
      <c r="B3955">
        <v>0.59299999999999997</v>
      </c>
    </row>
    <row r="3956" spans="1:2">
      <c r="A3956">
        <v>153</v>
      </c>
      <c r="B3956" t="s">
        <v>39</v>
      </c>
    </row>
    <row r="3957" spans="1:2">
      <c r="A3957">
        <v>153</v>
      </c>
      <c r="B3957">
        <v>-0.10299999999999999</v>
      </c>
    </row>
    <row r="3958" spans="1:2">
      <c r="A3958">
        <v>153</v>
      </c>
      <c r="B3958" t="s">
        <v>40</v>
      </c>
    </row>
    <row r="3959" spans="1:2">
      <c r="A3959">
        <v>153</v>
      </c>
      <c r="B3959" s="4">
        <v>0</v>
      </c>
    </row>
    <row r="3960" spans="1:2">
      <c r="A3960">
        <v>153</v>
      </c>
      <c r="B3960" t="s">
        <v>41</v>
      </c>
    </row>
    <row r="3961" spans="1:2">
      <c r="A3961">
        <v>153</v>
      </c>
      <c r="B3961" s="4">
        <v>19000000</v>
      </c>
    </row>
    <row r="3962" spans="1:2">
      <c r="A3962">
        <v>153</v>
      </c>
      <c r="B3962" t="s">
        <v>42</v>
      </c>
    </row>
    <row r="3963" spans="1:2">
      <c r="A3963">
        <v>153</v>
      </c>
      <c r="B3963" t="s">
        <v>44</v>
      </c>
    </row>
    <row r="3964" spans="1:2">
      <c r="A3964">
        <v>152</v>
      </c>
      <c r="B3964" t="s">
        <v>27</v>
      </c>
    </row>
    <row r="3965" spans="1:2">
      <c r="A3965">
        <v>152</v>
      </c>
      <c r="B3965" s="2">
        <v>9.3880000000000005E-2</v>
      </c>
    </row>
    <row r="3966" spans="1:2">
      <c r="A3966">
        <v>152</v>
      </c>
      <c r="B3966" t="s">
        <v>1</v>
      </c>
    </row>
    <row r="3967" spans="1:2">
      <c r="A3967">
        <v>152</v>
      </c>
      <c r="B3967">
        <v>-0.36699999999999999</v>
      </c>
    </row>
    <row r="3968" spans="1:2">
      <c r="A3968">
        <v>152</v>
      </c>
      <c r="B3968" t="s">
        <v>28</v>
      </c>
    </row>
    <row r="3969" spans="1:2">
      <c r="A3969">
        <v>152</v>
      </c>
      <c r="B3969">
        <v>459</v>
      </c>
    </row>
    <row r="3970" spans="1:2">
      <c r="A3970">
        <v>152</v>
      </c>
      <c r="B3970" t="s">
        <v>25</v>
      </c>
    </row>
    <row r="3971" spans="1:2">
      <c r="A3971">
        <v>152</v>
      </c>
      <c r="B3971" s="2">
        <v>4.1099999999999998E-2</v>
      </c>
    </row>
    <row r="3972" spans="1:2">
      <c r="A3972">
        <v>152</v>
      </c>
      <c r="B3972" t="s">
        <v>29</v>
      </c>
    </row>
    <row r="3973" spans="1:2">
      <c r="A3973">
        <v>152</v>
      </c>
      <c r="B3973" s="2">
        <v>-7.9299999999999995E-2</v>
      </c>
    </row>
    <row r="3974" spans="1:2">
      <c r="A3974">
        <v>152</v>
      </c>
      <c r="B3974" t="s">
        <v>30</v>
      </c>
    </row>
    <row r="3975" spans="1:2">
      <c r="A3975">
        <v>152</v>
      </c>
      <c r="B3975" s="2">
        <v>-0.46013999999999999</v>
      </c>
    </row>
    <row r="3976" spans="1:2">
      <c r="A3976">
        <v>152</v>
      </c>
      <c r="B3976" t="s">
        <v>8</v>
      </c>
    </row>
    <row r="3977" spans="1:2">
      <c r="A3977">
        <v>152</v>
      </c>
      <c r="B3977" s="2">
        <v>0.59299999999999997</v>
      </c>
    </row>
    <row r="3978" spans="1:2">
      <c r="A3978">
        <v>152</v>
      </c>
      <c r="B3978" t="s">
        <v>31</v>
      </c>
    </row>
    <row r="3979" spans="1:2">
      <c r="A3979">
        <v>152</v>
      </c>
      <c r="B3979">
        <v>-0.29099999999999998</v>
      </c>
    </row>
    <row r="3980" spans="1:2">
      <c r="A3980">
        <v>152</v>
      </c>
      <c r="B3980" t="s">
        <v>32</v>
      </c>
    </row>
    <row r="3981" spans="1:2">
      <c r="A3981">
        <v>152</v>
      </c>
      <c r="B3981" s="2">
        <v>-0.32754</v>
      </c>
    </row>
    <row r="3982" spans="1:2">
      <c r="A3982">
        <v>152</v>
      </c>
      <c r="B3982" t="s">
        <v>33</v>
      </c>
    </row>
    <row r="3983" spans="1:2">
      <c r="A3983">
        <v>152</v>
      </c>
      <c r="B3983" s="3">
        <v>0.53</v>
      </c>
    </row>
    <row r="3984" spans="1:2">
      <c r="A3984">
        <v>152</v>
      </c>
      <c r="B3984" t="s">
        <v>34</v>
      </c>
    </row>
    <row r="3985" spans="1:2">
      <c r="A3985">
        <v>152</v>
      </c>
      <c r="B3985" s="3">
        <v>0.47</v>
      </c>
    </row>
    <row r="3986" spans="1:2">
      <c r="A3986">
        <v>152</v>
      </c>
      <c r="B3986" t="s">
        <v>26</v>
      </c>
    </row>
    <row r="3987" spans="1:2">
      <c r="A3987">
        <v>152</v>
      </c>
      <c r="B3987">
        <v>0.52</v>
      </c>
    </row>
    <row r="3988" spans="1:2">
      <c r="A3988">
        <v>152</v>
      </c>
      <c r="B3988" t="s">
        <v>23</v>
      </c>
    </row>
    <row r="3989" spans="1:2">
      <c r="A3989">
        <v>152</v>
      </c>
      <c r="B3989">
        <v>-0.36</v>
      </c>
    </row>
    <row r="3990" spans="1:2">
      <c r="A3990">
        <v>152</v>
      </c>
      <c r="B3990" t="s">
        <v>24</v>
      </c>
    </row>
    <row r="3991" spans="1:2">
      <c r="A3991">
        <v>152</v>
      </c>
      <c r="B3991">
        <v>2.1549999999999998</v>
      </c>
    </row>
    <row r="3992" spans="1:2">
      <c r="A3992">
        <v>152</v>
      </c>
      <c r="B3992" t="s">
        <v>35</v>
      </c>
    </row>
    <row r="3993" spans="1:2">
      <c r="A3993">
        <v>152</v>
      </c>
      <c r="B3993">
        <v>0.60599999999999998</v>
      </c>
    </row>
    <row r="3994" spans="1:2">
      <c r="A3994">
        <v>152</v>
      </c>
      <c r="B3994" t="s">
        <v>36</v>
      </c>
    </row>
    <row r="3995" spans="1:2">
      <c r="A3995">
        <v>152</v>
      </c>
      <c r="B3995">
        <v>0.36699999999999999</v>
      </c>
    </row>
    <row r="3996" spans="1:2">
      <c r="A3996">
        <v>152</v>
      </c>
      <c r="B3996" t="s">
        <v>37</v>
      </c>
    </row>
    <row r="3997" spans="1:2">
      <c r="A3997">
        <v>152</v>
      </c>
      <c r="B3997">
        <v>-0.48199999999999998</v>
      </c>
    </row>
    <row r="3998" spans="1:2">
      <c r="A3998">
        <v>152</v>
      </c>
      <c r="B3998" t="s">
        <v>38</v>
      </c>
    </row>
    <row r="3999" spans="1:2">
      <c r="A3999">
        <v>152</v>
      </c>
      <c r="B3999">
        <v>0.59299999999999997</v>
      </c>
    </row>
    <row r="4000" spans="1:2">
      <c r="A4000">
        <v>152</v>
      </c>
      <c r="B4000" t="s">
        <v>39</v>
      </c>
    </row>
    <row r="4001" spans="1:2">
      <c r="A4001">
        <v>152</v>
      </c>
      <c r="B4001">
        <v>-0.10299999999999999</v>
      </c>
    </row>
    <row r="4002" spans="1:2">
      <c r="A4002">
        <v>152</v>
      </c>
      <c r="B4002" t="s">
        <v>40</v>
      </c>
    </row>
    <row r="4003" spans="1:2">
      <c r="A4003">
        <v>152</v>
      </c>
      <c r="B4003" s="4">
        <v>0</v>
      </c>
    </row>
    <row r="4004" spans="1:2">
      <c r="A4004">
        <v>152</v>
      </c>
      <c r="B4004" t="s">
        <v>41</v>
      </c>
    </row>
    <row r="4005" spans="1:2">
      <c r="A4005">
        <v>152</v>
      </c>
      <c r="B4005" s="4">
        <v>19000000</v>
      </c>
    </row>
    <row r="4006" spans="1:2">
      <c r="A4006">
        <v>152</v>
      </c>
      <c r="B4006" t="s">
        <v>42</v>
      </c>
    </row>
    <row r="4007" spans="1:2">
      <c r="A4007">
        <v>152</v>
      </c>
      <c r="B4007" t="s">
        <v>44</v>
      </c>
    </row>
    <row r="4008" spans="1:2">
      <c r="A4008">
        <v>151</v>
      </c>
      <c r="B4008" t="s">
        <v>27</v>
      </c>
    </row>
    <row r="4009" spans="1:2">
      <c r="A4009">
        <v>151</v>
      </c>
      <c r="B4009" s="2">
        <v>9.3880000000000005E-2</v>
      </c>
    </row>
    <row r="4010" spans="1:2">
      <c r="A4010">
        <v>151</v>
      </c>
      <c r="B4010" t="s">
        <v>1</v>
      </c>
    </row>
    <row r="4011" spans="1:2">
      <c r="A4011">
        <v>151</v>
      </c>
      <c r="B4011">
        <v>-0.36699999999999999</v>
      </c>
    </row>
    <row r="4012" spans="1:2">
      <c r="A4012">
        <v>151</v>
      </c>
      <c r="B4012" t="s">
        <v>28</v>
      </c>
    </row>
    <row r="4013" spans="1:2">
      <c r="A4013">
        <v>151</v>
      </c>
      <c r="B4013">
        <v>459</v>
      </c>
    </row>
    <row r="4014" spans="1:2">
      <c r="A4014">
        <v>151</v>
      </c>
      <c r="B4014" t="s">
        <v>25</v>
      </c>
    </row>
    <row r="4015" spans="1:2">
      <c r="A4015">
        <v>151</v>
      </c>
      <c r="B4015" s="2">
        <v>4.1099999999999998E-2</v>
      </c>
    </row>
    <row r="4016" spans="1:2">
      <c r="A4016">
        <v>151</v>
      </c>
      <c r="B4016" t="s">
        <v>29</v>
      </c>
    </row>
    <row r="4017" spans="1:2">
      <c r="A4017">
        <v>151</v>
      </c>
      <c r="B4017" s="2">
        <v>-7.9299999999999995E-2</v>
      </c>
    </row>
    <row r="4018" spans="1:2">
      <c r="A4018">
        <v>151</v>
      </c>
      <c r="B4018" t="s">
        <v>30</v>
      </c>
    </row>
    <row r="4019" spans="1:2">
      <c r="A4019">
        <v>151</v>
      </c>
      <c r="B4019" s="2">
        <v>-0.46013999999999999</v>
      </c>
    </row>
    <row r="4020" spans="1:2">
      <c r="A4020">
        <v>151</v>
      </c>
      <c r="B4020" t="s">
        <v>8</v>
      </c>
    </row>
    <row r="4021" spans="1:2">
      <c r="A4021">
        <v>151</v>
      </c>
      <c r="B4021" s="2">
        <v>0.59299999999999997</v>
      </c>
    </row>
    <row r="4022" spans="1:2">
      <c r="A4022">
        <v>151</v>
      </c>
      <c r="B4022" t="s">
        <v>31</v>
      </c>
    </row>
    <row r="4023" spans="1:2">
      <c r="A4023">
        <v>151</v>
      </c>
      <c r="B4023">
        <v>-0.29099999999999998</v>
      </c>
    </row>
    <row r="4024" spans="1:2">
      <c r="A4024">
        <v>151</v>
      </c>
      <c r="B4024" t="s">
        <v>32</v>
      </c>
    </row>
    <row r="4025" spans="1:2">
      <c r="A4025">
        <v>151</v>
      </c>
      <c r="B4025" s="2">
        <v>-0.32754</v>
      </c>
    </row>
    <row r="4026" spans="1:2">
      <c r="A4026">
        <v>151</v>
      </c>
      <c r="B4026" t="s">
        <v>33</v>
      </c>
    </row>
    <row r="4027" spans="1:2">
      <c r="A4027">
        <v>151</v>
      </c>
      <c r="B4027" s="3">
        <v>0.53</v>
      </c>
    </row>
    <row r="4028" spans="1:2">
      <c r="A4028">
        <v>151</v>
      </c>
      <c r="B4028" t="s">
        <v>34</v>
      </c>
    </row>
    <row r="4029" spans="1:2">
      <c r="A4029">
        <v>151</v>
      </c>
      <c r="B4029" s="3">
        <v>0.47</v>
      </c>
    </row>
    <row r="4030" spans="1:2">
      <c r="A4030">
        <v>151</v>
      </c>
      <c r="B4030" t="s">
        <v>26</v>
      </c>
    </row>
    <row r="4031" spans="1:2">
      <c r="A4031">
        <v>151</v>
      </c>
      <c r="B4031">
        <v>0.52</v>
      </c>
    </row>
    <row r="4032" spans="1:2">
      <c r="A4032">
        <v>151</v>
      </c>
      <c r="B4032" t="s">
        <v>23</v>
      </c>
    </row>
    <row r="4033" spans="1:2">
      <c r="A4033">
        <v>151</v>
      </c>
      <c r="B4033">
        <v>-0.36</v>
      </c>
    </row>
    <row r="4034" spans="1:2">
      <c r="A4034">
        <v>151</v>
      </c>
      <c r="B4034" t="s">
        <v>24</v>
      </c>
    </row>
    <row r="4035" spans="1:2">
      <c r="A4035">
        <v>151</v>
      </c>
      <c r="B4035">
        <v>2.1549999999999998</v>
      </c>
    </row>
    <row r="4036" spans="1:2">
      <c r="A4036">
        <v>151</v>
      </c>
      <c r="B4036" t="s">
        <v>35</v>
      </c>
    </row>
    <row r="4037" spans="1:2">
      <c r="A4037">
        <v>151</v>
      </c>
      <c r="B4037">
        <v>0.60599999999999998</v>
      </c>
    </row>
    <row r="4038" spans="1:2">
      <c r="A4038">
        <v>151</v>
      </c>
      <c r="B4038" t="s">
        <v>36</v>
      </c>
    </row>
    <row r="4039" spans="1:2">
      <c r="A4039">
        <v>151</v>
      </c>
      <c r="B4039">
        <v>0.36699999999999999</v>
      </c>
    </row>
    <row r="4040" spans="1:2">
      <c r="A4040">
        <v>151</v>
      </c>
      <c r="B4040" t="s">
        <v>37</v>
      </c>
    </row>
    <row r="4041" spans="1:2">
      <c r="A4041">
        <v>151</v>
      </c>
      <c r="B4041">
        <v>-0.48199999999999998</v>
      </c>
    </row>
    <row r="4042" spans="1:2">
      <c r="A4042">
        <v>151</v>
      </c>
      <c r="B4042" t="s">
        <v>38</v>
      </c>
    </row>
    <row r="4043" spans="1:2">
      <c r="A4043">
        <v>151</v>
      </c>
      <c r="B4043">
        <v>0.59299999999999997</v>
      </c>
    </row>
    <row r="4044" spans="1:2">
      <c r="A4044">
        <v>151</v>
      </c>
      <c r="B4044" t="s">
        <v>39</v>
      </c>
    </row>
    <row r="4045" spans="1:2">
      <c r="A4045">
        <v>151</v>
      </c>
      <c r="B4045">
        <v>-0.10299999999999999</v>
      </c>
    </row>
    <row r="4046" spans="1:2">
      <c r="A4046">
        <v>151</v>
      </c>
      <c r="B4046" t="s">
        <v>40</v>
      </c>
    </row>
    <row r="4047" spans="1:2">
      <c r="A4047">
        <v>151</v>
      </c>
      <c r="B4047" s="4">
        <v>0</v>
      </c>
    </row>
    <row r="4048" spans="1:2">
      <c r="A4048">
        <v>151</v>
      </c>
      <c r="B4048" t="s">
        <v>41</v>
      </c>
    </row>
    <row r="4049" spans="1:2">
      <c r="A4049">
        <v>151</v>
      </c>
      <c r="B4049" s="4">
        <v>19000000</v>
      </c>
    </row>
    <row r="4050" spans="1:2">
      <c r="A4050">
        <v>151</v>
      </c>
      <c r="B4050" t="s">
        <v>42</v>
      </c>
    </row>
    <row r="4051" spans="1:2">
      <c r="A4051">
        <v>151</v>
      </c>
      <c r="B4051" t="s">
        <v>44</v>
      </c>
    </row>
    <row r="4052" spans="1:2">
      <c r="A4052">
        <v>150</v>
      </c>
      <c r="B4052" t="s">
        <v>27</v>
      </c>
    </row>
    <row r="4053" spans="1:2">
      <c r="A4053">
        <v>150</v>
      </c>
      <c r="B4053" s="2">
        <v>9.3880000000000005E-2</v>
      </c>
    </row>
    <row r="4054" spans="1:2">
      <c r="A4054">
        <v>150</v>
      </c>
      <c r="B4054" t="s">
        <v>1</v>
      </c>
    </row>
    <row r="4055" spans="1:2">
      <c r="A4055">
        <v>150</v>
      </c>
      <c r="B4055">
        <v>-0.36699999999999999</v>
      </c>
    </row>
    <row r="4056" spans="1:2">
      <c r="A4056">
        <v>150</v>
      </c>
      <c r="B4056" t="s">
        <v>28</v>
      </c>
    </row>
    <row r="4057" spans="1:2">
      <c r="A4057">
        <v>150</v>
      </c>
      <c r="B4057">
        <v>459</v>
      </c>
    </row>
    <row r="4058" spans="1:2">
      <c r="A4058">
        <v>150</v>
      </c>
      <c r="B4058" t="s">
        <v>25</v>
      </c>
    </row>
    <row r="4059" spans="1:2">
      <c r="A4059">
        <v>150</v>
      </c>
      <c r="B4059" s="2">
        <v>4.1099999999999998E-2</v>
      </c>
    </row>
    <row r="4060" spans="1:2">
      <c r="A4060">
        <v>150</v>
      </c>
      <c r="B4060" t="s">
        <v>29</v>
      </c>
    </row>
    <row r="4061" spans="1:2">
      <c r="A4061">
        <v>150</v>
      </c>
      <c r="B4061" s="2">
        <v>-7.9299999999999995E-2</v>
      </c>
    </row>
    <row r="4062" spans="1:2">
      <c r="A4062">
        <v>150</v>
      </c>
      <c r="B4062" t="s">
        <v>30</v>
      </c>
    </row>
    <row r="4063" spans="1:2">
      <c r="A4063">
        <v>150</v>
      </c>
      <c r="B4063" s="2">
        <v>-0.46013999999999999</v>
      </c>
    </row>
    <row r="4064" spans="1:2">
      <c r="A4064">
        <v>150</v>
      </c>
      <c r="B4064" t="s">
        <v>8</v>
      </c>
    </row>
    <row r="4065" spans="1:2">
      <c r="A4065">
        <v>150</v>
      </c>
      <c r="B4065" s="2">
        <v>0.59299999999999997</v>
      </c>
    </row>
    <row r="4066" spans="1:2">
      <c r="A4066">
        <v>150</v>
      </c>
      <c r="B4066" t="s">
        <v>31</v>
      </c>
    </row>
    <row r="4067" spans="1:2">
      <c r="A4067">
        <v>150</v>
      </c>
      <c r="B4067">
        <v>-0.29099999999999998</v>
      </c>
    </row>
    <row r="4068" spans="1:2">
      <c r="A4068">
        <v>150</v>
      </c>
      <c r="B4068" t="s">
        <v>32</v>
      </c>
    </row>
    <row r="4069" spans="1:2">
      <c r="A4069">
        <v>150</v>
      </c>
      <c r="B4069" s="2">
        <v>-0.32754</v>
      </c>
    </row>
    <row r="4070" spans="1:2">
      <c r="A4070">
        <v>150</v>
      </c>
      <c r="B4070" t="s">
        <v>33</v>
      </c>
    </row>
    <row r="4071" spans="1:2">
      <c r="A4071">
        <v>150</v>
      </c>
      <c r="B4071" s="3">
        <v>0.53</v>
      </c>
    </row>
    <row r="4072" spans="1:2">
      <c r="A4072">
        <v>150</v>
      </c>
      <c r="B4072" t="s">
        <v>34</v>
      </c>
    </row>
    <row r="4073" spans="1:2">
      <c r="A4073">
        <v>150</v>
      </c>
      <c r="B4073" s="3">
        <v>0.47</v>
      </c>
    </row>
    <row r="4074" spans="1:2">
      <c r="A4074">
        <v>150</v>
      </c>
      <c r="B4074" t="s">
        <v>26</v>
      </c>
    </row>
    <row r="4075" spans="1:2">
      <c r="A4075">
        <v>150</v>
      </c>
      <c r="B4075">
        <v>0.52</v>
      </c>
    </row>
    <row r="4076" spans="1:2">
      <c r="A4076">
        <v>150</v>
      </c>
      <c r="B4076" t="s">
        <v>23</v>
      </c>
    </row>
    <row r="4077" spans="1:2">
      <c r="A4077">
        <v>150</v>
      </c>
      <c r="B4077">
        <v>-0.36</v>
      </c>
    </row>
    <row r="4078" spans="1:2">
      <c r="A4078">
        <v>150</v>
      </c>
      <c r="B4078" t="s">
        <v>24</v>
      </c>
    </row>
    <row r="4079" spans="1:2">
      <c r="A4079">
        <v>150</v>
      </c>
      <c r="B4079">
        <v>2.1549999999999998</v>
      </c>
    </row>
    <row r="4080" spans="1:2">
      <c r="A4080">
        <v>150</v>
      </c>
      <c r="B4080" t="s">
        <v>35</v>
      </c>
    </row>
    <row r="4081" spans="1:2">
      <c r="A4081">
        <v>150</v>
      </c>
      <c r="B4081">
        <v>0.60599999999999998</v>
      </c>
    </row>
    <row r="4082" spans="1:2">
      <c r="A4082">
        <v>150</v>
      </c>
      <c r="B4082" t="s">
        <v>36</v>
      </c>
    </row>
    <row r="4083" spans="1:2">
      <c r="A4083">
        <v>150</v>
      </c>
      <c r="B4083">
        <v>0.36699999999999999</v>
      </c>
    </row>
    <row r="4084" spans="1:2">
      <c r="A4084">
        <v>150</v>
      </c>
      <c r="B4084" t="s">
        <v>37</v>
      </c>
    </row>
    <row r="4085" spans="1:2">
      <c r="A4085">
        <v>150</v>
      </c>
      <c r="B4085">
        <v>-0.48199999999999998</v>
      </c>
    </row>
    <row r="4086" spans="1:2">
      <c r="A4086">
        <v>150</v>
      </c>
      <c r="B4086" t="s">
        <v>38</v>
      </c>
    </row>
    <row r="4087" spans="1:2">
      <c r="A4087">
        <v>150</v>
      </c>
      <c r="B4087">
        <v>0.59299999999999997</v>
      </c>
    </row>
    <row r="4088" spans="1:2">
      <c r="A4088">
        <v>150</v>
      </c>
      <c r="B4088" t="s">
        <v>39</v>
      </c>
    </row>
    <row r="4089" spans="1:2">
      <c r="A4089">
        <v>150</v>
      </c>
      <c r="B4089">
        <v>-0.10299999999999999</v>
      </c>
    </row>
    <row r="4090" spans="1:2">
      <c r="A4090">
        <v>150</v>
      </c>
      <c r="B4090" t="s">
        <v>40</v>
      </c>
    </row>
    <row r="4091" spans="1:2">
      <c r="A4091">
        <v>150</v>
      </c>
      <c r="B4091" s="4">
        <v>0</v>
      </c>
    </row>
    <row r="4092" spans="1:2">
      <c r="A4092">
        <v>150</v>
      </c>
      <c r="B4092" t="s">
        <v>41</v>
      </c>
    </row>
    <row r="4093" spans="1:2">
      <c r="A4093">
        <v>150</v>
      </c>
      <c r="B4093" s="4">
        <v>19000000</v>
      </c>
    </row>
    <row r="4094" spans="1:2">
      <c r="A4094">
        <v>150</v>
      </c>
      <c r="B4094" t="s">
        <v>42</v>
      </c>
    </row>
    <row r="4095" spans="1:2">
      <c r="A4095">
        <v>150</v>
      </c>
      <c r="B4095" t="s">
        <v>44</v>
      </c>
    </row>
    <row r="4096" spans="1:2">
      <c r="A4096">
        <v>149</v>
      </c>
      <c r="B4096" t="s">
        <v>27</v>
      </c>
    </row>
    <row r="4097" spans="1:2">
      <c r="A4097">
        <v>149</v>
      </c>
      <c r="B4097" s="2">
        <v>9.3880000000000005E-2</v>
      </c>
    </row>
    <row r="4098" spans="1:2">
      <c r="A4098">
        <v>149</v>
      </c>
      <c r="B4098" t="s">
        <v>1</v>
      </c>
    </row>
    <row r="4099" spans="1:2">
      <c r="A4099">
        <v>149</v>
      </c>
      <c r="B4099">
        <v>-0.36699999999999999</v>
      </c>
    </row>
    <row r="4100" spans="1:2">
      <c r="A4100">
        <v>149</v>
      </c>
      <c r="B4100" t="s">
        <v>28</v>
      </c>
    </row>
    <row r="4101" spans="1:2">
      <c r="A4101">
        <v>149</v>
      </c>
      <c r="B4101">
        <v>459</v>
      </c>
    </row>
    <row r="4102" spans="1:2">
      <c r="A4102">
        <v>149</v>
      </c>
      <c r="B4102" t="s">
        <v>25</v>
      </c>
    </row>
    <row r="4103" spans="1:2">
      <c r="A4103">
        <v>149</v>
      </c>
      <c r="B4103" s="2">
        <v>4.1099999999999998E-2</v>
      </c>
    </row>
    <row r="4104" spans="1:2">
      <c r="A4104">
        <v>149</v>
      </c>
      <c r="B4104" t="s">
        <v>29</v>
      </c>
    </row>
    <row r="4105" spans="1:2">
      <c r="A4105">
        <v>149</v>
      </c>
      <c r="B4105" s="2">
        <v>-7.9299999999999995E-2</v>
      </c>
    </row>
    <row r="4106" spans="1:2">
      <c r="A4106">
        <v>149</v>
      </c>
      <c r="B4106" t="s">
        <v>30</v>
      </c>
    </row>
    <row r="4107" spans="1:2">
      <c r="A4107">
        <v>149</v>
      </c>
      <c r="B4107" s="2">
        <v>-0.46013999999999999</v>
      </c>
    </row>
    <row r="4108" spans="1:2">
      <c r="A4108">
        <v>149</v>
      </c>
      <c r="B4108" t="s">
        <v>8</v>
      </c>
    </row>
    <row r="4109" spans="1:2">
      <c r="A4109">
        <v>149</v>
      </c>
      <c r="B4109" s="2">
        <v>0.59299999999999997</v>
      </c>
    </row>
    <row r="4110" spans="1:2">
      <c r="A4110">
        <v>149</v>
      </c>
      <c r="B4110" t="s">
        <v>31</v>
      </c>
    </row>
    <row r="4111" spans="1:2">
      <c r="A4111">
        <v>149</v>
      </c>
      <c r="B4111">
        <v>-0.29099999999999998</v>
      </c>
    </row>
    <row r="4112" spans="1:2">
      <c r="A4112">
        <v>149</v>
      </c>
      <c r="B4112" t="s">
        <v>32</v>
      </c>
    </row>
    <row r="4113" spans="1:2">
      <c r="A4113">
        <v>149</v>
      </c>
      <c r="B4113" s="2">
        <v>-0.32754</v>
      </c>
    </row>
    <row r="4114" spans="1:2">
      <c r="A4114">
        <v>149</v>
      </c>
      <c r="B4114" t="s">
        <v>33</v>
      </c>
    </row>
    <row r="4115" spans="1:2">
      <c r="A4115">
        <v>149</v>
      </c>
      <c r="B4115" s="3">
        <v>0.53</v>
      </c>
    </row>
    <row r="4116" spans="1:2">
      <c r="A4116">
        <v>149</v>
      </c>
      <c r="B4116" t="s">
        <v>34</v>
      </c>
    </row>
    <row r="4117" spans="1:2">
      <c r="A4117">
        <v>149</v>
      </c>
      <c r="B4117" s="3">
        <v>0.47</v>
      </c>
    </row>
    <row r="4118" spans="1:2">
      <c r="A4118">
        <v>149</v>
      </c>
      <c r="B4118" t="s">
        <v>26</v>
      </c>
    </row>
    <row r="4119" spans="1:2">
      <c r="A4119">
        <v>149</v>
      </c>
      <c r="B4119">
        <v>0.52</v>
      </c>
    </row>
    <row r="4120" spans="1:2">
      <c r="A4120">
        <v>149</v>
      </c>
      <c r="B4120" t="s">
        <v>23</v>
      </c>
    </row>
    <row r="4121" spans="1:2">
      <c r="A4121">
        <v>149</v>
      </c>
      <c r="B4121">
        <v>-0.36</v>
      </c>
    </row>
    <row r="4122" spans="1:2">
      <c r="A4122">
        <v>149</v>
      </c>
      <c r="B4122" t="s">
        <v>24</v>
      </c>
    </row>
    <row r="4123" spans="1:2">
      <c r="A4123">
        <v>149</v>
      </c>
      <c r="B4123">
        <v>2.1549999999999998</v>
      </c>
    </row>
    <row r="4124" spans="1:2">
      <c r="A4124">
        <v>149</v>
      </c>
      <c r="B4124" t="s">
        <v>35</v>
      </c>
    </row>
    <row r="4125" spans="1:2">
      <c r="A4125">
        <v>149</v>
      </c>
      <c r="B4125">
        <v>0.60599999999999998</v>
      </c>
    </row>
    <row r="4126" spans="1:2">
      <c r="A4126">
        <v>149</v>
      </c>
      <c r="B4126" t="s">
        <v>36</v>
      </c>
    </row>
    <row r="4127" spans="1:2">
      <c r="A4127">
        <v>149</v>
      </c>
      <c r="B4127">
        <v>0.36699999999999999</v>
      </c>
    </row>
    <row r="4128" spans="1:2">
      <c r="A4128">
        <v>149</v>
      </c>
      <c r="B4128" t="s">
        <v>37</v>
      </c>
    </row>
    <row r="4129" spans="1:2">
      <c r="A4129">
        <v>149</v>
      </c>
      <c r="B4129">
        <v>-0.48199999999999998</v>
      </c>
    </row>
    <row r="4130" spans="1:2">
      <c r="A4130">
        <v>149</v>
      </c>
      <c r="B4130" t="s">
        <v>38</v>
      </c>
    </row>
    <row r="4131" spans="1:2">
      <c r="A4131">
        <v>149</v>
      </c>
      <c r="B4131">
        <v>0.59299999999999997</v>
      </c>
    </row>
    <row r="4132" spans="1:2">
      <c r="A4132">
        <v>149</v>
      </c>
      <c r="B4132" t="s">
        <v>39</v>
      </c>
    </row>
    <row r="4133" spans="1:2">
      <c r="A4133">
        <v>149</v>
      </c>
      <c r="B4133">
        <v>-0.10299999999999999</v>
      </c>
    </row>
    <row r="4134" spans="1:2">
      <c r="A4134">
        <v>149</v>
      </c>
      <c r="B4134" t="s">
        <v>40</v>
      </c>
    </row>
    <row r="4135" spans="1:2">
      <c r="A4135">
        <v>149</v>
      </c>
      <c r="B4135" s="4">
        <v>0</v>
      </c>
    </row>
    <row r="4136" spans="1:2">
      <c r="A4136">
        <v>149</v>
      </c>
      <c r="B4136" t="s">
        <v>41</v>
      </c>
    </row>
    <row r="4137" spans="1:2">
      <c r="A4137">
        <v>149</v>
      </c>
      <c r="B4137" s="4">
        <v>19000000</v>
      </c>
    </row>
    <row r="4138" spans="1:2">
      <c r="A4138">
        <v>149</v>
      </c>
      <c r="B4138" t="s">
        <v>42</v>
      </c>
    </row>
    <row r="4139" spans="1:2">
      <c r="A4139">
        <v>149</v>
      </c>
      <c r="B4139" t="s">
        <v>44</v>
      </c>
    </row>
    <row r="4140" spans="1:2">
      <c r="A4140">
        <v>148</v>
      </c>
      <c r="B4140" t="s">
        <v>27</v>
      </c>
    </row>
    <row r="4141" spans="1:2">
      <c r="A4141">
        <v>148</v>
      </c>
      <c r="B4141" s="2">
        <v>9.3880000000000005E-2</v>
      </c>
    </row>
    <row r="4142" spans="1:2">
      <c r="A4142">
        <v>148</v>
      </c>
      <c r="B4142" t="s">
        <v>1</v>
      </c>
    </row>
    <row r="4143" spans="1:2">
      <c r="A4143">
        <v>148</v>
      </c>
      <c r="B4143">
        <v>-0.36699999999999999</v>
      </c>
    </row>
    <row r="4144" spans="1:2">
      <c r="A4144">
        <v>148</v>
      </c>
      <c r="B4144" t="s">
        <v>28</v>
      </c>
    </row>
    <row r="4145" spans="1:2">
      <c r="A4145">
        <v>148</v>
      </c>
      <c r="B4145">
        <v>459</v>
      </c>
    </row>
    <row r="4146" spans="1:2">
      <c r="A4146">
        <v>148</v>
      </c>
      <c r="B4146" t="s">
        <v>25</v>
      </c>
    </row>
    <row r="4147" spans="1:2">
      <c r="A4147">
        <v>148</v>
      </c>
      <c r="B4147" s="2">
        <v>4.1099999999999998E-2</v>
      </c>
    </row>
    <row r="4148" spans="1:2">
      <c r="A4148">
        <v>148</v>
      </c>
      <c r="B4148" t="s">
        <v>29</v>
      </c>
    </row>
    <row r="4149" spans="1:2">
      <c r="A4149">
        <v>148</v>
      </c>
      <c r="B4149" s="2">
        <v>-7.9299999999999995E-2</v>
      </c>
    </row>
    <row r="4150" spans="1:2">
      <c r="A4150">
        <v>148</v>
      </c>
      <c r="B4150" t="s">
        <v>30</v>
      </c>
    </row>
    <row r="4151" spans="1:2">
      <c r="A4151">
        <v>148</v>
      </c>
      <c r="B4151" s="2">
        <v>-0.46013999999999999</v>
      </c>
    </row>
    <row r="4152" spans="1:2">
      <c r="A4152">
        <v>148</v>
      </c>
      <c r="B4152" t="s">
        <v>8</v>
      </c>
    </row>
    <row r="4153" spans="1:2">
      <c r="A4153">
        <v>148</v>
      </c>
      <c r="B4153" s="2">
        <v>0.59299999999999997</v>
      </c>
    </row>
    <row r="4154" spans="1:2">
      <c r="A4154">
        <v>148</v>
      </c>
      <c r="B4154" t="s">
        <v>31</v>
      </c>
    </row>
    <row r="4155" spans="1:2">
      <c r="A4155">
        <v>148</v>
      </c>
      <c r="B4155">
        <v>-0.29099999999999998</v>
      </c>
    </row>
    <row r="4156" spans="1:2">
      <c r="A4156">
        <v>148</v>
      </c>
      <c r="B4156" t="s">
        <v>32</v>
      </c>
    </row>
    <row r="4157" spans="1:2">
      <c r="A4157">
        <v>148</v>
      </c>
      <c r="B4157" s="2">
        <v>-0.32754</v>
      </c>
    </row>
    <row r="4158" spans="1:2">
      <c r="A4158">
        <v>148</v>
      </c>
      <c r="B4158" t="s">
        <v>33</v>
      </c>
    </row>
    <row r="4159" spans="1:2">
      <c r="A4159">
        <v>148</v>
      </c>
      <c r="B4159" s="3">
        <v>0.53</v>
      </c>
    </row>
    <row r="4160" spans="1:2">
      <c r="A4160">
        <v>148</v>
      </c>
      <c r="B4160" t="s">
        <v>34</v>
      </c>
    </row>
    <row r="4161" spans="1:2">
      <c r="A4161">
        <v>148</v>
      </c>
      <c r="B4161" s="3">
        <v>0.47</v>
      </c>
    </row>
    <row r="4162" spans="1:2">
      <c r="A4162">
        <v>148</v>
      </c>
      <c r="B4162" t="s">
        <v>26</v>
      </c>
    </row>
    <row r="4163" spans="1:2">
      <c r="A4163">
        <v>148</v>
      </c>
      <c r="B4163">
        <v>0.52</v>
      </c>
    </row>
    <row r="4164" spans="1:2">
      <c r="A4164">
        <v>148</v>
      </c>
      <c r="B4164" t="s">
        <v>23</v>
      </c>
    </row>
    <row r="4165" spans="1:2">
      <c r="A4165">
        <v>148</v>
      </c>
      <c r="B4165">
        <v>-0.36</v>
      </c>
    </row>
    <row r="4166" spans="1:2">
      <c r="A4166">
        <v>148</v>
      </c>
      <c r="B4166" t="s">
        <v>24</v>
      </c>
    </row>
    <row r="4167" spans="1:2">
      <c r="A4167">
        <v>148</v>
      </c>
      <c r="B4167">
        <v>2.1549999999999998</v>
      </c>
    </row>
    <row r="4168" spans="1:2">
      <c r="A4168">
        <v>148</v>
      </c>
      <c r="B4168" t="s">
        <v>35</v>
      </c>
    </row>
    <row r="4169" spans="1:2">
      <c r="A4169">
        <v>148</v>
      </c>
      <c r="B4169">
        <v>0.60599999999999998</v>
      </c>
    </row>
    <row r="4170" spans="1:2">
      <c r="A4170">
        <v>148</v>
      </c>
      <c r="B4170" t="s">
        <v>36</v>
      </c>
    </row>
    <row r="4171" spans="1:2">
      <c r="A4171">
        <v>148</v>
      </c>
      <c r="B4171">
        <v>0.36699999999999999</v>
      </c>
    </row>
    <row r="4172" spans="1:2">
      <c r="A4172">
        <v>148</v>
      </c>
      <c r="B4172" t="s">
        <v>37</v>
      </c>
    </row>
    <row r="4173" spans="1:2">
      <c r="A4173">
        <v>148</v>
      </c>
      <c r="B4173">
        <v>-0.48199999999999998</v>
      </c>
    </row>
    <row r="4174" spans="1:2">
      <c r="A4174">
        <v>148</v>
      </c>
      <c r="B4174" t="s">
        <v>38</v>
      </c>
    </row>
    <row r="4175" spans="1:2">
      <c r="A4175">
        <v>148</v>
      </c>
      <c r="B4175">
        <v>0.59299999999999997</v>
      </c>
    </row>
    <row r="4176" spans="1:2">
      <c r="A4176">
        <v>148</v>
      </c>
      <c r="B4176" t="s">
        <v>39</v>
      </c>
    </row>
    <row r="4177" spans="1:2">
      <c r="A4177">
        <v>148</v>
      </c>
      <c r="B4177">
        <v>-0.10299999999999999</v>
      </c>
    </row>
    <row r="4178" spans="1:2">
      <c r="A4178">
        <v>148</v>
      </c>
      <c r="B4178" t="s">
        <v>40</v>
      </c>
    </row>
    <row r="4179" spans="1:2">
      <c r="A4179">
        <v>148</v>
      </c>
      <c r="B4179" s="4">
        <v>0</v>
      </c>
    </row>
    <row r="4180" spans="1:2">
      <c r="A4180">
        <v>148</v>
      </c>
      <c r="B4180" t="s">
        <v>41</v>
      </c>
    </row>
    <row r="4181" spans="1:2">
      <c r="A4181">
        <v>148</v>
      </c>
      <c r="B4181" s="4">
        <v>19000000</v>
      </c>
    </row>
    <row r="4182" spans="1:2">
      <c r="A4182">
        <v>148</v>
      </c>
      <c r="B4182" t="s">
        <v>42</v>
      </c>
    </row>
    <row r="4183" spans="1:2">
      <c r="A4183">
        <v>148</v>
      </c>
      <c r="B4183" t="s">
        <v>44</v>
      </c>
    </row>
    <row r="4184" spans="1:2">
      <c r="A4184">
        <v>147</v>
      </c>
      <c r="B4184" t="s">
        <v>27</v>
      </c>
    </row>
    <row r="4185" spans="1:2">
      <c r="A4185">
        <v>147</v>
      </c>
      <c r="B4185" s="2">
        <v>9.3880000000000005E-2</v>
      </c>
    </row>
    <row r="4186" spans="1:2">
      <c r="A4186">
        <v>147</v>
      </c>
      <c r="B4186" t="s">
        <v>1</v>
      </c>
    </row>
    <row r="4187" spans="1:2">
      <c r="A4187">
        <v>147</v>
      </c>
      <c r="B4187">
        <v>-0.36699999999999999</v>
      </c>
    </row>
    <row r="4188" spans="1:2">
      <c r="A4188">
        <v>147</v>
      </c>
      <c r="B4188" t="s">
        <v>28</v>
      </c>
    </row>
    <row r="4189" spans="1:2">
      <c r="A4189">
        <v>147</v>
      </c>
      <c r="B4189">
        <v>459</v>
      </c>
    </row>
    <row r="4190" spans="1:2">
      <c r="A4190">
        <v>147</v>
      </c>
      <c r="B4190" t="s">
        <v>25</v>
      </c>
    </row>
    <row r="4191" spans="1:2">
      <c r="A4191">
        <v>147</v>
      </c>
      <c r="B4191" s="2">
        <v>4.1099999999999998E-2</v>
      </c>
    </row>
    <row r="4192" spans="1:2">
      <c r="A4192">
        <v>147</v>
      </c>
      <c r="B4192" t="s">
        <v>29</v>
      </c>
    </row>
    <row r="4193" spans="1:2">
      <c r="A4193">
        <v>147</v>
      </c>
      <c r="B4193" s="2">
        <v>-7.9299999999999995E-2</v>
      </c>
    </row>
    <row r="4194" spans="1:2">
      <c r="A4194">
        <v>147</v>
      </c>
      <c r="B4194" t="s">
        <v>30</v>
      </c>
    </row>
    <row r="4195" spans="1:2">
      <c r="A4195">
        <v>147</v>
      </c>
      <c r="B4195" s="2">
        <v>-0.46013999999999999</v>
      </c>
    </row>
    <row r="4196" spans="1:2">
      <c r="A4196">
        <v>147</v>
      </c>
      <c r="B4196" t="s">
        <v>8</v>
      </c>
    </row>
    <row r="4197" spans="1:2">
      <c r="A4197">
        <v>147</v>
      </c>
      <c r="B4197" s="2">
        <v>0.59299999999999997</v>
      </c>
    </row>
    <row r="4198" spans="1:2">
      <c r="A4198">
        <v>147</v>
      </c>
      <c r="B4198" t="s">
        <v>31</v>
      </c>
    </row>
    <row r="4199" spans="1:2">
      <c r="A4199">
        <v>147</v>
      </c>
      <c r="B4199">
        <v>-0.29099999999999998</v>
      </c>
    </row>
    <row r="4200" spans="1:2">
      <c r="A4200">
        <v>147</v>
      </c>
      <c r="B4200" t="s">
        <v>32</v>
      </c>
    </row>
    <row r="4201" spans="1:2">
      <c r="A4201">
        <v>147</v>
      </c>
      <c r="B4201" s="2">
        <v>-0.32754</v>
      </c>
    </row>
    <row r="4202" spans="1:2">
      <c r="A4202">
        <v>147</v>
      </c>
      <c r="B4202" t="s">
        <v>33</v>
      </c>
    </row>
    <row r="4203" spans="1:2">
      <c r="A4203">
        <v>147</v>
      </c>
      <c r="B4203" s="3">
        <v>0.53</v>
      </c>
    </row>
    <row r="4204" spans="1:2">
      <c r="A4204">
        <v>147</v>
      </c>
      <c r="B4204" t="s">
        <v>34</v>
      </c>
    </row>
    <row r="4205" spans="1:2">
      <c r="A4205">
        <v>147</v>
      </c>
      <c r="B4205" s="3">
        <v>0.47</v>
      </c>
    </row>
    <row r="4206" spans="1:2">
      <c r="A4206">
        <v>147</v>
      </c>
      <c r="B4206" t="s">
        <v>26</v>
      </c>
    </row>
    <row r="4207" spans="1:2">
      <c r="A4207">
        <v>147</v>
      </c>
      <c r="B4207">
        <v>0.52</v>
      </c>
    </row>
    <row r="4208" spans="1:2">
      <c r="A4208">
        <v>147</v>
      </c>
      <c r="B4208" t="s">
        <v>23</v>
      </c>
    </row>
    <row r="4209" spans="1:2">
      <c r="A4209">
        <v>147</v>
      </c>
      <c r="B4209">
        <v>-0.36</v>
      </c>
    </row>
    <row r="4210" spans="1:2">
      <c r="A4210">
        <v>147</v>
      </c>
      <c r="B4210" t="s">
        <v>24</v>
      </c>
    </row>
    <row r="4211" spans="1:2">
      <c r="A4211">
        <v>147</v>
      </c>
      <c r="B4211">
        <v>2.1549999999999998</v>
      </c>
    </row>
    <row r="4212" spans="1:2">
      <c r="A4212">
        <v>147</v>
      </c>
      <c r="B4212" t="s">
        <v>35</v>
      </c>
    </row>
    <row r="4213" spans="1:2">
      <c r="A4213">
        <v>147</v>
      </c>
      <c r="B4213">
        <v>0.60599999999999998</v>
      </c>
    </row>
    <row r="4214" spans="1:2">
      <c r="A4214">
        <v>147</v>
      </c>
      <c r="B4214" t="s">
        <v>36</v>
      </c>
    </row>
    <row r="4215" spans="1:2">
      <c r="A4215">
        <v>147</v>
      </c>
      <c r="B4215">
        <v>0.36699999999999999</v>
      </c>
    </row>
    <row r="4216" spans="1:2">
      <c r="A4216">
        <v>147</v>
      </c>
      <c r="B4216" t="s">
        <v>37</v>
      </c>
    </row>
    <row r="4217" spans="1:2">
      <c r="A4217">
        <v>147</v>
      </c>
      <c r="B4217">
        <v>-0.48199999999999998</v>
      </c>
    </row>
    <row r="4218" spans="1:2">
      <c r="A4218">
        <v>147</v>
      </c>
      <c r="B4218" t="s">
        <v>38</v>
      </c>
    </row>
    <row r="4219" spans="1:2">
      <c r="A4219">
        <v>147</v>
      </c>
      <c r="B4219">
        <v>0.59299999999999997</v>
      </c>
    </row>
    <row r="4220" spans="1:2">
      <c r="A4220">
        <v>147</v>
      </c>
      <c r="B4220" t="s">
        <v>39</v>
      </c>
    </row>
    <row r="4221" spans="1:2">
      <c r="A4221">
        <v>147</v>
      </c>
      <c r="B4221">
        <v>-0.10299999999999999</v>
      </c>
    </row>
    <row r="4222" spans="1:2">
      <c r="A4222">
        <v>147</v>
      </c>
      <c r="B4222" t="s">
        <v>40</v>
      </c>
    </row>
    <row r="4223" spans="1:2">
      <c r="A4223">
        <v>147</v>
      </c>
      <c r="B4223" s="4">
        <v>0</v>
      </c>
    </row>
    <row r="4224" spans="1:2">
      <c r="A4224">
        <v>147</v>
      </c>
      <c r="B4224" t="s">
        <v>41</v>
      </c>
    </row>
    <row r="4225" spans="1:2">
      <c r="A4225">
        <v>147</v>
      </c>
      <c r="B4225" s="4">
        <v>19000000</v>
      </c>
    </row>
    <row r="4226" spans="1:2">
      <c r="A4226">
        <v>147</v>
      </c>
      <c r="B4226" t="s">
        <v>42</v>
      </c>
    </row>
    <row r="4227" spans="1:2">
      <c r="A4227">
        <v>147</v>
      </c>
      <c r="B4227" t="s">
        <v>44</v>
      </c>
    </row>
    <row r="4228" spans="1:2">
      <c r="A4228">
        <v>146</v>
      </c>
      <c r="B4228" t="s">
        <v>27</v>
      </c>
    </row>
    <row r="4229" spans="1:2">
      <c r="A4229">
        <v>146</v>
      </c>
      <c r="B4229" s="2">
        <v>9.3880000000000005E-2</v>
      </c>
    </row>
    <row r="4230" spans="1:2">
      <c r="A4230">
        <v>146</v>
      </c>
      <c r="B4230" t="s">
        <v>1</v>
      </c>
    </row>
    <row r="4231" spans="1:2">
      <c r="A4231">
        <v>146</v>
      </c>
      <c r="B4231">
        <v>-0.36699999999999999</v>
      </c>
    </row>
    <row r="4232" spans="1:2">
      <c r="A4232">
        <v>146</v>
      </c>
      <c r="B4232" t="s">
        <v>28</v>
      </c>
    </row>
    <row r="4233" spans="1:2">
      <c r="A4233">
        <v>146</v>
      </c>
      <c r="B4233">
        <v>459</v>
      </c>
    </row>
    <row r="4234" spans="1:2">
      <c r="A4234">
        <v>146</v>
      </c>
      <c r="B4234" t="s">
        <v>25</v>
      </c>
    </row>
    <row r="4235" spans="1:2">
      <c r="A4235">
        <v>146</v>
      </c>
      <c r="B4235" s="2">
        <v>4.1099999999999998E-2</v>
      </c>
    </row>
    <row r="4236" spans="1:2">
      <c r="A4236">
        <v>146</v>
      </c>
      <c r="B4236" t="s">
        <v>29</v>
      </c>
    </row>
    <row r="4237" spans="1:2">
      <c r="A4237">
        <v>146</v>
      </c>
      <c r="B4237" s="2">
        <v>-7.9299999999999995E-2</v>
      </c>
    </row>
    <row r="4238" spans="1:2">
      <c r="A4238">
        <v>146</v>
      </c>
      <c r="B4238" t="s">
        <v>30</v>
      </c>
    </row>
    <row r="4239" spans="1:2">
      <c r="A4239">
        <v>146</v>
      </c>
      <c r="B4239" s="2">
        <v>-0.46013999999999999</v>
      </c>
    </row>
    <row r="4240" spans="1:2">
      <c r="A4240">
        <v>146</v>
      </c>
      <c r="B4240" t="s">
        <v>8</v>
      </c>
    </row>
    <row r="4241" spans="1:2">
      <c r="A4241">
        <v>146</v>
      </c>
      <c r="B4241" s="2">
        <v>0.59299999999999997</v>
      </c>
    </row>
    <row r="4242" spans="1:2">
      <c r="A4242">
        <v>146</v>
      </c>
      <c r="B4242" t="s">
        <v>31</v>
      </c>
    </row>
    <row r="4243" spans="1:2">
      <c r="A4243">
        <v>146</v>
      </c>
      <c r="B4243">
        <v>-0.29099999999999998</v>
      </c>
    </row>
    <row r="4244" spans="1:2">
      <c r="A4244">
        <v>146</v>
      </c>
      <c r="B4244" t="s">
        <v>32</v>
      </c>
    </row>
    <row r="4245" spans="1:2">
      <c r="A4245">
        <v>146</v>
      </c>
      <c r="B4245" s="2">
        <v>-0.32754</v>
      </c>
    </row>
    <row r="4246" spans="1:2">
      <c r="A4246">
        <v>146</v>
      </c>
      <c r="B4246" t="s">
        <v>33</v>
      </c>
    </row>
    <row r="4247" spans="1:2">
      <c r="A4247">
        <v>146</v>
      </c>
      <c r="B4247" s="3">
        <v>0.53</v>
      </c>
    </row>
    <row r="4248" spans="1:2">
      <c r="A4248">
        <v>146</v>
      </c>
      <c r="B4248" t="s">
        <v>34</v>
      </c>
    </row>
    <row r="4249" spans="1:2">
      <c r="A4249">
        <v>146</v>
      </c>
      <c r="B4249" s="3">
        <v>0.47</v>
      </c>
    </row>
    <row r="4250" spans="1:2">
      <c r="A4250">
        <v>146</v>
      </c>
      <c r="B4250" t="s">
        <v>26</v>
      </c>
    </row>
    <row r="4251" spans="1:2">
      <c r="A4251">
        <v>146</v>
      </c>
      <c r="B4251">
        <v>0.52</v>
      </c>
    </row>
    <row r="4252" spans="1:2">
      <c r="A4252">
        <v>146</v>
      </c>
      <c r="B4252" t="s">
        <v>23</v>
      </c>
    </row>
    <row r="4253" spans="1:2">
      <c r="A4253">
        <v>146</v>
      </c>
      <c r="B4253">
        <v>-0.36</v>
      </c>
    </row>
    <row r="4254" spans="1:2">
      <c r="A4254">
        <v>146</v>
      </c>
      <c r="B4254" t="s">
        <v>24</v>
      </c>
    </row>
    <row r="4255" spans="1:2">
      <c r="A4255">
        <v>146</v>
      </c>
      <c r="B4255">
        <v>2.1549999999999998</v>
      </c>
    </row>
    <row r="4256" spans="1:2">
      <c r="A4256">
        <v>146</v>
      </c>
      <c r="B4256" t="s">
        <v>35</v>
      </c>
    </row>
    <row r="4257" spans="1:2">
      <c r="A4257">
        <v>146</v>
      </c>
      <c r="B4257">
        <v>0.60599999999999998</v>
      </c>
    </row>
    <row r="4258" spans="1:2">
      <c r="A4258">
        <v>146</v>
      </c>
      <c r="B4258" t="s">
        <v>36</v>
      </c>
    </row>
    <row r="4259" spans="1:2">
      <c r="A4259">
        <v>146</v>
      </c>
      <c r="B4259">
        <v>0.36699999999999999</v>
      </c>
    </row>
    <row r="4260" spans="1:2">
      <c r="A4260">
        <v>146</v>
      </c>
      <c r="B4260" t="s">
        <v>37</v>
      </c>
    </row>
    <row r="4261" spans="1:2">
      <c r="A4261">
        <v>146</v>
      </c>
      <c r="B4261">
        <v>-0.48199999999999998</v>
      </c>
    </row>
    <row r="4262" spans="1:2">
      <c r="A4262">
        <v>146</v>
      </c>
      <c r="B4262" t="s">
        <v>38</v>
      </c>
    </row>
    <row r="4263" spans="1:2">
      <c r="A4263">
        <v>146</v>
      </c>
      <c r="B4263">
        <v>0.59299999999999997</v>
      </c>
    </row>
    <row r="4264" spans="1:2">
      <c r="A4264">
        <v>146</v>
      </c>
      <c r="B4264" t="s">
        <v>39</v>
      </c>
    </row>
    <row r="4265" spans="1:2">
      <c r="A4265">
        <v>146</v>
      </c>
      <c r="B4265">
        <v>-0.10299999999999999</v>
      </c>
    </row>
    <row r="4266" spans="1:2">
      <c r="A4266">
        <v>146</v>
      </c>
      <c r="B4266" t="s">
        <v>40</v>
      </c>
    </row>
    <row r="4267" spans="1:2">
      <c r="A4267">
        <v>146</v>
      </c>
      <c r="B4267" s="4">
        <v>0</v>
      </c>
    </row>
    <row r="4268" spans="1:2">
      <c r="A4268">
        <v>146</v>
      </c>
      <c r="B4268" t="s">
        <v>41</v>
      </c>
    </row>
    <row r="4269" spans="1:2">
      <c r="A4269">
        <v>146</v>
      </c>
      <c r="B4269" s="4">
        <v>19000000</v>
      </c>
    </row>
    <row r="4270" spans="1:2">
      <c r="A4270">
        <v>146</v>
      </c>
      <c r="B4270" t="s">
        <v>42</v>
      </c>
    </row>
    <row r="4271" spans="1:2">
      <c r="A4271">
        <v>146</v>
      </c>
      <c r="B4271" t="s">
        <v>44</v>
      </c>
    </row>
    <row r="4272" spans="1:2">
      <c r="A4272">
        <v>145</v>
      </c>
      <c r="B4272" t="s">
        <v>27</v>
      </c>
    </row>
    <row r="4273" spans="1:2">
      <c r="A4273">
        <v>145</v>
      </c>
      <c r="B4273" s="2">
        <v>9.3880000000000005E-2</v>
      </c>
    </row>
    <row r="4274" spans="1:2">
      <c r="A4274">
        <v>145</v>
      </c>
      <c r="B4274" t="s">
        <v>1</v>
      </c>
    </row>
    <row r="4275" spans="1:2">
      <c r="A4275">
        <v>145</v>
      </c>
      <c r="B4275">
        <v>-0.36699999999999999</v>
      </c>
    </row>
    <row r="4276" spans="1:2">
      <c r="A4276">
        <v>145</v>
      </c>
      <c r="B4276" t="s">
        <v>28</v>
      </c>
    </row>
    <row r="4277" spans="1:2">
      <c r="A4277">
        <v>145</v>
      </c>
      <c r="B4277">
        <v>459</v>
      </c>
    </row>
    <row r="4278" spans="1:2">
      <c r="A4278">
        <v>145</v>
      </c>
      <c r="B4278" t="s">
        <v>25</v>
      </c>
    </row>
    <row r="4279" spans="1:2">
      <c r="A4279">
        <v>145</v>
      </c>
      <c r="B4279" s="2">
        <v>4.1099999999999998E-2</v>
      </c>
    </row>
    <row r="4280" spans="1:2">
      <c r="A4280">
        <v>145</v>
      </c>
      <c r="B4280" t="s">
        <v>29</v>
      </c>
    </row>
    <row r="4281" spans="1:2">
      <c r="A4281">
        <v>145</v>
      </c>
      <c r="B4281" s="2">
        <v>-7.9299999999999995E-2</v>
      </c>
    </row>
    <row r="4282" spans="1:2">
      <c r="A4282">
        <v>145</v>
      </c>
      <c r="B4282" t="s">
        <v>30</v>
      </c>
    </row>
    <row r="4283" spans="1:2">
      <c r="A4283">
        <v>145</v>
      </c>
      <c r="B4283" s="2">
        <v>-0.46013999999999999</v>
      </c>
    </row>
    <row r="4284" spans="1:2">
      <c r="A4284">
        <v>145</v>
      </c>
      <c r="B4284" t="s">
        <v>8</v>
      </c>
    </row>
    <row r="4285" spans="1:2">
      <c r="A4285">
        <v>145</v>
      </c>
      <c r="B4285" s="2">
        <v>0.59299999999999997</v>
      </c>
    </row>
    <row r="4286" spans="1:2">
      <c r="A4286">
        <v>145</v>
      </c>
      <c r="B4286" t="s">
        <v>31</v>
      </c>
    </row>
    <row r="4287" spans="1:2">
      <c r="A4287">
        <v>145</v>
      </c>
      <c r="B4287">
        <v>-0.29099999999999998</v>
      </c>
    </row>
    <row r="4288" spans="1:2">
      <c r="A4288">
        <v>145</v>
      </c>
      <c r="B4288" t="s">
        <v>32</v>
      </c>
    </row>
    <row r="4289" spans="1:2">
      <c r="A4289">
        <v>145</v>
      </c>
      <c r="B4289" s="2">
        <v>-0.32754</v>
      </c>
    </row>
    <row r="4290" spans="1:2">
      <c r="A4290">
        <v>145</v>
      </c>
      <c r="B4290" t="s">
        <v>33</v>
      </c>
    </row>
    <row r="4291" spans="1:2">
      <c r="A4291">
        <v>145</v>
      </c>
      <c r="B4291" s="3">
        <v>0.53</v>
      </c>
    </row>
    <row r="4292" spans="1:2">
      <c r="A4292">
        <v>145</v>
      </c>
      <c r="B4292" t="s">
        <v>34</v>
      </c>
    </row>
    <row r="4293" spans="1:2">
      <c r="A4293">
        <v>145</v>
      </c>
      <c r="B4293" s="3">
        <v>0.47</v>
      </c>
    </row>
    <row r="4294" spans="1:2">
      <c r="A4294">
        <v>145</v>
      </c>
      <c r="B4294" t="s">
        <v>26</v>
      </c>
    </row>
    <row r="4295" spans="1:2">
      <c r="A4295">
        <v>145</v>
      </c>
      <c r="B4295">
        <v>0.52</v>
      </c>
    </row>
    <row r="4296" spans="1:2">
      <c r="A4296">
        <v>145</v>
      </c>
      <c r="B4296" t="s">
        <v>23</v>
      </c>
    </row>
    <row r="4297" spans="1:2">
      <c r="A4297">
        <v>145</v>
      </c>
      <c r="B4297">
        <v>-0.36</v>
      </c>
    </row>
    <row r="4298" spans="1:2">
      <c r="A4298">
        <v>145</v>
      </c>
      <c r="B4298" t="s">
        <v>24</v>
      </c>
    </row>
    <row r="4299" spans="1:2">
      <c r="A4299">
        <v>145</v>
      </c>
      <c r="B4299">
        <v>2.1549999999999998</v>
      </c>
    </row>
    <row r="4300" spans="1:2">
      <c r="A4300">
        <v>145</v>
      </c>
      <c r="B4300" t="s">
        <v>35</v>
      </c>
    </row>
    <row r="4301" spans="1:2">
      <c r="A4301">
        <v>145</v>
      </c>
      <c r="B4301">
        <v>0.60599999999999998</v>
      </c>
    </row>
    <row r="4302" spans="1:2">
      <c r="A4302">
        <v>145</v>
      </c>
      <c r="B4302" t="s">
        <v>36</v>
      </c>
    </row>
    <row r="4303" spans="1:2">
      <c r="A4303">
        <v>145</v>
      </c>
      <c r="B4303">
        <v>0.36699999999999999</v>
      </c>
    </row>
    <row r="4304" spans="1:2">
      <c r="A4304">
        <v>145</v>
      </c>
      <c r="B4304" t="s">
        <v>37</v>
      </c>
    </row>
    <row r="4305" spans="1:2">
      <c r="A4305">
        <v>145</v>
      </c>
      <c r="B4305">
        <v>-0.48199999999999998</v>
      </c>
    </row>
    <row r="4306" spans="1:2">
      <c r="A4306">
        <v>145</v>
      </c>
      <c r="B4306" t="s">
        <v>38</v>
      </c>
    </row>
    <row r="4307" spans="1:2">
      <c r="A4307">
        <v>145</v>
      </c>
      <c r="B4307">
        <v>0.59299999999999997</v>
      </c>
    </row>
    <row r="4308" spans="1:2">
      <c r="A4308">
        <v>145</v>
      </c>
      <c r="B4308" t="s">
        <v>39</v>
      </c>
    </row>
    <row r="4309" spans="1:2">
      <c r="A4309">
        <v>145</v>
      </c>
      <c r="B4309">
        <v>-0.10299999999999999</v>
      </c>
    </row>
    <row r="4310" spans="1:2">
      <c r="A4310">
        <v>145</v>
      </c>
      <c r="B4310" t="s">
        <v>40</v>
      </c>
    </row>
    <row r="4311" spans="1:2">
      <c r="A4311">
        <v>145</v>
      </c>
      <c r="B4311" s="4">
        <v>0</v>
      </c>
    </row>
    <row r="4312" spans="1:2">
      <c r="A4312">
        <v>145</v>
      </c>
      <c r="B4312" t="s">
        <v>41</v>
      </c>
    </row>
    <row r="4313" spans="1:2">
      <c r="A4313">
        <v>145</v>
      </c>
      <c r="B4313" s="4">
        <v>19000000</v>
      </c>
    </row>
    <row r="4314" spans="1:2">
      <c r="A4314">
        <v>145</v>
      </c>
      <c r="B4314" t="s">
        <v>42</v>
      </c>
    </row>
    <row r="4315" spans="1:2">
      <c r="A4315">
        <v>145</v>
      </c>
      <c r="B4315" t="s">
        <v>44</v>
      </c>
    </row>
    <row r="4316" spans="1:2">
      <c r="A4316">
        <v>135</v>
      </c>
      <c r="B4316" t="s">
        <v>27</v>
      </c>
    </row>
    <row r="4317" spans="1:2">
      <c r="A4317">
        <v>135</v>
      </c>
      <c r="B4317" s="2">
        <v>9.3880000000000005E-2</v>
      </c>
    </row>
    <row r="4318" spans="1:2">
      <c r="A4318">
        <v>135</v>
      </c>
      <c r="B4318" t="s">
        <v>1</v>
      </c>
    </row>
    <row r="4319" spans="1:2">
      <c r="A4319">
        <v>135</v>
      </c>
      <c r="B4319">
        <v>-0.36699999999999999</v>
      </c>
    </row>
    <row r="4320" spans="1:2">
      <c r="A4320">
        <v>135</v>
      </c>
      <c r="B4320" t="s">
        <v>28</v>
      </c>
    </row>
    <row r="4321" spans="1:2">
      <c r="A4321">
        <v>135</v>
      </c>
      <c r="B4321">
        <v>459</v>
      </c>
    </row>
    <row r="4322" spans="1:2">
      <c r="A4322">
        <v>135</v>
      </c>
      <c r="B4322" t="s">
        <v>25</v>
      </c>
    </row>
    <row r="4323" spans="1:2">
      <c r="A4323">
        <v>135</v>
      </c>
      <c r="B4323" s="2">
        <v>4.1099999999999998E-2</v>
      </c>
    </row>
    <row r="4324" spans="1:2">
      <c r="A4324">
        <v>135</v>
      </c>
      <c r="B4324" t="s">
        <v>29</v>
      </c>
    </row>
    <row r="4325" spans="1:2">
      <c r="A4325">
        <v>135</v>
      </c>
      <c r="B4325" s="2">
        <v>-7.9299999999999995E-2</v>
      </c>
    </row>
    <row r="4326" spans="1:2">
      <c r="A4326">
        <v>135</v>
      </c>
      <c r="B4326" t="s">
        <v>30</v>
      </c>
    </row>
    <row r="4327" spans="1:2">
      <c r="A4327">
        <v>135</v>
      </c>
      <c r="B4327" s="2">
        <v>-0.46013999999999999</v>
      </c>
    </row>
    <row r="4328" spans="1:2">
      <c r="A4328">
        <v>135</v>
      </c>
      <c r="B4328" t="s">
        <v>8</v>
      </c>
    </row>
    <row r="4329" spans="1:2">
      <c r="A4329">
        <v>135</v>
      </c>
      <c r="B4329" s="2">
        <v>0.59299999999999997</v>
      </c>
    </row>
    <row r="4330" spans="1:2">
      <c r="A4330">
        <v>135</v>
      </c>
      <c r="B4330" t="s">
        <v>31</v>
      </c>
    </row>
    <row r="4331" spans="1:2">
      <c r="A4331">
        <v>135</v>
      </c>
      <c r="B4331">
        <v>-0.29099999999999998</v>
      </c>
    </row>
    <row r="4332" spans="1:2">
      <c r="A4332">
        <v>135</v>
      </c>
      <c r="B4332" t="s">
        <v>32</v>
      </c>
    </row>
    <row r="4333" spans="1:2">
      <c r="A4333">
        <v>135</v>
      </c>
      <c r="B4333" s="2">
        <v>-0.32754</v>
      </c>
    </row>
    <row r="4334" spans="1:2">
      <c r="A4334">
        <v>135</v>
      </c>
      <c r="B4334" t="s">
        <v>33</v>
      </c>
    </row>
    <row r="4335" spans="1:2">
      <c r="A4335">
        <v>135</v>
      </c>
      <c r="B4335" s="3">
        <v>0.53</v>
      </c>
    </row>
    <row r="4336" spans="1:2">
      <c r="A4336">
        <v>135</v>
      </c>
      <c r="B4336" t="s">
        <v>34</v>
      </c>
    </row>
    <row r="4337" spans="1:2">
      <c r="A4337">
        <v>135</v>
      </c>
      <c r="B4337" s="3">
        <v>0.47</v>
      </c>
    </row>
    <row r="4338" spans="1:2">
      <c r="A4338">
        <v>135</v>
      </c>
      <c r="B4338" t="s">
        <v>26</v>
      </c>
    </row>
    <row r="4339" spans="1:2">
      <c r="A4339">
        <v>135</v>
      </c>
      <c r="B4339">
        <v>0.52</v>
      </c>
    </row>
    <row r="4340" spans="1:2">
      <c r="A4340">
        <v>135</v>
      </c>
      <c r="B4340" t="s">
        <v>23</v>
      </c>
    </row>
    <row r="4341" spans="1:2">
      <c r="A4341">
        <v>135</v>
      </c>
      <c r="B4341">
        <v>-0.36</v>
      </c>
    </row>
    <row r="4342" spans="1:2">
      <c r="A4342">
        <v>135</v>
      </c>
      <c r="B4342" t="s">
        <v>24</v>
      </c>
    </row>
    <row r="4343" spans="1:2">
      <c r="A4343">
        <v>135</v>
      </c>
      <c r="B4343">
        <v>2.1549999999999998</v>
      </c>
    </row>
    <row r="4344" spans="1:2">
      <c r="A4344">
        <v>135</v>
      </c>
      <c r="B4344" t="s">
        <v>35</v>
      </c>
    </row>
    <row r="4345" spans="1:2">
      <c r="A4345">
        <v>135</v>
      </c>
      <c r="B4345">
        <v>0.60599999999999998</v>
      </c>
    </row>
    <row r="4346" spans="1:2">
      <c r="A4346">
        <v>135</v>
      </c>
      <c r="B4346" t="s">
        <v>36</v>
      </c>
    </row>
    <row r="4347" spans="1:2">
      <c r="A4347">
        <v>135</v>
      </c>
      <c r="B4347">
        <v>0.36699999999999999</v>
      </c>
    </row>
    <row r="4348" spans="1:2">
      <c r="A4348">
        <v>135</v>
      </c>
      <c r="B4348" t="s">
        <v>37</v>
      </c>
    </row>
    <row r="4349" spans="1:2">
      <c r="A4349">
        <v>135</v>
      </c>
      <c r="B4349">
        <v>-0.48199999999999998</v>
      </c>
    </row>
    <row r="4350" spans="1:2">
      <c r="A4350">
        <v>135</v>
      </c>
      <c r="B4350" t="s">
        <v>38</v>
      </c>
    </row>
    <row r="4351" spans="1:2">
      <c r="A4351">
        <v>135</v>
      </c>
      <c r="B4351">
        <v>0.59299999999999997</v>
      </c>
    </row>
    <row r="4352" spans="1:2">
      <c r="A4352">
        <v>135</v>
      </c>
      <c r="B4352" t="s">
        <v>39</v>
      </c>
    </row>
    <row r="4353" spans="1:2">
      <c r="A4353">
        <v>135</v>
      </c>
      <c r="B4353">
        <v>-0.10299999999999999</v>
      </c>
    </row>
    <row r="4354" spans="1:2">
      <c r="A4354">
        <v>135</v>
      </c>
      <c r="B4354" t="s">
        <v>40</v>
      </c>
    </row>
    <row r="4355" spans="1:2">
      <c r="A4355">
        <v>135</v>
      </c>
      <c r="B4355" s="4">
        <v>0</v>
      </c>
    </row>
    <row r="4356" spans="1:2">
      <c r="A4356">
        <v>135</v>
      </c>
      <c r="B4356" t="s">
        <v>41</v>
      </c>
    </row>
    <row r="4357" spans="1:2">
      <c r="A4357">
        <v>135</v>
      </c>
      <c r="B4357" s="4">
        <v>19000000</v>
      </c>
    </row>
    <row r="4358" spans="1:2">
      <c r="A4358">
        <v>135</v>
      </c>
      <c r="B4358" t="s">
        <v>42</v>
      </c>
    </row>
    <row r="4359" spans="1:2">
      <c r="A4359">
        <v>135</v>
      </c>
      <c r="B4359" t="s">
        <v>44</v>
      </c>
    </row>
    <row r="4360" spans="1:2">
      <c r="A4360">
        <v>134</v>
      </c>
      <c r="B4360" t="s">
        <v>27</v>
      </c>
    </row>
    <row r="4361" spans="1:2">
      <c r="A4361">
        <v>134</v>
      </c>
      <c r="B4361" s="2">
        <v>9.3880000000000005E-2</v>
      </c>
    </row>
    <row r="4362" spans="1:2">
      <c r="A4362">
        <v>134</v>
      </c>
      <c r="B4362" t="s">
        <v>1</v>
      </c>
    </row>
    <row r="4363" spans="1:2">
      <c r="A4363">
        <v>134</v>
      </c>
      <c r="B4363">
        <v>-0.36699999999999999</v>
      </c>
    </row>
    <row r="4364" spans="1:2">
      <c r="A4364">
        <v>134</v>
      </c>
      <c r="B4364" t="s">
        <v>28</v>
      </c>
    </row>
    <row r="4365" spans="1:2">
      <c r="A4365">
        <v>134</v>
      </c>
      <c r="B4365">
        <v>459</v>
      </c>
    </row>
    <row r="4366" spans="1:2">
      <c r="A4366">
        <v>134</v>
      </c>
      <c r="B4366" t="s">
        <v>25</v>
      </c>
    </row>
    <row r="4367" spans="1:2">
      <c r="A4367">
        <v>134</v>
      </c>
      <c r="B4367" s="2">
        <v>4.1099999999999998E-2</v>
      </c>
    </row>
    <row r="4368" spans="1:2">
      <c r="A4368">
        <v>134</v>
      </c>
      <c r="B4368" t="s">
        <v>29</v>
      </c>
    </row>
    <row r="4369" spans="1:2">
      <c r="A4369">
        <v>134</v>
      </c>
      <c r="B4369" s="2">
        <v>-7.9299999999999995E-2</v>
      </c>
    </row>
    <row r="4370" spans="1:2">
      <c r="A4370">
        <v>134</v>
      </c>
      <c r="B4370" t="s">
        <v>30</v>
      </c>
    </row>
    <row r="4371" spans="1:2">
      <c r="A4371">
        <v>134</v>
      </c>
      <c r="B4371" s="2">
        <v>-0.46013999999999999</v>
      </c>
    </row>
    <row r="4372" spans="1:2">
      <c r="A4372">
        <v>134</v>
      </c>
      <c r="B4372" t="s">
        <v>8</v>
      </c>
    </row>
    <row r="4373" spans="1:2">
      <c r="A4373">
        <v>134</v>
      </c>
      <c r="B4373" s="2">
        <v>0.59299999999999997</v>
      </c>
    </row>
    <row r="4374" spans="1:2">
      <c r="A4374">
        <v>134</v>
      </c>
      <c r="B4374" t="s">
        <v>31</v>
      </c>
    </row>
    <row r="4375" spans="1:2">
      <c r="A4375">
        <v>134</v>
      </c>
      <c r="B4375">
        <v>-0.29099999999999998</v>
      </c>
    </row>
    <row r="4376" spans="1:2">
      <c r="A4376">
        <v>134</v>
      </c>
      <c r="B4376" t="s">
        <v>32</v>
      </c>
    </row>
    <row r="4377" spans="1:2">
      <c r="A4377">
        <v>134</v>
      </c>
      <c r="B4377" s="2">
        <v>-0.32754</v>
      </c>
    </row>
    <row r="4378" spans="1:2">
      <c r="A4378">
        <v>134</v>
      </c>
      <c r="B4378" t="s">
        <v>33</v>
      </c>
    </row>
    <row r="4379" spans="1:2">
      <c r="A4379">
        <v>134</v>
      </c>
      <c r="B4379" s="3">
        <v>0.53</v>
      </c>
    </row>
    <row r="4380" spans="1:2">
      <c r="A4380">
        <v>134</v>
      </c>
      <c r="B4380" t="s">
        <v>34</v>
      </c>
    </row>
    <row r="4381" spans="1:2">
      <c r="A4381">
        <v>134</v>
      </c>
      <c r="B4381" s="3">
        <v>0.47</v>
      </c>
    </row>
    <row r="4382" spans="1:2">
      <c r="A4382">
        <v>134</v>
      </c>
      <c r="B4382" t="s">
        <v>26</v>
      </c>
    </row>
    <row r="4383" spans="1:2">
      <c r="A4383">
        <v>134</v>
      </c>
      <c r="B4383">
        <v>0.52</v>
      </c>
    </row>
    <row r="4384" spans="1:2">
      <c r="A4384">
        <v>134</v>
      </c>
      <c r="B4384" t="s">
        <v>23</v>
      </c>
    </row>
    <row r="4385" spans="1:2">
      <c r="A4385">
        <v>134</v>
      </c>
      <c r="B4385">
        <v>-0.36</v>
      </c>
    </row>
    <row r="4386" spans="1:2">
      <c r="A4386">
        <v>134</v>
      </c>
      <c r="B4386" t="s">
        <v>24</v>
      </c>
    </row>
    <row r="4387" spans="1:2">
      <c r="A4387">
        <v>134</v>
      </c>
      <c r="B4387">
        <v>2.1549999999999998</v>
      </c>
    </row>
    <row r="4388" spans="1:2">
      <c r="A4388">
        <v>134</v>
      </c>
      <c r="B4388" t="s">
        <v>35</v>
      </c>
    </row>
    <row r="4389" spans="1:2">
      <c r="A4389">
        <v>134</v>
      </c>
      <c r="B4389">
        <v>0.60599999999999998</v>
      </c>
    </row>
    <row r="4390" spans="1:2">
      <c r="A4390">
        <v>134</v>
      </c>
      <c r="B4390" t="s">
        <v>36</v>
      </c>
    </row>
    <row r="4391" spans="1:2">
      <c r="A4391">
        <v>134</v>
      </c>
      <c r="B4391">
        <v>0.36699999999999999</v>
      </c>
    </row>
    <row r="4392" spans="1:2">
      <c r="A4392">
        <v>134</v>
      </c>
      <c r="B4392" t="s">
        <v>37</v>
      </c>
    </row>
    <row r="4393" spans="1:2">
      <c r="A4393">
        <v>134</v>
      </c>
      <c r="B4393">
        <v>-0.48199999999999998</v>
      </c>
    </row>
    <row r="4394" spans="1:2">
      <c r="A4394">
        <v>134</v>
      </c>
      <c r="B4394" t="s">
        <v>38</v>
      </c>
    </row>
    <row r="4395" spans="1:2">
      <c r="A4395">
        <v>134</v>
      </c>
      <c r="B4395">
        <v>0.59299999999999997</v>
      </c>
    </row>
    <row r="4396" spans="1:2">
      <c r="A4396">
        <v>134</v>
      </c>
      <c r="B4396" t="s">
        <v>39</v>
      </c>
    </row>
    <row r="4397" spans="1:2">
      <c r="A4397">
        <v>134</v>
      </c>
      <c r="B4397">
        <v>-0.10299999999999999</v>
      </c>
    </row>
    <row r="4398" spans="1:2">
      <c r="A4398">
        <v>134</v>
      </c>
      <c r="B4398" t="s">
        <v>40</v>
      </c>
    </row>
    <row r="4399" spans="1:2">
      <c r="A4399">
        <v>134</v>
      </c>
      <c r="B4399" s="4">
        <v>0</v>
      </c>
    </row>
    <row r="4400" spans="1:2">
      <c r="A4400">
        <v>134</v>
      </c>
      <c r="B4400" t="s">
        <v>41</v>
      </c>
    </row>
    <row r="4401" spans="1:2">
      <c r="A4401">
        <v>134</v>
      </c>
      <c r="B4401" s="4">
        <v>19000000</v>
      </c>
    </row>
    <row r="4402" spans="1:2">
      <c r="A4402">
        <v>134</v>
      </c>
      <c r="B4402" t="s">
        <v>42</v>
      </c>
    </row>
    <row r="4403" spans="1:2">
      <c r="A4403">
        <v>134</v>
      </c>
      <c r="B4403" t="s">
        <v>44</v>
      </c>
    </row>
    <row r="4404" spans="1:2">
      <c r="A4404">
        <v>133</v>
      </c>
      <c r="B4404" t="s">
        <v>27</v>
      </c>
    </row>
    <row r="4405" spans="1:2">
      <c r="A4405">
        <v>133</v>
      </c>
      <c r="B4405" s="2">
        <v>9.3880000000000005E-2</v>
      </c>
    </row>
    <row r="4406" spans="1:2">
      <c r="A4406">
        <v>133</v>
      </c>
      <c r="B4406" t="s">
        <v>1</v>
      </c>
    </row>
    <row r="4407" spans="1:2">
      <c r="A4407">
        <v>133</v>
      </c>
      <c r="B4407">
        <v>-0.36699999999999999</v>
      </c>
    </row>
    <row r="4408" spans="1:2">
      <c r="A4408">
        <v>133</v>
      </c>
      <c r="B4408" t="s">
        <v>28</v>
      </c>
    </row>
    <row r="4409" spans="1:2">
      <c r="A4409">
        <v>133</v>
      </c>
      <c r="B4409">
        <v>459</v>
      </c>
    </row>
    <row r="4410" spans="1:2">
      <c r="A4410">
        <v>133</v>
      </c>
      <c r="B4410" t="s">
        <v>25</v>
      </c>
    </row>
    <row r="4411" spans="1:2">
      <c r="A4411">
        <v>133</v>
      </c>
      <c r="B4411" s="2">
        <v>4.1099999999999998E-2</v>
      </c>
    </row>
    <row r="4412" spans="1:2">
      <c r="A4412">
        <v>133</v>
      </c>
      <c r="B4412" t="s">
        <v>29</v>
      </c>
    </row>
    <row r="4413" spans="1:2">
      <c r="A4413">
        <v>133</v>
      </c>
      <c r="B4413" s="2">
        <v>-7.9299999999999995E-2</v>
      </c>
    </row>
    <row r="4414" spans="1:2">
      <c r="A4414">
        <v>133</v>
      </c>
      <c r="B4414" t="s">
        <v>30</v>
      </c>
    </row>
    <row r="4415" spans="1:2">
      <c r="A4415">
        <v>133</v>
      </c>
      <c r="B4415" s="2">
        <v>-0.46013999999999999</v>
      </c>
    </row>
    <row r="4416" spans="1:2">
      <c r="A4416">
        <v>133</v>
      </c>
      <c r="B4416" t="s">
        <v>8</v>
      </c>
    </row>
    <row r="4417" spans="1:2">
      <c r="A4417">
        <v>133</v>
      </c>
      <c r="B4417" s="2">
        <v>0.59299999999999997</v>
      </c>
    </row>
    <row r="4418" spans="1:2">
      <c r="A4418">
        <v>133</v>
      </c>
      <c r="B4418" t="s">
        <v>31</v>
      </c>
    </row>
    <row r="4419" spans="1:2">
      <c r="A4419">
        <v>133</v>
      </c>
      <c r="B4419">
        <v>-0.29099999999999998</v>
      </c>
    </row>
    <row r="4420" spans="1:2">
      <c r="A4420">
        <v>133</v>
      </c>
      <c r="B4420" t="s">
        <v>32</v>
      </c>
    </row>
    <row r="4421" spans="1:2">
      <c r="A4421">
        <v>133</v>
      </c>
      <c r="B4421" s="2">
        <v>-0.32754</v>
      </c>
    </row>
    <row r="4422" spans="1:2">
      <c r="A4422">
        <v>133</v>
      </c>
      <c r="B4422" t="s">
        <v>33</v>
      </c>
    </row>
    <row r="4423" spans="1:2">
      <c r="A4423">
        <v>133</v>
      </c>
      <c r="B4423" s="3">
        <v>0.53</v>
      </c>
    </row>
    <row r="4424" spans="1:2">
      <c r="A4424">
        <v>133</v>
      </c>
      <c r="B4424" t="s">
        <v>34</v>
      </c>
    </row>
    <row r="4425" spans="1:2">
      <c r="A4425">
        <v>133</v>
      </c>
      <c r="B4425" s="3">
        <v>0.47</v>
      </c>
    </row>
    <row r="4426" spans="1:2">
      <c r="A4426">
        <v>133</v>
      </c>
      <c r="B4426" t="s">
        <v>26</v>
      </c>
    </row>
    <row r="4427" spans="1:2">
      <c r="A4427">
        <v>133</v>
      </c>
      <c r="B4427">
        <v>0.52</v>
      </c>
    </row>
    <row r="4428" spans="1:2">
      <c r="A4428">
        <v>133</v>
      </c>
      <c r="B4428" t="s">
        <v>23</v>
      </c>
    </row>
    <row r="4429" spans="1:2">
      <c r="A4429">
        <v>133</v>
      </c>
      <c r="B4429">
        <v>-0.36</v>
      </c>
    </row>
    <row r="4430" spans="1:2">
      <c r="A4430">
        <v>133</v>
      </c>
      <c r="B4430" t="s">
        <v>24</v>
      </c>
    </row>
    <row r="4431" spans="1:2">
      <c r="A4431">
        <v>133</v>
      </c>
      <c r="B4431">
        <v>2.1549999999999998</v>
      </c>
    </row>
    <row r="4432" spans="1:2">
      <c r="A4432">
        <v>133</v>
      </c>
      <c r="B4432" t="s">
        <v>35</v>
      </c>
    </row>
    <row r="4433" spans="1:2">
      <c r="A4433">
        <v>133</v>
      </c>
      <c r="B4433">
        <v>0.60599999999999998</v>
      </c>
    </row>
    <row r="4434" spans="1:2">
      <c r="A4434">
        <v>133</v>
      </c>
      <c r="B4434" t="s">
        <v>36</v>
      </c>
    </row>
    <row r="4435" spans="1:2">
      <c r="A4435">
        <v>133</v>
      </c>
      <c r="B4435">
        <v>0.36699999999999999</v>
      </c>
    </row>
    <row r="4436" spans="1:2">
      <c r="A4436">
        <v>133</v>
      </c>
      <c r="B4436" t="s">
        <v>37</v>
      </c>
    </row>
    <row r="4437" spans="1:2">
      <c r="A4437">
        <v>133</v>
      </c>
      <c r="B4437">
        <v>-0.48199999999999998</v>
      </c>
    </row>
    <row r="4438" spans="1:2">
      <c r="A4438">
        <v>133</v>
      </c>
      <c r="B4438" t="s">
        <v>38</v>
      </c>
    </row>
    <row r="4439" spans="1:2">
      <c r="A4439">
        <v>133</v>
      </c>
      <c r="B4439">
        <v>0.59299999999999997</v>
      </c>
    </row>
    <row r="4440" spans="1:2">
      <c r="A4440">
        <v>133</v>
      </c>
      <c r="B4440" t="s">
        <v>39</v>
      </c>
    </row>
    <row r="4441" spans="1:2">
      <c r="A4441">
        <v>133</v>
      </c>
      <c r="B4441">
        <v>-0.10299999999999999</v>
      </c>
    </row>
    <row r="4442" spans="1:2">
      <c r="A4442">
        <v>133</v>
      </c>
      <c r="B4442" t="s">
        <v>40</v>
      </c>
    </row>
    <row r="4443" spans="1:2">
      <c r="A4443">
        <v>133</v>
      </c>
      <c r="B4443" s="4">
        <v>0</v>
      </c>
    </row>
    <row r="4444" spans="1:2">
      <c r="A4444">
        <v>133</v>
      </c>
      <c r="B4444" t="s">
        <v>41</v>
      </c>
    </row>
    <row r="4445" spans="1:2">
      <c r="A4445">
        <v>133</v>
      </c>
      <c r="B4445" s="4">
        <v>19000000</v>
      </c>
    </row>
    <row r="4446" spans="1:2">
      <c r="A4446">
        <v>133</v>
      </c>
      <c r="B4446" t="s">
        <v>42</v>
      </c>
    </row>
    <row r="4447" spans="1:2">
      <c r="A4447">
        <v>133</v>
      </c>
      <c r="B4447" t="s">
        <v>44</v>
      </c>
    </row>
    <row r="4448" spans="1:2">
      <c r="A4448">
        <v>132</v>
      </c>
      <c r="B4448" t="s">
        <v>27</v>
      </c>
    </row>
    <row r="4449" spans="1:2">
      <c r="A4449">
        <v>132</v>
      </c>
      <c r="B4449" s="2">
        <v>9.3880000000000005E-2</v>
      </c>
    </row>
    <row r="4450" spans="1:2">
      <c r="A4450">
        <v>132</v>
      </c>
      <c r="B4450" t="s">
        <v>1</v>
      </c>
    </row>
    <row r="4451" spans="1:2">
      <c r="A4451">
        <v>132</v>
      </c>
      <c r="B4451">
        <v>-0.36699999999999999</v>
      </c>
    </row>
    <row r="4452" spans="1:2">
      <c r="A4452">
        <v>132</v>
      </c>
      <c r="B4452" t="s">
        <v>28</v>
      </c>
    </row>
    <row r="4453" spans="1:2">
      <c r="A4453">
        <v>132</v>
      </c>
      <c r="B4453">
        <v>459</v>
      </c>
    </row>
    <row r="4454" spans="1:2">
      <c r="A4454">
        <v>132</v>
      </c>
      <c r="B4454" t="s">
        <v>25</v>
      </c>
    </row>
    <row r="4455" spans="1:2">
      <c r="A4455">
        <v>132</v>
      </c>
      <c r="B4455" s="2">
        <v>4.1099999999999998E-2</v>
      </c>
    </row>
    <row r="4456" spans="1:2">
      <c r="A4456">
        <v>132</v>
      </c>
      <c r="B4456" t="s">
        <v>29</v>
      </c>
    </row>
    <row r="4457" spans="1:2">
      <c r="A4457">
        <v>132</v>
      </c>
      <c r="B4457" s="2">
        <v>-7.9299999999999995E-2</v>
      </c>
    </row>
    <row r="4458" spans="1:2">
      <c r="A4458">
        <v>132</v>
      </c>
      <c r="B4458" t="s">
        <v>30</v>
      </c>
    </row>
    <row r="4459" spans="1:2">
      <c r="A4459">
        <v>132</v>
      </c>
      <c r="B4459" s="2">
        <v>-0.46013999999999999</v>
      </c>
    </row>
    <row r="4460" spans="1:2">
      <c r="A4460">
        <v>132</v>
      </c>
      <c r="B4460" t="s">
        <v>8</v>
      </c>
    </row>
    <row r="4461" spans="1:2">
      <c r="A4461">
        <v>132</v>
      </c>
      <c r="B4461" s="2">
        <v>0.59299999999999997</v>
      </c>
    </row>
    <row r="4462" spans="1:2">
      <c r="A4462">
        <v>132</v>
      </c>
      <c r="B4462" t="s">
        <v>31</v>
      </c>
    </row>
    <row r="4463" spans="1:2">
      <c r="A4463">
        <v>132</v>
      </c>
      <c r="B4463">
        <v>-0.29099999999999998</v>
      </c>
    </row>
    <row r="4464" spans="1:2">
      <c r="A4464">
        <v>132</v>
      </c>
      <c r="B4464" t="s">
        <v>32</v>
      </c>
    </row>
    <row r="4465" spans="1:2">
      <c r="A4465">
        <v>132</v>
      </c>
      <c r="B4465" s="2">
        <v>-0.32754</v>
      </c>
    </row>
    <row r="4466" spans="1:2">
      <c r="A4466">
        <v>132</v>
      </c>
      <c r="B4466" t="s">
        <v>33</v>
      </c>
    </row>
    <row r="4467" spans="1:2">
      <c r="A4467">
        <v>132</v>
      </c>
      <c r="B4467" s="3">
        <v>0.53</v>
      </c>
    </row>
    <row r="4468" spans="1:2">
      <c r="A4468">
        <v>132</v>
      </c>
      <c r="B4468" t="s">
        <v>34</v>
      </c>
    </row>
    <row r="4469" spans="1:2">
      <c r="A4469">
        <v>132</v>
      </c>
      <c r="B4469" s="3">
        <v>0.47</v>
      </c>
    </row>
    <row r="4470" spans="1:2">
      <c r="A4470">
        <v>132</v>
      </c>
      <c r="B4470" t="s">
        <v>26</v>
      </c>
    </row>
    <row r="4471" spans="1:2">
      <c r="A4471">
        <v>132</v>
      </c>
      <c r="B4471">
        <v>0.52</v>
      </c>
    </row>
    <row r="4472" spans="1:2">
      <c r="A4472">
        <v>132</v>
      </c>
      <c r="B4472" t="s">
        <v>23</v>
      </c>
    </row>
    <row r="4473" spans="1:2">
      <c r="A4473">
        <v>132</v>
      </c>
      <c r="B4473">
        <v>-0.36</v>
      </c>
    </row>
    <row r="4474" spans="1:2">
      <c r="A4474">
        <v>132</v>
      </c>
      <c r="B4474" t="s">
        <v>24</v>
      </c>
    </row>
    <row r="4475" spans="1:2">
      <c r="A4475">
        <v>132</v>
      </c>
      <c r="B4475">
        <v>2.1549999999999998</v>
      </c>
    </row>
    <row r="4476" spans="1:2">
      <c r="A4476">
        <v>132</v>
      </c>
      <c r="B4476" t="s">
        <v>35</v>
      </c>
    </row>
    <row r="4477" spans="1:2">
      <c r="A4477">
        <v>132</v>
      </c>
      <c r="B4477">
        <v>0.60599999999999998</v>
      </c>
    </row>
    <row r="4478" spans="1:2">
      <c r="A4478">
        <v>132</v>
      </c>
      <c r="B4478" t="s">
        <v>36</v>
      </c>
    </row>
    <row r="4479" spans="1:2">
      <c r="A4479">
        <v>132</v>
      </c>
      <c r="B4479">
        <v>0.36699999999999999</v>
      </c>
    </row>
    <row r="4480" spans="1:2">
      <c r="A4480">
        <v>132</v>
      </c>
      <c r="B4480" t="s">
        <v>37</v>
      </c>
    </row>
    <row r="4481" spans="1:2">
      <c r="A4481">
        <v>132</v>
      </c>
      <c r="B4481">
        <v>-0.48199999999999998</v>
      </c>
    </row>
    <row r="4482" spans="1:2">
      <c r="A4482">
        <v>132</v>
      </c>
      <c r="B4482" t="s">
        <v>38</v>
      </c>
    </row>
    <row r="4483" spans="1:2">
      <c r="A4483">
        <v>132</v>
      </c>
      <c r="B4483">
        <v>0.59299999999999997</v>
      </c>
    </row>
    <row r="4484" spans="1:2">
      <c r="A4484">
        <v>132</v>
      </c>
      <c r="B4484" t="s">
        <v>39</v>
      </c>
    </row>
    <row r="4485" spans="1:2">
      <c r="A4485">
        <v>132</v>
      </c>
      <c r="B4485">
        <v>-0.10299999999999999</v>
      </c>
    </row>
    <row r="4486" spans="1:2">
      <c r="A4486">
        <v>132</v>
      </c>
      <c r="B4486" t="s">
        <v>40</v>
      </c>
    </row>
    <row r="4487" spans="1:2">
      <c r="A4487">
        <v>132</v>
      </c>
      <c r="B4487" s="4">
        <v>0</v>
      </c>
    </row>
    <row r="4488" spans="1:2">
      <c r="A4488">
        <v>132</v>
      </c>
      <c r="B4488" t="s">
        <v>41</v>
      </c>
    </row>
    <row r="4489" spans="1:2">
      <c r="A4489">
        <v>132</v>
      </c>
      <c r="B4489" s="4">
        <v>19000000</v>
      </c>
    </row>
    <row r="4490" spans="1:2">
      <c r="A4490">
        <v>132</v>
      </c>
      <c r="B4490" t="s">
        <v>42</v>
      </c>
    </row>
    <row r="4491" spans="1:2">
      <c r="A4491">
        <v>132</v>
      </c>
      <c r="B4491" t="s">
        <v>44</v>
      </c>
    </row>
    <row r="4492" spans="1:2">
      <c r="A4492">
        <v>131</v>
      </c>
      <c r="B4492" t="s">
        <v>27</v>
      </c>
    </row>
    <row r="4493" spans="1:2">
      <c r="A4493">
        <v>131</v>
      </c>
      <c r="B4493" s="2">
        <v>9.3880000000000005E-2</v>
      </c>
    </row>
    <row r="4494" spans="1:2">
      <c r="A4494">
        <v>131</v>
      </c>
      <c r="B4494" t="s">
        <v>1</v>
      </c>
    </row>
    <row r="4495" spans="1:2">
      <c r="A4495">
        <v>131</v>
      </c>
      <c r="B4495">
        <v>-0.36699999999999999</v>
      </c>
    </row>
    <row r="4496" spans="1:2">
      <c r="A4496">
        <v>131</v>
      </c>
      <c r="B4496" t="s">
        <v>28</v>
      </c>
    </row>
    <row r="4497" spans="1:2">
      <c r="A4497">
        <v>131</v>
      </c>
      <c r="B4497">
        <v>459</v>
      </c>
    </row>
    <row r="4498" spans="1:2">
      <c r="A4498">
        <v>131</v>
      </c>
      <c r="B4498" t="s">
        <v>25</v>
      </c>
    </row>
    <row r="4499" spans="1:2">
      <c r="A4499">
        <v>131</v>
      </c>
      <c r="B4499" s="2">
        <v>4.1099999999999998E-2</v>
      </c>
    </row>
    <row r="4500" spans="1:2">
      <c r="A4500">
        <v>131</v>
      </c>
      <c r="B4500" t="s">
        <v>29</v>
      </c>
    </row>
    <row r="4501" spans="1:2">
      <c r="A4501">
        <v>131</v>
      </c>
      <c r="B4501" s="2">
        <v>-7.9299999999999995E-2</v>
      </c>
    </row>
    <row r="4502" spans="1:2">
      <c r="A4502">
        <v>131</v>
      </c>
      <c r="B4502" t="s">
        <v>30</v>
      </c>
    </row>
    <row r="4503" spans="1:2">
      <c r="A4503">
        <v>131</v>
      </c>
      <c r="B4503" s="2">
        <v>-0.46013999999999999</v>
      </c>
    </row>
    <row r="4504" spans="1:2">
      <c r="A4504">
        <v>131</v>
      </c>
      <c r="B4504" t="s">
        <v>8</v>
      </c>
    </row>
    <row r="4505" spans="1:2">
      <c r="A4505">
        <v>131</v>
      </c>
      <c r="B4505" s="2">
        <v>0.59299999999999997</v>
      </c>
    </row>
    <row r="4506" spans="1:2">
      <c r="A4506">
        <v>131</v>
      </c>
      <c r="B4506" t="s">
        <v>31</v>
      </c>
    </row>
    <row r="4507" spans="1:2">
      <c r="A4507">
        <v>131</v>
      </c>
      <c r="B4507">
        <v>-0.29099999999999998</v>
      </c>
    </row>
    <row r="4508" spans="1:2">
      <c r="A4508">
        <v>131</v>
      </c>
      <c r="B4508" t="s">
        <v>32</v>
      </c>
    </row>
    <row r="4509" spans="1:2">
      <c r="A4509">
        <v>131</v>
      </c>
      <c r="B4509" s="2">
        <v>-0.32754</v>
      </c>
    </row>
    <row r="4510" spans="1:2">
      <c r="A4510">
        <v>131</v>
      </c>
      <c r="B4510" t="s">
        <v>33</v>
      </c>
    </row>
    <row r="4511" spans="1:2">
      <c r="A4511">
        <v>131</v>
      </c>
      <c r="B4511" s="3">
        <v>0.53</v>
      </c>
    </row>
    <row r="4512" spans="1:2">
      <c r="A4512">
        <v>131</v>
      </c>
      <c r="B4512" t="s">
        <v>34</v>
      </c>
    </row>
    <row r="4513" spans="1:2">
      <c r="A4513">
        <v>131</v>
      </c>
      <c r="B4513" s="3">
        <v>0.47</v>
      </c>
    </row>
    <row r="4514" spans="1:2">
      <c r="A4514">
        <v>131</v>
      </c>
      <c r="B4514" t="s">
        <v>26</v>
      </c>
    </row>
    <row r="4515" spans="1:2">
      <c r="A4515">
        <v>131</v>
      </c>
      <c r="B4515">
        <v>0.52</v>
      </c>
    </row>
    <row r="4516" spans="1:2">
      <c r="A4516">
        <v>131</v>
      </c>
      <c r="B4516" t="s">
        <v>23</v>
      </c>
    </row>
    <row r="4517" spans="1:2">
      <c r="A4517">
        <v>131</v>
      </c>
      <c r="B4517">
        <v>-0.36</v>
      </c>
    </row>
    <row r="4518" spans="1:2">
      <c r="A4518">
        <v>131</v>
      </c>
      <c r="B4518" t="s">
        <v>24</v>
      </c>
    </row>
    <row r="4519" spans="1:2">
      <c r="A4519">
        <v>131</v>
      </c>
      <c r="B4519">
        <v>2.1549999999999998</v>
      </c>
    </row>
    <row r="4520" spans="1:2">
      <c r="A4520">
        <v>131</v>
      </c>
      <c r="B4520" t="s">
        <v>35</v>
      </c>
    </row>
    <row r="4521" spans="1:2">
      <c r="A4521">
        <v>131</v>
      </c>
      <c r="B4521">
        <v>0.60599999999999998</v>
      </c>
    </row>
    <row r="4522" spans="1:2">
      <c r="A4522">
        <v>131</v>
      </c>
      <c r="B4522" t="s">
        <v>36</v>
      </c>
    </row>
    <row r="4523" spans="1:2">
      <c r="A4523">
        <v>131</v>
      </c>
      <c r="B4523">
        <v>0.36699999999999999</v>
      </c>
    </row>
    <row r="4524" spans="1:2">
      <c r="A4524">
        <v>131</v>
      </c>
      <c r="B4524" t="s">
        <v>37</v>
      </c>
    </row>
    <row r="4525" spans="1:2">
      <c r="A4525">
        <v>131</v>
      </c>
      <c r="B4525">
        <v>-0.48199999999999998</v>
      </c>
    </row>
    <row r="4526" spans="1:2">
      <c r="A4526">
        <v>131</v>
      </c>
      <c r="B4526" t="s">
        <v>38</v>
      </c>
    </row>
    <row r="4527" spans="1:2">
      <c r="A4527">
        <v>131</v>
      </c>
      <c r="B4527">
        <v>0.59299999999999997</v>
      </c>
    </row>
    <row r="4528" spans="1:2">
      <c r="A4528">
        <v>131</v>
      </c>
      <c r="B4528" t="s">
        <v>39</v>
      </c>
    </row>
    <row r="4529" spans="1:2">
      <c r="A4529">
        <v>131</v>
      </c>
      <c r="B4529">
        <v>-0.10299999999999999</v>
      </c>
    </row>
    <row r="4530" spans="1:2">
      <c r="A4530">
        <v>131</v>
      </c>
      <c r="B4530" t="s">
        <v>40</v>
      </c>
    </row>
    <row r="4531" spans="1:2">
      <c r="A4531">
        <v>131</v>
      </c>
      <c r="B4531" s="4">
        <v>0</v>
      </c>
    </row>
    <row r="4532" spans="1:2">
      <c r="A4532">
        <v>131</v>
      </c>
      <c r="B4532" t="s">
        <v>41</v>
      </c>
    </row>
    <row r="4533" spans="1:2">
      <c r="A4533">
        <v>131</v>
      </c>
      <c r="B4533" s="4">
        <v>19000000</v>
      </c>
    </row>
    <row r="4534" spans="1:2">
      <c r="A4534">
        <v>131</v>
      </c>
      <c r="B4534" t="s">
        <v>42</v>
      </c>
    </row>
    <row r="4535" spans="1:2">
      <c r="A4535">
        <v>131</v>
      </c>
      <c r="B4535" t="s">
        <v>44</v>
      </c>
    </row>
    <row r="4536" spans="1:2">
      <c r="A4536">
        <v>130</v>
      </c>
      <c r="B4536" t="s">
        <v>27</v>
      </c>
    </row>
    <row r="4537" spans="1:2">
      <c r="A4537">
        <v>130</v>
      </c>
      <c r="B4537" s="2">
        <v>9.3880000000000005E-2</v>
      </c>
    </row>
    <row r="4538" spans="1:2">
      <c r="A4538">
        <v>130</v>
      </c>
      <c r="B4538" t="s">
        <v>1</v>
      </c>
    </row>
    <row r="4539" spans="1:2">
      <c r="A4539">
        <v>130</v>
      </c>
      <c r="B4539">
        <v>-0.36699999999999999</v>
      </c>
    </row>
    <row r="4540" spans="1:2">
      <c r="A4540">
        <v>130</v>
      </c>
      <c r="B4540" t="s">
        <v>28</v>
      </c>
    </row>
    <row r="4541" spans="1:2">
      <c r="A4541">
        <v>130</v>
      </c>
      <c r="B4541">
        <v>459</v>
      </c>
    </row>
    <row r="4542" spans="1:2">
      <c r="A4542">
        <v>130</v>
      </c>
      <c r="B4542" t="s">
        <v>25</v>
      </c>
    </row>
    <row r="4543" spans="1:2">
      <c r="A4543">
        <v>130</v>
      </c>
      <c r="B4543" s="2">
        <v>4.1099999999999998E-2</v>
      </c>
    </row>
    <row r="4544" spans="1:2">
      <c r="A4544">
        <v>130</v>
      </c>
      <c r="B4544" t="s">
        <v>29</v>
      </c>
    </row>
    <row r="4545" spans="1:2">
      <c r="A4545">
        <v>130</v>
      </c>
      <c r="B4545" s="2">
        <v>-7.9299999999999995E-2</v>
      </c>
    </row>
    <row r="4546" spans="1:2">
      <c r="A4546">
        <v>130</v>
      </c>
      <c r="B4546" t="s">
        <v>30</v>
      </c>
    </row>
    <row r="4547" spans="1:2">
      <c r="A4547">
        <v>130</v>
      </c>
      <c r="B4547" s="2">
        <v>-0.46013999999999999</v>
      </c>
    </row>
    <row r="4548" spans="1:2">
      <c r="A4548">
        <v>130</v>
      </c>
      <c r="B4548" t="s">
        <v>8</v>
      </c>
    </row>
    <row r="4549" spans="1:2">
      <c r="A4549">
        <v>130</v>
      </c>
      <c r="B4549" s="2">
        <v>0.59299999999999997</v>
      </c>
    </row>
    <row r="4550" spans="1:2">
      <c r="A4550">
        <v>130</v>
      </c>
      <c r="B4550" t="s">
        <v>31</v>
      </c>
    </row>
    <row r="4551" spans="1:2">
      <c r="A4551">
        <v>130</v>
      </c>
      <c r="B4551">
        <v>-0.29099999999999998</v>
      </c>
    </row>
    <row r="4552" spans="1:2">
      <c r="A4552">
        <v>130</v>
      </c>
      <c r="B4552" t="s">
        <v>32</v>
      </c>
    </row>
    <row r="4553" spans="1:2">
      <c r="A4553">
        <v>130</v>
      </c>
      <c r="B4553" s="2">
        <v>-0.32754</v>
      </c>
    </row>
    <row r="4554" spans="1:2">
      <c r="A4554">
        <v>130</v>
      </c>
      <c r="B4554" t="s">
        <v>33</v>
      </c>
    </row>
    <row r="4555" spans="1:2">
      <c r="A4555">
        <v>130</v>
      </c>
      <c r="B4555" s="3">
        <v>0.53</v>
      </c>
    </row>
    <row r="4556" spans="1:2">
      <c r="A4556">
        <v>130</v>
      </c>
      <c r="B4556" t="s">
        <v>34</v>
      </c>
    </row>
    <row r="4557" spans="1:2">
      <c r="A4557">
        <v>130</v>
      </c>
      <c r="B4557" s="3">
        <v>0.47</v>
      </c>
    </row>
    <row r="4558" spans="1:2">
      <c r="A4558">
        <v>130</v>
      </c>
      <c r="B4558" t="s">
        <v>26</v>
      </c>
    </row>
    <row r="4559" spans="1:2">
      <c r="A4559">
        <v>130</v>
      </c>
      <c r="B4559">
        <v>0.52</v>
      </c>
    </row>
    <row r="4560" spans="1:2">
      <c r="A4560">
        <v>130</v>
      </c>
      <c r="B4560" t="s">
        <v>23</v>
      </c>
    </row>
    <row r="4561" spans="1:2">
      <c r="A4561">
        <v>130</v>
      </c>
      <c r="B4561">
        <v>-0.36</v>
      </c>
    </row>
    <row r="4562" spans="1:2">
      <c r="A4562">
        <v>130</v>
      </c>
      <c r="B4562" t="s">
        <v>24</v>
      </c>
    </row>
    <row r="4563" spans="1:2">
      <c r="A4563">
        <v>130</v>
      </c>
      <c r="B4563">
        <v>2.1549999999999998</v>
      </c>
    </row>
    <row r="4564" spans="1:2">
      <c r="A4564">
        <v>130</v>
      </c>
      <c r="B4564" t="s">
        <v>35</v>
      </c>
    </row>
    <row r="4565" spans="1:2">
      <c r="A4565">
        <v>130</v>
      </c>
      <c r="B4565">
        <v>0.60599999999999998</v>
      </c>
    </row>
    <row r="4566" spans="1:2">
      <c r="A4566">
        <v>130</v>
      </c>
      <c r="B4566" t="s">
        <v>36</v>
      </c>
    </row>
    <row r="4567" spans="1:2">
      <c r="A4567">
        <v>130</v>
      </c>
      <c r="B4567">
        <v>0.36699999999999999</v>
      </c>
    </row>
    <row r="4568" spans="1:2">
      <c r="A4568">
        <v>130</v>
      </c>
      <c r="B4568" t="s">
        <v>37</v>
      </c>
    </row>
    <row r="4569" spans="1:2">
      <c r="A4569">
        <v>130</v>
      </c>
      <c r="B4569">
        <v>-0.48199999999999998</v>
      </c>
    </row>
    <row r="4570" spans="1:2">
      <c r="A4570">
        <v>130</v>
      </c>
      <c r="B4570" t="s">
        <v>38</v>
      </c>
    </row>
    <row r="4571" spans="1:2">
      <c r="A4571">
        <v>130</v>
      </c>
      <c r="B4571">
        <v>0.59299999999999997</v>
      </c>
    </row>
    <row r="4572" spans="1:2">
      <c r="A4572">
        <v>130</v>
      </c>
      <c r="B4572" t="s">
        <v>39</v>
      </c>
    </row>
    <row r="4573" spans="1:2">
      <c r="A4573">
        <v>130</v>
      </c>
      <c r="B4573">
        <v>-0.10299999999999999</v>
      </c>
    </row>
    <row r="4574" spans="1:2">
      <c r="A4574">
        <v>130</v>
      </c>
      <c r="B4574" t="s">
        <v>40</v>
      </c>
    </row>
    <row r="4575" spans="1:2">
      <c r="A4575">
        <v>130</v>
      </c>
      <c r="B4575" s="4">
        <v>0</v>
      </c>
    </row>
    <row r="4576" spans="1:2">
      <c r="A4576">
        <v>130</v>
      </c>
      <c r="B4576" t="s">
        <v>41</v>
      </c>
    </row>
    <row r="4577" spans="1:2">
      <c r="A4577">
        <v>130</v>
      </c>
      <c r="B4577" s="4">
        <v>19000000</v>
      </c>
    </row>
    <row r="4578" spans="1:2">
      <c r="A4578">
        <v>130</v>
      </c>
      <c r="B4578" t="s">
        <v>42</v>
      </c>
    </row>
    <row r="4579" spans="1:2">
      <c r="A4579">
        <v>130</v>
      </c>
      <c r="B4579" t="s">
        <v>44</v>
      </c>
    </row>
    <row r="4580" spans="1:2">
      <c r="A4580">
        <v>129</v>
      </c>
      <c r="B4580" t="s">
        <v>27</v>
      </c>
    </row>
    <row r="4581" spans="1:2">
      <c r="A4581">
        <v>129</v>
      </c>
      <c r="B4581" s="2">
        <v>9.3880000000000005E-2</v>
      </c>
    </row>
    <row r="4582" spans="1:2">
      <c r="A4582">
        <v>129</v>
      </c>
      <c r="B4582" t="s">
        <v>1</v>
      </c>
    </row>
    <row r="4583" spans="1:2">
      <c r="A4583">
        <v>129</v>
      </c>
      <c r="B4583">
        <v>-0.36699999999999999</v>
      </c>
    </row>
    <row r="4584" spans="1:2">
      <c r="A4584">
        <v>129</v>
      </c>
      <c r="B4584" t="s">
        <v>28</v>
      </c>
    </row>
    <row r="4585" spans="1:2">
      <c r="A4585">
        <v>129</v>
      </c>
      <c r="B4585">
        <v>459</v>
      </c>
    </row>
    <row r="4586" spans="1:2">
      <c r="A4586">
        <v>129</v>
      </c>
      <c r="B4586" t="s">
        <v>25</v>
      </c>
    </row>
    <row r="4587" spans="1:2">
      <c r="A4587">
        <v>129</v>
      </c>
      <c r="B4587" s="2">
        <v>4.1099999999999998E-2</v>
      </c>
    </row>
    <row r="4588" spans="1:2">
      <c r="A4588">
        <v>129</v>
      </c>
      <c r="B4588" t="s">
        <v>29</v>
      </c>
    </row>
    <row r="4589" spans="1:2">
      <c r="A4589">
        <v>129</v>
      </c>
      <c r="B4589" s="2">
        <v>-7.9299999999999995E-2</v>
      </c>
    </row>
    <row r="4590" spans="1:2">
      <c r="A4590">
        <v>129</v>
      </c>
      <c r="B4590" t="s">
        <v>30</v>
      </c>
    </row>
    <row r="4591" spans="1:2">
      <c r="A4591">
        <v>129</v>
      </c>
      <c r="B4591" s="2">
        <v>-0.46013999999999999</v>
      </c>
    </row>
    <row r="4592" spans="1:2">
      <c r="A4592">
        <v>129</v>
      </c>
      <c r="B4592" t="s">
        <v>8</v>
      </c>
    </row>
    <row r="4593" spans="1:2">
      <c r="A4593">
        <v>129</v>
      </c>
      <c r="B4593" s="2">
        <v>0.59299999999999997</v>
      </c>
    </row>
    <row r="4594" spans="1:2">
      <c r="A4594">
        <v>129</v>
      </c>
      <c r="B4594" t="s">
        <v>31</v>
      </c>
    </row>
    <row r="4595" spans="1:2">
      <c r="A4595">
        <v>129</v>
      </c>
      <c r="B4595">
        <v>-0.29099999999999998</v>
      </c>
    </row>
    <row r="4596" spans="1:2">
      <c r="A4596">
        <v>129</v>
      </c>
      <c r="B4596" t="s">
        <v>32</v>
      </c>
    </row>
    <row r="4597" spans="1:2">
      <c r="A4597">
        <v>129</v>
      </c>
      <c r="B4597" s="2">
        <v>-0.32754</v>
      </c>
    </row>
    <row r="4598" spans="1:2">
      <c r="A4598">
        <v>129</v>
      </c>
      <c r="B4598" t="s">
        <v>33</v>
      </c>
    </row>
    <row r="4599" spans="1:2">
      <c r="A4599">
        <v>129</v>
      </c>
      <c r="B4599" s="3">
        <v>0.53</v>
      </c>
    </row>
    <row r="4600" spans="1:2">
      <c r="A4600">
        <v>129</v>
      </c>
      <c r="B4600" t="s">
        <v>34</v>
      </c>
    </row>
    <row r="4601" spans="1:2">
      <c r="A4601">
        <v>129</v>
      </c>
      <c r="B4601" s="3">
        <v>0.47</v>
      </c>
    </row>
    <row r="4602" spans="1:2">
      <c r="A4602">
        <v>129</v>
      </c>
      <c r="B4602" t="s">
        <v>26</v>
      </c>
    </row>
    <row r="4603" spans="1:2">
      <c r="A4603">
        <v>129</v>
      </c>
      <c r="B4603">
        <v>0.52</v>
      </c>
    </row>
    <row r="4604" spans="1:2">
      <c r="A4604">
        <v>129</v>
      </c>
      <c r="B4604" t="s">
        <v>23</v>
      </c>
    </row>
    <row r="4605" spans="1:2">
      <c r="A4605">
        <v>129</v>
      </c>
      <c r="B4605">
        <v>-0.36</v>
      </c>
    </row>
    <row r="4606" spans="1:2">
      <c r="A4606">
        <v>129</v>
      </c>
      <c r="B4606" t="s">
        <v>24</v>
      </c>
    </row>
    <row r="4607" spans="1:2">
      <c r="A4607">
        <v>129</v>
      </c>
      <c r="B4607">
        <v>2.1549999999999998</v>
      </c>
    </row>
    <row r="4608" spans="1:2">
      <c r="A4608">
        <v>129</v>
      </c>
      <c r="B4608" t="s">
        <v>35</v>
      </c>
    </row>
    <row r="4609" spans="1:2">
      <c r="A4609">
        <v>129</v>
      </c>
      <c r="B4609">
        <v>0.60599999999999998</v>
      </c>
    </row>
    <row r="4610" spans="1:2">
      <c r="A4610">
        <v>129</v>
      </c>
      <c r="B4610" t="s">
        <v>36</v>
      </c>
    </row>
    <row r="4611" spans="1:2">
      <c r="A4611">
        <v>129</v>
      </c>
      <c r="B4611">
        <v>0.36699999999999999</v>
      </c>
    </row>
    <row r="4612" spans="1:2">
      <c r="A4612">
        <v>129</v>
      </c>
      <c r="B4612" t="s">
        <v>37</v>
      </c>
    </row>
    <row r="4613" spans="1:2">
      <c r="A4613">
        <v>129</v>
      </c>
      <c r="B4613">
        <v>-0.48199999999999998</v>
      </c>
    </row>
    <row r="4614" spans="1:2">
      <c r="A4614">
        <v>129</v>
      </c>
      <c r="B4614" t="s">
        <v>38</v>
      </c>
    </row>
    <row r="4615" spans="1:2">
      <c r="A4615">
        <v>129</v>
      </c>
      <c r="B4615">
        <v>0.59299999999999997</v>
      </c>
    </row>
    <row r="4616" spans="1:2">
      <c r="A4616">
        <v>129</v>
      </c>
      <c r="B4616" t="s">
        <v>39</v>
      </c>
    </row>
    <row r="4617" spans="1:2">
      <c r="A4617">
        <v>129</v>
      </c>
      <c r="B4617">
        <v>-0.10299999999999999</v>
      </c>
    </row>
    <row r="4618" spans="1:2">
      <c r="A4618">
        <v>129</v>
      </c>
      <c r="B4618" t="s">
        <v>40</v>
      </c>
    </row>
    <row r="4619" spans="1:2">
      <c r="A4619">
        <v>129</v>
      </c>
      <c r="B4619" s="4">
        <v>0</v>
      </c>
    </row>
    <row r="4620" spans="1:2">
      <c r="A4620">
        <v>129</v>
      </c>
      <c r="B4620" t="s">
        <v>41</v>
      </c>
    </row>
    <row r="4621" spans="1:2">
      <c r="A4621">
        <v>129</v>
      </c>
      <c r="B4621" s="4">
        <v>19000000</v>
      </c>
    </row>
    <row r="4622" spans="1:2">
      <c r="A4622">
        <v>129</v>
      </c>
      <c r="B4622" t="s">
        <v>42</v>
      </c>
    </row>
    <row r="4623" spans="1:2">
      <c r="A4623">
        <v>129</v>
      </c>
      <c r="B4623" t="s">
        <v>44</v>
      </c>
    </row>
    <row r="4624" spans="1:2">
      <c r="A4624">
        <v>128</v>
      </c>
      <c r="B4624" t="s">
        <v>27</v>
      </c>
    </row>
    <row r="4625" spans="1:2">
      <c r="A4625">
        <v>128</v>
      </c>
      <c r="B4625" s="2">
        <v>9.3880000000000005E-2</v>
      </c>
    </row>
    <row r="4626" spans="1:2">
      <c r="A4626">
        <v>128</v>
      </c>
      <c r="B4626" t="s">
        <v>1</v>
      </c>
    </row>
    <row r="4627" spans="1:2">
      <c r="A4627">
        <v>128</v>
      </c>
      <c r="B4627">
        <v>-0.36699999999999999</v>
      </c>
    </row>
    <row r="4628" spans="1:2">
      <c r="A4628">
        <v>128</v>
      </c>
      <c r="B4628" t="s">
        <v>28</v>
      </c>
    </row>
    <row r="4629" spans="1:2">
      <c r="A4629">
        <v>128</v>
      </c>
      <c r="B4629">
        <v>459</v>
      </c>
    </row>
    <row r="4630" spans="1:2">
      <c r="A4630">
        <v>128</v>
      </c>
      <c r="B4630" t="s">
        <v>25</v>
      </c>
    </row>
    <row r="4631" spans="1:2">
      <c r="A4631">
        <v>128</v>
      </c>
      <c r="B4631" s="2">
        <v>4.1099999999999998E-2</v>
      </c>
    </row>
    <row r="4632" spans="1:2">
      <c r="A4632">
        <v>128</v>
      </c>
      <c r="B4632" t="s">
        <v>29</v>
      </c>
    </row>
    <row r="4633" spans="1:2">
      <c r="A4633">
        <v>128</v>
      </c>
      <c r="B4633" s="2">
        <v>-7.9299999999999995E-2</v>
      </c>
    </row>
    <row r="4634" spans="1:2">
      <c r="A4634">
        <v>128</v>
      </c>
      <c r="B4634" t="s">
        <v>30</v>
      </c>
    </row>
    <row r="4635" spans="1:2">
      <c r="A4635">
        <v>128</v>
      </c>
      <c r="B4635" s="2">
        <v>-0.46013999999999999</v>
      </c>
    </row>
    <row r="4636" spans="1:2">
      <c r="A4636">
        <v>128</v>
      </c>
      <c r="B4636" t="s">
        <v>8</v>
      </c>
    </row>
    <row r="4637" spans="1:2">
      <c r="A4637">
        <v>128</v>
      </c>
      <c r="B4637" s="2">
        <v>0.59299999999999997</v>
      </c>
    </row>
    <row r="4638" spans="1:2">
      <c r="A4638">
        <v>128</v>
      </c>
      <c r="B4638" t="s">
        <v>31</v>
      </c>
    </row>
    <row r="4639" spans="1:2">
      <c r="A4639">
        <v>128</v>
      </c>
      <c r="B4639">
        <v>-0.29099999999999998</v>
      </c>
    </row>
    <row r="4640" spans="1:2">
      <c r="A4640">
        <v>128</v>
      </c>
      <c r="B4640" t="s">
        <v>32</v>
      </c>
    </row>
    <row r="4641" spans="1:2">
      <c r="A4641">
        <v>128</v>
      </c>
      <c r="B4641" s="2">
        <v>-0.32754</v>
      </c>
    </row>
    <row r="4642" spans="1:2">
      <c r="A4642">
        <v>128</v>
      </c>
      <c r="B4642" t="s">
        <v>33</v>
      </c>
    </row>
    <row r="4643" spans="1:2">
      <c r="A4643">
        <v>128</v>
      </c>
      <c r="B4643" s="3">
        <v>0.53</v>
      </c>
    </row>
    <row r="4644" spans="1:2">
      <c r="A4644">
        <v>128</v>
      </c>
      <c r="B4644" t="s">
        <v>34</v>
      </c>
    </row>
    <row r="4645" spans="1:2">
      <c r="A4645">
        <v>128</v>
      </c>
      <c r="B4645" s="3">
        <v>0.47</v>
      </c>
    </row>
    <row r="4646" spans="1:2">
      <c r="A4646">
        <v>128</v>
      </c>
      <c r="B4646" t="s">
        <v>26</v>
      </c>
    </row>
    <row r="4647" spans="1:2">
      <c r="A4647">
        <v>128</v>
      </c>
      <c r="B4647">
        <v>0.52</v>
      </c>
    </row>
    <row r="4648" spans="1:2">
      <c r="A4648">
        <v>128</v>
      </c>
      <c r="B4648" t="s">
        <v>23</v>
      </c>
    </row>
    <row r="4649" spans="1:2">
      <c r="A4649">
        <v>128</v>
      </c>
      <c r="B4649">
        <v>-0.36</v>
      </c>
    </row>
    <row r="4650" spans="1:2">
      <c r="A4650">
        <v>128</v>
      </c>
      <c r="B4650" t="s">
        <v>24</v>
      </c>
    </row>
    <row r="4651" spans="1:2">
      <c r="A4651">
        <v>128</v>
      </c>
      <c r="B4651">
        <v>2.1549999999999998</v>
      </c>
    </row>
    <row r="4652" spans="1:2">
      <c r="A4652">
        <v>128</v>
      </c>
      <c r="B4652" t="s">
        <v>35</v>
      </c>
    </row>
    <row r="4653" spans="1:2">
      <c r="A4653">
        <v>128</v>
      </c>
      <c r="B4653">
        <v>0.60599999999999998</v>
      </c>
    </row>
    <row r="4654" spans="1:2">
      <c r="A4654">
        <v>128</v>
      </c>
      <c r="B4654" t="s">
        <v>36</v>
      </c>
    </row>
    <row r="4655" spans="1:2">
      <c r="A4655">
        <v>128</v>
      </c>
      <c r="B4655">
        <v>0.36699999999999999</v>
      </c>
    </row>
    <row r="4656" spans="1:2">
      <c r="A4656">
        <v>128</v>
      </c>
      <c r="B4656" t="s">
        <v>37</v>
      </c>
    </row>
    <row r="4657" spans="1:2">
      <c r="A4657">
        <v>128</v>
      </c>
      <c r="B4657">
        <v>-0.48199999999999998</v>
      </c>
    </row>
    <row r="4658" spans="1:2">
      <c r="A4658">
        <v>128</v>
      </c>
      <c r="B4658" t="s">
        <v>38</v>
      </c>
    </row>
    <row r="4659" spans="1:2">
      <c r="A4659">
        <v>128</v>
      </c>
      <c r="B4659">
        <v>0.59299999999999997</v>
      </c>
    </row>
    <row r="4660" spans="1:2">
      <c r="A4660">
        <v>128</v>
      </c>
      <c r="B4660" t="s">
        <v>39</v>
      </c>
    </row>
    <row r="4661" spans="1:2">
      <c r="A4661">
        <v>128</v>
      </c>
      <c r="B4661">
        <v>-0.10299999999999999</v>
      </c>
    </row>
    <row r="4662" spans="1:2">
      <c r="A4662">
        <v>128</v>
      </c>
      <c r="B4662" t="s">
        <v>40</v>
      </c>
    </row>
    <row r="4663" spans="1:2">
      <c r="A4663">
        <v>128</v>
      </c>
      <c r="B4663" s="4">
        <v>0</v>
      </c>
    </row>
    <row r="4664" spans="1:2">
      <c r="A4664">
        <v>128</v>
      </c>
      <c r="B4664" t="s">
        <v>41</v>
      </c>
    </row>
    <row r="4665" spans="1:2">
      <c r="A4665">
        <v>128</v>
      </c>
      <c r="B4665" s="4">
        <v>19000000</v>
      </c>
    </row>
    <row r="4666" spans="1:2">
      <c r="A4666">
        <v>128</v>
      </c>
      <c r="B4666" t="s">
        <v>42</v>
      </c>
    </row>
    <row r="4667" spans="1:2">
      <c r="A4667">
        <v>128</v>
      </c>
      <c r="B4667" t="s">
        <v>44</v>
      </c>
    </row>
    <row r="4668" spans="1:2">
      <c r="A4668">
        <v>127</v>
      </c>
      <c r="B4668" t="s">
        <v>27</v>
      </c>
    </row>
    <row r="4669" spans="1:2">
      <c r="A4669">
        <v>127</v>
      </c>
      <c r="B4669" s="2">
        <v>9.3880000000000005E-2</v>
      </c>
    </row>
    <row r="4670" spans="1:2">
      <c r="A4670">
        <v>127</v>
      </c>
      <c r="B4670" t="s">
        <v>1</v>
      </c>
    </row>
    <row r="4671" spans="1:2">
      <c r="A4671">
        <v>127</v>
      </c>
      <c r="B4671">
        <v>-0.36699999999999999</v>
      </c>
    </row>
    <row r="4672" spans="1:2">
      <c r="A4672">
        <v>127</v>
      </c>
      <c r="B4672" t="s">
        <v>28</v>
      </c>
    </row>
    <row r="4673" spans="1:2">
      <c r="A4673">
        <v>127</v>
      </c>
      <c r="B4673">
        <v>459</v>
      </c>
    </row>
    <row r="4674" spans="1:2">
      <c r="A4674">
        <v>127</v>
      </c>
      <c r="B4674" t="s">
        <v>25</v>
      </c>
    </row>
    <row r="4675" spans="1:2">
      <c r="A4675">
        <v>127</v>
      </c>
      <c r="B4675" s="2">
        <v>4.1099999999999998E-2</v>
      </c>
    </row>
    <row r="4676" spans="1:2">
      <c r="A4676">
        <v>127</v>
      </c>
      <c r="B4676" t="s">
        <v>29</v>
      </c>
    </row>
    <row r="4677" spans="1:2">
      <c r="A4677">
        <v>127</v>
      </c>
      <c r="B4677" s="2">
        <v>-7.9299999999999995E-2</v>
      </c>
    </row>
    <row r="4678" spans="1:2">
      <c r="A4678">
        <v>127</v>
      </c>
      <c r="B4678" t="s">
        <v>30</v>
      </c>
    </row>
    <row r="4679" spans="1:2">
      <c r="A4679">
        <v>127</v>
      </c>
      <c r="B4679" s="2">
        <v>-0.46013999999999999</v>
      </c>
    </row>
    <row r="4680" spans="1:2">
      <c r="A4680">
        <v>127</v>
      </c>
      <c r="B4680" t="s">
        <v>8</v>
      </c>
    </row>
    <row r="4681" spans="1:2">
      <c r="A4681">
        <v>127</v>
      </c>
      <c r="B4681" s="2">
        <v>0.59299999999999997</v>
      </c>
    </row>
    <row r="4682" spans="1:2">
      <c r="A4682">
        <v>127</v>
      </c>
      <c r="B4682" t="s">
        <v>31</v>
      </c>
    </row>
    <row r="4683" spans="1:2">
      <c r="A4683">
        <v>127</v>
      </c>
      <c r="B4683">
        <v>-0.29099999999999998</v>
      </c>
    </row>
    <row r="4684" spans="1:2">
      <c r="A4684">
        <v>127</v>
      </c>
      <c r="B4684" t="s">
        <v>32</v>
      </c>
    </row>
    <row r="4685" spans="1:2">
      <c r="A4685">
        <v>127</v>
      </c>
      <c r="B4685" s="2">
        <v>-0.32754</v>
      </c>
    </row>
    <row r="4686" spans="1:2">
      <c r="A4686">
        <v>127</v>
      </c>
      <c r="B4686" t="s">
        <v>33</v>
      </c>
    </row>
    <row r="4687" spans="1:2">
      <c r="A4687">
        <v>127</v>
      </c>
      <c r="B4687" s="3">
        <v>0.53</v>
      </c>
    </row>
    <row r="4688" spans="1:2">
      <c r="A4688">
        <v>127</v>
      </c>
      <c r="B4688" t="s">
        <v>34</v>
      </c>
    </row>
    <row r="4689" spans="1:2">
      <c r="A4689">
        <v>127</v>
      </c>
      <c r="B4689" s="3">
        <v>0.47</v>
      </c>
    </row>
    <row r="4690" spans="1:2">
      <c r="A4690">
        <v>127</v>
      </c>
      <c r="B4690" t="s">
        <v>26</v>
      </c>
    </row>
    <row r="4691" spans="1:2">
      <c r="A4691">
        <v>127</v>
      </c>
      <c r="B4691">
        <v>0.52</v>
      </c>
    </row>
    <row r="4692" spans="1:2">
      <c r="A4692">
        <v>127</v>
      </c>
      <c r="B4692" t="s">
        <v>23</v>
      </c>
    </row>
    <row r="4693" spans="1:2">
      <c r="A4693">
        <v>127</v>
      </c>
      <c r="B4693">
        <v>-0.36</v>
      </c>
    </row>
    <row r="4694" spans="1:2">
      <c r="A4694">
        <v>127</v>
      </c>
      <c r="B4694" t="s">
        <v>24</v>
      </c>
    </row>
    <row r="4695" spans="1:2">
      <c r="A4695">
        <v>127</v>
      </c>
      <c r="B4695">
        <v>2.1549999999999998</v>
      </c>
    </row>
    <row r="4696" spans="1:2">
      <c r="A4696">
        <v>127</v>
      </c>
      <c r="B4696" t="s">
        <v>35</v>
      </c>
    </row>
    <row r="4697" spans="1:2">
      <c r="A4697">
        <v>127</v>
      </c>
      <c r="B4697">
        <v>0.60599999999999998</v>
      </c>
    </row>
    <row r="4698" spans="1:2">
      <c r="A4698">
        <v>127</v>
      </c>
      <c r="B4698" t="s">
        <v>36</v>
      </c>
    </row>
    <row r="4699" spans="1:2">
      <c r="A4699">
        <v>127</v>
      </c>
      <c r="B4699">
        <v>0.36699999999999999</v>
      </c>
    </row>
    <row r="4700" spans="1:2">
      <c r="A4700">
        <v>127</v>
      </c>
      <c r="B4700" t="s">
        <v>37</v>
      </c>
    </row>
    <row r="4701" spans="1:2">
      <c r="A4701">
        <v>127</v>
      </c>
      <c r="B4701">
        <v>-0.48199999999999998</v>
      </c>
    </row>
    <row r="4702" spans="1:2">
      <c r="A4702">
        <v>127</v>
      </c>
      <c r="B4702" t="s">
        <v>38</v>
      </c>
    </row>
    <row r="4703" spans="1:2">
      <c r="A4703">
        <v>127</v>
      </c>
      <c r="B4703">
        <v>0.59299999999999997</v>
      </c>
    </row>
    <row r="4704" spans="1:2">
      <c r="A4704">
        <v>127</v>
      </c>
      <c r="B4704" t="s">
        <v>39</v>
      </c>
    </row>
    <row r="4705" spans="1:2">
      <c r="A4705">
        <v>127</v>
      </c>
      <c r="B4705">
        <v>-0.10299999999999999</v>
      </c>
    </row>
    <row r="4706" spans="1:2">
      <c r="A4706">
        <v>127</v>
      </c>
      <c r="B4706" t="s">
        <v>40</v>
      </c>
    </row>
    <row r="4707" spans="1:2">
      <c r="A4707">
        <v>127</v>
      </c>
      <c r="B4707" s="4">
        <v>0</v>
      </c>
    </row>
    <row r="4708" spans="1:2">
      <c r="A4708">
        <v>127</v>
      </c>
      <c r="B4708" t="s">
        <v>41</v>
      </c>
    </row>
    <row r="4709" spans="1:2">
      <c r="A4709">
        <v>127</v>
      </c>
      <c r="B4709" s="4">
        <v>19000000</v>
      </c>
    </row>
    <row r="4710" spans="1:2">
      <c r="A4710">
        <v>127</v>
      </c>
      <c r="B4710" t="s">
        <v>42</v>
      </c>
    </row>
    <row r="4711" spans="1:2">
      <c r="A4711">
        <v>127</v>
      </c>
      <c r="B4711" t="s">
        <v>44</v>
      </c>
    </row>
    <row r="4712" spans="1:2">
      <c r="A4712">
        <v>126</v>
      </c>
      <c r="B4712" t="s">
        <v>27</v>
      </c>
    </row>
    <row r="4713" spans="1:2">
      <c r="A4713">
        <v>126</v>
      </c>
      <c r="B4713" s="2">
        <v>9.3880000000000005E-2</v>
      </c>
    </row>
    <row r="4714" spans="1:2">
      <c r="A4714">
        <v>126</v>
      </c>
      <c r="B4714" t="s">
        <v>1</v>
      </c>
    </row>
    <row r="4715" spans="1:2">
      <c r="A4715">
        <v>126</v>
      </c>
      <c r="B4715">
        <v>-0.36699999999999999</v>
      </c>
    </row>
    <row r="4716" spans="1:2">
      <c r="A4716">
        <v>126</v>
      </c>
      <c r="B4716" t="s">
        <v>28</v>
      </c>
    </row>
    <row r="4717" spans="1:2">
      <c r="A4717">
        <v>126</v>
      </c>
      <c r="B4717">
        <v>459</v>
      </c>
    </row>
    <row r="4718" spans="1:2">
      <c r="A4718">
        <v>126</v>
      </c>
      <c r="B4718" t="s">
        <v>25</v>
      </c>
    </row>
    <row r="4719" spans="1:2">
      <c r="A4719">
        <v>126</v>
      </c>
      <c r="B4719" s="2">
        <v>4.1099999999999998E-2</v>
      </c>
    </row>
    <row r="4720" spans="1:2">
      <c r="A4720">
        <v>126</v>
      </c>
      <c r="B4720" t="s">
        <v>29</v>
      </c>
    </row>
    <row r="4721" spans="1:2">
      <c r="A4721">
        <v>126</v>
      </c>
      <c r="B4721" s="2">
        <v>-7.9299999999999995E-2</v>
      </c>
    </row>
    <row r="4722" spans="1:2">
      <c r="A4722">
        <v>126</v>
      </c>
      <c r="B4722" t="s">
        <v>30</v>
      </c>
    </row>
    <row r="4723" spans="1:2">
      <c r="A4723">
        <v>126</v>
      </c>
      <c r="B4723" s="2">
        <v>-0.46013999999999999</v>
      </c>
    </row>
    <row r="4724" spans="1:2">
      <c r="A4724">
        <v>126</v>
      </c>
      <c r="B4724" t="s">
        <v>8</v>
      </c>
    </row>
    <row r="4725" spans="1:2">
      <c r="A4725">
        <v>126</v>
      </c>
      <c r="B4725" s="2">
        <v>0.59299999999999997</v>
      </c>
    </row>
    <row r="4726" spans="1:2">
      <c r="A4726">
        <v>126</v>
      </c>
      <c r="B4726" t="s">
        <v>31</v>
      </c>
    </row>
    <row r="4727" spans="1:2">
      <c r="A4727">
        <v>126</v>
      </c>
      <c r="B4727">
        <v>-0.29099999999999998</v>
      </c>
    </row>
    <row r="4728" spans="1:2">
      <c r="A4728">
        <v>126</v>
      </c>
      <c r="B4728" t="s">
        <v>32</v>
      </c>
    </row>
    <row r="4729" spans="1:2">
      <c r="A4729">
        <v>126</v>
      </c>
      <c r="B4729" s="2">
        <v>-0.32754</v>
      </c>
    </row>
    <row r="4730" spans="1:2">
      <c r="A4730">
        <v>126</v>
      </c>
      <c r="B4730" t="s">
        <v>33</v>
      </c>
    </row>
    <row r="4731" spans="1:2">
      <c r="A4731">
        <v>126</v>
      </c>
      <c r="B4731" s="3">
        <v>0.53</v>
      </c>
    </row>
    <row r="4732" spans="1:2">
      <c r="A4732">
        <v>126</v>
      </c>
      <c r="B4732" t="s">
        <v>34</v>
      </c>
    </row>
    <row r="4733" spans="1:2">
      <c r="A4733">
        <v>126</v>
      </c>
      <c r="B4733" s="3">
        <v>0.47</v>
      </c>
    </row>
    <row r="4734" spans="1:2">
      <c r="A4734">
        <v>126</v>
      </c>
      <c r="B4734" t="s">
        <v>26</v>
      </c>
    </row>
    <row r="4735" spans="1:2">
      <c r="A4735">
        <v>126</v>
      </c>
      <c r="B4735">
        <v>0.52</v>
      </c>
    </row>
    <row r="4736" spans="1:2">
      <c r="A4736">
        <v>126</v>
      </c>
      <c r="B4736" t="s">
        <v>23</v>
      </c>
    </row>
    <row r="4737" spans="1:2">
      <c r="A4737">
        <v>126</v>
      </c>
      <c r="B4737">
        <v>-0.36</v>
      </c>
    </row>
    <row r="4738" spans="1:2">
      <c r="A4738">
        <v>126</v>
      </c>
      <c r="B4738" t="s">
        <v>24</v>
      </c>
    </row>
    <row r="4739" spans="1:2">
      <c r="A4739">
        <v>126</v>
      </c>
      <c r="B4739">
        <v>2.1549999999999998</v>
      </c>
    </row>
    <row r="4740" spans="1:2">
      <c r="A4740">
        <v>126</v>
      </c>
      <c r="B4740" t="s">
        <v>35</v>
      </c>
    </row>
    <row r="4741" spans="1:2">
      <c r="A4741">
        <v>126</v>
      </c>
      <c r="B4741">
        <v>0.60599999999999998</v>
      </c>
    </row>
    <row r="4742" spans="1:2">
      <c r="A4742">
        <v>126</v>
      </c>
      <c r="B4742" t="s">
        <v>36</v>
      </c>
    </row>
    <row r="4743" spans="1:2">
      <c r="A4743">
        <v>126</v>
      </c>
      <c r="B4743">
        <v>0.36699999999999999</v>
      </c>
    </row>
    <row r="4744" spans="1:2">
      <c r="A4744">
        <v>126</v>
      </c>
      <c r="B4744" t="s">
        <v>37</v>
      </c>
    </row>
    <row r="4745" spans="1:2">
      <c r="A4745">
        <v>126</v>
      </c>
      <c r="B4745">
        <v>-0.48199999999999998</v>
      </c>
    </row>
    <row r="4746" spans="1:2">
      <c r="A4746">
        <v>126</v>
      </c>
      <c r="B4746" t="s">
        <v>38</v>
      </c>
    </row>
    <row r="4747" spans="1:2">
      <c r="A4747">
        <v>126</v>
      </c>
      <c r="B4747">
        <v>0.59299999999999997</v>
      </c>
    </row>
    <row r="4748" spans="1:2">
      <c r="A4748">
        <v>126</v>
      </c>
      <c r="B4748" t="s">
        <v>39</v>
      </c>
    </row>
    <row r="4749" spans="1:2">
      <c r="A4749">
        <v>126</v>
      </c>
      <c r="B4749">
        <v>-0.10299999999999999</v>
      </c>
    </row>
    <row r="4750" spans="1:2">
      <c r="A4750">
        <v>126</v>
      </c>
      <c r="B4750" t="s">
        <v>40</v>
      </c>
    </row>
    <row r="4751" spans="1:2">
      <c r="A4751">
        <v>126</v>
      </c>
      <c r="B4751" s="4">
        <v>0</v>
      </c>
    </row>
    <row r="4752" spans="1:2">
      <c r="A4752">
        <v>126</v>
      </c>
      <c r="B4752" t="s">
        <v>41</v>
      </c>
    </row>
    <row r="4753" spans="1:2">
      <c r="A4753">
        <v>126</v>
      </c>
      <c r="B4753" s="4">
        <v>19000000</v>
      </c>
    </row>
    <row r="4754" spans="1:2">
      <c r="A4754">
        <v>126</v>
      </c>
      <c r="B4754" t="s">
        <v>42</v>
      </c>
    </row>
    <row r="4755" spans="1:2">
      <c r="A4755">
        <v>126</v>
      </c>
      <c r="B4755" t="s">
        <v>44</v>
      </c>
    </row>
    <row r="4756" spans="1:2">
      <c r="A4756">
        <v>125</v>
      </c>
      <c r="B4756" t="s">
        <v>27</v>
      </c>
    </row>
    <row r="4757" spans="1:2">
      <c r="A4757">
        <v>125</v>
      </c>
      <c r="B4757" s="2">
        <v>9.3880000000000005E-2</v>
      </c>
    </row>
    <row r="4758" spans="1:2">
      <c r="A4758">
        <v>125</v>
      </c>
      <c r="B4758" t="s">
        <v>1</v>
      </c>
    </row>
    <row r="4759" spans="1:2">
      <c r="A4759">
        <v>125</v>
      </c>
      <c r="B4759">
        <v>-0.36699999999999999</v>
      </c>
    </row>
    <row r="4760" spans="1:2">
      <c r="A4760">
        <v>125</v>
      </c>
      <c r="B4760" t="s">
        <v>28</v>
      </c>
    </row>
    <row r="4761" spans="1:2">
      <c r="A4761">
        <v>125</v>
      </c>
      <c r="B4761">
        <v>459</v>
      </c>
    </row>
    <row r="4762" spans="1:2">
      <c r="A4762">
        <v>125</v>
      </c>
      <c r="B4762" t="s">
        <v>25</v>
      </c>
    </row>
    <row r="4763" spans="1:2">
      <c r="A4763">
        <v>125</v>
      </c>
      <c r="B4763" s="2">
        <v>4.1099999999999998E-2</v>
      </c>
    </row>
    <row r="4764" spans="1:2">
      <c r="A4764">
        <v>125</v>
      </c>
      <c r="B4764" t="s">
        <v>29</v>
      </c>
    </row>
    <row r="4765" spans="1:2">
      <c r="A4765">
        <v>125</v>
      </c>
      <c r="B4765" s="2">
        <v>-7.9299999999999995E-2</v>
      </c>
    </row>
    <row r="4766" spans="1:2">
      <c r="A4766">
        <v>125</v>
      </c>
      <c r="B4766" t="s">
        <v>30</v>
      </c>
    </row>
    <row r="4767" spans="1:2">
      <c r="A4767">
        <v>125</v>
      </c>
      <c r="B4767" s="2">
        <v>-0.46013999999999999</v>
      </c>
    </row>
    <row r="4768" spans="1:2">
      <c r="A4768">
        <v>125</v>
      </c>
      <c r="B4768" t="s">
        <v>8</v>
      </c>
    </row>
    <row r="4769" spans="1:2">
      <c r="A4769">
        <v>125</v>
      </c>
      <c r="B4769" s="2">
        <v>0.59299999999999997</v>
      </c>
    </row>
    <row r="4770" spans="1:2">
      <c r="A4770">
        <v>125</v>
      </c>
      <c r="B4770" t="s">
        <v>31</v>
      </c>
    </row>
    <row r="4771" spans="1:2">
      <c r="A4771">
        <v>125</v>
      </c>
      <c r="B4771">
        <v>-0.29099999999999998</v>
      </c>
    </row>
    <row r="4772" spans="1:2">
      <c r="A4772">
        <v>125</v>
      </c>
      <c r="B4772" t="s">
        <v>32</v>
      </c>
    </row>
    <row r="4773" spans="1:2">
      <c r="A4773">
        <v>125</v>
      </c>
      <c r="B4773" s="2">
        <v>-0.32754</v>
      </c>
    </row>
    <row r="4774" spans="1:2">
      <c r="A4774">
        <v>125</v>
      </c>
      <c r="B4774" t="s">
        <v>33</v>
      </c>
    </row>
    <row r="4775" spans="1:2">
      <c r="A4775">
        <v>125</v>
      </c>
      <c r="B4775" s="3">
        <v>0.53</v>
      </c>
    </row>
    <row r="4776" spans="1:2">
      <c r="A4776">
        <v>125</v>
      </c>
      <c r="B4776" t="s">
        <v>34</v>
      </c>
    </row>
    <row r="4777" spans="1:2">
      <c r="A4777">
        <v>125</v>
      </c>
      <c r="B4777" s="3">
        <v>0.47</v>
      </c>
    </row>
    <row r="4778" spans="1:2">
      <c r="A4778">
        <v>125</v>
      </c>
      <c r="B4778" t="s">
        <v>26</v>
      </c>
    </row>
    <row r="4779" spans="1:2">
      <c r="A4779">
        <v>125</v>
      </c>
      <c r="B4779">
        <v>0.52</v>
      </c>
    </row>
    <row r="4780" spans="1:2">
      <c r="A4780">
        <v>125</v>
      </c>
      <c r="B4780" t="s">
        <v>23</v>
      </c>
    </row>
    <row r="4781" spans="1:2">
      <c r="A4781">
        <v>125</v>
      </c>
      <c r="B4781">
        <v>-0.36</v>
      </c>
    </row>
    <row r="4782" spans="1:2">
      <c r="A4782">
        <v>125</v>
      </c>
      <c r="B4782" t="s">
        <v>24</v>
      </c>
    </row>
    <row r="4783" spans="1:2">
      <c r="A4783">
        <v>125</v>
      </c>
      <c r="B4783">
        <v>2.1549999999999998</v>
      </c>
    </row>
    <row r="4784" spans="1:2">
      <c r="A4784">
        <v>125</v>
      </c>
      <c r="B4784" t="s">
        <v>35</v>
      </c>
    </row>
    <row r="4785" spans="1:2">
      <c r="A4785">
        <v>125</v>
      </c>
      <c r="B4785">
        <v>0.60599999999999998</v>
      </c>
    </row>
    <row r="4786" spans="1:2">
      <c r="A4786">
        <v>125</v>
      </c>
      <c r="B4786" t="s">
        <v>36</v>
      </c>
    </row>
    <row r="4787" spans="1:2">
      <c r="A4787">
        <v>125</v>
      </c>
      <c r="B4787">
        <v>0.36699999999999999</v>
      </c>
    </row>
    <row r="4788" spans="1:2">
      <c r="A4788">
        <v>125</v>
      </c>
      <c r="B4788" t="s">
        <v>37</v>
      </c>
    </row>
    <row r="4789" spans="1:2">
      <c r="A4789">
        <v>125</v>
      </c>
      <c r="B4789">
        <v>-0.48199999999999998</v>
      </c>
    </row>
    <row r="4790" spans="1:2">
      <c r="A4790">
        <v>125</v>
      </c>
      <c r="B4790" t="s">
        <v>38</v>
      </c>
    </row>
    <row r="4791" spans="1:2">
      <c r="A4791">
        <v>125</v>
      </c>
      <c r="B4791">
        <v>0.59299999999999997</v>
      </c>
    </row>
    <row r="4792" spans="1:2">
      <c r="A4792">
        <v>125</v>
      </c>
      <c r="B4792" t="s">
        <v>39</v>
      </c>
    </row>
    <row r="4793" spans="1:2">
      <c r="A4793">
        <v>125</v>
      </c>
      <c r="B4793">
        <v>-0.10299999999999999</v>
      </c>
    </row>
    <row r="4794" spans="1:2">
      <c r="A4794">
        <v>125</v>
      </c>
      <c r="B4794" t="s">
        <v>40</v>
      </c>
    </row>
    <row r="4795" spans="1:2">
      <c r="A4795">
        <v>125</v>
      </c>
      <c r="B4795" s="4">
        <v>0</v>
      </c>
    </row>
    <row r="4796" spans="1:2">
      <c r="A4796">
        <v>125</v>
      </c>
      <c r="B4796" t="s">
        <v>41</v>
      </c>
    </row>
    <row r="4797" spans="1:2">
      <c r="A4797">
        <v>125</v>
      </c>
      <c r="B4797" s="4">
        <v>19000000</v>
      </c>
    </row>
    <row r="4798" spans="1:2">
      <c r="A4798">
        <v>125</v>
      </c>
      <c r="B4798" t="s">
        <v>42</v>
      </c>
    </row>
    <row r="4799" spans="1:2">
      <c r="A4799">
        <v>125</v>
      </c>
      <c r="B4799" t="s">
        <v>44</v>
      </c>
    </row>
    <row r="4800" spans="1:2">
      <c r="A4800">
        <v>124</v>
      </c>
      <c r="B4800" t="s">
        <v>27</v>
      </c>
    </row>
    <row r="4801" spans="1:2">
      <c r="A4801">
        <v>124</v>
      </c>
      <c r="B4801" s="2">
        <v>9.3880000000000005E-2</v>
      </c>
    </row>
    <row r="4802" spans="1:2">
      <c r="A4802">
        <v>124</v>
      </c>
      <c r="B4802" t="s">
        <v>1</v>
      </c>
    </row>
    <row r="4803" spans="1:2">
      <c r="A4803">
        <v>124</v>
      </c>
      <c r="B4803">
        <v>-0.36699999999999999</v>
      </c>
    </row>
    <row r="4804" spans="1:2">
      <c r="A4804">
        <v>124</v>
      </c>
      <c r="B4804" t="s">
        <v>28</v>
      </c>
    </row>
    <row r="4805" spans="1:2">
      <c r="A4805">
        <v>124</v>
      </c>
      <c r="B4805">
        <v>459</v>
      </c>
    </row>
    <row r="4806" spans="1:2">
      <c r="A4806">
        <v>124</v>
      </c>
      <c r="B4806" t="s">
        <v>25</v>
      </c>
    </row>
    <row r="4807" spans="1:2">
      <c r="A4807">
        <v>124</v>
      </c>
      <c r="B4807" s="2">
        <v>4.1099999999999998E-2</v>
      </c>
    </row>
    <row r="4808" spans="1:2">
      <c r="A4808">
        <v>124</v>
      </c>
      <c r="B4808" t="s">
        <v>29</v>
      </c>
    </row>
    <row r="4809" spans="1:2">
      <c r="A4809">
        <v>124</v>
      </c>
      <c r="B4809" s="2">
        <v>-7.9299999999999995E-2</v>
      </c>
    </row>
    <row r="4810" spans="1:2">
      <c r="A4810">
        <v>124</v>
      </c>
      <c r="B4810" t="s">
        <v>30</v>
      </c>
    </row>
    <row r="4811" spans="1:2">
      <c r="A4811">
        <v>124</v>
      </c>
      <c r="B4811" s="2">
        <v>-0.46013999999999999</v>
      </c>
    </row>
    <row r="4812" spans="1:2">
      <c r="A4812">
        <v>124</v>
      </c>
      <c r="B4812" t="s">
        <v>8</v>
      </c>
    </row>
    <row r="4813" spans="1:2">
      <c r="A4813">
        <v>124</v>
      </c>
      <c r="B4813" s="2">
        <v>0.59299999999999997</v>
      </c>
    </row>
    <row r="4814" spans="1:2">
      <c r="A4814">
        <v>124</v>
      </c>
      <c r="B4814" t="s">
        <v>31</v>
      </c>
    </row>
    <row r="4815" spans="1:2">
      <c r="A4815">
        <v>124</v>
      </c>
      <c r="B4815">
        <v>-0.29099999999999998</v>
      </c>
    </row>
    <row r="4816" spans="1:2">
      <c r="A4816">
        <v>124</v>
      </c>
      <c r="B4816" t="s">
        <v>32</v>
      </c>
    </row>
    <row r="4817" spans="1:2">
      <c r="A4817">
        <v>124</v>
      </c>
      <c r="B4817" s="2">
        <v>-0.32754</v>
      </c>
    </row>
    <row r="4818" spans="1:2">
      <c r="A4818">
        <v>124</v>
      </c>
      <c r="B4818" t="s">
        <v>33</v>
      </c>
    </row>
    <row r="4819" spans="1:2">
      <c r="A4819">
        <v>124</v>
      </c>
      <c r="B4819" s="3">
        <v>0.53</v>
      </c>
    </row>
    <row r="4820" spans="1:2">
      <c r="A4820">
        <v>124</v>
      </c>
      <c r="B4820" t="s">
        <v>34</v>
      </c>
    </row>
    <row r="4821" spans="1:2">
      <c r="A4821">
        <v>124</v>
      </c>
      <c r="B4821" s="3">
        <v>0.47</v>
      </c>
    </row>
    <row r="4822" spans="1:2">
      <c r="A4822">
        <v>124</v>
      </c>
      <c r="B4822" t="s">
        <v>26</v>
      </c>
    </row>
    <row r="4823" spans="1:2">
      <c r="A4823">
        <v>124</v>
      </c>
      <c r="B4823">
        <v>0.52</v>
      </c>
    </row>
    <row r="4824" spans="1:2">
      <c r="A4824">
        <v>124</v>
      </c>
      <c r="B4824" t="s">
        <v>23</v>
      </c>
    </row>
    <row r="4825" spans="1:2">
      <c r="A4825">
        <v>124</v>
      </c>
      <c r="B4825">
        <v>-0.36</v>
      </c>
    </row>
    <row r="4826" spans="1:2">
      <c r="A4826">
        <v>124</v>
      </c>
      <c r="B4826" t="s">
        <v>24</v>
      </c>
    </row>
    <row r="4827" spans="1:2">
      <c r="A4827">
        <v>124</v>
      </c>
      <c r="B4827">
        <v>2.1549999999999998</v>
      </c>
    </row>
    <row r="4828" spans="1:2">
      <c r="A4828">
        <v>124</v>
      </c>
      <c r="B4828" t="s">
        <v>35</v>
      </c>
    </row>
    <row r="4829" spans="1:2">
      <c r="A4829">
        <v>124</v>
      </c>
      <c r="B4829">
        <v>0.60599999999999998</v>
      </c>
    </row>
    <row r="4830" spans="1:2">
      <c r="A4830">
        <v>124</v>
      </c>
      <c r="B4830" t="s">
        <v>36</v>
      </c>
    </row>
    <row r="4831" spans="1:2">
      <c r="A4831">
        <v>124</v>
      </c>
      <c r="B4831">
        <v>0.36699999999999999</v>
      </c>
    </row>
    <row r="4832" spans="1:2">
      <c r="A4832">
        <v>124</v>
      </c>
      <c r="B4832" t="s">
        <v>37</v>
      </c>
    </row>
    <row r="4833" spans="1:2">
      <c r="A4833">
        <v>124</v>
      </c>
      <c r="B4833">
        <v>-0.48199999999999998</v>
      </c>
    </row>
    <row r="4834" spans="1:2">
      <c r="A4834">
        <v>124</v>
      </c>
      <c r="B4834" t="s">
        <v>38</v>
      </c>
    </row>
    <row r="4835" spans="1:2">
      <c r="A4835">
        <v>124</v>
      </c>
      <c r="B4835">
        <v>0.59299999999999997</v>
      </c>
    </row>
    <row r="4836" spans="1:2">
      <c r="A4836">
        <v>124</v>
      </c>
      <c r="B4836" t="s">
        <v>39</v>
      </c>
    </row>
    <row r="4837" spans="1:2">
      <c r="A4837">
        <v>124</v>
      </c>
      <c r="B4837">
        <v>-0.10299999999999999</v>
      </c>
    </row>
    <row r="4838" spans="1:2">
      <c r="A4838">
        <v>124</v>
      </c>
      <c r="B4838" t="s">
        <v>40</v>
      </c>
    </row>
    <row r="4839" spans="1:2">
      <c r="A4839">
        <v>124</v>
      </c>
      <c r="B4839" s="4">
        <v>0</v>
      </c>
    </row>
    <row r="4840" spans="1:2">
      <c r="A4840">
        <v>124</v>
      </c>
      <c r="B4840" t="s">
        <v>41</v>
      </c>
    </row>
    <row r="4841" spans="1:2">
      <c r="A4841">
        <v>124</v>
      </c>
      <c r="B4841" s="4">
        <v>19000000</v>
      </c>
    </row>
    <row r="4842" spans="1:2">
      <c r="A4842">
        <v>124</v>
      </c>
      <c r="B4842" t="s">
        <v>42</v>
      </c>
    </row>
    <row r="4843" spans="1:2">
      <c r="A4843">
        <v>124</v>
      </c>
      <c r="B4843" t="s">
        <v>44</v>
      </c>
    </row>
    <row r="4844" spans="1:2">
      <c r="A4844">
        <v>123</v>
      </c>
      <c r="B4844" t="s">
        <v>27</v>
      </c>
    </row>
    <row r="4845" spans="1:2">
      <c r="A4845">
        <v>123</v>
      </c>
      <c r="B4845" s="2">
        <v>9.3880000000000005E-2</v>
      </c>
    </row>
    <row r="4846" spans="1:2">
      <c r="A4846">
        <v>123</v>
      </c>
      <c r="B4846" t="s">
        <v>1</v>
      </c>
    </row>
    <row r="4847" spans="1:2">
      <c r="A4847">
        <v>123</v>
      </c>
      <c r="B4847">
        <v>-0.36699999999999999</v>
      </c>
    </row>
    <row r="4848" spans="1:2">
      <c r="A4848">
        <v>123</v>
      </c>
      <c r="B4848" t="s">
        <v>28</v>
      </c>
    </row>
    <row r="4849" spans="1:2">
      <c r="A4849">
        <v>123</v>
      </c>
      <c r="B4849">
        <v>459</v>
      </c>
    </row>
    <row r="4850" spans="1:2">
      <c r="A4850">
        <v>123</v>
      </c>
      <c r="B4850" t="s">
        <v>25</v>
      </c>
    </row>
    <row r="4851" spans="1:2">
      <c r="A4851">
        <v>123</v>
      </c>
      <c r="B4851" s="2">
        <v>4.1099999999999998E-2</v>
      </c>
    </row>
    <row r="4852" spans="1:2">
      <c r="A4852">
        <v>123</v>
      </c>
      <c r="B4852" t="s">
        <v>29</v>
      </c>
    </row>
    <row r="4853" spans="1:2">
      <c r="A4853">
        <v>123</v>
      </c>
      <c r="B4853" s="2">
        <v>-7.9299999999999995E-2</v>
      </c>
    </row>
    <row r="4854" spans="1:2">
      <c r="A4854">
        <v>123</v>
      </c>
      <c r="B4854" t="s">
        <v>30</v>
      </c>
    </row>
    <row r="4855" spans="1:2">
      <c r="A4855">
        <v>123</v>
      </c>
      <c r="B4855" s="2">
        <v>-0.46013999999999999</v>
      </c>
    </row>
    <row r="4856" spans="1:2">
      <c r="A4856">
        <v>123</v>
      </c>
      <c r="B4856" t="s">
        <v>8</v>
      </c>
    </row>
    <row r="4857" spans="1:2">
      <c r="A4857">
        <v>123</v>
      </c>
      <c r="B4857" s="2">
        <v>0.59299999999999997</v>
      </c>
    </row>
    <row r="4858" spans="1:2">
      <c r="A4858">
        <v>123</v>
      </c>
      <c r="B4858" t="s">
        <v>31</v>
      </c>
    </row>
    <row r="4859" spans="1:2">
      <c r="A4859">
        <v>123</v>
      </c>
      <c r="B4859">
        <v>-0.29099999999999998</v>
      </c>
    </row>
    <row r="4860" spans="1:2">
      <c r="A4860">
        <v>123</v>
      </c>
      <c r="B4860" t="s">
        <v>32</v>
      </c>
    </row>
    <row r="4861" spans="1:2">
      <c r="A4861">
        <v>123</v>
      </c>
      <c r="B4861" s="2">
        <v>-0.32754</v>
      </c>
    </row>
    <row r="4862" spans="1:2">
      <c r="A4862">
        <v>123</v>
      </c>
      <c r="B4862" t="s">
        <v>33</v>
      </c>
    </row>
    <row r="4863" spans="1:2">
      <c r="A4863">
        <v>123</v>
      </c>
      <c r="B4863" s="3">
        <v>0.53</v>
      </c>
    </row>
    <row r="4864" spans="1:2">
      <c r="A4864">
        <v>123</v>
      </c>
      <c r="B4864" t="s">
        <v>34</v>
      </c>
    </row>
    <row r="4865" spans="1:2">
      <c r="A4865">
        <v>123</v>
      </c>
      <c r="B4865" s="3">
        <v>0.47</v>
      </c>
    </row>
    <row r="4866" spans="1:2">
      <c r="A4866">
        <v>123</v>
      </c>
      <c r="B4866" t="s">
        <v>26</v>
      </c>
    </row>
    <row r="4867" spans="1:2">
      <c r="A4867">
        <v>123</v>
      </c>
      <c r="B4867">
        <v>0.52</v>
      </c>
    </row>
    <row r="4868" spans="1:2">
      <c r="A4868">
        <v>123</v>
      </c>
      <c r="B4868" t="s">
        <v>23</v>
      </c>
    </row>
    <row r="4869" spans="1:2">
      <c r="A4869">
        <v>123</v>
      </c>
      <c r="B4869">
        <v>-0.36</v>
      </c>
    </row>
    <row r="4870" spans="1:2">
      <c r="A4870">
        <v>123</v>
      </c>
      <c r="B4870" t="s">
        <v>24</v>
      </c>
    </row>
    <row r="4871" spans="1:2">
      <c r="A4871">
        <v>123</v>
      </c>
      <c r="B4871">
        <v>2.1549999999999998</v>
      </c>
    </row>
    <row r="4872" spans="1:2">
      <c r="A4872">
        <v>123</v>
      </c>
      <c r="B4872" t="s">
        <v>35</v>
      </c>
    </row>
    <row r="4873" spans="1:2">
      <c r="A4873">
        <v>123</v>
      </c>
      <c r="B4873">
        <v>0.60599999999999998</v>
      </c>
    </row>
    <row r="4874" spans="1:2">
      <c r="A4874">
        <v>123</v>
      </c>
      <c r="B4874" t="s">
        <v>36</v>
      </c>
    </row>
    <row r="4875" spans="1:2">
      <c r="A4875">
        <v>123</v>
      </c>
      <c r="B4875">
        <v>0.36699999999999999</v>
      </c>
    </row>
    <row r="4876" spans="1:2">
      <c r="A4876">
        <v>123</v>
      </c>
      <c r="B4876" t="s">
        <v>37</v>
      </c>
    </row>
    <row r="4877" spans="1:2">
      <c r="A4877">
        <v>123</v>
      </c>
      <c r="B4877">
        <v>-0.48199999999999998</v>
      </c>
    </row>
    <row r="4878" spans="1:2">
      <c r="A4878">
        <v>123</v>
      </c>
      <c r="B4878" t="s">
        <v>38</v>
      </c>
    </row>
    <row r="4879" spans="1:2">
      <c r="A4879">
        <v>123</v>
      </c>
      <c r="B4879">
        <v>0.59299999999999997</v>
      </c>
    </row>
    <row r="4880" spans="1:2">
      <c r="A4880">
        <v>123</v>
      </c>
      <c r="B4880" t="s">
        <v>39</v>
      </c>
    </row>
    <row r="4881" spans="1:2">
      <c r="A4881">
        <v>123</v>
      </c>
      <c r="B4881">
        <v>-0.10299999999999999</v>
      </c>
    </row>
    <row r="4882" spans="1:2">
      <c r="A4882">
        <v>123</v>
      </c>
      <c r="B4882" t="s">
        <v>40</v>
      </c>
    </row>
    <row r="4883" spans="1:2">
      <c r="A4883">
        <v>123</v>
      </c>
      <c r="B4883" s="4">
        <v>0</v>
      </c>
    </row>
    <row r="4884" spans="1:2">
      <c r="A4884">
        <v>123</v>
      </c>
      <c r="B4884" t="s">
        <v>41</v>
      </c>
    </row>
    <row r="4885" spans="1:2">
      <c r="A4885">
        <v>123</v>
      </c>
      <c r="B4885" s="4">
        <v>19000000</v>
      </c>
    </row>
    <row r="4886" spans="1:2">
      <c r="A4886">
        <v>123</v>
      </c>
      <c r="B4886" t="s">
        <v>42</v>
      </c>
    </row>
    <row r="4887" spans="1:2">
      <c r="A4887">
        <v>123</v>
      </c>
      <c r="B4887" t="s">
        <v>44</v>
      </c>
    </row>
    <row r="4888" spans="1:2">
      <c r="A4888">
        <v>122</v>
      </c>
      <c r="B4888" t="s">
        <v>27</v>
      </c>
    </row>
    <row r="4889" spans="1:2">
      <c r="A4889">
        <v>122</v>
      </c>
      <c r="B4889" s="2">
        <v>5.9999999999999995E-4</v>
      </c>
    </row>
    <row r="4890" spans="1:2">
      <c r="A4890">
        <v>122</v>
      </c>
      <c r="B4890" t="s">
        <v>1</v>
      </c>
    </row>
    <row r="4891" spans="1:2">
      <c r="A4891">
        <v>122</v>
      </c>
      <c r="B4891">
        <v>-1.4730000000000001</v>
      </c>
    </row>
    <row r="4892" spans="1:2">
      <c r="A4892">
        <v>122</v>
      </c>
      <c r="B4892" t="s">
        <v>28</v>
      </c>
    </row>
    <row r="4893" spans="1:2">
      <c r="A4893">
        <v>122</v>
      </c>
      <c r="B4893">
        <v>278</v>
      </c>
    </row>
    <row r="4894" spans="1:2">
      <c r="A4894">
        <v>122</v>
      </c>
      <c r="B4894" t="s">
        <v>25</v>
      </c>
    </row>
    <row r="4895" spans="1:2">
      <c r="A4895">
        <v>122</v>
      </c>
      <c r="B4895" s="2">
        <v>1.8499999999999999E-2</v>
      </c>
    </row>
    <row r="4896" spans="1:2">
      <c r="A4896">
        <v>122</v>
      </c>
      <c r="B4896" t="s">
        <v>29</v>
      </c>
    </row>
    <row r="4897" spans="1:2">
      <c r="A4897">
        <v>122</v>
      </c>
      <c r="B4897" s="2">
        <v>-2.1299999999999999E-2</v>
      </c>
    </row>
    <row r="4898" spans="1:2">
      <c r="A4898">
        <v>122</v>
      </c>
      <c r="B4898" t="s">
        <v>30</v>
      </c>
    </row>
    <row r="4899" spans="1:2">
      <c r="A4899">
        <v>122</v>
      </c>
      <c r="B4899" s="2">
        <v>-0.16703000000000001</v>
      </c>
    </row>
    <row r="4900" spans="1:2">
      <c r="A4900">
        <v>122</v>
      </c>
      <c r="B4900" t="s">
        <v>8</v>
      </c>
    </row>
    <row r="4901" spans="1:2">
      <c r="A4901">
        <v>122</v>
      </c>
      <c r="B4901" s="2">
        <v>0.11700000000000001</v>
      </c>
    </row>
    <row r="4902" spans="1:2">
      <c r="A4902">
        <v>122</v>
      </c>
      <c r="B4902" t="s">
        <v>31</v>
      </c>
    </row>
    <row r="4903" spans="1:2">
      <c r="A4903">
        <v>122</v>
      </c>
      <c r="B4903">
        <v>-0.58499999999999996</v>
      </c>
    </row>
    <row r="4904" spans="1:2">
      <c r="A4904">
        <v>122</v>
      </c>
      <c r="B4904" t="s">
        <v>32</v>
      </c>
    </row>
    <row r="4905" spans="1:2">
      <c r="A4905">
        <v>122</v>
      </c>
      <c r="B4905" s="2">
        <v>-0.11099000000000001</v>
      </c>
    </row>
    <row r="4906" spans="1:2">
      <c r="A4906">
        <v>122</v>
      </c>
      <c r="B4906" t="s">
        <v>33</v>
      </c>
    </row>
    <row r="4907" spans="1:2">
      <c r="A4907">
        <v>122</v>
      </c>
      <c r="B4907" s="3">
        <v>0.78</v>
      </c>
    </row>
    <row r="4908" spans="1:2">
      <c r="A4908">
        <v>122</v>
      </c>
      <c r="B4908" t="s">
        <v>34</v>
      </c>
    </row>
    <row r="4909" spans="1:2">
      <c r="A4909">
        <v>122</v>
      </c>
      <c r="B4909" s="3">
        <v>0.22</v>
      </c>
    </row>
    <row r="4910" spans="1:2">
      <c r="A4910">
        <v>122</v>
      </c>
      <c r="B4910" t="s">
        <v>26</v>
      </c>
    </row>
    <row r="4911" spans="1:2">
      <c r="A4911">
        <v>122</v>
      </c>
      <c r="B4911">
        <v>0.87</v>
      </c>
    </row>
    <row r="4912" spans="1:2">
      <c r="A4912">
        <v>122</v>
      </c>
      <c r="B4912" t="s">
        <v>23</v>
      </c>
    </row>
    <row r="4913" spans="1:2">
      <c r="A4913">
        <v>122</v>
      </c>
      <c r="B4913">
        <v>-9.4E-2</v>
      </c>
    </row>
    <row r="4914" spans="1:2">
      <c r="A4914">
        <v>122</v>
      </c>
      <c r="B4914" t="s">
        <v>24</v>
      </c>
    </row>
    <row r="4915" spans="1:2">
      <c r="A4915">
        <v>122</v>
      </c>
      <c r="B4915">
        <v>-0.35299999999999998</v>
      </c>
    </row>
    <row r="4916" spans="1:2">
      <c r="A4916">
        <v>122</v>
      </c>
      <c r="B4916" t="s">
        <v>35</v>
      </c>
    </row>
    <row r="4917" spans="1:2">
      <c r="A4917">
        <v>122</v>
      </c>
      <c r="B4917">
        <v>7.9000000000000001E-2</v>
      </c>
    </row>
    <row r="4918" spans="1:2">
      <c r="A4918">
        <v>122</v>
      </c>
      <c r="B4918" t="s">
        <v>36</v>
      </c>
    </row>
    <row r="4919" spans="1:2">
      <c r="A4919">
        <v>122</v>
      </c>
      <c r="B4919">
        <v>6.0000000000000001E-3</v>
      </c>
    </row>
    <row r="4920" spans="1:2">
      <c r="A4920">
        <v>122</v>
      </c>
      <c r="B4920" t="s">
        <v>37</v>
      </c>
    </row>
    <row r="4921" spans="1:2">
      <c r="A4921">
        <v>122</v>
      </c>
      <c r="B4921">
        <v>-1.532</v>
      </c>
    </row>
    <row r="4922" spans="1:2">
      <c r="A4922">
        <v>122</v>
      </c>
      <c r="B4922" t="s">
        <v>38</v>
      </c>
    </row>
    <row r="4923" spans="1:2">
      <c r="A4923">
        <v>122</v>
      </c>
      <c r="B4923">
        <v>0.11799999999999999</v>
      </c>
    </row>
    <row r="4924" spans="1:2">
      <c r="A4924">
        <v>122</v>
      </c>
      <c r="B4924" t="s">
        <v>39</v>
      </c>
    </row>
    <row r="4925" spans="1:2">
      <c r="A4925">
        <v>122</v>
      </c>
      <c r="B4925">
        <v>0.33</v>
      </c>
    </row>
    <row r="4926" spans="1:2">
      <c r="A4926">
        <v>122</v>
      </c>
      <c r="B4926" t="s">
        <v>40</v>
      </c>
    </row>
    <row r="4927" spans="1:2">
      <c r="A4927">
        <v>122</v>
      </c>
      <c r="B4927" s="4">
        <v>0</v>
      </c>
    </row>
    <row r="4928" spans="1:2">
      <c r="A4928">
        <v>122</v>
      </c>
      <c r="B4928" t="s">
        <v>41</v>
      </c>
    </row>
    <row r="4929" spans="1:2">
      <c r="A4929">
        <v>122</v>
      </c>
      <c r="B4929" s="4">
        <v>250000000</v>
      </c>
    </row>
    <row r="4930" spans="1:2">
      <c r="A4930">
        <v>122</v>
      </c>
      <c r="B4930" t="s">
        <v>42</v>
      </c>
    </row>
    <row r="4931" spans="1:2">
      <c r="A4931">
        <v>122</v>
      </c>
      <c r="B4931" t="s">
        <v>45</v>
      </c>
    </row>
    <row r="4932" spans="1:2">
      <c r="A4932">
        <v>121</v>
      </c>
      <c r="B4932" t="s">
        <v>27</v>
      </c>
    </row>
    <row r="4933" spans="1:2">
      <c r="A4933">
        <v>121</v>
      </c>
      <c r="B4933" s="2">
        <v>5.9999999999999995E-4</v>
      </c>
    </row>
    <row r="4934" spans="1:2">
      <c r="A4934">
        <v>121</v>
      </c>
      <c r="B4934" t="s">
        <v>1</v>
      </c>
    </row>
    <row r="4935" spans="1:2">
      <c r="A4935">
        <v>121</v>
      </c>
      <c r="B4935">
        <v>-1.4730000000000001</v>
      </c>
    </row>
    <row r="4936" spans="1:2">
      <c r="A4936">
        <v>121</v>
      </c>
      <c r="B4936" t="s">
        <v>28</v>
      </c>
    </row>
    <row r="4937" spans="1:2">
      <c r="A4937">
        <v>121</v>
      </c>
      <c r="B4937">
        <v>278</v>
      </c>
    </row>
    <row r="4938" spans="1:2">
      <c r="A4938">
        <v>121</v>
      </c>
      <c r="B4938" t="s">
        <v>25</v>
      </c>
    </row>
    <row r="4939" spans="1:2">
      <c r="A4939">
        <v>121</v>
      </c>
      <c r="B4939" s="2">
        <v>1.8499999999999999E-2</v>
      </c>
    </row>
    <row r="4940" spans="1:2">
      <c r="A4940">
        <v>121</v>
      </c>
      <c r="B4940" t="s">
        <v>29</v>
      </c>
    </row>
    <row r="4941" spans="1:2">
      <c r="A4941">
        <v>121</v>
      </c>
      <c r="B4941" s="2">
        <v>-2.1299999999999999E-2</v>
      </c>
    </row>
    <row r="4942" spans="1:2">
      <c r="A4942">
        <v>121</v>
      </c>
      <c r="B4942" t="s">
        <v>30</v>
      </c>
    </row>
    <row r="4943" spans="1:2">
      <c r="A4943">
        <v>121</v>
      </c>
      <c r="B4943" s="2">
        <v>-0.16703000000000001</v>
      </c>
    </row>
    <row r="4944" spans="1:2">
      <c r="A4944">
        <v>121</v>
      </c>
      <c r="B4944" t="s">
        <v>8</v>
      </c>
    </row>
    <row r="4945" spans="1:2">
      <c r="A4945">
        <v>121</v>
      </c>
      <c r="B4945" s="2">
        <v>0.11700000000000001</v>
      </c>
    </row>
    <row r="4946" spans="1:2">
      <c r="A4946">
        <v>121</v>
      </c>
      <c r="B4946" t="s">
        <v>31</v>
      </c>
    </row>
    <row r="4947" spans="1:2">
      <c r="A4947">
        <v>121</v>
      </c>
      <c r="B4947">
        <v>-0.58499999999999996</v>
      </c>
    </row>
    <row r="4948" spans="1:2">
      <c r="A4948">
        <v>121</v>
      </c>
      <c r="B4948" t="s">
        <v>32</v>
      </c>
    </row>
    <row r="4949" spans="1:2">
      <c r="A4949">
        <v>121</v>
      </c>
      <c r="B4949" s="2">
        <v>-0.11099000000000001</v>
      </c>
    </row>
    <row r="4950" spans="1:2">
      <c r="A4950">
        <v>121</v>
      </c>
      <c r="B4950" t="s">
        <v>33</v>
      </c>
    </row>
    <row r="4951" spans="1:2">
      <c r="A4951">
        <v>121</v>
      </c>
      <c r="B4951" s="3">
        <v>0.78</v>
      </c>
    </row>
    <row r="4952" spans="1:2">
      <c r="A4952">
        <v>121</v>
      </c>
      <c r="B4952" t="s">
        <v>34</v>
      </c>
    </row>
    <row r="4953" spans="1:2">
      <c r="A4953">
        <v>121</v>
      </c>
      <c r="B4953" s="3">
        <v>0.22</v>
      </c>
    </row>
    <row r="4954" spans="1:2">
      <c r="A4954">
        <v>121</v>
      </c>
      <c r="B4954" t="s">
        <v>26</v>
      </c>
    </row>
    <row r="4955" spans="1:2">
      <c r="A4955">
        <v>121</v>
      </c>
      <c r="B4955">
        <v>0.87</v>
      </c>
    </row>
    <row r="4956" spans="1:2">
      <c r="A4956">
        <v>121</v>
      </c>
      <c r="B4956" t="s">
        <v>23</v>
      </c>
    </row>
    <row r="4957" spans="1:2">
      <c r="A4957">
        <v>121</v>
      </c>
      <c r="B4957">
        <v>-9.4E-2</v>
      </c>
    </row>
    <row r="4958" spans="1:2">
      <c r="A4958">
        <v>121</v>
      </c>
      <c r="B4958" t="s">
        <v>24</v>
      </c>
    </row>
    <row r="4959" spans="1:2">
      <c r="A4959">
        <v>121</v>
      </c>
      <c r="B4959">
        <v>-0.35299999999999998</v>
      </c>
    </row>
    <row r="4960" spans="1:2">
      <c r="A4960">
        <v>121</v>
      </c>
      <c r="B4960" t="s">
        <v>35</v>
      </c>
    </row>
    <row r="4961" spans="1:2">
      <c r="A4961">
        <v>121</v>
      </c>
      <c r="B4961">
        <v>7.9000000000000001E-2</v>
      </c>
    </row>
    <row r="4962" spans="1:2">
      <c r="A4962">
        <v>121</v>
      </c>
      <c r="B4962" t="s">
        <v>36</v>
      </c>
    </row>
    <row r="4963" spans="1:2">
      <c r="A4963">
        <v>121</v>
      </c>
      <c r="B4963">
        <v>6.0000000000000001E-3</v>
      </c>
    </row>
    <row r="4964" spans="1:2">
      <c r="A4964">
        <v>121</v>
      </c>
      <c r="B4964" t="s">
        <v>37</v>
      </c>
    </row>
    <row r="4965" spans="1:2">
      <c r="A4965">
        <v>121</v>
      </c>
      <c r="B4965">
        <v>-1.532</v>
      </c>
    </row>
    <row r="4966" spans="1:2">
      <c r="A4966">
        <v>121</v>
      </c>
      <c r="B4966" t="s">
        <v>38</v>
      </c>
    </row>
    <row r="4967" spans="1:2">
      <c r="A4967">
        <v>121</v>
      </c>
      <c r="B4967">
        <v>0.11799999999999999</v>
      </c>
    </row>
    <row r="4968" spans="1:2">
      <c r="A4968">
        <v>121</v>
      </c>
      <c r="B4968" t="s">
        <v>39</v>
      </c>
    </row>
    <row r="4969" spans="1:2">
      <c r="A4969">
        <v>121</v>
      </c>
      <c r="B4969">
        <v>0.33</v>
      </c>
    </row>
    <row r="4970" spans="1:2">
      <c r="A4970">
        <v>121</v>
      </c>
      <c r="B4970" t="s">
        <v>40</v>
      </c>
    </row>
    <row r="4971" spans="1:2">
      <c r="A4971">
        <v>121</v>
      </c>
      <c r="B4971" s="4">
        <v>0</v>
      </c>
    </row>
    <row r="4972" spans="1:2">
      <c r="A4972">
        <v>121</v>
      </c>
      <c r="B4972" t="s">
        <v>41</v>
      </c>
    </row>
    <row r="4973" spans="1:2">
      <c r="A4973">
        <v>121</v>
      </c>
      <c r="B4973" s="4">
        <v>250000000</v>
      </c>
    </row>
    <row r="4974" spans="1:2">
      <c r="A4974">
        <v>121</v>
      </c>
      <c r="B4974" t="s">
        <v>42</v>
      </c>
    </row>
    <row r="4975" spans="1:2">
      <c r="A4975">
        <v>121</v>
      </c>
      <c r="B4975" t="s">
        <v>45</v>
      </c>
    </row>
    <row r="4976" spans="1:2">
      <c r="A4976">
        <v>120</v>
      </c>
      <c r="B4976" t="s">
        <v>27</v>
      </c>
    </row>
    <row r="4977" spans="1:2">
      <c r="A4977">
        <v>120</v>
      </c>
      <c r="B4977" s="2">
        <v>5.9999999999999995E-4</v>
      </c>
    </row>
    <row r="4978" spans="1:2">
      <c r="A4978">
        <v>120</v>
      </c>
      <c r="B4978" t="s">
        <v>1</v>
      </c>
    </row>
    <row r="4979" spans="1:2">
      <c r="A4979">
        <v>120</v>
      </c>
      <c r="B4979">
        <v>-1.4730000000000001</v>
      </c>
    </row>
    <row r="4980" spans="1:2">
      <c r="A4980">
        <v>120</v>
      </c>
      <c r="B4980" t="s">
        <v>28</v>
      </c>
    </row>
    <row r="4981" spans="1:2">
      <c r="A4981">
        <v>120</v>
      </c>
      <c r="B4981">
        <v>278</v>
      </c>
    </row>
    <row r="4982" spans="1:2">
      <c r="A4982">
        <v>120</v>
      </c>
      <c r="B4982" t="s">
        <v>25</v>
      </c>
    </row>
    <row r="4983" spans="1:2">
      <c r="A4983">
        <v>120</v>
      </c>
      <c r="B4983" s="2">
        <v>1.8499999999999999E-2</v>
      </c>
    </row>
    <row r="4984" spans="1:2">
      <c r="A4984">
        <v>120</v>
      </c>
      <c r="B4984" t="s">
        <v>29</v>
      </c>
    </row>
    <row r="4985" spans="1:2">
      <c r="A4985">
        <v>120</v>
      </c>
      <c r="B4985" s="2">
        <v>-2.1299999999999999E-2</v>
      </c>
    </row>
    <row r="4986" spans="1:2">
      <c r="A4986">
        <v>120</v>
      </c>
      <c r="B4986" t="s">
        <v>30</v>
      </c>
    </row>
    <row r="4987" spans="1:2">
      <c r="A4987">
        <v>120</v>
      </c>
      <c r="B4987" s="2">
        <v>-0.16703000000000001</v>
      </c>
    </row>
    <row r="4988" spans="1:2">
      <c r="A4988">
        <v>120</v>
      </c>
      <c r="B4988" t="s">
        <v>8</v>
      </c>
    </row>
    <row r="4989" spans="1:2">
      <c r="A4989">
        <v>120</v>
      </c>
      <c r="B4989" s="2">
        <v>0.11700000000000001</v>
      </c>
    </row>
    <row r="4990" spans="1:2">
      <c r="A4990">
        <v>120</v>
      </c>
      <c r="B4990" t="s">
        <v>31</v>
      </c>
    </row>
    <row r="4991" spans="1:2">
      <c r="A4991">
        <v>120</v>
      </c>
      <c r="B4991">
        <v>-0.58499999999999996</v>
      </c>
    </row>
    <row r="4992" spans="1:2">
      <c r="A4992">
        <v>120</v>
      </c>
      <c r="B4992" t="s">
        <v>32</v>
      </c>
    </row>
    <row r="4993" spans="1:2">
      <c r="A4993">
        <v>120</v>
      </c>
      <c r="B4993" s="2">
        <v>-0.11099000000000001</v>
      </c>
    </row>
    <row r="4994" spans="1:2">
      <c r="A4994">
        <v>120</v>
      </c>
      <c r="B4994" t="s">
        <v>33</v>
      </c>
    </row>
    <row r="4995" spans="1:2">
      <c r="A4995">
        <v>120</v>
      </c>
      <c r="B4995" s="3">
        <v>0.78</v>
      </c>
    </row>
    <row r="4996" spans="1:2">
      <c r="A4996">
        <v>120</v>
      </c>
      <c r="B4996" t="s">
        <v>34</v>
      </c>
    </row>
    <row r="4997" spans="1:2">
      <c r="A4997">
        <v>120</v>
      </c>
      <c r="B4997" s="3">
        <v>0.22</v>
      </c>
    </row>
    <row r="4998" spans="1:2">
      <c r="A4998">
        <v>120</v>
      </c>
      <c r="B4998" t="s">
        <v>26</v>
      </c>
    </row>
    <row r="4999" spans="1:2">
      <c r="A4999">
        <v>120</v>
      </c>
      <c r="B4999">
        <v>0.87</v>
      </c>
    </row>
    <row r="5000" spans="1:2">
      <c r="A5000">
        <v>120</v>
      </c>
      <c r="B5000" t="s">
        <v>23</v>
      </c>
    </row>
    <row r="5001" spans="1:2">
      <c r="A5001">
        <v>120</v>
      </c>
      <c r="B5001">
        <v>-9.4E-2</v>
      </c>
    </row>
    <row r="5002" spans="1:2">
      <c r="A5002">
        <v>120</v>
      </c>
      <c r="B5002" t="s">
        <v>24</v>
      </c>
    </row>
    <row r="5003" spans="1:2">
      <c r="A5003">
        <v>120</v>
      </c>
      <c r="B5003">
        <v>-0.35299999999999998</v>
      </c>
    </row>
    <row r="5004" spans="1:2">
      <c r="A5004">
        <v>120</v>
      </c>
      <c r="B5004" t="s">
        <v>35</v>
      </c>
    </row>
    <row r="5005" spans="1:2">
      <c r="A5005">
        <v>120</v>
      </c>
      <c r="B5005">
        <v>7.9000000000000001E-2</v>
      </c>
    </row>
    <row r="5006" spans="1:2">
      <c r="A5006">
        <v>120</v>
      </c>
      <c r="B5006" t="s">
        <v>36</v>
      </c>
    </row>
    <row r="5007" spans="1:2">
      <c r="A5007">
        <v>120</v>
      </c>
      <c r="B5007">
        <v>6.0000000000000001E-3</v>
      </c>
    </row>
    <row r="5008" spans="1:2">
      <c r="A5008">
        <v>120</v>
      </c>
      <c r="B5008" t="s">
        <v>37</v>
      </c>
    </row>
    <row r="5009" spans="1:2">
      <c r="A5009">
        <v>120</v>
      </c>
      <c r="B5009">
        <v>-1.532</v>
      </c>
    </row>
    <row r="5010" spans="1:2">
      <c r="A5010">
        <v>120</v>
      </c>
      <c r="B5010" t="s">
        <v>38</v>
      </c>
    </row>
    <row r="5011" spans="1:2">
      <c r="A5011">
        <v>120</v>
      </c>
      <c r="B5011">
        <v>0.11799999999999999</v>
      </c>
    </row>
    <row r="5012" spans="1:2">
      <c r="A5012">
        <v>120</v>
      </c>
      <c r="B5012" t="s">
        <v>39</v>
      </c>
    </row>
    <row r="5013" spans="1:2">
      <c r="A5013">
        <v>120</v>
      </c>
      <c r="B5013">
        <v>0.33</v>
      </c>
    </row>
    <row r="5014" spans="1:2">
      <c r="A5014">
        <v>120</v>
      </c>
      <c r="B5014" t="s">
        <v>40</v>
      </c>
    </row>
    <row r="5015" spans="1:2">
      <c r="A5015">
        <v>120</v>
      </c>
      <c r="B5015" s="4">
        <v>0</v>
      </c>
    </row>
    <row r="5016" spans="1:2">
      <c r="A5016">
        <v>120</v>
      </c>
      <c r="B5016" t="s">
        <v>41</v>
      </c>
    </row>
    <row r="5017" spans="1:2">
      <c r="A5017">
        <v>120</v>
      </c>
      <c r="B5017" s="4">
        <v>250000000</v>
      </c>
    </row>
    <row r="5018" spans="1:2">
      <c r="A5018">
        <v>120</v>
      </c>
      <c r="B5018" t="s">
        <v>42</v>
      </c>
    </row>
    <row r="5019" spans="1:2">
      <c r="A5019">
        <v>120</v>
      </c>
      <c r="B5019" t="s">
        <v>45</v>
      </c>
    </row>
    <row r="5020" spans="1:2">
      <c r="A5020">
        <v>119</v>
      </c>
      <c r="B5020" t="s">
        <v>27</v>
      </c>
    </row>
    <row r="5021" spans="1:2">
      <c r="A5021">
        <v>119</v>
      </c>
      <c r="B5021" s="2">
        <v>5.9999999999999995E-4</v>
      </c>
    </row>
    <row r="5022" spans="1:2">
      <c r="A5022">
        <v>119</v>
      </c>
      <c r="B5022" t="s">
        <v>1</v>
      </c>
    </row>
    <row r="5023" spans="1:2">
      <c r="A5023">
        <v>119</v>
      </c>
      <c r="B5023">
        <v>-1.4730000000000001</v>
      </c>
    </row>
    <row r="5024" spans="1:2">
      <c r="A5024">
        <v>119</v>
      </c>
      <c r="B5024" t="s">
        <v>28</v>
      </c>
    </row>
    <row r="5025" spans="1:2">
      <c r="A5025">
        <v>119</v>
      </c>
      <c r="B5025">
        <v>278</v>
      </c>
    </row>
    <row r="5026" spans="1:2">
      <c r="A5026">
        <v>119</v>
      </c>
      <c r="B5026" t="s">
        <v>25</v>
      </c>
    </row>
    <row r="5027" spans="1:2">
      <c r="A5027">
        <v>119</v>
      </c>
      <c r="B5027" s="2">
        <v>1.8499999999999999E-2</v>
      </c>
    </row>
    <row r="5028" spans="1:2">
      <c r="A5028">
        <v>119</v>
      </c>
      <c r="B5028" t="s">
        <v>29</v>
      </c>
    </row>
    <row r="5029" spans="1:2">
      <c r="A5029">
        <v>119</v>
      </c>
      <c r="B5029" s="2">
        <v>-2.1299999999999999E-2</v>
      </c>
    </row>
    <row r="5030" spans="1:2">
      <c r="A5030">
        <v>119</v>
      </c>
      <c r="B5030" t="s">
        <v>30</v>
      </c>
    </row>
    <row r="5031" spans="1:2">
      <c r="A5031">
        <v>119</v>
      </c>
      <c r="B5031" s="2">
        <v>-0.16703000000000001</v>
      </c>
    </row>
    <row r="5032" spans="1:2">
      <c r="A5032">
        <v>119</v>
      </c>
      <c r="B5032" t="s">
        <v>8</v>
      </c>
    </row>
    <row r="5033" spans="1:2">
      <c r="A5033">
        <v>119</v>
      </c>
      <c r="B5033" s="2">
        <v>0.11700000000000001</v>
      </c>
    </row>
    <row r="5034" spans="1:2">
      <c r="A5034">
        <v>119</v>
      </c>
      <c r="B5034" t="s">
        <v>31</v>
      </c>
    </row>
    <row r="5035" spans="1:2">
      <c r="A5035">
        <v>119</v>
      </c>
      <c r="B5035">
        <v>-0.58499999999999996</v>
      </c>
    </row>
    <row r="5036" spans="1:2">
      <c r="A5036">
        <v>119</v>
      </c>
      <c r="B5036" t="s">
        <v>32</v>
      </c>
    </row>
    <row r="5037" spans="1:2">
      <c r="A5037">
        <v>119</v>
      </c>
      <c r="B5037" s="2">
        <v>-0.11099000000000001</v>
      </c>
    </row>
    <row r="5038" spans="1:2">
      <c r="A5038">
        <v>119</v>
      </c>
      <c r="B5038" t="s">
        <v>33</v>
      </c>
    </row>
    <row r="5039" spans="1:2">
      <c r="A5039">
        <v>119</v>
      </c>
      <c r="B5039" s="3">
        <v>0.78</v>
      </c>
    </row>
    <row r="5040" spans="1:2">
      <c r="A5040">
        <v>119</v>
      </c>
      <c r="B5040" t="s">
        <v>34</v>
      </c>
    </row>
    <row r="5041" spans="1:2">
      <c r="A5041">
        <v>119</v>
      </c>
      <c r="B5041" s="3">
        <v>0.22</v>
      </c>
    </row>
    <row r="5042" spans="1:2">
      <c r="A5042">
        <v>119</v>
      </c>
      <c r="B5042" t="s">
        <v>26</v>
      </c>
    </row>
    <row r="5043" spans="1:2">
      <c r="A5043">
        <v>119</v>
      </c>
      <c r="B5043">
        <v>0.87</v>
      </c>
    </row>
    <row r="5044" spans="1:2">
      <c r="A5044">
        <v>119</v>
      </c>
      <c r="B5044" t="s">
        <v>23</v>
      </c>
    </row>
    <row r="5045" spans="1:2">
      <c r="A5045">
        <v>119</v>
      </c>
      <c r="B5045">
        <v>-9.4E-2</v>
      </c>
    </row>
    <row r="5046" spans="1:2">
      <c r="A5046">
        <v>119</v>
      </c>
      <c r="B5046" t="s">
        <v>24</v>
      </c>
    </row>
    <row r="5047" spans="1:2">
      <c r="A5047">
        <v>119</v>
      </c>
      <c r="B5047">
        <v>-0.35299999999999998</v>
      </c>
    </row>
    <row r="5048" spans="1:2">
      <c r="A5048">
        <v>119</v>
      </c>
      <c r="B5048" t="s">
        <v>35</v>
      </c>
    </row>
    <row r="5049" spans="1:2">
      <c r="A5049">
        <v>119</v>
      </c>
      <c r="B5049">
        <v>7.9000000000000001E-2</v>
      </c>
    </row>
    <row r="5050" spans="1:2">
      <c r="A5050">
        <v>119</v>
      </c>
      <c r="B5050" t="s">
        <v>36</v>
      </c>
    </row>
    <row r="5051" spans="1:2">
      <c r="A5051">
        <v>119</v>
      </c>
      <c r="B5051">
        <v>6.0000000000000001E-3</v>
      </c>
    </row>
    <row r="5052" spans="1:2">
      <c r="A5052">
        <v>119</v>
      </c>
      <c r="B5052" t="s">
        <v>37</v>
      </c>
    </row>
    <row r="5053" spans="1:2">
      <c r="A5053">
        <v>119</v>
      </c>
      <c r="B5053">
        <v>-1.532</v>
      </c>
    </row>
    <row r="5054" spans="1:2">
      <c r="A5054">
        <v>119</v>
      </c>
      <c r="B5054" t="s">
        <v>38</v>
      </c>
    </row>
    <row r="5055" spans="1:2">
      <c r="A5055">
        <v>119</v>
      </c>
      <c r="B5055">
        <v>0.11799999999999999</v>
      </c>
    </row>
    <row r="5056" spans="1:2">
      <c r="A5056">
        <v>119</v>
      </c>
      <c r="B5056" t="s">
        <v>39</v>
      </c>
    </row>
    <row r="5057" spans="1:2">
      <c r="A5057">
        <v>119</v>
      </c>
      <c r="B5057">
        <v>0.33</v>
      </c>
    </row>
    <row r="5058" spans="1:2">
      <c r="A5058">
        <v>119</v>
      </c>
      <c r="B5058" t="s">
        <v>40</v>
      </c>
    </row>
    <row r="5059" spans="1:2">
      <c r="A5059">
        <v>119</v>
      </c>
      <c r="B5059" s="4">
        <v>0</v>
      </c>
    </row>
    <row r="5060" spans="1:2">
      <c r="A5060">
        <v>119</v>
      </c>
      <c r="B5060" t="s">
        <v>41</v>
      </c>
    </row>
    <row r="5061" spans="1:2">
      <c r="A5061">
        <v>119</v>
      </c>
      <c r="B5061" s="4">
        <v>250000000</v>
      </c>
    </row>
    <row r="5062" spans="1:2">
      <c r="A5062">
        <v>119</v>
      </c>
      <c r="B5062" t="s">
        <v>42</v>
      </c>
    </row>
    <row r="5063" spans="1:2">
      <c r="A5063">
        <v>119</v>
      </c>
      <c r="B5063" t="s">
        <v>45</v>
      </c>
    </row>
    <row r="5064" spans="1:2">
      <c r="A5064">
        <v>118</v>
      </c>
      <c r="B5064" t="s">
        <v>27</v>
      </c>
    </row>
    <row r="5065" spans="1:2">
      <c r="A5065">
        <v>118</v>
      </c>
      <c r="B5065" s="2">
        <v>5.9999999999999995E-4</v>
      </c>
    </row>
    <row r="5066" spans="1:2">
      <c r="A5066">
        <v>118</v>
      </c>
      <c r="B5066" t="s">
        <v>1</v>
      </c>
    </row>
    <row r="5067" spans="1:2">
      <c r="A5067">
        <v>118</v>
      </c>
      <c r="B5067">
        <v>-1.4730000000000001</v>
      </c>
    </row>
    <row r="5068" spans="1:2">
      <c r="A5068">
        <v>118</v>
      </c>
      <c r="B5068" t="s">
        <v>28</v>
      </c>
    </row>
    <row r="5069" spans="1:2">
      <c r="A5069">
        <v>118</v>
      </c>
      <c r="B5069">
        <v>278</v>
      </c>
    </row>
    <row r="5070" spans="1:2">
      <c r="A5070">
        <v>118</v>
      </c>
      <c r="B5070" t="s">
        <v>25</v>
      </c>
    </row>
    <row r="5071" spans="1:2">
      <c r="A5071">
        <v>118</v>
      </c>
      <c r="B5071" s="2">
        <v>1.8499999999999999E-2</v>
      </c>
    </row>
    <row r="5072" spans="1:2">
      <c r="A5072">
        <v>118</v>
      </c>
      <c r="B5072" t="s">
        <v>29</v>
      </c>
    </row>
    <row r="5073" spans="1:2">
      <c r="A5073">
        <v>118</v>
      </c>
      <c r="B5073" s="2">
        <v>-2.1299999999999999E-2</v>
      </c>
    </row>
    <row r="5074" spans="1:2">
      <c r="A5074">
        <v>118</v>
      </c>
      <c r="B5074" t="s">
        <v>30</v>
      </c>
    </row>
    <row r="5075" spans="1:2">
      <c r="A5075">
        <v>118</v>
      </c>
      <c r="B5075" s="2">
        <v>-0.16703000000000001</v>
      </c>
    </row>
    <row r="5076" spans="1:2">
      <c r="A5076">
        <v>118</v>
      </c>
      <c r="B5076" t="s">
        <v>8</v>
      </c>
    </row>
    <row r="5077" spans="1:2">
      <c r="A5077">
        <v>118</v>
      </c>
      <c r="B5077" s="2">
        <v>0.11700000000000001</v>
      </c>
    </row>
    <row r="5078" spans="1:2">
      <c r="A5078">
        <v>118</v>
      </c>
      <c r="B5078" t="s">
        <v>31</v>
      </c>
    </row>
    <row r="5079" spans="1:2">
      <c r="A5079">
        <v>118</v>
      </c>
      <c r="B5079">
        <v>-0.58499999999999996</v>
      </c>
    </row>
    <row r="5080" spans="1:2">
      <c r="A5080">
        <v>118</v>
      </c>
      <c r="B5080" t="s">
        <v>32</v>
      </c>
    </row>
    <row r="5081" spans="1:2">
      <c r="A5081">
        <v>118</v>
      </c>
      <c r="B5081" s="2">
        <v>-0.11099000000000001</v>
      </c>
    </row>
    <row r="5082" spans="1:2">
      <c r="A5082">
        <v>118</v>
      </c>
      <c r="B5082" t="s">
        <v>33</v>
      </c>
    </row>
    <row r="5083" spans="1:2">
      <c r="A5083">
        <v>118</v>
      </c>
      <c r="B5083" s="3">
        <v>0.78</v>
      </c>
    </row>
    <row r="5084" spans="1:2">
      <c r="A5084">
        <v>118</v>
      </c>
      <c r="B5084" t="s">
        <v>34</v>
      </c>
    </row>
    <row r="5085" spans="1:2">
      <c r="A5085">
        <v>118</v>
      </c>
      <c r="B5085" s="3">
        <v>0.22</v>
      </c>
    </row>
    <row r="5086" spans="1:2">
      <c r="A5086">
        <v>118</v>
      </c>
      <c r="B5086" t="s">
        <v>26</v>
      </c>
    </row>
    <row r="5087" spans="1:2">
      <c r="A5087">
        <v>118</v>
      </c>
      <c r="B5087">
        <v>0.87</v>
      </c>
    </row>
    <row r="5088" spans="1:2">
      <c r="A5088">
        <v>118</v>
      </c>
      <c r="B5088" t="s">
        <v>23</v>
      </c>
    </row>
    <row r="5089" spans="1:2">
      <c r="A5089">
        <v>118</v>
      </c>
      <c r="B5089">
        <v>-9.4E-2</v>
      </c>
    </row>
    <row r="5090" spans="1:2">
      <c r="A5090">
        <v>118</v>
      </c>
      <c r="B5090" t="s">
        <v>24</v>
      </c>
    </row>
    <row r="5091" spans="1:2">
      <c r="A5091">
        <v>118</v>
      </c>
      <c r="B5091">
        <v>-0.35299999999999998</v>
      </c>
    </row>
    <row r="5092" spans="1:2">
      <c r="A5092">
        <v>118</v>
      </c>
      <c r="B5092" t="s">
        <v>35</v>
      </c>
    </row>
    <row r="5093" spans="1:2">
      <c r="A5093">
        <v>118</v>
      </c>
      <c r="B5093">
        <v>7.9000000000000001E-2</v>
      </c>
    </row>
    <row r="5094" spans="1:2">
      <c r="A5094">
        <v>118</v>
      </c>
      <c r="B5094" t="s">
        <v>36</v>
      </c>
    </row>
    <row r="5095" spans="1:2">
      <c r="A5095">
        <v>118</v>
      </c>
      <c r="B5095">
        <v>6.0000000000000001E-3</v>
      </c>
    </row>
    <row r="5096" spans="1:2">
      <c r="A5096">
        <v>118</v>
      </c>
      <c r="B5096" t="s">
        <v>37</v>
      </c>
    </row>
    <row r="5097" spans="1:2">
      <c r="A5097">
        <v>118</v>
      </c>
      <c r="B5097">
        <v>-1.532</v>
      </c>
    </row>
    <row r="5098" spans="1:2">
      <c r="A5098">
        <v>118</v>
      </c>
      <c r="B5098" t="s">
        <v>38</v>
      </c>
    </row>
    <row r="5099" spans="1:2">
      <c r="A5099">
        <v>118</v>
      </c>
      <c r="B5099">
        <v>0.11799999999999999</v>
      </c>
    </row>
    <row r="5100" spans="1:2">
      <c r="A5100">
        <v>118</v>
      </c>
      <c r="B5100" t="s">
        <v>39</v>
      </c>
    </row>
    <row r="5101" spans="1:2">
      <c r="A5101">
        <v>118</v>
      </c>
      <c r="B5101">
        <v>0.33</v>
      </c>
    </row>
    <row r="5102" spans="1:2">
      <c r="A5102">
        <v>118</v>
      </c>
      <c r="B5102" t="s">
        <v>40</v>
      </c>
    </row>
    <row r="5103" spans="1:2">
      <c r="A5103">
        <v>118</v>
      </c>
      <c r="B5103" s="4">
        <v>0</v>
      </c>
    </row>
    <row r="5104" spans="1:2">
      <c r="A5104">
        <v>118</v>
      </c>
      <c r="B5104" t="s">
        <v>41</v>
      </c>
    </row>
    <row r="5105" spans="1:2">
      <c r="A5105">
        <v>118</v>
      </c>
      <c r="B5105" s="4">
        <v>250000000</v>
      </c>
    </row>
    <row r="5106" spans="1:2">
      <c r="A5106">
        <v>118</v>
      </c>
      <c r="B5106" t="s">
        <v>42</v>
      </c>
    </row>
    <row r="5107" spans="1:2">
      <c r="A5107">
        <v>118</v>
      </c>
      <c r="B5107" t="s">
        <v>45</v>
      </c>
    </row>
    <row r="5108" spans="1:2">
      <c r="A5108">
        <v>108</v>
      </c>
      <c r="B5108" s="2" t="s">
        <v>27</v>
      </c>
    </row>
    <row r="5109" spans="1:2">
      <c r="A5109">
        <v>108</v>
      </c>
      <c r="B5109" s="2">
        <v>0.47092000000000001</v>
      </c>
    </row>
    <row r="5110" spans="1:2">
      <c r="A5110">
        <v>108</v>
      </c>
      <c r="B5110" t="s">
        <v>1</v>
      </c>
    </row>
    <row r="5111" spans="1:2">
      <c r="A5111">
        <v>108</v>
      </c>
      <c r="B5111">
        <v>1.4159999999999999</v>
      </c>
    </row>
    <row r="5112" spans="1:2">
      <c r="A5112">
        <v>108</v>
      </c>
      <c r="B5112" t="s">
        <v>28</v>
      </c>
    </row>
    <row r="5113" spans="1:2">
      <c r="A5113">
        <v>108</v>
      </c>
      <c r="B5113">
        <v>283</v>
      </c>
    </row>
    <row r="5114" spans="1:2">
      <c r="A5114">
        <v>108</v>
      </c>
      <c r="B5114" s="2" t="s">
        <v>25</v>
      </c>
    </row>
    <row r="5115" spans="1:2">
      <c r="A5115">
        <v>108</v>
      </c>
      <c r="B5115" s="2">
        <v>0.1166</v>
      </c>
    </row>
    <row r="5116" spans="1:2">
      <c r="A5116">
        <v>108</v>
      </c>
      <c r="B5116" s="2" t="s">
        <v>29</v>
      </c>
    </row>
    <row r="5117" spans="1:2">
      <c r="A5117">
        <v>108</v>
      </c>
      <c r="B5117" s="2">
        <v>-7.51E-2</v>
      </c>
    </row>
    <row r="5118" spans="1:2">
      <c r="A5118">
        <v>108</v>
      </c>
      <c r="B5118" s="2" t="s">
        <v>30</v>
      </c>
    </row>
    <row r="5119" spans="1:2">
      <c r="A5119">
        <v>108</v>
      </c>
      <c r="B5119" s="2">
        <v>0.86343000000000003</v>
      </c>
    </row>
    <row r="5120" spans="1:2">
      <c r="A5120">
        <v>108</v>
      </c>
      <c r="B5120" s="2" t="s">
        <v>8</v>
      </c>
    </row>
    <row r="5121" spans="1:2">
      <c r="A5121">
        <v>108</v>
      </c>
      <c r="B5121" s="2">
        <v>0.49099999999999999</v>
      </c>
    </row>
    <row r="5122" spans="1:2">
      <c r="A5122">
        <v>108</v>
      </c>
      <c r="B5122" t="s">
        <v>31</v>
      </c>
    </row>
    <row r="5123" spans="1:2">
      <c r="A5123">
        <v>108</v>
      </c>
      <c r="B5123">
        <v>0.70099999999999996</v>
      </c>
    </row>
    <row r="5124" spans="1:2">
      <c r="A5124">
        <v>108</v>
      </c>
      <c r="B5124" s="2" t="s">
        <v>32</v>
      </c>
    </row>
    <row r="5125" spans="1:2">
      <c r="A5125">
        <v>108</v>
      </c>
      <c r="B5125" s="2">
        <v>0.49281000000000003</v>
      </c>
    </row>
    <row r="5126" spans="1:2">
      <c r="A5126">
        <v>108</v>
      </c>
      <c r="B5126" s="3" t="s">
        <v>33</v>
      </c>
    </row>
    <row r="5127" spans="1:2">
      <c r="A5127">
        <v>108</v>
      </c>
      <c r="B5127" s="3">
        <v>0.33</v>
      </c>
    </row>
    <row r="5128" spans="1:2">
      <c r="A5128">
        <v>108</v>
      </c>
      <c r="B5128" s="3" t="s">
        <v>34</v>
      </c>
    </row>
    <row r="5129" spans="1:2">
      <c r="A5129">
        <v>108</v>
      </c>
      <c r="B5129" s="3">
        <v>0.67</v>
      </c>
    </row>
    <row r="5130" spans="1:2">
      <c r="A5130">
        <v>108</v>
      </c>
      <c r="B5130" t="s">
        <v>26</v>
      </c>
    </row>
    <row r="5131" spans="1:2">
      <c r="A5131">
        <v>108</v>
      </c>
      <c r="B5131">
        <v>1.55</v>
      </c>
    </row>
    <row r="5132" spans="1:2">
      <c r="A5132">
        <v>108</v>
      </c>
      <c r="B5132" t="s">
        <v>23</v>
      </c>
    </row>
    <row r="5133" spans="1:2">
      <c r="A5133">
        <v>108</v>
      </c>
      <c r="B5133">
        <v>0.92400000000000004</v>
      </c>
    </row>
    <row r="5134" spans="1:2">
      <c r="A5134">
        <v>108</v>
      </c>
      <c r="B5134" t="s">
        <v>24</v>
      </c>
    </row>
    <row r="5135" spans="1:2">
      <c r="A5135">
        <v>108</v>
      </c>
      <c r="B5135">
        <v>4.7430000000000003</v>
      </c>
    </row>
    <row r="5136" spans="1:2">
      <c r="A5136">
        <v>108</v>
      </c>
      <c r="B5136" t="s">
        <v>35</v>
      </c>
    </row>
    <row r="5137" spans="1:2">
      <c r="A5137">
        <v>108</v>
      </c>
      <c r="B5137">
        <v>0.86699999999999999</v>
      </c>
    </row>
    <row r="5138" spans="1:2">
      <c r="A5138">
        <v>108</v>
      </c>
      <c r="B5138" t="s">
        <v>36</v>
      </c>
    </row>
    <row r="5139" spans="1:2">
      <c r="A5139">
        <v>108</v>
      </c>
      <c r="B5139">
        <v>0.751</v>
      </c>
    </row>
    <row r="5140" spans="1:2">
      <c r="A5140">
        <v>108</v>
      </c>
      <c r="B5140" t="s">
        <v>37</v>
      </c>
    </row>
    <row r="5141" spans="1:2">
      <c r="A5141">
        <v>108</v>
      </c>
      <c r="B5141">
        <v>1.3779999999999999</v>
      </c>
    </row>
    <row r="5142" spans="1:2">
      <c r="A5142">
        <v>108</v>
      </c>
      <c r="B5142" t="s">
        <v>38</v>
      </c>
    </row>
    <row r="5143" spans="1:2">
      <c r="A5143">
        <v>108</v>
      </c>
      <c r="B5143">
        <v>0.84499999999999997</v>
      </c>
    </row>
    <row r="5144" spans="1:2">
      <c r="A5144">
        <v>108</v>
      </c>
      <c r="B5144" t="s">
        <v>39</v>
      </c>
    </row>
    <row r="5145" spans="1:2">
      <c r="A5145">
        <v>108</v>
      </c>
      <c r="B5145">
        <v>0.25900000000000001</v>
      </c>
    </row>
    <row r="5146" spans="1:2">
      <c r="A5146">
        <v>108</v>
      </c>
      <c r="B5146" s="4" t="s">
        <v>40</v>
      </c>
    </row>
    <row r="5147" spans="1:2">
      <c r="A5147">
        <v>108</v>
      </c>
      <c r="B5147" s="4">
        <v>0</v>
      </c>
    </row>
    <row r="5148" spans="1:2">
      <c r="A5148">
        <v>108</v>
      </c>
      <c r="B5148" s="4" t="s">
        <v>41</v>
      </c>
    </row>
    <row r="5149" spans="1:2">
      <c r="A5149">
        <v>108</v>
      </c>
      <c r="B5149" s="4">
        <v>12000000</v>
      </c>
    </row>
    <row r="5150" spans="1:2">
      <c r="A5150">
        <v>108</v>
      </c>
      <c r="B5150" t="s">
        <v>42</v>
      </c>
    </row>
    <row r="5151" spans="1:2">
      <c r="A5151">
        <v>107</v>
      </c>
      <c r="B5151" t="s">
        <v>27</v>
      </c>
    </row>
    <row r="5152" spans="1:2">
      <c r="A5152">
        <v>107</v>
      </c>
      <c r="B5152" s="2">
        <v>0.47092000000000001</v>
      </c>
    </row>
    <row r="5153" spans="1:2">
      <c r="A5153">
        <v>107</v>
      </c>
      <c r="B5153" t="s">
        <v>1</v>
      </c>
    </row>
    <row r="5154" spans="1:2">
      <c r="A5154">
        <v>107</v>
      </c>
      <c r="B5154">
        <v>1.4159999999999999</v>
      </c>
    </row>
    <row r="5155" spans="1:2">
      <c r="A5155">
        <v>107</v>
      </c>
      <c r="B5155" t="s">
        <v>28</v>
      </c>
    </row>
    <row r="5156" spans="1:2">
      <c r="A5156">
        <v>107</v>
      </c>
      <c r="B5156" s="2">
        <v>283</v>
      </c>
    </row>
    <row r="5157" spans="1:2">
      <c r="A5157">
        <v>107</v>
      </c>
      <c r="B5157" t="s">
        <v>25</v>
      </c>
    </row>
    <row r="5158" spans="1:2">
      <c r="A5158">
        <v>107</v>
      </c>
      <c r="B5158" s="2">
        <v>0.1166</v>
      </c>
    </row>
    <row r="5159" spans="1:2">
      <c r="A5159">
        <v>107</v>
      </c>
      <c r="B5159" t="s">
        <v>29</v>
      </c>
    </row>
    <row r="5160" spans="1:2">
      <c r="A5160">
        <v>107</v>
      </c>
      <c r="B5160" s="2">
        <v>-7.51E-2</v>
      </c>
    </row>
    <row r="5161" spans="1:2">
      <c r="A5161">
        <v>107</v>
      </c>
      <c r="B5161" t="s">
        <v>30</v>
      </c>
    </row>
    <row r="5162" spans="1:2">
      <c r="A5162">
        <v>107</v>
      </c>
      <c r="B5162" s="2">
        <v>0.86343000000000003</v>
      </c>
    </row>
    <row r="5163" spans="1:2">
      <c r="A5163">
        <v>107</v>
      </c>
      <c r="B5163" t="s">
        <v>8</v>
      </c>
    </row>
    <row r="5164" spans="1:2">
      <c r="A5164">
        <v>107</v>
      </c>
      <c r="B5164" s="2">
        <v>0.49099999999999999</v>
      </c>
    </row>
    <row r="5165" spans="1:2">
      <c r="A5165">
        <v>107</v>
      </c>
      <c r="B5165" t="s">
        <v>31</v>
      </c>
    </row>
    <row r="5166" spans="1:2">
      <c r="A5166">
        <v>107</v>
      </c>
      <c r="B5166" s="2">
        <v>0.70099999999999996</v>
      </c>
    </row>
    <row r="5167" spans="1:2">
      <c r="A5167">
        <v>107</v>
      </c>
      <c r="B5167" t="s">
        <v>32</v>
      </c>
    </row>
    <row r="5168" spans="1:2">
      <c r="A5168">
        <v>107</v>
      </c>
      <c r="B5168" s="3">
        <v>0.49281000000000003</v>
      </c>
    </row>
    <row r="5169" spans="1:2">
      <c r="A5169">
        <v>107</v>
      </c>
      <c r="B5169" t="s">
        <v>33</v>
      </c>
    </row>
    <row r="5170" spans="1:2">
      <c r="A5170">
        <v>107</v>
      </c>
      <c r="B5170" s="3">
        <v>0.33</v>
      </c>
    </row>
    <row r="5171" spans="1:2">
      <c r="A5171">
        <v>107</v>
      </c>
      <c r="B5171" t="s">
        <v>34</v>
      </c>
    </row>
    <row r="5172" spans="1:2">
      <c r="A5172">
        <v>107</v>
      </c>
      <c r="B5172" s="3">
        <v>0.67</v>
      </c>
    </row>
    <row r="5173" spans="1:2">
      <c r="A5173">
        <v>107</v>
      </c>
      <c r="B5173" t="s">
        <v>26</v>
      </c>
    </row>
    <row r="5174" spans="1:2">
      <c r="A5174">
        <v>107</v>
      </c>
      <c r="B5174">
        <v>1.55</v>
      </c>
    </row>
    <row r="5175" spans="1:2">
      <c r="A5175">
        <v>107</v>
      </c>
      <c r="B5175" t="s">
        <v>23</v>
      </c>
    </row>
    <row r="5176" spans="1:2">
      <c r="A5176">
        <v>107</v>
      </c>
      <c r="B5176">
        <v>0.92400000000000004</v>
      </c>
    </row>
    <row r="5177" spans="1:2">
      <c r="A5177">
        <v>107</v>
      </c>
      <c r="B5177" t="s">
        <v>24</v>
      </c>
    </row>
    <row r="5178" spans="1:2">
      <c r="A5178">
        <v>107</v>
      </c>
      <c r="B5178">
        <v>4.7430000000000003</v>
      </c>
    </row>
    <row r="5179" spans="1:2">
      <c r="A5179">
        <v>107</v>
      </c>
      <c r="B5179" t="s">
        <v>35</v>
      </c>
    </row>
    <row r="5180" spans="1:2">
      <c r="A5180">
        <v>107</v>
      </c>
      <c r="B5180">
        <v>0.86699999999999999</v>
      </c>
    </row>
    <row r="5181" spans="1:2">
      <c r="A5181">
        <v>107</v>
      </c>
      <c r="B5181" t="s">
        <v>36</v>
      </c>
    </row>
    <row r="5182" spans="1:2">
      <c r="A5182">
        <v>107</v>
      </c>
      <c r="B5182">
        <v>0.751</v>
      </c>
    </row>
    <row r="5183" spans="1:2">
      <c r="A5183">
        <v>107</v>
      </c>
      <c r="B5183" t="s">
        <v>37</v>
      </c>
    </row>
    <row r="5184" spans="1:2">
      <c r="A5184">
        <v>107</v>
      </c>
      <c r="B5184">
        <v>1.3779999999999999</v>
      </c>
    </row>
    <row r="5185" spans="1:2">
      <c r="A5185">
        <v>107</v>
      </c>
      <c r="B5185" t="s">
        <v>38</v>
      </c>
    </row>
    <row r="5186" spans="1:2">
      <c r="A5186">
        <v>107</v>
      </c>
      <c r="B5186">
        <v>0.84499999999999997</v>
      </c>
    </row>
    <row r="5187" spans="1:2">
      <c r="A5187">
        <v>107</v>
      </c>
      <c r="B5187" t="s">
        <v>39</v>
      </c>
    </row>
    <row r="5188" spans="1:2">
      <c r="A5188">
        <v>107</v>
      </c>
      <c r="B5188" s="4">
        <v>0.25900000000000001</v>
      </c>
    </row>
    <row r="5189" spans="1:2">
      <c r="A5189">
        <v>107</v>
      </c>
      <c r="B5189" t="s">
        <v>40</v>
      </c>
    </row>
    <row r="5190" spans="1:2">
      <c r="A5190">
        <v>107</v>
      </c>
      <c r="B5190" s="4">
        <v>0</v>
      </c>
    </row>
    <row r="5191" spans="1:2">
      <c r="A5191">
        <v>107</v>
      </c>
      <c r="B5191" t="s">
        <v>41</v>
      </c>
    </row>
    <row r="5192" spans="1:2">
      <c r="A5192">
        <v>107</v>
      </c>
      <c r="B5192" s="4">
        <v>12000000</v>
      </c>
    </row>
    <row r="5193" spans="1:2">
      <c r="A5193">
        <v>107</v>
      </c>
      <c r="B5193" t="s">
        <v>42</v>
      </c>
    </row>
    <row r="5194" spans="1:2">
      <c r="A5194">
        <v>107</v>
      </c>
      <c r="B5194" t="s">
        <v>46</v>
      </c>
    </row>
    <row r="5195" spans="1:2">
      <c r="A5195">
        <v>106</v>
      </c>
      <c r="B5195" t="s">
        <v>27</v>
      </c>
    </row>
    <row r="5196" spans="1:2">
      <c r="A5196">
        <v>106</v>
      </c>
      <c r="B5196" s="2">
        <v>0.47092000000000001</v>
      </c>
    </row>
    <row r="5197" spans="1:2">
      <c r="A5197">
        <v>106</v>
      </c>
      <c r="B5197" t="s">
        <v>1</v>
      </c>
    </row>
    <row r="5198" spans="1:2">
      <c r="A5198">
        <v>106</v>
      </c>
      <c r="B5198">
        <v>1.4159999999999999</v>
      </c>
    </row>
    <row r="5199" spans="1:2">
      <c r="A5199">
        <v>106</v>
      </c>
      <c r="B5199" s="2" t="s">
        <v>28</v>
      </c>
    </row>
    <row r="5200" spans="1:2">
      <c r="A5200">
        <v>106</v>
      </c>
      <c r="B5200">
        <v>283</v>
      </c>
    </row>
    <row r="5201" spans="1:2">
      <c r="A5201">
        <v>106</v>
      </c>
      <c r="B5201" s="2" t="s">
        <v>25</v>
      </c>
    </row>
    <row r="5202" spans="1:2">
      <c r="A5202">
        <v>106</v>
      </c>
      <c r="B5202" s="2">
        <v>0.1166</v>
      </c>
    </row>
    <row r="5203" spans="1:2">
      <c r="A5203">
        <v>106</v>
      </c>
      <c r="B5203" s="2" t="s">
        <v>29</v>
      </c>
    </row>
    <row r="5204" spans="1:2">
      <c r="A5204">
        <v>106</v>
      </c>
      <c r="B5204" s="2">
        <v>-7.51E-2</v>
      </c>
    </row>
    <row r="5205" spans="1:2">
      <c r="A5205">
        <v>106</v>
      </c>
      <c r="B5205" s="2" t="s">
        <v>30</v>
      </c>
    </row>
    <row r="5206" spans="1:2">
      <c r="A5206">
        <v>106</v>
      </c>
      <c r="B5206" s="2">
        <v>0.86343000000000003</v>
      </c>
    </row>
    <row r="5207" spans="1:2">
      <c r="A5207">
        <v>106</v>
      </c>
      <c r="B5207" t="s">
        <v>8</v>
      </c>
    </row>
    <row r="5208" spans="1:2">
      <c r="A5208">
        <v>106</v>
      </c>
      <c r="B5208" s="2">
        <v>0.49099999999999999</v>
      </c>
    </row>
    <row r="5209" spans="1:2">
      <c r="A5209">
        <v>106</v>
      </c>
      <c r="B5209" s="2" t="s">
        <v>31</v>
      </c>
    </row>
    <row r="5210" spans="1:2">
      <c r="A5210">
        <v>106</v>
      </c>
      <c r="B5210">
        <v>0.70099999999999996</v>
      </c>
    </row>
    <row r="5211" spans="1:2">
      <c r="A5211">
        <v>106</v>
      </c>
      <c r="B5211" s="3" t="s">
        <v>32</v>
      </c>
    </row>
    <row r="5212" spans="1:2">
      <c r="A5212">
        <v>106</v>
      </c>
      <c r="B5212" s="2">
        <v>0.49281000000000003</v>
      </c>
    </row>
    <row r="5213" spans="1:2">
      <c r="A5213">
        <v>106</v>
      </c>
      <c r="B5213" s="3" t="s">
        <v>33</v>
      </c>
    </row>
    <row r="5214" spans="1:2">
      <c r="A5214">
        <v>106</v>
      </c>
      <c r="B5214" s="3">
        <v>0.33</v>
      </c>
    </row>
    <row r="5215" spans="1:2">
      <c r="A5215">
        <v>106</v>
      </c>
      <c r="B5215" t="s">
        <v>34</v>
      </c>
    </row>
    <row r="5216" spans="1:2">
      <c r="A5216">
        <v>106</v>
      </c>
      <c r="B5216" s="3">
        <v>0.67</v>
      </c>
    </row>
    <row r="5217" spans="1:2">
      <c r="A5217">
        <v>106</v>
      </c>
      <c r="B5217" t="s">
        <v>26</v>
      </c>
    </row>
    <row r="5218" spans="1:2">
      <c r="A5218">
        <v>106</v>
      </c>
      <c r="B5218">
        <v>1.55</v>
      </c>
    </row>
    <row r="5219" spans="1:2">
      <c r="A5219">
        <v>106</v>
      </c>
      <c r="B5219" t="s">
        <v>23</v>
      </c>
    </row>
    <row r="5220" spans="1:2">
      <c r="A5220">
        <v>106</v>
      </c>
      <c r="B5220">
        <v>0.92400000000000004</v>
      </c>
    </row>
    <row r="5221" spans="1:2">
      <c r="A5221">
        <v>106</v>
      </c>
      <c r="B5221" t="s">
        <v>24</v>
      </c>
    </row>
    <row r="5222" spans="1:2">
      <c r="A5222">
        <v>106</v>
      </c>
      <c r="B5222">
        <v>4.7430000000000003</v>
      </c>
    </row>
    <row r="5223" spans="1:2">
      <c r="A5223">
        <v>106</v>
      </c>
      <c r="B5223" t="s">
        <v>35</v>
      </c>
    </row>
    <row r="5224" spans="1:2">
      <c r="A5224">
        <v>106</v>
      </c>
      <c r="B5224">
        <v>0.86699999999999999</v>
      </c>
    </row>
    <row r="5225" spans="1:2">
      <c r="A5225">
        <v>106</v>
      </c>
      <c r="B5225" t="s">
        <v>36</v>
      </c>
    </row>
    <row r="5226" spans="1:2">
      <c r="A5226">
        <v>106</v>
      </c>
      <c r="B5226">
        <v>0.751</v>
      </c>
    </row>
    <row r="5227" spans="1:2">
      <c r="A5227">
        <v>106</v>
      </c>
      <c r="B5227" t="s">
        <v>37</v>
      </c>
    </row>
    <row r="5228" spans="1:2">
      <c r="A5228">
        <v>106</v>
      </c>
      <c r="B5228">
        <v>1.3779999999999999</v>
      </c>
    </row>
    <row r="5229" spans="1:2">
      <c r="A5229">
        <v>106</v>
      </c>
      <c r="B5229" t="s">
        <v>38</v>
      </c>
    </row>
    <row r="5230" spans="1:2">
      <c r="A5230">
        <v>106</v>
      </c>
      <c r="B5230">
        <v>0.84499999999999997</v>
      </c>
    </row>
    <row r="5231" spans="1:2">
      <c r="A5231">
        <v>106</v>
      </c>
      <c r="B5231" s="4" t="s">
        <v>39</v>
      </c>
    </row>
    <row r="5232" spans="1:2">
      <c r="A5232">
        <v>106</v>
      </c>
      <c r="B5232">
        <v>0.25900000000000001</v>
      </c>
    </row>
    <row r="5233" spans="1:2">
      <c r="A5233">
        <v>106</v>
      </c>
      <c r="B5233" s="4" t="s">
        <v>40</v>
      </c>
    </row>
    <row r="5234" spans="1:2">
      <c r="A5234">
        <v>106</v>
      </c>
      <c r="B5234" s="4">
        <v>0</v>
      </c>
    </row>
    <row r="5235" spans="1:2">
      <c r="A5235">
        <v>106</v>
      </c>
      <c r="B5235" t="s">
        <v>41</v>
      </c>
    </row>
    <row r="5236" spans="1:2">
      <c r="A5236">
        <v>106</v>
      </c>
      <c r="B5236" s="4">
        <v>12000000</v>
      </c>
    </row>
    <row r="5237" spans="1:2">
      <c r="A5237">
        <v>106</v>
      </c>
      <c r="B5237" t="s">
        <v>42</v>
      </c>
    </row>
    <row r="5238" spans="1:2">
      <c r="A5238">
        <v>106</v>
      </c>
      <c r="B5238" t="s">
        <v>46</v>
      </c>
    </row>
    <row r="5239" spans="1:2">
      <c r="A5239">
        <v>105</v>
      </c>
      <c r="B5239" t="s">
        <v>27</v>
      </c>
    </row>
    <row r="5240" spans="1:2">
      <c r="A5240">
        <v>105</v>
      </c>
      <c r="B5240" s="2">
        <v>0.47092000000000001</v>
      </c>
    </row>
    <row r="5241" spans="1:2">
      <c r="A5241">
        <v>105</v>
      </c>
      <c r="B5241" t="s">
        <v>1</v>
      </c>
    </row>
    <row r="5242" spans="1:2">
      <c r="A5242">
        <v>105</v>
      </c>
      <c r="B5242">
        <v>1.4159999999999999</v>
      </c>
    </row>
    <row r="5243" spans="1:2">
      <c r="A5243">
        <v>105</v>
      </c>
      <c r="B5243" t="s">
        <v>28</v>
      </c>
    </row>
    <row r="5244" spans="1:2">
      <c r="A5244">
        <v>105</v>
      </c>
      <c r="B5244">
        <v>283</v>
      </c>
    </row>
    <row r="5245" spans="1:2">
      <c r="A5245">
        <v>105</v>
      </c>
      <c r="B5245" t="s">
        <v>25</v>
      </c>
    </row>
    <row r="5246" spans="1:2">
      <c r="A5246">
        <v>105</v>
      </c>
      <c r="B5246" s="2">
        <v>0.1166</v>
      </c>
    </row>
    <row r="5247" spans="1:2">
      <c r="A5247">
        <v>105</v>
      </c>
      <c r="B5247" t="s">
        <v>29</v>
      </c>
    </row>
    <row r="5248" spans="1:2">
      <c r="A5248">
        <v>105</v>
      </c>
      <c r="B5248" s="2">
        <v>-7.51E-2</v>
      </c>
    </row>
    <row r="5249" spans="1:2">
      <c r="A5249">
        <v>105</v>
      </c>
      <c r="B5249" t="s">
        <v>30</v>
      </c>
    </row>
    <row r="5250" spans="1:2">
      <c r="A5250">
        <v>105</v>
      </c>
      <c r="B5250" s="2">
        <v>0.86343000000000003</v>
      </c>
    </row>
    <row r="5251" spans="1:2">
      <c r="A5251">
        <v>105</v>
      </c>
      <c r="B5251" t="s">
        <v>8</v>
      </c>
    </row>
    <row r="5252" spans="1:2">
      <c r="A5252">
        <v>105</v>
      </c>
      <c r="B5252" s="2">
        <v>0.49099999999999999</v>
      </c>
    </row>
    <row r="5253" spans="1:2">
      <c r="A5253">
        <v>105</v>
      </c>
      <c r="B5253" t="s">
        <v>31</v>
      </c>
    </row>
    <row r="5254" spans="1:2">
      <c r="A5254">
        <v>105</v>
      </c>
      <c r="B5254">
        <v>0.70099999999999996</v>
      </c>
    </row>
    <row r="5255" spans="1:2">
      <c r="A5255">
        <v>105</v>
      </c>
      <c r="B5255" t="s">
        <v>32</v>
      </c>
    </row>
    <row r="5256" spans="1:2">
      <c r="A5256">
        <v>105</v>
      </c>
      <c r="B5256" s="2">
        <v>0.49281000000000003</v>
      </c>
    </row>
    <row r="5257" spans="1:2">
      <c r="A5257">
        <v>105</v>
      </c>
      <c r="B5257" t="s">
        <v>33</v>
      </c>
    </row>
    <row r="5258" spans="1:2">
      <c r="A5258">
        <v>105</v>
      </c>
      <c r="B5258" s="3">
        <v>0.33</v>
      </c>
    </row>
    <row r="5259" spans="1:2">
      <c r="A5259">
        <v>105</v>
      </c>
      <c r="B5259" t="s">
        <v>34</v>
      </c>
    </row>
    <row r="5260" spans="1:2">
      <c r="A5260">
        <v>105</v>
      </c>
      <c r="B5260" s="3">
        <v>0.67</v>
      </c>
    </row>
    <row r="5261" spans="1:2">
      <c r="A5261">
        <v>105</v>
      </c>
      <c r="B5261" t="s">
        <v>26</v>
      </c>
    </row>
    <row r="5262" spans="1:2">
      <c r="A5262">
        <v>105</v>
      </c>
      <c r="B5262">
        <v>1.55</v>
      </c>
    </row>
    <row r="5263" spans="1:2">
      <c r="A5263">
        <v>105</v>
      </c>
      <c r="B5263" t="s">
        <v>23</v>
      </c>
    </row>
    <row r="5264" spans="1:2">
      <c r="A5264">
        <v>105</v>
      </c>
      <c r="B5264">
        <v>0.92400000000000004</v>
      </c>
    </row>
    <row r="5265" spans="1:2">
      <c r="A5265">
        <v>105</v>
      </c>
      <c r="B5265" t="s">
        <v>24</v>
      </c>
    </row>
    <row r="5266" spans="1:2">
      <c r="A5266">
        <v>105</v>
      </c>
      <c r="B5266">
        <v>4.7430000000000003</v>
      </c>
    </row>
    <row r="5267" spans="1:2">
      <c r="A5267">
        <v>105</v>
      </c>
      <c r="B5267" t="s">
        <v>35</v>
      </c>
    </row>
    <row r="5268" spans="1:2">
      <c r="A5268">
        <v>105</v>
      </c>
      <c r="B5268">
        <v>0.86699999999999999</v>
      </c>
    </row>
    <row r="5269" spans="1:2">
      <c r="A5269">
        <v>105</v>
      </c>
      <c r="B5269" t="s">
        <v>36</v>
      </c>
    </row>
    <row r="5270" spans="1:2">
      <c r="A5270">
        <v>105</v>
      </c>
      <c r="B5270">
        <v>0.751</v>
      </c>
    </row>
    <row r="5271" spans="1:2">
      <c r="A5271">
        <v>105</v>
      </c>
      <c r="B5271" t="s">
        <v>37</v>
      </c>
    </row>
    <row r="5272" spans="1:2">
      <c r="A5272">
        <v>105</v>
      </c>
      <c r="B5272">
        <v>1.3779999999999999</v>
      </c>
    </row>
    <row r="5273" spans="1:2">
      <c r="A5273">
        <v>105</v>
      </c>
      <c r="B5273" t="s">
        <v>38</v>
      </c>
    </row>
    <row r="5274" spans="1:2">
      <c r="A5274">
        <v>105</v>
      </c>
      <c r="B5274">
        <v>0.84499999999999997</v>
      </c>
    </row>
    <row r="5275" spans="1:2">
      <c r="A5275">
        <v>105</v>
      </c>
      <c r="B5275" t="s">
        <v>39</v>
      </c>
    </row>
    <row r="5276" spans="1:2">
      <c r="A5276">
        <v>105</v>
      </c>
      <c r="B5276">
        <v>0.25900000000000001</v>
      </c>
    </row>
    <row r="5277" spans="1:2">
      <c r="A5277">
        <v>105</v>
      </c>
      <c r="B5277" t="s">
        <v>40</v>
      </c>
    </row>
    <row r="5278" spans="1:2">
      <c r="A5278">
        <v>105</v>
      </c>
      <c r="B5278" s="4">
        <v>0</v>
      </c>
    </row>
    <row r="5279" spans="1:2">
      <c r="A5279">
        <v>105</v>
      </c>
      <c r="B5279" t="s">
        <v>41</v>
      </c>
    </row>
    <row r="5280" spans="1:2">
      <c r="A5280">
        <v>105</v>
      </c>
      <c r="B5280" s="4">
        <v>12000000</v>
      </c>
    </row>
    <row r="5281" spans="1:2">
      <c r="A5281">
        <v>105</v>
      </c>
      <c r="B5281" t="s">
        <v>42</v>
      </c>
    </row>
    <row r="5282" spans="1:2">
      <c r="A5282">
        <v>105</v>
      </c>
      <c r="B5282" t="s">
        <v>46</v>
      </c>
    </row>
    <row r="5283" spans="1:2">
      <c r="A5283">
        <v>104</v>
      </c>
      <c r="B5283" t="s">
        <v>27</v>
      </c>
    </row>
    <row r="5284" spans="1:2">
      <c r="A5284">
        <v>104</v>
      </c>
      <c r="B5284" s="2">
        <v>0.47092000000000001</v>
      </c>
    </row>
    <row r="5285" spans="1:2">
      <c r="A5285">
        <v>104</v>
      </c>
      <c r="B5285" t="s">
        <v>1</v>
      </c>
    </row>
    <row r="5286" spans="1:2">
      <c r="A5286">
        <v>104</v>
      </c>
      <c r="B5286">
        <v>1.4159999999999999</v>
      </c>
    </row>
    <row r="5287" spans="1:2">
      <c r="A5287">
        <v>104</v>
      </c>
      <c r="B5287" t="s">
        <v>28</v>
      </c>
    </row>
    <row r="5288" spans="1:2">
      <c r="A5288">
        <v>104</v>
      </c>
      <c r="B5288">
        <v>283</v>
      </c>
    </row>
    <row r="5289" spans="1:2">
      <c r="A5289">
        <v>104</v>
      </c>
      <c r="B5289" t="s">
        <v>25</v>
      </c>
    </row>
    <row r="5290" spans="1:2">
      <c r="A5290">
        <v>104</v>
      </c>
      <c r="B5290" s="2">
        <v>0.1166</v>
      </c>
    </row>
    <row r="5291" spans="1:2">
      <c r="A5291">
        <v>104</v>
      </c>
      <c r="B5291" t="s">
        <v>29</v>
      </c>
    </row>
    <row r="5292" spans="1:2">
      <c r="A5292">
        <v>104</v>
      </c>
      <c r="B5292" s="2">
        <v>-7.51E-2</v>
      </c>
    </row>
    <row r="5293" spans="1:2">
      <c r="A5293">
        <v>104</v>
      </c>
      <c r="B5293" t="s">
        <v>30</v>
      </c>
    </row>
    <row r="5294" spans="1:2">
      <c r="A5294">
        <v>104</v>
      </c>
      <c r="B5294" s="2">
        <v>0.86343000000000003</v>
      </c>
    </row>
    <row r="5295" spans="1:2">
      <c r="A5295">
        <v>104</v>
      </c>
      <c r="B5295" t="s">
        <v>8</v>
      </c>
    </row>
    <row r="5296" spans="1:2">
      <c r="A5296">
        <v>104</v>
      </c>
      <c r="B5296" s="2">
        <v>0.49099999999999999</v>
      </c>
    </row>
    <row r="5297" spans="1:2">
      <c r="A5297">
        <v>104</v>
      </c>
      <c r="B5297" t="s">
        <v>31</v>
      </c>
    </row>
    <row r="5298" spans="1:2">
      <c r="A5298">
        <v>104</v>
      </c>
      <c r="B5298">
        <v>0.70099999999999996</v>
      </c>
    </row>
    <row r="5299" spans="1:2">
      <c r="A5299">
        <v>104</v>
      </c>
      <c r="B5299" t="s">
        <v>32</v>
      </c>
    </row>
    <row r="5300" spans="1:2">
      <c r="A5300">
        <v>104</v>
      </c>
      <c r="B5300" s="2">
        <v>0.49281000000000003</v>
      </c>
    </row>
    <row r="5301" spans="1:2">
      <c r="A5301">
        <v>104</v>
      </c>
      <c r="B5301" t="s">
        <v>33</v>
      </c>
    </row>
    <row r="5302" spans="1:2">
      <c r="A5302">
        <v>104</v>
      </c>
      <c r="B5302" s="3">
        <v>0.33</v>
      </c>
    </row>
    <row r="5303" spans="1:2">
      <c r="A5303">
        <v>104</v>
      </c>
      <c r="B5303" t="s">
        <v>34</v>
      </c>
    </row>
    <row r="5304" spans="1:2">
      <c r="A5304">
        <v>104</v>
      </c>
      <c r="B5304" s="3">
        <v>0.67</v>
      </c>
    </row>
    <row r="5305" spans="1:2">
      <c r="A5305">
        <v>104</v>
      </c>
      <c r="B5305" t="s">
        <v>26</v>
      </c>
    </row>
    <row r="5306" spans="1:2">
      <c r="A5306">
        <v>104</v>
      </c>
      <c r="B5306">
        <v>1.55</v>
      </c>
    </row>
    <row r="5307" spans="1:2">
      <c r="A5307">
        <v>104</v>
      </c>
      <c r="B5307" t="s">
        <v>23</v>
      </c>
    </row>
    <row r="5308" spans="1:2">
      <c r="A5308">
        <v>104</v>
      </c>
      <c r="B5308">
        <v>0.92400000000000004</v>
      </c>
    </row>
    <row r="5309" spans="1:2">
      <c r="A5309">
        <v>104</v>
      </c>
      <c r="B5309" t="s">
        <v>24</v>
      </c>
    </row>
    <row r="5310" spans="1:2">
      <c r="A5310">
        <v>104</v>
      </c>
      <c r="B5310">
        <v>4.7430000000000003</v>
      </c>
    </row>
    <row r="5311" spans="1:2">
      <c r="A5311">
        <v>104</v>
      </c>
      <c r="B5311" t="s">
        <v>35</v>
      </c>
    </row>
    <row r="5312" spans="1:2">
      <c r="A5312">
        <v>104</v>
      </c>
      <c r="B5312">
        <v>0.86699999999999999</v>
      </c>
    </row>
    <row r="5313" spans="1:2">
      <c r="A5313">
        <v>104</v>
      </c>
      <c r="B5313" t="s">
        <v>36</v>
      </c>
    </row>
    <row r="5314" spans="1:2">
      <c r="A5314">
        <v>104</v>
      </c>
      <c r="B5314">
        <v>0.751</v>
      </c>
    </row>
    <row r="5315" spans="1:2">
      <c r="A5315">
        <v>104</v>
      </c>
      <c r="B5315" t="s">
        <v>37</v>
      </c>
    </row>
    <row r="5316" spans="1:2">
      <c r="A5316">
        <v>104</v>
      </c>
      <c r="B5316">
        <v>1.3779999999999999</v>
      </c>
    </row>
    <row r="5317" spans="1:2">
      <c r="A5317">
        <v>104</v>
      </c>
      <c r="B5317" t="s">
        <v>38</v>
      </c>
    </row>
    <row r="5318" spans="1:2">
      <c r="A5318">
        <v>104</v>
      </c>
      <c r="B5318">
        <v>0.84499999999999997</v>
      </c>
    </row>
    <row r="5319" spans="1:2">
      <c r="A5319">
        <v>104</v>
      </c>
      <c r="B5319" t="s">
        <v>39</v>
      </c>
    </row>
    <row r="5320" spans="1:2">
      <c r="A5320">
        <v>104</v>
      </c>
      <c r="B5320">
        <v>0.25900000000000001</v>
      </c>
    </row>
    <row r="5321" spans="1:2">
      <c r="A5321">
        <v>104</v>
      </c>
      <c r="B5321" t="s">
        <v>40</v>
      </c>
    </row>
    <row r="5322" spans="1:2">
      <c r="A5322">
        <v>104</v>
      </c>
      <c r="B5322" s="4">
        <v>0</v>
      </c>
    </row>
    <row r="5323" spans="1:2">
      <c r="A5323">
        <v>104</v>
      </c>
      <c r="B5323" t="s">
        <v>41</v>
      </c>
    </row>
    <row r="5324" spans="1:2">
      <c r="A5324">
        <v>104</v>
      </c>
      <c r="B5324" s="4">
        <v>12000000</v>
      </c>
    </row>
    <row r="5325" spans="1:2">
      <c r="A5325">
        <v>104</v>
      </c>
      <c r="B5325" t="s">
        <v>42</v>
      </c>
    </row>
    <row r="5326" spans="1:2">
      <c r="A5326">
        <v>104</v>
      </c>
      <c r="B5326" t="s">
        <v>46</v>
      </c>
    </row>
    <row r="5327" spans="1:2">
      <c r="A5327">
        <v>103</v>
      </c>
      <c r="B5327" t="s">
        <v>27</v>
      </c>
    </row>
    <row r="5328" spans="1:2">
      <c r="A5328">
        <v>103</v>
      </c>
      <c r="B5328" s="2">
        <v>0.47092000000000001</v>
      </c>
    </row>
    <row r="5329" spans="1:2">
      <c r="A5329">
        <v>103</v>
      </c>
      <c r="B5329" t="s">
        <v>1</v>
      </c>
    </row>
    <row r="5330" spans="1:2">
      <c r="A5330">
        <v>103</v>
      </c>
      <c r="B5330">
        <v>1.4159999999999999</v>
      </c>
    </row>
    <row r="5331" spans="1:2">
      <c r="A5331">
        <v>103</v>
      </c>
      <c r="B5331" t="s">
        <v>28</v>
      </c>
    </row>
    <row r="5332" spans="1:2">
      <c r="A5332">
        <v>103</v>
      </c>
      <c r="B5332">
        <v>283</v>
      </c>
    </row>
    <row r="5333" spans="1:2">
      <c r="A5333">
        <v>103</v>
      </c>
      <c r="B5333" t="s">
        <v>25</v>
      </c>
    </row>
    <row r="5334" spans="1:2">
      <c r="A5334">
        <v>103</v>
      </c>
      <c r="B5334" s="2">
        <v>0.1166</v>
      </c>
    </row>
    <row r="5335" spans="1:2">
      <c r="A5335">
        <v>103</v>
      </c>
      <c r="B5335" t="s">
        <v>29</v>
      </c>
    </row>
    <row r="5336" spans="1:2">
      <c r="A5336">
        <v>103</v>
      </c>
      <c r="B5336" s="2">
        <v>-7.51E-2</v>
      </c>
    </row>
    <row r="5337" spans="1:2">
      <c r="A5337">
        <v>103</v>
      </c>
      <c r="B5337" t="s">
        <v>30</v>
      </c>
    </row>
    <row r="5338" spans="1:2">
      <c r="A5338">
        <v>103</v>
      </c>
      <c r="B5338" s="2">
        <v>0.86343000000000003</v>
      </c>
    </row>
    <row r="5339" spans="1:2">
      <c r="A5339">
        <v>103</v>
      </c>
      <c r="B5339" t="s">
        <v>8</v>
      </c>
    </row>
    <row r="5340" spans="1:2">
      <c r="A5340">
        <v>103</v>
      </c>
      <c r="B5340" s="2">
        <v>0.49099999999999999</v>
      </c>
    </row>
    <row r="5341" spans="1:2">
      <c r="A5341">
        <v>103</v>
      </c>
      <c r="B5341" t="s">
        <v>31</v>
      </c>
    </row>
    <row r="5342" spans="1:2">
      <c r="A5342">
        <v>103</v>
      </c>
      <c r="B5342">
        <v>0.70099999999999996</v>
      </c>
    </row>
    <row r="5343" spans="1:2">
      <c r="A5343">
        <v>103</v>
      </c>
      <c r="B5343" t="s">
        <v>32</v>
      </c>
    </row>
    <row r="5344" spans="1:2">
      <c r="A5344">
        <v>103</v>
      </c>
      <c r="B5344" s="2">
        <v>0.49281000000000003</v>
      </c>
    </row>
    <row r="5345" spans="1:2">
      <c r="A5345">
        <v>103</v>
      </c>
      <c r="B5345" t="s">
        <v>33</v>
      </c>
    </row>
    <row r="5346" spans="1:2">
      <c r="A5346">
        <v>103</v>
      </c>
      <c r="B5346" s="3">
        <v>0.33</v>
      </c>
    </row>
    <row r="5347" spans="1:2">
      <c r="A5347">
        <v>103</v>
      </c>
      <c r="B5347" t="s">
        <v>34</v>
      </c>
    </row>
    <row r="5348" spans="1:2">
      <c r="A5348">
        <v>103</v>
      </c>
      <c r="B5348" s="3">
        <v>0.67</v>
      </c>
    </row>
    <row r="5349" spans="1:2">
      <c r="A5349">
        <v>103</v>
      </c>
      <c r="B5349" t="s">
        <v>26</v>
      </c>
    </row>
    <row r="5350" spans="1:2">
      <c r="A5350">
        <v>103</v>
      </c>
      <c r="B5350">
        <v>1.55</v>
      </c>
    </row>
    <row r="5351" spans="1:2">
      <c r="A5351">
        <v>103</v>
      </c>
      <c r="B5351" t="s">
        <v>23</v>
      </c>
    </row>
    <row r="5352" spans="1:2">
      <c r="A5352">
        <v>103</v>
      </c>
      <c r="B5352">
        <v>0.92400000000000004</v>
      </c>
    </row>
    <row r="5353" spans="1:2">
      <c r="A5353">
        <v>103</v>
      </c>
      <c r="B5353" t="s">
        <v>24</v>
      </c>
    </row>
    <row r="5354" spans="1:2">
      <c r="A5354">
        <v>103</v>
      </c>
      <c r="B5354">
        <v>4.7430000000000003</v>
      </c>
    </row>
    <row r="5355" spans="1:2">
      <c r="A5355">
        <v>103</v>
      </c>
      <c r="B5355" t="s">
        <v>35</v>
      </c>
    </row>
    <row r="5356" spans="1:2">
      <c r="A5356">
        <v>103</v>
      </c>
      <c r="B5356">
        <v>0.86699999999999999</v>
      </c>
    </row>
    <row r="5357" spans="1:2">
      <c r="A5357">
        <v>103</v>
      </c>
      <c r="B5357" t="s">
        <v>36</v>
      </c>
    </row>
    <row r="5358" spans="1:2">
      <c r="A5358">
        <v>103</v>
      </c>
      <c r="B5358">
        <v>0.751</v>
      </c>
    </row>
    <row r="5359" spans="1:2">
      <c r="A5359">
        <v>103</v>
      </c>
      <c r="B5359" t="s">
        <v>37</v>
      </c>
    </row>
    <row r="5360" spans="1:2">
      <c r="A5360">
        <v>103</v>
      </c>
      <c r="B5360">
        <v>1.3779999999999999</v>
      </c>
    </row>
    <row r="5361" spans="1:2">
      <c r="A5361">
        <v>103</v>
      </c>
      <c r="B5361" t="s">
        <v>38</v>
      </c>
    </row>
    <row r="5362" spans="1:2">
      <c r="A5362">
        <v>103</v>
      </c>
      <c r="B5362">
        <v>0.84499999999999997</v>
      </c>
    </row>
    <row r="5363" spans="1:2">
      <c r="A5363">
        <v>103</v>
      </c>
      <c r="B5363" t="s">
        <v>39</v>
      </c>
    </row>
    <row r="5364" spans="1:2">
      <c r="A5364">
        <v>103</v>
      </c>
      <c r="B5364">
        <v>0.25900000000000001</v>
      </c>
    </row>
    <row r="5365" spans="1:2">
      <c r="A5365">
        <v>103</v>
      </c>
      <c r="B5365" t="s">
        <v>40</v>
      </c>
    </row>
    <row r="5366" spans="1:2">
      <c r="A5366">
        <v>103</v>
      </c>
      <c r="B5366" s="4">
        <v>0</v>
      </c>
    </row>
    <row r="5367" spans="1:2">
      <c r="A5367">
        <v>103</v>
      </c>
      <c r="B5367" t="s">
        <v>41</v>
      </c>
    </row>
    <row r="5368" spans="1:2">
      <c r="A5368">
        <v>103</v>
      </c>
      <c r="B5368" s="4">
        <v>12000000</v>
      </c>
    </row>
    <row r="5369" spans="1:2">
      <c r="A5369">
        <v>103</v>
      </c>
      <c r="B5369" t="s">
        <v>42</v>
      </c>
    </row>
    <row r="5370" spans="1:2">
      <c r="A5370">
        <v>103</v>
      </c>
      <c r="B5370" t="s">
        <v>46</v>
      </c>
    </row>
    <row r="5371" spans="1:2">
      <c r="A5371">
        <v>102</v>
      </c>
      <c r="B5371" t="s">
        <v>27</v>
      </c>
    </row>
    <row r="5372" spans="1:2">
      <c r="A5372">
        <v>102</v>
      </c>
      <c r="B5372" s="2">
        <v>0.47092000000000001</v>
      </c>
    </row>
    <row r="5373" spans="1:2">
      <c r="A5373">
        <v>102</v>
      </c>
      <c r="B5373" t="s">
        <v>1</v>
      </c>
    </row>
    <row r="5374" spans="1:2">
      <c r="A5374">
        <v>102</v>
      </c>
      <c r="B5374">
        <v>1.4159999999999999</v>
      </c>
    </row>
    <row r="5375" spans="1:2">
      <c r="A5375">
        <v>102</v>
      </c>
      <c r="B5375" t="s">
        <v>28</v>
      </c>
    </row>
    <row r="5376" spans="1:2">
      <c r="A5376">
        <v>102</v>
      </c>
      <c r="B5376">
        <v>283</v>
      </c>
    </row>
    <row r="5377" spans="1:2">
      <c r="A5377">
        <v>102</v>
      </c>
      <c r="B5377" t="s">
        <v>25</v>
      </c>
    </row>
    <row r="5378" spans="1:2">
      <c r="A5378">
        <v>102</v>
      </c>
      <c r="B5378" s="2">
        <v>0.1166</v>
      </c>
    </row>
    <row r="5379" spans="1:2">
      <c r="A5379">
        <v>102</v>
      </c>
      <c r="B5379" t="s">
        <v>29</v>
      </c>
    </row>
    <row r="5380" spans="1:2">
      <c r="A5380">
        <v>102</v>
      </c>
      <c r="B5380" s="2">
        <v>-7.51E-2</v>
      </c>
    </row>
    <row r="5381" spans="1:2">
      <c r="A5381">
        <v>102</v>
      </c>
      <c r="B5381" t="s">
        <v>30</v>
      </c>
    </row>
    <row r="5382" spans="1:2">
      <c r="A5382">
        <v>102</v>
      </c>
      <c r="B5382" s="2">
        <v>0.86343000000000003</v>
      </c>
    </row>
    <row r="5383" spans="1:2">
      <c r="A5383">
        <v>102</v>
      </c>
      <c r="B5383" t="s">
        <v>8</v>
      </c>
    </row>
    <row r="5384" spans="1:2">
      <c r="A5384">
        <v>102</v>
      </c>
      <c r="B5384" s="2">
        <v>0.49099999999999999</v>
      </c>
    </row>
    <row r="5385" spans="1:2">
      <c r="A5385">
        <v>102</v>
      </c>
      <c r="B5385" t="s">
        <v>31</v>
      </c>
    </row>
    <row r="5386" spans="1:2">
      <c r="A5386">
        <v>102</v>
      </c>
      <c r="B5386">
        <v>0.70099999999999996</v>
      </c>
    </row>
    <row r="5387" spans="1:2">
      <c r="A5387">
        <v>102</v>
      </c>
      <c r="B5387" t="s">
        <v>32</v>
      </c>
    </row>
    <row r="5388" spans="1:2">
      <c r="A5388">
        <v>102</v>
      </c>
      <c r="B5388" s="2">
        <v>0.49281000000000003</v>
      </c>
    </row>
    <row r="5389" spans="1:2">
      <c r="A5389">
        <v>102</v>
      </c>
      <c r="B5389" t="s">
        <v>33</v>
      </c>
    </row>
    <row r="5390" spans="1:2">
      <c r="A5390">
        <v>102</v>
      </c>
      <c r="B5390" s="3">
        <v>0.33</v>
      </c>
    </row>
    <row r="5391" spans="1:2">
      <c r="A5391">
        <v>102</v>
      </c>
      <c r="B5391" t="s">
        <v>34</v>
      </c>
    </row>
    <row r="5392" spans="1:2">
      <c r="A5392">
        <v>102</v>
      </c>
      <c r="B5392" s="3">
        <v>0.67</v>
      </c>
    </row>
    <row r="5393" spans="1:2">
      <c r="A5393">
        <v>102</v>
      </c>
      <c r="B5393" t="s">
        <v>26</v>
      </c>
    </row>
    <row r="5394" spans="1:2">
      <c r="A5394">
        <v>102</v>
      </c>
      <c r="B5394">
        <v>1.55</v>
      </c>
    </row>
    <row r="5395" spans="1:2">
      <c r="A5395">
        <v>102</v>
      </c>
      <c r="B5395" t="s">
        <v>23</v>
      </c>
    </row>
    <row r="5396" spans="1:2">
      <c r="A5396">
        <v>102</v>
      </c>
      <c r="B5396">
        <v>0.92400000000000004</v>
      </c>
    </row>
    <row r="5397" spans="1:2">
      <c r="A5397">
        <v>102</v>
      </c>
      <c r="B5397" t="s">
        <v>24</v>
      </c>
    </row>
    <row r="5398" spans="1:2">
      <c r="A5398">
        <v>102</v>
      </c>
      <c r="B5398">
        <v>4.7430000000000003</v>
      </c>
    </row>
    <row r="5399" spans="1:2">
      <c r="A5399">
        <v>102</v>
      </c>
      <c r="B5399" t="s">
        <v>35</v>
      </c>
    </row>
    <row r="5400" spans="1:2">
      <c r="A5400">
        <v>102</v>
      </c>
      <c r="B5400">
        <v>0.86699999999999999</v>
      </c>
    </row>
    <row r="5401" spans="1:2">
      <c r="A5401">
        <v>102</v>
      </c>
      <c r="B5401" t="s">
        <v>36</v>
      </c>
    </row>
    <row r="5402" spans="1:2">
      <c r="A5402">
        <v>102</v>
      </c>
      <c r="B5402">
        <v>0.751</v>
      </c>
    </row>
    <row r="5403" spans="1:2">
      <c r="A5403">
        <v>102</v>
      </c>
      <c r="B5403" t="s">
        <v>37</v>
      </c>
    </row>
    <row r="5404" spans="1:2">
      <c r="A5404">
        <v>102</v>
      </c>
      <c r="B5404">
        <v>1.3779999999999999</v>
      </c>
    </row>
    <row r="5405" spans="1:2">
      <c r="A5405">
        <v>102</v>
      </c>
      <c r="B5405" t="s">
        <v>38</v>
      </c>
    </row>
    <row r="5406" spans="1:2">
      <c r="A5406">
        <v>102</v>
      </c>
      <c r="B5406">
        <v>0.84499999999999997</v>
      </c>
    </row>
    <row r="5407" spans="1:2">
      <c r="A5407">
        <v>102</v>
      </c>
      <c r="B5407" t="s">
        <v>39</v>
      </c>
    </row>
    <row r="5408" spans="1:2">
      <c r="A5408">
        <v>102</v>
      </c>
      <c r="B5408">
        <v>0.25900000000000001</v>
      </c>
    </row>
    <row r="5409" spans="1:2">
      <c r="A5409">
        <v>102</v>
      </c>
      <c r="B5409" t="s">
        <v>40</v>
      </c>
    </row>
    <row r="5410" spans="1:2">
      <c r="A5410">
        <v>102</v>
      </c>
      <c r="B5410" s="4">
        <v>0</v>
      </c>
    </row>
    <row r="5411" spans="1:2">
      <c r="A5411">
        <v>102</v>
      </c>
      <c r="B5411" t="s">
        <v>41</v>
      </c>
    </row>
    <row r="5412" spans="1:2">
      <c r="A5412">
        <v>102</v>
      </c>
      <c r="B5412" s="4">
        <v>12000000</v>
      </c>
    </row>
    <row r="5413" spans="1:2">
      <c r="A5413">
        <v>102</v>
      </c>
      <c r="B5413" t="s">
        <v>42</v>
      </c>
    </row>
    <row r="5414" spans="1:2">
      <c r="A5414">
        <v>102</v>
      </c>
      <c r="B5414" t="s">
        <v>46</v>
      </c>
    </row>
    <row r="5415" spans="1:2">
      <c r="A5415">
        <v>101</v>
      </c>
      <c r="B5415" t="s">
        <v>27</v>
      </c>
    </row>
    <row r="5416" spans="1:2">
      <c r="A5416">
        <v>101</v>
      </c>
      <c r="B5416" s="2">
        <v>0.47092000000000001</v>
      </c>
    </row>
    <row r="5417" spans="1:2">
      <c r="A5417">
        <v>101</v>
      </c>
      <c r="B5417" t="s">
        <v>1</v>
      </c>
    </row>
    <row r="5418" spans="1:2">
      <c r="A5418">
        <v>101</v>
      </c>
      <c r="B5418">
        <v>1.4159999999999999</v>
      </c>
    </row>
    <row r="5419" spans="1:2">
      <c r="A5419">
        <v>101</v>
      </c>
      <c r="B5419" t="s">
        <v>28</v>
      </c>
    </row>
    <row r="5420" spans="1:2">
      <c r="A5420">
        <v>101</v>
      </c>
      <c r="B5420">
        <v>283</v>
      </c>
    </row>
    <row r="5421" spans="1:2">
      <c r="A5421">
        <v>101</v>
      </c>
      <c r="B5421" t="s">
        <v>25</v>
      </c>
    </row>
    <row r="5422" spans="1:2">
      <c r="A5422">
        <v>101</v>
      </c>
      <c r="B5422" s="2">
        <v>0.1166</v>
      </c>
    </row>
    <row r="5423" spans="1:2">
      <c r="A5423">
        <v>101</v>
      </c>
      <c r="B5423" t="s">
        <v>29</v>
      </c>
    </row>
    <row r="5424" spans="1:2">
      <c r="A5424">
        <v>101</v>
      </c>
      <c r="B5424" s="2">
        <v>-7.51E-2</v>
      </c>
    </row>
    <row r="5425" spans="1:2">
      <c r="A5425">
        <v>101</v>
      </c>
      <c r="B5425" t="s">
        <v>30</v>
      </c>
    </row>
    <row r="5426" spans="1:2">
      <c r="A5426">
        <v>101</v>
      </c>
      <c r="B5426" s="2">
        <v>0.86343000000000003</v>
      </c>
    </row>
    <row r="5427" spans="1:2">
      <c r="A5427">
        <v>101</v>
      </c>
      <c r="B5427" t="s">
        <v>8</v>
      </c>
    </row>
    <row r="5428" spans="1:2">
      <c r="A5428">
        <v>101</v>
      </c>
      <c r="B5428" s="2">
        <v>0.49099999999999999</v>
      </c>
    </row>
    <row r="5429" spans="1:2">
      <c r="A5429">
        <v>101</v>
      </c>
      <c r="B5429" t="s">
        <v>31</v>
      </c>
    </row>
    <row r="5430" spans="1:2">
      <c r="A5430">
        <v>101</v>
      </c>
      <c r="B5430">
        <v>0.70099999999999996</v>
      </c>
    </row>
    <row r="5431" spans="1:2">
      <c r="A5431">
        <v>101</v>
      </c>
      <c r="B5431" t="s">
        <v>32</v>
      </c>
    </row>
    <row r="5432" spans="1:2">
      <c r="A5432">
        <v>101</v>
      </c>
      <c r="B5432" s="2">
        <v>0.49281000000000003</v>
      </c>
    </row>
    <row r="5433" spans="1:2">
      <c r="A5433">
        <v>101</v>
      </c>
      <c r="B5433" t="s">
        <v>33</v>
      </c>
    </row>
    <row r="5434" spans="1:2">
      <c r="A5434">
        <v>101</v>
      </c>
      <c r="B5434" s="3">
        <v>0.33</v>
      </c>
    </row>
    <row r="5435" spans="1:2">
      <c r="A5435">
        <v>101</v>
      </c>
      <c r="B5435" t="s">
        <v>34</v>
      </c>
    </row>
    <row r="5436" spans="1:2">
      <c r="A5436">
        <v>101</v>
      </c>
      <c r="B5436" s="3">
        <v>0.67</v>
      </c>
    </row>
    <row r="5437" spans="1:2">
      <c r="A5437">
        <v>101</v>
      </c>
      <c r="B5437" t="s">
        <v>26</v>
      </c>
    </row>
    <row r="5438" spans="1:2">
      <c r="A5438">
        <v>101</v>
      </c>
      <c r="B5438">
        <v>1.55</v>
      </c>
    </row>
    <row r="5439" spans="1:2">
      <c r="A5439">
        <v>101</v>
      </c>
      <c r="B5439" t="s">
        <v>23</v>
      </c>
    </row>
    <row r="5440" spans="1:2">
      <c r="A5440">
        <v>101</v>
      </c>
      <c r="B5440">
        <v>0.92400000000000004</v>
      </c>
    </row>
    <row r="5441" spans="1:2">
      <c r="A5441">
        <v>101</v>
      </c>
      <c r="B5441" t="s">
        <v>24</v>
      </c>
    </row>
    <row r="5442" spans="1:2">
      <c r="A5442">
        <v>101</v>
      </c>
      <c r="B5442">
        <v>4.7430000000000003</v>
      </c>
    </row>
    <row r="5443" spans="1:2">
      <c r="A5443">
        <v>101</v>
      </c>
      <c r="B5443" t="s">
        <v>35</v>
      </c>
    </row>
    <row r="5444" spans="1:2">
      <c r="A5444">
        <v>101</v>
      </c>
      <c r="B5444">
        <v>0.86699999999999999</v>
      </c>
    </row>
    <row r="5445" spans="1:2">
      <c r="A5445">
        <v>101</v>
      </c>
      <c r="B5445" t="s">
        <v>36</v>
      </c>
    </row>
    <row r="5446" spans="1:2">
      <c r="A5446">
        <v>101</v>
      </c>
      <c r="B5446">
        <v>0.751</v>
      </c>
    </row>
    <row r="5447" spans="1:2">
      <c r="A5447">
        <v>101</v>
      </c>
      <c r="B5447" t="s">
        <v>37</v>
      </c>
    </row>
    <row r="5448" spans="1:2">
      <c r="A5448">
        <v>101</v>
      </c>
      <c r="B5448">
        <v>1.3779999999999999</v>
      </c>
    </row>
    <row r="5449" spans="1:2">
      <c r="A5449">
        <v>101</v>
      </c>
      <c r="B5449" t="s">
        <v>38</v>
      </c>
    </row>
    <row r="5450" spans="1:2">
      <c r="A5450">
        <v>101</v>
      </c>
      <c r="B5450">
        <v>0.84499999999999997</v>
      </c>
    </row>
    <row r="5451" spans="1:2">
      <c r="A5451">
        <v>101</v>
      </c>
      <c r="B5451" t="s">
        <v>39</v>
      </c>
    </row>
    <row r="5452" spans="1:2">
      <c r="A5452">
        <v>101</v>
      </c>
      <c r="B5452">
        <v>0.25900000000000001</v>
      </c>
    </row>
    <row r="5453" spans="1:2">
      <c r="A5453">
        <v>101</v>
      </c>
      <c r="B5453" t="s">
        <v>40</v>
      </c>
    </row>
    <row r="5454" spans="1:2">
      <c r="A5454">
        <v>101</v>
      </c>
      <c r="B5454" s="4">
        <v>0</v>
      </c>
    </row>
    <row r="5455" spans="1:2">
      <c r="A5455">
        <v>101</v>
      </c>
      <c r="B5455" t="s">
        <v>41</v>
      </c>
    </row>
    <row r="5456" spans="1:2">
      <c r="A5456">
        <v>101</v>
      </c>
      <c r="B5456" s="4">
        <v>12000000</v>
      </c>
    </row>
    <row r="5457" spans="1:2">
      <c r="A5457">
        <v>101</v>
      </c>
      <c r="B5457" t="s">
        <v>42</v>
      </c>
    </row>
    <row r="5458" spans="1:2">
      <c r="A5458">
        <v>101</v>
      </c>
      <c r="B5458" t="s">
        <v>46</v>
      </c>
    </row>
    <row r="5459" spans="1:2">
      <c r="A5459">
        <v>100</v>
      </c>
      <c r="B5459" t="s">
        <v>27</v>
      </c>
    </row>
    <row r="5460" spans="1:2">
      <c r="A5460">
        <v>100</v>
      </c>
      <c r="B5460" s="2">
        <v>0.47092000000000001</v>
      </c>
    </row>
    <row r="5461" spans="1:2">
      <c r="A5461">
        <v>100</v>
      </c>
      <c r="B5461" t="s">
        <v>1</v>
      </c>
    </row>
    <row r="5462" spans="1:2">
      <c r="A5462">
        <v>100</v>
      </c>
      <c r="B5462">
        <v>1.4159999999999999</v>
      </c>
    </row>
    <row r="5463" spans="1:2">
      <c r="A5463">
        <v>100</v>
      </c>
      <c r="B5463" t="s">
        <v>28</v>
      </c>
    </row>
    <row r="5464" spans="1:2">
      <c r="A5464">
        <v>100</v>
      </c>
      <c r="B5464">
        <v>283</v>
      </c>
    </row>
    <row r="5465" spans="1:2">
      <c r="A5465">
        <v>100</v>
      </c>
      <c r="B5465" t="s">
        <v>25</v>
      </c>
    </row>
    <row r="5466" spans="1:2">
      <c r="A5466">
        <v>100</v>
      </c>
      <c r="B5466" s="2">
        <v>0.1166</v>
      </c>
    </row>
    <row r="5467" spans="1:2">
      <c r="A5467">
        <v>100</v>
      </c>
      <c r="B5467" t="s">
        <v>29</v>
      </c>
    </row>
    <row r="5468" spans="1:2">
      <c r="A5468">
        <v>100</v>
      </c>
      <c r="B5468" s="2">
        <v>-7.51E-2</v>
      </c>
    </row>
    <row r="5469" spans="1:2">
      <c r="A5469">
        <v>100</v>
      </c>
      <c r="B5469" t="s">
        <v>30</v>
      </c>
    </row>
    <row r="5470" spans="1:2">
      <c r="A5470">
        <v>100</v>
      </c>
      <c r="B5470" s="2">
        <v>0.86343000000000003</v>
      </c>
    </row>
    <row r="5471" spans="1:2">
      <c r="A5471">
        <v>100</v>
      </c>
      <c r="B5471" t="s">
        <v>8</v>
      </c>
    </row>
    <row r="5472" spans="1:2">
      <c r="A5472">
        <v>100</v>
      </c>
      <c r="B5472" s="2">
        <v>0.49099999999999999</v>
      </c>
    </row>
    <row r="5473" spans="1:2">
      <c r="A5473">
        <v>100</v>
      </c>
      <c r="B5473" t="s">
        <v>31</v>
      </c>
    </row>
    <row r="5474" spans="1:2">
      <c r="A5474">
        <v>100</v>
      </c>
      <c r="B5474">
        <v>0.70099999999999996</v>
      </c>
    </row>
    <row r="5475" spans="1:2">
      <c r="A5475">
        <v>100</v>
      </c>
      <c r="B5475" t="s">
        <v>32</v>
      </c>
    </row>
    <row r="5476" spans="1:2">
      <c r="A5476">
        <v>100</v>
      </c>
      <c r="B5476" s="2">
        <v>0.49281000000000003</v>
      </c>
    </row>
    <row r="5477" spans="1:2">
      <c r="A5477">
        <v>100</v>
      </c>
      <c r="B5477" t="s">
        <v>33</v>
      </c>
    </row>
    <row r="5478" spans="1:2">
      <c r="A5478">
        <v>100</v>
      </c>
      <c r="B5478" s="3">
        <v>0.33</v>
      </c>
    </row>
    <row r="5479" spans="1:2">
      <c r="A5479">
        <v>100</v>
      </c>
      <c r="B5479" t="s">
        <v>34</v>
      </c>
    </row>
    <row r="5480" spans="1:2">
      <c r="A5480">
        <v>100</v>
      </c>
      <c r="B5480" s="3">
        <v>0.67</v>
      </c>
    </row>
    <row r="5481" spans="1:2">
      <c r="A5481">
        <v>100</v>
      </c>
      <c r="B5481" t="s">
        <v>26</v>
      </c>
    </row>
    <row r="5482" spans="1:2">
      <c r="A5482">
        <v>100</v>
      </c>
      <c r="B5482">
        <v>1.55</v>
      </c>
    </row>
    <row r="5483" spans="1:2">
      <c r="A5483">
        <v>100</v>
      </c>
      <c r="B5483" t="s">
        <v>23</v>
      </c>
    </row>
    <row r="5484" spans="1:2">
      <c r="A5484">
        <v>100</v>
      </c>
      <c r="B5484">
        <v>0.92400000000000004</v>
      </c>
    </row>
    <row r="5485" spans="1:2">
      <c r="A5485">
        <v>100</v>
      </c>
      <c r="B5485" t="s">
        <v>24</v>
      </c>
    </row>
    <row r="5486" spans="1:2">
      <c r="A5486">
        <v>100</v>
      </c>
      <c r="B5486">
        <v>4.7430000000000003</v>
      </c>
    </row>
    <row r="5487" spans="1:2">
      <c r="A5487">
        <v>100</v>
      </c>
      <c r="B5487" t="s">
        <v>35</v>
      </c>
    </row>
    <row r="5488" spans="1:2">
      <c r="A5488">
        <v>100</v>
      </c>
      <c r="B5488">
        <v>0.86699999999999999</v>
      </c>
    </row>
    <row r="5489" spans="1:2">
      <c r="A5489">
        <v>100</v>
      </c>
      <c r="B5489" t="s">
        <v>36</v>
      </c>
    </row>
    <row r="5490" spans="1:2">
      <c r="A5490">
        <v>100</v>
      </c>
      <c r="B5490">
        <v>0.751</v>
      </c>
    </row>
    <row r="5491" spans="1:2">
      <c r="A5491">
        <v>100</v>
      </c>
      <c r="B5491" t="s">
        <v>37</v>
      </c>
    </row>
    <row r="5492" spans="1:2">
      <c r="A5492">
        <v>100</v>
      </c>
      <c r="B5492">
        <v>1.3779999999999999</v>
      </c>
    </row>
    <row r="5493" spans="1:2">
      <c r="A5493">
        <v>100</v>
      </c>
      <c r="B5493" t="s">
        <v>38</v>
      </c>
    </row>
    <row r="5494" spans="1:2">
      <c r="A5494">
        <v>100</v>
      </c>
      <c r="B5494">
        <v>0.84499999999999997</v>
      </c>
    </row>
    <row r="5495" spans="1:2">
      <c r="A5495">
        <v>100</v>
      </c>
      <c r="B5495" t="s">
        <v>39</v>
      </c>
    </row>
    <row r="5496" spans="1:2">
      <c r="A5496">
        <v>100</v>
      </c>
      <c r="B5496">
        <v>0.25900000000000001</v>
      </c>
    </row>
    <row r="5497" spans="1:2">
      <c r="A5497">
        <v>100</v>
      </c>
      <c r="B5497" t="s">
        <v>40</v>
      </c>
    </row>
    <row r="5498" spans="1:2">
      <c r="A5498">
        <v>100</v>
      </c>
      <c r="B5498" s="4">
        <v>0</v>
      </c>
    </row>
    <row r="5499" spans="1:2">
      <c r="A5499">
        <v>100</v>
      </c>
      <c r="B5499" t="s">
        <v>41</v>
      </c>
    </row>
    <row r="5500" spans="1:2">
      <c r="A5500">
        <v>100</v>
      </c>
      <c r="B5500" s="4">
        <v>12000000</v>
      </c>
    </row>
    <row r="5501" spans="1:2">
      <c r="A5501">
        <v>100</v>
      </c>
      <c r="B5501" t="s">
        <v>42</v>
      </c>
    </row>
    <row r="5502" spans="1:2">
      <c r="A5502">
        <v>100</v>
      </c>
      <c r="B5502" t="s">
        <v>46</v>
      </c>
    </row>
    <row r="5503" spans="1:2">
      <c r="A5503">
        <v>99</v>
      </c>
      <c r="B5503" t="s">
        <v>27</v>
      </c>
    </row>
    <row r="5504" spans="1:2">
      <c r="A5504">
        <v>99</v>
      </c>
      <c r="B5504" s="2">
        <v>0.47092000000000001</v>
      </c>
    </row>
    <row r="5505" spans="1:2">
      <c r="A5505">
        <v>99</v>
      </c>
      <c r="B5505" t="s">
        <v>1</v>
      </c>
    </row>
    <row r="5506" spans="1:2">
      <c r="A5506">
        <v>99</v>
      </c>
      <c r="B5506">
        <v>1.4159999999999999</v>
      </c>
    </row>
    <row r="5507" spans="1:2">
      <c r="A5507">
        <v>99</v>
      </c>
      <c r="B5507" t="s">
        <v>28</v>
      </c>
    </row>
    <row r="5508" spans="1:2">
      <c r="A5508">
        <v>99</v>
      </c>
      <c r="B5508">
        <v>283</v>
      </c>
    </row>
    <row r="5509" spans="1:2">
      <c r="A5509">
        <v>99</v>
      </c>
      <c r="B5509" t="s">
        <v>25</v>
      </c>
    </row>
    <row r="5510" spans="1:2">
      <c r="A5510">
        <v>99</v>
      </c>
      <c r="B5510" s="2">
        <v>0.1166</v>
      </c>
    </row>
    <row r="5511" spans="1:2">
      <c r="A5511">
        <v>99</v>
      </c>
      <c r="B5511" t="s">
        <v>29</v>
      </c>
    </row>
    <row r="5512" spans="1:2">
      <c r="A5512">
        <v>99</v>
      </c>
      <c r="B5512" s="2">
        <v>-7.51E-2</v>
      </c>
    </row>
    <row r="5513" spans="1:2">
      <c r="A5513">
        <v>99</v>
      </c>
      <c r="B5513" t="s">
        <v>30</v>
      </c>
    </row>
    <row r="5514" spans="1:2">
      <c r="A5514">
        <v>99</v>
      </c>
      <c r="B5514" s="2">
        <v>0.86343000000000003</v>
      </c>
    </row>
    <row r="5515" spans="1:2">
      <c r="A5515">
        <v>99</v>
      </c>
      <c r="B5515" t="s">
        <v>8</v>
      </c>
    </row>
    <row r="5516" spans="1:2">
      <c r="A5516">
        <v>99</v>
      </c>
      <c r="B5516" s="2">
        <v>0.49099999999999999</v>
      </c>
    </row>
    <row r="5517" spans="1:2">
      <c r="A5517">
        <v>99</v>
      </c>
      <c r="B5517" t="s">
        <v>31</v>
      </c>
    </row>
    <row r="5518" spans="1:2">
      <c r="A5518">
        <v>99</v>
      </c>
      <c r="B5518">
        <v>0.70099999999999996</v>
      </c>
    </row>
    <row r="5519" spans="1:2">
      <c r="A5519">
        <v>99</v>
      </c>
      <c r="B5519" t="s">
        <v>32</v>
      </c>
    </row>
    <row r="5520" spans="1:2">
      <c r="A5520">
        <v>99</v>
      </c>
      <c r="B5520" s="2">
        <v>0.49281000000000003</v>
      </c>
    </row>
    <row r="5521" spans="1:2">
      <c r="A5521">
        <v>99</v>
      </c>
      <c r="B5521" t="s">
        <v>33</v>
      </c>
    </row>
    <row r="5522" spans="1:2">
      <c r="A5522">
        <v>99</v>
      </c>
      <c r="B5522" s="3">
        <v>0.33</v>
      </c>
    </row>
    <row r="5523" spans="1:2">
      <c r="A5523">
        <v>99</v>
      </c>
      <c r="B5523" t="s">
        <v>34</v>
      </c>
    </row>
    <row r="5524" spans="1:2">
      <c r="A5524">
        <v>99</v>
      </c>
      <c r="B5524" s="3">
        <v>0.67</v>
      </c>
    </row>
    <row r="5525" spans="1:2">
      <c r="A5525">
        <v>99</v>
      </c>
      <c r="B5525" t="s">
        <v>26</v>
      </c>
    </row>
    <row r="5526" spans="1:2">
      <c r="A5526">
        <v>99</v>
      </c>
      <c r="B5526">
        <v>1.55</v>
      </c>
    </row>
    <row r="5527" spans="1:2">
      <c r="A5527">
        <v>99</v>
      </c>
      <c r="B5527" t="s">
        <v>23</v>
      </c>
    </row>
    <row r="5528" spans="1:2">
      <c r="A5528">
        <v>99</v>
      </c>
      <c r="B5528">
        <v>0.92400000000000004</v>
      </c>
    </row>
    <row r="5529" spans="1:2">
      <c r="A5529">
        <v>99</v>
      </c>
      <c r="B5529" t="s">
        <v>24</v>
      </c>
    </row>
    <row r="5530" spans="1:2">
      <c r="A5530">
        <v>99</v>
      </c>
      <c r="B5530">
        <v>4.7430000000000003</v>
      </c>
    </row>
    <row r="5531" spans="1:2">
      <c r="A5531">
        <v>99</v>
      </c>
      <c r="B5531" t="s">
        <v>35</v>
      </c>
    </row>
    <row r="5532" spans="1:2">
      <c r="A5532">
        <v>99</v>
      </c>
      <c r="B5532">
        <v>0.86699999999999999</v>
      </c>
    </row>
    <row r="5533" spans="1:2">
      <c r="A5533">
        <v>99</v>
      </c>
      <c r="B5533" t="s">
        <v>36</v>
      </c>
    </row>
    <row r="5534" spans="1:2">
      <c r="A5534">
        <v>99</v>
      </c>
      <c r="B5534">
        <v>0.751</v>
      </c>
    </row>
    <row r="5535" spans="1:2">
      <c r="A5535">
        <v>99</v>
      </c>
      <c r="B5535" t="s">
        <v>37</v>
      </c>
    </row>
    <row r="5536" spans="1:2">
      <c r="A5536">
        <v>99</v>
      </c>
      <c r="B5536">
        <v>1.3779999999999999</v>
      </c>
    </row>
    <row r="5537" spans="1:2">
      <c r="A5537">
        <v>99</v>
      </c>
      <c r="B5537" t="s">
        <v>38</v>
      </c>
    </row>
    <row r="5538" spans="1:2">
      <c r="A5538">
        <v>99</v>
      </c>
      <c r="B5538">
        <v>0.84499999999999997</v>
      </c>
    </row>
    <row r="5539" spans="1:2">
      <c r="A5539">
        <v>99</v>
      </c>
      <c r="B5539" t="s">
        <v>39</v>
      </c>
    </row>
    <row r="5540" spans="1:2">
      <c r="A5540">
        <v>99</v>
      </c>
      <c r="B5540">
        <v>0.25900000000000001</v>
      </c>
    </row>
    <row r="5541" spans="1:2">
      <c r="A5541">
        <v>99</v>
      </c>
      <c r="B5541" t="s">
        <v>40</v>
      </c>
    </row>
    <row r="5542" spans="1:2">
      <c r="A5542">
        <v>99</v>
      </c>
      <c r="B5542" s="4">
        <v>0</v>
      </c>
    </row>
    <row r="5543" spans="1:2">
      <c r="A5543">
        <v>99</v>
      </c>
      <c r="B5543" t="s">
        <v>41</v>
      </c>
    </row>
    <row r="5544" spans="1:2">
      <c r="A5544">
        <v>99</v>
      </c>
      <c r="B5544" s="4">
        <v>12000000</v>
      </c>
    </row>
    <row r="5545" spans="1:2">
      <c r="A5545">
        <v>99</v>
      </c>
      <c r="B5545" t="s">
        <v>42</v>
      </c>
    </row>
    <row r="5546" spans="1:2">
      <c r="A5546">
        <v>99</v>
      </c>
      <c r="B5546" t="s">
        <v>46</v>
      </c>
    </row>
    <row r="5547" spans="1:2">
      <c r="A5547">
        <v>98</v>
      </c>
      <c r="B5547" t="s">
        <v>27</v>
      </c>
    </row>
    <row r="5548" spans="1:2">
      <c r="A5548">
        <v>98</v>
      </c>
      <c r="B5548" s="2">
        <v>0.47092000000000001</v>
      </c>
    </row>
    <row r="5549" spans="1:2">
      <c r="A5549">
        <v>98</v>
      </c>
      <c r="B5549" t="s">
        <v>1</v>
      </c>
    </row>
    <row r="5550" spans="1:2">
      <c r="A5550">
        <v>98</v>
      </c>
      <c r="B5550">
        <v>1.4159999999999999</v>
      </c>
    </row>
    <row r="5551" spans="1:2">
      <c r="A5551">
        <v>98</v>
      </c>
      <c r="B5551" t="s">
        <v>28</v>
      </c>
    </row>
    <row r="5552" spans="1:2">
      <c r="A5552">
        <v>98</v>
      </c>
      <c r="B5552">
        <v>283</v>
      </c>
    </row>
    <row r="5553" spans="1:2">
      <c r="A5553">
        <v>98</v>
      </c>
      <c r="B5553" t="s">
        <v>25</v>
      </c>
    </row>
    <row r="5554" spans="1:2">
      <c r="A5554">
        <v>98</v>
      </c>
      <c r="B5554" s="2">
        <v>0.1166</v>
      </c>
    </row>
    <row r="5555" spans="1:2">
      <c r="A5555">
        <v>98</v>
      </c>
      <c r="B5555" t="s">
        <v>29</v>
      </c>
    </row>
    <row r="5556" spans="1:2">
      <c r="A5556">
        <v>98</v>
      </c>
      <c r="B5556" s="2">
        <v>-7.51E-2</v>
      </c>
    </row>
    <row r="5557" spans="1:2">
      <c r="A5557">
        <v>98</v>
      </c>
      <c r="B5557" t="s">
        <v>30</v>
      </c>
    </row>
    <row r="5558" spans="1:2">
      <c r="A5558">
        <v>98</v>
      </c>
      <c r="B5558" s="2">
        <v>0.86343000000000003</v>
      </c>
    </row>
    <row r="5559" spans="1:2">
      <c r="A5559">
        <v>98</v>
      </c>
      <c r="B5559" t="s">
        <v>8</v>
      </c>
    </row>
    <row r="5560" spans="1:2">
      <c r="A5560">
        <v>98</v>
      </c>
      <c r="B5560" s="2">
        <v>0.49099999999999999</v>
      </c>
    </row>
    <row r="5561" spans="1:2">
      <c r="A5561">
        <v>98</v>
      </c>
      <c r="B5561" t="s">
        <v>31</v>
      </c>
    </row>
    <row r="5562" spans="1:2">
      <c r="A5562">
        <v>98</v>
      </c>
      <c r="B5562">
        <v>0.70099999999999996</v>
      </c>
    </row>
    <row r="5563" spans="1:2">
      <c r="A5563">
        <v>98</v>
      </c>
      <c r="B5563" t="s">
        <v>32</v>
      </c>
    </row>
    <row r="5564" spans="1:2">
      <c r="A5564">
        <v>98</v>
      </c>
      <c r="B5564" s="2">
        <v>0.49281000000000003</v>
      </c>
    </row>
    <row r="5565" spans="1:2">
      <c r="A5565">
        <v>98</v>
      </c>
      <c r="B5565" t="s">
        <v>33</v>
      </c>
    </row>
    <row r="5566" spans="1:2">
      <c r="A5566">
        <v>98</v>
      </c>
      <c r="B5566" s="3">
        <v>0.33</v>
      </c>
    </row>
    <row r="5567" spans="1:2">
      <c r="A5567">
        <v>98</v>
      </c>
      <c r="B5567" t="s">
        <v>34</v>
      </c>
    </row>
    <row r="5568" spans="1:2">
      <c r="A5568">
        <v>98</v>
      </c>
      <c r="B5568" s="3">
        <v>0.67</v>
      </c>
    </row>
    <row r="5569" spans="1:2">
      <c r="A5569">
        <v>98</v>
      </c>
      <c r="B5569" t="s">
        <v>26</v>
      </c>
    </row>
    <row r="5570" spans="1:2">
      <c r="A5570">
        <v>98</v>
      </c>
      <c r="B5570">
        <v>1.55</v>
      </c>
    </row>
    <row r="5571" spans="1:2">
      <c r="A5571">
        <v>98</v>
      </c>
      <c r="B5571" t="s">
        <v>23</v>
      </c>
    </row>
    <row r="5572" spans="1:2">
      <c r="A5572">
        <v>98</v>
      </c>
      <c r="B5572">
        <v>0.92400000000000004</v>
      </c>
    </row>
    <row r="5573" spans="1:2">
      <c r="A5573">
        <v>98</v>
      </c>
      <c r="B5573" t="s">
        <v>24</v>
      </c>
    </row>
    <row r="5574" spans="1:2">
      <c r="A5574">
        <v>98</v>
      </c>
      <c r="B5574">
        <v>4.7430000000000003</v>
      </c>
    </row>
    <row r="5575" spans="1:2">
      <c r="A5575">
        <v>98</v>
      </c>
      <c r="B5575" t="s">
        <v>35</v>
      </c>
    </row>
    <row r="5576" spans="1:2">
      <c r="A5576">
        <v>98</v>
      </c>
      <c r="B5576">
        <v>0.86699999999999999</v>
      </c>
    </row>
    <row r="5577" spans="1:2">
      <c r="A5577">
        <v>98</v>
      </c>
      <c r="B5577" t="s">
        <v>36</v>
      </c>
    </row>
    <row r="5578" spans="1:2">
      <c r="A5578">
        <v>98</v>
      </c>
      <c r="B5578">
        <v>0.751</v>
      </c>
    </row>
    <row r="5579" spans="1:2">
      <c r="A5579">
        <v>98</v>
      </c>
      <c r="B5579" t="s">
        <v>37</v>
      </c>
    </row>
    <row r="5580" spans="1:2">
      <c r="A5580">
        <v>98</v>
      </c>
      <c r="B5580">
        <v>1.3779999999999999</v>
      </c>
    </row>
    <row r="5581" spans="1:2">
      <c r="A5581">
        <v>98</v>
      </c>
      <c r="B5581" t="s">
        <v>38</v>
      </c>
    </row>
    <row r="5582" spans="1:2">
      <c r="A5582">
        <v>98</v>
      </c>
      <c r="B5582">
        <v>0.84499999999999997</v>
      </c>
    </row>
    <row r="5583" spans="1:2">
      <c r="A5583">
        <v>98</v>
      </c>
      <c r="B5583" t="s">
        <v>39</v>
      </c>
    </row>
    <row r="5584" spans="1:2">
      <c r="A5584">
        <v>98</v>
      </c>
      <c r="B5584">
        <v>0.25900000000000001</v>
      </c>
    </row>
    <row r="5585" spans="1:2">
      <c r="A5585">
        <v>98</v>
      </c>
      <c r="B5585" t="s">
        <v>40</v>
      </c>
    </row>
    <row r="5586" spans="1:2">
      <c r="A5586">
        <v>98</v>
      </c>
      <c r="B5586" s="4">
        <v>0</v>
      </c>
    </row>
    <row r="5587" spans="1:2">
      <c r="A5587">
        <v>98</v>
      </c>
      <c r="B5587" t="s">
        <v>41</v>
      </c>
    </row>
    <row r="5588" spans="1:2">
      <c r="A5588">
        <v>98</v>
      </c>
      <c r="B5588" s="4">
        <v>12000000</v>
      </c>
    </row>
    <row r="5589" spans="1:2">
      <c r="A5589">
        <v>98</v>
      </c>
      <c r="B5589" t="s">
        <v>42</v>
      </c>
    </row>
    <row r="5590" spans="1:2">
      <c r="A5590">
        <v>98</v>
      </c>
      <c r="B5590" t="s">
        <v>46</v>
      </c>
    </row>
    <row r="5591" spans="1:2">
      <c r="A5591">
        <v>97</v>
      </c>
      <c r="B5591" t="s">
        <v>27</v>
      </c>
    </row>
    <row r="5592" spans="1:2">
      <c r="A5592">
        <v>97</v>
      </c>
      <c r="B5592" s="2">
        <v>0.47092000000000001</v>
      </c>
    </row>
    <row r="5593" spans="1:2">
      <c r="A5593">
        <v>97</v>
      </c>
      <c r="B5593" t="s">
        <v>1</v>
      </c>
    </row>
    <row r="5594" spans="1:2">
      <c r="A5594">
        <v>97</v>
      </c>
      <c r="B5594">
        <v>1.4159999999999999</v>
      </c>
    </row>
    <row r="5595" spans="1:2">
      <c r="A5595">
        <v>97</v>
      </c>
      <c r="B5595" t="s">
        <v>28</v>
      </c>
    </row>
    <row r="5596" spans="1:2">
      <c r="A5596">
        <v>97</v>
      </c>
      <c r="B5596">
        <v>283</v>
      </c>
    </row>
    <row r="5597" spans="1:2">
      <c r="A5597">
        <v>97</v>
      </c>
      <c r="B5597" t="s">
        <v>25</v>
      </c>
    </row>
    <row r="5598" spans="1:2">
      <c r="A5598">
        <v>97</v>
      </c>
      <c r="B5598" s="2">
        <v>0.1166</v>
      </c>
    </row>
    <row r="5599" spans="1:2">
      <c r="A5599">
        <v>97</v>
      </c>
      <c r="B5599" t="s">
        <v>29</v>
      </c>
    </row>
    <row r="5600" spans="1:2">
      <c r="A5600">
        <v>97</v>
      </c>
      <c r="B5600" s="2">
        <v>-7.51E-2</v>
      </c>
    </row>
    <row r="5601" spans="1:2">
      <c r="A5601">
        <v>97</v>
      </c>
      <c r="B5601" t="s">
        <v>30</v>
      </c>
    </row>
    <row r="5602" spans="1:2">
      <c r="A5602">
        <v>97</v>
      </c>
      <c r="B5602" s="2">
        <v>0.86343000000000003</v>
      </c>
    </row>
    <row r="5603" spans="1:2">
      <c r="A5603">
        <v>97</v>
      </c>
      <c r="B5603" t="s">
        <v>8</v>
      </c>
    </row>
    <row r="5604" spans="1:2">
      <c r="A5604">
        <v>97</v>
      </c>
      <c r="B5604" s="2">
        <v>0.49099999999999999</v>
      </c>
    </row>
    <row r="5605" spans="1:2">
      <c r="A5605">
        <v>97</v>
      </c>
      <c r="B5605" t="s">
        <v>31</v>
      </c>
    </row>
    <row r="5606" spans="1:2">
      <c r="A5606">
        <v>97</v>
      </c>
      <c r="B5606">
        <v>0.70099999999999996</v>
      </c>
    </row>
    <row r="5607" spans="1:2">
      <c r="A5607">
        <v>97</v>
      </c>
      <c r="B5607" t="s">
        <v>32</v>
      </c>
    </row>
    <row r="5608" spans="1:2">
      <c r="A5608">
        <v>97</v>
      </c>
      <c r="B5608" s="2">
        <v>0.49281000000000003</v>
      </c>
    </row>
    <row r="5609" spans="1:2">
      <c r="A5609">
        <v>97</v>
      </c>
      <c r="B5609" t="s">
        <v>33</v>
      </c>
    </row>
    <row r="5610" spans="1:2">
      <c r="A5610">
        <v>97</v>
      </c>
      <c r="B5610" s="3">
        <v>0.33</v>
      </c>
    </row>
    <row r="5611" spans="1:2">
      <c r="A5611">
        <v>97</v>
      </c>
      <c r="B5611" t="s">
        <v>34</v>
      </c>
    </row>
    <row r="5612" spans="1:2">
      <c r="A5612">
        <v>97</v>
      </c>
      <c r="B5612" s="3">
        <v>0.67</v>
      </c>
    </row>
    <row r="5613" spans="1:2">
      <c r="A5613">
        <v>97</v>
      </c>
      <c r="B5613" t="s">
        <v>26</v>
      </c>
    </row>
    <row r="5614" spans="1:2">
      <c r="A5614">
        <v>97</v>
      </c>
      <c r="B5614">
        <v>1.55</v>
      </c>
    </row>
    <row r="5615" spans="1:2">
      <c r="A5615">
        <v>97</v>
      </c>
      <c r="B5615" t="s">
        <v>23</v>
      </c>
    </row>
    <row r="5616" spans="1:2">
      <c r="A5616">
        <v>97</v>
      </c>
      <c r="B5616">
        <v>0.92400000000000004</v>
      </c>
    </row>
    <row r="5617" spans="1:2">
      <c r="A5617">
        <v>97</v>
      </c>
      <c r="B5617" t="s">
        <v>24</v>
      </c>
    </row>
    <row r="5618" spans="1:2">
      <c r="A5618">
        <v>97</v>
      </c>
      <c r="B5618">
        <v>4.7430000000000003</v>
      </c>
    </row>
    <row r="5619" spans="1:2">
      <c r="A5619">
        <v>97</v>
      </c>
      <c r="B5619" t="s">
        <v>35</v>
      </c>
    </row>
    <row r="5620" spans="1:2">
      <c r="A5620">
        <v>97</v>
      </c>
      <c r="B5620">
        <v>0.86699999999999999</v>
      </c>
    </row>
    <row r="5621" spans="1:2">
      <c r="A5621">
        <v>97</v>
      </c>
      <c r="B5621" t="s">
        <v>36</v>
      </c>
    </row>
    <row r="5622" spans="1:2">
      <c r="A5622">
        <v>97</v>
      </c>
      <c r="B5622">
        <v>0.751</v>
      </c>
    </row>
    <row r="5623" spans="1:2">
      <c r="A5623">
        <v>97</v>
      </c>
      <c r="B5623" t="s">
        <v>37</v>
      </c>
    </row>
    <row r="5624" spans="1:2">
      <c r="A5624">
        <v>97</v>
      </c>
      <c r="B5624">
        <v>1.3779999999999999</v>
      </c>
    </row>
    <row r="5625" spans="1:2">
      <c r="A5625">
        <v>97</v>
      </c>
      <c r="B5625" t="s">
        <v>38</v>
      </c>
    </row>
    <row r="5626" spans="1:2">
      <c r="A5626">
        <v>97</v>
      </c>
      <c r="B5626">
        <v>0.84499999999999997</v>
      </c>
    </row>
    <row r="5627" spans="1:2">
      <c r="A5627">
        <v>97</v>
      </c>
      <c r="B5627" t="s">
        <v>39</v>
      </c>
    </row>
    <row r="5628" spans="1:2">
      <c r="A5628">
        <v>97</v>
      </c>
      <c r="B5628">
        <v>0.25900000000000001</v>
      </c>
    </row>
    <row r="5629" spans="1:2">
      <c r="A5629">
        <v>97</v>
      </c>
      <c r="B5629" t="s">
        <v>40</v>
      </c>
    </row>
    <row r="5630" spans="1:2">
      <c r="A5630">
        <v>97</v>
      </c>
      <c r="B5630" s="4">
        <v>0</v>
      </c>
    </row>
    <row r="5631" spans="1:2">
      <c r="A5631">
        <v>97</v>
      </c>
      <c r="B5631" t="s">
        <v>41</v>
      </c>
    </row>
    <row r="5632" spans="1:2">
      <c r="A5632">
        <v>97</v>
      </c>
      <c r="B5632" s="4">
        <v>12000000</v>
      </c>
    </row>
    <row r="5633" spans="1:2">
      <c r="A5633">
        <v>97</v>
      </c>
      <c r="B5633" t="s">
        <v>42</v>
      </c>
    </row>
    <row r="5634" spans="1:2">
      <c r="A5634">
        <v>97</v>
      </c>
      <c r="B5634" t="s">
        <v>46</v>
      </c>
    </row>
    <row r="5635" spans="1:2">
      <c r="A5635">
        <v>96</v>
      </c>
      <c r="B5635" t="s">
        <v>27</v>
      </c>
    </row>
    <row r="5636" spans="1:2">
      <c r="A5636">
        <v>96</v>
      </c>
      <c r="B5636" s="2">
        <v>0.47092000000000001</v>
      </c>
    </row>
    <row r="5637" spans="1:2">
      <c r="A5637">
        <v>96</v>
      </c>
      <c r="B5637" t="s">
        <v>1</v>
      </c>
    </row>
    <row r="5638" spans="1:2">
      <c r="A5638">
        <v>96</v>
      </c>
      <c r="B5638">
        <v>1.4159999999999999</v>
      </c>
    </row>
    <row r="5639" spans="1:2">
      <c r="A5639">
        <v>96</v>
      </c>
      <c r="B5639" t="s">
        <v>28</v>
      </c>
    </row>
    <row r="5640" spans="1:2">
      <c r="A5640">
        <v>96</v>
      </c>
      <c r="B5640">
        <v>283</v>
      </c>
    </row>
    <row r="5641" spans="1:2">
      <c r="A5641">
        <v>96</v>
      </c>
      <c r="B5641" t="s">
        <v>25</v>
      </c>
    </row>
    <row r="5642" spans="1:2">
      <c r="A5642">
        <v>96</v>
      </c>
      <c r="B5642" s="2">
        <v>0.1166</v>
      </c>
    </row>
    <row r="5643" spans="1:2">
      <c r="A5643">
        <v>96</v>
      </c>
      <c r="B5643" t="s">
        <v>29</v>
      </c>
    </row>
    <row r="5644" spans="1:2">
      <c r="A5644">
        <v>96</v>
      </c>
      <c r="B5644" s="2">
        <v>-7.51E-2</v>
      </c>
    </row>
    <row r="5645" spans="1:2">
      <c r="A5645">
        <v>96</v>
      </c>
      <c r="B5645" t="s">
        <v>30</v>
      </c>
    </row>
    <row r="5646" spans="1:2">
      <c r="A5646">
        <v>96</v>
      </c>
      <c r="B5646" s="2">
        <v>0.86343000000000003</v>
      </c>
    </row>
    <row r="5647" spans="1:2">
      <c r="A5647">
        <v>96</v>
      </c>
      <c r="B5647" t="s">
        <v>8</v>
      </c>
    </row>
    <row r="5648" spans="1:2">
      <c r="A5648">
        <v>96</v>
      </c>
      <c r="B5648" s="2">
        <v>0.49099999999999999</v>
      </c>
    </row>
    <row r="5649" spans="1:2">
      <c r="A5649">
        <v>96</v>
      </c>
      <c r="B5649" t="s">
        <v>31</v>
      </c>
    </row>
    <row r="5650" spans="1:2">
      <c r="A5650">
        <v>96</v>
      </c>
      <c r="B5650">
        <v>0.70099999999999996</v>
      </c>
    </row>
    <row r="5651" spans="1:2">
      <c r="A5651">
        <v>96</v>
      </c>
      <c r="B5651" t="s">
        <v>32</v>
      </c>
    </row>
    <row r="5652" spans="1:2">
      <c r="A5652">
        <v>96</v>
      </c>
      <c r="B5652" s="2">
        <v>0.49281000000000003</v>
      </c>
    </row>
    <row r="5653" spans="1:2">
      <c r="A5653">
        <v>96</v>
      </c>
      <c r="B5653" t="s">
        <v>33</v>
      </c>
    </row>
    <row r="5654" spans="1:2">
      <c r="A5654">
        <v>96</v>
      </c>
      <c r="B5654" s="3">
        <v>0.33</v>
      </c>
    </row>
    <row r="5655" spans="1:2">
      <c r="A5655">
        <v>96</v>
      </c>
      <c r="B5655" t="s">
        <v>34</v>
      </c>
    </row>
    <row r="5656" spans="1:2">
      <c r="A5656">
        <v>96</v>
      </c>
      <c r="B5656" s="3">
        <v>0.67</v>
      </c>
    </row>
    <row r="5657" spans="1:2">
      <c r="A5657">
        <v>96</v>
      </c>
      <c r="B5657" t="s">
        <v>26</v>
      </c>
    </row>
    <row r="5658" spans="1:2">
      <c r="A5658">
        <v>96</v>
      </c>
      <c r="B5658">
        <v>1.55</v>
      </c>
    </row>
    <row r="5659" spans="1:2">
      <c r="A5659">
        <v>96</v>
      </c>
      <c r="B5659" t="s">
        <v>23</v>
      </c>
    </row>
    <row r="5660" spans="1:2">
      <c r="A5660">
        <v>96</v>
      </c>
      <c r="B5660">
        <v>0.92400000000000004</v>
      </c>
    </row>
    <row r="5661" spans="1:2">
      <c r="A5661">
        <v>96</v>
      </c>
      <c r="B5661" t="s">
        <v>24</v>
      </c>
    </row>
    <row r="5662" spans="1:2">
      <c r="A5662">
        <v>96</v>
      </c>
      <c r="B5662">
        <v>4.7430000000000003</v>
      </c>
    </row>
    <row r="5663" spans="1:2">
      <c r="A5663">
        <v>96</v>
      </c>
      <c r="B5663" t="s">
        <v>35</v>
      </c>
    </row>
    <row r="5664" spans="1:2">
      <c r="A5664">
        <v>96</v>
      </c>
      <c r="B5664">
        <v>0.86699999999999999</v>
      </c>
    </row>
    <row r="5665" spans="1:2">
      <c r="A5665">
        <v>96</v>
      </c>
      <c r="B5665" t="s">
        <v>36</v>
      </c>
    </row>
    <row r="5666" spans="1:2">
      <c r="A5666">
        <v>96</v>
      </c>
      <c r="B5666">
        <v>0.751</v>
      </c>
    </row>
    <row r="5667" spans="1:2">
      <c r="A5667">
        <v>96</v>
      </c>
      <c r="B5667" t="s">
        <v>37</v>
      </c>
    </row>
    <row r="5668" spans="1:2">
      <c r="A5668">
        <v>96</v>
      </c>
      <c r="B5668">
        <v>1.3779999999999999</v>
      </c>
    </row>
    <row r="5669" spans="1:2">
      <c r="A5669">
        <v>96</v>
      </c>
      <c r="B5669" t="s">
        <v>38</v>
      </c>
    </row>
    <row r="5670" spans="1:2">
      <c r="A5670">
        <v>96</v>
      </c>
      <c r="B5670">
        <v>0.84499999999999997</v>
      </c>
    </row>
    <row r="5671" spans="1:2">
      <c r="A5671">
        <v>96</v>
      </c>
      <c r="B5671" t="s">
        <v>39</v>
      </c>
    </row>
    <row r="5672" spans="1:2">
      <c r="A5672">
        <v>96</v>
      </c>
      <c r="B5672">
        <v>0.25900000000000001</v>
      </c>
    </row>
    <row r="5673" spans="1:2">
      <c r="A5673">
        <v>96</v>
      </c>
      <c r="B5673" t="s">
        <v>40</v>
      </c>
    </row>
    <row r="5674" spans="1:2">
      <c r="A5674">
        <v>96</v>
      </c>
      <c r="B5674" s="4">
        <v>0</v>
      </c>
    </row>
    <row r="5675" spans="1:2">
      <c r="A5675">
        <v>96</v>
      </c>
      <c r="B5675" t="s">
        <v>41</v>
      </c>
    </row>
    <row r="5676" spans="1:2">
      <c r="A5676">
        <v>96</v>
      </c>
      <c r="B5676" s="4">
        <v>12000000</v>
      </c>
    </row>
    <row r="5677" spans="1:2">
      <c r="A5677">
        <v>96</v>
      </c>
      <c r="B5677" t="s">
        <v>42</v>
      </c>
    </row>
    <row r="5678" spans="1:2">
      <c r="A5678">
        <v>96</v>
      </c>
      <c r="B5678" t="s">
        <v>46</v>
      </c>
    </row>
    <row r="5679" spans="1:2">
      <c r="A5679">
        <v>95</v>
      </c>
      <c r="B5679" t="s">
        <v>27</v>
      </c>
    </row>
    <row r="5680" spans="1:2">
      <c r="A5680">
        <v>95</v>
      </c>
      <c r="B5680" s="2">
        <v>0.47092000000000001</v>
      </c>
    </row>
    <row r="5681" spans="1:2">
      <c r="A5681">
        <v>95</v>
      </c>
      <c r="B5681" t="s">
        <v>1</v>
      </c>
    </row>
    <row r="5682" spans="1:2">
      <c r="A5682">
        <v>95</v>
      </c>
      <c r="B5682">
        <v>1.4159999999999999</v>
      </c>
    </row>
    <row r="5683" spans="1:2">
      <c r="A5683">
        <v>95</v>
      </c>
      <c r="B5683" t="s">
        <v>28</v>
      </c>
    </row>
    <row r="5684" spans="1:2">
      <c r="A5684">
        <v>95</v>
      </c>
      <c r="B5684">
        <v>283</v>
      </c>
    </row>
    <row r="5685" spans="1:2">
      <c r="A5685">
        <v>95</v>
      </c>
      <c r="B5685" t="s">
        <v>25</v>
      </c>
    </row>
    <row r="5686" spans="1:2">
      <c r="A5686">
        <v>95</v>
      </c>
      <c r="B5686" s="2">
        <v>0.1166</v>
      </c>
    </row>
    <row r="5687" spans="1:2">
      <c r="A5687">
        <v>95</v>
      </c>
      <c r="B5687" t="s">
        <v>29</v>
      </c>
    </row>
    <row r="5688" spans="1:2">
      <c r="A5688">
        <v>95</v>
      </c>
      <c r="B5688" s="2">
        <v>-7.51E-2</v>
      </c>
    </row>
    <row r="5689" spans="1:2">
      <c r="A5689">
        <v>95</v>
      </c>
      <c r="B5689" t="s">
        <v>30</v>
      </c>
    </row>
    <row r="5690" spans="1:2">
      <c r="A5690">
        <v>95</v>
      </c>
      <c r="B5690" s="2">
        <v>0.86343000000000003</v>
      </c>
    </row>
    <row r="5691" spans="1:2">
      <c r="A5691">
        <v>95</v>
      </c>
      <c r="B5691" t="s">
        <v>8</v>
      </c>
    </row>
    <row r="5692" spans="1:2">
      <c r="A5692">
        <v>95</v>
      </c>
      <c r="B5692" s="2">
        <v>0.49099999999999999</v>
      </c>
    </row>
    <row r="5693" spans="1:2">
      <c r="A5693">
        <v>95</v>
      </c>
      <c r="B5693" t="s">
        <v>31</v>
      </c>
    </row>
    <row r="5694" spans="1:2">
      <c r="A5694">
        <v>95</v>
      </c>
      <c r="B5694">
        <v>0.70099999999999996</v>
      </c>
    </row>
    <row r="5695" spans="1:2">
      <c r="A5695">
        <v>95</v>
      </c>
      <c r="B5695" t="s">
        <v>32</v>
      </c>
    </row>
    <row r="5696" spans="1:2">
      <c r="A5696">
        <v>95</v>
      </c>
      <c r="B5696" s="2">
        <v>0.49281000000000003</v>
      </c>
    </row>
    <row r="5697" spans="1:2">
      <c r="A5697">
        <v>95</v>
      </c>
      <c r="B5697" t="s">
        <v>33</v>
      </c>
    </row>
    <row r="5698" spans="1:2">
      <c r="A5698">
        <v>95</v>
      </c>
      <c r="B5698" s="3">
        <v>0.33</v>
      </c>
    </row>
    <row r="5699" spans="1:2">
      <c r="A5699">
        <v>95</v>
      </c>
      <c r="B5699" t="s">
        <v>34</v>
      </c>
    </row>
    <row r="5700" spans="1:2">
      <c r="A5700">
        <v>95</v>
      </c>
      <c r="B5700" s="3">
        <v>0.67</v>
      </c>
    </row>
    <row r="5701" spans="1:2">
      <c r="A5701">
        <v>95</v>
      </c>
      <c r="B5701" t="s">
        <v>26</v>
      </c>
    </row>
    <row r="5702" spans="1:2">
      <c r="A5702">
        <v>95</v>
      </c>
      <c r="B5702">
        <v>1.55</v>
      </c>
    </row>
    <row r="5703" spans="1:2">
      <c r="A5703">
        <v>95</v>
      </c>
      <c r="B5703" t="s">
        <v>23</v>
      </c>
    </row>
    <row r="5704" spans="1:2">
      <c r="A5704">
        <v>95</v>
      </c>
      <c r="B5704">
        <v>0.92400000000000004</v>
      </c>
    </row>
    <row r="5705" spans="1:2">
      <c r="A5705">
        <v>95</v>
      </c>
      <c r="B5705" t="s">
        <v>24</v>
      </c>
    </row>
    <row r="5706" spans="1:2">
      <c r="A5706">
        <v>95</v>
      </c>
      <c r="B5706">
        <v>4.7430000000000003</v>
      </c>
    </row>
    <row r="5707" spans="1:2">
      <c r="A5707">
        <v>95</v>
      </c>
      <c r="B5707" t="s">
        <v>35</v>
      </c>
    </row>
    <row r="5708" spans="1:2">
      <c r="A5708">
        <v>95</v>
      </c>
      <c r="B5708">
        <v>0.86699999999999999</v>
      </c>
    </row>
    <row r="5709" spans="1:2">
      <c r="A5709">
        <v>95</v>
      </c>
      <c r="B5709" t="s">
        <v>36</v>
      </c>
    </row>
    <row r="5710" spans="1:2">
      <c r="A5710">
        <v>95</v>
      </c>
      <c r="B5710">
        <v>0.751</v>
      </c>
    </row>
    <row r="5711" spans="1:2">
      <c r="A5711">
        <v>95</v>
      </c>
      <c r="B5711" t="s">
        <v>37</v>
      </c>
    </row>
    <row r="5712" spans="1:2">
      <c r="A5712">
        <v>95</v>
      </c>
      <c r="B5712">
        <v>1.3779999999999999</v>
      </c>
    </row>
    <row r="5713" spans="1:2">
      <c r="A5713">
        <v>95</v>
      </c>
      <c r="B5713" t="s">
        <v>38</v>
      </c>
    </row>
    <row r="5714" spans="1:2">
      <c r="A5714">
        <v>95</v>
      </c>
      <c r="B5714">
        <v>0.84499999999999997</v>
      </c>
    </row>
    <row r="5715" spans="1:2">
      <c r="A5715">
        <v>95</v>
      </c>
      <c r="B5715" t="s">
        <v>39</v>
      </c>
    </row>
    <row r="5716" spans="1:2">
      <c r="A5716">
        <v>95</v>
      </c>
      <c r="B5716">
        <v>0.25900000000000001</v>
      </c>
    </row>
    <row r="5717" spans="1:2">
      <c r="A5717">
        <v>95</v>
      </c>
      <c r="B5717" t="s">
        <v>40</v>
      </c>
    </row>
    <row r="5718" spans="1:2">
      <c r="A5718">
        <v>95</v>
      </c>
      <c r="B5718" s="4">
        <v>0</v>
      </c>
    </row>
    <row r="5719" spans="1:2">
      <c r="A5719">
        <v>95</v>
      </c>
      <c r="B5719" t="s">
        <v>41</v>
      </c>
    </row>
    <row r="5720" spans="1:2">
      <c r="A5720">
        <v>95</v>
      </c>
      <c r="B5720" s="4">
        <v>12000000</v>
      </c>
    </row>
    <row r="5721" spans="1:2">
      <c r="A5721">
        <v>95</v>
      </c>
      <c r="B5721" t="s">
        <v>42</v>
      </c>
    </row>
    <row r="5722" spans="1:2">
      <c r="A5722">
        <v>95</v>
      </c>
      <c r="B5722" t="s">
        <v>46</v>
      </c>
    </row>
    <row r="5723" spans="1:2">
      <c r="A5723">
        <v>94</v>
      </c>
      <c r="B5723" t="s">
        <v>27</v>
      </c>
    </row>
    <row r="5724" spans="1:2">
      <c r="A5724">
        <v>94</v>
      </c>
      <c r="B5724" s="2">
        <v>0.47092000000000001</v>
      </c>
    </row>
    <row r="5725" spans="1:2">
      <c r="A5725">
        <v>94</v>
      </c>
      <c r="B5725" t="s">
        <v>1</v>
      </c>
    </row>
    <row r="5726" spans="1:2">
      <c r="A5726">
        <v>94</v>
      </c>
      <c r="B5726">
        <v>1.4159999999999999</v>
      </c>
    </row>
    <row r="5727" spans="1:2">
      <c r="A5727">
        <v>94</v>
      </c>
      <c r="B5727" t="s">
        <v>28</v>
      </c>
    </row>
    <row r="5728" spans="1:2">
      <c r="A5728">
        <v>94</v>
      </c>
      <c r="B5728">
        <v>283</v>
      </c>
    </row>
    <row r="5729" spans="1:2">
      <c r="A5729">
        <v>94</v>
      </c>
      <c r="B5729" t="s">
        <v>25</v>
      </c>
    </row>
    <row r="5730" spans="1:2">
      <c r="A5730">
        <v>94</v>
      </c>
      <c r="B5730" s="2">
        <v>0.1166</v>
      </c>
    </row>
    <row r="5731" spans="1:2">
      <c r="A5731">
        <v>94</v>
      </c>
      <c r="B5731" t="s">
        <v>29</v>
      </c>
    </row>
    <row r="5732" spans="1:2">
      <c r="A5732">
        <v>94</v>
      </c>
      <c r="B5732" s="2">
        <v>-7.51E-2</v>
      </c>
    </row>
    <row r="5733" spans="1:2">
      <c r="A5733">
        <v>94</v>
      </c>
      <c r="B5733" t="s">
        <v>30</v>
      </c>
    </row>
    <row r="5734" spans="1:2">
      <c r="A5734">
        <v>94</v>
      </c>
      <c r="B5734" s="2">
        <v>0.86343000000000003</v>
      </c>
    </row>
    <row r="5735" spans="1:2">
      <c r="A5735">
        <v>94</v>
      </c>
      <c r="B5735" t="s">
        <v>8</v>
      </c>
    </row>
    <row r="5736" spans="1:2">
      <c r="A5736">
        <v>94</v>
      </c>
      <c r="B5736" s="2">
        <v>0.49099999999999999</v>
      </c>
    </row>
    <row r="5737" spans="1:2">
      <c r="A5737">
        <v>94</v>
      </c>
      <c r="B5737" t="s">
        <v>31</v>
      </c>
    </row>
    <row r="5738" spans="1:2">
      <c r="A5738">
        <v>94</v>
      </c>
      <c r="B5738">
        <v>0.70099999999999996</v>
      </c>
    </row>
    <row r="5739" spans="1:2">
      <c r="A5739">
        <v>94</v>
      </c>
      <c r="B5739" t="s">
        <v>32</v>
      </c>
    </row>
    <row r="5740" spans="1:2">
      <c r="A5740">
        <v>94</v>
      </c>
      <c r="B5740" s="2">
        <v>0.49281000000000003</v>
      </c>
    </row>
    <row r="5741" spans="1:2">
      <c r="A5741">
        <v>94</v>
      </c>
      <c r="B5741" t="s">
        <v>33</v>
      </c>
    </row>
    <row r="5742" spans="1:2">
      <c r="A5742">
        <v>94</v>
      </c>
      <c r="B5742" s="3">
        <v>0.33</v>
      </c>
    </row>
    <row r="5743" spans="1:2">
      <c r="A5743">
        <v>94</v>
      </c>
      <c r="B5743" t="s">
        <v>34</v>
      </c>
    </row>
    <row r="5744" spans="1:2">
      <c r="A5744">
        <v>94</v>
      </c>
      <c r="B5744" s="3">
        <v>0.67</v>
      </c>
    </row>
    <row r="5745" spans="1:2">
      <c r="A5745">
        <v>94</v>
      </c>
      <c r="B5745" t="s">
        <v>26</v>
      </c>
    </row>
    <row r="5746" spans="1:2">
      <c r="A5746">
        <v>94</v>
      </c>
      <c r="B5746">
        <v>1.55</v>
      </c>
    </row>
    <row r="5747" spans="1:2">
      <c r="A5747">
        <v>94</v>
      </c>
      <c r="B5747" t="s">
        <v>23</v>
      </c>
    </row>
    <row r="5748" spans="1:2">
      <c r="A5748">
        <v>94</v>
      </c>
      <c r="B5748">
        <v>0.92400000000000004</v>
      </c>
    </row>
    <row r="5749" spans="1:2">
      <c r="A5749">
        <v>94</v>
      </c>
      <c r="B5749" t="s">
        <v>24</v>
      </c>
    </row>
    <row r="5750" spans="1:2">
      <c r="A5750">
        <v>94</v>
      </c>
      <c r="B5750">
        <v>4.7430000000000003</v>
      </c>
    </row>
    <row r="5751" spans="1:2">
      <c r="A5751">
        <v>94</v>
      </c>
      <c r="B5751" t="s">
        <v>35</v>
      </c>
    </row>
    <row r="5752" spans="1:2">
      <c r="A5752">
        <v>94</v>
      </c>
      <c r="B5752">
        <v>0.86699999999999999</v>
      </c>
    </row>
    <row r="5753" spans="1:2">
      <c r="A5753">
        <v>94</v>
      </c>
      <c r="B5753" t="s">
        <v>36</v>
      </c>
    </row>
    <row r="5754" spans="1:2">
      <c r="A5754">
        <v>94</v>
      </c>
      <c r="B5754">
        <v>0.751</v>
      </c>
    </row>
    <row r="5755" spans="1:2">
      <c r="A5755">
        <v>94</v>
      </c>
      <c r="B5755" t="s">
        <v>37</v>
      </c>
    </row>
    <row r="5756" spans="1:2">
      <c r="A5756">
        <v>94</v>
      </c>
      <c r="B5756">
        <v>1.3779999999999999</v>
      </c>
    </row>
    <row r="5757" spans="1:2">
      <c r="A5757">
        <v>94</v>
      </c>
      <c r="B5757" t="s">
        <v>38</v>
      </c>
    </row>
    <row r="5758" spans="1:2">
      <c r="A5758">
        <v>94</v>
      </c>
      <c r="B5758">
        <v>0.84499999999999997</v>
      </c>
    </row>
    <row r="5759" spans="1:2">
      <c r="A5759">
        <v>94</v>
      </c>
      <c r="B5759" t="s">
        <v>39</v>
      </c>
    </row>
    <row r="5760" spans="1:2">
      <c r="A5760">
        <v>94</v>
      </c>
      <c r="B5760">
        <v>0.25900000000000001</v>
      </c>
    </row>
    <row r="5761" spans="1:2">
      <c r="A5761">
        <v>94</v>
      </c>
      <c r="B5761" t="s">
        <v>40</v>
      </c>
    </row>
    <row r="5762" spans="1:2">
      <c r="A5762">
        <v>94</v>
      </c>
      <c r="B5762" s="4">
        <v>0</v>
      </c>
    </row>
    <row r="5763" spans="1:2">
      <c r="A5763">
        <v>94</v>
      </c>
      <c r="B5763" t="s">
        <v>41</v>
      </c>
    </row>
    <row r="5764" spans="1:2">
      <c r="A5764">
        <v>94</v>
      </c>
      <c r="B5764" s="4">
        <v>12000000</v>
      </c>
    </row>
    <row r="5765" spans="1:2">
      <c r="A5765">
        <v>94</v>
      </c>
      <c r="B5765" t="s">
        <v>42</v>
      </c>
    </row>
    <row r="5766" spans="1:2">
      <c r="A5766">
        <v>94</v>
      </c>
      <c r="B5766" t="s">
        <v>46</v>
      </c>
    </row>
    <row r="5767" spans="1:2">
      <c r="A5767">
        <v>93</v>
      </c>
      <c r="B5767" t="s">
        <v>27</v>
      </c>
    </row>
    <row r="5768" spans="1:2">
      <c r="A5768">
        <v>93</v>
      </c>
      <c r="B5768" s="2">
        <v>0.47092000000000001</v>
      </c>
    </row>
    <row r="5769" spans="1:2">
      <c r="A5769">
        <v>93</v>
      </c>
      <c r="B5769" t="s">
        <v>1</v>
      </c>
    </row>
    <row r="5770" spans="1:2">
      <c r="A5770">
        <v>93</v>
      </c>
      <c r="B5770">
        <v>1.4159999999999999</v>
      </c>
    </row>
    <row r="5771" spans="1:2">
      <c r="A5771">
        <v>93</v>
      </c>
      <c r="B5771" t="s">
        <v>28</v>
      </c>
    </row>
    <row r="5772" spans="1:2">
      <c r="A5772">
        <v>93</v>
      </c>
      <c r="B5772">
        <v>283</v>
      </c>
    </row>
    <row r="5773" spans="1:2">
      <c r="A5773">
        <v>93</v>
      </c>
      <c r="B5773" t="s">
        <v>25</v>
      </c>
    </row>
    <row r="5774" spans="1:2">
      <c r="A5774">
        <v>93</v>
      </c>
      <c r="B5774" s="2">
        <v>0.1166</v>
      </c>
    </row>
    <row r="5775" spans="1:2">
      <c r="A5775">
        <v>93</v>
      </c>
      <c r="B5775" t="s">
        <v>29</v>
      </c>
    </row>
    <row r="5776" spans="1:2">
      <c r="A5776">
        <v>93</v>
      </c>
      <c r="B5776" s="2">
        <v>-7.51E-2</v>
      </c>
    </row>
    <row r="5777" spans="1:2">
      <c r="A5777">
        <v>93</v>
      </c>
      <c r="B5777" t="s">
        <v>30</v>
      </c>
    </row>
    <row r="5778" spans="1:2">
      <c r="A5778">
        <v>93</v>
      </c>
      <c r="B5778" s="2">
        <v>0.86343000000000003</v>
      </c>
    </row>
    <row r="5779" spans="1:2">
      <c r="A5779">
        <v>93</v>
      </c>
      <c r="B5779" t="s">
        <v>8</v>
      </c>
    </row>
    <row r="5780" spans="1:2">
      <c r="A5780">
        <v>93</v>
      </c>
      <c r="B5780" s="2">
        <v>0.49099999999999999</v>
      </c>
    </row>
    <row r="5781" spans="1:2">
      <c r="A5781">
        <v>93</v>
      </c>
      <c r="B5781" t="s">
        <v>31</v>
      </c>
    </row>
    <row r="5782" spans="1:2">
      <c r="A5782">
        <v>93</v>
      </c>
      <c r="B5782">
        <v>0.70099999999999996</v>
      </c>
    </row>
    <row r="5783" spans="1:2">
      <c r="A5783">
        <v>93</v>
      </c>
      <c r="B5783" t="s">
        <v>32</v>
      </c>
    </row>
    <row r="5784" spans="1:2">
      <c r="A5784">
        <v>93</v>
      </c>
      <c r="B5784" s="2">
        <v>0.49281000000000003</v>
      </c>
    </row>
    <row r="5785" spans="1:2">
      <c r="A5785">
        <v>93</v>
      </c>
      <c r="B5785" t="s">
        <v>33</v>
      </c>
    </row>
    <row r="5786" spans="1:2">
      <c r="A5786">
        <v>93</v>
      </c>
      <c r="B5786" s="3">
        <v>0.33</v>
      </c>
    </row>
    <row r="5787" spans="1:2">
      <c r="A5787">
        <v>93</v>
      </c>
      <c r="B5787" t="s">
        <v>34</v>
      </c>
    </row>
    <row r="5788" spans="1:2">
      <c r="A5788">
        <v>93</v>
      </c>
      <c r="B5788" s="3">
        <v>0.67</v>
      </c>
    </row>
    <row r="5789" spans="1:2">
      <c r="A5789">
        <v>93</v>
      </c>
      <c r="B5789" t="s">
        <v>26</v>
      </c>
    </row>
    <row r="5790" spans="1:2">
      <c r="A5790">
        <v>93</v>
      </c>
      <c r="B5790">
        <v>1.55</v>
      </c>
    </row>
    <row r="5791" spans="1:2">
      <c r="A5791">
        <v>93</v>
      </c>
      <c r="B5791" t="s">
        <v>23</v>
      </c>
    </row>
    <row r="5792" spans="1:2">
      <c r="A5792">
        <v>93</v>
      </c>
      <c r="B5792">
        <v>0.92400000000000004</v>
      </c>
    </row>
    <row r="5793" spans="1:2">
      <c r="A5793">
        <v>93</v>
      </c>
      <c r="B5793" t="s">
        <v>24</v>
      </c>
    </row>
    <row r="5794" spans="1:2">
      <c r="A5794">
        <v>93</v>
      </c>
      <c r="B5794">
        <v>4.7430000000000003</v>
      </c>
    </row>
    <row r="5795" spans="1:2">
      <c r="A5795">
        <v>93</v>
      </c>
      <c r="B5795" t="s">
        <v>35</v>
      </c>
    </row>
    <row r="5796" spans="1:2">
      <c r="A5796">
        <v>93</v>
      </c>
      <c r="B5796">
        <v>0.86699999999999999</v>
      </c>
    </row>
    <row r="5797" spans="1:2">
      <c r="A5797">
        <v>93</v>
      </c>
      <c r="B5797" t="s">
        <v>36</v>
      </c>
    </row>
    <row r="5798" spans="1:2">
      <c r="A5798">
        <v>93</v>
      </c>
      <c r="B5798">
        <v>0.751</v>
      </c>
    </row>
    <row r="5799" spans="1:2">
      <c r="A5799">
        <v>93</v>
      </c>
      <c r="B5799" t="s">
        <v>37</v>
      </c>
    </row>
    <row r="5800" spans="1:2">
      <c r="A5800">
        <v>93</v>
      </c>
      <c r="B5800">
        <v>1.3779999999999999</v>
      </c>
    </row>
    <row r="5801" spans="1:2">
      <c r="A5801">
        <v>93</v>
      </c>
      <c r="B5801" t="s">
        <v>38</v>
      </c>
    </row>
    <row r="5802" spans="1:2">
      <c r="A5802">
        <v>93</v>
      </c>
      <c r="B5802">
        <v>0.84499999999999997</v>
      </c>
    </row>
    <row r="5803" spans="1:2">
      <c r="A5803">
        <v>93</v>
      </c>
      <c r="B5803" t="s">
        <v>39</v>
      </c>
    </row>
    <row r="5804" spans="1:2">
      <c r="A5804">
        <v>93</v>
      </c>
      <c r="B5804">
        <v>0.25900000000000001</v>
      </c>
    </row>
    <row r="5805" spans="1:2">
      <c r="A5805">
        <v>93</v>
      </c>
      <c r="B5805" t="s">
        <v>40</v>
      </c>
    </row>
    <row r="5806" spans="1:2">
      <c r="A5806">
        <v>93</v>
      </c>
      <c r="B5806" s="4">
        <v>0</v>
      </c>
    </row>
    <row r="5807" spans="1:2">
      <c r="A5807">
        <v>93</v>
      </c>
      <c r="B5807" t="s">
        <v>41</v>
      </c>
    </row>
    <row r="5808" spans="1:2">
      <c r="A5808">
        <v>93</v>
      </c>
      <c r="B5808" s="4">
        <v>12000000</v>
      </c>
    </row>
    <row r="5809" spans="1:2">
      <c r="A5809">
        <v>93</v>
      </c>
      <c r="B5809" t="s">
        <v>42</v>
      </c>
    </row>
    <row r="5810" spans="1:2">
      <c r="A5810">
        <v>93</v>
      </c>
      <c r="B5810" t="s">
        <v>46</v>
      </c>
    </row>
    <row r="5811" spans="1:2">
      <c r="A5811">
        <v>92</v>
      </c>
      <c r="B5811" t="s">
        <v>27</v>
      </c>
    </row>
    <row r="5812" spans="1:2">
      <c r="A5812">
        <v>92</v>
      </c>
      <c r="B5812" s="2">
        <v>0.47092000000000001</v>
      </c>
    </row>
    <row r="5813" spans="1:2">
      <c r="A5813">
        <v>92</v>
      </c>
      <c r="B5813" t="s">
        <v>1</v>
      </c>
    </row>
    <row r="5814" spans="1:2">
      <c r="A5814">
        <v>92</v>
      </c>
      <c r="B5814">
        <v>1.4159999999999999</v>
      </c>
    </row>
    <row r="5815" spans="1:2">
      <c r="A5815">
        <v>92</v>
      </c>
      <c r="B5815" t="s">
        <v>28</v>
      </c>
    </row>
    <row r="5816" spans="1:2">
      <c r="A5816">
        <v>92</v>
      </c>
      <c r="B5816">
        <v>283</v>
      </c>
    </row>
    <row r="5817" spans="1:2">
      <c r="A5817">
        <v>92</v>
      </c>
      <c r="B5817" t="s">
        <v>25</v>
      </c>
    </row>
    <row r="5818" spans="1:2">
      <c r="A5818">
        <v>92</v>
      </c>
      <c r="B5818" s="2">
        <v>0.1166</v>
      </c>
    </row>
    <row r="5819" spans="1:2">
      <c r="A5819">
        <v>92</v>
      </c>
      <c r="B5819" t="s">
        <v>29</v>
      </c>
    </row>
    <row r="5820" spans="1:2">
      <c r="A5820">
        <v>92</v>
      </c>
      <c r="B5820" s="2">
        <v>-7.51E-2</v>
      </c>
    </row>
    <row r="5821" spans="1:2">
      <c r="A5821">
        <v>92</v>
      </c>
      <c r="B5821" t="s">
        <v>30</v>
      </c>
    </row>
    <row r="5822" spans="1:2">
      <c r="A5822">
        <v>92</v>
      </c>
      <c r="B5822" s="2">
        <v>0.86343000000000003</v>
      </c>
    </row>
    <row r="5823" spans="1:2">
      <c r="A5823">
        <v>92</v>
      </c>
      <c r="B5823" t="s">
        <v>8</v>
      </c>
    </row>
    <row r="5824" spans="1:2">
      <c r="A5824">
        <v>92</v>
      </c>
      <c r="B5824" s="2">
        <v>0.49099999999999999</v>
      </c>
    </row>
    <row r="5825" spans="1:2">
      <c r="A5825">
        <v>92</v>
      </c>
      <c r="B5825" t="s">
        <v>31</v>
      </c>
    </row>
    <row r="5826" spans="1:2">
      <c r="A5826">
        <v>92</v>
      </c>
      <c r="B5826">
        <v>0.70099999999999996</v>
      </c>
    </row>
    <row r="5827" spans="1:2">
      <c r="A5827">
        <v>92</v>
      </c>
      <c r="B5827" t="s">
        <v>32</v>
      </c>
    </row>
    <row r="5828" spans="1:2">
      <c r="A5828">
        <v>92</v>
      </c>
      <c r="B5828" s="2">
        <v>0.49281000000000003</v>
      </c>
    </row>
    <row r="5829" spans="1:2">
      <c r="A5829">
        <v>92</v>
      </c>
      <c r="B5829" t="s">
        <v>33</v>
      </c>
    </row>
    <row r="5830" spans="1:2">
      <c r="A5830">
        <v>92</v>
      </c>
      <c r="B5830" s="3">
        <v>0.33</v>
      </c>
    </row>
    <row r="5831" spans="1:2">
      <c r="A5831">
        <v>92</v>
      </c>
      <c r="B5831" t="s">
        <v>34</v>
      </c>
    </row>
    <row r="5832" spans="1:2">
      <c r="A5832">
        <v>92</v>
      </c>
      <c r="B5832" s="3">
        <v>0.67</v>
      </c>
    </row>
    <row r="5833" spans="1:2">
      <c r="A5833">
        <v>92</v>
      </c>
      <c r="B5833" t="s">
        <v>26</v>
      </c>
    </row>
    <row r="5834" spans="1:2">
      <c r="A5834">
        <v>92</v>
      </c>
      <c r="B5834">
        <v>1.55</v>
      </c>
    </row>
    <row r="5835" spans="1:2">
      <c r="A5835">
        <v>92</v>
      </c>
      <c r="B5835" t="s">
        <v>23</v>
      </c>
    </row>
    <row r="5836" spans="1:2">
      <c r="A5836">
        <v>92</v>
      </c>
      <c r="B5836">
        <v>0.92400000000000004</v>
      </c>
    </row>
    <row r="5837" spans="1:2">
      <c r="A5837">
        <v>92</v>
      </c>
      <c r="B5837" t="s">
        <v>24</v>
      </c>
    </row>
    <row r="5838" spans="1:2">
      <c r="A5838">
        <v>92</v>
      </c>
      <c r="B5838">
        <v>4.7430000000000003</v>
      </c>
    </row>
    <row r="5839" spans="1:2">
      <c r="A5839">
        <v>92</v>
      </c>
      <c r="B5839" t="s">
        <v>35</v>
      </c>
    </row>
    <row r="5840" spans="1:2">
      <c r="A5840">
        <v>92</v>
      </c>
      <c r="B5840">
        <v>0.86699999999999999</v>
      </c>
    </row>
    <row r="5841" spans="1:2">
      <c r="A5841">
        <v>92</v>
      </c>
      <c r="B5841" t="s">
        <v>36</v>
      </c>
    </row>
    <row r="5842" spans="1:2">
      <c r="A5842">
        <v>92</v>
      </c>
      <c r="B5842">
        <v>0.751</v>
      </c>
    </row>
    <row r="5843" spans="1:2">
      <c r="A5843">
        <v>92</v>
      </c>
      <c r="B5843" t="s">
        <v>37</v>
      </c>
    </row>
    <row r="5844" spans="1:2">
      <c r="A5844">
        <v>92</v>
      </c>
      <c r="B5844">
        <v>1.3779999999999999</v>
      </c>
    </row>
    <row r="5845" spans="1:2">
      <c r="A5845">
        <v>92</v>
      </c>
      <c r="B5845" t="s">
        <v>38</v>
      </c>
    </row>
    <row r="5846" spans="1:2">
      <c r="A5846">
        <v>92</v>
      </c>
      <c r="B5846">
        <v>0.84499999999999997</v>
      </c>
    </row>
    <row r="5847" spans="1:2">
      <c r="A5847">
        <v>92</v>
      </c>
      <c r="B5847" t="s">
        <v>39</v>
      </c>
    </row>
    <row r="5848" spans="1:2">
      <c r="A5848">
        <v>92</v>
      </c>
      <c r="B5848">
        <v>0.25900000000000001</v>
      </c>
    </row>
    <row r="5849" spans="1:2">
      <c r="A5849">
        <v>92</v>
      </c>
      <c r="B5849" t="s">
        <v>40</v>
      </c>
    </row>
    <row r="5850" spans="1:2">
      <c r="A5850">
        <v>92</v>
      </c>
      <c r="B5850" s="4">
        <v>0</v>
      </c>
    </row>
    <row r="5851" spans="1:2">
      <c r="A5851">
        <v>92</v>
      </c>
      <c r="B5851" t="s">
        <v>41</v>
      </c>
    </row>
    <row r="5852" spans="1:2">
      <c r="A5852">
        <v>92</v>
      </c>
      <c r="B5852" s="4">
        <v>12000000</v>
      </c>
    </row>
    <row r="5853" spans="1:2">
      <c r="A5853">
        <v>92</v>
      </c>
      <c r="B5853" t="s">
        <v>42</v>
      </c>
    </row>
    <row r="5854" spans="1:2">
      <c r="A5854">
        <v>92</v>
      </c>
      <c r="B5854" t="s">
        <v>46</v>
      </c>
    </row>
    <row r="5855" spans="1:2">
      <c r="A5855">
        <v>91</v>
      </c>
      <c r="B5855" t="s">
        <v>27</v>
      </c>
    </row>
    <row r="5856" spans="1:2">
      <c r="A5856">
        <v>91</v>
      </c>
      <c r="B5856" s="2">
        <v>0.47092000000000001</v>
      </c>
    </row>
    <row r="5857" spans="1:2">
      <c r="A5857">
        <v>91</v>
      </c>
      <c r="B5857" t="s">
        <v>1</v>
      </c>
    </row>
    <row r="5858" spans="1:2">
      <c r="A5858">
        <v>91</v>
      </c>
      <c r="B5858">
        <v>1.4159999999999999</v>
      </c>
    </row>
    <row r="5859" spans="1:2">
      <c r="A5859">
        <v>91</v>
      </c>
      <c r="B5859" t="s">
        <v>28</v>
      </c>
    </row>
    <row r="5860" spans="1:2">
      <c r="A5860">
        <v>91</v>
      </c>
      <c r="B5860">
        <v>283</v>
      </c>
    </row>
    <row r="5861" spans="1:2">
      <c r="A5861">
        <v>91</v>
      </c>
      <c r="B5861" t="s">
        <v>25</v>
      </c>
    </row>
    <row r="5862" spans="1:2">
      <c r="A5862">
        <v>91</v>
      </c>
      <c r="B5862" s="2">
        <v>0.1166</v>
      </c>
    </row>
    <row r="5863" spans="1:2">
      <c r="A5863">
        <v>91</v>
      </c>
      <c r="B5863" t="s">
        <v>29</v>
      </c>
    </row>
    <row r="5864" spans="1:2">
      <c r="A5864">
        <v>91</v>
      </c>
      <c r="B5864" s="2">
        <v>-7.51E-2</v>
      </c>
    </row>
    <row r="5865" spans="1:2">
      <c r="A5865">
        <v>91</v>
      </c>
      <c r="B5865" t="s">
        <v>30</v>
      </c>
    </row>
    <row r="5866" spans="1:2">
      <c r="A5866">
        <v>91</v>
      </c>
      <c r="B5866" s="2">
        <v>0.86343000000000003</v>
      </c>
    </row>
    <row r="5867" spans="1:2">
      <c r="A5867">
        <v>91</v>
      </c>
      <c r="B5867" t="s">
        <v>8</v>
      </c>
    </row>
    <row r="5868" spans="1:2">
      <c r="A5868">
        <v>91</v>
      </c>
      <c r="B5868" s="2">
        <v>0.49099999999999999</v>
      </c>
    </row>
    <row r="5869" spans="1:2">
      <c r="A5869">
        <v>91</v>
      </c>
      <c r="B5869" t="s">
        <v>31</v>
      </c>
    </row>
    <row r="5870" spans="1:2">
      <c r="A5870">
        <v>91</v>
      </c>
      <c r="B5870">
        <v>0.70099999999999996</v>
      </c>
    </row>
    <row r="5871" spans="1:2">
      <c r="A5871">
        <v>91</v>
      </c>
      <c r="B5871" t="s">
        <v>32</v>
      </c>
    </row>
    <row r="5872" spans="1:2">
      <c r="A5872">
        <v>91</v>
      </c>
      <c r="B5872" s="2">
        <v>0.49281000000000003</v>
      </c>
    </row>
    <row r="5873" spans="1:2">
      <c r="A5873">
        <v>91</v>
      </c>
      <c r="B5873" t="s">
        <v>33</v>
      </c>
    </row>
    <row r="5874" spans="1:2">
      <c r="A5874">
        <v>91</v>
      </c>
      <c r="B5874" s="3">
        <v>0.33</v>
      </c>
    </row>
    <row r="5875" spans="1:2">
      <c r="A5875">
        <v>91</v>
      </c>
      <c r="B5875" t="s">
        <v>34</v>
      </c>
    </row>
    <row r="5876" spans="1:2">
      <c r="A5876">
        <v>91</v>
      </c>
      <c r="B5876" s="3">
        <v>0.67</v>
      </c>
    </row>
    <row r="5877" spans="1:2">
      <c r="A5877">
        <v>91</v>
      </c>
      <c r="B5877" t="s">
        <v>26</v>
      </c>
    </row>
    <row r="5878" spans="1:2">
      <c r="A5878">
        <v>91</v>
      </c>
      <c r="B5878">
        <v>1.55</v>
      </c>
    </row>
    <row r="5879" spans="1:2">
      <c r="A5879">
        <v>91</v>
      </c>
      <c r="B5879" t="s">
        <v>23</v>
      </c>
    </row>
    <row r="5880" spans="1:2">
      <c r="A5880">
        <v>91</v>
      </c>
      <c r="B5880">
        <v>0.92400000000000004</v>
      </c>
    </row>
    <row r="5881" spans="1:2">
      <c r="A5881">
        <v>91</v>
      </c>
      <c r="B5881" t="s">
        <v>24</v>
      </c>
    </row>
    <row r="5882" spans="1:2">
      <c r="A5882">
        <v>91</v>
      </c>
      <c r="B5882">
        <v>4.7430000000000003</v>
      </c>
    </row>
    <row r="5883" spans="1:2">
      <c r="A5883">
        <v>91</v>
      </c>
      <c r="B5883" t="s">
        <v>35</v>
      </c>
    </row>
    <row r="5884" spans="1:2">
      <c r="A5884">
        <v>91</v>
      </c>
      <c r="B5884">
        <v>0.86699999999999999</v>
      </c>
    </row>
    <row r="5885" spans="1:2">
      <c r="A5885">
        <v>91</v>
      </c>
      <c r="B5885" t="s">
        <v>36</v>
      </c>
    </row>
    <row r="5886" spans="1:2">
      <c r="A5886">
        <v>91</v>
      </c>
      <c r="B5886">
        <v>0.751</v>
      </c>
    </row>
    <row r="5887" spans="1:2">
      <c r="A5887">
        <v>91</v>
      </c>
      <c r="B5887" t="s">
        <v>37</v>
      </c>
    </row>
    <row r="5888" spans="1:2">
      <c r="A5888">
        <v>91</v>
      </c>
      <c r="B5888">
        <v>1.3779999999999999</v>
      </c>
    </row>
    <row r="5889" spans="1:2">
      <c r="A5889">
        <v>91</v>
      </c>
      <c r="B5889" t="s">
        <v>38</v>
      </c>
    </row>
    <row r="5890" spans="1:2">
      <c r="A5890">
        <v>91</v>
      </c>
      <c r="B5890">
        <v>0.84499999999999997</v>
      </c>
    </row>
    <row r="5891" spans="1:2">
      <c r="A5891">
        <v>91</v>
      </c>
      <c r="B5891" t="s">
        <v>39</v>
      </c>
    </row>
    <row r="5892" spans="1:2">
      <c r="A5892">
        <v>91</v>
      </c>
      <c r="B5892">
        <v>0.25900000000000001</v>
      </c>
    </row>
    <row r="5893" spans="1:2">
      <c r="A5893">
        <v>91</v>
      </c>
      <c r="B5893" t="s">
        <v>40</v>
      </c>
    </row>
    <row r="5894" spans="1:2">
      <c r="A5894">
        <v>91</v>
      </c>
      <c r="B5894" s="4">
        <v>0</v>
      </c>
    </row>
    <row r="5895" spans="1:2">
      <c r="A5895">
        <v>91</v>
      </c>
      <c r="B5895" t="s">
        <v>41</v>
      </c>
    </row>
    <row r="5896" spans="1:2">
      <c r="A5896">
        <v>91</v>
      </c>
      <c r="B5896" s="4">
        <v>12000000</v>
      </c>
    </row>
    <row r="5897" spans="1:2">
      <c r="A5897">
        <v>91</v>
      </c>
      <c r="B5897" t="s">
        <v>42</v>
      </c>
    </row>
    <row r="5898" spans="1:2">
      <c r="A5898">
        <v>91</v>
      </c>
      <c r="B5898" t="s">
        <v>46</v>
      </c>
    </row>
    <row r="5899" spans="1:2">
      <c r="A5899">
        <v>81</v>
      </c>
      <c r="B5899" t="s">
        <v>27</v>
      </c>
    </row>
    <row r="5900" spans="1:2">
      <c r="A5900">
        <v>81</v>
      </c>
      <c r="B5900" s="2">
        <v>0.47092000000000001</v>
      </c>
    </row>
    <row r="5901" spans="1:2">
      <c r="A5901">
        <v>81</v>
      </c>
      <c r="B5901" t="s">
        <v>1</v>
      </c>
    </row>
    <row r="5902" spans="1:2">
      <c r="A5902">
        <v>81</v>
      </c>
      <c r="B5902">
        <v>1.4159999999999999</v>
      </c>
    </row>
    <row r="5903" spans="1:2">
      <c r="A5903">
        <v>81</v>
      </c>
      <c r="B5903" t="s">
        <v>28</v>
      </c>
    </row>
    <row r="5904" spans="1:2">
      <c r="A5904">
        <v>81</v>
      </c>
      <c r="B5904">
        <v>283</v>
      </c>
    </row>
    <row r="5905" spans="1:2">
      <c r="A5905">
        <v>81</v>
      </c>
      <c r="B5905" t="s">
        <v>25</v>
      </c>
    </row>
    <row r="5906" spans="1:2">
      <c r="A5906">
        <v>81</v>
      </c>
      <c r="B5906" s="2">
        <v>0.1166</v>
      </c>
    </row>
    <row r="5907" spans="1:2">
      <c r="A5907">
        <v>81</v>
      </c>
      <c r="B5907" t="s">
        <v>29</v>
      </c>
    </row>
    <row r="5908" spans="1:2">
      <c r="A5908">
        <v>81</v>
      </c>
      <c r="B5908" s="2">
        <v>-7.51E-2</v>
      </c>
    </row>
    <row r="5909" spans="1:2">
      <c r="A5909">
        <v>81</v>
      </c>
      <c r="B5909" t="s">
        <v>30</v>
      </c>
    </row>
    <row r="5910" spans="1:2">
      <c r="A5910">
        <v>81</v>
      </c>
      <c r="B5910" s="2">
        <v>0.86343000000000003</v>
      </c>
    </row>
    <row r="5911" spans="1:2">
      <c r="A5911">
        <v>81</v>
      </c>
      <c r="B5911" t="s">
        <v>8</v>
      </c>
    </row>
    <row r="5912" spans="1:2">
      <c r="A5912">
        <v>81</v>
      </c>
      <c r="B5912" s="2">
        <v>0.49099999999999999</v>
      </c>
    </row>
    <row r="5913" spans="1:2">
      <c r="A5913">
        <v>81</v>
      </c>
      <c r="B5913" t="s">
        <v>31</v>
      </c>
    </row>
    <row r="5914" spans="1:2">
      <c r="A5914">
        <v>81</v>
      </c>
      <c r="B5914">
        <v>0.70099999999999996</v>
      </c>
    </row>
    <row r="5915" spans="1:2">
      <c r="A5915">
        <v>81</v>
      </c>
      <c r="B5915" t="s">
        <v>32</v>
      </c>
    </row>
    <row r="5916" spans="1:2">
      <c r="A5916">
        <v>81</v>
      </c>
      <c r="B5916" s="2">
        <v>0.49281000000000003</v>
      </c>
    </row>
    <row r="5917" spans="1:2">
      <c r="A5917">
        <v>81</v>
      </c>
      <c r="B5917" t="s">
        <v>33</v>
      </c>
    </row>
    <row r="5918" spans="1:2">
      <c r="A5918">
        <v>81</v>
      </c>
      <c r="B5918" s="3">
        <v>0.33</v>
      </c>
    </row>
    <row r="5919" spans="1:2">
      <c r="A5919">
        <v>81</v>
      </c>
      <c r="B5919" t="s">
        <v>34</v>
      </c>
    </row>
    <row r="5920" spans="1:2">
      <c r="A5920">
        <v>81</v>
      </c>
      <c r="B5920" s="3">
        <v>0.67</v>
      </c>
    </row>
    <row r="5921" spans="1:2">
      <c r="A5921">
        <v>81</v>
      </c>
      <c r="B5921" t="s">
        <v>26</v>
      </c>
    </row>
    <row r="5922" spans="1:2">
      <c r="A5922">
        <v>81</v>
      </c>
      <c r="B5922">
        <v>1.55</v>
      </c>
    </row>
    <row r="5923" spans="1:2">
      <c r="A5923">
        <v>81</v>
      </c>
      <c r="B5923" t="s">
        <v>23</v>
      </c>
    </row>
    <row r="5924" spans="1:2">
      <c r="A5924">
        <v>81</v>
      </c>
      <c r="B5924">
        <v>0.92400000000000004</v>
      </c>
    </row>
    <row r="5925" spans="1:2">
      <c r="A5925">
        <v>81</v>
      </c>
      <c r="B5925" t="s">
        <v>24</v>
      </c>
    </row>
    <row r="5926" spans="1:2">
      <c r="A5926">
        <v>81</v>
      </c>
      <c r="B5926">
        <v>4.7430000000000003</v>
      </c>
    </row>
    <row r="5927" spans="1:2">
      <c r="A5927">
        <v>81</v>
      </c>
      <c r="B5927" t="s">
        <v>35</v>
      </c>
    </row>
    <row r="5928" spans="1:2">
      <c r="A5928">
        <v>81</v>
      </c>
      <c r="B5928">
        <v>0.86699999999999999</v>
      </c>
    </row>
    <row r="5929" spans="1:2">
      <c r="A5929">
        <v>81</v>
      </c>
      <c r="B5929" t="s">
        <v>36</v>
      </c>
    </row>
    <row r="5930" spans="1:2">
      <c r="A5930">
        <v>81</v>
      </c>
      <c r="B5930">
        <v>0.751</v>
      </c>
    </row>
    <row r="5931" spans="1:2">
      <c r="A5931">
        <v>81</v>
      </c>
      <c r="B5931" t="s">
        <v>37</v>
      </c>
    </row>
    <row r="5932" spans="1:2">
      <c r="A5932">
        <v>81</v>
      </c>
      <c r="B5932">
        <v>1.3779999999999999</v>
      </c>
    </row>
    <row r="5933" spans="1:2">
      <c r="A5933">
        <v>81</v>
      </c>
      <c r="B5933" t="s">
        <v>38</v>
      </c>
    </row>
    <row r="5934" spans="1:2">
      <c r="A5934">
        <v>81</v>
      </c>
      <c r="B5934">
        <v>0.84499999999999997</v>
      </c>
    </row>
    <row r="5935" spans="1:2">
      <c r="A5935">
        <v>81</v>
      </c>
      <c r="B5935" t="s">
        <v>39</v>
      </c>
    </row>
    <row r="5936" spans="1:2">
      <c r="A5936">
        <v>81</v>
      </c>
      <c r="B5936">
        <v>0.25900000000000001</v>
      </c>
    </row>
    <row r="5937" spans="1:2">
      <c r="A5937">
        <v>81</v>
      </c>
      <c r="B5937" t="s">
        <v>40</v>
      </c>
    </row>
    <row r="5938" spans="1:2">
      <c r="A5938">
        <v>81</v>
      </c>
      <c r="B5938" s="4">
        <v>0</v>
      </c>
    </row>
    <row r="5939" spans="1:2">
      <c r="A5939">
        <v>81</v>
      </c>
      <c r="B5939" t="s">
        <v>41</v>
      </c>
    </row>
    <row r="5940" spans="1:2">
      <c r="A5940">
        <v>81</v>
      </c>
      <c r="B5940" s="4">
        <v>12000000</v>
      </c>
    </row>
    <row r="5941" spans="1:2">
      <c r="A5941">
        <v>81</v>
      </c>
      <c r="B5941" t="s">
        <v>42</v>
      </c>
    </row>
    <row r="5942" spans="1:2">
      <c r="A5942">
        <v>81</v>
      </c>
      <c r="B5942" t="s">
        <v>46</v>
      </c>
    </row>
    <row r="5943" spans="1:2">
      <c r="A5943">
        <v>80</v>
      </c>
      <c r="B5943" s="2" t="s">
        <v>27</v>
      </c>
    </row>
    <row r="5944" spans="1:2">
      <c r="A5944">
        <v>80</v>
      </c>
      <c r="B5944" s="2">
        <v>0.47092000000000001</v>
      </c>
    </row>
    <row r="5945" spans="1:2">
      <c r="A5945">
        <v>80</v>
      </c>
      <c r="B5945" t="s">
        <v>1</v>
      </c>
    </row>
    <row r="5946" spans="1:2">
      <c r="A5946">
        <v>80</v>
      </c>
      <c r="B5946">
        <v>1.4159999999999999</v>
      </c>
    </row>
    <row r="5947" spans="1:2">
      <c r="A5947">
        <v>80</v>
      </c>
      <c r="B5947" t="s">
        <v>28</v>
      </c>
    </row>
    <row r="5948" spans="1:2">
      <c r="A5948">
        <v>80</v>
      </c>
      <c r="B5948">
        <v>283</v>
      </c>
    </row>
    <row r="5949" spans="1:2">
      <c r="A5949">
        <v>80</v>
      </c>
      <c r="B5949" s="2" t="s">
        <v>25</v>
      </c>
    </row>
    <row r="5950" spans="1:2">
      <c r="A5950">
        <v>80</v>
      </c>
      <c r="B5950" s="2">
        <v>0.1166</v>
      </c>
    </row>
    <row r="5951" spans="1:2">
      <c r="A5951">
        <v>80</v>
      </c>
      <c r="B5951" s="2" t="s">
        <v>29</v>
      </c>
    </row>
    <row r="5952" spans="1:2">
      <c r="A5952">
        <v>80</v>
      </c>
      <c r="B5952" s="2">
        <v>-7.51E-2</v>
      </c>
    </row>
    <row r="5953" spans="1:2">
      <c r="A5953">
        <v>80</v>
      </c>
      <c r="B5953" s="2" t="s">
        <v>30</v>
      </c>
    </row>
    <row r="5954" spans="1:2">
      <c r="A5954">
        <v>80</v>
      </c>
      <c r="B5954" s="2">
        <v>0.86343000000000003</v>
      </c>
    </row>
    <row r="5955" spans="1:2">
      <c r="A5955">
        <v>80</v>
      </c>
      <c r="B5955" s="2" t="s">
        <v>8</v>
      </c>
    </row>
    <row r="5956" spans="1:2">
      <c r="A5956">
        <v>80</v>
      </c>
      <c r="B5956" s="2">
        <v>0.49099999999999999</v>
      </c>
    </row>
    <row r="5957" spans="1:2">
      <c r="A5957">
        <v>80</v>
      </c>
      <c r="B5957" t="s">
        <v>31</v>
      </c>
    </row>
    <row r="5958" spans="1:2">
      <c r="A5958">
        <v>80</v>
      </c>
      <c r="B5958">
        <v>0.70099999999999996</v>
      </c>
    </row>
    <row r="5959" spans="1:2">
      <c r="A5959">
        <v>80</v>
      </c>
      <c r="B5959" s="2" t="s">
        <v>32</v>
      </c>
    </row>
    <row r="5960" spans="1:2">
      <c r="A5960">
        <v>80</v>
      </c>
      <c r="B5960" s="2">
        <v>0.49281000000000003</v>
      </c>
    </row>
    <row r="5961" spans="1:2">
      <c r="A5961">
        <v>80</v>
      </c>
      <c r="B5961" s="3" t="s">
        <v>33</v>
      </c>
    </row>
    <row r="5962" spans="1:2">
      <c r="A5962">
        <v>80</v>
      </c>
      <c r="B5962" s="3">
        <v>0.33</v>
      </c>
    </row>
    <row r="5963" spans="1:2">
      <c r="A5963">
        <v>80</v>
      </c>
      <c r="B5963" s="3" t="s">
        <v>34</v>
      </c>
    </row>
    <row r="5964" spans="1:2">
      <c r="A5964">
        <v>80</v>
      </c>
      <c r="B5964" s="3">
        <v>0.67</v>
      </c>
    </row>
    <row r="5965" spans="1:2">
      <c r="A5965">
        <v>80</v>
      </c>
      <c r="B5965" t="s">
        <v>26</v>
      </c>
    </row>
    <row r="5966" spans="1:2">
      <c r="A5966">
        <v>80</v>
      </c>
      <c r="B5966">
        <v>1.55</v>
      </c>
    </row>
    <row r="5967" spans="1:2">
      <c r="A5967">
        <v>80</v>
      </c>
      <c r="B5967" t="s">
        <v>23</v>
      </c>
    </row>
    <row r="5968" spans="1:2">
      <c r="A5968">
        <v>80</v>
      </c>
      <c r="B5968">
        <v>0.92400000000000004</v>
      </c>
    </row>
    <row r="5969" spans="1:2">
      <c r="A5969">
        <v>80</v>
      </c>
      <c r="B5969" t="s">
        <v>24</v>
      </c>
    </row>
    <row r="5970" spans="1:2">
      <c r="A5970">
        <v>80</v>
      </c>
      <c r="B5970">
        <v>4.7430000000000003</v>
      </c>
    </row>
    <row r="5971" spans="1:2">
      <c r="A5971">
        <v>80</v>
      </c>
      <c r="B5971" t="s">
        <v>35</v>
      </c>
    </row>
    <row r="5972" spans="1:2">
      <c r="A5972">
        <v>80</v>
      </c>
      <c r="B5972">
        <v>0.86699999999999999</v>
      </c>
    </row>
    <row r="5973" spans="1:2">
      <c r="A5973">
        <v>80</v>
      </c>
      <c r="B5973" t="s">
        <v>36</v>
      </c>
    </row>
    <row r="5974" spans="1:2">
      <c r="A5974">
        <v>80</v>
      </c>
      <c r="B5974">
        <v>0.751</v>
      </c>
    </row>
    <row r="5975" spans="1:2">
      <c r="A5975">
        <v>80</v>
      </c>
      <c r="B5975" t="s">
        <v>37</v>
      </c>
    </row>
    <row r="5976" spans="1:2">
      <c r="A5976">
        <v>80</v>
      </c>
      <c r="B5976">
        <v>1.3779999999999999</v>
      </c>
    </row>
    <row r="5977" spans="1:2">
      <c r="A5977">
        <v>80</v>
      </c>
      <c r="B5977" t="s">
        <v>38</v>
      </c>
    </row>
    <row r="5978" spans="1:2">
      <c r="A5978">
        <v>80</v>
      </c>
      <c r="B5978">
        <v>0.84499999999999997</v>
      </c>
    </row>
    <row r="5979" spans="1:2">
      <c r="A5979">
        <v>80</v>
      </c>
      <c r="B5979" t="s">
        <v>39</v>
      </c>
    </row>
    <row r="5980" spans="1:2">
      <c r="A5980">
        <v>80</v>
      </c>
      <c r="B5980">
        <v>0.25900000000000001</v>
      </c>
    </row>
    <row r="5981" spans="1:2">
      <c r="A5981">
        <v>80</v>
      </c>
      <c r="B5981" s="4" t="s">
        <v>40</v>
      </c>
    </row>
    <row r="5982" spans="1:2">
      <c r="A5982">
        <v>80</v>
      </c>
      <c r="B5982" s="4">
        <v>0</v>
      </c>
    </row>
    <row r="5983" spans="1:2">
      <c r="A5983">
        <v>80</v>
      </c>
      <c r="B5983" s="4" t="s">
        <v>41</v>
      </c>
    </row>
    <row r="5984" spans="1:2">
      <c r="A5984">
        <v>80</v>
      </c>
      <c r="B5984" s="4">
        <v>12000000</v>
      </c>
    </row>
    <row r="5985" spans="1:2">
      <c r="A5985">
        <v>80</v>
      </c>
      <c r="B5985" t="s">
        <v>42</v>
      </c>
    </row>
    <row r="5986" spans="1:2">
      <c r="A5986">
        <v>80</v>
      </c>
      <c r="B5986" t="s">
        <v>46</v>
      </c>
    </row>
    <row r="5987" spans="1:2">
      <c r="A5987">
        <v>79</v>
      </c>
      <c r="B5987" t="s">
        <v>27</v>
      </c>
    </row>
    <row r="5988" spans="1:2">
      <c r="A5988">
        <v>79</v>
      </c>
      <c r="B5988" s="2">
        <v>0.47092000000000001</v>
      </c>
    </row>
    <row r="5989" spans="1:2">
      <c r="A5989">
        <v>79</v>
      </c>
      <c r="B5989" t="s">
        <v>1</v>
      </c>
    </row>
    <row r="5990" spans="1:2">
      <c r="A5990">
        <v>79</v>
      </c>
      <c r="B5990">
        <v>1.4159999999999999</v>
      </c>
    </row>
    <row r="5991" spans="1:2">
      <c r="A5991">
        <v>79</v>
      </c>
      <c r="B5991" t="s">
        <v>28</v>
      </c>
    </row>
    <row r="5992" spans="1:2">
      <c r="A5992">
        <v>79</v>
      </c>
      <c r="B5992">
        <v>283</v>
      </c>
    </row>
    <row r="5993" spans="1:2">
      <c r="A5993">
        <v>79</v>
      </c>
      <c r="B5993" t="s">
        <v>25</v>
      </c>
    </row>
    <row r="5994" spans="1:2">
      <c r="A5994">
        <v>79</v>
      </c>
      <c r="B5994" s="2">
        <v>0.1166</v>
      </c>
    </row>
    <row r="5995" spans="1:2">
      <c r="A5995">
        <v>79</v>
      </c>
      <c r="B5995" t="s">
        <v>29</v>
      </c>
    </row>
    <row r="5996" spans="1:2">
      <c r="A5996">
        <v>79</v>
      </c>
      <c r="B5996" s="2">
        <v>-7.51E-2</v>
      </c>
    </row>
    <row r="5997" spans="1:2">
      <c r="A5997">
        <v>79</v>
      </c>
      <c r="B5997" t="s">
        <v>30</v>
      </c>
    </row>
    <row r="5998" spans="1:2">
      <c r="A5998">
        <v>79</v>
      </c>
      <c r="B5998" s="2">
        <v>0.86343000000000003</v>
      </c>
    </row>
    <row r="5999" spans="1:2">
      <c r="A5999">
        <v>79</v>
      </c>
      <c r="B5999" t="s">
        <v>8</v>
      </c>
    </row>
    <row r="6000" spans="1:2">
      <c r="A6000">
        <v>79</v>
      </c>
      <c r="B6000" s="2">
        <v>0.49099999999999999</v>
      </c>
    </row>
    <row r="6001" spans="1:2">
      <c r="A6001">
        <v>79</v>
      </c>
      <c r="B6001" t="s">
        <v>31</v>
      </c>
    </row>
    <row r="6002" spans="1:2">
      <c r="A6002">
        <v>79</v>
      </c>
      <c r="B6002">
        <v>0.70099999999999996</v>
      </c>
    </row>
    <row r="6003" spans="1:2">
      <c r="A6003">
        <v>79</v>
      </c>
      <c r="B6003" t="s">
        <v>32</v>
      </c>
    </row>
    <row r="6004" spans="1:2">
      <c r="A6004">
        <v>79</v>
      </c>
      <c r="B6004" s="2">
        <v>0.49281000000000003</v>
      </c>
    </row>
    <row r="6005" spans="1:2">
      <c r="A6005">
        <v>79</v>
      </c>
      <c r="B6005" t="s">
        <v>33</v>
      </c>
    </row>
    <row r="6006" spans="1:2">
      <c r="A6006">
        <v>79</v>
      </c>
      <c r="B6006" s="3">
        <v>0.33</v>
      </c>
    </row>
    <row r="6007" spans="1:2">
      <c r="A6007">
        <v>79</v>
      </c>
      <c r="B6007" t="s">
        <v>34</v>
      </c>
    </row>
    <row r="6008" spans="1:2">
      <c r="A6008">
        <v>79</v>
      </c>
      <c r="B6008" s="3">
        <v>0.67</v>
      </c>
    </row>
    <row r="6009" spans="1:2">
      <c r="A6009">
        <v>79</v>
      </c>
      <c r="B6009" t="s">
        <v>26</v>
      </c>
    </row>
    <row r="6010" spans="1:2">
      <c r="A6010">
        <v>79</v>
      </c>
      <c r="B6010">
        <v>1.55</v>
      </c>
    </row>
    <row r="6011" spans="1:2">
      <c r="A6011">
        <v>79</v>
      </c>
      <c r="B6011" t="s">
        <v>23</v>
      </c>
    </row>
    <row r="6012" spans="1:2">
      <c r="A6012">
        <v>79</v>
      </c>
      <c r="B6012">
        <v>0.92400000000000004</v>
      </c>
    </row>
    <row r="6013" spans="1:2">
      <c r="A6013">
        <v>79</v>
      </c>
      <c r="B6013" t="s">
        <v>24</v>
      </c>
    </row>
    <row r="6014" spans="1:2">
      <c r="A6014">
        <v>79</v>
      </c>
      <c r="B6014">
        <v>4.7430000000000003</v>
      </c>
    </row>
    <row r="6015" spans="1:2">
      <c r="A6015">
        <v>79</v>
      </c>
      <c r="B6015" t="s">
        <v>35</v>
      </c>
    </row>
    <row r="6016" spans="1:2">
      <c r="A6016">
        <v>79</v>
      </c>
      <c r="B6016">
        <v>0.86699999999999999</v>
      </c>
    </row>
    <row r="6017" spans="1:2">
      <c r="A6017">
        <v>79</v>
      </c>
      <c r="B6017" t="s">
        <v>36</v>
      </c>
    </row>
    <row r="6018" spans="1:2">
      <c r="A6018">
        <v>79</v>
      </c>
      <c r="B6018">
        <v>0.751</v>
      </c>
    </row>
    <row r="6019" spans="1:2">
      <c r="A6019">
        <v>79</v>
      </c>
      <c r="B6019" t="s">
        <v>37</v>
      </c>
    </row>
    <row r="6020" spans="1:2">
      <c r="A6020">
        <v>79</v>
      </c>
      <c r="B6020">
        <v>1.3779999999999999</v>
      </c>
    </row>
    <row r="6021" spans="1:2">
      <c r="A6021">
        <v>79</v>
      </c>
      <c r="B6021" t="s">
        <v>38</v>
      </c>
    </row>
    <row r="6022" spans="1:2">
      <c r="A6022">
        <v>79</v>
      </c>
      <c r="B6022">
        <v>0.84499999999999997</v>
      </c>
    </row>
    <row r="6023" spans="1:2">
      <c r="A6023">
        <v>79</v>
      </c>
      <c r="B6023" t="s">
        <v>39</v>
      </c>
    </row>
    <row r="6024" spans="1:2">
      <c r="A6024">
        <v>79</v>
      </c>
      <c r="B6024">
        <v>0.25900000000000001</v>
      </c>
    </row>
    <row r="6025" spans="1:2">
      <c r="A6025">
        <v>79</v>
      </c>
      <c r="B6025" t="s">
        <v>40</v>
      </c>
    </row>
    <row r="6026" spans="1:2">
      <c r="A6026">
        <v>79</v>
      </c>
      <c r="B6026" s="4">
        <v>0</v>
      </c>
    </row>
    <row r="6027" spans="1:2">
      <c r="A6027">
        <v>79</v>
      </c>
      <c r="B6027" t="s">
        <v>41</v>
      </c>
    </row>
    <row r="6028" spans="1:2">
      <c r="A6028">
        <v>79</v>
      </c>
      <c r="B6028" s="4">
        <v>12000000</v>
      </c>
    </row>
    <row r="6029" spans="1:2">
      <c r="A6029">
        <v>79</v>
      </c>
      <c r="B6029" t="s">
        <v>42</v>
      </c>
    </row>
    <row r="6030" spans="1:2">
      <c r="A6030">
        <v>79</v>
      </c>
      <c r="B6030" t="s">
        <v>46</v>
      </c>
    </row>
    <row r="6031" spans="1:2">
      <c r="A6031">
        <v>78</v>
      </c>
      <c r="B6031" t="s">
        <v>27</v>
      </c>
    </row>
    <row r="6032" spans="1:2">
      <c r="A6032">
        <v>78</v>
      </c>
      <c r="B6032" s="2">
        <v>0.42574000000000001</v>
      </c>
    </row>
    <row r="6033" spans="1:2">
      <c r="A6033">
        <v>78</v>
      </c>
      <c r="B6033" t="s">
        <v>1</v>
      </c>
    </row>
    <row r="6034" spans="1:2">
      <c r="A6034">
        <v>78</v>
      </c>
      <c r="B6034">
        <v>1.212</v>
      </c>
    </row>
    <row r="6035" spans="1:2">
      <c r="A6035">
        <v>78</v>
      </c>
      <c r="B6035" t="s">
        <v>28</v>
      </c>
    </row>
    <row r="6036" spans="1:2">
      <c r="A6036">
        <v>78</v>
      </c>
      <c r="B6036">
        <v>383</v>
      </c>
    </row>
    <row r="6037" spans="1:2">
      <c r="A6037">
        <v>78</v>
      </c>
      <c r="B6037" t="s">
        <v>25</v>
      </c>
    </row>
    <row r="6038" spans="1:2">
      <c r="A6038">
        <v>78</v>
      </c>
      <c r="B6038" s="2">
        <v>0.21609999999999999</v>
      </c>
    </row>
    <row r="6039" spans="1:2">
      <c r="A6039">
        <v>78</v>
      </c>
      <c r="B6039" t="s">
        <v>29</v>
      </c>
    </row>
    <row r="6040" spans="1:2">
      <c r="A6040">
        <v>78</v>
      </c>
      <c r="B6040" s="2">
        <v>-0.1457</v>
      </c>
    </row>
    <row r="6041" spans="1:2">
      <c r="A6041">
        <v>78</v>
      </c>
      <c r="B6041" t="s">
        <v>30</v>
      </c>
    </row>
    <row r="6042" spans="1:2">
      <c r="A6042">
        <v>78</v>
      </c>
      <c r="B6042" s="2">
        <v>0.60529999999999995</v>
      </c>
    </row>
    <row r="6043" spans="1:2">
      <c r="A6043">
        <v>78</v>
      </c>
      <c r="B6043" t="s">
        <v>8</v>
      </c>
    </row>
    <row r="6044" spans="1:2">
      <c r="A6044">
        <v>78</v>
      </c>
      <c r="B6044" s="2">
        <v>0.72299999999999998</v>
      </c>
    </row>
    <row r="6045" spans="1:2">
      <c r="A6045">
        <v>78</v>
      </c>
      <c r="B6045" t="s">
        <v>31</v>
      </c>
    </row>
    <row r="6046" spans="1:2">
      <c r="A6046">
        <v>78</v>
      </c>
      <c r="B6046">
        <v>0.32400000000000001</v>
      </c>
    </row>
    <row r="6047" spans="1:2">
      <c r="A6047">
        <v>78</v>
      </c>
      <c r="B6047" t="s">
        <v>32</v>
      </c>
    </row>
    <row r="6048" spans="1:2">
      <c r="A6048">
        <v>78</v>
      </c>
      <c r="B6048" s="2">
        <v>0.35619000000000001</v>
      </c>
    </row>
    <row r="6049" spans="1:2">
      <c r="A6049">
        <v>78</v>
      </c>
      <c r="B6049" t="s">
        <v>33</v>
      </c>
    </row>
    <row r="6050" spans="1:2">
      <c r="A6050">
        <v>78</v>
      </c>
      <c r="B6050" s="3">
        <v>0.47</v>
      </c>
    </row>
    <row r="6051" spans="1:2">
      <c r="A6051">
        <v>78</v>
      </c>
      <c r="B6051" t="s">
        <v>34</v>
      </c>
    </row>
    <row r="6052" spans="1:2">
      <c r="A6052">
        <v>78</v>
      </c>
      <c r="B6052" s="3">
        <v>0.53</v>
      </c>
    </row>
    <row r="6053" spans="1:2">
      <c r="A6053">
        <v>78</v>
      </c>
      <c r="B6053" t="s">
        <v>26</v>
      </c>
    </row>
    <row r="6054" spans="1:2">
      <c r="A6054">
        <v>78</v>
      </c>
      <c r="B6054">
        <v>1.48</v>
      </c>
    </row>
    <row r="6055" spans="1:2">
      <c r="A6055">
        <v>78</v>
      </c>
      <c r="B6055" t="s">
        <v>23</v>
      </c>
    </row>
    <row r="6056" spans="1:2">
      <c r="A6056">
        <v>78</v>
      </c>
      <c r="B6056">
        <v>1.139</v>
      </c>
    </row>
    <row r="6057" spans="1:2">
      <c r="A6057">
        <v>78</v>
      </c>
      <c r="B6057" t="s">
        <v>24</v>
      </c>
    </row>
    <row r="6058" spans="1:2">
      <c r="A6058">
        <v>78</v>
      </c>
      <c r="B6058">
        <v>-8.9999999999999993E-3</v>
      </c>
    </row>
    <row r="6059" spans="1:2">
      <c r="A6059">
        <v>78</v>
      </c>
      <c r="B6059" t="s">
        <v>35</v>
      </c>
    </row>
    <row r="6060" spans="1:2">
      <c r="A6060">
        <v>78</v>
      </c>
      <c r="B6060">
        <v>0.93799999999999994</v>
      </c>
    </row>
    <row r="6061" spans="1:2">
      <c r="A6061">
        <v>78</v>
      </c>
      <c r="B6061" t="s">
        <v>36</v>
      </c>
    </row>
    <row r="6062" spans="1:2">
      <c r="A6062">
        <v>78</v>
      </c>
      <c r="B6062">
        <v>0.88100000000000001</v>
      </c>
    </row>
    <row r="6063" spans="1:2">
      <c r="A6063">
        <v>78</v>
      </c>
      <c r="B6063" t="s">
        <v>37</v>
      </c>
    </row>
    <row r="6064" spans="1:2">
      <c r="A6064">
        <v>78</v>
      </c>
      <c r="B6064">
        <v>1.141</v>
      </c>
    </row>
    <row r="6065" spans="1:2">
      <c r="A6065">
        <v>78</v>
      </c>
      <c r="B6065" t="s">
        <v>38</v>
      </c>
    </row>
    <row r="6066" spans="1:2">
      <c r="A6066">
        <v>78</v>
      </c>
      <c r="B6066">
        <v>0.94099999999999995</v>
      </c>
    </row>
    <row r="6067" spans="1:2">
      <c r="A6067">
        <v>78</v>
      </c>
      <c r="B6067" t="s">
        <v>39</v>
      </c>
    </row>
    <row r="6068" spans="1:2">
      <c r="A6068">
        <v>78</v>
      </c>
      <c r="B6068">
        <v>-121.6</v>
      </c>
    </row>
    <row r="6069" spans="1:2">
      <c r="A6069">
        <v>78</v>
      </c>
      <c r="B6069" t="s">
        <v>40</v>
      </c>
    </row>
    <row r="6070" spans="1:2">
      <c r="A6070">
        <v>78</v>
      </c>
      <c r="B6070" s="4">
        <v>0</v>
      </c>
    </row>
    <row r="6071" spans="1:2">
      <c r="A6071">
        <v>78</v>
      </c>
      <c r="B6071" t="s">
        <v>41</v>
      </c>
    </row>
    <row r="6072" spans="1:2">
      <c r="A6072">
        <v>78</v>
      </c>
      <c r="B6072" s="4">
        <v>320000000</v>
      </c>
    </row>
    <row r="6073" spans="1:2">
      <c r="A6073">
        <v>78</v>
      </c>
      <c r="B6073" t="s">
        <v>42</v>
      </c>
    </row>
    <row r="6074" spans="1:2">
      <c r="A6074">
        <v>78</v>
      </c>
      <c r="B6074" t="s">
        <v>47</v>
      </c>
    </row>
    <row r="6075" spans="1:2">
      <c r="A6075">
        <v>77</v>
      </c>
      <c r="B6075" t="s">
        <v>27</v>
      </c>
    </row>
    <row r="6076" spans="1:2">
      <c r="A6076">
        <v>77</v>
      </c>
      <c r="B6076" s="2">
        <v>0.42574000000000001</v>
      </c>
    </row>
    <row r="6077" spans="1:2">
      <c r="A6077">
        <v>77</v>
      </c>
      <c r="B6077" t="s">
        <v>1</v>
      </c>
    </row>
    <row r="6078" spans="1:2">
      <c r="A6078">
        <v>77</v>
      </c>
      <c r="B6078">
        <v>1.212</v>
      </c>
    </row>
    <row r="6079" spans="1:2">
      <c r="A6079">
        <v>77</v>
      </c>
      <c r="B6079" t="s">
        <v>28</v>
      </c>
    </row>
    <row r="6080" spans="1:2">
      <c r="A6080">
        <v>77</v>
      </c>
      <c r="B6080">
        <v>383</v>
      </c>
    </row>
    <row r="6081" spans="1:2">
      <c r="A6081">
        <v>77</v>
      </c>
      <c r="B6081" t="s">
        <v>25</v>
      </c>
    </row>
    <row r="6082" spans="1:2">
      <c r="A6082">
        <v>77</v>
      </c>
      <c r="B6082" s="2">
        <v>0.21609999999999999</v>
      </c>
    </row>
    <row r="6083" spans="1:2">
      <c r="A6083">
        <v>77</v>
      </c>
      <c r="B6083" t="s">
        <v>29</v>
      </c>
    </row>
    <row r="6084" spans="1:2">
      <c r="A6084">
        <v>77</v>
      </c>
      <c r="B6084" s="2">
        <v>-0.1457</v>
      </c>
    </row>
    <row r="6085" spans="1:2">
      <c r="A6085">
        <v>77</v>
      </c>
      <c r="B6085" t="s">
        <v>30</v>
      </c>
    </row>
    <row r="6086" spans="1:2">
      <c r="A6086">
        <v>77</v>
      </c>
      <c r="B6086" s="2">
        <v>0.60529999999999995</v>
      </c>
    </row>
    <row r="6087" spans="1:2">
      <c r="A6087">
        <v>77</v>
      </c>
      <c r="B6087" t="s">
        <v>8</v>
      </c>
    </row>
    <row r="6088" spans="1:2">
      <c r="A6088">
        <v>77</v>
      </c>
      <c r="B6088" s="2">
        <v>0.72299999999999998</v>
      </c>
    </row>
    <row r="6089" spans="1:2">
      <c r="A6089">
        <v>77</v>
      </c>
      <c r="B6089" t="s">
        <v>31</v>
      </c>
    </row>
    <row r="6090" spans="1:2">
      <c r="A6090">
        <v>77</v>
      </c>
      <c r="B6090">
        <v>0.32400000000000001</v>
      </c>
    </row>
    <row r="6091" spans="1:2">
      <c r="A6091">
        <v>77</v>
      </c>
      <c r="B6091" t="s">
        <v>32</v>
      </c>
    </row>
    <row r="6092" spans="1:2">
      <c r="A6092">
        <v>77</v>
      </c>
      <c r="B6092" s="2">
        <v>0.35619000000000001</v>
      </c>
    </row>
    <row r="6093" spans="1:2">
      <c r="A6093">
        <v>77</v>
      </c>
      <c r="B6093" t="s">
        <v>33</v>
      </c>
    </row>
    <row r="6094" spans="1:2">
      <c r="A6094">
        <v>77</v>
      </c>
      <c r="B6094" s="3">
        <v>0.47</v>
      </c>
    </row>
    <row r="6095" spans="1:2">
      <c r="A6095">
        <v>77</v>
      </c>
      <c r="B6095" t="s">
        <v>34</v>
      </c>
    </row>
    <row r="6096" spans="1:2">
      <c r="A6096">
        <v>77</v>
      </c>
      <c r="B6096" s="3">
        <v>0.53</v>
      </c>
    </row>
    <row r="6097" spans="1:2">
      <c r="A6097">
        <v>77</v>
      </c>
      <c r="B6097" t="s">
        <v>26</v>
      </c>
    </row>
    <row r="6098" spans="1:2">
      <c r="A6098">
        <v>77</v>
      </c>
      <c r="B6098">
        <v>1.48</v>
      </c>
    </row>
    <row r="6099" spans="1:2">
      <c r="A6099">
        <v>77</v>
      </c>
      <c r="B6099" t="s">
        <v>23</v>
      </c>
    </row>
    <row r="6100" spans="1:2">
      <c r="A6100">
        <v>77</v>
      </c>
      <c r="B6100">
        <v>1.139</v>
      </c>
    </row>
    <row r="6101" spans="1:2">
      <c r="A6101">
        <v>77</v>
      </c>
      <c r="B6101" t="s">
        <v>24</v>
      </c>
    </row>
    <row r="6102" spans="1:2">
      <c r="A6102">
        <v>77</v>
      </c>
      <c r="B6102">
        <v>-8.9999999999999993E-3</v>
      </c>
    </row>
    <row r="6103" spans="1:2">
      <c r="A6103">
        <v>77</v>
      </c>
      <c r="B6103" t="s">
        <v>35</v>
      </c>
    </row>
    <row r="6104" spans="1:2">
      <c r="A6104">
        <v>77</v>
      </c>
      <c r="B6104">
        <v>0.93799999999999994</v>
      </c>
    </row>
    <row r="6105" spans="1:2">
      <c r="A6105">
        <v>77</v>
      </c>
      <c r="B6105" t="s">
        <v>36</v>
      </c>
    </row>
    <row r="6106" spans="1:2">
      <c r="A6106">
        <v>77</v>
      </c>
      <c r="B6106">
        <v>0.88100000000000001</v>
      </c>
    </row>
    <row r="6107" spans="1:2">
      <c r="A6107">
        <v>77</v>
      </c>
      <c r="B6107" t="s">
        <v>37</v>
      </c>
    </row>
    <row r="6108" spans="1:2">
      <c r="A6108">
        <v>77</v>
      </c>
      <c r="B6108">
        <v>1.141</v>
      </c>
    </row>
    <row r="6109" spans="1:2">
      <c r="A6109">
        <v>77</v>
      </c>
      <c r="B6109" t="s">
        <v>38</v>
      </c>
    </row>
    <row r="6110" spans="1:2">
      <c r="A6110">
        <v>77</v>
      </c>
      <c r="B6110">
        <v>0.94099999999999995</v>
      </c>
    </row>
    <row r="6111" spans="1:2">
      <c r="A6111">
        <v>77</v>
      </c>
      <c r="B6111" t="s">
        <v>39</v>
      </c>
    </row>
    <row r="6112" spans="1:2">
      <c r="A6112">
        <v>77</v>
      </c>
      <c r="B6112">
        <v>-121.6</v>
      </c>
    </row>
    <row r="6113" spans="1:2">
      <c r="A6113">
        <v>77</v>
      </c>
      <c r="B6113" t="s">
        <v>40</v>
      </c>
    </row>
    <row r="6114" spans="1:2">
      <c r="A6114">
        <v>77</v>
      </c>
      <c r="B6114" s="4">
        <v>0</v>
      </c>
    </row>
    <row r="6115" spans="1:2">
      <c r="A6115">
        <v>77</v>
      </c>
      <c r="B6115" t="s">
        <v>41</v>
      </c>
    </row>
    <row r="6116" spans="1:2">
      <c r="A6116">
        <v>77</v>
      </c>
      <c r="B6116" s="4">
        <v>320000000</v>
      </c>
    </row>
    <row r="6117" spans="1:2">
      <c r="A6117">
        <v>77</v>
      </c>
      <c r="B6117" t="s">
        <v>42</v>
      </c>
    </row>
    <row r="6118" spans="1:2">
      <c r="A6118">
        <v>77</v>
      </c>
      <c r="B6118" t="s">
        <v>47</v>
      </c>
    </row>
    <row r="6119" spans="1:2">
      <c r="A6119">
        <v>76</v>
      </c>
      <c r="B6119" t="s">
        <v>27</v>
      </c>
    </row>
    <row r="6120" spans="1:2">
      <c r="A6120">
        <v>76</v>
      </c>
      <c r="B6120" s="2">
        <v>0.42574000000000001</v>
      </c>
    </row>
    <row r="6121" spans="1:2">
      <c r="A6121">
        <v>76</v>
      </c>
      <c r="B6121" t="s">
        <v>1</v>
      </c>
    </row>
    <row r="6122" spans="1:2">
      <c r="A6122">
        <v>76</v>
      </c>
      <c r="B6122">
        <v>1.212</v>
      </c>
    </row>
    <row r="6123" spans="1:2">
      <c r="A6123">
        <v>76</v>
      </c>
      <c r="B6123" t="s">
        <v>28</v>
      </c>
    </row>
    <row r="6124" spans="1:2">
      <c r="A6124">
        <v>76</v>
      </c>
      <c r="B6124">
        <v>383</v>
      </c>
    </row>
    <row r="6125" spans="1:2">
      <c r="A6125">
        <v>76</v>
      </c>
      <c r="B6125" t="s">
        <v>25</v>
      </c>
    </row>
    <row r="6126" spans="1:2">
      <c r="A6126">
        <v>76</v>
      </c>
      <c r="B6126" s="2">
        <v>0.21609999999999999</v>
      </c>
    </row>
    <row r="6127" spans="1:2">
      <c r="A6127">
        <v>76</v>
      </c>
      <c r="B6127" t="s">
        <v>29</v>
      </c>
    </row>
    <row r="6128" spans="1:2">
      <c r="A6128">
        <v>76</v>
      </c>
      <c r="B6128" s="2">
        <v>-0.1457</v>
      </c>
    </row>
    <row r="6129" spans="1:2">
      <c r="A6129">
        <v>76</v>
      </c>
      <c r="B6129" t="s">
        <v>30</v>
      </c>
    </row>
    <row r="6130" spans="1:2">
      <c r="A6130">
        <v>76</v>
      </c>
      <c r="B6130" s="2">
        <v>0.60529999999999995</v>
      </c>
    </row>
    <row r="6131" spans="1:2">
      <c r="A6131">
        <v>76</v>
      </c>
      <c r="B6131" t="s">
        <v>8</v>
      </c>
    </row>
    <row r="6132" spans="1:2">
      <c r="A6132">
        <v>76</v>
      </c>
      <c r="B6132" s="2">
        <v>0.72299999999999998</v>
      </c>
    </row>
    <row r="6133" spans="1:2">
      <c r="A6133">
        <v>76</v>
      </c>
      <c r="B6133" t="s">
        <v>31</v>
      </c>
    </row>
    <row r="6134" spans="1:2">
      <c r="A6134">
        <v>76</v>
      </c>
      <c r="B6134">
        <v>0.32400000000000001</v>
      </c>
    </row>
    <row r="6135" spans="1:2">
      <c r="A6135">
        <v>76</v>
      </c>
      <c r="B6135" t="s">
        <v>32</v>
      </c>
    </row>
    <row r="6136" spans="1:2">
      <c r="A6136">
        <v>76</v>
      </c>
      <c r="B6136" s="2">
        <v>0.35619000000000001</v>
      </c>
    </row>
    <row r="6137" spans="1:2">
      <c r="A6137">
        <v>76</v>
      </c>
      <c r="B6137" t="s">
        <v>33</v>
      </c>
    </row>
    <row r="6138" spans="1:2">
      <c r="A6138">
        <v>76</v>
      </c>
      <c r="B6138" s="3">
        <v>0.47</v>
      </c>
    </row>
    <row r="6139" spans="1:2">
      <c r="A6139">
        <v>76</v>
      </c>
      <c r="B6139" t="s">
        <v>34</v>
      </c>
    </row>
    <row r="6140" spans="1:2">
      <c r="A6140">
        <v>76</v>
      </c>
      <c r="B6140" s="3">
        <v>0.53</v>
      </c>
    </row>
    <row r="6141" spans="1:2">
      <c r="A6141">
        <v>76</v>
      </c>
      <c r="B6141" t="s">
        <v>26</v>
      </c>
    </row>
    <row r="6142" spans="1:2">
      <c r="A6142">
        <v>76</v>
      </c>
      <c r="B6142">
        <v>1.48</v>
      </c>
    </row>
    <row r="6143" spans="1:2">
      <c r="A6143">
        <v>76</v>
      </c>
      <c r="B6143" t="s">
        <v>23</v>
      </c>
    </row>
    <row r="6144" spans="1:2">
      <c r="A6144">
        <v>76</v>
      </c>
      <c r="B6144">
        <v>1.139</v>
      </c>
    </row>
    <row r="6145" spans="1:2">
      <c r="A6145">
        <v>76</v>
      </c>
      <c r="B6145" t="s">
        <v>24</v>
      </c>
    </row>
    <row r="6146" spans="1:2">
      <c r="A6146">
        <v>76</v>
      </c>
      <c r="B6146">
        <v>-8.9999999999999993E-3</v>
      </c>
    </row>
    <row r="6147" spans="1:2">
      <c r="A6147">
        <v>76</v>
      </c>
      <c r="B6147" t="s">
        <v>35</v>
      </c>
    </row>
    <row r="6148" spans="1:2">
      <c r="A6148">
        <v>76</v>
      </c>
      <c r="B6148">
        <v>0.93799999999999994</v>
      </c>
    </row>
    <row r="6149" spans="1:2">
      <c r="A6149">
        <v>76</v>
      </c>
      <c r="B6149" t="s">
        <v>36</v>
      </c>
    </row>
    <row r="6150" spans="1:2">
      <c r="A6150">
        <v>76</v>
      </c>
      <c r="B6150">
        <v>0.88100000000000001</v>
      </c>
    </row>
    <row r="6151" spans="1:2">
      <c r="A6151">
        <v>76</v>
      </c>
      <c r="B6151" t="s">
        <v>37</v>
      </c>
    </row>
    <row r="6152" spans="1:2">
      <c r="A6152">
        <v>76</v>
      </c>
      <c r="B6152">
        <v>1.141</v>
      </c>
    </row>
    <row r="6153" spans="1:2">
      <c r="A6153">
        <v>76</v>
      </c>
      <c r="B6153" t="s">
        <v>38</v>
      </c>
    </row>
    <row r="6154" spans="1:2">
      <c r="A6154">
        <v>76</v>
      </c>
      <c r="B6154">
        <v>0.94099999999999995</v>
      </c>
    </row>
    <row r="6155" spans="1:2">
      <c r="A6155">
        <v>76</v>
      </c>
      <c r="B6155" t="s">
        <v>39</v>
      </c>
    </row>
    <row r="6156" spans="1:2">
      <c r="A6156">
        <v>76</v>
      </c>
      <c r="B6156">
        <v>-121.6</v>
      </c>
    </row>
    <row r="6157" spans="1:2">
      <c r="A6157">
        <v>76</v>
      </c>
      <c r="B6157" t="s">
        <v>40</v>
      </c>
    </row>
    <row r="6158" spans="1:2">
      <c r="A6158">
        <v>76</v>
      </c>
      <c r="B6158" s="4">
        <v>0</v>
      </c>
    </row>
    <row r="6159" spans="1:2">
      <c r="A6159">
        <v>76</v>
      </c>
      <c r="B6159" t="s">
        <v>41</v>
      </c>
    </row>
    <row r="6160" spans="1:2">
      <c r="A6160">
        <v>76</v>
      </c>
      <c r="B6160" s="4">
        <v>320000000</v>
      </c>
    </row>
    <row r="6161" spans="1:2">
      <c r="A6161">
        <v>76</v>
      </c>
      <c r="B6161" t="s">
        <v>42</v>
      </c>
    </row>
    <row r="6162" spans="1:2">
      <c r="A6162">
        <v>76</v>
      </c>
      <c r="B6162" t="s">
        <v>47</v>
      </c>
    </row>
    <row r="6163" spans="1:2">
      <c r="A6163">
        <v>75</v>
      </c>
      <c r="B6163" t="s">
        <v>27</v>
      </c>
    </row>
    <row r="6164" spans="1:2">
      <c r="A6164">
        <v>75</v>
      </c>
      <c r="B6164" s="2">
        <v>0.42574000000000001</v>
      </c>
    </row>
    <row r="6165" spans="1:2">
      <c r="A6165">
        <v>75</v>
      </c>
      <c r="B6165" t="s">
        <v>1</v>
      </c>
    </row>
    <row r="6166" spans="1:2">
      <c r="A6166">
        <v>75</v>
      </c>
      <c r="B6166">
        <v>1.212</v>
      </c>
    </row>
    <row r="6167" spans="1:2">
      <c r="A6167">
        <v>75</v>
      </c>
      <c r="B6167" t="s">
        <v>28</v>
      </c>
    </row>
    <row r="6168" spans="1:2">
      <c r="A6168">
        <v>75</v>
      </c>
      <c r="B6168">
        <v>383</v>
      </c>
    </row>
    <row r="6169" spans="1:2">
      <c r="A6169">
        <v>75</v>
      </c>
      <c r="B6169" t="s">
        <v>25</v>
      </c>
    </row>
    <row r="6170" spans="1:2">
      <c r="A6170">
        <v>75</v>
      </c>
      <c r="B6170" s="2">
        <v>0.21609999999999999</v>
      </c>
    </row>
    <row r="6171" spans="1:2">
      <c r="A6171">
        <v>75</v>
      </c>
      <c r="B6171" t="s">
        <v>29</v>
      </c>
    </row>
    <row r="6172" spans="1:2">
      <c r="A6172">
        <v>75</v>
      </c>
      <c r="B6172" s="2">
        <v>-0.1457</v>
      </c>
    </row>
    <row r="6173" spans="1:2">
      <c r="A6173">
        <v>75</v>
      </c>
      <c r="B6173" t="s">
        <v>30</v>
      </c>
    </row>
    <row r="6174" spans="1:2">
      <c r="A6174">
        <v>75</v>
      </c>
      <c r="B6174" s="2">
        <v>0.60529999999999995</v>
      </c>
    </row>
    <row r="6175" spans="1:2">
      <c r="A6175">
        <v>75</v>
      </c>
      <c r="B6175" t="s">
        <v>8</v>
      </c>
    </row>
    <row r="6176" spans="1:2">
      <c r="A6176">
        <v>75</v>
      </c>
      <c r="B6176" s="2">
        <v>0.72299999999999998</v>
      </c>
    </row>
    <row r="6177" spans="1:2">
      <c r="A6177">
        <v>75</v>
      </c>
      <c r="B6177" t="s">
        <v>31</v>
      </c>
    </row>
    <row r="6178" spans="1:2">
      <c r="A6178">
        <v>75</v>
      </c>
      <c r="B6178">
        <v>0.32400000000000001</v>
      </c>
    </row>
    <row r="6179" spans="1:2">
      <c r="A6179">
        <v>75</v>
      </c>
      <c r="B6179" t="s">
        <v>32</v>
      </c>
    </row>
    <row r="6180" spans="1:2">
      <c r="A6180">
        <v>75</v>
      </c>
      <c r="B6180" s="2">
        <v>0.35619000000000001</v>
      </c>
    </row>
    <row r="6181" spans="1:2">
      <c r="A6181">
        <v>75</v>
      </c>
      <c r="B6181" t="s">
        <v>33</v>
      </c>
    </row>
    <row r="6182" spans="1:2">
      <c r="A6182">
        <v>75</v>
      </c>
      <c r="B6182" s="3">
        <v>0.47</v>
      </c>
    </row>
    <row r="6183" spans="1:2">
      <c r="A6183">
        <v>75</v>
      </c>
      <c r="B6183" t="s">
        <v>34</v>
      </c>
    </row>
    <row r="6184" spans="1:2">
      <c r="A6184">
        <v>75</v>
      </c>
      <c r="B6184" s="3">
        <v>0.53</v>
      </c>
    </row>
    <row r="6185" spans="1:2">
      <c r="A6185">
        <v>75</v>
      </c>
      <c r="B6185" t="s">
        <v>26</v>
      </c>
    </row>
    <row r="6186" spans="1:2">
      <c r="A6186">
        <v>75</v>
      </c>
      <c r="B6186">
        <v>1.48</v>
      </c>
    </row>
    <row r="6187" spans="1:2">
      <c r="A6187">
        <v>75</v>
      </c>
      <c r="B6187" t="s">
        <v>23</v>
      </c>
    </row>
    <row r="6188" spans="1:2">
      <c r="A6188">
        <v>75</v>
      </c>
      <c r="B6188">
        <v>1.139</v>
      </c>
    </row>
    <row r="6189" spans="1:2">
      <c r="A6189">
        <v>75</v>
      </c>
      <c r="B6189" t="s">
        <v>24</v>
      </c>
    </row>
    <row r="6190" spans="1:2">
      <c r="A6190">
        <v>75</v>
      </c>
      <c r="B6190">
        <v>-8.9999999999999993E-3</v>
      </c>
    </row>
    <row r="6191" spans="1:2">
      <c r="A6191">
        <v>75</v>
      </c>
      <c r="B6191" t="s">
        <v>35</v>
      </c>
    </row>
    <row r="6192" spans="1:2">
      <c r="A6192">
        <v>75</v>
      </c>
      <c r="B6192">
        <v>0.93799999999999994</v>
      </c>
    </row>
    <row r="6193" spans="1:2">
      <c r="A6193">
        <v>75</v>
      </c>
      <c r="B6193" t="s">
        <v>36</v>
      </c>
    </row>
    <row r="6194" spans="1:2">
      <c r="A6194">
        <v>75</v>
      </c>
      <c r="B6194">
        <v>0.88100000000000001</v>
      </c>
    </row>
    <row r="6195" spans="1:2">
      <c r="A6195">
        <v>75</v>
      </c>
      <c r="B6195" t="s">
        <v>37</v>
      </c>
    </row>
    <row r="6196" spans="1:2">
      <c r="A6196">
        <v>75</v>
      </c>
      <c r="B6196">
        <v>1.141</v>
      </c>
    </row>
    <row r="6197" spans="1:2">
      <c r="A6197">
        <v>75</v>
      </c>
      <c r="B6197" t="s">
        <v>38</v>
      </c>
    </row>
    <row r="6198" spans="1:2">
      <c r="A6198">
        <v>75</v>
      </c>
      <c r="B6198">
        <v>0.94099999999999995</v>
      </c>
    </row>
    <row r="6199" spans="1:2">
      <c r="A6199">
        <v>75</v>
      </c>
      <c r="B6199" t="s">
        <v>39</v>
      </c>
    </row>
    <row r="6200" spans="1:2">
      <c r="A6200">
        <v>75</v>
      </c>
      <c r="B6200">
        <v>-121.6</v>
      </c>
    </row>
    <row r="6201" spans="1:2">
      <c r="A6201">
        <v>75</v>
      </c>
      <c r="B6201" t="s">
        <v>40</v>
      </c>
    </row>
    <row r="6202" spans="1:2">
      <c r="A6202">
        <v>75</v>
      </c>
      <c r="B6202" s="4">
        <v>0</v>
      </c>
    </row>
    <row r="6203" spans="1:2">
      <c r="A6203">
        <v>75</v>
      </c>
      <c r="B6203" t="s">
        <v>41</v>
      </c>
    </row>
    <row r="6204" spans="1:2">
      <c r="A6204">
        <v>75</v>
      </c>
      <c r="B6204" s="4">
        <v>320000000</v>
      </c>
    </row>
    <row r="6205" spans="1:2">
      <c r="A6205">
        <v>75</v>
      </c>
      <c r="B6205" t="s">
        <v>42</v>
      </c>
    </row>
    <row r="6206" spans="1:2">
      <c r="A6206">
        <v>75</v>
      </c>
      <c r="B6206" t="s">
        <v>47</v>
      </c>
    </row>
    <row r="6207" spans="1:2">
      <c r="A6207">
        <v>74</v>
      </c>
      <c r="B6207" t="s">
        <v>27</v>
      </c>
    </row>
    <row r="6208" spans="1:2">
      <c r="A6208">
        <v>74</v>
      </c>
      <c r="B6208" s="2">
        <v>0.42574000000000001</v>
      </c>
    </row>
    <row r="6209" spans="1:2">
      <c r="A6209">
        <v>74</v>
      </c>
      <c r="B6209" t="s">
        <v>1</v>
      </c>
    </row>
    <row r="6210" spans="1:2">
      <c r="A6210">
        <v>74</v>
      </c>
      <c r="B6210">
        <v>1.212</v>
      </c>
    </row>
    <row r="6211" spans="1:2">
      <c r="A6211">
        <v>74</v>
      </c>
      <c r="B6211" t="s">
        <v>28</v>
      </c>
    </row>
    <row r="6212" spans="1:2">
      <c r="A6212">
        <v>74</v>
      </c>
      <c r="B6212">
        <v>383</v>
      </c>
    </row>
    <row r="6213" spans="1:2">
      <c r="A6213">
        <v>74</v>
      </c>
      <c r="B6213" t="s">
        <v>25</v>
      </c>
    </row>
    <row r="6214" spans="1:2">
      <c r="A6214">
        <v>74</v>
      </c>
      <c r="B6214" s="2">
        <v>0.21609999999999999</v>
      </c>
    </row>
    <row r="6215" spans="1:2">
      <c r="A6215">
        <v>74</v>
      </c>
      <c r="B6215" t="s">
        <v>29</v>
      </c>
    </row>
    <row r="6216" spans="1:2">
      <c r="A6216">
        <v>74</v>
      </c>
      <c r="B6216" s="2">
        <v>-0.1457</v>
      </c>
    </row>
    <row r="6217" spans="1:2">
      <c r="A6217">
        <v>74</v>
      </c>
      <c r="B6217" t="s">
        <v>30</v>
      </c>
    </row>
    <row r="6218" spans="1:2">
      <c r="A6218">
        <v>74</v>
      </c>
      <c r="B6218" s="2">
        <v>0.60529999999999995</v>
      </c>
    </row>
    <row r="6219" spans="1:2">
      <c r="A6219">
        <v>74</v>
      </c>
      <c r="B6219" t="s">
        <v>8</v>
      </c>
    </row>
    <row r="6220" spans="1:2">
      <c r="A6220">
        <v>74</v>
      </c>
      <c r="B6220" s="2">
        <v>0.72299999999999998</v>
      </c>
    </row>
    <row r="6221" spans="1:2">
      <c r="A6221">
        <v>74</v>
      </c>
      <c r="B6221" t="s">
        <v>31</v>
      </c>
    </row>
    <row r="6222" spans="1:2">
      <c r="A6222">
        <v>74</v>
      </c>
      <c r="B6222">
        <v>0.32400000000000001</v>
      </c>
    </row>
    <row r="6223" spans="1:2">
      <c r="A6223">
        <v>74</v>
      </c>
      <c r="B6223" t="s">
        <v>32</v>
      </c>
    </row>
    <row r="6224" spans="1:2">
      <c r="A6224">
        <v>74</v>
      </c>
      <c r="B6224" s="2">
        <v>0.35619000000000001</v>
      </c>
    </row>
    <row r="6225" spans="1:2">
      <c r="A6225">
        <v>74</v>
      </c>
      <c r="B6225" t="s">
        <v>33</v>
      </c>
    </row>
    <row r="6226" spans="1:2">
      <c r="A6226">
        <v>74</v>
      </c>
      <c r="B6226" s="3">
        <v>0.47</v>
      </c>
    </row>
    <row r="6227" spans="1:2">
      <c r="A6227">
        <v>74</v>
      </c>
      <c r="B6227" t="s">
        <v>34</v>
      </c>
    </row>
    <row r="6228" spans="1:2">
      <c r="A6228">
        <v>74</v>
      </c>
      <c r="B6228" s="3">
        <v>0.53</v>
      </c>
    </row>
    <row r="6229" spans="1:2">
      <c r="A6229">
        <v>74</v>
      </c>
      <c r="B6229" t="s">
        <v>26</v>
      </c>
    </row>
    <row r="6230" spans="1:2">
      <c r="A6230">
        <v>74</v>
      </c>
      <c r="B6230">
        <v>1.48</v>
      </c>
    </row>
    <row r="6231" spans="1:2">
      <c r="A6231">
        <v>74</v>
      </c>
      <c r="B6231" t="s">
        <v>23</v>
      </c>
    </row>
    <row r="6232" spans="1:2">
      <c r="A6232">
        <v>74</v>
      </c>
      <c r="B6232">
        <v>1.139</v>
      </c>
    </row>
    <row r="6233" spans="1:2">
      <c r="A6233">
        <v>74</v>
      </c>
      <c r="B6233" t="s">
        <v>24</v>
      </c>
    </row>
    <row r="6234" spans="1:2">
      <c r="A6234">
        <v>74</v>
      </c>
      <c r="B6234">
        <v>-8.9999999999999993E-3</v>
      </c>
    </row>
    <row r="6235" spans="1:2">
      <c r="A6235">
        <v>74</v>
      </c>
      <c r="B6235" t="s">
        <v>35</v>
      </c>
    </row>
    <row r="6236" spans="1:2">
      <c r="A6236">
        <v>74</v>
      </c>
      <c r="B6236">
        <v>0.93799999999999994</v>
      </c>
    </row>
    <row r="6237" spans="1:2">
      <c r="A6237">
        <v>74</v>
      </c>
      <c r="B6237" t="s">
        <v>36</v>
      </c>
    </row>
    <row r="6238" spans="1:2">
      <c r="A6238">
        <v>74</v>
      </c>
      <c r="B6238">
        <v>0.88100000000000001</v>
      </c>
    </row>
    <row r="6239" spans="1:2">
      <c r="A6239">
        <v>74</v>
      </c>
      <c r="B6239" t="s">
        <v>37</v>
      </c>
    </row>
    <row r="6240" spans="1:2">
      <c r="A6240">
        <v>74</v>
      </c>
      <c r="B6240">
        <v>1.141</v>
      </c>
    </row>
    <row r="6241" spans="1:2">
      <c r="A6241">
        <v>74</v>
      </c>
      <c r="B6241" t="s">
        <v>38</v>
      </c>
    </row>
    <row r="6242" spans="1:2">
      <c r="A6242">
        <v>74</v>
      </c>
      <c r="B6242">
        <v>0.94099999999999995</v>
      </c>
    </row>
    <row r="6243" spans="1:2">
      <c r="A6243">
        <v>74</v>
      </c>
      <c r="B6243" t="s">
        <v>39</v>
      </c>
    </row>
    <row r="6244" spans="1:2">
      <c r="A6244">
        <v>74</v>
      </c>
      <c r="B6244">
        <v>-121.6</v>
      </c>
    </row>
    <row r="6245" spans="1:2">
      <c r="A6245">
        <v>74</v>
      </c>
      <c r="B6245" t="s">
        <v>40</v>
      </c>
    </row>
    <row r="6246" spans="1:2">
      <c r="A6246">
        <v>74</v>
      </c>
      <c r="B6246" s="4">
        <v>0</v>
      </c>
    </row>
    <row r="6247" spans="1:2">
      <c r="A6247">
        <v>74</v>
      </c>
      <c r="B6247" t="s">
        <v>41</v>
      </c>
    </row>
    <row r="6248" spans="1:2">
      <c r="A6248">
        <v>74</v>
      </c>
      <c r="B6248" s="4">
        <v>320000000</v>
      </c>
    </row>
    <row r="6249" spans="1:2">
      <c r="A6249">
        <v>74</v>
      </c>
      <c r="B6249" t="s">
        <v>42</v>
      </c>
    </row>
    <row r="6250" spans="1:2">
      <c r="A6250">
        <v>74</v>
      </c>
      <c r="B6250" t="s">
        <v>47</v>
      </c>
    </row>
    <row r="6251" spans="1:2">
      <c r="A6251">
        <v>73</v>
      </c>
      <c r="B6251" t="s">
        <v>27</v>
      </c>
    </row>
    <row r="6252" spans="1:2">
      <c r="A6252">
        <v>73</v>
      </c>
      <c r="B6252" s="2">
        <v>0.42574000000000001</v>
      </c>
    </row>
    <row r="6253" spans="1:2">
      <c r="A6253">
        <v>73</v>
      </c>
      <c r="B6253" t="s">
        <v>1</v>
      </c>
    </row>
    <row r="6254" spans="1:2">
      <c r="A6254">
        <v>73</v>
      </c>
      <c r="B6254">
        <v>1.212</v>
      </c>
    </row>
    <row r="6255" spans="1:2">
      <c r="A6255">
        <v>73</v>
      </c>
      <c r="B6255" t="s">
        <v>28</v>
      </c>
    </row>
    <row r="6256" spans="1:2">
      <c r="A6256">
        <v>73</v>
      </c>
      <c r="B6256">
        <v>383</v>
      </c>
    </row>
    <row r="6257" spans="1:2">
      <c r="A6257">
        <v>73</v>
      </c>
      <c r="B6257" t="s">
        <v>25</v>
      </c>
    </row>
    <row r="6258" spans="1:2">
      <c r="A6258">
        <v>73</v>
      </c>
      <c r="B6258" s="2">
        <v>0.21609999999999999</v>
      </c>
    </row>
    <row r="6259" spans="1:2">
      <c r="A6259">
        <v>73</v>
      </c>
      <c r="B6259" t="s">
        <v>29</v>
      </c>
    </row>
    <row r="6260" spans="1:2">
      <c r="A6260">
        <v>73</v>
      </c>
      <c r="B6260" s="2">
        <v>-0.1457</v>
      </c>
    </row>
    <row r="6261" spans="1:2">
      <c r="A6261">
        <v>73</v>
      </c>
      <c r="B6261" t="s">
        <v>30</v>
      </c>
    </row>
    <row r="6262" spans="1:2">
      <c r="A6262">
        <v>73</v>
      </c>
      <c r="B6262" s="2">
        <v>0.60529999999999995</v>
      </c>
    </row>
    <row r="6263" spans="1:2">
      <c r="A6263">
        <v>73</v>
      </c>
      <c r="B6263" t="s">
        <v>8</v>
      </c>
    </row>
    <row r="6264" spans="1:2">
      <c r="A6264">
        <v>73</v>
      </c>
      <c r="B6264" s="2">
        <v>0.72299999999999998</v>
      </c>
    </row>
    <row r="6265" spans="1:2">
      <c r="A6265">
        <v>73</v>
      </c>
      <c r="B6265" t="s">
        <v>31</v>
      </c>
    </row>
    <row r="6266" spans="1:2">
      <c r="A6266">
        <v>73</v>
      </c>
      <c r="B6266">
        <v>0.32400000000000001</v>
      </c>
    </row>
    <row r="6267" spans="1:2">
      <c r="A6267">
        <v>73</v>
      </c>
      <c r="B6267" t="s">
        <v>32</v>
      </c>
    </row>
    <row r="6268" spans="1:2">
      <c r="A6268">
        <v>73</v>
      </c>
      <c r="B6268" s="2">
        <v>0.35619000000000001</v>
      </c>
    </row>
    <row r="6269" spans="1:2">
      <c r="A6269">
        <v>73</v>
      </c>
      <c r="B6269" t="s">
        <v>33</v>
      </c>
    </row>
    <row r="6270" spans="1:2">
      <c r="A6270">
        <v>73</v>
      </c>
      <c r="B6270" s="3">
        <v>0.47</v>
      </c>
    </row>
    <row r="6271" spans="1:2">
      <c r="A6271">
        <v>73</v>
      </c>
      <c r="B6271" t="s">
        <v>34</v>
      </c>
    </row>
    <row r="6272" spans="1:2">
      <c r="A6272">
        <v>73</v>
      </c>
      <c r="B6272" s="3">
        <v>0.53</v>
      </c>
    </row>
    <row r="6273" spans="1:2">
      <c r="A6273">
        <v>73</v>
      </c>
      <c r="B6273" t="s">
        <v>26</v>
      </c>
    </row>
    <row r="6274" spans="1:2">
      <c r="A6274">
        <v>73</v>
      </c>
      <c r="B6274">
        <v>1.48</v>
      </c>
    </row>
    <row r="6275" spans="1:2">
      <c r="A6275">
        <v>73</v>
      </c>
      <c r="B6275" t="s">
        <v>23</v>
      </c>
    </row>
    <row r="6276" spans="1:2">
      <c r="A6276">
        <v>73</v>
      </c>
      <c r="B6276">
        <v>1.139</v>
      </c>
    </row>
    <row r="6277" spans="1:2">
      <c r="A6277">
        <v>73</v>
      </c>
      <c r="B6277" t="s">
        <v>24</v>
      </c>
    </row>
    <row r="6278" spans="1:2">
      <c r="A6278">
        <v>73</v>
      </c>
      <c r="B6278">
        <v>-8.9999999999999993E-3</v>
      </c>
    </row>
    <row r="6279" spans="1:2">
      <c r="A6279">
        <v>73</v>
      </c>
      <c r="B6279" t="s">
        <v>35</v>
      </c>
    </row>
    <row r="6280" spans="1:2">
      <c r="A6280">
        <v>73</v>
      </c>
      <c r="B6280">
        <v>0.93799999999999994</v>
      </c>
    </row>
    <row r="6281" spans="1:2">
      <c r="A6281">
        <v>73</v>
      </c>
      <c r="B6281" t="s">
        <v>36</v>
      </c>
    </row>
    <row r="6282" spans="1:2">
      <c r="A6282">
        <v>73</v>
      </c>
      <c r="B6282">
        <v>0.88100000000000001</v>
      </c>
    </row>
    <row r="6283" spans="1:2">
      <c r="A6283">
        <v>73</v>
      </c>
      <c r="B6283" t="s">
        <v>37</v>
      </c>
    </row>
    <row r="6284" spans="1:2">
      <c r="A6284">
        <v>73</v>
      </c>
      <c r="B6284">
        <v>1.141</v>
      </c>
    </row>
    <row r="6285" spans="1:2">
      <c r="A6285">
        <v>73</v>
      </c>
      <c r="B6285" t="s">
        <v>38</v>
      </c>
    </row>
    <row r="6286" spans="1:2">
      <c r="A6286">
        <v>73</v>
      </c>
      <c r="B6286">
        <v>0.94099999999999995</v>
      </c>
    </row>
    <row r="6287" spans="1:2">
      <c r="A6287">
        <v>73</v>
      </c>
      <c r="B6287" t="s">
        <v>39</v>
      </c>
    </row>
    <row r="6288" spans="1:2">
      <c r="A6288">
        <v>73</v>
      </c>
      <c r="B6288">
        <v>-121.6</v>
      </c>
    </row>
    <row r="6289" spans="1:2">
      <c r="A6289">
        <v>73</v>
      </c>
      <c r="B6289" t="s">
        <v>40</v>
      </c>
    </row>
    <row r="6290" spans="1:2">
      <c r="A6290">
        <v>73</v>
      </c>
      <c r="B6290" s="4">
        <v>0</v>
      </c>
    </row>
    <row r="6291" spans="1:2">
      <c r="A6291">
        <v>73</v>
      </c>
      <c r="B6291" t="s">
        <v>41</v>
      </c>
    </row>
    <row r="6292" spans="1:2">
      <c r="A6292">
        <v>73</v>
      </c>
      <c r="B6292" s="4">
        <v>320000000</v>
      </c>
    </row>
    <row r="6293" spans="1:2">
      <c r="A6293">
        <v>73</v>
      </c>
      <c r="B6293" t="s">
        <v>42</v>
      </c>
    </row>
    <row r="6294" spans="1:2">
      <c r="A6294">
        <v>73</v>
      </c>
      <c r="B6294" t="s">
        <v>47</v>
      </c>
    </row>
    <row r="6295" spans="1:2">
      <c r="A6295">
        <v>72</v>
      </c>
      <c r="B6295" t="s">
        <v>27</v>
      </c>
    </row>
    <row r="6296" spans="1:2">
      <c r="A6296">
        <v>72</v>
      </c>
      <c r="B6296" s="2">
        <v>0.42574000000000001</v>
      </c>
    </row>
    <row r="6297" spans="1:2">
      <c r="A6297">
        <v>72</v>
      </c>
      <c r="B6297" t="s">
        <v>1</v>
      </c>
    </row>
    <row r="6298" spans="1:2">
      <c r="A6298">
        <v>72</v>
      </c>
      <c r="B6298">
        <v>1.212</v>
      </c>
    </row>
    <row r="6299" spans="1:2">
      <c r="A6299">
        <v>72</v>
      </c>
      <c r="B6299" t="s">
        <v>28</v>
      </c>
    </row>
    <row r="6300" spans="1:2">
      <c r="A6300">
        <v>72</v>
      </c>
      <c r="B6300">
        <v>383</v>
      </c>
    </row>
    <row r="6301" spans="1:2">
      <c r="A6301">
        <v>72</v>
      </c>
      <c r="B6301" t="s">
        <v>25</v>
      </c>
    </row>
    <row r="6302" spans="1:2">
      <c r="A6302">
        <v>72</v>
      </c>
      <c r="B6302" s="2">
        <v>0.21609999999999999</v>
      </c>
    </row>
    <row r="6303" spans="1:2">
      <c r="A6303">
        <v>72</v>
      </c>
      <c r="B6303" t="s">
        <v>29</v>
      </c>
    </row>
    <row r="6304" spans="1:2">
      <c r="A6304">
        <v>72</v>
      </c>
      <c r="B6304" s="2">
        <v>-0.1457</v>
      </c>
    </row>
    <row r="6305" spans="1:2">
      <c r="A6305">
        <v>72</v>
      </c>
      <c r="B6305" t="s">
        <v>30</v>
      </c>
    </row>
    <row r="6306" spans="1:2">
      <c r="A6306">
        <v>72</v>
      </c>
      <c r="B6306" s="2">
        <v>0.60529999999999995</v>
      </c>
    </row>
    <row r="6307" spans="1:2">
      <c r="A6307">
        <v>72</v>
      </c>
      <c r="B6307" t="s">
        <v>8</v>
      </c>
    </row>
    <row r="6308" spans="1:2">
      <c r="A6308">
        <v>72</v>
      </c>
      <c r="B6308" s="2">
        <v>0.72299999999999998</v>
      </c>
    </row>
    <row r="6309" spans="1:2">
      <c r="A6309">
        <v>72</v>
      </c>
      <c r="B6309" t="s">
        <v>31</v>
      </c>
    </row>
    <row r="6310" spans="1:2">
      <c r="A6310">
        <v>72</v>
      </c>
      <c r="B6310">
        <v>0.32400000000000001</v>
      </c>
    </row>
    <row r="6311" spans="1:2">
      <c r="A6311">
        <v>72</v>
      </c>
      <c r="B6311" t="s">
        <v>32</v>
      </c>
    </row>
    <row r="6312" spans="1:2">
      <c r="A6312">
        <v>72</v>
      </c>
      <c r="B6312" s="2">
        <v>0.35619000000000001</v>
      </c>
    </row>
    <row r="6313" spans="1:2">
      <c r="A6313">
        <v>72</v>
      </c>
      <c r="B6313" t="s">
        <v>33</v>
      </c>
    </row>
    <row r="6314" spans="1:2">
      <c r="A6314">
        <v>72</v>
      </c>
      <c r="B6314" s="3">
        <v>0.47</v>
      </c>
    </row>
    <row r="6315" spans="1:2">
      <c r="A6315">
        <v>72</v>
      </c>
      <c r="B6315" t="s">
        <v>34</v>
      </c>
    </row>
    <row r="6316" spans="1:2">
      <c r="A6316">
        <v>72</v>
      </c>
      <c r="B6316" s="3">
        <v>0.53</v>
      </c>
    </row>
    <row r="6317" spans="1:2">
      <c r="A6317">
        <v>72</v>
      </c>
      <c r="B6317" t="s">
        <v>26</v>
      </c>
    </row>
    <row r="6318" spans="1:2">
      <c r="A6318">
        <v>72</v>
      </c>
      <c r="B6318">
        <v>1.48</v>
      </c>
    </row>
    <row r="6319" spans="1:2">
      <c r="A6319">
        <v>72</v>
      </c>
      <c r="B6319" t="s">
        <v>23</v>
      </c>
    </row>
    <row r="6320" spans="1:2">
      <c r="A6320">
        <v>72</v>
      </c>
      <c r="B6320">
        <v>1.139</v>
      </c>
    </row>
    <row r="6321" spans="1:2">
      <c r="A6321">
        <v>72</v>
      </c>
      <c r="B6321" t="s">
        <v>24</v>
      </c>
    </row>
    <row r="6322" spans="1:2">
      <c r="A6322">
        <v>72</v>
      </c>
      <c r="B6322">
        <v>-8.9999999999999993E-3</v>
      </c>
    </row>
    <row r="6323" spans="1:2">
      <c r="A6323">
        <v>72</v>
      </c>
      <c r="B6323" t="s">
        <v>35</v>
      </c>
    </row>
    <row r="6324" spans="1:2">
      <c r="A6324">
        <v>72</v>
      </c>
      <c r="B6324">
        <v>0.93799999999999994</v>
      </c>
    </row>
    <row r="6325" spans="1:2">
      <c r="A6325">
        <v>72</v>
      </c>
      <c r="B6325" t="s">
        <v>36</v>
      </c>
    </row>
    <row r="6326" spans="1:2">
      <c r="A6326">
        <v>72</v>
      </c>
      <c r="B6326">
        <v>0.88100000000000001</v>
      </c>
    </row>
    <row r="6327" spans="1:2">
      <c r="A6327">
        <v>72</v>
      </c>
      <c r="B6327" t="s">
        <v>37</v>
      </c>
    </row>
    <row r="6328" spans="1:2">
      <c r="A6328">
        <v>72</v>
      </c>
      <c r="B6328">
        <v>1.141</v>
      </c>
    </row>
    <row r="6329" spans="1:2">
      <c r="A6329">
        <v>72</v>
      </c>
      <c r="B6329" t="s">
        <v>38</v>
      </c>
    </row>
    <row r="6330" spans="1:2">
      <c r="A6330">
        <v>72</v>
      </c>
      <c r="B6330">
        <v>0.94099999999999995</v>
      </c>
    </row>
    <row r="6331" spans="1:2">
      <c r="A6331">
        <v>72</v>
      </c>
      <c r="B6331" t="s">
        <v>39</v>
      </c>
    </row>
    <row r="6332" spans="1:2">
      <c r="A6332">
        <v>72</v>
      </c>
      <c r="B6332">
        <v>-121.6</v>
      </c>
    </row>
    <row r="6333" spans="1:2">
      <c r="A6333">
        <v>72</v>
      </c>
      <c r="B6333" t="s">
        <v>40</v>
      </c>
    </row>
    <row r="6334" spans="1:2">
      <c r="A6334">
        <v>72</v>
      </c>
      <c r="B6334" s="4">
        <v>0</v>
      </c>
    </row>
    <row r="6335" spans="1:2">
      <c r="A6335">
        <v>72</v>
      </c>
      <c r="B6335" t="s">
        <v>41</v>
      </c>
    </row>
    <row r="6336" spans="1:2">
      <c r="A6336">
        <v>72</v>
      </c>
      <c r="B6336" s="4">
        <v>320000000</v>
      </c>
    </row>
    <row r="6337" spans="1:2">
      <c r="A6337">
        <v>72</v>
      </c>
      <c r="B6337" t="s">
        <v>42</v>
      </c>
    </row>
    <row r="6338" spans="1:2">
      <c r="A6338">
        <v>72</v>
      </c>
      <c r="B6338" t="s">
        <v>47</v>
      </c>
    </row>
    <row r="6339" spans="1:2">
      <c r="A6339">
        <v>71</v>
      </c>
      <c r="B6339" t="s">
        <v>27</v>
      </c>
    </row>
    <row r="6340" spans="1:2">
      <c r="A6340">
        <v>71</v>
      </c>
      <c r="B6340" s="2">
        <v>0.42574000000000001</v>
      </c>
    </row>
    <row r="6341" spans="1:2">
      <c r="A6341">
        <v>71</v>
      </c>
      <c r="B6341" t="s">
        <v>1</v>
      </c>
    </row>
    <row r="6342" spans="1:2">
      <c r="A6342">
        <v>71</v>
      </c>
      <c r="B6342">
        <v>1.212</v>
      </c>
    </row>
    <row r="6343" spans="1:2">
      <c r="A6343">
        <v>71</v>
      </c>
      <c r="B6343" t="s">
        <v>28</v>
      </c>
    </row>
    <row r="6344" spans="1:2">
      <c r="A6344">
        <v>71</v>
      </c>
      <c r="B6344">
        <v>383</v>
      </c>
    </row>
    <row r="6345" spans="1:2">
      <c r="A6345">
        <v>71</v>
      </c>
      <c r="B6345" t="s">
        <v>25</v>
      </c>
    </row>
    <row r="6346" spans="1:2">
      <c r="A6346">
        <v>71</v>
      </c>
      <c r="B6346" s="2">
        <v>0.21609999999999999</v>
      </c>
    </row>
    <row r="6347" spans="1:2">
      <c r="A6347">
        <v>71</v>
      </c>
      <c r="B6347" t="s">
        <v>29</v>
      </c>
    </row>
    <row r="6348" spans="1:2">
      <c r="A6348">
        <v>71</v>
      </c>
      <c r="B6348" s="2">
        <v>-0.1457</v>
      </c>
    </row>
    <row r="6349" spans="1:2">
      <c r="A6349">
        <v>71</v>
      </c>
      <c r="B6349" t="s">
        <v>30</v>
      </c>
    </row>
    <row r="6350" spans="1:2">
      <c r="A6350">
        <v>71</v>
      </c>
      <c r="B6350" s="2">
        <v>0.60529999999999995</v>
      </c>
    </row>
    <row r="6351" spans="1:2">
      <c r="A6351">
        <v>71</v>
      </c>
      <c r="B6351" t="s">
        <v>8</v>
      </c>
    </row>
    <row r="6352" spans="1:2">
      <c r="A6352">
        <v>71</v>
      </c>
      <c r="B6352" s="2">
        <v>0.72299999999999998</v>
      </c>
    </row>
    <row r="6353" spans="1:2">
      <c r="A6353">
        <v>71</v>
      </c>
      <c r="B6353" t="s">
        <v>31</v>
      </c>
    </row>
    <row r="6354" spans="1:2">
      <c r="A6354">
        <v>71</v>
      </c>
      <c r="B6354">
        <v>0.32400000000000001</v>
      </c>
    </row>
    <row r="6355" spans="1:2">
      <c r="A6355">
        <v>71</v>
      </c>
      <c r="B6355" t="s">
        <v>32</v>
      </c>
    </row>
    <row r="6356" spans="1:2">
      <c r="A6356">
        <v>71</v>
      </c>
      <c r="B6356" s="2">
        <v>0.35619000000000001</v>
      </c>
    </row>
    <row r="6357" spans="1:2">
      <c r="A6357">
        <v>71</v>
      </c>
      <c r="B6357" t="s">
        <v>33</v>
      </c>
    </row>
    <row r="6358" spans="1:2">
      <c r="A6358">
        <v>71</v>
      </c>
      <c r="B6358" s="3">
        <v>0.47</v>
      </c>
    </row>
    <row r="6359" spans="1:2">
      <c r="A6359">
        <v>71</v>
      </c>
      <c r="B6359" t="s">
        <v>34</v>
      </c>
    </row>
    <row r="6360" spans="1:2">
      <c r="A6360">
        <v>71</v>
      </c>
      <c r="B6360" s="3">
        <v>0.53</v>
      </c>
    </row>
    <row r="6361" spans="1:2">
      <c r="A6361">
        <v>71</v>
      </c>
      <c r="B6361" t="s">
        <v>26</v>
      </c>
    </row>
    <row r="6362" spans="1:2">
      <c r="A6362">
        <v>71</v>
      </c>
      <c r="B6362">
        <v>1.48</v>
      </c>
    </row>
    <row r="6363" spans="1:2">
      <c r="A6363">
        <v>71</v>
      </c>
      <c r="B6363" t="s">
        <v>23</v>
      </c>
    </row>
    <row r="6364" spans="1:2">
      <c r="A6364">
        <v>71</v>
      </c>
      <c r="B6364">
        <v>1.139</v>
      </c>
    </row>
    <row r="6365" spans="1:2">
      <c r="A6365">
        <v>71</v>
      </c>
      <c r="B6365" t="s">
        <v>24</v>
      </c>
    </row>
    <row r="6366" spans="1:2">
      <c r="A6366">
        <v>71</v>
      </c>
      <c r="B6366">
        <v>-8.9999999999999993E-3</v>
      </c>
    </row>
    <row r="6367" spans="1:2">
      <c r="A6367">
        <v>71</v>
      </c>
      <c r="B6367" t="s">
        <v>35</v>
      </c>
    </row>
    <row r="6368" spans="1:2">
      <c r="A6368">
        <v>71</v>
      </c>
      <c r="B6368">
        <v>0.93799999999999994</v>
      </c>
    </row>
    <row r="6369" spans="1:2">
      <c r="A6369">
        <v>71</v>
      </c>
      <c r="B6369" t="s">
        <v>36</v>
      </c>
    </row>
    <row r="6370" spans="1:2">
      <c r="A6370">
        <v>71</v>
      </c>
      <c r="B6370">
        <v>0.88100000000000001</v>
      </c>
    </row>
    <row r="6371" spans="1:2">
      <c r="A6371">
        <v>71</v>
      </c>
      <c r="B6371" t="s">
        <v>37</v>
      </c>
    </row>
    <row r="6372" spans="1:2">
      <c r="A6372">
        <v>71</v>
      </c>
      <c r="B6372">
        <v>1.141</v>
      </c>
    </row>
    <row r="6373" spans="1:2">
      <c r="A6373">
        <v>71</v>
      </c>
      <c r="B6373" t="s">
        <v>38</v>
      </c>
    </row>
    <row r="6374" spans="1:2">
      <c r="A6374">
        <v>71</v>
      </c>
      <c r="B6374">
        <v>0.94099999999999995</v>
      </c>
    </row>
    <row r="6375" spans="1:2">
      <c r="A6375">
        <v>71</v>
      </c>
      <c r="B6375" t="s">
        <v>39</v>
      </c>
    </row>
    <row r="6376" spans="1:2">
      <c r="A6376">
        <v>71</v>
      </c>
      <c r="B6376">
        <v>-121.6</v>
      </c>
    </row>
    <row r="6377" spans="1:2">
      <c r="A6377">
        <v>71</v>
      </c>
      <c r="B6377" t="s">
        <v>40</v>
      </c>
    </row>
    <row r="6378" spans="1:2">
      <c r="A6378">
        <v>71</v>
      </c>
      <c r="B6378" s="4">
        <v>0</v>
      </c>
    </row>
    <row r="6379" spans="1:2">
      <c r="A6379">
        <v>71</v>
      </c>
      <c r="B6379" t="s">
        <v>41</v>
      </c>
    </row>
    <row r="6380" spans="1:2">
      <c r="A6380">
        <v>71</v>
      </c>
      <c r="B6380" s="4">
        <v>320000000</v>
      </c>
    </row>
    <row r="6381" spans="1:2">
      <c r="A6381">
        <v>71</v>
      </c>
      <c r="B6381" t="s">
        <v>42</v>
      </c>
    </row>
    <row r="6382" spans="1:2">
      <c r="A6382">
        <v>71</v>
      </c>
      <c r="B6382" t="s">
        <v>47</v>
      </c>
    </row>
    <row r="6383" spans="1:2">
      <c r="A6383">
        <v>70</v>
      </c>
      <c r="B6383" t="s">
        <v>27</v>
      </c>
    </row>
    <row r="6384" spans="1:2">
      <c r="A6384">
        <v>70</v>
      </c>
      <c r="B6384" s="2">
        <v>0.42574000000000001</v>
      </c>
    </row>
    <row r="6385" spans="1:2">
      <c r="A6385">
        <v>70</v>
      </c>
      <c r="B6385" t="s">
        <v>1</v>
      </c>
    </row>
    <row r="6386" spans="1:2">
      <c r="A6386">
        <v>70</v>
      </c>
      <c r="B6386">
        <v>1.212</v>
      </c>
    </row>
    <row r="6387" spans="1:2">
      <c r="A6387">
        <v>70</v>
      </c>
      <c r="B6387" t="s">
        <v>28</v>
      </c>
    </row>
    <row r="6388" spans="1:2">
      <c r="A6388">
        <v>70</v>
      </c>
      <c r="B6388">
        <v>383</v>
      </c>
    </row>
    <row r="6389" spans="1:2">
      <c r="A6389">
        <v>70</v>
      </c>
      <c r="B6389" t="s">
        <v>25</v>
      </c>
    </row>
    <row r="6390" spans="1:2">
      <c r="A6390">
        <v>70</v>
      </c>
      <c r="B6390" s="2">
        <v>0.21609999999999999</v>
      </c>
    </row>
    <row r="6391" spans="1:2">
      <c r="A6391">
        <v>70</v>
      </c>
      <c r="B6391" t="s">
        <v>29</v>
      </c>
    </row>
    <row r="6392" spans="1:2">
      <c r="A6392">
        <v>70</v>
      </c>
      <c r="B6392" s="2">
        <v>-0.1457</v>
      </c>
    </row>
    <row r="6393" spans="1:2">
      <c r="A6393">
        <v>70</v>
      </c>
      <c r="B6393" t="s">
        <v>30</v>
      </c>
    </row>
    <row r="6394" spans="1:2">
      <c r="A6394">
        <v>70</v>
      </c>
      <c r="B6394" s="2">
        <v>0.60529999999999995</v>
      </c>
    </row>
    <row r="6395" spans="1:2">
      <c r="A6395">
        <v>70</v>
      </c>
      <c r="B6395" t="s">
        <v>8</v>
      </c>
    </row>
    <row r="6396" spans="1:2">
      <c r="A6396">
        <v>70</v>
      </c>
      <c r="B6396" s="2">
        <v>0.72299999999999998</v>
      </c>
    </row>
    <row r="6397" spans="1:2">
      <c r="A6397">
        <v>70</v>
      </c>
      <c r="B6397" t="s">
        <v>31</v>
      </c>
    </row>
    <row r="6398" spans="1:2">
      <c r="A6398">
        <v>70</v>
      </c>
      <c r="B6398">
        <v>0.32400000000000001</v>
      </c>
    </row>
    <row r="6399" spans="1:2">
      <c r="A6399">
        <v>70</v>
      </c>
      <c r="B6399" t="s">
        <v>32</v>
      </c>
    </row>
    <row r="6400" spans="1:2">
      <c r="A6400">
        <v>70</v>
      </c>
      <c r="B6400" s="2">
        <v>0.35619000000000001</v>
      </c>
    </row>
    <row r="6401" spans="1:2">
      <c r="A6401">
        <v>70</v>
      </c>
      <c r="B6401" t="s">
        <v>33</v>
      </c>
    </row>
    <row r="6402" spans="1:2">
      <c r="A6402">
        <v>70</v>
      </c>
      <c r="B6402" s="3">
        <v>0.47</v>
      </c>
    </row>
    <row r="6403" spans="1:2">
      <c r="A6403">
        <v>70</v>
      </c>
      <c r="B6403" t="s">
        <v>34</v>
      </c>
    </row>
    <row r="6404" spans="1:2">
      <c r="A6404">
        <v>70</v>
      </c>
      <c r="B6404" s="3">
        <v>0.53</v>
      </c>
    </row>
    <row r="6405" spans="1:2">
      <c r="A6405">
        <v>70</v>
      </c>
      <c r="B6405" t="s">
        <v>26</v>
      </c>
    </row>
    <row r="6406" spans="1:2">
      <c r="A6406">
        <v>70</v>
      </c>
      <c r="B6406">
        <v>1.48</v>
      </c>
    </row>
    <row r="6407" spans="1:2">
      <c r="A6407">
        <v>70</v>
      </c>
      <c r="B6407" t="s">
        <v>23</v>
      </c>
    </row>
    <row r="6408" spans="1:2">
      <c r="A6408">
        <v>70</v>
      </c>
      <c r="B6408">
        <v>1.139</v>
      </c>
    </row>
    <row r="6409" spans="1:2">
      <c r="A6409">
        <v>70</v>
      </c>
      <c r="B6409" t="s">
        <v>24</v>
      </c>
    </row>
    <row r="6410" spans="1:2">
      <c r="A6410">
        <v>70</v>
      </c>
      <c r="B6410">
        <v>-8.9999999999999993E-3</v>
      </c>
    </row>
    <row r="6411" spans="1:2">
      <c r="A6411">
        <v>70</v>
      </c>
      <c r="B6411" t="s">
        <v>35</v>
      </c>
    </row>
    <row r="6412" spans="1:2">
      <c r="A6412">
        <v>70</v>
      </c>
      <c r="B6412">
        <v>0.93799999999999994</v>
      </c>
    </row>
    <row r="6413" spans="1:2">
      <c r="A6413">
        <v>70</v>
      </c>
      <c r="B6413" t="s">
        <v>36</v>
      </c>
    </row>
    <row r="6414" spans="1:2">
      <c r="A6414">
        <v>70</v>
      </c>
      <c r="B6414">
        <v>0.88100000000000001</v>
      </c>
    </row>
    <row r="6415" spans="1:2">
      <c r="A6415">
        <v>70</v>
      </c>
      <c r="B6415" t="s">
        <v>37</v>
      </c>
    </row>
    <row r="6416" spans="1:2">
      <c r="A6416">
        <v>70</v>
      </c>
      <c r="B6416">
        <v>1.141</v>
      </c>
    </row>
    <row r="6417" spans="1:2">
      <c r="A6417">
        <v>70</v>
      </c>
      <c r="B6417" t="s">
        <v>38</v>
      </c>
    </row>
    <row r="6418" spans="1:2">
      <c r="A6418">
        <v>70</v>
      </c>
      <c r="B6418">
        <v>0.94099999999999995</v>
      </c>
    </row>
    <row r="6419" spans="1:2">
      <c r="A6419">
        <v>70</v>
      </c>
      <c r="B6419" t="s">
        <v>39</v>
      </c>
    </row>
    <row r="6420" spans="1:2">
      <c r="A6420">
        <v>70</v>
      </c>
      <c r="B6420">
        <v>-121.6</v>
      </c>
    </row>
    <row r="6421" spans="1:2">
      <c r="A6421">
        <v>70</v>
      </c>
      <c r="B6421" t="s">
        <v>40</v>
      </c>
    </row>
    <row r="6422" spans="1:2">
      <c r="A6422">
        <v>70</v>
      </c>
      <c r="B6422" s="4">
        <v>0</v>
      </c>
    </row>
    <row r="6423" spans="1:2">
      <c r="A6423">
        <v>70</v>
      </c>
      <c r="B6423" t="s">
        <v>41</v>
      </c>
    </row>
    <row r="6424" spans="1:2">
      <c r="A6424">
        <v>70</v>
      </c>
      <c r="B6424" s="4">
        <v>320000000</v>
      </c>
    </row>
    <row r="6425" spans="1:2">
      <c r="A6425">
        <v>70</v>
      </c>
      <c r="B6425" t="s">
        <v>42</v>
      </c>
    </row>
    <row r="6426" spans="1:2">
      <c r="A6426">
        <v>70</v>
      </c>
      <c r="B6426" t="s">
        <v>47</v>
      </c>
    </row>
    <row r="6427" spans="1:2">
      <c r="A6427">
        <v>69</v>
      </c>
      <c r="B6427" t="s">
        <v>27</v>
      </c>
    </row>
    <row r="6428" spans="1:2">
      <c r="A6428">
        <v>69</v>
      </c>
      <c r="B6428" s="2">
        <v>0.42574000000000001</v>
      </c>
    </row>
    <row r="6429" spans="1:2">
      <c r="A6429">
        <v>69</v>
      </c>
      <c r="B6429" t="s">
        <v>1</v>
      </c>
    </row>
    <row r="6430" spans="1:2">
      <c r="A6430">
        <v>69</v>
      </c>
      <c r="B6430">
        <v>1.212</v>
      </c>
    </row>
    <row r="6431" spans="1:2">
      <c r="A6431">
        <v>69</v>
      </c>
      <c r="B6431" t="s">
        <v>28</v>
      </c>
    </row>
    <row r="6432" spans="1:2">
      <c r="A6432">
        <v>69</v>
      </c>
      <c r="B6432">
        <v>383</v>
      </c>
    </row>
    <row r="6433" spans="1:2">
      <c r="A6433">
        <v>69</v>
      </c>
      <c r="B6433" t="s">
        <v>25</v>
      </c>
    </row>
    <row r="6434" spans="1:2">
      <c r="A6434">
        <v>69</v>
      </c>
      <c r="B6434" s="2">
        <v>0.21609999999999999</v>
      </c>
    </row>
    <row r="6435" spans="1:2">
      <c r="A6435">
        <v>69</v>
      </c>
      <c r="B6435" t="s">
        <v>29</v>
      </c>
    </row>
    <row r="6436" spans="1:2">
      <c r="A6436">
        <v>69</v>
      </c>
      <c r="B6436" s="2">
        <v>-0.1457</v>
      </c>
    </row>
    <row r="6437" spans="1:2">
      <c r="A6437">
        <v>69</v>
      </c>
      <c r="B6437" t="s">
        <v>30</v>
      </c>
    </row>
    <row r="6438" spans="1:2">
      <c r="A6438">
        <v>69</v>
      </c>
      <c r="B6438" s="2">
        <v>0.60529999999999995</v>
      </c>
    </row>
    <row r="6439" spans="1:2">
      <c r="A6439">
        <v>69</v>
      </c>
      <c r="B6439" t="s">
        <v>8</v>
      </c>
    </row>
    <row r="6440" spans="1:2">
      <c r="A6440">
        <v>69</v>
      </c>
      <c r="B6440" s="2">
        <v>0.72299999999999998</v>
      </c>
    </row>
    <row r="6441" spans="1:2">
      <c r="A6441">
        <v>69</v>
      </c>
      <c r="B6441" t="s">
        <v>31</v>
      </c>
    </row>
    <row r="6442" spans="1:2">
      <c r="A6442">
        <v>69</v>
      </c>
      <c r="B6442">
        <v>0.32400000000000001</v>
      </c>
    </row>
    <row r="6443" spans="1:2">
      <c r="A6443">
        <v>69</v>
      </c>
      <c r="B6443" t="s">
        <v>32</v>
      </c>
    </row>
    <row r="6444" spans="1:2">
      <c r="A6444">
        <v>69</v>
      </c>
      <c r="B6444" s="2">
        <v>0.35619000000000001</v>
      </c>
    </row>
    <row r="6445" spans="1:2">
      <c r="A6445">
        <v>69</v>
      </c>
      <c r="B6445" t="s">
        <v>33</v>
      </c>
    </row>
    <row r="6446" spans="1:2">
      <c r="A6446">
        <v>69</v>
      </c>
      <c r="B6446" s="3">
        <v>0.47</v>
      </c>
    </row>
    <row r="6447" spans="1:2">
      <c r="A6447">
        <v>69</v>
      </c>
      <c r="B6447" t="s">
        <v>34</v>
      </c>
    </row>
    <row r="6448" spans="1:2">
      <c r="A6448">
        <v>69</v>
      </c>
      <c r="B6448" s="3">
        <v>0.53</v>
      </c>
    </row>
    <row r="6449" spans="1:2">
      <c r="A6449">
        <v>69</v>
      </c>
      <c r="B6449" t="s">
        <v>26</v>
      </c>
    </row>
    <row r="6450" spans="1:2">
      <c r="A6450">
        <v>69</v>
      </c>
      <c r="B6450">
        <v>1.48</v>
      </c>
    </row>
    <row r="6451" spans="1:2">
      <c r="A6451">
        <v>69</v>
      </c>
      <c r="B6451" t="s">
        <v>23</v>
      </c>
    </row>
    <row r="6452" spans="1:2">
      <c r="A6452">
        <v>69</v>
      </c>
      <c r="B6452">
        <v>1.139</v>
      </c>
    </row>
    <row r="6453" spans="1:2">
      <c r="A6453">
        <v>69</v>
      </c>
      <c r="B6453" t="s">
        <v>24</v>
      </c>
    </row>
    <row r="6454" spans="1:2">
      <c r="A6454">
        <v>69</v>
      </c>
      <c r="B6454">
        <v>-8.9999999999999993E-3</v>
      </c>
    </row>
    <row r="6455" spans="1:2">
      <c r="A6455">
        <v>69</v>
      </c>
      <c r="B6455" t="s">
        <v>35</v>
      </c>
    </row>
    <row r="6456" spans="1:2">
      <c r="A6456">
        <v>69</v>
      </c>
      <c r="B6456">
        <v>0.93799999999999994</v>
      </c>
    </row>
    <row r="6457" spans="1:2">
      <c r="A6457">
        <v>69</v>
      </c>
      <c r="B6457" t="s">
        <v>36</v>
      </c>
    </row>
    <row r="6458" spans="1:2">
      <c r="A6458">
        <v>69</v>
      </c>
      <c r="B6458">
        <v>0.88100000000000001</v>
      </c>
    </row>
    <row r="6459" spans="1:2">
      <c r="A6459">
        <v>69</v>
      </c>
      <c r="B6459" t="s">
        <v>37</v>
      </c>
    </row>
    <row r="6460" spans="1:2">
      <c r="A6460">
        <v>69</v>
      </c>
      <c r="B6460">
        <v>1.141</v>
      </c>
    </row>
    <row r="6461" spans="1:2">
      <c r="A6461">
        <v>69</v>
      </c>
      <c r="B6461" t="s">
        <v>38</v>
      </c>
    </row>
    <row r="6462" spans="1:2">
      <c r="A6462">
        <v>69</v>
      </c>
      <c r="B6462">
        <v>0.94099999999999995</v>
      </c>
    </row>
    <row r="6463" spans="1:2">
      <c r="A6463">
        <v>69</v>
      </c>
      <c r="B6463" t="s">
        <v>39</v>
      </c>
    </row>
    <row r="6464" spans="1:2">
      <c r="A6464">
        <v>69</v>
      </c>
      <c r="B6464">
        <v>-121.6</v>
      </c>
    </row>
    <row r="6465" spans="1:2">
      <c r="A6465">
        <v>69</v>
      </c>
      <c r="B6465" t="s">
        <v>40</v>
      </c>
    </row>
    <row r="6466" spans="1:2">
      <c r="A6466">
        <v>69</v>
      </c>
      <c r="B6466" s="4">
        <v>0</v>
      </c>
    </row>
    <row r="6467" spans="1:2">
      <c r="A6467">
        <v>69</v>
      </c>
      <c r="B6467" t="s">
        <v>41</v>
      </c>
    </row>
    <row r="6468" spans="1:2">
      <c r="A6468">
        <v>69</v>
      </c>
      <c r="B6468" s="4">
        <v>320000000</v>
      </c>
    </row>
    <row r="6469" spans="1:2">
      <c r="A6469">
        <v>69</v>
      </c>
      <c r="B6469" t="s">
        <v>42</v>
      </c>
    </row>
    <row r="6470" spans="1:2">
      <c r="A6470">
        <v>69</v>
      </c>
      <c r="B6470" t="s">
        <v>47</v>
      </c>
    </row>
    <row r="6471" spans="1:2">
      <c r="A6471">
        <v>68</v>
      </c>
      <c r="B6471" t="s">
        <v>27</v>
      </c>
    </row>
    <row r="6472" spans="1:2">
      <c r="A6472">
        <v>68</v>
      </c>
      <c r="B6472" s="2">
        <v>0.29354999999999998</v>
      </c>
    </row>
    <row r="6473" spans="1:2">
      <c r="A6473">
        <v>68</v>
      </c>
      <c r="B6473" t="s">
        <v>1</v>
      </c>
    </row>
    <row r="6474" spans="1:2">
      <c r="A6474">
        <v>68</v>
      </c>
      <c r="B6474">
        <v>0.442</v>
      </c>
    </row>
    <row r="6475" spans="1:2">
      <c r="A6475">
        <v>68</v>
      </c>
      <c r="B6475" t="s">
        <v>28</v>
      </c>
    </row>
    <row r="6476" spans="1:2">
      <c r="A6476">
        <v>68</v>
      </c>
      <c r="B6476">
        <v>393</v>
      </c>
    </row>
    <row r="6477" spans="1:2">
      <c r="A6477">
        <v>68</v>
      </c>
      <c r="B6477" t="s">
        <v>25</v>
      </c>
    </row>
    <row r="6478" spans="1:2">
      <c r="A6478">
        <v>68</v>
      </c>
      <c r="B6478" s="2">
        <v>3.7199999999999997E-2</v>
      </c>
    </row>
    <row r="6479" spans="1:2">
      <c r="A6479">
        <v>68</v>
      </c>
      <c r="B6479" t="s">
        <v>29</v>
      </c>
    </row>
    <row r="6480" spans="1:2">
      <c r="A6480">
        <v>68</v>
      </c>
      <c r="B6480" s="2">
        <v>-3.39E-2</v>
      </c>
    </row>
    <row r="6481" spans="1:2">
      <c r="A6481">
        <v>68</v>
      </c>
      <c r="B6481" t="s">
        <v>30</v>
      </c>
    </row>
    <row r="6482" spans="1:2">
      <c r="A6482">
        <v>68</v>
      </c>
      <c r="B6482" s="2">
        <v>8.3169999999999994E-2</v>
      </c>
    </row>
    <row r="6483" spans="1:2">
      <c r="A6483">
        <v>68</v>
      </c>
      <c r="B6483" t="s">
        <v>8</v>
      </c>
    </row>
    <row r="6484" spans="1:2">
      <c r="A6484">
        <v>68</v>
      </c>
      <c r="B6484" s="2">
        <v>0.191</v>
      </c>
    </row>
    <row r="6485" spans="1:2">
      <c r="A6485">
        <v>68</v>
      </c>
      <c r="B6485" t="s">
        <v>31</v>
      </c>
    </row>
    <row r="6486" spans="1:2">
      <c r="A6486">
        <v>68</v>
      </c>
      <c r="B6486">
        <v>0.128</v>
      </c>
    </row>
    <row r="6487" spans="1:2">
      <c r="A6487">
        <v>68</v>
      </c>
      <c r="B6487" t="s">
        <v>32</v>
      </c>
    </row>
    <row r="6488" spans="1:2">
      <c r="A6488">
        <v>68</v>
      </c>
      <c r="B6488" s="2">
        <v>5.2769999999999997E-2</v>
      </c>
    </row>
    <row r="6489" spans="1:2">
      <c r="A6489">
        <v>68</v>
      </c>
      <c r="B6489" t="s">
        <v>33</v>
      </c>
    </row>
    <row r="6490" spans="1:2">
      <c r="A6490">
        <v>68</v>
      </c>
      <c r="B6490" s="3">
        <v>0.46</v>
      </c>
    </row>
    <row r="6491" spans="1:2">
      <c r="A6491">
        <v>68</v>
      </c>
      <c r="B6491" t="s">
        <v>34</v>
      </c>
    </row>
    <row r="6492" spans="1:2">
      <c r="A6492">
        <v>68</v>
      </c>
      <c r="B6492" s="3">
        <v>0.54</v>
      </c>
    </row>
    <row r="6493" spans="1:2">
      <c r="A6493">
        <v>68</v>
      </c>
      <c r="B6493" t="s">
        <v>26</v>
      </c>
    </row>
    <row r="6494" spans="1:2">
      <c r="A6494">
        <v>68</v>
      </c>
      <c r="B6494">
        <v>1.0900000000000001</v>
      </c>
    </row>
    <row r="6495" spans="1:2">
      <c r="A6495">
        <v>68</v>
      </c>
      <c r="B6495" t="s">
        <v>23</v>
      </c>
    </row>
    <row r="6496" spans="1:2">
      <c r="A6496">
        <v>68</v>
      </c>
      <c r="B6496">
        <v>7.0999999999999994E-2</v>
      </c>
    </row>
    <row r="6497" spans="1:2">
      <c r="A6497">
        <v>68</v>
      </c>
      <c r="B6497" t="s">
        <v>24</v>
      </c>
    </row>
    <row r="6498" spans="1:2">
      <c r="A6498">
        <v>68</v>
      </c>
      <c r="B6498">
        <v>-8.9999999999999993E-3</v>
      </c>
    </row>
    <row r="6499" spans="1:2">
      <c r="A6499">
        <v>68</v>
      </c>
      <c r="B6499" t="s">
        <v>35</v>
      </c>
    </row>
    <row r="6500" spans="1:2">
      <c r="A6500">
        <v>68</v>
      </c>
      <c r="B6500">
        <v>0.159</v>
      </c>
    </row>
    <row r="6501" spans="1:2">
      <c r="A6501">
        <v>68</v>
      </c>
      <c r="B6501" t="s">
        <v>36</v>
      </c>
    </row>
    <row r="6502" spans="1:2">
      <c r="A6502">
        <v>68</v>
      </c>
      <c r="B6502">
        <v>2.5000000000000001E-2</v>
      </c>
    </row>
    <row r="6503" spans="1:2">
      <c r="A6503">
        <v>68</v>
      </c>
      <c r="B6503" t="s">
        <v>37</v>
      </c>
    </row>
    <row r="6504" spans="1:2">
      <c r="A6504">
        <v>68</v>
      </c>
      <c r="B6504">
        <v>3.7999999999999999E-2</v>
      </c>
    </row>
    <row r="6505" spans="1:2">
      <c r="A6505">
        <v>68</v>
      </c>
      <c r="B6505" t="s">
        <v>38</v>
      </c>
    </row>
    <row r="6506" spans="1:2">
      <c r="A6506">
        <v>68</v>
      </c>
      <c r="B6506">
        <v>0.17299999999999999</v>
      </c>
    </row>
    <row r="6507" spans="1:2">
      <c r="A6507">
        <v>68</v>
      </c>
      <c r="B6507" t="s">
        <v>39</v>
      </c>
    </row>
    <row r="6508" spans="1:2">
      <c r="A6508">
        <v>68</v>
      </c>
      <c r="B6508">
        <v>-7.6760000000000002</v>
      </c>
    </row>
    <row r="6509" spans="1:2">
      <c r="A6509">
        <v>68</v>
      </c>
      <c r="B6509" t="s">
        <v>40</v>
      </c>
    </row>
    <row r="6510" spans="1:2">
      <c r="A6510">
        <v>68</v>
      </c>
      <c r="B6510" s="4">
        <v>0</v>
      </c>
    </row>
    <row r="6511" spans="1:2">
      <c r="A6511">
        <v>68</v>
      </c>
      <c r="B6511" t="s">
        <v>41</v>
      </c>
    </row>
    <row r="6512" spans="1:2">
      <c r="A6512">
        <v>68</v>
      </c>
      <c r="B6512" s="4">
        <v>1200000000</v>
      </c>
    </row>
    <row r="6513" spans="1:2">
      <c r="A6513">
        <v>68</v>
      </c>
      <c r="B6513" t="s">
        <v>42</v>
      </c>
    </row>
    <row r="6514" spans="1:2">
      <c r="A6514">
        <v>68</v>
      </c>
      <c r="B6514" t="s">
        <v>47</v>
      </c>
    </row>
    <row r="6515" spans="1:2">
      <c r="A6515">
        <v>67</v>
      </c>
      <c r="B6515" t="s">
        <v>27</v>
      </c>
    </row>
    <row r="6516" spans="1:2">
      <c r="A6516">
        <v>67</v>
      </c>
      <c r="B6516" s="2">
        <v>0.27898000000000001</v>
      </c>
    </row>
    <row r="6517" spans="1:2">
      <c r="A6517">
        <v>67</v>
      </c>
      <c r="B6517" t="s">
        <v>1</v>
      </c>
    </row>
    <row r="6518" spans="1:2">
      <c r="A6518">
        <v>67</v>
      </c>
      <c r="B6518">
        <v>0.38200000000000001</v>
      </c>
    </row>
    <row r="6519" spans="1:2">
      <c r="A6519">
        <v>67</v>
      </c>
      <c r="B6519" t="s">
        <v>28</v>
      </c>
    </row>
    <row r="6520" spans="1:2">
      <c r="A6520">
        <v>67</v>
      </c>
      <c r="B6520">
        <v>393</v>
      </c>
    </row>
    <row r="6521" spans="1:2">
      <c r="A6521">
        <v>67</v>
      </c>
      <c r="B6521" t="s">
        <v>25</v>
      </c>
    </row>
    <row r="6522" spans="1:2">
      <c r="A6522">
        <v>67</v>
      </c>
      <c r="B6522" s="2">
        <v>3.3999999999999998E-3</v>
      </c>
    </row>
    <row r="6523" spans="1:2">
      <c r="A6523">
        <v>67</v>
      </c>
      <c r="B6523" t="s">
        <v>29</v>
      </c>
    </row>
    <row r="6524" spans="1:2">
      <c r="A6524">
        <v>67</v>
      </c>
      <c r="B6524" s="2">
        <v>-3.3E-3</v>
      </c>
    </row>
    <row r="6525" spans="1:2">
      <c r="A6525">
        <v>67</v>
      </c>
      <c r="B6525" t="s">
        <v>30</v>
      </c>
    </row>
    <row r="6526" spans="1:2">
      <c r="A6526">
        <v>67</v>
      </c>
      <c r="B6526" s="2">
        <v>8.2100000000000003E-3</v>
      </c>
    </row>
    <row r="6527" spans="1:2">
      <c r="A6527">
        <v>67</v>
      </c>
      <c r="B6527" t="s">
        <v>8</v>
      </c>
    </row>
    <row r="6528" spans="1:2">
      <c r="A6528">
        <v>67</v>
      </c>
      <c r="B6528" s="2">
        <v>0.02</v>
      </c>
    </row>
    <row r="6529" spans="1:2">
      <c r="A6529">
        <v>67</v>
      </c>
      <c r="B6529" t="s">
        <v>31</v>
      </c>
    </row>
    <row r="6530" spans="1:2">
      <c r="A6530">
        <v>67</v>
      </c>
      <c r="B6530">
        <v>0.108</v>
      </c>
    </row>
    <row r="6531" spans="1:2">
      <c r="A6531">
        <v>67</v>
      </c>
      <c r="B6531" t="s">
        <v>32</v>
      </c>
    </row>
    <row r="6532" spans="1:2">
      <c r="A6532">
        <v>67</v>
      </c>
      <c r="B6532" s="2">
        <v>5.28E-3</v>
      </c>
    </row>
    <row r="6533" spans="1:2">
      <c r="A6533">
        <v>67</v>
      </c>
      <c r="B6533" t="s">
        <v>33</v>
      </c>
    </row>
    <row r="6534" spans="1:2">
      <c r="A6534">
        <v>67</v>
      </c>
      <c r="B6534" s="3">
        <v>0.46</v>
      </c>
    </row>
    <row r="6535" spans="1:2">
      <c r="A6535">
        <v>67</v>
      </c>
      <c r="B6535" t="s">
        <v>34</v>
      </c>
    </row>
    <row r="6536" spans="1:2">
      <c r="A6536">
        <v>67</v>
      </c>
      <c r="B6536" s="3">
        <v>0.54</v>
      </c>
    </row>
    <row r="6537" spans="1:2">
      <c r="A6537">
        <v>67</v>
      </c>
      <c r="B6537" t="s">
        <v>26</v>
      </c>
    </row>
    <row r="6538" spans="1:2">
      <c r="A6538">
        <v>67</v>
      </c>
      <c r="B6538">
        <v>1.06</v>
      </c>
    </row>
    <row r="6539" spans="1:2">
      <c r="A6539">
        <v>67</v>
      </c>
      <c r="B6539" t="s">
        <v>23</v>
      </c>
    </row>
    <row r="6540" spans="1:2">
      <c r="A6540">
        <v>67</v>
      </c>
      <c r="B6540">
        <v>6.0000000000000001E-3</v>
      </c>
    </row>
    <row r="6541" spans="1:2">
      <c r="A6541">
        <v>67</v>
      </c>
      <c r="B6541" t="s">
        <v>24</v>
      </c>
    </row>
    <row r="6542" spans="1:2">
      <c r="A6542">
        <v>67</v>
      </c>
      <c r="B6542">
        <v>-1E-3</v>
      </c>
    </row>
    <row r="6543" spans="1:2">
      <c r="A6543">
        <v>67</v>
      </c>
      <c r="B6543" t="s">
        <v>35</v>
      </c>
    </row>
    <row r="6544" spans="1:2">
      <c r="A6544">
        <v>67</v>
      </c>
      <c r="B6544">
        <v>1.4999999999999999E-2</v>
      </c>
    </row>
    <row r="6545" spans="1:2">
      <c r="A6545">
        <v>67</v>
      </c>
      <c r="B6545" t="s">
        <v>36</v>
      </c>
    </row>
    <row r="6546" spans="1:2">
      <c r="A6546">
        <v>67</v>
      </c>
      <c r="B6546">
        <v>0</v>
      </c>
    </row>
    <row r="6547" spans="1:2">
      <c r="A6547">
        <v>67</v>
      </c>
      <c r="B6547" t="s">
        <v>37</v>
      </c>
    </row>
    <row r="6548" spans="1:2">
      <c r="A6548">
        <v>67</v>
      </c>
      <c r="B6548">
        <v>-0.84699999999999998</v>
      </c>
    </row>
    <row r="6549" spans="1:2">
      <c r="A6549">
        <v>67</v>
      </c>
      <c r="B6549" t="s">
        <v>38</v>
      </c>
    </row>
    <row r="6550" spans="1:2">
      <c r="A6550">
        <v>67</v>
      </c>
      <c r="B6550">
        <v>6.9000000000000006E-2</v>
      </c>
    </row>
    <row r="6551" spans="1:2">
      <c r="A6551">
        <v>67</v>
      </c>
      <c r="B6551" t="s">
        <v>39</v>
      </c>
    </row>
    <row r="6552" spans="1:2">
      <c r="A6552">
        <v>67</v>
      </c>
      <c r="B6552">
        <v>-5.5970000000000004</v>
      </c>
    </row>
    <row r="6553" spans="1:2">
      <c r="A6553">
        <v>67</v>
      </c>
      <c r="B6553" t="s">
        <v>40</v>
      </c>
    </row>
    <row r="6554" spans="1:2">
      <c r="A6554">
        <v>67</v>
      </c>
      <c r="B6554" s="4">
        <v>0</v>
      </c>
    </row>
    <row r="6555" spans="1:2">
      <c r="A6555">
        <v>67</v>
      </c>
      <c r="B6555" t="s">
        <v>41</v>
      </c>
    </row>
    <row r="6556" spans="1:2">
      <c r="A6556">
        <v>67</v>
      </c>
      <c r="B6556" s="4">
        <v>12000000000</v>
      </c>
    </row>
    <row r="6557" spans="1:2">
      <c r="A6557">
        <v>67</v>
      </c>
      <c r="B6557" t="s">
        <v>42</v>
      </c>
    </row>
    <row r="6558" spans="1:2">
      <c r="A6558">
        <v>67</v>
      </c>
      <c r="B6558" t="s">
        <v>47</v>
      </c>
    </row>
    <row r="6559" spans="1:2">
      <c r="A6559">
        <v>66</v>
      </c>
      <c r="B6559" t="s">
        <v>27</v>
      </c>
    </row>
    <row r="6560" spans="1:2">
      <c r="A6560">
        <v>66</v>
      </c>
      <c r="B6560" s="2">
        <v>0.47305000000000003</v>
      </c>
    </row>
    <row r="6561" spans="1:2">
      <c r="A6561">
        <v>66</v>
      </c>
      <c r="B6561" t="s">
        <v>1</v>
      </c>
    </row>
    <row r="6562" spans="1:2">
      <c r="A6562">
        <v>66</v>
      </c>
      <c r="B6562">
        <v>1.341</v>
      </c>
    </row>
    <row r="6563" spans="1:2">
      <c r="A6563">
        <v>66</v>
      </c>
      <c r="B6563" t="s">
        <v>28</v>
      </c>
    </row>
    <row r="6564" spans="1:2">
      <c r="A6564">
        <v>66</v>
      </c>
      <c r="B6564">
        <v>680</v>
      </c>
    </row>
    <row r="6565" spans="1:2">
      <c r="A6565">
        <v>66</v>
      </c>
      <c r="B6565" t="s">
        <v>25</v>
      </c>
    </row>
    <row r="6566" spans="1:2">
      <c r="A6566">
        <v>66</v>
      </c>
      <c r="B6566" s="2">
        <v>0.1079</v>
      </c>
    </row>
    <row r="6567" spans="1:2">
      <c r="A6567">
        <v>66</v>
      </c>
      <c r="B6567" t="s">
        <v>29</v>
      </c>
    </row>
    <row r="6568" spans="1:2">
      <c r="A6568">
        <v>66</v>
      </c>
      <c r="B6568" s="2">
        <v>-5.9400000000000001E-2</v>
      </c>
    </row>
    <row r="6569" spans="1:2">
      <c r="A6569">
        <v>66</v>
      </c>
      <c r="B6569" t="s">
        <v>30</v>
      </c>
    </row>
    <row r="6570" spans="1:2">
      <c r="A6570">
        <v>66</v>
      </c>
      <c r="B6570" s="2">
        <v>0.82528999999999997</v>
      </c>
    </row>
    <row r="6571" spans="1:2">
      <c r="A6571">
        <v>66</v>
      </c>
      <c r="B6571" t="s">
        <v>8</v>
      </c>
    </row>
    <row r="6572" spans="1:2">
      <c r="A6572">
        <v>66</v>
      </c>
      <c r="B6572" s="2">
        <v>0.44</v>
      </c>
    </row>
    <row r="6573" spans="1:2">
      <c r="A6573">
        <v>66</v>
      </c>
      <c r="B6573" t="s">
        <v>31</v>
      </c>
    </row>
    <row r="6574" spans="1:2">
      <c r="A6574">
        <v>66</v>
      </c>
      <c r="B6574">
        <v>0.40799999999999997</v>
      </c>
    </row>
    <row r="6575" spans="1:2">
      <c r="A6575">
        <v>66</v>
      </c>
      <c r="B6575" t="s">
        <v>32</v>
      </c>
    </row>
    <row r="6576" spans="1:2">
      <c r="A6576">
        <v>66</v>
      </c>
      <c r="B6576" s="2">
        <v>0.47308</v>
      </c>
    </row>
    <row r="6577" spans="1:2">
      <c r="A6577">
        <v>66</v>
      </c>
      <c r="B6577" t="s">
        <v>33</v>
      </c>
    </row>
    <row r="6578" spans="1:2">
      <c r="A6578">
        <v>66</v>
      </c>
      <c r="B6578" s="3">
        <v>0.5</v>
      </c>
    </row>
    <row r="6579" spans="1:2">
      <c r="A6579">
        <v>66</v>
      </c>
      <c r="B6579" t="s">
        <v>34</v>
      </c>
    </row>
    <row r="6580" spans="1:2">
      <c r="A6580">
        <v>66</v>
      </c>
      <c r="B6580" s="3">
        <v>0.5</v>
      </c>
    </row>
    <row r="6581" spans="1:2">
      <c r="A6581">
        <v>66</v>
      </c>
      <c r="B6581" t="s">
        <v>26</v>
      </c>
    </row>
    <row r="6582" spans="1:2">
      <c r="A6582">
        <v>66</v>
      </c>
      <c r="B6582">
        <v>1.82</v>
      </c>
    </row>
    <row r="6583" spans="1:2">
      <c r="A6583">
        <v>66</v>
      </c>
      <c r="B6583" t="s">
        <v>23</v>
      </c>
    </row>
    <row r="6584" spans="1:2">
      <c r="A6584">
        <v>66</v>
      </c>
      <c r="B6584">
        <v>0.94699999999999995</v>
      </c>
    </row>
    <row r="6585" spans="1:2">
      <c r="A6585">
        <v>66</v>
      </c>
      <c r="B6585" t="s">
        <v>24</v>
      </c>
    </row>
    <row r="6586" spans="1:2">
      <c r="A6586">
        <v>66</v>
      </c>
      <c r="B6586">
        <v>0.86699999999999999</v>
      </c>
    </row>
    <row r="6587" spans="1:2">
      <c r="A6587">
        <v>66</v>
      </c>
      <c r="B6587" t="s">
        <v>35</v>
      </c>
    </row>
    <row r="6588" spans="1:2">
      <c r="A6588">
        <v>66</v>
      </c>
      <c r="B6588">
        <v>0.747</v>
      </c>
    </row>
    <row r="6589" spans="1:2">
      <c r="A6589">
        <v>66</v>
      </c>
      <c r="B6589" t="s">
        <v>36</v>
      </c>
    </row>
    <row r="6590" spans="1:2">
      <c r="A6590">
        <v>66</v>
      </c>
      <c r="B6590">
        <v>0.55800000000000005</v>
      </c>
    </row>
    <row r="6591" spans="1:2">
      <c r="A6591">
        <v>66</v>
      </c>
      <c r="B6591" t="s">
        <v>37</v>
      </c>
    </row>
    <row r="6592" spans="1:2">
      <c r="A6592">
        <v>66</v>
      </c>
      <c r="B6592">
        <v>1.26</v>
      </c>
    </row>
    <row r="6593" spans="1:2">
      <c r="A6593">
        <v>66</v>
      </c>
      <c r="B6593" t="s">
        <v>38</v>
      </c>
    </row>
    <row r="6594" spans="1:2">
      <c r="A6594">
        <v>66</v>
      </c>
      <c r="B6594">
        <v>0.745</v>
      </c>
    </row>
    <row r="6595" spans="1:2">
      <c r="A6595">
        <v>66</v>
      </c>
      <c r="B6595" t="s">
        <v>39</v>
      </c>
    </row>
    <row r="6596" spans="1:2">
      <c r="A6596">
        <v>66</v>
      </c>
      <c r="B6596">
        <v>1.1559999999999999</v>
      </c>
    </row>
    <row r="6597" spans="1:2">
      <c r="A6597">
        <v>66</v>
      </c>
      <c r="B6597" t="s">
        <v>40</v>
      </c>
    </row>
    <row r="6598" spans="1:2">
      <c r="A6598">
        <v>66</v>
      </c>
      <c r="B6598" s="4">
        <v>0</v>
      </c>
    </row>
    <row r="6599" spans="1:2">
      <c r="A6599">
        <v>66</v>
      </c>
      <c r="B6599" t="s">
        <v>41</v>
      </c>
    </row>
    <row r="6600" spans="1:2">
      <c r="A6600">
        <v>66</v>
      </c>
      <c r="B6600" s="4">
        <v>2900000</v>
      </c>
    </row>
    <row r="6601" spans="1:2">
      <c r="A6601">
        <v>66</v>
      </c>
      <c r="B6601" t="s">
        <v>42</v>
      </c>
    </row>
    <row r="6602" spans="1:2">
      <c r="A6602">
        <v>66</v>
      </c>
      <c r="B6602" t="s">
        <v>47</v>
      </c>
    </row>
    <row r="6603" spans="1:2">
      <c r="A6603">
        <v>65</v>
      </c>
      <c r="B6603" t="s">
        <v>27</v>
      </c>
    </row>
    <row r="6604" spans="1:2">
      <c r="A6604">
        <v>65</v>
      </c>
      <c r="B6604" s="2">
        <v>0.38990999999999998</v>
      </c>
    </row>
    <row r="6605" spans="1:2">
      <c r="A6605">
        <v>65</v>
      </c>
      <c r="B6605" t="s">
        <v>1</v>
      </c>
    </row>
    <row r="6606" spans="1:2">
      <c r="A6606">
        <v>65</v>
      </c>
      <c r="B6606">
        <v>0.747</v>
      </c>
    </row>
    <row r="6607" spans="1:2">
      <c r="A6607">
        <v>65</v>
      </c>
      <c r="B6607" t="s">
        <v>28</v>
      </c>
    </row>
    <row r="6608" spans="1:2">
      <c r="A6608">
        <v>65</v>
      </c>
      <c r="B6608">
        <v>680</v>
      </c>
    </row>
    <row r="6609" spans="1:2">
      <c r="A6609">
        <v>65</v>
      </c>
      <c r="B6609" t="s">
        <v>25</v>
      </c>
    </row>
    <row r="6610" spans="1:2">
      <c r="A6610">
        <v>65</v>
      </c>
      <c r="B6610" s="2">
        <v>2.24E-2</v>
      </c>
    </row>
    <row r="6611" spans="1:2">
      <c r="A6611">
        <v>65</v>
      </c>
      <c r="B6611" t="s">
        <v>29</v>
      </c>
    </row>
    <row r="6612" spans="1:2">
      <c r="A6612">
        <v>65</v>
      </c>
      <c r="B6612" s="2">
        <v>-1.3599999999999999E-2</v>
      </c>
    </row>
    <row r="6613" spans="1:2">
      <c r="A6613">
        <v>65</v>
      </c>
      <c r="B6613" t="s">
        <v>30</v>
      </c>
    </row>
    <row r="6614" spans="1:2">
      <c r="A6614">
        <v>65</v>
      </c>
      <c r="B6614" s="2">
        <v>0.15078</v>
      </c>
    </row>
    <row r="6615" spans="1:2">
      <c r="A6615">
        <v>65</v>
      </c>
      <c r="B6615" t="s">
        <v>8</v>
      </c>
    </row>
    <row r="6616" spans="1:2">
      <c r="A6616">
        <v>65</v>
      </c>
      <c r="B6616" s="2">
        <v>0.11600000000000001</v>
      </c>
    </row>
    <row r="6617" spans="1:2">
      <c r="A6617">
        <v>65</v>
      </c>
      <c r="B6617" t="s">
        <v>31</v>
      </c>
    </row>
    <row r="6618" spans="1:2">
      <c r="A6618">
        <v>65</v>
      </c>
      <c r="B6618">
        <v>0.32200000000000001</v>
      </c>
    </row>
    <row r="6619" spans="1:2">
      <c r="A6619">
        <v>65</v>
      </c>
      <c r="B6619" t="s">
        <v>32</v>
      </c>
    </row>
    <row r="6620" spans="1:2">
      <c r="A6620">
        <v>65</v>
      </c>
      <c r="B6620" s="2">
        <v>9.4619999999999996E-2</v>
      </c>
    </row>
    <row r="6621" spans="1:2">
      <c r="A6621">
        <v>65</v>
      </c>
      <c r="B6621" t="s">
        <v>33</v>
      </c>
    </row>
    <row r="6622" spans="1:2">
      <c r="A6622">
        <v>65</v>
      </c>
      <c r="B6622" s="3">
        <v>0.5</v>
      </c>
    </row>
    <row r="6623" spans="1:2">
      <c r="A6623">
        <v>65</v>
      </c>
      <c r="B6623" t="s">
        <v>34</v>
      </c>
    </row>
    <row r="6624" spans="1:2">
      <c r="A6624">
        <v>65</v>
      </c>
      <c r="B6624" s="3">
        <v>0.5</v>
      </c>
    </row>
    <row r="6625" spans="1:2">
      <c r="A6625">
        <v>65</v>
      </c>
      <c r="B6625" t="s">
        <v>26</v>
      </c>
    </row>
    <row r="6626" spans="1:2">
      <c r="A6626">
        <v>65</v>
      </c>
      <c r="B6626">
        <v>1.64</v>
      </c>
    </row>
    <row r="6627" spans="1:2">
      <c r="A6627">
        <v>65</v>
      </c>
      <c r="B6627" t="s">
        <v>23</v>
      </c>
    </row>
    <row r="6628" spans="1:2">
      <c r="A6628">
        <v>65</v>
      </c>
      <c r="B6628">
        <v>0.1</v>
      </c>
    </row>
    <row r="6629" spans="1:2">
      <c r="A6629">
        <v>65</v>
      </c>
      <c r="B6629" t="s">
        <v>24</v>
      </c>
    </row>
    <row r="6630" spans="1:2">
      <c r="A6630">
        <v>65</v>
      </c>
      <c r="B6630">
        <v>0.23599999999999999</v>
      </c>
    </row>
    <row r="6631" spans="1:2">
      <c r="A6631">
        <v>65</v>
      </c>
      <c r="B6631" t="s">
        <v>35</v>
      </c>
    </row>
    <row r="6632" spans="1:2">
      <c r="A6632">
        <v>65</v>
      </c>
      <c r="B6632">
        <v>0.155</v>
      </c>
    </row>
    <row r="6633" spans="1:2">
      <c r="A6633">
        <v>65</v>
      </c>
      <c r="B6633" t="s">
        <v>36</v>
      </c>
    </row>
    <row r="6634" spans="1:2">
      <c r="A6634">
        <v>65</v>
      </c>
      <c r="B6634">
        <v>2.4E-2</v>
      </c>
    </row>
    <row r="6635" spans="1:2">
      <c r="A6635">
        <v>65</v>
      </c>
      <c r="B6635" t="s">
        <v>37</v>
      </c>
    </row>
    <row r="6636" spans="1:2">
      <c r="A6636">
        <v>65</v>
      </c>
      <c r="B6636">
        <v>0.318</v>
      </c>
    </row>
    <row r="6637" spans="1:2">
      <c r="A6637">
        <v>65</v>
      </c>
      <c r="B6637" t="s">
        <v>38</v>
      </c>
    </row>
    <row r="6638" spans="1:2">
      <c r="A6638">
        <v>65</v>
      </c>
      <c r="B6638">
        <v>0.16200000000000001</v>
      </c>
    </row>
    <row r="6639" spans="1:2">
      <c r="A6639">
        <v>65</v>
      </c>
      <c r="B6639" t="s">
        <v>39</v>
      </c>
    </row>
    <row r="6640" spans="1:2">
      <c r="A6640">
        <v>65</v>
      </c>
      <c r="B6640">
        <v>0.48899999999999999</v>
      </c>
    </row>
    <row r="6641" spans="1:2">
      <c r="A6641">
        <v>65</v>
      </c>
      <c r="B6641" t="s">
        <v>40</v>
      </c>
    </row>
    <row r="6642" spans="1:2">
      <c r="A6642">
        <v>65</v>
      </c>
      <c r="B6642" s="4">
        <v>0</v>
      </c>
    </row>
    <row r="6643" spans="1:2">
      <c r="A6643">
        <v>65</v>
      </c>
      <c r="B6643" t="s">
        <v>41</v>
      </c>
    </row>
    <row r="6644" spans="1:2">
      <c r="A6644">
        <v>65</v>
      </c>
      <c r="B6644" s="4">
        <v>6900000</v>
      </c>
    </row>
    <row r="6645" spans="1:2">
      <c r="A6645">
        <v>65</v>
      </c>
      <c r="B6645" t="s">
        <v>42</v>
      </c>
    </row>
    <row r="6646" spans="1:2">
      <c r="A6646">
        <v>65</v>
      </c>
      <c r="B6646" t="s">
        <v>47</v>
      </c>
    </row>
    <row r="6647" spans="1:2">
      <c r="A6647">
        <v>64</v>
      </c>
      <c r="B6647" t="s">
        <v>27</v>
      </c>
    </row>
    <row r="6648" spans="1:2">
      <c r="A6648">
        <v>64</v>
      </c>
      <c r="B6648" s="2">
        <v>0.37</v>
      </c>
    </row>
    <row r="6649" spans="1:2">
      <c r="A6649">
        <v>64</v>
      </c>
      <c r="B6649" t="s">
        <v>1</v>
      </c>
    </row>
    <row r="6650" spans="1:2">
      <c r="A6650">
        <v>64</v>
      </c>
      <c r="B6650">
        <v>0.65500000000000003</v>
      </c>
    </row>
    <row r="6651" spans="1:2">
      <c r="A6651">
        <v>64</v>
      </c>
      <c r="B6651" t="s">
        <v>28</v>
      </c>
    </row>
    <row r="6652" spans="1:2">
      <c r="A6652">
        <v>64</v>
      </c>
      <c r="B6652">
        <v>680</v>
      </c>
    </row>
    <row r="6653" spans="1:2">
      <c r="A6653">
        <v>64</v>
      </c>
      <c r="B6653" t="s">
        <v>25</v>
      </c>
    </row>
    <row r="6654" spans="1:2">
      <c r="A6654">
        <v>64</v>
      </c>
      <c r="B6654" s="2">
        <v>2.3E-3</v>
      </c>
    </row>
    <row r="6655" spans="1:2">
      <c r="A6655">
        <v>64</v>
      </c>
      <c r="B6655" t="s">
        <v>29</v>
      </c>
    </row>
    <row r="6656" spans="1:2">
      <c r="A6656">
        <v>64</v>
      </c>
      <c r="B6656" s="2">
        <v>-1.4E-3</v>
      </c>
    </row>
    <row r="6657" spans="1:2">
      <c r="A6657">
        <v>64</v>
      </c>
      <c r="B6657" t="s">
        <v>30</v>
      </c>
    </row>
    <row r="6658" spans="1:2">
      <c r="A6658">
        <v>64</v>
      </c>
      <c r="B6658" s="2">
        <v>1.474E-2</v>
      </c>
    </row>
    <row r="6659" spans="1:2">
      <c r="A6659">
        <v>64</v>
      </c>
      <c r="B6659" t="s">
        <v>8</v>
      </c>
    </row>
    <row r="6660" spans="1:2">
      <c r="A6660">
        <v>64</v>
      </c>
      <c r="B6660" s="2">
        <v>1.2999999999999999E-2</v>
      </c>
    </row>
    <row r="6661" spans="1:2">
      <c r="A6661">
        <v>64</v>
      </c>
      <c r="B6661" t="s">
        <v>31</v>
      </c>
    </row>
    <row r="6662" spans="1:2">
      <c r="A6662">
        <v>64</v>
      </c>
      <c r="B6662">
        <v>0.30099999999999999</v>
      </c>
    </row>
    <row r="6663" spans="1:2">
      <c r="A6663">
        <v>64</v>
      </c>
      <c r="B6663" t="s">
        <v>32</v>
      </c>
    </row>
    <row r="6664" spans="1:2">
      <c r="A6664">
        <v>64</v>
      </c>
      <c r="B6664" s="2">
        <v>9.4599999999999997E-3</v>
      </c>
    </row>
    <row r="6665" spans="1:2">
      <c r="A6665">
        <v>64</v>
      </c>
      <c r="B6665" t="s">
        <v>33</v>
      </c>
    </row>
    <row r="6666" spans="1:2">
      <c r="A6666">
        <v>64</v>
      </c>
      <c r="B6666" s="3">
        <v>0.5</v>
      </c>
    </row>
    <row r="6667" spans="1:2">
      <c r="A6667">
        <v>64</v>
      </c>
      <c r="B6667" t="s">
        <v>34</v>
      </c>
    </row>
    <row r="6668" spans="1:2">
      <c r="A6668">
        <v>64</v>
      </c>
      <c r="B6668" s="3">
        <v>0.5</v>
      </c>
    </row>
    <row r="6669" spans="1:2">
      <c r="A6669">
        <v>64</v>
      </c>
      <c r="B6669" t="s">
        <v>26</v>
      </c>
    </row>
    <row r="6670" spans="1:2">
      <c r="A6670">
        <v>64</v>
      </c>
      <c r="B6670">
        <v>1.6</v>
      </c>
    </row>
    <row r="6671" spans="1:2">
      <c r="A6671">
        <v>64</v>
      </c>
      <c r="B6671" t="s">
        <v>23</v>
      </c>
    </row>
    <row r="6672" spans="1:2">
      <c r="A6672">
        <v>64</v>
      </c>
      <c r="B6672">
        <v>8.9999999999999993E-3</v>
      </c>
    </row>
    <row r="6673" spans="1:2">
      <c r="A6673">
        <v>64</v>
      </c>
      <c r="B6673" t="s">
        <v>24</v>
      </c>
    </row>
    <row r="6674" spans="1:2">
      <c r="A6674">
        <v>64</v>
      </c>
      <c r="B6674">
        <v>2.5000000000000001E-2</v>
      </c>
    </row>
    <row r="6675" spans="1:2">
      <c r="A6675">
        <v>64</v>
      </c>
      <c r="B6675" t="s">
        <v>35</v>
      </c>
    </row>
    <row r="6676" spans="1:2">
      <c r="A6676">
        <v>64</v>
      </c>
      <c r="B6676">
        <v>1.6E-2</v>
      </c>
    </row>
    <row r="6677" spans="1:2">
      <c r="A6677">
        <v>64</v>
      </c>
      <c r="B6677" t="s">
        <v>36</v>
      </c>
    </row>
    <row r="6678" spans="1:2">
      <c r="A6678">
        <v>64</v>
      </c>
      <c r="B6678">
        <v>0</v>
      </c>
    </row>
    <row r="6679" spans="1:2">
      <c r="A6679">
        <v>64</v>
      </c>
      <c r="B6679" t="s">
        <v>37</v>
      </c>
    </row>
    <row r="6680" spans="1:2">
      <c r="A6680">
        <v>64</v>
      </c>
      <c r="B6680">
        <v>-0.8</v>
      </c>
    </row>
    <row r="6681" spans="1:2">
      <c r="A6681">
        <v>64</v>
      </c>
      <c r="B6681" t="s">
        <v>38</v>
      </c>
    </row>
    <row r="6682" spans="1:2">
      <c r="A6682">
        <v>64</v>
      </c>
      <c r="B6682">
        <v>6.7000000000000004E-2</v>
      </c>
    </row>
    <row r="6683" spans="1:2">
      <c r="A6683">
        <v>64</v>
      </c>
      <c r="B6683" t="s">
        <v>39</v>
      </c>
    </row>
    <row r="6684" spans="1:2">
      <c r="A6684">
        <v>64</v>
      </c>
      <c r="B6684">
        <v>0.41099999999999998</v>
      </c>
    </row>
    <row r="6685" spans="1:2">
      <c r="A6685">
        <v>64</v>
      </c>
      <c r="B6685" t="s">
        <v>40</v>
      </c>
    </row>
    <row r="6686" spans="1:2">
      <c r="A6686">
        <v>64</v>
      </c>
      <c r="B6686" s="4">
        <v>0</v>
      </c>
    </row>
    <row r="6687" spans="1:2">
      <c r="A6687">
        <v>64</v>
      </c>
      <c r="B6687" t="s">
        <v>41</v>
      </c>
    </row>
    <row r="6688" spans="1:2">
      <c r="A6688">
        <v>64</v>
      </c>
      <c r="B6688" s="4">
        <v>47000000</v>
      </c>
    </row>
    <row r="6689" spans="1:2">
      <c r="A6689">
        <v>64</v>
      </c>
      <c r="B6689" t="s">
        <v>42</v>
      </c>
    </row>
    <row r="6690" spans="1:2">
      <c r="A6690">
        <v>64</v>
      </c>
      <c r="B6690" t="s">
        <v>47</v>
      </c>
    </row>
    <row r="6691" spans="1:2">
      <c r="A6691">
        <v>48</v>
      </c>
      <c r="B6691" t="s">
        <v>27</v>
      </c>
    </row>
    <row r="6692" spans="1:2">
      <c r="A6692">
        <v>48</v>
      </c>
      <c r="B6692" s="2">
        <v>7.4310000000000001E-2</v>
      </c>
    </row>
    <row r="6693" spans="1:2">
      <c r="A6693">
        <v>48</v>
      </c>
      <c r="B6693" t="s">
        <v>1</v>
      </c>
    </row>
    <row r="6694" spans="1:2">
      <c r="A6694">
        <v>48</v>
      </c>
      <c r="B6694">
        <v>-0.45100000000000001</v>
      </c>
    </row>
    <row r="6695" spans="1:2">
      <c r="A6695">
        <v>48</v>
      </c>
      <c r="B6695" t="s">
        <v>28</v>
      </c>
    </row>
    <row r="6696" spans="1:2">
      <c r="A6696">
        <v>48</v>
      </c>
      <c r="B6696">
        <v>603</v>
      </c>
    </row>
    <row r="6697" spans="1:2">
      <c r="A6697">
        <v>48</v>
      </c>
      <c r="B6697" t="s">
        <v>25</v>
      </c>
    </row>
    <row r="6698" spans="1:2">
      <c r="A6698">
        <v>48</v>
      </c>
      <c r="B6698" s="2">
        <v>6.9500000000000006E-2</v>
      </c>
    </row>
    <row r="6699" spans="1:2">
      <c r="A6699">
        <v>48</v>
      </c>
      <c r="B6699" t="s">
        <v>29</v>
      </c>
    </row>
    <row r="6700" spans="1:2">
      <c r="A6700">
        <v>48</v>
      </c>
      <c r="B6700" s="2">
        <v>-9.1600000000000001E-2</v>
      </c>
    </row>
    <row r="6701" spans="1:2">
      <c r="A6701">
        <v>48</v>
      </c>
      <c r="B6701" t="s">
        <v>30</v>
      </c>
    </row>
    <row r="6702" spans="1:2">
      <c r="A6702">
        <v>48</v>
      </c>
      <c r="B6702" s="2">
        <v>-0.38225999999999999</v>
      </c>
    </row>
    <row r="6703" spans="1:2">
      <c r="A6703">
        <v>48</v>
      </c>
      <c r="B6703" t="s">
        <v>8</v>
      </c>
    </row>
    <row r="6704" spans="1:2">
      <c r="A6704">
        <v>48</v>
      </c>
      <c r="B6704" s="2">
        <v>0.498</v>
      </c>
    </row>
    <row r="6705" spans="1:2">
      <c r="A6705">
        <v>48</v>
      </c>
      <c r="B6705" t="s">
        <v>31</v>
      </c>
    </row>
    <row r="6706" spans="1:2">
      <c r="A6706">
        <v>48</v>
      </c>
      <c r="B6706">
        <v>-0.121</v>
      </c>
    </row>
    <row r="6707" spans="1:2">
      <c r="A6707">
        <v>48</v>
      </c>
      <c r="B6707" t="s">
        <v>32</v>
      </c>
    </row>
    <row r="6708" spans="1:2">
      <c r="A6708">
        <v>48</v>
      </c>
      <c r="B6708" s="2">
        <v>-0.26661000000000001</v>
      </c>
    </row>
    <row r="6709" spans="1:2">
      <c r="A6709">
        <v>48</v>
      </c>
      <c r="B6709" t="s">
        <v>33</v>
      </c>
    </row>
    <row r="6710" spans="1:2">
      <c r="A6710">
        <v>48</v>
      </c>
      <c r="B6710" s="3">
        <v>0.5</v>
      </c>
    </row>
    <row r="6711" spans="1:2">
      <c r="A6711">
        <v>48</v>
      </c>
      <c r="B6711" t="s">
        <v>34</v>
      </c>
    </row>
    <row r="6712" spans="1:2">
      <c r="A6712">
        <v>48</v>
      </c>
      <c r="B6712" s="3">
        <v>0.5</v>
      </c>
    </row>
    <row r="6713" spans="1:2">
      <c r="A6713">
        <v>48</v>
      </c>
      <c r="B6713" t="s">
        <v>26</v>
      </c>
    </row>
    <row r="6714" spans="1:2">
      <c r="A6714">
        <v>48</v>
      </c>
      <c r="B6714">
        <v>0.76</v>
      </c>
    </row>
    <row r="6715" spans="1:2">
      <c r="A6715">
        <v>48</v>
      </c>
      <c r="B6715" t="s">
        <v>23</v>
      </c>
    </row>
    <row r="6716" spans="1:2">
      <c r="A6716">
        <v>48</v>
      </c>
      <c r="B6716">
        <v>-0.315</v>
      </c>
    </row>
    <row r="6717" spans="1:2">
      <c r="A6717">
        <v>48</v>
      </c>
      <c r="B6717" t="s">
        <v>24</v>
      </c>
    </row>
    <row r="6718" spans="1:2">
      <c r="A6718">
        <v>48</v>
      </c>
      <c r="B6718">
        <v>1.7090000000000001</v>
      </c>
    </row>
    <row r="6719" spans="1:2">
      <c r="A6719">
        <v>48</v>
      </c>
      <c r="B6719" t="s">
        <v>35</v>
      </c>
    </row>
    <row r="6720" spans="1:2">
      <c r="A6720">
        <v>48</v>
      </c>
      <c r="B6720">
        <v>0.45500000000000002</v>
      </c>
    </row>
    <row r="6721" spans="1:2">
      <c r="A6721">
        <v>48</v>
      </c>
      <c r="B6721" t="s">
        <v>36</v>
      </c>
    </row>
    <row r="6722" spans="1:2">
      <c r="A6722">
        <v>48</v>
      </c>
      <c r="B6722">
        <v>0.20699999999999999</v>
      </c>
    </row>
    <row r="6723" spans="1:2">
      <c r="A6723">
        <v>48</v>
      </c>
      <c r="B6723" t="s">
        <v>37</v>
      </c>
    </row>
    <row r="6724" spans="1:2">
      <c r="A6724">
        <v>48</v>
      </c>
      <c r="B6724">
        <v>-0.60799999999999998</v>
      </c>
    </row>
    <row r="6725" spans="1:2">
      <c r="A6725">
        <v>48</v>
      </c>
      <c r="B6725" t="s">
        <v>38</v>
      </c>
    </row>
    <row r="6726" spans="1:2">
      <c r="A6726">
        <v>48</v>
      </c>
      <c r="B6726">
        <v>0.443</v>
      </c>
    </row>
    <row r="6727" spans="1:2">
      <c r="A6727">
        <v>48</v>
      </c>
      <c r="B6727" t="s">
        <v>39</v>
      </c>
    </row>
    <row r="6728" spans="1:2">
      <c r="A6728">
        <v>48</v>
      </c>
      <c r="B6728">
        <v>-0.12</v>
      </c>
    </row>
    <row r="6729" spans="1:2">
      <c r="A6729">
        <v>48</v>
      </c>
      <c r="B6729" t="s">
        <v>40</v>
      </c>
    </row>
    <row r="6730" spans="1:2">
      <c r="A6730">
        <v>48</v>
      </c>
      <c r="B6730" s="4">
        <v>0</v>
      </c>
    </row>
    <row r="6731" spans="1:2">
      <c r="A6731">
        <v>48</v>
      </c>
      <c r="B6731" t="s">
        <v>41</v>
      </c>
    </row>
    <row r="6732" spans="1:2">
      <c r="A6732">
        <v>48</v>
      </c>
      <c r="B6732" s="4">
        <v>110000000</v>
      </c>
    </row>
    <row r="6733" spans="1:2">
      <c r="A6733">
        <v>48</v>
      </c>
      <c r="B6733" t="s">
        <v>42</v>
      </c>
    </row>
    <row r="6734" spans="1:2">
      <c r="A6734">
        <v>48</v>
      </c>
      <c r="B6734" t="s">
        <v>44</v>
      </c>
    </row>
    <row r="6735" spans="1:2">
      <c r="A6735">
        <v>47</v>
      </c>
      <c r="B6735" t="s">
        <v>27</v>
      </c>
    </row>
    <row r="6736" spans="1:2">
      <c r="A6736">
        <v>47</v>
      </c>
      <c r="B6736" s="2">
        <v>4.675E-2</v>
      </c>
    </row>
    <row r="6737" spans="1:2">
      <c r="A6737">
        <v>47</v>
      </c>
      <c r="B6737" t="s">
        <v>1</v>
      </c>
    </row>
    <row r="6738" spans="1:2">
      <c r="A6738">
        <v>47</v>
      </c>
      <c r="B6738">
        <v>-0.71599999999999997</v>
      </c>
    </row>
    <row r="6739" spans="1:2">
      <c r="A6739">
        <v>47</v>
      </c>
      <c r="B6739" t="s">
        <v>28</v>
      </c>
    </row>
    <row r="6740" spans="1:2">
      <c r="A6740">
        <v>47</v>
      </c>
      <c r="B6740">
        <v>603</v>
      </c>
    </row>
    <row r="6741" spans="1:2">
      <c r="A6741">
        <v>47</v>
      </c>
      <c r="B6741" t="s">
        <v>25</v>
      </c>
    </row>
    <row r="6742" spans="1:2">
      <c r="A6742">
        <v>47</v>
      </c>
      <c r="B6742" s="2">
        <v>1.06E-2</v>
      </c>
    </row>
    <row r="6743" spans="1:2">
      <c r="A6743">
        <v>47</v>
      </c>
      <c r="B6743" t="s">
        <v>29</v>
      </c>
    </row>
    <row r="6744" spans="1:2">
      <c r="A6744">
        <v>47</v>
      </c>
      <c r="B6744" s="2">
        <v>-1.5800000000000002E-2</v>
      </c>
    </row>
    <row r="6745" spans="1:2">
      <c r="A6745">
        <v>47</v>
      </c>
      <c r="B6745" t="s">
        <v>30</v>
      </c>
    </row>
    <row r="6746" spans="1:2">
      <c r="A6746">
        <v>47</v>
      </c>
      <c r="B6746" s="2">
        <v>-8.1600000000000006E-2</v>
      </c>
    </row>
    <row r="6747" spans="1:2">
      <c r="A6747">
        <v>47</v>
      </c>
      <c r="B6747" t="s">
        <v>8</v>
      </c>
    </row>
    <row r="6748" spans="1:2">
      <c r="A6748">
        <v>47</v>
      </c>
      <c r="B6748" s="2">
        <v>0.108</v>
      </c>
    </row>
    <row r="6749" spans="1:2">
      <c r="A6749">
        <v>47</v>
      </c>
      <c r="B6749" t="s">
        <v>31</v>
      </c>
    </row>
    <row r="6750" spans="1:2">
      <c r="A6750">
        <v>47</v>
      </c>
      <c r="B6750">
        <v>-0.16500000000000001</v>
      </c>
    </row>
    <row r="6751" spans="1:2">
      <c r="A6751">
        <v>47</v>
      </c>
      <c r="B6751" t="s">
        <v>32</v>
      </c>
    </row>
    <row r="6752" spans="1:2">
      <c r="A6752">
        <v>47</v>
      </c>
      <c r="B6752" s="2">
        <v>-5.3319999999999999E-2</v>
      </c>
    </row>
    <row r="6753" spans="1:2">
      <c r="A6753">
        <v>47</v>
      </c>
      <c r="B6753" t="s">
        <v>33</v>
      </c>
    </row>
    <row r="6754" spans="1:2">
      <c r="A6754">
        <v>47</v>
      </c>
      <c r="B6754" s="3">
        <v>0.5</v>
      </c>
    </row>
    <row r="6755" spans="1:2">
      <c r="A6755">
        <v>47</v>
      </c>
      <c r="B6755" t="s">
        <v>34</v>
      </c>
    </row>
    <row r="6756" spans="1:2">
      <c r="A6756">
        <v>47</v>
      </c>
      <c r="B6756" s="3">
        <v>0.5</v>
      </c>
    </row>
    <row r="6757" spans="1:2">
      <c r="A6757">
        <v>47</v>
      </c>
      <c r="B6757" t="s">
        <v>26</v>
      </c>
    </row>
    <row r="6758" spans="1:2">
      <c r="A6758">
        <v>47</v>
      </c>
      <c r="B6758">
        <v>0.67</v>
      </c>
    </row>
    <row r="6759" spans="1:2">
      <c r="A6759">
        <v>47</v>
      </c>
      <c r="B6759" t="s">
        <v>23</v>
      </c>
    </row>
    <row r="6760" spans="1:2">
      <c r="A6760">
        <v>47</v>
      </c>
      <c r="B6760">
        <v>-7.1999999999999995E-2</v>
      </c>
    </row>
    <row r="6761" spans="1:2">
      <c r="A6761">
        <v>47</v>
      </c>
      <c r="B6761" t="s">
        <v>24</v>
      </c>
    </row>
    <row r="6762" spans="1:2">
      <c r="A6762">
        <v>47</v>
      </c>
      <c r="B6762">
        <v>0.27900000000000003</v>
      </c>
    </row>
    <row r="6763" spans="1:2">
      <c r="A6763">
        <v>47</v>
      </c>
      <c r="B6763" t="s">
        <v>35</v>
      </c>
    </row>
    <row r="6764" spans="1:2">
      <c r="A6764">
        <v>47</v>
      </c>
      <c r="B6764">
        <v>7.5999999999999998E-2</v>
      </c>
    </row>
    <row r="6765" spans="1:2">
      <c r="A6765">
        <v>47</v>
      </c>
      <c r="B6765" t="s">
        <v>36</v>
      </c>
    </row>
    <row r="6766" spans="1:2">
      <c r="A6766">
        <v>47</v>
      </c>
      <c r="B6766">
        <v>6.0000000000000001E-3</v>
      </c>
    </row>
    <row r="6767" spans="1:2">
      <c r="A6767">
        <v>47</v>
      </c>
      <c r="B6767" t="s">
        <v>37</v>
      </c>
    </row>
    <row r="6768" spans="1:2">
      <c r="A6768">
        <v>47</v>
      </c>
      <c r="B6768">
        <v>-1.343</v>
      </c>
    </row>
    <row r="6769" spans="1:2">
      <c r="A6769">
        <v>47</v>
      </c>
      <c r="B6769" t="s">
        <v>38</v>
      </c>
    </row>
    <row r="6770" spans="1:2">
      <c r="A6770">
        <v>47</v>
      </c>
      <c r="B6770">
        <v>8.7999999999999995E-2</v>
      </c>
    </row>
    <row r="6771" spans="1:2">
      <c r="A6771">
        <v>47</v>
      </c>
      <c r="B6771" t="s">
        <v>39</v>
      </c>
    </row>
    <row r="6772" spans="1:2">
      <c r="A6772">
        <v>47</v>
      </c>
      <c r="B6772">
        <v>-0.19600000000000001</v>
      </c>
    </row>
    <row r="6773" spans="1:2">
      <c r="A6773">
        <v>47</v>
      </c>
      <c r="B6773" t="s">
        <v>40</v>
      </c>
    </row>
    <row r="6774" spans="1:2">
      <c r="A6774">
        <v>47</v>
      </c>
      <c r="B6774" s="4">
        <v>0</v>
      </c>
    </row>
    <row r="6775" spans="1:2">
      <c r="A6775">
        <v>47</v>
      </c>
      <c r="B6775" t="s">
        <v>41</v>
      </c>
    </row>
    <row r="6776" spans="1:2">
      <c r="A6776">
        <v>47</v>
      </c>
      <c r="B6776" s="4">
        <v>730000000</v>
      </c>
    </row>
    <row r="6777" spans="1:2">
      <c r="A6777">
        <v>47</v>
      </c>
      <c r="B6777" t="s">
        <v>42</v>
      </c>
    </row>
    <row r="6778" spans="1:2">
      <c r="A6778">
        <v>47</v>
      </c>
      <c r="B6778" t="s">
        <v>44</v>
      </c>
    </row>
    <row r="6779" spans="1:2">
      <c r="A6779">
        <v>46</v>
      </c>
      <c r="B6779" t="s">
        <v>27</v>
      </c>
    </row>
    <row r="6780" spans="1:2">
      <c r="A6780">
        <v>46</v>
      </c>
      <c r="B6780" s="2">
        <v>4.299E-2</v>
      </c>
    </row>
    <row r="6781" spans="1:2">
      <c r="A6781">
        <v>46</v>
      </c>
      <c r="B6781" t="s">
        <v>1</v>
      </c>
    </row>
    <row r="6782" spans="1:2">
      <c r="A6782">
        <v>46</v>
      </c>
      <c r="B6782">
        <v>-0.77200000000000002</v>
      </c>
    </row>
    <row r="6783" spans="1:2">
      <c r="A6783">
        <v>46</v>
      </c>
      <c r="B6783" t="s">
        <v>28</v>
      </c>
    </row>
    <row r="6784" spans="1:2">
      <c r="A6784">
        <v>46</v>
      </c>
      <c r="B6784">
        <v>603</v>
      </c>
    </row>
    <row r="6785" spans="1:2">
      <c r="A6785">
        <v>46</v>
      </c>
      <c r="B6785" t="s">
        <v>25</v>
      </c>
    </row>
    <row r="6786" spans="1:2">
      <c r="A6786">
        <v>46</v>
      </c>
      <c r="B6786" s="2">
        <v>1E-3</v>
      </c>
    </row>
    <row r="6787" spans="1:2">
      <c r="A6787">
        <v>46</v>
      </c>
      <c r="B6787" t="s">
        <v>29</v>
      </c>
    </row>
    <row r="6788" spans="1:2">
      <c r="A6788">
        <v>46</v>
      </c>
      <c r="B6788" s="2">
        <v>-1.5E-3</v>
      </c>
    </row>
    <row r="6789" spans="1:2">
      <c r="A6789">
        <v>46</v>
      </c>
      <c r="B6789" t="s">
        <v>30</v>
      </c>
    </row>
    <row r="6790" spans="1:2">
      <c r="A6790">
        <v>46</v>
      </c>
      <c r="B6790" s="2">
        <v>-8.2699999999999996E-3</v>
      </c>
    </row>
    <row r="6791" spans="1:2">
      <c r="A6791">
        <v>46</v>
      </c>
      <c r="B6791" t="s">
        <v>8</v>
      </c>
    </row>
    <row r="6792" spans="1:2">
      <c r="A6792">
        <v>46</v>
      </c>
      <c r="B6792" s="2">
        <v>1.0999999999999999E-2</v>
      </c>
    </row>
    <row r="6793" spans="1:2">
      <c r="A6793">
        <v>46</v>
      </c>
      <c r="B6793" t="s">
        <v>31</v>
      </c>
    </row>
    <row r="6794" spans="1:2">
      <c r="A6794">
        <v>46</v>
      </c>
      <c r="B6794">
        <v>-0.17199999999999999</v>
      </c>
    </row>
    <row r="6795" spans="1:2">
      <c r="A6795">
        <v>46</v>
      </c>
      <c r="B6795" t="s">
        <v>32</v>
      </c>
    </row>
    <row r="6796" spans="1:2">
      <c r="A6796">
        <v>46</v>
      </c>
      <c r="B6796" s="2">
        <v>-5.3299999999999997E-3</v>
      </c>
    </row>
    <row r="6797" spans="1:2">
      <c r="A6797">
        <v>46</v>
      </c>
      <c r="B6797" t="s">
        <v>33</v>
      </c>
    </row>
    <row r="6798" spans="1:2">
      <c r="A6798">
        <v>46</v>
      </c>
      <c r="B6798" s="3">
        <v>0.5</v>
      </c>
    </row>
    <row r="6799" spans="1:2">
      <c r="A6799">
        <v>46</v>
      </c>
      <c r="B6799" t="s">
        <v>34</v>
      </c>
    </row>
    <row r="6800" spans="1:2">
      <c r="A6800">
        <v>46</v>
      </c>
      <c r="B6800" s="3">
        <v>0.5</v>
      </c>
    </row>
    <row r="6801" spans="1:2">
      <c r="A6801">
        <v>46</v>
      </c>
      <c r="B6801" t="s">
        <v>26</v>
      </c>
    </row>
    <row r="6802" spans="1:2">
      <c r="A6802">
        <v>46</v>
      </c>
      <c r="B6802">
        <v>0.66</v>
      </c>
    </row>
    <row r="6803" spans="1:2">
      <c r="A6803">
        <v>46</v>
      </c>
      <c r="B6803" t="s">
        <v>23</v>
      </c>
    </row>
    <row r="6804" spans="1:2">
      <c r="A6804">
        <v>46</v>
      </c>
      <c r="B6804">
        <v>-7.0000000000000001E-3</v>
      </c>
    </row>
    <row r="6805" spans="1:2">
      <c r="A6805">
        <v>46</v>
      </c>
      <c r="B6805" t="s">
        <v>24</v>
      </c>
    </row>
    <row r="6806" spans="1:2">
      <c r="A6806">
        <v>46</v>
      </c>
      <c r="B6806">
        <v>2.7E-2</v>
      </c>
    </row>
    <row r="6807" spans="1:2">
      <c r="A6807">
        <v>46</v>
      </c>
      <c r="B6807" t="s">
        <v>35</v>
      </c>
    </row>
    <row r="6808" spans="1:2">
      <c r="A6808">
        <v>46</v>
      </c>
      <c r="B6808">
        <v>7.0000000000000001E-3</v>
      </c>
    </row>
    <row r="6809" spans="1:2">
      <c r="A6809">
        <v>46</v>
      </c>
      <c r="B6809" t="s">
        <v>36</v>
      </c>
    </row>
    <row r="6810" spans="1:2">
      <c r="A6810">
        <v>46</v>
      </c>
      <c r="B6810">
        <v>0</v>
      </c>
    </row>
    <row r="6811" spans="1:2">
      <c r="A6811">
        <v>46</v>
      </c>
      <c r="B6811" t="s">
        <v>37</v>
      </c>
    </row>
    <row r="6812" spans="1:2">
      <c r="A6812">
        <v>46</v>
      </c>
      <c r="B6812">
        <v>-1.0660000000000001</v>
      </c>
    </row>
    <row r="6813" spans="1:2">
      <c r="A6813">
        <v>46</v>
      </c>
      <c r="B6813" t="s">
        <v>38</v>
      </c>
    </row>
    <row r="6814" spans="1:2">
      <c r="A6814">
        <v>46</v>
      </c>
      <c r="B6814">
        <v>6.5000000000000002E-2</v>
      </c>
    </row>
    <row r="6815" spans="1:2">
      <c r="A6815">
        <v>46</v>
      </c>
      <c r="B6815" t="s">
        <v>39</v>
      </c>
    </row>
    <row r="6816" spans="1:2">
      <c r="A6816">
        <v>46</v>
      </c>
      <c r="B6816">
        <v>-0.21299999999999999</v>
      </c>
    </row>
    <row r="6817" spans="1:2">
      <c r="A6817">
        <v>46</v>
      </c>
      <c r="B6817" t="s">
        <v>40</v>
      </c>
    </row>
    <row r="6818" spans="1:2">
      <c r="A6818">
        <v>46</v>
      </c>
      <c r="B6818" s="4">
        <v>0</v>
      </c>
    </row>
    <row r="6819" spans="1:2">
      <c r="A6819">
        <v>46</v>
      </c>
      <c r="B6819" t="s">
        <v>41</v>
      </c>
    </row>
    <row r="6820" spans="1:2">
      <c r="A6820">
        <v>46</v>
      </c>
      <c r="B6820" s="4">
        <v>7700000000</v>
      </c>
    </row>
    <row r="6821" spans="1:2">
      <c r="A6821">
        <v>46</v>
      </c>
      <c r="B6821" t="s">
        <v>42</v>
      </c>
    </row>
    <row r="6822" spans="1:2">
      <c r="A6822">
        <v>46</v>
      </c>
      <c r="B6822" t="s">
        <v>44</v>
      </c>
    </row>
    <row r="6823" spans="1:2">
      <c r="A6823">
        <v>54</v>
      </c>
      <c r="B6823" t="s">
        <v>27</v>
      </c>
    </row>
    <row r="6824" spans="1:2">
      <c r="A6824">
        <v>54</v>
      </c>
      <c r="B6824" s="2">
        <v>6.2670000000000003E-2</v>
      </c>
    </row>
    <row r="6825" spans="1:2">
      <c r="A6825">
        <v>54</v>
      </c>
      <c r="B6825" t="s">
        <v>1</v>
      </c>
    </row>
    <row r="6826" spans="1:2">
      <c r="A6826">
        <v>54</v>
      </c>
      <c r="B6826">
        <v>-0.434</v>
      </c>
    </row>
    <row r="6827" spans="1:2">
      <c r="A6827">
        <v>54</v>
      </c>
      <c r="B6827" t="s">
        <v>28</v>
      </c>
    </row>
    <row r="6828" spans="1:2">
      <c r="A6828">
        <v>54</v>
      </c>
      <c r="B6828">
        <v>238</v>
      </c>
    </row>
    <row r="6829" spans="1:2">
      <c r="A6829">
        <v>54</v>
      </c>
      <c r="B6829" t="s">
        <v>25</v>
      </c>
    </row>
    <row r="6830" spans="1:2">
      <c r="A6830">
        <v>54</v>
      </c>
      <c r="B6830" s="2">
        <v>0.29680000000000001</v>
      </c>
    </row>
    <row r="6831" spans="1:2">
      <c r="A6831">
        <v>54</v>
      </c>
      <c r="B6831" t="s">
        <v>29</v>
      </c>
    </row>
    <row r="6832" spans="1:2">
      <c r="A6832">
        <v>54</v>
      </c>
      <c r="B6832" s="2">
        <v>-0.1416</v>
      </c>
    </row>
    <row r="6833" spans="1:2">
      <c r="A6833">
        <v>54</v>
      </c>
      <c r="B6833" t="s">
        <v>30</v>
      </c>
    </row>
    <row r="6834" spans="1:2">
      <c r="A6834">
        <v>54</v>
      </c>
      <c r="B6834" s="2">
        <v>-0.84989000000000003</v>
      </c>
    </row>
    <row r="6835" spans="1:2">
      <c r="A6835">
        <v>54</v>
      </c>
      <c r="B6835" t="s">
        <v>8</v>
      </c>
    </row>
    <row r="6836" spans="1:2">
      <c r="A6836">
        <v>54</v>
      </c>
      <c r="B6836" s="2">
        <v>0.75</v>
      </c>
    </row>
    <row r="6837" spans="1:2">
      <c r="A6837">
        <v>54</v>
      </c>
      <c r="B6837" t="s">
        <v>31</v>
      </c>
    </row>
    <row r="6838" spans="1:2">
      <c r="A6838">
        <v>54</v>
      </c>
      <c r="B6838">
        <v>-0.69</v>
      </c>
    </row>
    <row r="6839" spans="1:2">
      <c r="A6839">
        <v>54</v>
      </c>
      <c r="B6839" t="s">
        <v>32</v>
      </c>
    </row>
    <row r="6840" spans="1:2">
      <c r="A6840">
        <v>54</v>
      </c>
      <c r="B6840" s="2">
        <v>-0.70499999999999996</v>
      </c>
    </row>
    <row r="6841" spans="1:2">
      <c r="A6841">
        <v>54</v>
      </c>
      <c r="B6841" t="s">
        <v>33</v>
      </c>
    </row>
    <row r="6842" spans="1:2">
      <c r="A6842">
        <v>54</v>
      </c>
      <c r="B6842" s="3">
        <v>0.9</v>
      </c>
    </row>
    <row r="6843" spans="1:2">
      <c r="A6843">
        <v>54</v>
      </c>
      <c r="B6843" t="s">
        <v>34</v>
      </c>
    </row>
    <row r="6844" spans="1:2">
      <c r="A6844">
        <v>54</v>
      </c>
      <c r="B6844" s="3">
        <v>0.1</v>
      </c>
    </row>
    <row r="6845" spans="1:2">
      <c r="A6845">
        <v>54</v>
      </c>
      <c r="B6845" t="s">
        <v>26</v>
      </c>
    </row>
    <row r="6846" spans="1:2">
      <c r="A6846">
        <v>54</v>
      </c>
      <c r="B6846">
        <v>2.1</v>
      </c>
    </row>
    <row r="6847" spans="1:2">
      <c r="A6847">
        <v>54</v>
      </c>
      <c r="B6847" t="s">
        <v>23</v>
      </c>
    </row>
    <row r="6848" spans="1:2">
      <c r="A6848">
        <v>54</v>
      </c>
      <c r="B6848">
        <v>-0.94799999999999995</v>
      </c>
    </row>
    <row r="6849" spans="1:2">
      <c r="A6849">
        <v>54</v>
      </c>
      <c r="B6849" t="s">
        <v>24</v>
      </c>
    </row>
    <row r="6850" spans="1:2">
      <c r="A6850">
        <v>54</v>
      </c>
      <c r="B6850">
        <v>7.2220000000000004</v>
      </c>
    </row>
    <row r="6851" spans="1:2">
      <c r="A6851">
        <v>54</v>
      </c>
      <c r="B6851" t="s">
        <v>35</v>
      </c>
    </row>
    <row r="6852" spans="1:2">
      <c r="A6852">
        <v>54</v>
      </c>
      <c r="B6852">
        <v>1.117</v>
      </c>
    </row>
    <row r="6853" spans="1:2">
      <c r="A6853">
        <v>54</v>
      </c>
      <c r="B6853" t="s">
        <v>36</v>
      </c>
    </row>
    <row r="6854" spans="1:2">
      <c r="A6854">
        <v>54</v>
      </c>
      <c r="B6854">
        <v>1.2490000000000001</v>
      </c>
    </row>
    <row r="6855" spans="1:2">
      <c r="A6855">
        <v>54</v>
      </c>
      <c r="B6855" t="s">
        <v>37</v>
      </c>
    </row>
    <row r="6856" spans="1:2">
      <c r="A6856">
        <v>54</v>
      </c>
      <c r="B6856">
        <v>-0.504</v>
      </c>
    </row>
    <row r="6857" spans="1:2">
      <c r="A6857">
        <v>54</v>
      </c>
      <c r="B6857" t="s">
        <v>38</v>
      </c>
    </row>
    <row r="6858" spans="1:2">
      <c r="A6858">
        <v>54</v>
      </c>
      <c r="B6858">
        <v>1.0900000000000001</v>
      </c>
    </row>
    <row r="6859" spans="1:2">
      <c r="A6859">
        <v>54</v>
      </c>
      <c r="B6859" t="s">
        <v>39</v>
      </c>
    </row>
    <row r="6860" spans="1:2">
      <c r="A6860">
        <v>54</v>
      </c>
      <c r="B6860">
        <v>-6.7000000000000004E-2</v>
      </c>
    </row>
    <row r="6861" spans="1:2">
      <c r="A6861">
        <v>54</v>
      </c>
      <c r="B6861" t="s">
        <v>40</v>
      </c>
    </row>
    <row r="6862" spans="1:2">
      <c r="A6862">
        <v>54</v>
      </c>
      <c r="B6862" s="4">
        <v>0</v>
      </c>
    </row>
    <row r="6863" spans="1:2">
      <c r="A6863">
        <v>54</v>
      </c>
      <c r="B6863" t="s">
        <v>41</v>
      </c>
    </row>
    <row r="6864" spans="1:2">
      <c r="A6864">
        <v>54</v>
      </c>
      <c r="B6864" s="4">
        <v>250000000</v>
      </c>
    </row>
    <row r="6865" spans="1:2">
      <c r="A6865">
        <v>54</v>
      </c>
      <c r="B6865" t="s">
        <v>42</v>
      </c>
    </row>
    <row r="6866" spans="1:2">
      <c r="A6866">
        <v>54</v>
      </c>
      <c r="B6866" t="s">
        <v>44</v>
      </c>
    </row>
    <row r="6867" spans="1:2">
      <c r="A6867">
        <v>53</v>
      </c>
      <c r="B6867" t="s">
        <v>27</v>
      </c>
    </row>
    <row r="6868" spans="1:2">
      <c r="A6868">
        <v>53</v>
      </c>
      <c r="B6868" s="2">
        <v>9.8899999999999995E-3</v>
      </c>
    </row>
    <row r="6869" spans="1:2">
      <c r="A6869">
        <v>53</v>
      </c>
      <c r="B6869" t="s">
        <v>1</v>
      </c>
    </row>
    <row r="6870" spans="1:2">
      <c r="A6870">
        <v>53</v>
      </c>
      <c r="B6870">
        <v>-1.157</v>
      </c>
    </row>
    <row r="6871" spans="1:2">
      <c r="A6871">
        <v>53</v>
      </c>
      <c r="B6871" t="s">
        <v>28</v>
      </c>
    </row>
    <row r="6872" spans="1:2">
      <c r="A6872">
        <v>53</v>
      </c>
      <c r="B6872">
        <v>241</v>
      </c>
    </row>
    <row r="6873" spans="1:2">
      <c r="A6873">
        <v>53</v>
      </c>
      <c r="B6873" t="s">
        <v>25</v>
      </c>
    </row>
    <row r="6874" spans="1:2">
      <c r="A6874">
        <v>53</v>
      </c>
      <c r="B6874" s="2">
        <v>2.5700000000000001E-2</v>
      </c>
    </row>
    <row r="6875" spans="1:2">
      <c r="A6875">
        <v>53</v>
      </c>
      <c r="B6875" t="s">
        <v>29</v>
      </c>
    </row>
    <row r="6876" spans="1:2">
      <c r="A6876">
        <v>53</v>
      </c>
      <c r="B6876" s="2">
        <v>-2.7099999999999999E-2</v>
      </c>
    </row>
    <row r="6877" spans="1:2">
      <c r="A6877">
        <v>53</v>
      </c>
      <c r="B6877" t="s">
        <v>30</v>
      </c>
    </row>
    <row r="6878" spans="1:2">
      <c r="A6878">
        <v>53</v>
      </c>
      <c r="B6878" s="2">
        <v>-0.23042000000000001</v>
      </c>
    </row>
    <row r="6879" spans="1:2">
      <c r="A6879">
        <v>53</v>
      </c>
      <c r="B6879" t="s">
        <v>8</v>
      </c>
    </row>
    <row r="6880" spans="1:2">
      <c r="A6880">
        <v>53</v>
      </c>
      <c r="B6880" s="2">
        <v>0.18099999999999999</v>
      </c>
    </row>
    <row r="6881" spans="1:2">
      <c r="A6881">
        <v>53</v>
      </c>
      <c r="B6881" t="s">
        <v>31</v>
      </c>
    </row>
    <row r="6882" spans="1:2">
      <c r="A6882">
        <v>53</v>
      </c>
      <c r="B6882">
        <v>-0.75700000000000001</v>
      </c>
    </row>
    <row r="6883" spans="1:2">
      <c r="A6883">
        <v>53</v>
      </c>
      <c r="B6883" t="s">
        <v>32</v>
      </c>
    </row>
    <row r="6884" spans="1:2">
      <c r="A6884">
        <v>53</v>
      </c>
      <c r="B6884" s="2">
        <v>-0.15515000000000001</v>
      </c>
    </row>
    <row r="6885" spans="1:2">
      <c r="A6885">
        <v>53</v>
      </c>
      <c r="B6885" t="s">
        <v>33</v>
      </c>
    </row>
    <row r="6886" spans="1:2">
      <c r="A6886">
        <v>53</v>
      </c>
      <c r="B6886" s="3">
        <v>0.88</v>
      </c>
    </row>
    <row r="6887" spans="1:2">
      <c r="A6887">
        <v>53</v>
      </c>
      <c r="B6887" t="s">
        <v>34</v>
      </c>
    </row>
    <row r="6888" spans="1:2">
      <c r="A6888">
        <v>53</v>
      </c>
      <c r="B6888" s="3">
        <v>0.12</v>
      </c>
    </row>
    <row r="6889" spans="1:2">
      <c r="A6889">
        <v>53</v>
      </c>
      <c r="B6889" t="s">
        <v>26</v>
      </c>
    </row>
    <row r="6890" spans="1:2">
      <c r="A6890">
        <v>53</v>
      </c>
      <c r="B6890">
        <v>0.95</v>
      </c>
    </row>
    <row r="6891" spans="1:2">
      <c r="A6891">
        <v>53</v>
      </c>
      <c r="B6891" t="s">
        <v>23</v>
      </c>
    </row>
    <row r="6892" spans="1:2">
      <c r="A6892">
        <v>53</v>
      </c>
      <c r="B6892">
        <v>-0.215</v>
      </c>
    </row>
    <row r="6893" spans="1:2">
      <c r="A6893">
        <v>53</v>
      </c>
      <c r="B6893" t="s">
        <v>24</v>
      </c>
    </row>
    <row r="6894" spans="1:2">
      <c r="A6894">
        <v>53</v>
      </c>
      <c r="B6894">
        <v>0.88500000000000001</v>
      </c>
    </row>
    <row r="6895" spans="1:2">
      <c r="A6895">
        <v>53</v>
      </c>
      <c r="B6895" t="s">
        <v>35</v>
      </c>
    </row>
    <row r="6896" spans="1:2">
      <c r="A6896">
        <v>53</v>
      </c>
      <c r="B6896">
        <v>0.13700000000000001</v>
      </c>
    </row>
    <row r="6897" spans="1:2">
      <c r="A6897">
        <v>53</v>
      </c>
      <c r="B6897" t="s">
        <v>36</v>
      </c>
    </row>
    <row r="6898" spans="1:2">
      <c r="A6898">
        <v>53</v>
      </c>
      <c r="B6898">
        <v>1.9E-2</v>
      </c>
    </row>
    <row r="6899" spans="1:2">
      <c r="A6899">
        <v>53</v>
      </c>
      <c r="B6899" t="s">
        <v>37</v>
      </c>
    </row>
    <row r="6900" spans="1:2">
      <c r="A6900">
        <v>53</v>
      </c>
      <c r="B6900">
        <v>-1.8</v>
      </c>
    </row>
    <row r="6901" spans="1:2">
      <c r="A6901">
        <v>53</v>
      </c>
      <c r="B6901" t="s">
        <v>38</v>
      </c>
    </row>
    <row r="6902" spans="1:2">
      <c r="A6902">
        <v>53</v>
      </c>
      <c r="B6902">
        <v>0.123</v>
      </c>
    </row>
    <row r="6903" spans="1:2">
      <c r="A6903">
        <v>53</v>
      </c>
      <c r="B6903" t="s">
        <v>39</v>
      </c>
    </row>
    <row r="6904" spans="1:2">
      <c r="A6904">
        <v>53</v>
      </c>
      <c r="B6904">
        <v>-0.17899999999999999</v>
      </c>
    </row>
    <row r="6905" spans="1:2">
      <c r="A6905">
        <v>53</v>
      </c>
      <c r="B6905" t="s">
        <v>40</v>
      </c>
    </row>
    <row r="6906" spans="1:2">
      <c r="A6906">
        <v>53</v>
      </c>
      <c r="B6906" s="4">
        <v>0</v>
      </c>
    </row>
    <row r="6907" spans="1:2">
      <c r="A6907">
        <v>53</v>
      </c>
      <c r="B6907" t="s">
        <v>41</v>
      </c>
    </row>
    <row r="6908" spans="1:2">
      <c r="A6908">
        <v>53</v>
      </c>
      <c r="B6908" s="4">
        <v>3800000000</v>
      </c>
    </row>
    <row r="6909" spans="1:2">
      <c r="A6909">
        <v>53</v>
      </c>
      <c r="B6909" t="s">
        <v>42</v>
      </c>
    </row>
    <row r="6910" spans="1:2">
      <c r="A6910">
        <v>53</v>
      </c>
      <c r="B6910" t="s">
        <v>44</v>
      </c>
    </row>
    <row r="6911" spans="1:2">
      <c r="A6911">
        <v>52</v>
      </c>
      <c r="B6911" t="s">
        <v>27</v>
      </c>
    </row>
    <row r="6912" spans="1:2">
      <c r="A6912">
        <v>52</v>
      </c>
      <c r="B6912" s="2">
        <v>7.9399999999999991E-3</v>
      </c>
    </row>
    <row r="6913" spans="1:2">
      <c r="A6913">
        <v>52</v>
      </c>
      <c r="B6913" t="s">
        <v>1</v>
      </c>
    </row>
    <row r="6914" spans="1:2">
      <c r="A6914">
        <v>52</v>
      </c>
      <c r="B6914">
        <v>-1.3</v>
      </c>
    </row>
    <row r="6915" spans="1:2">
      <c r="A6915">
        <v>52</v>
      </c>
      <c r="B6915" t="s">
        <v>28</v>
      </c>
    </row>
    <row r="6916" spans="1:2">
      <c r="A6916">
        <v>52</v>
      </c>
      <c r="B6916">
        <v>241</v>
      </c>
    </row>
    <row r="6917" spans="1:2">
      <c r="A6917">
        <v>52</v>
      </c>
      <c r="B6917" t="s">
        <v>25</v>
      </c>
    </row>
    <row r="6918" spans="1:2">
      <c r="A6918">
        <v>52</v>
      </c>
      <c r="B6918" s="2">
        <v>2.2000000000000001E-3</v>
      </c>
    </row>
    <row r="6919" spans="1:2">
      <c r="A6919">
        <v>52</v>
      </c>
      <c r="B6919" t="s">
        <v>29</v>
      </c>
    </row>
    <row r="6920" spans="1:2">
      <c r="A6920">
        <v>52</v>
      </c>
      <c r="B6920" s="2">
        <v>-2.5000000000000001E-3</v>
      </c>
    </row>
    <row r="6921" spans="1:2">
      <c r="A6921">
        <v>52</v>
      </c>
      <c r="B6921" t="s">
        <v>30</v>
      </c>
    </row>
    <row r="6922" spans="1:2">
      <c r="A6922">
        <v>52</v>
      </c>
      <c r="B6922" s="2">
        <v>-2.4E-2</v>
      </c>
    </row>
    <row r="6923" spans="1:2">
      <c r="A6923">
        <v>52</v>
      </c>
      <c r="B6923" t="s">
        <v>8</v>
      </c>
    </row>
    <row r="6924" spans="1:2">
      <c r="A6924">
        <v>52</v>
      </c>
      <c r="B6924" s="2">
        <v>1.9E-2</v>
      </c>
    </row>
    <row r="6925" spans="1:2">
      <c r="A6925">
        <v>52</v>
      </c>
      <c r="B6925" t="s">
        <v>31</v>
      </c>
    </row>
    <row r="6926" spans="1:2">
      <c r="A6926">
        <v>52</v>
      </c>
      <c r="B6926">
        <v>-0.76500000000000001</v>
      </c>
    </row>
    <row r="6927" spans="1:2">
      <c r="A6927">
        <v>52</v>
      </c>
      <c r="B6927" t="s">
        <v>32</v>
      </c>
    </row>
    <row r="6928" spans="1:2">
      <c r="A6928">
        <v>52</v>
      </c>
      <c r="B6928" s="2">
        <v>-1.5509999999999999E-2</v>
      </c>
    </row>
    <row r="6929" spans="1:2">
      <c r="A6929">
        <v>52</v>
      </c>
      <c r="B6929" t="s">
        <v>33</v>
      </c>
    </row>
    <row r="6930" spans="1:2">
      <c r="A6930">
        <v>52</v>
      </c>
      <c r="B6930" s="3">
        <v>0.88</v>
      </c>
    </row>
    <row r="6931" spans="1:2">
      <c r="A6931">
        <v>52</v>
      </c>
      <c r="B6931" t="s">
        <v>34</v>
      </c>
    </row>
    <row r="6932" spans="1:2">
      <c r="A6932">
        <v>52</v>
      </c>
      <c r="B6932" s="3">
        <v>0.12</v>
      </c>
    </row>
    <row r="6933" spans="1:2">
      <c r="A6933">
        <v>52</v>
      </c>
      <c r="B6933" t="s">
        <v>26</v>
      </c>
    </row>
    <row r="6934" spans="1:2">
      <c r="A6934">
        <v>52</v>
      </c>
      <c r="B6934">
        <v>0.88</v>
      </c>
    </row>
    <row r="6935" spans="1:2">
      <c r="A6935">
        <v>52</v>
      </c>
      <c r="B6935" t="s">
        <v>23</v>
      </c>
    </row>
    <row r="6936" spans="1:2">
      <c r="A6936">
        <v>52</v>
      </c>
      <c r="B6936">
        <v>-2.1999999999999999E-2</v>
      </c>
    </row>
    <row r="6937" spans="1:2">
      <c r="A6937">
        <v>52</v>
      </c>
      <c r="B6937" t="s">
        <v>24</v>
      </c>
    </row>
    <row r="6938" spans="1:2">
      <c r="A6938">
        <v>52</v>
      </c>
      <c r="B6938">
        <v>8.2000000000000003E-2</v>
      </c>
    </row>
    <row r="6939" spans="1:2">
      <c r="A6939">
        <v>52</v>
      </c>
      <c r="B6939" t="s">
        <v>35</v>
      </c>
    </row>
    <row r="6940" spans="1:2">
      <c r="A6940">
        <v>52</v>
      </c>
      <c r="B6940">
        <v>1.2999999999999999E-2</v>
      </c>
    </row>
    <row r="6941" spans="1:2">
      <c r="A6941">
        <v>52</v>
      </c>
      <c r="B6941" t="s">
        <v>36</v>
      </c>
    </row>
    <row r="6942" spans="1:2">
      <c r="A6942">
        <v>52</v>
      </c>
      <c r="B6942">
        <v>0</v>
      </c>
    </row>
    <row r="6943" spans="1:2">
      <c r="A6943">
        <v>52</v>
      </c>
      <c r="B6943" t="s">
        <v>37</v>
      </c>
    </row>
    <row r="6944" spans="1:2">
      <c r="A6944">
        <v>52</v>
      </c>
      <c r="B6944">
        <v>-1.29</v>
      </c>
    </row>
    <row r="6945" spans="1:2">
      <c r="A6945">
        <v>52</v>
      </c>
      <c r="B6945" t="s">
        <v>38</v>
      </c>
    </row>
    <row r="6946" spans="1:2">
      <c r="A6946">
        <v>52</v>
      </c>
      <c r="B6946">
        <v>6.2E-2</v>
      </c>
    </row>
    <row r="6947" spans="1:2">
      <c r="A6947">
        <v>52</v>
      </c>
      <c r="B6947" t="s">
        <v>39</v>
      </c>
    </row>
    <row r="6948" spans="1:2">
      <c r="A6948">
        <v>52</v>
      </c>
      <c r="B6948">
        <v>-0.20300000000000001</v>
      </c>
    </row>
    <row r="6949" spans="1:2">
      <c r="A6949">
        <v>52</v>
      </c>
      <c r="B6949" t="s">
        <v>40</v>
      </c>
    </row>
    <row r="6950" spans="1:2">
      <c r="A6950">
        <v>52</v>
      </c>
      <c r="B6950" s="4">
        <v>0</v>
      </c>
    </row>
    <row r="6951" spans="1:2">
      <c r="A6951">
        <v>52</v>
      </c>
      <c r="B6951" t="s">
        <v>41</v>
      </c>
    </row>
    <row r="6952" spans="1:2">
      <c r="A6952">
        <v>52</v>
      </c>
      <c r="B6952" s="4">
        <v>45000000000</v>
      </c>
    </row>
    <row r="6953" spans="1:2">
      <c r="A6953">
        <v>52</v>
      </c>
      <c r="B6953" t="s">
        <v>42</v>
      </c>
    </row>
    <row r="6954" spans="1:2">
      <c r="A6954">
        <v>52</v>
      </c>
      <c r="B6954" t="s">
        <v>44</v>
      </c>
    </row>
    <row r="6955" spans="1:2">
      <c r="A6955">
        <v>51</v>
      </c>
      <c r="B6955" t="s">
        <v>27</v>
      </c>
    </row>
    <row r="6956" spans="1:2">
      <c r="A6956">
        <v>51</v>
      </c>
      <c r="B6956" s="2">
        <v>0.38490999999999997</v>
      </c>
    </row>
    <row r="6957" spans="1:2">
      <c r="A6957">
        <v>51</v>
      </c>
      <c r="B6957" t="s">
        <v>1</v>
      </c>
    </row>
    <row r="6958" spans="1:2">
      <c r="A6958">
        <v>51</v>
      </c>
      <c r="B6958">
        <v>0.8</v>
      </c>
    </row>
    <row r="6959" spans="1:2">
      <c r="A6959">
        <v>51</v>
      </c>
      <c r="B6959" t="s">
        <v>28</v>
      </c>
    </row>
    <row r="6960" spans="1:2">
      <c r="A6960">
        <v>51</v>
      </c>
      <c r="B6960">
        <v>354</v>
      </c>
    </row>
    <row r="6961" spans="1:2">
      <c r="A6961">
        <v>51</v>
      </c>
      <c r="B6961" t="s">
        <v>25</v>
      </c>
    </row>
    <row r="6962" spans="1:2">
      <c r="A6962">
        <v>51</v>
      </c>
      <c r="B6962" s="2">
        <v>0.16220000000000001</v>
      </c>
    </row>
    <row r="6963" spans="1:2">
      <c r="A6963">
        <v>51</v>
      </c>
      <c r="B6963" t="s">
        <v>29</v>
      </c>
    </row>
    <row r="6964" spans="1:2">
      <c r="A6964">
        <v>51</v>
      </c>
      <c r="B6964" s="2">
        <v>-5.1900000000000002E-2</v>
      </c>
    </row>
    <row r="6965" spans="1:2">
      <c r="A6965">
        <v>51</v>
      </c>
      <c r="B6965" t="s">
        <v>30</v>
      </c>
    </row>
    <row r="6966" spans="1:2">
      <c r="A6966">
        <v>51</v>
      </c>
      <c r="B6966" s="2">
        <v>0.32729999999999998</v>
      </c>
    </row>
    <row r="6967" spans="1:2">
      <c r="A6967">
        <v>51</v>
      </c>
      <c r="B6967" t="s">
        <v>8</v>
      </c>
    </row>
    <row r="6968" spans="1:2">
      <c r="A6968">
        <v>51</v>
      </c>
      <c r="B6968" s="2">
        <v>0.33200000000000002</v>
      </c>
    </row>
    <row r="6969" spans="1:2">
      <c r="A6969">
        <v>51</v>
      </c>
      <c r="B6969" t="s">
        <v>31</v>
      </c>
    </row>
    <row r="6970" spans="1:2">
      <c r="A6970">
        <v>51</v>
      </c>
      <c r="B6970">
        <v>0.5</v>
      </c>
    </row>
    <row r="6971" spans="1:2">
      <c r="A6971">
        <v>51</v>
      </c>
      <c r="B6971" t="s">
        <v>32</v>
      </c>
    </row>
    <row r="6972" spans="1:2">
      <c r="A6972">
        <v>51</v>
      </c>
      <c r="B6972" s="2">
        <v>0.19993</v>
      </c>
    </row>
    <row r="6973" spans="1:2">
      <c r="A6973">
        <v>51</v>
      </c>
      <c r="B6973" t="s">
        <v>33</v>
      </c>
    </row>
    <row r="6974" spans="1:2">
      <c r="A6974">
        <v>51</v>
      </c>
      <c r="B6974" s="3">
        <v>0.64</v>
      </c>
    </row>
    <row r="6975" spans="1:2">
      <c r="A6975">
        <v>51</v>
      </c>
      <c r="B6975" t="s">
        <v>34</v>
      </c>
    </row>
    <row r="6976" spans="1:2">
      <c r="A6976">
        <v>51</v>
      </c>
      <c r="B6976" s="3">
        <v>0.36</v>
      </c>
    </row>
    <row r="6977" spans="1:2">
      <c r="A6977">
        <v>51</v>
      </c>
      <c r="B6977" t="s">
        <v>26</v>
      </c>
    </row>
    <row r="6978" spans="1:2">
      <c r="A6978">
        <v>51</v>
      </c>
      <c r="B6978">
        <v>3.12</v>
      </c>
    </row>
    <row r="6979" spans="1:2">
      <c r="A6979">
        <v>51</v>
      </c>
      <c r="B6979" t="s">
        <v>23</v>
      </c>
    </row>
    <row r="6980" spans="1:2">
      <c r="A6980">
        <v>51</v>
      </c>
      <c r="B6980">
        <v>0.22500000000000001</v>
      </c>
    </row>
    <row r="6981" spans="1:2">
      <c r="A6981">
        <v>51</v>
      </c>
      <c r="B6981" t="s">
        <v>24</v>
      </c>
    </row>
    <row r="6982" spans="1:2">
      <c r="A6982">
        <v>51</v>
      </c>
      <c r="B6982">
        <v>1.387</v>
      </c>
    </row>
    <row r="6983" spans="1:2">
      <c r="A6983">
        <v>51</v>
      </c>
      <c r="B6983" t="s">
        <v>35</v>
      </c>
    </row>
    <row r="6984" spans="1:2">
      <c r="A6984">
        <v>51</v>
      </c>
      <c r="B6984">
        <v>0.39200000000000002</v>
      </c>
    </row>
    <row r="6985" spans="1:2">
      <c r="A6985">
        <v>51</v>
      </c>
      <c r="B6985" t="s">
        <v>36</v>
      </c>
    </row>
    <row r="6986" spans="1:2">
      <c r="A6986">
        <v>51</v>
      </c>
      <c r="B6986">
        <v>0.153</v>
      </c>
    </row>
    <row r="6987" spans="1:2">
      <c r="A6987">
        <v>51</v>
      </c>
      <c r="B6987" t="s">
        <v>37</v>
      </c>
    </row>
    <row r="6988" spans="1:2">
      <c r="A6988">
        <v>51</v>
      </c>
      <c r="B6988">
        <v>0.65400000000000003</v>
      </c>
    </row>
    <row r="6989" spans="1:2">
      <c r="A6989">
        <v>51</v>
      </c>
      <c r="B6989" t="s">
        <v>38</v>
      </c>
    </row>
    <row r="6990" spans="1:2">
      <c r="A6990">
        <v>51</v>
      </c>
      <c r="B6990">
        <v>0.38100000000000001</v>
      </c>
    </row>
    <row r="6991" spans="1:2">
      <c r="A6991">
        <v>51</v>
      </c>
      <c r="B6991" t="s">
        <v>39</v>
      </c>
    </row>
    <row r="6992" spans="1:2">
      <c r="A6992">
        <v>51</v>
      </c>
      <c r="B6992">
        <v>0.22600000000000001</v>
      </c>
    </row>
    <row r="6993" spans="1:2">
      <c r="A6993">
        <v>51</v>
      </c>
      <c r="B6993" t="s">
        <v>40</v>
      </c>
    </row>
    <row r="6994" spans="1:2">
      <c r="A6994">
        <v>51</v>
      </c>
      <c r="B6994" s="4">
        <v>0</v>
      </c>
    </row>
    <row r="6995" spans="1:2">
      <c r="A6995">
        <v>51</v>
      </c>
      <c r="B6995" t="s">
        <v>41</v>
      </c>
    </row>
    <row r="6996" spans="1:2">
      <c r="A6996">
        <v>51</v>
      </c>
      <c r="B6996" s="4">
        <v>5100000</v>
      </c>
    </row>
    <row r="6997" spans="1:2">
      <c r="A6997">
        <v>51</v>
      </c>
      <c r="B6997" t="s">
        <v>42</v>
      </c>
    </row>
    <row r="6998" spans="1:2">
      <c r="A6998">
        <v>51</v>
      </c>
      <c r="B6998" t="s">
        <v>44</v>
      </c>
    </row>
    <row r="6999" spans="1:2">
      <c r="A6999">
        <v>50</v>
      </c>
      <c r="B6999" t="s">
        <v>27</v>
      </c>
    </row>
    <row r="7000" spans="1:2">
      <c r="A7000">
        <v>50</v>
      </c>
      <c r="B7000" s="2">
        <v>0.33534000000000003</v>
      </c>
    </row>
    <row r="7001" spans="1:2">
      <c r="A7001">
        <v>50</v>
      </c>
      <c r="B7001" t="s">
        <v>1</v>
      </c>
    </row>
    <row r="7002" spans="1:2">
      <c r="A7002">
        <v>50</v>
      </c>
      <c r="B7002">
        <v>0.56699999999999995</v>
      </c>
    </row>
    <row r="7003" spans="1:2">
      <c r="A7003">
        <v>50</v>
      </c>
      <c r="B7003" t="s">
        <v>28</v>
      </c>
    </row>
    <row r="7004" spans="1:2">
      <c r="A7004">
        <v>50</v>
      </c>
      <c r="B7004">
        <v>354</v>
      </c>
    </row>
    <row r="7005" spans="1:2">
      <c r="A7005">
        <v>50</v>
      </c>
      <c r="B7005" t="s">
        <v>25</v>
      </c>
    </row>
    <row r="7006" spans="1:2">
      <c r="A7006">
        <v>50</v>
      </c>
      <c r="B7006" s="2">
        <v>0.03</v>
      </c>
    </row>
    <row r="7007" spans="1:2">
      <c r="A7007">
        <v>50</v>
      </c>
      <c r="B7007" t="s">
        <v>29</v>
      </c>
    </row>
    <row r="7008" spans="1:2">
      <c r="A7008">
        <v>50</v>
      </c>
      <c r="B7008" s="2">
        <v>-1.0500000000000001E-2</v>
      </c>
    </row>
    <row r="7009" spans="1:2">
      <c r="A7009">
        <v>50</v>
      </c>
      <c r="B7009" t="s">
        <v>30</v>
      </c>
    </row>
    <row r="7010" spans="1:2">
      <c r="A7010">
        <v>50</v>
      </c>
      <c r="B7010" s="2">
        <v>6.2799999999999995E-2</v>
      </c>
    </row>
    <row r="7011" spans="1:2">
      <c r="A7011">
        <v>50</v>
      </c>
      <c r="B7011" t="s">
        <v>8</v>
      </c>
    </row>
    <row r="7012" spans="1:2">
      <c r="A7012">
        <v>50</v>
      </c>
      <c r="B7012" s="2">
        <v>7.5999999999999998E-2</v>
      </c>
    </row>
    <row r="7013" spans="1:2">
      <c r="A7013">
        <v>50</v>
      </c>
      <c r="B7013" t="s">
        <v>31</v>
      </c>
    </row>
    <row r="7014" spans="1:2">
      <c r="A7014">
        <v>50</v>
      </c>
      <c r="B7014">
        <v>0.40400000000000003</v>
      </c>
    </row>
    <row r="7015" spans="1:2">
      <c r="A7015">
        <v>50</v>
      </c>
      <c r="B7015" t="s">
        <v>32</v>
      </c>
    </row>
    <row r="7016" spans="1:2">
      <c r="A7016">
        <v>50</v>
      </c>
      <c r="B7016" s="2">
        <v>3.9989999999999998E-2</v>
      </c>
    </row>
    <row r="7017" spans="1:2">
      <c r="A7017">
        <v>50</v>
      </c>
      <c r="B7017" t="s">
        <v>33</v>
      </c>
    </row>
    <row r="7018" spans="1:2">
      <c r="A7018">
        <v>50</v>
      </c>
      <c r="B7018" s="3">
        <v>0.64</v>
      </c>
    </row>
    <row r="7019" spans="1:2">
      <c r="A7019">
        <v>50</v>
      </c>
      <c r="B7019" t="s">
        <v>34</v>
      </c>
    </row>
    <row r="7020" spans="1:2">
      <c r="A7020">
        <v>50</v>
      </c>
      <c r="B7020" s="3">
        <v>0.36</v>
      </c>
    </row>
    <row r="7021" spans="1:2">
      <c r="A7021">
        <v>50</v>
      </c>
      <c r="B7021" t="s">
        <v>26</v>
      </c>
    </row>
    <row r="7022" spans="1:2">
      <c r="A7022">
        <v>50</v>
      </c>
      <c r="B7022">
        <v>2.86</v>
      </c>
    </row>
    <row r="7023" spans="1:2">
      <c r="A7023">
        <v>50</v>
      </c>
      <c r="B7023" t="s">
        <v>23</v>
      </c>
    </row>
    <row r="7024" spans="1:2">
      <c r="A7024">
        <v>50</v>
      </c>
      <c r="B7024">
        <v>2.7E-2</v>
      </c>
    </row>
    <row r="7025" spans="1:2">
      <c r="A7025">
        <v>50</v>
      </c>
      <c r="B7025" t="s">
        <v>24</v>
      </c>
    </row>
    <row r="7026" spans="1:2">
      <c r="A7026">
        <v>50</v>
      </c>
      <c r="B7026">
        <v>0.312</v>
      </c>
    </row>
    <row r="7027" spans="1:2">
      <c r="A7027">
        <v>50</v>
      </c>
      <c r="B7027" t="s">
        <v>35</v>
      </c>
    </row>
    <row r="7028" spans="1:2">
      <c r="A7028">
        <v>50</v>
      </c>
      <c r="B7028">
        <v>8.2000000000000003E-2</v>
      </c>
    </row>
    <row r="7029" spans="1:2">
      <c r="A7029">
        <v>50</v>
      </c>
      <c r="B7029" t="s">
        <v>36</v>
      </c>
    </row>
    <row r="7030" spans="1:2">
      <c r="A7030">
        <v>50</v>
      </c>
      <c r="B7030">
        <v>7.0000000000000001E-3</v>
      </c>
    </row>
    <row r="7031" spans="1:2">
      <c r="A7031">
        <v>50</v>
      </c>
      <c r="B7031" t="s">
        <v>37</v>
      </c>
    </row>
    <row r="7032" spans="1:2">
      <c r="A7032">
        <v>50</v>
      </c>
      <c r="B7032">
        <v>-0.189</v>
      </c>
    </row>
    <row r="7033" spans="1:2">
      <c r="A7033">
        <v>50</v>
      </c>
      <c r="B7033" t="s">
        <v>38</v>
      </c>
    </row>
    <row r="7034" spans="1:2">
      <c r="A7034">
        <v>50</v>
      </c>
      <c r="B7034">
        <v>9.1999999999999998E-2</v>
      </c>
    </row>
    <row r="7035" spans="1:2">
      <c r="A7035">
        <v>50</v>
      </c>
      <c r="B7035" t="s">
        <v>39</v>
      </c>
    </row>
    <row r="7036" spans="1:2">
      <c r="A7036">
        <v>50</v>
      </c>
      <c r="B7036">
        <v>0.14899999999999999</v>
      </c>
    </row>
    <row r="7037" spans="1:2">
      <c r="A7037">
        <v>50</v>
      </c>
      <c r="B7037" t="s">
        <v>40</v>
      </c>
    </row>
    <row r="7038" spans="1:2">
      <c r="A7038">
        <v>50</v>
      </c>
      <c r="B7038" s="4">
        <v>0</v>
      </c>
    </row>
    <row r="7039" spans="1:2">
      <c r="A7039">
        <v>50</v>
      </c>
      <c r="B7039" t="s">
        <v>41</v>
      </c>
    </row>
    <row r="7040" spans="1:2">
      <c r="A7040">
        <v>50</v>
      </c>
      <c r="B7040" s="4">
        <v>20000000</v>
      </c>
    </row>
    <row r="7041" spans="1:2">
      <c r="A7041">
        <v>50</v>
      </c>
      <c r="B7041" t="s">
        <v>42</v>
      </c>
    </row>
    <row r="7042" spans="1:2">
      <c r="A7042">
        <v>50</v>
      </c>
      <c r="B7042" t="s">
        <v>44</v>
      </c>
    </row>
    <row r="7043" spans="1:2">
      <c r="A7043">
        <v>49</v>
      </c>
      <c r="B7043" t="s">
        <v>27</v>
      </c>
    </row>
    <row r="7044" spans="1:2">
      <c r="A7044">
        <v>49</v>
      </c>
      <c r="B7044" s="2">
        <v>0.32308999999999999</v>
      </c>
    </row>
    <row r="7045" spans="1:2">
      <c r="A7045">
        <v>49</v>
      </c>
      <c r="B7045" t="s">
        <v>1</v>
      </c>
    </row>
    <row r="7046" spans="1:2">
      <c r="A7046">
        <v>49</v>
      </c>
      <c r="B7046">
        <v>0.52</v>
      </c>
    </row>
    <row r="7047" spans="1:2">
      <c r="A7047">
        <v>49</v>
      </c>
      <c r="B7047" t="s">
        <v>28</v>
      </c>
    </row>
    <row r="7048" spans="1:2">
      <c r="A7048">
        <v>49</v>
      </c>
      <c r="B7048">
        <v>354</v>
      </c>
    </row>
    <row r="7049" spans="1:2">
      <c r="A7049">
        <v>49</v>
      </c>
      <c r="B7049" t="s">
        <v>25</v>
      </c>
    </row>
    <row r="7050" spans="1:2">
      <c r="A7050">
        <v>49</v>
      </c>
      <c r="B7050" s="2">
        <v>3.0000000000000001E-3</v>
      </c>
    </row>
    <row r="7051" spans="1:2">
      <c r="A7051">
        <v>49</v>
      </c>
      <c r="B7051" t="s">
        <v>29</v>
      </c>
    </row>
    <row r="7052" spans="1:2">
      <c r="A7052">
        <v>49</v>
      </c>
      <c r="B7052" s="2">
        <v>-1.1000000000000001E-3</v>
      </c>
    </row>
    <row r="7053" spans="1:2">
      <c r="A7053">
        <v>49</v>
      </c>
      <c r="B7053" t="s">
        <v>30</v>
      </c>
    </row>
    <row r="7054" spans="1:2">
      <c r="A7054">
        <v>49</v>
      </c>
      <c r="B7054" s="2">
        <v>6.2199999999999998E-3</v>
      </c>
    </row>
    <row r="7055" spans="1:2">
      <c r="A7055">
        <v>49</v>
      </c>
      <c r="B7055" t="s">
        <v>8</v>
      </c>
    </row>
    <row r="7056" spans="1:2">
      <c r="A7056">
        <v>49</v>
      </c>
      <c r="B7056" s="2">
        <v>8.0000000000000002E-3</v>
      </c>
    </row>
    <row r="7057" spans="1:2">
      <c r="A7057">
        <v>49</v>
      </c>
      <c r="B7057" t="s">
        <v>31</v>
      </c>
    </row>
    <row r="7058" spans="1:2">
      <c r="A7058">
        <v>49</v>
      </c>
      <c r="B7058">
        <v>0.38500000000000001</v>
      </c>
    </row>
    <row r="7059" spans="1:2">
      <c r="A7059">
        <v>49</v>
      </c>
      <c r="B7059" t="s">
        <v>32</v>
      </c>
    </row>
    <row r="7060" spans="1:2">
      <c r="A7060">
        <v>49</v>
      </c>
      <c r="B7060" s="2">
        <v>4.0000000000000001E-3</v>
      </c>
    </row>
    <row r="7061" spans="1:2">
      <c r="A7061">
        <v>49</v>
      </c>
      <c r="B7061" t="s">
        <v>33</v>
      </c>
    </row>
    <row r="7062" spans="1:2">
      <c r="A7062">
        <v>49</v>
      </c>
      <c r="B7062" s="3">
        <v>0.64</v>
      </c>
    </row>
    <row r="7063" spans="1:2">
      <c r="A7063">
        <v>49</v>
      </c>
      <c r="B7063" t="s">
        <v>34</v>
      </c>
    </row>
    <row r="7064" spans="1:2">
      <c r="A7064">
        <v>49</v>
      </c>
      <c r="B7064" s="3">
        <v>0.36</v>
      </c>
    </row>
    <row r="7065" spans="1:2">
      <c r="A7065">
        <v>49</v>
      </c>
      <c r="B7065" t="s">
        <v>26</v>
      </c>
    </row>
    <row r="7066" spans="1:2">
      <c r="A7066">
        <v>49</v>
      </c>
      <c r="B7066">
        <v>2.81</v>
      </c>
    </row>
    <row r="7067" spans="1:2">
      <c r="A7067">
        <v>49</v>
      </c>
      <c r="B7067" t="s">
        <v>23</v>
      </c>
    </row>
    <row r="7068" spans="1:2">
      <c r="A7068">
        <v>49</v>
      </c>
      <c r="B7068">
        <v>2E-3</v>
      </c>
    </row>
    <row r="7069" spans="1:2">
      <c r="A7069">
        <v>49</v>
      </c>
      <c r="B7069" t="s">
        <v>24</v>
      </c>
    </row>
    <row r="7070" spans="1:2">
      <c r="A7070">
        <v>49</v>
      </c>
      <c r="B7070">
        <v>3.2000000000000001E-2</v>
      </c>
    </row>
    <row r="7071" spans="1:2">
      <c r="A7071">
        <v>49</v>
      </c>
      <c r="B7071" t="s">
        <v>35</v>
      </c>
    </row>
    <row r="7072" spans="1:2">
      <c r="A7072">
        <v>49</v>
      </c>
      <c r="B7072">
        <v>8.0000000000000002E-3</v>
      </c>
    </row>
    <row r="7073" spans="1:2">
      <c r="A7073">
        <v>49</v>
      </c>
      <c r="B7073" t="s">
        <v>36</v>
      </c>
    </row>
    <row r="7074" spans="1:2">
      <c r="A7074">
        <v>49</v>
      </c>
      <c r="B7074">
        <v>0</v>
      </c>
    </row>
    <row r="7075" spans="1:2">
      <c r="A7075">
        <v>49</v>
      </c>
      <c r="B7075" t="s">
        <v>37</v>
      </c>
    </row>
    <row r="7076" spans="1:2">
      <c r="A7076">
        <v>49</v>
      </c>
      <c r="B7076">
        <v>-0.91400000000000003</v>
      </c>
    </row>
    <row r="7077" spans="1:2">
      <c r="A7077">
        <v>49</v>
      </c>
      <c r="B7077" t="s">
        <v>38</v>
      </c>
    </row>
    <row r="7078" spans="1:2">
      <c r="A7078">
        <v>49</v>
      </c>
      <c r="B7078">
        <v>6.5000000000000002E-2</v>
      </c>
    </row>
    <row r="7079" spans="1:2">
      <c r="A7079">
        <v>49</v>
      </c>
      <c r="B7079" t="s">
        <v>39</v>
      </c>
    </row>
    <row r="7080" spans="1:2">
      <c r="A7080">
        <v>49</v>
      </c>
      <c r="B7080">
        <v>0.13500000000000001</v>
      </c>
    </row>
    <row r="7081" spans="1:2">
      <c r="A7081">
        <v>49</v>
      </c>
      <c r="B7081" t="s">
        <v>40</v>
      </c>
    </row>
    <row r="7082" spans="1:2">
      <c r="A7082">
        <v>49</v>
      </c>
      <c r="B7082" s="4">
        <v>0</v>
      </c>
    </row>
    <row r="7083" spans="1:2">
      <c r="A7083">
        <v>49</v>
      </c>
      <c r="B7083" t="s">
        <v>41</v>
      </c>
    </row>
    <row r="7084" spans="1:2">
      <c r="A7084">
        <v>49</v>
      </c>
      <c r="B7084" s="4">
        <v>190000000</v>
      </c>
    </row>
    <row r="7085" spans="1:2">
      <c r="A7085">
        <v>49</v>
      </c>
      <c r="B7085" t="s">
        <v>42</v>
      </c>
    </row>
    <row r="7086" spans="1:2">
      <c r="A7086">
        <v>49</v>
      </c>
      <c r="B7086" t="s">
        <v>44</v>
      </c>
    </row>
    <row r="7089" spans="1:2">
      <c r="A7089">
        <v>45</v>
      </c>
      <c r="B7089" t="s">
        <v>27</v>
      </c>
    </row>
    <row r="7090" spans="1:2">
      <c r="A7090">
        <v>45</v>
      </c>
      <c r="B7090" s="2">
        <v>0.32308999999999999</v>
      </c>
    </row>
    <row r="7091" spans="1:2">
      <c r="A7091">
        <v>45</v>
      </c>
      <c r="B7091" t="s">
        <v>1</v>
      </c>
    </row>
    <row r="7092" spans="1:2">
      <c r="A7092">
        <v>45</v>
      </c>
      <c r="B7092">
        <v>0.52</v>
      </c>
    </row>
    <row r="7093" spans="1:2">
      <c r="A7093">
        <v>45</v>
      </c>
      <c r="B7093" t="s">
        <v>28</v>
      </c>
    </row>
    <row r="7094" spans="1:2">
      <c r="A7094">
        <v>45</v>
      </c>
      <c r="B7094">
        <v>354</v>
      </c>
    </row>
    <row r="7095" spans="1:2">
      <c r="A7095">
        <v>45</v>
      </c>
      <c r="B7095" t="s">
        <v>25</v>
      </c>
    </row>
    <row r="7096" spans="1:2">
      <c r="A7096">
        <v>45</v>
      </c>
      <c r="B7096" s="2">
        <v>3.0000000000000001E-3</v>
      </c>
    </row>
    <row r="7097" spans="1:2">
      <c r="A7097">
        <v>45</v>
      </c>
      <c r="B7097" t="s">
        <v>29</v>
      </c>
    </row>
    <row r="7098" spans="1:2">
      <c r="A7098">
        <v>45</v>
      </c>
      <c r="B7098" s="2">
        <v>-1.1000000000000001E-3</v>
      </c>
    </row>
    <row r="7099" spans="1:2">
      <c r="A7099">
        <v>45</v>
      </c>
      <c r="B7099" t="s">
        <v>30</v>
      </c>
    </row>
    <row r="7100" spans="1:2">
      <c r="A7100">
        <v>45</v>
      </c>
      <c r="B7100" s="2">
        <v>6.2199999999999998E-3</v>
      </c>
    </row>
    <row r="7101" spans="1:2">
      <c r="A7101">
        <v>45</v>
      </c>
      <c r="B7101" t="s">
        <v>8</v>
      </c>
    </row>
    <row r="7102" spans="1:2">
      <c r="A7102">
        <v>45</v>
      </c>
      <c r="B7102" s="2">
        <v>8.0000000000000002E-3</v>
      </c>
    </row>
    <row r="7103" spans="1:2">
      <c r="A7103">
        <v>45</v>
      </c>
      <c r="B7103" t="s">
        <v>31</v>
      </c>
    </row>
    <row r="7104" spans="1:2">
      <c r="A7104">
        <v>45</v>
      </c>
      <c r="B7104">
        <v>0.38500000000000001</v>
      </c>
    </row>
    <row r="7105" spans="1:2">
      <c r="A7105">
        <v>45</v>
      </c>
      <c r="B7105" t="s">
        <v>32</v>
      </c>
    </row>
    <row r="7106" spans="1:2">
      <c r="A7106">
        <v>45</v>
      </c>
      <c r="B7106" s="2">
        <v>4.0000000000000001E-3</v>
      </c>
    </row>
    <row r="7107" spans="1:2">
      <c r="A7107">
        <v>45</v>
      </c>
      <c r="B7107" t="s">
        <v>33</v>
      </c>
    </row>
    <row r="7108" spans="1:2">
      <c r="A7108">
        <v>45</v>
      </c>
      <c r="B7108" s="3">
        <v>0.64</v>
      </c>
    </row>
    <row r="7109" spans="1:2">
      <c r="A7109">
        <v>45</v>
      </c>
      <c r="B7109" t="s">
        <v>34</v>
      </c>
    </row>
    <row r="7110" spans="1:2">
      <c r="A7110">
        <v>45</v>
      </c>
      <c r="B7110" s="3">
        <v>0.36</v>
      </c>
    </row>
    <row r="7111" spans="1:2">
      <c r="A7111">
        <v>45</v>
      </c>
      <c r="B7111" t="s">
        <v>26</v>
      </c>
    </row>
    <row r="7112" spans="1:2">
      <c r="A7112">
        <v>45</v>
      </c>
      <c r="B7112">
        <v>2.81</v>
      </c>
    </row>
    <row r="7113" spans="1:2">
      <c r="A7113">
        <v>45</v>
      </c>
      <c r="B7113" t="s">
        <v>23</v>
      </c>
    </row>
    <row r="7114" spans="1:2">
      <c r="A7114">
        <v>45</v>
      </c>
      <c r="B7114">
        <v>2E-3</v>
      </c>
    </row>
    <row r="7115" spans="1:2">
      <c r="A7115">
        <v>45</v>
      </c>
      <c r="B7115" t="s">
        <v>24</v>
      </c>
    </row>
    <row r="7116" spans="1:2">
      <c r="A7116">
        <v>45</v>
      </c>
      <c r="B7116">
        <v>3.2000000000000001E-2</v>
      </c>
    </row>
    <row r="7117" spans="1:2">
      <c r="A7117">
        <v>45</v>
      </c>
      <c r="B7117" t="s">
        <v>35</v>
      </c>
    </row>
    <row r="7118" spans="1:2">
      <c r="A7118">
        <v>45</v>
      </c>
      <c r="B7118">
        <v>8.0000000000000002E-3</v>
      </c>
    </row>
    <row r="7119" spans="1:2">
      <c r="A7119">
        <v>45</v>
      </c>
      <c r="B7119" t="s">
        <v>36</v>
      </c>
    </row>
    <row r="7120" spans="1:2">
      <c r="A7120">
        <v>45</v>
      </c>
      <c r="B7120">
        <v>0</v>
      </c>
    </row>
    <row r="7121" spans="1:2">
      <c r="A7121">
        <v>45</v>
      </c>
      <c r="B7121" t="s">
        <v>37</v>
      </c>
    </row>
    <row r="7122" spans="1:2">
      <c r="A7122">
        <v>45</v>
      </c>
      <c r="B7122">
        <v>-0.91400000000000003</v>
      </c>
    </row>
    <row r="7123" spans="1:2">
      <c r="A7123">
        <v>45</v>
      </c>
      <c r="B7123" t="s">
        <v>38</v>
      </c>
    </row>
    <row r="7124" spans="1:2">
      <c r="A7124">
        <v>45</v>
      </c>
      <c r="B7124">
        <v>6.5000000000000002E-2</v>
      </c>
    </row>
    <row r="7125" spans="1:2">
      <c r="A7125">
        <v>45</v>
      </c>
      <c r="B7125" t="s">
        <v>39</v>
      </c>
    </row>
    <row r="7126" spans="1:2">
      <c r="A7126">
        <v>45</v>
      </c>
      <c r="B7126">
        <v>0.13500000000000001</v>
      </c>
    </row>
    <row r="7127" spans="1:2">
      <c r="A7127">
        <v>45</v>
      </c>
      <c r="B7127" t="s">
        <v>40</v>
      </c>
    </row>
    <row r="7128" spans="1:2">
      <c r="A7128">
        <v>45</v>
      </c>
      <c r="B7128" s="4">
        <v>0</v>
      </c>
    </row>
    <row r="7129" spans="1:2">
      <c r="A7129">
        <v>45</v>
      </c>
      <c r="B7129" t="s">
        <v>41</v>
      </c>
    </row>
    <row r="7130" spans="1:2">
      <c r="A7130">
        <v>45</v>
      </c>
      <c r="B7130" s="4">
        <v>190000000</v>
      </c>
    </row>
    <row r="7131" spans="1:2">
      <c r="A7131">
        <v>45</v>
      </c>
      <c r="B7131" t="s">
        <v>42</v>
      </c>
    </row>
    <row r="7132" spans="1:2">
      <c r="A7132">
        <v>45</v>
      </c>
      <c r="B7132" t="s">
        <v>44</v>
      </c>
    </row>
    <row r="7135" spans="1:2">
      <c r="A7135">
        <v>44</v>
      </c>
      <c r="B7135" t="s">
        <v>27</v>
      </c>
    </row>
    <row r="7136" spans="1:2">
      <c r="A7136">
        <v>44</v>
      </c>
      <c r="B7136" s="2">
        <v>0.32308999999999999</v>
      </c>
    </row>
    <row r="7137" spans="1:2">
      <c r="A7137">
        <v>44</v>
      </c>
      <c r="B7137" t="s">
        <v>1</v>
      </c>
    </row>
    <row r="7138" spans="1:2">
      <c r="A7138">
        <v>44</v>
      </c>
      <c r="B7138">
        <v>0.52</v>
      </c>
    </row>
    <row r="7139" spans="1:2">
      <c r="A7139">
        <v>44</v>
      </c>
      <c r="B7139" t="s">
        <v>28</v>
      </c>
    </row>
    <row r="7140" spans="1:2">
      <c r="A7140">
        <v>44</v>
      </c>
      <c r="B7140">
        <v>354</v>
      </c>
    </row>
    <row r="7141" spans="1:2">
      <c r="A7141">
        <v>44</v>
      </c>
      <c r="B7141" t="s">
        <v>25</v>
      </c>
    </row>
    <row r="7142" spans="1:2">
      <c r="A7142">
        <v>44</v>
      </c>
      <c r="B7142" s="2">
        <v>3.0000000000000001E-3</v>
      </c>
    </row>
    <row r="7143" spans="1:2">
      <c r="A7143">
        <v>44</v>
      </c>
      <c r="B7143" t="s">
        <v>29</v>
      </c>
    </row>
    <row r="7144" spans="1:2">
      <c r="A7144">
        <v>44</v>
      </c>
      <c r="B7144" s="2">
        <v>-1.1000000000000001E-3</v>
      </c>
    </row>
    <row r="7145" spans="1:2">
      <c r="A7145">
        <v>44</v>
      </c>
      <c r="B7145" t="s">
        <v>30</v>
      </c>
    </row>
    <row r="7146" spans="1:2">
      <c r="A7146">
        <v>44</v>
      </c>
      <c r="B7146" s="2">
        <v>6.2199999999999998E-3</v>
      </c>
    </row>
    <row r="7147" spans="1:2">
      <c r="A7147">
        <v>44</v>
      </c>
      <c r="B7147" t="s">
        <v>8</v>
      </c>
    </row>
    <row r="7148" spans="1:2">
      <c r="A7148">
        <v>44</v>
      </c>
      <c r="B7148" s="2">
        <v>8.0000000000000002E-3</v>
      </c>
    </row>
    <row r="7149" spans="1:2">
      <c r="A7149">
        <v>44</v>
      </c>
      <c r="B7149" t="s">
        <v>31</v>
      </c>
    </row>
    <row r="7150" spans="1:2">
      <c r="A7150">
        <v>44</v>
      </c>
      <c r="B7150">
        <v>0.38500000000000001</v>
      </c>
    </row>
    <row r="7151" spans="1:2">
      <c r="A7151">
        <v>44</v>
      </c>
      <c r="B7151" t="s">
        <v>32</v>
      </c>
    </row>
    <row r="7152" spans="1:2">
      <c r="A7152">
        <v>44</v>
      </c>
      <c r="B7152" s="2">
        <v>4.0000000000000001E-3</v>
      </c>
    </row>
    <row r="7153" spans="1:2">
      <c r="A7153">
        <v>44</v>
      </c>
      <c r="B7153" t="s">
        <v>33</v>
      </c>
    </row>
    <row r="7154" spans="1:2">
      <c r="A7154">
        <v>44</v>
      </c>
      <c r="B7154" s="3">
        <v>0.64</v>
      </c>
    </row>
    <row r="7155" spans="1:2">
      <c r="A7155">
        <v>44</v>
      </c>
      <c r="B7155" t="s">
        <v>34</v>
      </c>
    </row>
    <row r="7156" spans="1:2">
      <c r="A7156">
        <v>44</v>
      </c>
      <c r="B7156" s="3">
        <v>0.36</v>
      </c>
    </row>
    <row r="7157" spans="1:2">
      <c r="A7157">
        <v>44</v>
      </c>
      <c r="B7157" t="s">
        <v>26</v>
      </c>
    </row>
    <row r="7158" spans="1:2">
      <c r="A7158">
        <v>44</v>
      </c>
      <c r="B7158">
        <v>2.81</v>
      </c>
    </row>
    <row r="7159" spans="1:2">
      <c r="A7159">
        <v>44</v>
      </c>
      <c r="B7159" t="s">
        <v>23</v>
      </c>
    </row>
    <row r="7160" spans="1:2">
      <c r="A7160">
        <v>44</v>
      </c>
      <c r="B7160">
        <v>2E-3</v>
      </c>
    </row>
    <row r="7161" spans="1:2">
      <c r="A7161">
        <v>44</v>
      </c>
      <c r="B7161" t="s">
        <v>24</v>
      </c>
    </row>
    <row r="7162" spans="1:2">
      <c r="A7162">
        <v>44</v>
      </c>
      <c r="B7162">
        <v>3.2000000000000001E-2</v>
      </c>
    </row>
    <row r="7163" spans="1:2">
      <c r="A7163">
        <v>44</v>
      </c>
      <c r="B7163" t="s">
        <v>35</v>
      </c>
    </row>
    <row r="7164" spans="1:2">
      <c r="A7164">
        <v>44</v>
      </c>
      <c r="B7164">
        <v>8.0000000000000002E-3</v>
      </c>
    </row>
    <row r="7165" spans="1:2">
      <c r="A7165">
        <v>44</v>
      </c>
      <c r="B7165" t="s">
        <v>36</v>
      </c>
    </row>
    <row r="7166" spans="1:2">
      <c r="A7166">
        <v>44</v>
      </c>
      <c r="B7166">
        <v>0</v>
      </c>
    </row>
    <row r="7167" spans="1:2">
      <c r="A7167">
        <v>44</v>
      </c>
      <c r="B7167" t="s">
        <v>37</v>
      </c>
    </row>
    <row r="7168" spans="1:2">
      <c r="A7168">
        <v>44</v>
      </c>
      <c r="B7168">
        <v>-0.91400000000000003</v>
      </c>
    </row>
    <row r="7169" spans="1:2">
      <c r="A7169">
        <v>44</v>
      </c>
      <c r="B7169" t="s">
        <v>38</v>
      </c>
    </row>
    <row r="7170" spans="1:2">
      <c r="A7170">
        <v>44</v>
      </c>
      <c r="B7170">
        <v>6.5000000000000002E-2</v>
      </c>
    </row>
    <row r="7171" spans="1:2">
      <c r="A7171">
        <v>44</v>
      </c>
      <c r="B7171" t="s">
        <v>39</v>
      </c>
    </row>
    <row r="7172" spans="1:2">
      <c r="A7172">
        <v>44</v>
      </c>
      <c r="B7172">
        <v>0.13500000000000001</v>
      </c>
    </row>
    <row r="7173" spans="1:2">
      <c r="A7173">
        <v>44</v>
      </c>
      <c r="B7173" t="s">
        <v>40</v>
      </c>
    </row>
    <row r="7174" spans="1:2">
      <c r="A7174">
        <v>44</v>
      </c>
      <c r="B7174" s="4">
        <v>0</v>
      </c>
    </row>
    <row r="7175" spans="1:2">
      <c r="A7175">
        <v>44</v>
      </c>
      <c r="B7175" t="s">
        <v>41</v>
      </c>
    </row>
    <row r="7176" spans="1:2">
      <c r="A7176">
        <v>44</v>
      </c>
      <c r="B7176" s="4">
        <v>190000000</v>
      </c>
    </row>
    <row r="7177" spans="1:2">
      <c r="A7177">
        <v>44</v>
      </c>
      <c r="B7177" t="s">
        <v>42</v>
      </c>
    </row>
    <row r="7178" spans="1:2">
      <c r="A7178">
        <v>44</v>
      </c>
      <c r="B7178" t="s">
        <v>44</v>
      </c>
    </row>
    <row r="7181" spans="1:2">
      <c r="A7181">
        <v>43</v>
      </c>
      <c r="B7181" t="s">
        <v>27</v>
      </c>
    </row>
    <row r="7182" spans="1:2">
      <c r="A7182">
        <v>43</v>
      </c>
      <c r="B7182" s="2">
        <v>0.32308999999999999</v>
      </c>
    </row>
    <row r="7183" spans="1:2">
      <c r="A7183">
        <v>43</v>
      </c>
      <c r="B7183" t="s">
        <v>1</v>
      </c>
    </row>
    <row r="7184" spans="1:2">
      <c r="A7184">
        <v>43</v>
      </c>
      <c r="B7184">
        <v>0.52</v>
      </c>
    </row>
    <row r="7185" spans="1:2">
      <c r="A7185">
        <v>43</v>
      </c>
      <c r="B7185" t="s">
        <v>28</v>
      </c>
    </row>
    <row r="7186" spans="1:2">
      <c r="A7186">
        <v>43</v>
      </c>
      <c r="B7186">
        <v>354</v>
      </c>
    </row>
    <row r="7187" spans="1:2">
      <c r="A7187">
        <v>43</v>
      </c>
      <c r="B7187" t="s">
        <v>25</v>
      </c>
    </row>
    <row r="7188" spans="1:2">
      <c r="A7188">
        <v>43</v>
      </c>
      <c r="B7188" s="2">
        <v>3.0000000000000001E-3</v>
      </c>
    </row>
    <row r="7189" spans="1:2">
      <c r="A7189">
        <v>43</v>
      </c>
      <c r="B7189" t="s">
        <v>29</v>
      </c>
    </row>
    <row r="7190" spans="1:2">
      <c r="A7190">
        <v>43</v>
      </c>
      <c r="B7190" s="2">
        <v>-1.1000000000000001E-3</v>
      </c>
    </row>
    <row r="7191" spans="1:2">
      <c r="A7191">
        <v>43</v>
      </c>
      <c r="B7191" t="s">
        <v>30</v>
      </c>
    </row>
    <row r="7192" spans="1:2">
      <c r="A7192">
        <v>43</v>
      </c>
      <c r="B7192" s="2">
        <v>6.2199999999999998E-3</v>
      </c>
    </row>
    <row r="7193" spans="1:2">
      <c r="A7193">
        <v>43</v>
      </c>
      <c r="B7193" t="s">
        <v>8</v>
      </c>
    </row>
    <row r="7194" spans="1:2">
      <c r="A7194">
        <v>43</v>
      </c>
      <c r="B7194" s="2">
        <v>8.0000000000000002E-3</v>
      </c>
    </row>
    <row r="7195" spans="1:2">
      <c r="A7195">
        <v>43</v>
      </c>
      <c r="B7195" t="s">
        <v>31</v>
      </c>
    </row>
    <row r="7196" spans="1:2">
      <c r="A7196">
        <v>43</v>
      </c>
      <c r="B7196">
        <v>0.38500000000000001</v>
      </c>
    </row>
    <row r="7197" spans="1:2">
      <c r="A7197">
        <v>43</v>
      </c>
      <c r="B7197" t="s">
        <v>32</v>
      </c>
    </row>
    <row r="7198" spans="1:2">
      <c r="A7198">
        <v>43</v>
      </c>
      <c r="B7198" s="2">
        <v>4.0000000000000001E-3</v>
      </c>
    </row>
    <row r="7199" spans="1:2">
      <c r="A7199">
        <v>43</v>
      </c>
      <c r="B7199" t="s">
        <v>33</v>
      </c>
    </row>
    <row r="7200" spans="1:2">
      <c r="A7200">
        <v>43</v>
      </c>
      <c r="B7200" s="3">
        <v>0.64</v>
      </c>
    </row>
    <row r="7201" spans="1:2">
      <c r="A7201">
        <v>43</v>
      </c>
      <c r="B7201" t="s">
        <v>34</v>
      </c>
    </row>
    <row r="7202" spans="1:2">
      <c r="A7202">
        <v>43</v>
      </c>
      <c r="B7202" s="3">
        <v>0.36</v>
      </c>
    </row>
    <row r="7203" spans="1:2">
      <c r="A7203">
        <v>43</v>
      </c>
      <c r="B7203" t="s">
        <v>26</v>
      </c>
    </row>
    <row r="7204" spans="1:2">
      <c r="A7204">
        <v>43</v>
      </c>
      <c r="B7204">
        <v>2.81</v>
      </c>
    </row>
    <row r="7205" spans="1:2">
      <c r="A7205">
        <v>43</v>
      </c>
      <c r="B7205" t="s">
        <v>23</v>
      </c>
    </row>
    <row r="7206" spans="1:2">
      <c r="A7206">
        <v>43</v>
      </c>
      <c r="B7206">
        <v>2E-3</v>
      </c>
    </row>
    <row r="7207" spans="1:2">
      <c r="A7207">
        <v>43</v>
      </c>
      <c r="B7207" t="s">
        <v>24</v>
      </c>
    </row>
    <row r="7208" spans="1:2">
      <c r="A7208">
        <v>43</v>
      </c>
      <c r="B7208">
        <v>3.2000000000000001E-2</v>
      </c>
    </row>
    <row r="7209" spans="1:2">
      <c r="A7209">
        <v>43</v>
      </c>
      <c r="B7209" t="s">
        <v>35</v>
      </c>
    </row>
    <row r="7210" spans="1:2">
      <c r="A7210">
        <v>43</v>
      </c>
      <c r="B7210">
        <v>8.0000000000000002E-3</v>
      </c>
    </row>
    <row r="7211" spans="1:2">
      <c r="A7211">
        <v>43</v>
      </c>
      <c r="B7211" t="s">
        <v>36</v>
      </c>
    </row>
    <row r="7212" spans="1:2">
      <c r="A7212">
        <v>43</v>
      </c>
      <c r="B7212">
        <v>0</v>
      </c>
    </row>
    <row r="7213" spans="1:2">
      <c r="A7213">
        <v>43</v>
      </c>
      <c r="B7213" t="s">
        <v>37</v>
      </c>
    </row>
    <row r="7214" spans="1:2">
      <c r="A7214">
        <v>43</v>
      </c>
      <c r="B7214">
        <v>-0.91400000000000003</v>
      </c>
    </row>
    <row r="7215" spans="1:2">
      <c r="A7215">
        <v>43</v>
      </c>
      <c r="B7215" t="s">
        <v>38</v>
      </c>
    </row>
    <row r="7216" spans="1:2">
      <c r="A7216">
        <v>43</v>
      </c>
      <c r="B7216">
        <v>6.5000000000000002E-2</v>
      </c>
    </row>
    <row r="7217" spans="1:2">
      <c r="A7217">
        <v>43</v>
      </c>
      <c r="B7217" t="s">
        <v>39</v>
      </c>
    </row>
    <row r="7218" spans="1:2">
      <c r="A7218">
        <v>43</v>
      </c>
      <c r="B7218">
        <v>0.13500000000000001</v>
      </c>
    </row>
    <row r="7219" spans="1:2">
      <c r="A7219">
        <v>43</v>
      </c>
      <c r="B7219" t="s">
        <v>40</v>
      </c>
    </row>
    <row r="7220" spans="1:2">
      <c r="A7220">
        <v>43</v>
      </c>
      <c r="B7220" s="4">
        <v>0</v>
      </c>
    </row>
    <row r="7221" spans="1:2">
      <c r="A7221">
        <v>43</v>
      </c>
      <c r="B7221" t="s">
        <v>41</v>
      </c>
    </row>
    <row r="7222" spans="1:2">
      <c r="A7222">
        <v>43</v>
      </c>
      <c r="B7222" s="4">
        <v>190000000</v>
      </c>
    </row>
    <row r="7223" spans="1:2">
      <c r="A7223">
        <v>43</v>
      </c>
      <c r="B7223" t="s">
        <v>42</v>
      </c>
    </row>
    <row r="7224" spans="1:2">
      <c r="A7224">
        <v>43</v>
      </c>
      <c r="B7224" t="s">
        <v>44</v>
      </c>
    </row>
    <row r="7227" spans="1:2">
      <c r="A7227">
        <v>42</v>
      </c>
      <c r="B7227" t="s">
        <v>27</v>
      </c>
    </row>
    <row r="7228" spans="1:2">
      <c r="A7228">
        <v>42</v>
      </c>
      <c r="B7228" s="2">
        <v>0.32308999999999999</v>
      </c>
    </row>
    <row r="7229" spans="1:2">
      <c r="A7229">
        <v>42</v>
      </c>
      <c r="B7229" t="s">
        <v>1</v>
      </c>
    </row>
    <row r="7230" spans="1:2">
      <c r="A7230">
        <v>42</v>
      </c>
      <c r="B7230">
        <v>0.52</v>
      </c>
    </row>
    <row r="7231" spans="1:2">
      <c r="A7231">
        <v>42</v>
      </c>
      <c r="B7231" t="s">
        <v>28</v>
      </c>
    </row>
    <row r="7232" spans="1:2">
      <c r="A7232">
        <v>42</v>
      </c>
      <c r="B7232">
        <v>354</v>
      </c>
    </row>
    <row r="7233" spans="1:2">
      <c r="A7233">
        <v>42</v>
      </c>
      <c r="B7233" t="s">
        <v>25</v>
      </c>
    </row>
    <row r="7234" spans="1:2">
      <c r="A7234">
        <v>42</v>
      </c>
      <c r="B7234" s="2">
        <v>3.0000000000000001E-3</v>
      </c>
    </row>
    <row r="7235" spans="1:2">
      <c r="A7235">
        <v>42</v>
      </c>
      <c r="B7235" t="s">
        <v>29</v>
      </c>
    </row>
    <row r="7236" spans="1:2">
      <c r="A7236">
        <v>42</v>
      </c>
      <c r="B7236" s="2">
        <v>-1.1000000000000001E-3</v>
      </c>
    </row>
    <row r="7237" spans="1:2">
      <c r="A7237">
        <v>42</v>
      </c>
      <c r="B7237" t="s">
        <v>30</v>
      </c>
    </row>
    <row r="7238" spans="1:2">
      <c r="A7238">
        <v>42</v>
      </c>
      <c r="B7238" s="2">
        <v>6.2199999999999998E-3</v>
      </c>
    </row>
    <row r="7239" spans="1:2">
      <c r="A7239">
        <v>42</v>
      </c>
      <c r="B7239" t="s">
        <v>8</v>
      </c>
    </row>
    <row r="7240" spans="1:2">
      <c r="A7240">
        <v>42</v>
      </c>
      <c r="B7240" s="2">
        <v>8.0000000000000002E-3</v>
      </c>
    </row>
    <row r="7241" spans="1:2">
      <c r="A7241">
        <v>42</v>
      </c>
      <c r="B7241" t="s">
        <v>31</v>
      </c>
    </row>
    <row r="7242" spans="1:2">
      <c r="A7242">
        <v>42</v>
      </c>
      <c r="B7242">
        <v>0.38500000000000001</v>
      </c>
    </row>
    <row r="7243" spans="1:2">
      <c r="A7243">
        <v>42</v>
      </c>
      <c r="B7243" t="s">
        <v>32</v>
      </c>
    </row>
    <row r="7244" spans="1:2">
      <c r="A7244">
        <v>42</v>
      </c>
      <c r="B7244" s="2">
        <v>4.0000000000000001E-3</v>
      </c>
    </row>
    <row r="7245" spans="1:2">
      <c r="A7245">
        <v>42</v>
      </c>
      <c r="B7245" t="s">
        <v>33</v>
      </c>
    </row>
    <row r="7246" spans="1:2">
      <c r="A7246">
        <v>42</v>
      </c>
      <c r="B7246" s="3">
        <v>0.64</v>
      </c>
    </row>
    <row r="7247" spans="1:2">
      <c r="A7247">
        <v>42</v>
      </c>
      <c r="B7247" t="s">
        <v>34</v>
      </c>
    </row>
    <row r="7248" spans="1:2">
      <c r="A7248">
        <v>42</v>
      </c>
      <c r="B7248" s="3">
        <v>0.36</v>
      </c>
    </row>
    <row r="7249" spans="1:2">
      <c r="A7249">
        <v>42</v>
      </c>
      <c r="B7249" t="s">
        <v>26</v>
      </c>
    </row>
    <row r="7250" spans="1:2">
      <c r="A7250">
        <v>42</v>
      </c>
      <c r="B7250">
        <v>2.81</v>
      </c>
    </row>
    <row r="7251" spans="1:2">
      <c r="A7251">
        <v>42</v>
      </c>
      <c r="B7251" t="s">
        <v>23</v>
      </c>
    </row>
    <row r="7252" spans="1:2">
      <c r="A7252">
        <v>42</v>
      </c>
      <c r="B7252">
        <v>2E-3</v>
      </c>
    </row>
    <row r="7253" spans="1:2">
      <c r="A7253">
        <v>42</v>
      </c>
      <c r="B7253" t="s">
        <v>24</v>
      </c>
    </row>
    <row r="7254" spans="1:2">
      <c r="A7254">
        <v>42</v>
      </c>
      <c r="B7254">
        <v>3.2000000000000001E-2</v>
      </c>
    </row>
    <row r="7255" spans="1:2">
      <c r="A7255">
        <v>42</v>
      </c>
      <c r="B7255" t="s">
        <v>35</v>
      </c>
    </row>
    <row r="7256" spans="1:2">
      <c r="A7256">
        <v>42</v>
      </c>
      <c r="B7256">
        <v>8.0000000000000002E-3</v>
      </c>
    </row>
    <row r="7257" spans="1:2">
      <c r="A7257">
        <v>42</v>
      </c>
      <c r="B7257" t="s">
        <v>36</v>
      </c>
    </row>
    <row r="7258" spans="1:2">
      <c r="A7258">
        <v>42</v>
      </c>
      <c r="B7258">
        <v>0</v>
      </c>
    </row>
    <row r="7259" spans="1:2">
      <c r="A7259">
        <v>42</v>
      </c>
      <c r="B7259" t="s">
        <v>37</v>
      </c>
    </row>
    <row r="7260" spans="1:2">
      <c r="A7260">
        <v>42</v>
      </c>
      <c r="B7260">
        <v>-0.91400000000000003</v>
      </c>
    </row>
    <row r="7261" spans="1:2">
      <c r="A7261">
        <v>42</v>
      </c>
      <c r="B7261" t="s">
        <v>38</v>
      </c>
    </row>
    <row r="7262" spans="1:2">
      <c r="A7262">
        <v>42</v>
      </c>
      <c r="B7262">
        <v>6.5000000000000002E-2</v>
      </c>
    </row>
    <row r="7263" spans="1:2">
      <c r="A7263">
        <v>42</v>
      </c>
      <c r="B7263" t="s">
        <v>39</v>
      </c>
    </row>
    <row r="7264" spans="1:2">
      <c r="A7264">
        <v>42</v>
      </c>
      <c r="B7264">
        <v>0.13500000000000001</v>
      </c>
    </row>
    <row r="7265" spans="1:2">
      <c r="A7265">
        <v>42</v>
      </c>
      <c r="B7265" t="s">
        <v>40</v>
      </c>
    </row>
    <row r="7266" spans="1:2">
      <c r="A7266">
        <v>42</v>
      </c>
      <c r="B7266" s="4">
        <v>0</v>
      </c>
    </row>
    <row r="7267" spans="1:2">
      <c r="A7267">
        <v>42</v>
      </c>
      <c r="B7267" t="s">
        <v>41</v>
      </c>
    </row>
    <row r="7268" spans="1:2">
      <c r="A7268">
        <v>42</v>
      </c>
      <c r="B7268" s="4">
        <v>190000000</v>
      </c>
    </row>
    <row r="7269" spans="1:2">
      <c r="A7269">
        <v>42</v>
      </c>
      <c r="B7269" t="s">
        <v>42</v>
      </c>
    </row>
    <row r="7270" spans="1:2">
      <c r="A7270">
        <v>42</v>
      </c>
      <c r="B7270" t="s">
        <v>44</v>
      </c>
    </row>
    <row r="7273" spans="1:2">
      <c r="A7273">
        <v>41</v>
      </c>
      <c r="B7273" t="s">
        <v>27</v>
      </c>
    </row>
    <row r="7274" spans="1:2">
      <c r="A7274">
        <v>41</v>
      </c>
      <c r="B7274" s="2">
        <v>0.32308999999999999</v>
      </c>
    </row>
    <row r="7275" spans="1:2">
      <c r="A7275">
        <v>41</v>
      </c>
      <c r="B7275" t="s">
        <v>1</v>
      </c>
    </row>
    <row r="7276" spans="1:2">
      <c r="A7276">
        <v>41</v>
      </c>
      <c r="B7276">
        <v>0.52</v>
      </c>
    </row>
    <row r="7277" spans="1:2">
      <c r="A7277">
        <v>41</v>
      </c>
      <c r="B7277" t="s">
        <v>28</v>
      </c>
    </row>
    <row r="7278" spans="1:2">
      <c r="A7278">
        <v>41</v>
      </c>
      <c r="B7278">
        <v>354</v>
      </c>
    </row>
    <row r="7279" spans="1:2">
      <c r="A7279">
        <v>41</v>
      </c>
      <c r="B7279" t="s">
        <v>25</v>
      </c>
    </row>
    <row r="7280" spans="1:2">
      <c r="A7280">
        <v>41</v>
      </c>
      <c r="B7280" s="2">
        <v>3.0000000000000001E-3</v>
      </c>
    </row>
    <row r="7281" spans="1:2">
      <c r="A7281">
        <v>41</v>
      </c>
      <c r="B7281" t="s">
        <v>29</v>
      </c>
    </row>
    <row r="7282" spans="1:2">
      <c r="A7282">
        <v>41</v>
      </c>
      <c r="B7282" s="2">
        <v>-1.1000000000000001E-3</v>
      </c>
    </row>
    <row r="7283" spans="1:2">
      <c r="A7283">
        <v>41</v>
      </c>
      <c r="B7283" t="s">
        <v>30</v>
      </c>
    </row>
    <row r="7284" spans="1:2">
      <c r="A7284">
        <v>41</v>
      </c>
      <c r="B7284" s="2">
        <v>6.2199999999999998E-3</v>
      </c>
    </row>
    <row r="7285" spans="1:2">
      <c r="A7285">
        <v>41</v>
      </c>
      <c r="B7285" t="s">
        <v>8</v>
      </c>
    </row>
    <row r="7286" spans="1:2">
      <c r="A7286">
        <v>41</v>
      </c>
      <c r="B7286" s="2">
        <v>8.0000000000000002E-3</v>
      </c>
    </row>
    <row r="7287" spans="1:2">
      <c r="A7287">
        <v>41</v>
      </c>
      <c r="B7287" t="s">
        <v>31</v>
      </c>
    </row>
    <row r="7288" spans="1:2">
      <c r="A7288">
        <v>41</v>
      </c>
      <c r="B7288">
        <v>0.38500000000000001</v>
      </c>
    </row>
    <row r="7289" spans="1:2">
      <c r="A7289">
        <v>41</v>
      </c>
      <c r="B7289" t="s">
        <v>32</v>
      </c>
    </row>
    <row r="7290" spans="1:2">
      <c r="A7290">
        <v>41</v>
      </c>
      <c r="B7290" s="2">
        <v>4.0000000000000001E-3</v>
      </c>
    </row>
    <row r="7291" spans="1:2">
      <c r="A7291">
        <v>41</v>
      </c>
      <c r="B7291" t="s">
        <v>33</v>
      </c>
    </row>
    <row r="7292" spans="1:2">
      <c r="A7292">
        <v>41</v>
      </c>
      <c r="B7292" s="3">
        <v>0.64</v>
      </c>
    </row>
    <row r="7293" spans="1:2">
      <c r="A7293">
        <v>41</v>
      </c>
      <c r="B7293" t="s">
        <v>34</v>
      </c>
    </row>
    <row r="7294" spans="1:2">
      <c r="A7294">
        <v>41</v>
      </c>
      <c r="B7294" s="3">
        <v>0.36</v>
      </c>
    </row>
    <row r="7295" spans="1:2">
      <c r="A7295">
        <v>41</v>
      </c>
      <c r="B7295" t="s">
        <v>26</v>
      </c>
    </row>
    <row r="7296" spans="1:2">
      <c r="A7296">
        <v>41</v>
      </c>
      <c r="B7296">
        <v>2.81</v>
      </c>
    </row>
    <row r="7297" spans="1:2">
      <c r="A7297">
        <v>41</v>
      </c>
      <c r="B7297" t="s">
        <v>23</v>
      </c>
    </row>
    <row r="7298" spans="1:2">
      <c r="A7298">
        <v>41</v>
      </c>
      <c r="B7298">
        <v>2E-3</v>
      </c>
    </row>
    <row r="7299" spans="1:2">
      <c r="A7299">
        <v>41</v>
      </c>
      <c r="B7299" t="s">
        <v>24</v>
      </c>
    </row>
    <row r="7300" spans="1:2">
      <c r="A7300">
        <v>41</v>
      </c>
      <c r="B7300">
        <v>3.2000000000000001E-2</v>
      </c>
    </row>
    <row r="7301" spans="1:2">
      <c r="A7301">
        <v>41</v>
      </c>
      <c r="B7301" t="s">
        <v>35</v>
      </c>
    </row>
    <row r="7302" spans="1:2">
      <c r="A7302">
        <v>41</v>
      </c>
      <c r="B7302">
        <v>8.0000000000000002E-3</v>
      </c>
    </row>
    <row r="7303" spans="1:2">
      <c r="A7303">
        <v>41</v>
      </c>
      <c r="B7303" t="s">
        <v>36</v>
      </c>
    </row>
    <row r="7304" spans="1:2">
      <c r="A7304">
        <v>41</v>
      </c>
      <c r="B7304">
        <v>0</v>
      </c>
    </row>
    <row r="7305" spans="1:2">
      <c r="A7305">
        <v>41</v>
      </c>
      <c r="B7305" t="s">
        <v>37</v>
      </c>
    </row>
    <row r="7306" spans="1:2">
      <c r="A7306">
        <v>41</v>
      </c>
      <c r="B7306">
        <v>-0.91400000000000003</v>
      </c>
    </row>
    <row r="7307" spans="1:2">
      <c r="A7307">
        <v>41</v>
      </c>
      <c r="B7307" t="s">
        <v>38</v>
      </c>
    </row>
    <row r="7308" spans="1:2">
      <c r="A7308">
        <v>41</v>
      </c>
      <c r="B7308">
        <v>6.5000000000000002E-2</v>
      </c>
    </row>
    <row r="7309" spans="1:2">
      <c r="A7309">
        <v>41</v>
      </c>
      <c r="B7309" t="s">
        <v>39</v>
      </c>
    </row>
    <row r="7310" spans="1:2">
      <c r="A7310">
        <v>41</v>
      </c>
      <c r="B7310">
        <v>0.13500000000000001</v>
      </c>
    </row>
    <row r="7311" spans="1:2">
      <c r="A7311">
        <v>41</v>
      </c>
      <c r="B7311" t="s">
        <v>40</v>
      </c>
    </row>
    <row r="7312" spans="1:2">
      <c r="A7312">
        <v>41</v>
      </c>
      <c r="B7312" s="4">
        <v>0</v>
      </c>
    </row>
    <row r="7313" spans="1:2">
      <c r="A7313">
        <v>41</v>
      </c>
      <c r="B7313" t="s">
        <v>41</v>
      </c>
    </row>
    <row r="7314" spans="1:2">
      <c r="A7314">
        <v>41</v>
      </c>
      <c r="B7314" s="4">
        <v>190000000</v>
      </c>
    </row>
    <row r="7315" spans="1:2">
      <c r="A7315">
        <v>41</v>
      </c>
      <c r="B7315" t="s">
        <v>42</v>
      </c>
    </row>
    <row r="7316" spans="1:2">
      <c r="A7316">
        <v>41</v>
      </c>
      <c r="B7316" t="s">
        <v>44</v>
      </c>
    </row>
    <row r="7319" spans="1:2">
      <c r="A7319">
        <v>39</v>
      </c>
      <c r="B7319" t="s">
        <v>27</v>
      </c>
    </row>
    <row r="7320" spans="1:2">
      <c r="A7320">
        <v>39</v>
      </c>
      <c r="B7320" s="2">
        <v>0.32308999999999999</v>
      </c>
    </row>
    <row r="7321" spans="1:2">
      <c r="A7321">
        <v>39</v>
      </c>
      <c r="B7321" s="2" t="s">
        <v>1</v>
      </c>
    </row>
    <row r="7322" spans="1:2">
      <c r="A7322">
        <v>39</v>
      </c>
      <c r="B7322">
        <v>0.52</v>
      </c>
    </row>
    <row r="7323" spans="1:2">
      <c r="A7323">
        <v>39</v>
      </c>
      <c r="B7323" s="3" t="s">
        <v>28</v>
      </c>
    </row>
    <row r="7324" spans="1:2">
      <c r="A7324">
        <v>39</v>
      </c>
      <c r="B7324">
        <v>354</v>
      </c>
    </row>
    <row r="7325" spans="1:2">
      <c r="A7325">
        <v>39</v>
      </c>
      <c r="B7325" s="3" t="s">
        <v>25</v>
      </c>
    </row>
    <row r="7326" spans="1:2">
      <c r="A7326">
        <v>39</v>
      </c>
      <c r="B7326" s="2">
        <v>3.0000000000000001E-3</v>
      </c>
    </row>
    <row r="7327" spans="1:2">
      <c r="A7327">
        <v>39</v>
      </c>
      <c r="B7327" t="s">
        <v>29</v>
      </c>
    </row>
    <row r="7328" spans="1:2">
      <c r="A7328">
        <v>39</v>
      </c>
      <c r="B7328" s="2">
        <v>-1.1000000000000001E-3</v>
      </c>
    </row>
    <row r="7329" spans="1:2">
      <c r="A7329">
        <v>39</v>
      </c>
      <c r="B7329" t="s">
        <v>30</v>
      </c>
    </row>
    <row r="7330" spans="1:2">
      <c r="A7330">
        <v>39</v>
      </c>
      <c r="B7330" s="2">
        <v>6.2199999999999998E-3</v>
      </c>
    </row>
    <row r="7331" spans="1:2">
      <c r="A7331">
        <v>39</v>
      </c>
      <c r="B7331" t="s">
        <v>8</v>
      </c>
    </row>
    <row r="7332" spans="1:2">
      <c r="A7332">
        <v>39</v>
      </c>
      <c r="B7332" s="2">
        <v>8.0000000000000002E-3</v>
      </c>
    </row>
    <row r="7333" spans="1:2">
      <c r="A7333">
        <v>39</v>
      </c>
      <c r="B7333" t="s">
        <v>31</v>
      </c>
    </row>
    <row r="7334" spans="1:2">
      <c r="A7334">
        <v>39</v>
      </c>
      <c r="B7334">
        <v>0.38500000000000001</v>
      </c>
    </row>
    <row r="7335" spans="1:2">
      <c r="A7335">
        <v>39</v>
      </c>
      <c r="B7335" t="s">
        <v>32</v>
      </c>
    </row>
    <row r="7336" spans="1:2">
      <c r="A7336">
        <v>39</v>
      </c>
      <c r="B7336" s="2">
        <v>4.0000000000000001E-3</v>
      </c>
    </row>
    <row r="7337" spans="1:2">
      <c r="A7337">
        <v>39</v>
      </c>
      <c r="B7337" t="s">
        <v>33</v>
      </c>
    </row>
    <row r="7338" spans="1:2">
      <c r="A7338">
        <v>39</v>
      </c>
      <c r="B7338" s="3">
        <v>0.64</v>
      </c>
    </row>
    <row r="7339" spans="1:2">
      <c r="A7339">
        <v>39</v>
      </c>
      <c r="B7339" t="s">
        <v>34</v>
      </c>
    </row>
    <row r="7340" spans="1:2">
      <c r="A7340">
        <v>39</v>
      </c>
      <c r="B7340" s="3">
        <v>0.36</v>
      </c>
    </row>
    <row r="7341" spans="1:2">
      <c r="A7341">
        <v>39</v>
      </c>
      <c r="B7341" t="s">
        <v>26</v>
      </c>
    </row>
    <row r="7342" spans="1:2">
      <c r="A7342">
        <v>39</v>
      </c>
      <c r="B7342">
        <v>2.81</v>
      </c>
    </row>
    <row r="7343" spans="1:2">
      <c r="A7343">
        <v>39</v>
      </c>
      <c r="B7343" s="4" t="s">
        <v>23</v>
      </c>
    </row>
    <row r="7344" spans="1:2">
      <c r="A7344">
        <v>39</v>
      </c>
      <c r="B7344">
        <v>2E-3</v>
      </c>
    </row>
    <row r="7345" spans="1:2">
      <c r="A7345">
        <v>39</v>
      </c>
      <c r="B7345" s="4" t="s">
        <v>24</v>
      </c>
    </row>
    <row r="7346" spans="1:2">
      <c r="A7346">
        <v>39</v>
      </c>
      <c r="B7346">
        <v>3.2000000000000001E-2</v>
      </c>
    </row>
    <row r="7347" spans="1:2">
      <c r="A7347">
        <v>39</v>
      </c>
      <c r="B7347" t="s">
        <v>35</v>
      </c>
    </row>
    <row r="7348" spans="1:2">
      <c r="A7348">
        <v>39</v>
      </c>
      <c r="B7348">
        <v>8.0000000000000002E-3</v>
      </c>
    </row>
    <row r="7349" spans="1:2">
      <c r="A7349">
        <v>39</v>
      </c>
      <c r="B7349" t="s">
        <v>36</v>
      </c>
    </row>
    <row r="7350" spans="1:2">
      <c r="A7350">
        <v>39</v>
      </c>
      <c r="B7350">
        <v>0</v>
      </c>
    </row>
    <row r="7351" spans="1:2">
      <c r="A7351">
        <v>39</v>
      </c>
      <c r="B7351" t="s">
        <v>37</v>
      </c>
    </row>
    <row r="7352" spans="1:2">
      <c r="A7352">
        <v>39</v>
      </c>
      <c r="B7352">
        <v>-0.91400000000000003</v>
      </c>
    </row>
    <row r="7353" spans="1:2">
      <c r="A7353">
        <v>39</v>
      </c>
      <c r="B7353" t="s">
        <v>38</v>
      </c>
    </row>
    <row r="7354" spans="1:2">
      <c r="A7354">
        <v>39</v>
      </c>
      <c r="B7354">
        <v>6.5000000000000002E-2</v>
      </c>
    </row>
    <row r="7355" spans="1:2">
      <c r="A7355">
        <v>39</v>
      </c>
      <c r="B7355" t="s">
        <v>39</v>
      </c>
    </row>
    <row r="7356" spans="1:2">
      <c r="A7356">
        <v>39</v>
      </c>
      <c r="B7356">
        <v>0.13500000000000001</v>
      </c>
    </row>
    <row r="7357" spans="1:2">
      <c r="A7357">
        <v>39</v>
      </c>
      <c r="B7357" t="s">
        <v>40</v>
      </c>
    </row>
    <row r="7358" spans="1:2">
      <c r="A7358">
        <v>39</v>
      </c>
      <c r="B7358" s="4">
        <v>0</v>
      </c>
    </row>
    <row r="7359" spans="1:2">
      <c r="A7359">
        <v>39</v>
      </c>
      <c r="B7359" t="s">
        <v>41</v>
      </c>
    </row>
    <row r="7360" spans="1:2">
      <c r="A7360">
        <v>39</v>
      </c>
      <c r="B7360" s="4">
        <v>190000000</v>
      </c>
    </row>
    <row r="7361" spans="1:2">
      <c r="A7361">
        <v>39</v>
      </c>
      <c r="B7361" t="s">
        <v>42</v>
      </c>
    </row>
    <row r="7362" spans="1:2">
      <c r="A7362">
        <v>39</v>
      </c>
      <c r="B7362" t="s">
        <v>44</v>
      </c>
    </row>
    <row r="7364" spans="1:2">
      <c r="A7364">
        <v>40</v>
      </c>
      <c r="B7364" t="s">
        <v>27</v>
      </c>
    </row>
    <row r="7365" spans="1:2">
      <c r="A7365">
        <v>40</v>
      </c>
      <c r="B7365" s="2">
        <v>0.32308999999999999</v>
      </c>
    </row>
    <row r="7366" spans="1:2">
      <c r="A7366">
        <v>40</v>
      </c>
      <c r="B7366" t="s">
        <v>1</v>
      </c>
    </row>
    <row r="7367" spans="1:2">
      <c r="A7367">
        <v>40</v>
      </c>
      <c r="B7367">
        <v>0.52</v>
      </c>
    </row>
    <row r="7368" spans="1:2">
      <c r="A7368">
        <v>40</v>
      </c>
      <c r="B7368" t="s">
        <v>28</v>
      </c>
    </row>
    <row r="7369" spans="1:2">
      <c r="A7369">
        <v>40</v>
      </c>
      <c r="B7369">
        <v>354</v>
      </c>
    </row>
    <row r="7370" spans="1:2">
      <c r="A7370">
        <v>40</v>
      </c>
      <c r="B7370" t="s">
        <v>25</v>
      </c>
    </row>
    <row r="7371" spans="1:2">
      <c r="A7371">
        <v>40</v>
      </c>
      <c r="B7371" s="2">
        <v>3.0000000000000001E-3</v>
      </c>
    </row>
    <row r="7372" spans="1:2">
      <c r="A7372">
        <v>40</v>
      </c>
      <c r="B7372" t="s">
        <v>29</v>
      </c>
    </row>
    <row r="7373" spans="1:2">
      <c r="A7373">
        <v>40</v>
      </c>
      <c r="B7373" s="2">
        <v>-1.1000000000000001E-3</v>
      </c>
    </row>
    <row r="7374" spans="1:2">
      <c r="A7374">
        <v>40</v>
      </c>
      <c r="B7374" t="s">
        <v>30</v>
      </c>
    </row>
    <row r="7375" spans="1:2">
      <c r="A7375">
        <v>40</v>
      </c>
      <c r="B7375" s="2">
        <v>6.2199999999999998E-3</v>
      </c>
    </row>
    <row r="7376" spans="1:2">
      <c r="A7376">
        <v>40</v>
      </c>
      <c r="B7376" t="s">
        <v>8</v>
      </c>
    </row>
    <row r="7377" spans="1:2">
      <c r="A7377">
        <v>40</v>
      </c>
      <c r="B7377" s="2">
        <v>8.0000000000000002E-3</v>
      </c>
    </row>
    <row r="7378" spans="1:2">
      <c r="A7378">
        <v>40</v>
      </c>
      <c r="B7378" t="s">
        <v>31</v>
      </c>
    </row>
    <row r="7379" spans="1:2">
      <c r="A7379">
        <v>40</v>
      </c>
      <c r="B7379">
        <v>0.38500000000000001</v>
      </c>
    </row>
    <row r="7380" spans="1:2">
      <c r="A7380">
        <v>40</v>
      </c>
      <c r="B7380" t="s">
        <v>32</v>
      </c>
    </row>
    <row r="7381" spans="1:2">
      <c r="A7381">
        <v>40</v>
      </c>
      <c r="B7381" s="2">
        <v>4.0000000000000001E-3</v>
      </c>
    </row>
    <row r="7382" spans="1:2">
      <c r="A7382">
        <v>40</v>
      </c>
      <c r="B7382" t="s">
        <v>33</v>
      </c>
    </row>
    <row r="7383" spans="1:2">
      <c r="A7383">
        <v>40</v>
      </c>
      <c r="B7383" s="3">
        <v>0.64</v>
      </c>
    </row>
    <row r="7384" spans="1:2">
      <c r="A7384">
        <v>40</v>
      </c>
      <c r="B7384" t="s">
        <v>34</v>
      </c>
    </row>
    <row r="7385" spans="1:2">
      <c r="A7385">
        <v>40</v>
      </c>
      <c r="B7385" s="3">
        <v>0.36</v>
      </c>
    </row>
    <row r="7386" spans="1:2">
      <c r="A7386">
        <v>40</v>
      </c>
      <c r="B7386" t="s">
        <v>26</v>
      </c>
    </row>
    <row r="7387" spans="1:2">
      <c r="A7387">
        <v>40</v>
      </c>
      <c r="B7387">
        <v>2.81</v>
      </c>
    </row>
    <row r="7388" spans="1:2">
      <c r="A7388">
        <v>40</v>
      </c>
      <c r="B7388" t="s">
        <v>23</v>
      </c>
    </row>
    <row r="7389" spans="1:2">
      <c r="A7389">
        <v>40</v>
      </c>
      <c r="B7389">
        <v>2E-3</v>
      </c>
    </row>
    <row r="7390" spans="1:2">
      <c r="A7390">
        <v>40</v>
      </c>
      <c r="B7390" t="s">
        <v>24</v>
      </c>
    </row>
    <row r="7391" spans="1:2">
      <c r="A7391">
        <v>40</v>
      </c>
      <c r="B7391">
        <v>3.2000000000000001E-2</v>
      </c>
    </row>
    <row r="7392" spans="1:2">
      <c r="A7392">
        <v>40</v>
      </c>
      <c r="B7392" t="s">
        <v>35</v>
      </c>
    </row>
    <row r="7393" spans="1:2">
      <c r="A7393">
        <v>40</v>
      </c>
      <c r="B7393">
        <v>8.0000000000000002E-3</v>
      </c>
    </row>
    <row r="7394" spans="1:2">
      <c r="A7394">
        <v>40</v>
      </c>
      <c r="B7394" t="s">
        <v>36</v>
      </c>
    </row>
    <row r="7395" spans="1:2">
      <c r="A7395">
        <v>40</v>
      </c>
      <c r="B7395">
        <v>0</v>
      </c>
    </row>
    <row r="7396" spans="1:2">
      <c r="A7396">
        <v>40</v>
      </c>
      <c r="B7396" t="s">
        <v>37</v>
      </c>
    </row>
    <row r="7397" spans="1:2">
      <c r="A7397">
        <v>40</v>
      </c>
      <c r="B7397">
        <v>-0.91400000000000003</v>
      </c>
    </row>
    <row r="7398" spans="1:2">
      <c r="A7398">
        <v>40</v>
      </c>
      <c r="B7398" t="s">
        <v>38</v>
      </c>
    </row>
    <row r="7399" spans="1:2">
      <c r="A7399">
        <v>40</v>
      </c>
      <c r="B7399">
        <v>6.5000000000000002E-2</v>
      </c>
    </row>
    <row r="7400" spans="1:2">
      <c r="A7400">
        <v>40</v>
      </c>
      <c r="B7400" t="s">
        <v>39</v>
      </c>
    </row>
    <row r="7401" spans="1:2">
      <c r="A7401">
        <v>40</v>
      </c>
      <c r="B7401">
        <v>0.13500000000000001</v>
      </c>
    </row>
    <row r="7402" spans="1:2">
      <c r="A7402">
        <v>40</v>
      </c>
      <c r="B7402" t="s">
        <v>40</v>
      </c>
    </row>
    <row r="7403" spans="1:2">
      <c r="A7403">
        <v>40</v>
      </c>
      <c r="B7403" s="4">
        <v>0</v>
      </c>
    </row>
    <row r="7404" spans="1:2">
      <c r="A7404">
        <v>40</v>
      </c>
      <c r="B7404" t="s">
        <v>41</v>
      </c>
    </row>
    <row r="7405" spans="1:2">
      <c r="A7405">
        <v>40</v>
      </c>
      <c r="B7405" s="4">
        <v>190000000</v>
      </c>
    </row>
    <row r="7406" spans="1:2">
      <c r="A7406">
        <v>40</v>
      </c>
      <c r="B7406" t="s">
        <v>42</v>
      </c>
    </row>
    <row r="7407" spans="1:2">
      <c r="A7407">
        <v>40</v>
      </c>
      <c r="B7407" t="s">
        <v>44</v>
      </c>
    </row>
    <row r="7409" spans="1:2">
      <c r="A7409">
        <v>38</v>
      </c>
    </row>
    <row r="7410" spans="1:2">
      <c r="A7410">
        <v>38</v>
      </c>
      <c r="B7410" t="s">
        <v>27</v>
      </c>
    </row>
    <row r="7411" spans="1:2">
      <c r="A7411">
        <v>38</v>
      </c>
      <c r="B7411" s="2">
        <v>0.32308999999999999</v>
      </c>
    </row>
    <row r="7412" spans="1:2">
      <c r="A7412">
        <v>38</v>
      </c>
      <c r="B7412" t="s">
        <v>1</v>
      </c>
    </row>
    <row r="7413" spans="1:2">
      <c r="A7413">
        <v>38</v>
      </c>
      <c r="B7413">
        <v>0.52</v>
      </c>
    </row>
    <row r="7414" spans="1:2">
      <c r="A7414">
        <v>38</v>
      </c>
      <c r="B7414" t="s">
        <v>28</v>
      </c>
    </row>
    <row r="7415" spans="1:2">
      <c r="A7415">
        <v>38</v>
      </c>
      <c r="B7415">
        <v>354</v>
      </c>
    </row>
    <row r="7416" spans="1:2">
      <c r="A7416">
        <v>38</v>
      </c>
      <c r="B7416" t="s">
        <v>25</v>
      </c>
    </row>
    <row r="7417" spans="1:2">
      <c r="A7417">
        <v>38</v>
      </c>
      <c r="B7417" s="2">
        <v>3.0000000000000001E-3</v>
      </c>
    </row>
    <row r="7418" spans="1:2">
      <c r="A7418">
        <v>38</v>
      </c>
      <c r="B7418" t="s">
        <v>29</v>
      </c>
    </row>
    <row r="7419" spans="1:2">
      <c r="A7419">
        <v>38</v>
      </c>
      <c r="B7419" s="2">
        <v>-1.1000000000000001E-3</v>
      </c>
    </row>
    <row r="7420" spans="1:2">
      <c r="A7420">
        <v>38</v>
      </c>
      <c r="B7420" t="s">
        <v>30</v>
      </c>
    </row>
    <row r="7421" spans="1:2">
      <c r="A7421">
        <v>38</v>
      </c>
      <c r="B7421" s="2">
        <v>6.2199999999999998E-3</v>
      </c>
    </row>
    <row r="7422" spans="1:2">
      <c r="A7422">
        <v>38</v>
      </c>
      <c r="B7422" t="s">
        <v>8</v>
      </c>
    </row>
    <row r="7423" spans="1:2">
      <c r="A7423">
        <v>38</v>
      </c>
      <c r="B7423" s="2">
        <v>8.0000000000000002E-3</v>
      </c>
    </row>
    <row r="7424" spans="1:2">
      <c r="A7424">
        <v>38</v>
      </c>
      <c r="B7424" t="s">
        <v>31</v>
      </c>
    </row>
    <row r="7425" spans="1:2">
      <c r="A7425">
        <v>38</v>
      </c>
      <c r="B7425">
        <v>0.38500000000000001</v>
      </c>
    </row>
    <row r="7426" spans="1:2">
      <c r="A7426">
        <v>38</v>
      </c>
      <c r="B7426" t="s">
        <v>32</v>
      </c>
    </row>
    <row r="7427" spans="1:2">
      <c r="A7427">
        <v>38</v>
      </c>
      <c r="B7427" s="2">
        <v>4.0000000000000001E-3</v>
      </c>
    </row>
    <row r="7428" spans="1:2">
      <c r="A7428">
        <v>38</v>
      </c>
      <c r="B7428" t="s">
        <v>33</v>
      </c>
    </row>
    <row r="7429" spans="1:2">
      <c r="A7429">
        <v>38</v>
      </c>
      <c r="B7429" s="3">
        <v>0.64</v>
      </c>
    </row>
    <row r="7430" spans="1:2">
      <c r="A7430">
        <v>38</v>
      </c>
      <c r="B7430" t="s">
        <v>34</v>
      </c>
    </row>
    <row r="7431" spans="1:2">
      <c r="A7431">
        <v>38</v>
      </c>
      <c r="B7431" s="3">
        <v>0.36</v>
      </c>
    </row>
    <row r="7432" spans="1:2">
      <c r="A7432">
        <v>38</v>
      </c>
      <c r="B7432" t="s">
        <v>26</v>
      </c>
    </row>
    <row r="7433" spans="1:2">
      <c r="A7433">
        <v>38</v>
      </c>
      <c r="B7433">
        <v>2.81</v>
      </c>
    </row>
    <row r="7434" spans="1:2">
      <c r="A7434">
        <v>38</v>
      </c>
      <c r="B7434" t="s">
        <v>23</v>
      </c>
    </row>
    <row r="7435" spans="1:2">
      <c r="A7435">
        <v>38</v>
      </c>
      <c r="B7435">
        <v>2E-3</v>
      </c>
    </row>
    <row r="7436" spans="1:2">
      <c r="A7436">
        <v>38</v>
      </c>
      <c r="B7436" t="s">
        <v>24</v>
      </c>
    </row>
    <row r="7437" spans="1:2">
      <c r="A7437">
        <v>38</v>
      </c>
      <c r="B7437">
        <v>3.2000000000000001E-2</v>
      </c>
    </row>
    <row r="7438" spans="1:2">
      <c r="A7438">
        <v>38</v>
      </c>
      <c r="B7438" t="s">
        <v>35</v>
      </c>
    </row>
    <row r="7439" spans="1:2">
      <c r="A7439">
        <v>38</v>
      </c>
      <c r="B7439">
        <v>8.0000000000000002E-3</v>
      </c>
    </row>
    <row r="7440" spans="1:2">
      <c r="A7440">
        <v>38</v>
      </c>
      <c r="B7440" t="s">
        <v>36</v>
      </c>
    </row>
    <row r="7441" spans="1:2">
      <c r="A7441">
        <v>38</v>
      </c>
      <c r="B7441">
        <v>0</v>
      </c>
    </row>
    <row r="7442" spans="1:2">
      <c r="A7442">
        <v>38</v>
      </c>
      <c r="B7442" t="s">
        <v>37</v>
      </c>
    </row>
    <row r="7443" spans="1:2">
      <c r="A7443">
        <v>38</v>
      </c>
      <c r="B7443">
        <v>-0.91400000000000003</v>
      </c>
    </row>
    <row r="7444" spans="1:2">
      <c r="A7444">
        <v>38</v>
      </c>
      <c r="B7444" t="s">
        <v>38</v>
      </c>
    </row>
    <row r="7445" spans="1:2">
      <c r="A7445">
        <v>38</v>
      </c>
      <c r="B7445">
        <v>6.5000000000000002E-2</v>
      </c>
    </row>
    <row r="7446" spans="1:2">
      <c r="A7446">
        <v>38</v>
      </c>
      <c r="B7446" t="s">
        <v>39</v>
      </c>
    </row>
    <row r="7447" spans="1:2">
      <c r="A7447">
        <v>38</v>
      </c>
      <c r="B7447">
        <v>0.13500000000000001</v>
      </c>
    </row>
    <row r="7448" spans="1:2">
      <c r="A7448">
        <v>38</v>
      </c>
      <c r="B7448" t="s">
        <v>40</v>
      </c>
    </row>
    <row r="7449" spans="1:2">
      <c r="A7449">
        <v>38</v>
      </c>
      <c r="B7449" s="4">
        <v>0</v>
      </c>
    </row>
    <row r="7450" spans="1:2">
      <c r="A7450">
        <v>38</v>
      </c>
      <c r="B7450" t="s">
        <v>41</v>
      </c>
    </row>
    <row r="7451" spans="1:2">
      <c r="A7451">
        <v>38</v>
      </c>
      <c r="B7451" s="4">
        <v>190000000</v>
      </c>
    </row>
    <row r="7452" spans="1:2">
      <c r="A7452">
        <v>38</v>
      </c>
      <c r="B7452" t="s">
        <v>42</v>
      </c>
    </row>
    <row r="7453" spans="1:2">
      <c r="A7453">
        <v>38</v>
      </c>
      <c r="B7453" t="s">
        <v>44</v>
      </c>
    </row>
    <row r="7456" spans="1:2">
      <c r="A7456">
        <v>37</v>
      </c>
      <c r="B7456" t="s">
        <v>27</v>
      </c>
    </row>
    <row r="7457" spans="1:2">
      <c r="A7457">
        <v>37</v>
      </c>
      <c r="B7457" s="2">
        <v>0.32308999999999999</v>
      </c>
    </row>
    <row r="7458" spans="1:2">
      <c r="A7458">
        <v>37</v>
      </c>
      <c r="B7458" t="s">
        <v>1</v>
      </c>
    </row>
    <row r="7459" spans="1:2">
      <c r="A7459">
        <v>37</v>
      </c>
      <c r="B7459">
        <v>0.52</v>
      </c>
    </row>
    <row r="7460" spans="1:2">
      <c r="A7460">
        <v>37</v>
      </c>
      <c r="B7460" t="s">
        <v>28</v>
      </c>
    </row>
    <row r="7461" spans="1:2">
      <c r="A7461">
        <v>37</v>
      </c>
      <c r="B7461">
        <v>354</v>
      </c>
    </row>
    <row r="7462" spans="1:2">
      <c r="A7462">
        <v>37</v>
      </c>
      <c r="B7462" t="s">
        <v>25</v>
      </c>
    </row>
    <row r="7463" spans="1:2">
      <c r="A7463">
        <v>37</v>
      </c>
      <c r="B7463" s="2">
        <v>3.0000000000000001E-3</v>
      </c>
    </row>
    <row r="7464" spans="1:2">
      <c r="A7464">
        <v>37</v>
      </c>
      <c r="B7464" t="s">
        <v>29</v>
      </c>
    </row>
    <row r="7465" spans="1:2">
      <c r="A7465">
        <v>37</v>
      </c>
      <c r="B7465" s="2">
        <v>-1.1000000000000001E-3</v>
      </c>
    </row>
    <row r="7466" spans="1:2">
      <c r="A7466">
        <v>37</v>
      </c>
      <c r="B7466" t="s">
        <v>30</v>
      </c>
    </row>
    <row r="7467" spans="1:2">
      <c r="A7467">
        <v>37</v>
      </c>
      <c r="B7467" s="2">
        <v>6.2199999999999998E-3</v>
      </c>
    </row>
    <row r="7468" spans="1:2">
      <c r="A7468">
        <v>37</v>
      </c>
      <c r="B7468" t="s">
        <v>8</v>
      </c>
    </row>
    <row r="7469" spans="1:2">
      <c r="A7469">
        <v>37</v>
      </c>
      <c r="B7469" s="2">
        <v>8.0000000000000002E-3</v>
      </c>
    </row>
    <row r="7470" spans="1:2">
      <c r="A7470">
        <v>37</v>
      </c>
      <c r="B7470" t="s">
        <v>31</v>
      </c>
    </row>
    <row r="7471" spans="1:2">
      <c r="A7471">
        <v>37</v>
      </c>
      <c r="B7471">
        <v>0.38500000000000001</v>
      </c>
    </row>
    <row r="7472" spans="1:2">
      <c r="A7472">
        <v>37</v>
      </c>
      <c r="B7472" t="s">
        <v>32</v>
      </c>
    </row>
    <row r="7473" spans="1:2">
      <c r="A7473">
        <v>37</v>
      </c>
      <c r="B7473" s="2">
        <v>4.0000000000000001E-3</v>
      </c>
    </row>
    <row r="7474" spans="1:2">
      <c r="A7474">
        <v>37</v>
      </c>
      <c r="B7474" t="s">
        <v>33</v>
      </c>
    </row>
    <row r="7475" spans="1:2">
      <c r="A7475">
        <v>37</v>
      </c>
      <c r="B7475" s="3">
        <v>0.64</v>
      </c>
    </row>
    <row r="7476" spans="1:2">
      <c r="A7476">
        <v>37</v>
      </c>
      <c r="B7476" t="s">
        <v>34</v>
      </c>
    </row>
    <row r="7477" spans="1:2">
      <c r="A7477">
        <v>37</v>
      </c>
      <c r="B7477" s="3">
        <v>0.36</v>
      </c>
    </row>
    <row r="7478" spans="1:2">
      <c r="A7478">
        <v>37</v>
      </c>
      <c r="B7478" t="s">
        <v>26</v>
      </c>
    </row>
    <row r="7479" spans="1:2">
      <c r="A7479">
        <v>37</v>
      </c>
      <c r="B7479">
        <v>2.81</v>
      </c>
    </row>
    <row r="7480" spans="1:2">
      <c r="A7480">
        <v>37</v>
      </c>
      <c r="B7480" t="s">
        <v>23</v>
      </c>
    </row>
    <row r="7481" spans="1:2">
      <c r="A7481">
        <v>37</v>
      </c>
      <c r="B7481">
        <v>2E-3</v>
      </c>
    </row>
    <row r="7482" spans="1:2">
      <c r="A7482">
        <v>37</v>
      </c>
      <c r="B7482" t="s">
        <v>24</v>
      </c>
    </row>
    <row r="7483" spans="1:2">
      <c r="A7483">
        <v>37</v>
      </c>
      <c r="B7483">
        <v>3.2000000000000001E-2</v>
      </c>
    </row>
    <row r="7484" spans="1:2">
      <c r="A7484">
        <v>37</v>
      </c>
      <c r="B7484" t="s">
        <v>35</v>
      </c>
    </row>
    <row r="7485" spans="1:2">
      <c r="A7485">
        <v>37</v>
      </c>
      <c r="B7485">
        <v>8.0000000000000002E-3</v>
      </c>
    </row>
    <row r="7486" spans="1:2">
      <c r="A7486">
        <v>37</v>
      </c>
      <c r="B7486" t="s">
        <v>36</v>
      </c>
    </row>
    <row r="7487" spans="1:2">
      <c r="A7487">
        <v>37</v>
      </c>
      <c r="B7487">
        <v>0</v>
      </c>
    </row>
    <row r="7488" spans="1:2">
      <c r="A7488">
        <v>37</v>
      </c>
      <c r="B7488" t="s">
        <v>37</v>
      </c>
    </row>
    <row r="7489" spans="1:2">
      <c r="A7489">
        <v>37</v>
      </c>
      <c r="B7489">
        <v>-0.91400000000000003</v>
      </c>
    </row>
    <row r="7490" spans="1:2">
      <c r="A7490">
        <v>37</v>
      </c>
      <c r="B7490" t="s">
        <v>38</v>
      </c>
    </row>
    <row r="7491" spans="1:2">
      <c r="A7491">
        <v>37</v>
      </c>
      <c r="B7491">
        <v>6.5000000000000002E-2</v>
      </c>
    </row>
    <row r="7492" spans="1:2">
      <c r="A7492">
        <v>37</v>
      </c>
      <c r="B7492" t="s">
        <v>39</v>
      </c>
    </row>
    <row r="7493" spans="1:2">
      <c r="A7493">
        <v>37</v>
      </c>
      <c r="B7493">
        <v>0.13500000000000001</v>
      </c>
    </row>
    <row r="7494" spans="1:2">
      <c r="A7494">
        <v>37</v>
      </c>
      <c r="B7494" t="s">
        <v>40</v>
      </c>
    </row>
    <row r="7495" spans="1:2">
      <c r="A7495">
        <v>37</v>
      </c>
      <c r="B7495" s="4">
        <v>0</v>
      </c>
    </row>
    <row r="7496" spans="1:2">
      <c r="A7496">
        <v>37</v>
      </c>
      <c r="B7496" t="s">
        <v>41</v>
      </c>
    </row>
    <row r="7497" spans="1:2">
      <c r="A7497">
        <v>37</v>
      </c>
      <c r="B7497" s="4">
        <v>190000000</v>
      </c>
    </row>
    <row r="7498" spans="1:2">
      <c r="A7498">
        <v>37</v>
      </c>
      <c r="B7498" t="s">
        <v>42</v>
      </c>
    </row>
    <row r="7499" spans="1:2">
      <c r="A7499">
        <v>37</v>
      </c>
      <c r="B7499" t="s">
        <v>44</v>
      </c>
    </row>
    <row r="7502" spans="1:2">
      <c r="A7502">
        <v>27</v>
      </c>
      <c r="B7502" t="s">
        <v>27</v>
      </c>
    </row>
    <row r="7503" spans="1:2">
      <c r="A7503">
        <v>27</v>
      </c>
      <c r="B7503" s="2">
        <v>0.32308999999999999</v>
      </c>
    </row>
    <row r="7504" spans="1:2">
      <c r="A7504">
        <v>27</v>
      </c>
      <c r="B7504" t="s">
        <v>1</v>
      </c>
    </row>
    <row r="7505" spans="1:2">
      <c r="A7505">
        <v>27</v>
      </c>
      <c r="B7505">
        <v>0.52</v>
      </c>
    </row>
    <row r="7506" spans="1:2">
      <c r="A7506">
        <v>27</v>
      </c>
      <c r="B7506" t="s">
        <v>28</v>
      </c>
    </row>
    <row r="7507" spans="1:2">
      <c r="A7507">
        <v>27</v>
      </c>
      <c r="B7507">
        <v>354</v>
      </c>
    </row>
    <row r="7508" spans="1:2">
      <c r="A7508">
        <v>27</v>
      </c>
      <c r="B7508" t="s">
        <v>25</v>
      </c>
    </row>
    <row r="7509" spans="1:2">
      <c r="A7509">
        <v>27</v>
      </c>
      <c r="B7509" s="2">
        <v>3.0000000000000001E-3</v>
      </c>
    </row>
    <row r="7510" spans="1:2">
      <c r="A7510">
        <v>27</v>
      </c>
      <c r="B7510" t="s">
        <v>29</v>
      </c>
    </row>
    <row r="7511" spans="1:2">
      <c r="A7511">
        <v>27</v>
      </c>
      <c r="B7511" s="2">
        <v>-1.1000000000000001E-3</v>
      </c>
    </row>
    <row r="7512" spans="1:2">
      <c r="A7512">
        <v>27</v>
      </c>
      <c r="B7512" t="s">
        <v>30</v>
      </c>
    </row>
    <row r="7513" spans="1:2">
      <c r="A7513">
        <v>27</v>
      </c>
      <c r="B7513" s="2">
        <v>6.2199999999999998E-3</v>
      </c>
    </row>
    <row r="7514" spans="1:2">
      <c r="A7514">
        <v>27</v>
      </c>
      <c r="B7514" t="s">
        <v>8</v>
      </c>
    </row>
    <row r="7515" spans="1:2">
      <c r="A7515">
        <v>27</v>
      </c>
      <c r="B7515" s="2">
        <v>8.0000000000000002E-3</v>
      </c>
    </row>
    <row r="7516" spans="1:2">
      <c r="A7516">
        <v>27</v>
      </c>
      <c r="B7516" t="s">
        <v>31</v>
      </c>
    </row>
    <row r="7517" spans="1:2">
      <c r="A7517">
        <v>27</v>
      </c>
      <c r="B7517">
        <v>0.38500000000000001</v>
      </c>
    </row>
    <row r="7518" spans="1:2">
      <c r="A7518">
        <v>27</v>
      </c>
      <c r="B7518" t="s">
        <v>32</v>
      </c>
    </row>
    <row r="7519" spans="1:2">
      <c r="A7519">
        <v>27</v>
      </c>
      <c r="B7519" s="2">
        <v>4.0000000000000001E-3</v>
      </c>
    </row>
    <row r="7520" spans="1:2">
      <c r="A7520">
        <v>27</v>
      </c>
      <c r="B7520" t="s">
        <v>33</v>
      </c>
    </row>
    <row r="7521" spans="1:2">
      <c r="A7521">
        <v>27</v>
      </c>
      <c r="B7521" s="3">
        <v>0.64</v>
      </c>
    </row>
    <row r="7522" spans="1:2">
      <c r="A7522">
        <v>27</v>
      </c>
      <c r="B7522" t="s">
        <v>34</v>
      </c>
    </row>
    <row r="7523" spans="1:2">
      <c r="A7523">
        <v>27</v>
      </c>
      <c r="B7523" s="3">
        <v>0.36</v>
      </c>
    </row>
    <row r="7524" spans="1:2">
      <c r="A7524">
        <v>27</v>
      </c>
      <c r="B7524" t="s">
        <v>26</v>
      </c>
    </row>
    <row r="7525" spans="1:2">
      <c r="A7525">
        <v>27</v>
      </c>
      <c r="B7525">
        <v>2.81</v>
      </c>
    </row>
    <row r="7526" spans="1:2">
      <c r="A7526">
        <v>27</v>
      </c>
      <c r="B7526" t="s">
        <v>23</v>
      </c>
    </row>
    <row r="7527" spans="1:2">
      <c r="A7527">
        <v>27</v>
      </c>
      <c r="B7527">
        <v>2E-3</v>
      </c>
    </row>
    <row r="7528" spans="1:2">
      <c r="A7528">
        <v>27</v>
      </c>
      <c r="B7528" t="s">
        <v>24</v>
      </c>
    </row>
    <row r="7529" spans="1:2">
      <c r="A7529">
        <v>27</v>
      </c>
      <c r="B7529">
        <v>3.2000000000000001E-2</v>
      </c>
    </row>
    <row r="7530" spans="1:2">
      <c r="A7530">
        <v>27</v>
      </c>
      <c r="B7530" t="s">
        <v>35</v>
      </c>
    </row>
    <row r="7531" spans="1:2">
      <c r="A7531">
        <v>27</v>
      </c>
      <c r="B7531">
        <v>8.0000000000000002E-3</v>
      </c>
    </row>
    <row r="7532" spans="1:2">
      <c r="A7532">
        <v>27</v>
      </c>
      <c r="B7532" t="s">
        <v>36</v>
      </c>
    </row>
    <row r="7533" spans="1:2">
      <c r="A7533">
        <v>27</v>
      </c>
      <c r="B7533">
        <v>0</v>
      </c>
    </row>
    <row r="7534" spans="1:2">
      <c r="A7534">
        <v>27</v>
      </c>
      <c r="B7534" t="s">
        <v>37</v>
      </c>
    </row>
    <row r="7535" spans="1:2">
      <c r="A7535">
        <v>27</v>
      </c>
      <c r="B7535">
        <v>-0.91400000000000003</v>
      </c>
    </row>
    <row r="7536" spans="1:2">
      <c r="A7536">
        <v>27</v>
      </c>
      <c r="B7536" t="s">
        <v>38</v>
      </c>
    </row>
    <row r="7537" spans="1:2">
      <c r="A7537">
        <v>27</v>
      </c>
      <c r="B7537">
        <v>6.5000000000000002E-2</v>
      </c>
    </row>
    <row r="7538" spans="1:2">
      <c r="A7538">
        <v>27</v>
      </c>
      <c r="B7538" t="s">
        <v>39</v>
      </c>
    </row>
    <row r="7539" spans="1:2">
      <c r="A7539">
        <v>27</v>
      </c>
      <c r="B7539">
        <v>0.13500000000000001</v>
      </c>
    </row>
    <row r="7540" spans="1:2">
      <c r="A7540">
        <v>27</v>
      </c>
      <c r="B7540" t="s">
        <v>40</v>
      </c>
    </row>
    <row r="7541" spans="1:2">
      <c r="A7541">
        <v>27</v>
      </c>
      <c r="B7541" s="4">
        <v>0</v>
      </c>
    </row>
    <row r="7542" spans="1:2">
      <c r="A7542">
        <v>27</v>
      </c>
      <c r="B7542" t="s">
        <v>41</v>
      </c>
    </row>
    <row r="7543" spans="1:2">
      <c r="A7543">
        <v>27</v>
      </c>
      <c r="B7543" s="4">
        <v>190000000</v>
      </c>
    </row>
    <row r="7544" spans="1:2">
      <c r="A7544">
        <v>27</v>
      </c>
      <c r="B7544" t="s">
        <v>42</v>
      </c>
    </row>
    <row r="7545" spans="1:2">
      <c r="A7545">
        <v>27</v>
      </c>
      <c r="B7545" t="s">
        <v>44</v>
      </c>
    </row>
    <row r="7548" spans="1:2">
      <c r="A7548">
        <v>26</v>
      </c>
      <c r="B7548" t="s">
        <v>27</v>
      </c>
    </row>
    <row r="7549" spans="1:2">
      <c r="A7549">
        <v>26</v>
      </c>
      <c r="B7549" s="2">
        <v>0.32308999999999999</v>
      </c>
    </row>
    <row r="7550" spans="1:2">
      <c r="A7550">
        <v>26</v>
      </c>
      <c r="B7550" t="s">
        <v>1</v>
      </c>
    </row>
    <row r="7551" spans="1:2">
      <c r="A7551">
        <v>26</v>
      </c>
      <c r="B7551">
        <v>0.52</v>
      </c>
    </row>
    <row r="7552" spans="1:2">
      <c r="A7552">
        <v>26</v>
      </c>
      <c r="B7552" t="s">
        <v>28</v>
      </c>
    </row>
    <row r="7553" spans="1:2">
      <c r="A7553">
        <v>26</v>
      </c>
      <c r="B7553">
        <v>354</v>
      </c>
    </row>
    <row r="7554" spans="1:2">
      <c r="A7554">
        <v>26</v>
      </c>
      <c r="B7554" t="s">
        <v>25</v>
      </c>
    </row>
    <row r="7555" spans="1:2">
      <c r="A7555">
        <v>26</v>
      </c>
      <c r="B7555" s="2">
        <v>3.0000000000000001E-3</v>
      </c>
    </row>
    <row r="7556" spans="1:2">
      <c r="A7556">
        <v>26</v>
      </c>
      <c r="B7556" t="s">
        <v>29</v>
      </c>
    </row>
    <row r="7557" spans="1:2">
      <c r="A7557">
        <v>26</v>
      </c>
      <c r="B7557" s="2">
        <v>-1.1000000000000001E-3</v>
      </c>
    </row>
    <row r="7558" spans="1:2">
      <c r="A7558">
        <v>26</v>
      </c>
      <c r="B7558" t="s">
        <v>30</v>
      </c>
    </row>
    <row r="7559" spans="1:2">
      <c r="A7559">
        <v>26</v>
      </c>
      <c r="B7559" s="2">
        <v>6.2199999999999998E-3</v>
      </c>
    </row>
    <row r="7560" spans="1:2">
      <c r="A7560">
        <v>26</v>
      </c>
      <c r="B7560" t="s">
        <v>8</v>
      </c>
    </row>
    <row r="7561" spans="1:2">
      <c r="A7561">
        <v>26</v>
      </c>
      <c r="B7561" s="2">
        <v>8.0000000000000002E-3</v>
      </c>
    </row>
    <row r="7562" spans="1:2">
      <c r="A7562">
        <v>26</v>
      </c>
      <c r="B7562" t="s">
        <v>31</v>
      </c>
    </row>
    <row r="7563" spans="1:2">
      <c r="A7563">
        <v>26</v>
      </c>
      <c r="B7563">
        <v>0.38500000000000001</v>
      </c>
    </row>
    <row r="7564" spans="1:2">
      <c r="A7564">
        <v>26</v>
      </c>
      <c r="B7564" t="s">
        <v>32</v>
      </c>
    </row>
    <row r="7565" spans="1:2">
      <c r="A7565">
        <v>26</v>
      </c>
      <c r="B7565" s="2">
        <v>4.0000000000000001E-3</v>
      </c>
    </row>
    <row r="7566" spans="1:2">
      <c r="A7566">
        <v>26</v>
      </c>
      <c r="B7566" t="s">
        <v>33</v>
      </c>
    </row>
    <row r="7567" spans="1:2">
      <c r="A7567">
        <v>26</v>
      </c>
      <c r="B7567" s="3">
        <v>0.64</v>
      </c>
    </row>
    <row r="7568" spans="1:2">
      <c r="A7568">
        <v>26</v>
      </c>
      <c r="B7568" t="s">
        <v>34</v>
      </c>
    </row>
    <row r="7569" spans="1:2">
      <c r="A7569">
        <v>26</v>
      </c>
      <c r="B7569" s="3">
        <v>0.36</v>
      </c>
    </row>
    <row r="7570" spans="1:2">
      <c r="A7570">
        <v>26</v>
      </c>
      <c r="B7570" t="s">
        <v>26</v>
      </c>
    </row>
    <row r="7571" spans="1:2">
      <c r="A7571">
        <v>26</v>
      </c>
      <c r="B7571">
        <v>2.81</v>
      </c>
    </row>
    <row r="7572" spans="1:2">
      <c r="A7572">
        <v>26</v>
      </c>
      <c r="B7572" t="s">
        <v>23</v>
      </c>
    </row>
    <row r="7573" spans="1:2">
      <c r="A7573">
        <v>26</v>
      </c>
      <c r="B7573">
        <v>2E-3</v>
      </c>
    </row>
    <row r="7574" spans="1:2">
      <c r="A7574">
        <v>26</v>
      </c>
      <c r="B7574" t="s">
        <v>24</v>
      </c>
    </row>
    <row r="7575" spans="1:2">
      <c r="A7575">
        <v>26</v>
      </c>
      <c r="B7575">
        <v>3.2000000000000001E-2</v>
      </c>
    </row>
    <row r="7576" spans="1:2">
      <c r="A7576">
        <v>26</v>
      </c>
      <c r="B7576" t="s">
        <v>35</v>
      </c>
    </row>
    <row r="7577" spans="1:2">
      <c r="A7577">
        <v>26</v>
      </c>
      <c r="B7577">
        <v>8.0000000000000002E-3</v>
      </c>
    </row>
    <row r="7578" spans="1:2">
      <c r="A7578">
        <v>26</v>
      </c>
      <c r="B7578" t="s">
        <v>36</v>
      </c>
    </row>
    <row r="7579" spans="1:2">
      <c r="A7579">
        <v>26</v>
      </c>
      <c r="B7579">
        <v>0</v>
      </c>
    </row>
    <row r="7580" spans="1:2">
      <c r="A7580">
        <v>26</v>
      </c>
      <c r="B7580" t="s">
        <v>37</v>
      </c>
    </row>
    <row r="7581" spans="1:2">
      <c r="A7581">
        <v>26</v>
      </c>
      <c r="B7581">
        <v>-0.91400000000000003</v>
      </c>
    </row>
    <row r="7582" spans="1:2">
      <c r="A7582">
        <v>26</v>
      </c>
      <c r="B7582" t="s">
        <v>38</v>
      </c>
    </row>
    <row r="7583" spans="1:2">
      <c r="A7583">
        <v>26</v>
      </c>
      <c r="B7583">
        <v>6.5000000000000002E-2</v>
      </c>
    </row>
    <row r="7584" spans="1:2">
      <c r="A7584">
        <v>26</v>
      </c>
      <c r="B7584" t="s">
        <v>39</v>
      </c>
    </row>
    <row r="7585" spans="1:2">
      <c r="A7585">
        <v>26</v>
      </c>
      <c r="B7585">
        <v>0.13500000000000001</v>
      </c>
    </row>
    <row r="7586" spans="1:2">
      <c r="A7586">
        <v>26</v>
      </c>
      <c r="B7586" t="s">
        <v>40</v>
      </c>
    </row>
    <row r="7587" spans="1:2">
      <c r="A7587">
        <v>26</v>
      </c>
      <c r="B7587" s="4">
        <v>0</v>
      </c>
    </row>
    <row r="7588" spans="1:2">
      <c r="A7588">
        <v>26</v>
      </c>
      <c r="B7588" t="s">
        <v>41</v>
      </c>
    </row>
    <row r="7589" spans="1:2">
      <c r="A7589">
        <v>26</v>
      </c>
      <c r="B7589" s="4">
        <v>190000000</v>
      </c>
    </row>
    <row r="7590" spans="1:2">
      <c r="A7590">
        <v>26</v>
      </c>
      <c r="B7590" t="s">
        <v>42</v>
      </c>
    </row>
    <row r="7591" spans="1:2">
      <c r="A7591">
        <v>26</v>
      </c>
      <c r="B7591" t="s">
        <v>44</v>
      </c>
    </row>
    <row r="7594" spans="1:2">
      <c r="A7594">
        <v>25</v>
      </c>
      <c r="B7594" t="s">
        <v>27</v>
      </c>
    </row>
    <row r="7595" spans="1:2">
      <c r="A7595">
        <v>25</v>
      </c>
      <c r="B7595" s="2">
        <v>0.32308999999999999</v>
      </c>
    </row>
    <row r="7596" spans="1:2">
      <c r="A7596">
        <v>25</v>
      </c>
      <c r="B7596" t="s">
        <v>1</v>
      </c>
    </row>
    <row r="7597" spans="1:2">
      <c r="A7597">
        <v>25</v>
      </c>
      <c r="B7597">
        <v>0.52</v>
      </c>
    </row>
    <row r="7598" spans="1:2">
      <c r="A7598">
        <v>25</v>
      </c>
      <c r="B7598" t="s">
        <v>28</v>
      </c>
    </row>
    <row r="7599" spans="1:2">
      <c r="A7599">
        <v>25</v>
      </c>
      <c r="B7599">
        <v>354</v>
      </c>
    </row>
    <row r="7600" spans="1:2">
      <c r="A7600">
        <v>25</v>
      </c>
      <c r="B7600" t="s">
        <v>25</v>
      </c>
    </row>
    <row r="7601" spans="1:2">
      <c r="A7601">
        <v>25</v>
      </c>
      <c r="B7601" s="2">
        <v>3.0000000000000001E-3</v>
      </c>
    </row>
    <row r="7602" spans="1:2">
      <c r="A7602">
        <v>25</v>
      </c>
      <c r="B7602" t="s">
        <v>29</v>
      </c>
    </row>
    <row r="7603" spans="1:2">
      <c r="A7603">
        <v>25</v>
      </c>
      <c r="B7603" s="2">
        <v>-1.1000000000000001E-3</v>
      </c>
    </row>
    <row r="7604" spans="1:2">
      <c r="A7604">
        <v>25</v>
      </c>
      <c r="B7604" t="s">
        <v>30</v>
      </c>
    </row>
    <row r="7605" spans="1:2">
      <c r="A7605">
        <v>25</v>
      </c>
      <c r="B7605" s="2">
        <v>6.2199999999999998E-3</v>
      </c>
    </row>
    <row r="7606" spans="1:2">
      <c r="A7606">
        <v>25</v>
      </c>
      <c r="B7606" t="s">
        <v>8</v>
      </c>
    </row>
    <row r="7607" spans="1:2">
      <c r="A7607">
        <v>25</v>
      </c>
      <c r="B7607" s="2">
        <v>8.0000000000000002E-3</v>
      </c>
    </row>
    <row r="7608" spans="1:2">
      <c r="A7608">
        <v>25</v>
      </c>
      <c r="B7608" t="s">
        <v>31</v>
      </c>
    </row>
    <row r="7609" spans="1:2">
      <c r="A7609">
        <v>25</v>
      </c>
      <c r="B7609">
        <v>0.38500000000000001</v>
      </c>
    </row>
    <row r="7610" spans="1:2">
      <c r="A7610">
        <v>25</v>
      </c>
      <c r="B7610" t="s">
        <v>32</v>
      </c>
    </row>
    <row r="7611" spans="1:2">
      <c r="A7611">
        <v>25</v>
      </c>
      <c r="B7611" s="2">
        <v>4.0000000000000001E-3</v>
      </c>
    </row>
    <row r="7612" spans="1:2">
      <c r="A7612">
        <v>25</v>
      </c>
      <c r="B7612" t="s">
        <v>33</v>
      </c>
    </row>
    <row r="7613" spans="1:2">
      <c r="A7613">
        <v>25</v>
      </c>
      <c r="B7613" s="3">
        <v>0.64</v>
      </c>
    </row>
    <row r="7614" spans="1:2">
      <c r="A7614">
        <v>25</v>
      </c>
      <c r="B7614" t="s">
        <v>34</v>
      </c>
    </row>
    <row r="7615" spans="1:2">
      <c r="A7615">
        <v>25</v>
      </c>
      <c r="B7615" s="3">
        <v>0.36</v>
      </c>
    </row>
    <row r="7616" spans="1:2">
      <c r="A7616">
        <v>25</v>
      </c>
      <c r="B7616" t="s">
        <v>26</v>
      </c>
    </row>
    <row r="7617" spans="1:2">
      <c r="A7617">
        <v>25</v>
      </c>
      <c r="B7617">
        <v>2.81</v>
      </c>
    </row>
    <row r="7618" spans="1:2">
      <c r="A7618">
        <v>25</v>
      </c>
      <c r="B7618" t="s">
        <v>23</v>
      </c>
    </row>
    <row r="7619" spans="1:2">
      <c r="A7619">
        <v>25</v>
      </c>
      <c r="B7619">
        <v>2E-3</v>
      </c>
    </row>
    <row r="7620" spans="1:2">
      <c r="A7620">
        <v>25</v>
      </c>
      <c r="B7620" t="s">
        <v>24</v>
      </c>
    </row>
    <row r="7621" spans="1:2">
      <c r="A7621">
        <v>25</v>
      </c>
      <c r="B7621">
        <v>3.2000000000000001E-2</v>
      </c>
    </row>
    <row r="7622" spans="1:2">
      <c r="A7622">
        <v>25</v>
      </c>
      <c r="B7622" t="s">
        <v>35</v>
      </c>
    </row>
    <row r="7623" spans="1:2">
      <c r="A7623">
        <v>25</v>
      </c>
      <c r="B7623">
        <v>8.0000000000000002E-3</v>
      </c>
    </row>
    <row r="7624" spans="1:2">
      <c r="A7624">
        <v>25</v>
      </c>
      <c r="B7624" t="s">
        <v>36</v>
      </c>
    </row>
    <row r="7625" spans="1:2">
      <c r="A7625">
        <v>25</v>
      </c>
      <c r="B7625">
        <v>0</v>
      </c>
    </row>
    <row r="7626" spans="1:2">
      <c r="A7626">
        <v>25</v>
      </c>
      <c r="B7626" t="s">
        <v>37</v>
      </c>
    </row>
    <row r="7627" spans="1:2">
      <c r="A7627">
        <v>25</v>
      </c>
      <c r="B7627">
        <v>-0.91400000000000003</v>
      </c>
    </row>
    <row r="7628" spans="1:2">
      <c r="A7628">
        <v>25</v>
      </c>
      <c r="B7628" t="s">
        <v>38</v>
      </c>
    </row>
    <row r="7629" spans="1:2">
      <c r="A7629">
        <v>25</v>
      </c>
      <c r="B7629">
        <v>6.5000000000000002E-2</v>
      </c>
    </row>
    <row r="7630" spans="1:2">
      <c r="A7630">
        <v>25</v>
      </c>
      <c r="B7630" t="s">
        <v>39</v>
      </c>
    </row>
    <row r="7631" spans="1:2">
      <c r="A7631">
        <v>25</v>
      </c>
      <c r="B7631">
        <v>0.13500000000000001</v>
      </c>
    </row>
    <row r="7632" spans="1:2">
      <c r="A7632">
        <v>25</v>
      </c>
      <c r="B7632" t="s">
        <v>40</v>
      </c>
    </row>
    <row r="7633" spans="1:2">
      <c r="A7633">
        <v>25</v>
      </c>
      <c r="B7633" s="4">
        <v>0</v>
      </c>
    </row>
    <row r="7634" spans="1:2">
      <c r="A7634">
        <v>25</v>
      </c>
      <c r="B7634" t="s">
        <v>41</v>
      </c>
    </row>
    <row r="7635" spans="1:2">
      <c r="A7635">
        <v>25</v>
      </c>
      <c r="B7635" s="4">
        <v>190000000</v>
      </c>
    </row>
    <row r="7636" spans="1:2">
      <c r="A7636">
        <v>25</v>
      </c>
      <c r="B7636" t="s">
        <v>42</v>
      </c>
    </row>
    <row r="7637" spans="1:2">
      <c r="A7637">
        <v>25</v>
      </c>
      <c r="B7637" t="s">
        <v>44</v>
      </c>
    </row>
    <row r="7640" spans="1:2">
      <c r="A7640">
        <v>24</v>
      </c>
      <c r="B7640" t="s">
        <v>27</v>
      </c>
    </row>
    <row r="7641" spans="1:2">
      <c r="A7641">
        <v>24</v>
      </c>
      <c r="B7641" s="2">
        <v>0.32308999999999999</v>
      </c>
    </row>
    <row r="7642" spans="1:2">
      <c r="A7642">
        <v>24</v>
      </c>
      <c r="B7642" t="s">
        <v>1</v>
      </c>
    </row>
    <row r="7643" spans="1:2">
      <c r="A7643">
        <v>24</v>
      </c>
      <c r="B7643">
        <v>0.52</v>
      </c>
    </row>
    <row r="7644" spans="1:2">
      <c r="A7644">
        <v>24</v>
      </c>
      <c r="B7644" t="s">
        <v>28</v>
      </c>
    </row>
    <row r="7645" spans="1:2">
      <c r="A7645">
        <v>24</v>
      </c>
      <c r="B7645">
        <v>354</v>
      </c>
    </row>
    <row r="7646" spans="1:2">
      <c r="A7646">
        <v>24</v>
      </c>
      <c r="B7646" t="s">
        <v>25</v>
      </c>
    </row>
    <row r="7647" spans="1:2">
      <c r="A7647">
        <v>24</v>
      </c>
      <c r="B7647" s="2">
        <v>3.0000000000000001E-3</v>
      </c>
    </row>
    <row r="7648" spans="1:2">
      <c r="A7648">
        <v>24</v>
      </c>
      <c r="B7648" t="s">
        <v>29</v>
      </c>
    </row>
    <row r="7649" spans="1:2">
      <c r="A7649">
        <v>24</v>
      </c>
      <c r="B7649" s="2">
        <v>-1.1000000000000001E-3</v>
      </c>
    </row>
    <row r="7650" spans="1:2">
      <c r="A7650">
        <v>24</v>
      </c>
      <c r="B7650" t="s">
        <v>30</v>
      </c>
    </row>
    <row r="7651" spans="1:2">
      <c r="A7651">
        <v>24</v>
      </c>
      <c r="B7651" s="2">
        <v>6.2199999999999998E-3</v>
      </c>
    </row>
    <row r="7652" spans="1:2">
      <c r="A7652">
        <v>24</v>
      </c>
      <c r="B7652" t="s">
        <v>8</v>
      </c>
    </row>
    <row r="7653" spans="1:2">
      <c r="A7653">
        <v>24</v>
      </c>
      <c r="B7653" s="2">
        <v>8.0000000000000002E-3</v>
      </c>
    </row>
    <row r="7654" spans="1:2">
      <c r="A7654">
        <v>24</v>
      </c>
      <c r="B7654" t="s">
        <v>31</v>
      </c>
    </row>
    <row r="7655" spans="1:2">
      <c r="A7655">
        <v>24</v>
      </c>
      <c r="B7655">
        <v>0.38500000000000001</v>
      </c>
    </row>
    <row r="7656" spans="1:2">
      <c r="A7656">
        <v>24</v>
      </c>
      <c r="B7656" t="s">
        <v>32</v>
      </c>
    </row>
    <row r="7657" spans="1:2">
      <c r="A7657">
        <v>24</v>
      </c>
      <c r="B7657" s="2">
        <v>4.0000000000000001E-3</v>
      </c>
    </row>
    <row r="7658" spans="1:2">
      <c r="A7658">
        <v>24</v>
      </c>
      <c r="B7658" t="s">
        <v>33</v>
      </c>
    </row>
    <row r="7659" spans="1:2">
      <c r="A7659">
        <v>24</v>
      </c>
      <c r="B7659" s="3">
        <v>0.64</v>
      </c>
    </row>
    <row r="7660" spans="1:2">
      <c r="A7660">
        <v>24</v>
      </c>
      <c r="B7660" t="s">
        <v>34</v>
      </c>
    </row>
    <row r="7661" spans="1:2">
      <c r="A7661">
        <v>24</v>
      </c>
      <c r="B7661" s="3">
        <v>0.36</v>
      </c>
    </row>
    <row r="7662" spans="1:2">
      <c r="A7662">
        <v>24</v>
      </c>
      <c r="B7662" t="s">
        <v>26</v>
      </c>
    </row>
    <row r="7663" spans="1:2">
      <c r="A7663">
        <v>24</v>
      </c>
      <c r="B7663">
        <v>2.81</v>
      </c>
    </row>
    <row r="7664" spans="1:2">
      <c r="A7664">
        <v>24</v>
      </c>
      <c r="B7664" t="s">
        <v>23</v>
      </c>
    </row>
    <row r="7665" spans="1:2">
      <c r="A7665">
        <v>24</v>
      </c>
      <c r="B7665">
        <v>2E-3</v>
      </c>
    </row>
    <row r="7666" spans="1:2">
      <c r="A7666">
        <v>24</v>
      </c>
      <c r="B7666" t="s">
        <v>24</v>
      </c>
    </row>
    <row r="7667" spans="1:2">
      <c r="A7667">
        <v>24</v>
      </c>
      <c r="B7667">
        <v>3.2000000000000001E-2</v>
      </c>
    </row>
    <row r="7668" spans="1:2">
      <c r="A7668">
        <v>24</v>
      </c>
      <c r="B7668" t="s">
        <v>35</v>
      </c>
    </row>
    <row r="7669" spans="1:2">
      <c r="A7669">
        <v>24</v>
      </c>
      <c r="B7669">
        <v>8.0000000000000002E-3</v>
      </c>
    </row>
    <row r="7670" spans="1:2">
      <c r="A7670">
        <v>24</v>
      </c>
      <c r="B7670" t="s">
        <v>36</v>
      </c>
    </row>
    <row r="7671" spans="1:2">
      <c r="A7671">
        <v>24</v>
      </c>
      <c r="B7671">
        <v>0</v>
      </c>
    </row>
    <row r="7672" spans="1:2">
      <c r="A7672">
        <v>24</v>
      </c>
      <c r="B7672" t="s">
        <v>37</v>
      </c>
    </row>
    <row r="7673" spans="1:2">
      <c r="A7673">
        <v>24</v>
      </c>
      <c r="B7673">
        <v>-0.91400000000000003</v>
      </c>
    </row>
    <row r="7674" spans="1:2">
      <c r="A7674">
        <v>24</v>
      </c>
      <c r="B7674" t="s">
        <v>38</v>
      </c>
    </row>
    <row r="7675" spans="1:2">
      <c r="A7675">
        <v>24</v>
      </c>
      <c r="B7675">
        <v>6.5000000000000002E-2</v>
      </c>
    </row>
    <row r="7676" spans="1:2">
      <c r="A7676">
        <v>24</v>
      </c>
      <c r="B7676" t="s">
        <v>39</v>
      </c>
    </row>
    <row r="7677" spans="1:2">
      <c r="A7677">
        <v>24</v>
      </c>
      <c r="B7677">
        <v>0.13500000000000001</v>
      </c>
    </row>
    <row r="7678" spans="1:2">
      <c r="A7678">
        <v>24</v>
      </c>
      <c r="B7678" t="s">
        <v>40</v>
      </c>
    </row>
    <row r="7679" spans="1:2">
      <c r="A7679">
        <v>24</v>
      </c>
      <c r="B7679" s="4">
        <v>0</v>
      </c>
    </row>
    <row r="7680" spans="1:2">
      <c r="A7680">
        <v>24</v>
      </c>
      <c r="B7680" t="s">
        <v>41</v>
      </c>
    </row>
    <row r="7681" spans="1:2">
      <c r="A7681">
        <v>24</v>
      </c>
      <c r="B7681" s="4">
        <v>190000000</v>
      </c>
    </row>
    <row r="7682" spans="1:2">
      <c r="A7682">
        <v>24</v>
      </c>
      <c r="B7682" t="s">
        <v>42</v>
      </c>
    </row>
    <row r="7683" spans="1:2">
      <c r="A7683">
        <v>24</v>
      </c>
      <c r="B7683" t="s">
        <v>44</v>
      </c>
    </row>
    <row r="7684" spans="1:2">
      <c r="A7684">
        <v>23</v>
      </c>
      <c r="B7684" t="s">
        <v>27</v>
      </c>
    </row>
    <row r="7685" spans="1:2">
      <c r="A7685">
        <v>23</v>
      </c>
      <c r="B7685" s="2">
        <v>0.32308999999999999</v>
      </c>
    </row>
    <row r="7686" spans="1:2">
      <c r="A7686">
        <v>23</v>
      </c>
      <c r="B7686" t="s">
        <v>1</v>
      </c>
    </row>
    <row r="7687" spans="1:2">
      <c r="A7687">
        <v>23</v>
      </c>
      <c r="B7687">
        <v>0.52</v>
      </c>
    </row>
    <row r="7688" spans="1:2">
      <c r="A7688">
        <v>23</v>
      </c>
      <c r="B7688" t="s">
        <v>28</v>
      </c>
    </row>
    <row r="7689" spans="1:2">
      <c r="A7689">
        <v>23</v>
      </c>
      <c r="B7689">
        <v>354</v>
      </c>
    </row>
    <row r="7690" spans="1:2">
      <c r="A7690">
        <v>23</v>
      </c>
      <c r="B7690" t="s">
        <v>25</v>
      </c>
    </row>
    <row r="7691" spans="1:2">
      <c r="A7691">
        <v>23</v>
      </c>
      <c r="B7691" s="2">
        <v>3.0000000000000001E-3</v>
      </c>
    </row>
    <row r="7692" spans="1:2">
      <c r="A7692">
        <v>23</v>
      </c>
      <c r="B7692" t="s">
        <v>29</v>
      </c>
    </row>
    <row r="7693" spans="1:2">
      <c r="A7693">
        <v>23</v>
      </c>
      <c r="B7693" s="2">
        <v>-1.1000000000000001E-3</v>
      </c>
    </row>
    <row r="7694" spans="1:2">
      <c r="A7694">
        <v>23</v>
      </c>
      <c r="B7694" t="s">
        <v>30</v>
      </c>
    </row>
    <row r="7695" spans="1:2">
      <c r="A7695">
        <v>23</v>
      </c>
      <c r="B7695" s="2">
        <v>6.2199999999999998E-3</v>
      </c>
    </row>
    <row r="7696" spans="1:2">
      <c r="A7696">
        <v>23</v>
      </c>
      <c r="B7696" t="s">
        <v>8</v>
      </c>
    </row>
    <row r="7697" spans="1:2">
      <c r="A7697">
        <v>23</v>
      </c>
      <c r="B7697" s="2">
        <v>8.0000000000000002E-3</v>
      </c>
    </row>
    <row r="7698" spans="1:2">
      <c r="A7698">
        <v>23</v>
      </c>
      <c r="B7698" t="s">
        <v>31</v>
      </c>
    </row>
    <row r="7699" spans="1:2">
      <c r="A7699">
        <v>23</v>
      </c>
      <c r="B7699">
        <v>0.38500000000000001</v>
      </c>
    </row>
    <row r="7700" spans="1:2">
      <c r="A7700">
        <v>23</v>
      </c>
      <c r="B7700" t="s">
        <v>32</v>
      </c>
    </row>
    <row r="7701" spans="1:2">
      <c r="A7701">
        <v>23</v>
      </c>
      <c r="B7701" s="2">
        <v>4.0000000000000001E-3</v>
      </c>
    </row>
    <row r="7702" spans="1:2">
      <c r="A7702">
        <v>23</v>
      </c>
      <c r="B7702" t="s">
        <v>33</v>
      </c>
    </row>
    <row r="7703" spans="1:2">
      <c r="A7703">
        <v>23</v>
      </c>
      <c r="B7703" s="3">
        <v>0.64</v>
      </c>
    </row>
    <row r="7704" spans="1:2">
      <c r="A7704">
        <v>23</v>
      </c>
      <c r="B7704" t="s">
        <v>34</v>
      </c>
    </row>
    <row r="7705" spans="1:2">
      <c r="A7705">
        <v>23</v>
      </c>
      <c r="B7705" s="3">
        <v>0.36</v>
      </c>
    </row>
    <row r="7706" spans="1:2">
      <c r="A7706">
        <v>23</v>
      </c>
      <c r="B7706" t="s">
        <v>26</v>
      </c>
    </row>
    <row r="7707" spans="1:2">
      <c r="A7707">
        <v>23</v>
      </c>
      <c r="B7707">
        <v>2.81</v>
      </c>
    </row>
    <row r="7708" spans="1:2">
      <c r="A7708">
        <v>23</v>
      </c>
      <c r="B7708" t="s">
        <v>23</v>
      </c>
    </row>
    <row r="7709" spans="1:2">
      <c r="A7709">
        <v>23</v>
      </c>
      <c r="B7709">
        <v>2E-3</v>
      </c>
    </row>
    <row r="7710" spans="1:2">
      <c r="A7710">
        <v>23</v>
      </c>
      <c r="B7710" t="s">
        <v>24</v>
      </c>
    </row>
    <row r="7711" spans="1:2">
      <c r="A7711">
        <v>23</v>
      </c>
      <c r="B7711">
        <v>3.2000000000000001E-2</v>
      </c>
    </row>
    <row r="7712" spans="1:2">
      <c r="A7712">
        <v>23</v>
      </c>
      <c r="B7712" t="s">
        <v>35</v>
      </c>
    </row>
    <row r="7713" spans="1:2">
      <c r="A7713">
        <v>23</v>
      </c>
      <c r="B7713">
        <v>8.0000000000000002E-3</v>
      </c>
    </row>
    <row r="7714" spans="1:2">
      <c r="A7714">
        <v>23</v>
      </c>
      <c r="B7714" t="s">
        <v>36</v>
      </c>
    </row>
    <row r="7715" spans="1:2">
      <c r="A7715">
        <v>23</v>
      </c>
      <c r="B7715">
        <v>0</v>
      </c>
    </row>
    <row r="7716" spans="1:2">
      <c r="A7716">
        <v>23</v>
      </c>
      <c r="B7716" t="s">
        <v>37</v>
      </c>
    </row>
    <row r="7717" spans="1:2">
      <c r="A7717">
        <v>23</v>
      </c>
      <c r="B7717">
        <v>-0.91400000000000003</v>
      </c>
    </row>
    <row r="7718" spans="1:2">
      <c r="A7718">
        <v>23</v>
      </c>
      <c r="B7718" t="s">
        <v>38</v>
      </c>
    </row>
    <row r="7719" spans="1:2">
      <c r="A7719">
        <v>23</v>
      </c>
      <c r="B7719">
        <v>6.5000000000000002E-2</v>
      </c>
    </row>
    <row r="7720" spans="1:2">
      <c r="A7720">
        <v>23</v>
      </c>
      <c r="B7720" t="s">
        <v>39</v>
      </c>
    </row>
    <row r="7721" spans="1:2">
      <c r="A7721">
        <v>23</v>
      </c>
      <c r="B7721">
        <v>0.13500000000000001</v>
      </c>
    </row>
    <row r="7722" spans="1:2">
      <c r="A7722">
        <v>23</v>
      </c>
      <c r="B7722" t="s">
        <v>40</v>
      </c>
    </row>
    <row r="7723" spans="1:2">
      <c r="A7723">
        <v>23</v>
      </c>
      <c r="B7723" s="4">
        <v>0</v>
      </c>
    </row>
    <row r="7724" spans="1:2">
      <c r="A7724">
        <v>23</v>
      </c>
      <c r="B7724" t="s">
        <v>41</v>
      </c>
    </row>
    <row r="7725" spans="1:2">
      <c r="A7725">
        <v>23</v>
      </c>
      <c r="B7725" s="4">
        <v>190000000</v>
      </c>
    </row>
    <row r="7726" spans="1:2">
      <c r="A7726">
        <v>23</v>
      </c>
      <c r="B7726" t="s">
        <v>42</v>
      </c>
    </row>
    <row r="7727" spans="1:2">
      <c r="A7727">
        <v>23</v>
      </c>
      <c r="B7727" t="s">
        <v>44</v>
      </c>
    </row>
    <row r="7728" spans="1:2">
      <c r="A7728">
        <v>22</v>
      </c>
      <c r="B7728" t="s">
        <v>27</v>
      </c>
    </row>
    <row r="7729" spans="1:2">
      <c r="A7729">
        <v>22</v>
      </c>
      <c r="B7729" s="2">
        <v>0.32308999999999999</v>
      </c>
    </row>
    <row r="7730" spans="1:2">
      <c r="A7730">
        <v>22</v>
      </c>
      <c r="B7730" t="s">
        <v>1</v>
      </c>
    </row>
    <row r="7731" spans="1:2">
      <c r="A7731">
        <v>22</v>
      </c>
      <c r="B7731">
        <v>0.52</v>
      </c>
    </row>
    <row r="7732" spans="1:2">
      <c r="A7732">
        <v>22</v>
      </c>
      <c r="B7732" t="s">
        <v>28</v>
      </c>
    </row>
    <row r="7733" spans="1:2">
      <c r="A7733">
        <v>22</v>
      </c>
      <c r="B7733">
        <v>354</v>
      </c>
    </row>
    <row r="7734" spans="1:2">
      <c r="A7734">
        <v>22</v>
      </c>
      <c r="B7734" t="s">
        <v>25</v>
      </c>
    </row>
    <row r="7735" spans="1:2">
      <c r="A7735">
        <v>22</v>
      </c>
      <c r="B7735" s="2">
        <v>3.0000000000000001E-3</v>
      </c>
    </row>
    <row r="7736" spans="1:2">
      <c r="A7736">
        <v>22</v>
      </c>
      <c r="B7736" t="s">
        <v>29</v>
      </c>
    </row>
    <row r="7737" spans="1:2">
      <c r="A7737">
        <v>22</v>
      </c>
      <c r="B7737" s="2">
        <v>-1.1000000000000001E-3</v>
      </c>
    </row>
    <row r="7738" spans="1:2">
      <c r="A7738">
        <v>22</v>
      </c>
      <c r="B7738" t="s">
        <v>30</v>
      </c>
    </row>
    <row r="7739" spans="1:2">
      <c r="A7739">
        <v>22</v>
      </c>
      <c r="B7739" s="2">
        <v>6.2199999999999998E-3</v>
      </c>
    </row>
    <row r="7740" spans="1:2">
      <c r="A7740">
        <v>22</v>
      </c>
      <c r="B7740" t="s">
        <v>8</v>
      </c>
    </row>
    <row r="7741" spans="1:2">
      <c r="A7741">
        <v>22</v>
      </c>
      <c r="B7741" s="2">
        <v>8.0000000000000002E-3</v>
      </c>
    </row>
    <row r="7742" spans="1:2">
      <c r="A7742">
        <v>22</v>
      </c>
      <c r="B7742" t="s">
        <v>31</v>
      </c>
    </row>
    <row r="7743" spans="1:2">
      <c r="A7743">
        <v>22</v>
      </c>
      <c r="B7743">
        <v>0.38500000000000001</v>
      </c>
    </row>
    <row r="7744" spans="1:2">
      <c r="A7744">
        <v>22</v>
      </c>
      <c r="B7744" t="s">
        <v>32</v>
      </c>
    </row>
    <row r="7745" spans="1:2">
      <c r="A7745">
        <v>22</v>
      </c>
      <c r="B7745" s="2">
        <v>4.0000000000000001E-3</v>
      </c>
    </row>
    <row r="7746" spans="1:2">
      <c r="A7746">
        <v>22</v>
      </c>
      <c r="B7746" t="s">
        <v>33</v>
      </c>
    </row>
    <row r="7747" spans="1:2">
      <c r="A7747">
        <v>22</v>
      </c>
      <c r="B7747" s="3">
        <v>0.64</v>
      </c>
    </row>
    <row r="7748" spans="1:2">
      <c r="A7748">
        <v>22</v>
      </c>
      <c r="B7748" t="s">
        <v>34</v>
      </c>
    </row>
    <row r="7749" spans="1:2">
      <c r="A7749">
        <v>22</v>
      </c>
      <c r="B7749" s="3">
        <v>0.36</v>
      </c>
    </row>
    <row r="7750" spans="1:2">
      <c r="A7750">
        <v>22</v>
      </c>
      <c r="B7750" t="s">
        <v>26</v>
      </c>
    </row>
    <row r="7751" spans="1:2">
      <c r="A7751">
        <v>22</v>
      </c>
      <c r="B7751">
        <v>2.81</v>
      </c>
    </row>
    <row r="7752" spans="1:2">
      <c r="A7752">
        <v>22</v>
      </c>
      <c r="B7752" t="s">
        <v>23</v>
      </c>
    </row>
    <row r="7753" spans="1:2">
      <c r="A7753">
        <v>22</v>
      </c>
      <c r="B7753">
        <v>2E-3</v>
      </c>
    </row>
    <row r="7754" spans="1:2">
      <c r="A7754">
        <v>22</v>
      </c>
      <c r="B7754" t="s">
        <v>24</v>
      </c>
    </row>
    <row r="7755" spans="1:2">
      <c r="A7755">
        <v>22</v>
      </c>
      <c r="B7755">
        <v>3.2000000000000001E-2</v>
      </c>
    </row>
    <row r="7756" spans="1:2">
      <c r="A7756">
        <v>22</v>
      </c>
      <c r="B7756" t="s">
        <v>35</v>
      </c>
    </row>
    <row r="7757" spans="1:2">
      <c r="A7757">
        <v>22</v>
      </c>
      <c r="B7757">
        <v>8.0000000000000002E-3</v>
      </c>
    </row>
    <row r="7758" spans="1:2">
      <c r="A7758">
        <v>22</v>
      </c>
      <c r="B7758" t="s">
        <v>36</v>
      </c>
    </row>
    <row r="7759" spans="1:2">
      <c r="A7759">
        <v>22</v>
      </c>
      <c r="B7759">
        <v>0</v>
      </c>
    </row>
    <row r="7760" spans="1:2">
      <c r="A7760">
        <v>22</v>
      </c>
      <c r="B7760" t="s">
        <v>37</v>
      </c>
    </row>
    <row r="7761" spans="1:2">
      <c r="A7761">
        <v>22</v>
      </c>
      <c r="B7761">
        <v>-0.91400000000000003</v>
      </c>
    </row>
    <row r="7762" spans="1:2">
      <c r="A7762">
        <v>22</v>
      </c>
      <c r="B7762" t="s">
        <v>38</v>
      </c>
    </row>
    <row r="7763" spans="1:2">
      <c r="A7763">
        <v>22</v>
      </c>
      <c r="B7763">
        <v>6.5000000000000002E-2</v>
      </c>
    </row>
    <row r="7764" spans="1:2">
      <c r="A7764">
        <v>22</v>
      </c>
      <c r="B7764" t="s">
        <v>39</v>
      </c>
    </row>
    <row r="7765" spans="1:2">
      <c r="A7765">
        <v>22</v>
      </c>
      <c r="B7765">
        <v>0.13500000000000001</v>
      </c>
    </row>
    <row r="7766" spans="1:2">
      <c r="A7766">
        <v>22</v>
      </c>
      <c r="B7766" t="s">
        <v>40</v>
      </c>
    </row>
    <row r="7767" spans="1:2">
      <c r="A7767">
        <v>22</v>
      </c>
      <c r="B7767" s="4">
        <v>0</v>
      </c>
    </row>
    <row r="7768" spans="1:2">
      <c r="A7768">
        <v>22</v>
      </c>
      <c r="B7768" t="s">
        <v>41</v>
      </c>
    </row>
    <row r="7769" spans="1:2">
      <c r="A7769">
        <v>22</v>
      </c>
      <c r="B7769" s="4">
        <v>190000000</v>
      </c>
    </row>
    <row r="7770" spans="1:2">
      <c r="A7770">
        <v>22</v>
      </c>
      <c r="B7770" t="s">
        <v>42</v>
      </c>
    </row>
    <row r="7771" spans="1:2">
      <c r="A7771">
        <v>22</v>
      </c>
      <c r="B7771" t="s">
        <v>44</v>
      </c>
    </row>
    <row r="7772" spans="1:2">
      <c r="A7772">
        <v>19</v>
      </c>
      <c r="B7772" t="s">
        <v>27</v>
      </c>
    </row>
    <row r="7773" spans="1:2">
      <c r="A7773">
        <v>19</v>
      </c>
      <c r="B7773" s="2">
        <v>0.32308999999999999</v>
      </c>
    </row>
    <row r="7774" spans="1:2">
      <c r="A7774">
        <v>19</v>
      </c>
      <c r="B7774" t="s">
        <v>1</v>
      </c>
    </row>
    <row r="7775" spans="1:2">
      <c r="A7775">
        <v>19</v>
      </c>
      <c r="B7775">
        <v>0.52</v>
      </c>
    </row>
    <row r="7776" spans="1:2">
      <c r="A7776">
        <v>19</v>
      </c>
      <c r="B7776" t="s">
        <v>28</v>
      </c>
    </row>
    <row r="7777" spans="1:2">
      <c r="A7777">
        <v>19</v>
      </c>
      <c r="B7777">
        <v>354</v>
      </c>
    </row>
    <row r="7778" spans="1:2">
      <c r="A7778">
        <v>19</v>
      </c>
      <c r="B7778" t="s">
        <v>25</v>
      </c>
    </row>
    <row r="7779" spans="1:2">
      <c r="A7779">
        <v>19</v>
      </c>
      <c r="B7779" s="2">
        <v>3.0000000000000001E-3</v>
      </c>
    </row>
    <row r="7780" spans="1:2">
      <c r="A7780">
        <v>19</v>
      </c>
      <c r="B7780" t="s">
        <v>29</v>
      </c>
    </row>
    <row r="7781" spans="1:2">
      <c r="A7781">
        <v>19</v>
      </c>
      <c r="B7781" s="2">
        <v>-1.1000000000000001E-3</v>
      </c>
    </row>
    <row r="7782" spans="1:2">
      <c r="A7782">
        <v>19</v>
      </c>
      <c r="B7782" t="s">
        <v>30</v>
      </c>
    </row>
    <row r="7783" spans="1:2">
      <c r="A7783">
        <v>19</v>
      </c>
      <c r="B7783" s="2">
        <v>6.2199999999999998E-3</v>
      </c>
    </row>
    <row r="7784" spans="1:2">
      <c r="A7784">
        <v>19</v>
      </c>
      <c r="B7784" t="s">
        <v>8</v>
      </c>
    </row>
    <row r="7785" spans="1:2">
      <c r="A7785">
        <v>19</v>
      </c>
      <c r="B7785" s="2">
        <v>8.0000000000000002E-3</v>
      </c>
    </row>
    <row r="7786" spans="1:2">
      <c r="A7786">
        <v>19</v>
      </c>
      <c r="B7786" t="s">
        <v>31</v>
      </c>
    </row>
    <row r="7787" spans="1:2">
      <c r="A7787">
        <v>19</v>
      </c>
      <c r="B7787">
        <v>0.38500000000000001</v>
      </c>
    </row>
    <row r="7788" spans="1:2">
      <c r="A7788">
        <v>19</v>
      </c>
      <c r="B7788" t="s">
        <v>32</v>
      </c>
    </row>
    <row r="7789" spans="1:2">
      <c r="A7789">
        <v>19</v>
      </c>
      <c r="B7789" s="2">
        <v>4.0000000000000001E-3</v>
      </c>
    </row>
    <row r="7790" spans="1:2">
      <c r="A7790">
        <v>19</v>
      </c>
      <c r="B7790" t="s">
        <v>33</v>
      </c>
    </row>
    <row r="7791" spans="1:2">
      <c r="A7791">
        <v>19</v>
      </c>
      <c r="B7791" s="3">
        <v>0.64</v>
      </c>
    </row>
    <row r="7792" spans="1:2">
      <c r="A7792">
        <v>19</v>
      </c>
      <c r="B7792" t="s">
        <v>34</v>
      </c>
    </row>
    <row r="7793" spans="1:2">
      <c r="A7793">
        <v>19</v>
      </c>
      <c r="B7793" s="3">
        <v>0.36</v>
      </c>
    </row>
    <row r="7794" spans="1:2">
      <c r="A7794">
        <v>19</v>
      </c>
      <c r="B7794" t="s">
        <v>26</v>
      </c>
    </row>
    <row r="7795" spans="1:2">
      <c r="A7795">
        <v>19</v>
      </c>
      <c r="B7795">
        <v>2.81</v>
      </c>
    </row>
    <row r="7796" spans="1:2">
      <c r="A7796">
        <v>19</v>
      </c>
      <c r="B7796" t="s">
        <v>23</v>
      </c>
    </row>
    <row r="7797" spans="1:2">
      <c r="A7797">
        <v>19</v>
      </c>
      <c r="B7797">
        <v>2E-3</v>
      </c>
    </row>
    <row r="7798" spans="1:2">
      <c r="A7798">
        <v>19</v>
      </c>
      <c r="B7798" t="s">
        <v>24</v>
      </c>
    </row>
    <row r="7799" spans="1:2">
      <c r="A7799">
        <v>19</v>
      </c>
      <c r="B7799">
        <v>3.2000000000000001E-2</v>
      </c>
    </row>
    <row r="7800" spans="1:2">
      <c r="A7800">
        <v>19</v>
      </c>
      <c r="B7800" t="s">
        <v>35</v>
      </c>
    </row>
    <row r="7801" spans="1:2">
      <c r="A7801">
        <v>19</v>
      </c>
      <c r="B7801">
        <v>8.0000000000000002E-3</v>
      </c>
    </row>
    <row r="7802" spans="1:2">
      <c r="A7802">
        <v>19</v>
      </c>
      <c r="B7802" t="s">
        <v>36</v>
      </c>
    </row>
    <row r="7803" spans="1:2">
      <c r="A7803">
        <v>19</v>
      </c>
      <c r="B7803">
        <v>0</v>
      </c>
    </row>
    <row r="7804" spans="1:2">
      <c r="A7804">
        <v>19</v>
      </c>
      <c r="B7804" t="s">
        <v>37</v>
      </c>
    </row>
    <row r="7805" spans="1:2">
      <c r="A7805">
        <v>19</v>
      </c>
      <c r="B7805">
        <v>-0.91400000000000003</v>
      </c>
    </row>
    <row r="7806" spans="1:2">
      <c r="A7806">
        <v>19</v>
      </c>
      <c r="B7806" t="s">
        <v>38</v>
      </c>
    </row>
    <row r="7807" spans="1:2">
      <c r="A7807">
        <v>19</v>
      </c>
      <c r="B7807">
        <v>6.5000000000000002E-2</v>
      </c>
    </row>
    <row r="7808" spans="1:2">
      <c r="A7808">
        <v>19</v>
      </c>
      <c r="B7808" t="s">
        <v>39</v>
      </c>
    </row>
    <row r="7809" spans="1:2">
      <c r="A7809">
        <v>19</v>
      </c>
      <c r="B7809">
        <v>0.13500000000000001</v>
      </c>
    </row>
    <row r="7810" spans="1:2">
      <c r="A7810">
        <v>19</v>
      </c>
      <c r="B7810" t="s">
        <v>40</v>
      </c>
    </row>
    <row r="7811" spans="1:2">
      <c r="A7811">
        <v>19</v>
      </c>
      <c r="B7811" s="4">
        <v>0</v>
      </c>
    </row>
    <row r="7812" spans="1:2">
      <c r="A7812">
        <v>19</v>
      </c>
      <c r="B7812" t="s">
        <v>41</v>
      </c>
    </row>
    <row r="7813" spans="1:2">
      <c r="A7813">
        <v>19</v>
      </c>
      <c r="B7813" s="4">
        <v>190000000</v>
      </c>
    </row>
    <row r="7814" spans="1:2">
      <c r="A7814">
        <v>19</v>
      </c>
      <c r="B7814" t="s">
        <v>42</v>
      </c>
    </row>
    <row r="7815" spans="1:2">
      <c r="A7815">
        <v>19</v>
      </c>
      <c r="B7815" t="s">
        <v>44</v>
      </c>
    </row>
    <row r="7819" spans="1:2">
      <c r="B7819" s="2"/>
    </row>
    <row r="7825" spans="2:2">
      <c r="B7825" s="2"/>
    </row>
    <row r="7827" spans="2:2">
      <c r="B7827" s="2"/>
    </row>
    <row r="7829" spans="2:2">
      <c r="B7829" s="2"/>
    </row>
    <row r="7831" spans="2:2">
      <c r="B7831" s="2"/>
    </row>
    <row r="7835" spans="2:2">
      <c r="B7835" s="2"/>
    </row>
    <row r="7837" spans="2:2">
      <c r="B7837" s="3"/>
    </row>
    <row r="7839" spans="2:2">
      <c r="B7839" s="3"/>
    </row>
    <row r="7857" spans="2:2">
      <c r="B7857" s="4"/>
    </row>
    <row r="7859" spans="2:2">
      <c r="B7859" s="4"/>
    </row>
    <row r="7864" spans="2:2">
      <c r="B7864" s="2"/>
    </row>
    <row r="7870" spans="2:2">
      <c r="B7870" s="2"/>
    </row>
    <row r="7872" spans="2:2">
      <c r="B7872" s="2"/>
    </row>
    <row r="7874" spans="2:2">
      <c r="B7874" s="2"/>
    </row>
    <row r="7876" spans="2:2">
      <c r="B7876" s="2"/>
    </row>
    <row r="7880" spans="2:2">
      <c r="B7880" s="2"/>
    </row>
    <row r="7882" spans="2:2">
      <c r="B7882" s="3"/>
    </row>
    <row r="7884" spans="2:2">
      <c r="B7884" s="3"/>
    </row>
    <row r="7902" spans="2:2">
      <c r="B7902" s="4"/>
    </row>
    <row r="7904" spans="2:2">
      <c r="B7904" s="4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Control</vt:lpstr>
      <vt:lpstr>Backtest_result</vt:lpstr>
      <vt:lpstr>Data</vt:lpstr>
      <vt:lpstr>fix</vt:lpstr>
      <vt:lpstr>Raw Quant Connect Data</vt:lpstr>
      <vt:lpstr>Config</vt:lpstr>
      <vt:lpstr>End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ms</dc:creator>
  <cp:lastModifiedBy>pc ms</cp:lastModifiedBy>
  <dcterms:created xsi:type="dcterms:W3CDTF">2023-07-19T22:19:24Z</dcterms:created>
  <dcterms:modified xsi:type="dcterms:W3CDTF">2023-08-07T11:46:26Z</dcterms:modified>
</cp:coreProperties>
</file>